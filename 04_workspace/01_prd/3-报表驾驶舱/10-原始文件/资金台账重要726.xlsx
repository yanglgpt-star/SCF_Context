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threadedComments/threadedComment1.xml" ContentType="application/vnd.ms-excel.threadedcomments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persons/person.xml" ContentType="application/vnd.ms-excel.person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readedComments/threadedComment2.xml" ContentType="application/vnd.ms-excel.threadedcomment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对账单" sheetId="1" r:id="rId4"/>
    <sheet name="资金明细" sheetId="2" r:id="rId5"/>
    <sheet name="采购明细" sheetId="3" r:id="rId6"/>
    <sheet name="出货明细" sheetId="4" r:id="rId7"/>
    <sheet name="额外费用" sheetId="5" r:id="rId8"/>
  </sheets>
  <definedNames>
    <definedName name="_xlnm._FilterDatabase" localSheetId="1">资金明细!$A$3:$AC$21</definedName>
  </definedNames>
  <calcPr calcId="191029"/>
</workbook>
</file>

<file path=xl/comments1.xml><?xml version="1.0" encoding="utf-8"?>
<comments xmlns="http://schemas.openxmlformats.org/spreadsheetml/2006/main">
  <authors>
    <author>tc={1F4920CC-D405-478A-8E9A-04D53F0B4228}</author>
    <author>tc={9A168A86-509C-4AED-B5C7-F283707FD7D5}</author>
  </authors>
  <commentList>
    <comment ref="K2" authorId="0">
      <text>
        <r>
          <t>NengLiang:
库存</t>
        </r>
      </text>
    </comment>
    <comment ref="H2" authorId="1">
      <text>
        <r>
          <t>NengLiang:
资金占用</t>
        </r>
      </text>
    </comment>
  </commentList>
</comments>
</file>

<file path=xl/comments2.xml><?xml version="1.0" encoding="utf-8"?>
<comments xmlns="http://schemas.openxmlformats.org/spreadsheetml/2006/main">
  <authors>
    <author>tc={E055F89E-E698-4479-A39D-2E28F266A347}</author>
  </authors>
  <commentList>
    <comment ref="J1415" authorId="0">
      <text>
        <r>
          <t>单价异常，实际应收962.04，如后续对账则进行调整。</t>
        </r>
      </text>
    </comment>
  </commentList>
</comments>
</file>

<file path=xl/sharedStrings.xml><?xml version="1.0" encoding="utf-8"?>
<sst xmlns="http://schemas.openxmlformats.org/spreadsheetml/2006/main" count="3773" uniqueCount="3773">
  <si>
    <t/>
  </si>
  <si>
    <t>保证金支付即减少资金占用（期末金额）</t>
  </si>
  <si>
    <t>日期</t>
  </si>
  <si>
    <t>期初金额</t>
  </si>
  <si>
    <t>能良采购</t>
  </si>
  <si>
    <t>费用</t>
  </si>
  <si>
    <t>保证金</t>
  </si>
  <si>
    <t>采购退款</t>
  </si>
  <si>
    <t>销售回款</t>
  </si>
  <si>
    <t>期末金额</t>
  </si>
  <si>
    <t>日收益</t>
  </si>
  <si>
    <t>累计收益</t>
  </si>
  <si>
    <t>财务成本</t>
  </si>
  <si>
    <t>项目预计毛利</t>
  </si>
  <si>
    <t>资金占用</t>
  </si>
  <si>
    <t>库存价值</t>
  </si>
  <si>
    <t>款项日期</t>
  </si>
  <si>
    <t>项目状态</t>
  </si>
  <si>
    <t>资占天数</t>
  </si>
  <si>
    <t>BU</t>
  </si>
  <si>
    <t>省份</t>
  </si>
  <si>
    <t>负责人</t>
  </si>
  <si>
    <t>合作公司</t>
  </si>
  <si>
    <t>项目名称</t>
  </si>
  <si>
    <t>款项性质</t>
  </si>
  <si>
    <t>财务资金成本</t>
  </si>
  <si>
    <t>日资金费用</t>
  </si>
  <si>
    <t>上游返利</t>
  </si>
  <si>
    <t>下游返利</t>
  </si>
  <si>
    <t>仓储成本</t>
  </si>
  <si>
    <t>系统成本</t>
  </si>
  <si>
    <t>税务成本</t>
  </si>
  <si>
    <t>业务收入</t>
  </si>
  <si>
    <t>净利润</t>
  </si>
  <si>
    <t>周转天数</t>
  </si>
  <si>
    <t>回款周转核算</t>
  </si>
  <si>
    <t>平台（未税运营助手-含税无仓</t>
  </si>
  <si>
    <t>已完结</t>
  </si>
  <si>
    <t>数码</t>
  </si>
  <si>
    <t>江苏省</t>
  </si>
  <si>
    <t>江苏-刘安</t>
  </si>
  <si>
    <t>中国移动通信集团终端有限公司</t>
  </si>
  <si>
    <t>250113中国移动-醒市-扬州音速</t>
  </si>
  <si>
    <t>采购款</t>
  </si>
  <si>
    <t>无仓</t>
  </si>
  <si>
    <t>250114中国移动-醒市-扬州音速</t>
  </si>
  <si>
    <t>扬州音速通讯设备有限公司</t>
  </si>
  <si>
    <t>销售款</t>
  </si>
  <si>
    <t>河南省</t>
  </si>
  <si>
    <t>郑州-彭辉</t>
  </si>
  <si>
    <t>郑州民视电子科技有限公司</t>
  </si>
  <si>
    <t>250321尊实-民视</t>
  </si>
  <si>
    <t>河南壹零肆壹通讯科技有限公司</t>
  </si>
  <si>
    <t>250321尊实-壹零肆壹</t>
  </si>
  <si>
    <t>广东省</t>
  </si>
  <si>
    <t>广东-杨海群</t>
  </si>
  <si>
    <t>深圳创兴</t>
  </si>
  <si>
    <t>250402无仓未税-深圳创兴</t>
  </si>
  <si>
    <t>运营助手</t>
  </si>
  <si>
    <t>250702无仓未税-民视</t>
  </si>
  <si>
    <t>醒市无仓未税</t>
  </si>
  <si>
    <t>250716无仓未税-翩启</t>
  </si>
  <si>
    <t>250717无仓未税-翩启</t>
  </si>
  <si>
    <t>山东省</t>
  </si>
  <si>
    <t>济南-赵强</t>
  </si>
  <si>
    <t>天津子月盛景科技发展有限公司</t>
  </si>
  <si>
    <t>250717天津子月-荡石鑫之诺-济南泰朗</t>
  </si>
  <si>
    <t>250722天津子月-荡石鑫之诺-济南泰朗</t>
  </si>
  <si>
    <t>250724天津子月-荡石鑫之诺-济南泰朗</t>
  </si>
  <si>
    <t>250727尊实-壹零肆壹</t>
  </si>
  <si>
    <t>250730天津子月-荡石鑫之诺-济南泰朗</t>
  </si>
  <si>
    <t>250812尊实-民视</t>
  </si>
  <si>
    <t>济南泰朗和天商贸有限公司</t>
  </si>
  <si>
    <t>郑州-杨璞</t>
  </si>
  <si>
    <t>河南博喻信息科技有限公司</t>
  </si>
  <si>
    <t>250924博喻-近我-博猿</t>
  </si>
  <si>
    <t>250929尊实-壹零肆壹</t>
  </si>
  <si>
    <t>海南聚时科技有限公司</t>
  </si>
  <si>
    <t>251013海南聚时-尊实-江苏爱斯雨</t>
  </si>
  <si>
    <t>251021海南聚时-尊实-江苏爱斯雨</t>
  </si>
  <si>
    <t>江苏爱斯雨电子科技有限公司</t>
  </si>
  <si>
    <t>河南-谭越</t>
  </si>
  <si>
    <t>四川长虹佳华哆啦有货电子商务有限公司</t>
  </si>
  <si>
    <t>251031四川长虹-联壹-河南宏亨</t>
  </si>
  <si>
    <t>河南宏亨电子科技有限公司</t>
  </si>
  <si>
    <t>北京</t>
  </si>
  <si>
    <t>北京-陈龙</t>
  </si>
  <si>
    <t>上海能良电子科技有限公司</t>
  </si>
  <si>
    <t>251119能良-天津子月</t>
  </si>
  <si>
    <t>251121能良-天津子月</t>
  </si>
  <si>
    <t>251128博喻-近我-博猿</t>
  </si>
  <si>
    <t>上海联壹电子商务有限公司</t>
  </si>
  <si>
    <t>251203联壹-河南宏亨</t>
  </si>
  <si>
    <t>上海乡乐电子商务有限公司</t>
  </si>
  <si>
    <t>251206乡乐-深圳正机品汇</t>
  </si>
  <si>
    <t>251222联壹-河南宏亨</t>
  </si>
  <si>
    <t>251231博喻-近我-博猿</t>
  </si>
  <si>
    <t>广东-曾春平</t>
  </si>
  <si>
    <t>北京京东世纪信息技术有限公司</t>
  </si>
  <si>
    <t>260103京东-乡乐-深圳策山</t>
  </si>
  <si>
    <t>深圳市策山严选数码有限公司</t>
  </si>
  <si>
    <t>260107海南聚时-尊实-江苏爱斯雨</t>
  </si>
  <si>
    <t>260109海南聚时-尊实-江苏爱斯雨</t>
  </si>
  <si>
    <t>260114海南聚时-尊实-江苏爱斯雨</t>
  </si>
  <si>
    <t>260115乡乐-广东成胜智能</t>
  </si>
  <si>
    <t>260115海南聚时-尊实-江苏爱斯雨</t>
  </si>
  <si>
    <t>260120乡乐-广东成胜智能</t>
  </si>
  <si>
    <t>翩启</t>
  </si>
  <si>
    <t>260131博喻-近我-博猿</t>
  </si>
  <si>
    <t>深圳市香橙时代商贸有限公司</t>
  </si>
  <si>
    <t>260203乡乐-香橙时代</t>
  </si>
  <si>
    <t>山东-张义刚</t>
  </si>
  <si>
    <t>山东贞利友信息科技服务有限公司</t>
  </si>
  <si>
    <t>260204无仓未税-贞利友</t>
  </si>
  <si>
    <t>物流</t>
  </si>
  <si>
    <t>靳元元</t>
  </si>
  <si>
    <t>荣米</t>
  </si>
  <si>
    <t>260204无仓未税-荣米</t>
  </si>
  <si>
    <t>260205无仓未税-荣米</t>
  </si>
  <si>
    <t>260206无仓未税-荣米</t>
  </si>
  <si>
    <t>北京-仪元博</t>
  </si>
  <si>
    <t>江苏迪丰通信技术有限公司</t>
  </si>
  <si>
    <t>260206江苏迪丰通-乡乐-万侨</t>
  </si>
  <si>
    <t>万侨商业有限公司</t>
  </si>
  <si>
    <t>260208无仓未税-荣米</t>
  </si>
  <si>
    <t>260208无仓未税-扬州音速</t>
  </si>
  <si>
    <t>260209无仓未税-扬州音速</t>
  </si>
  <si>
    <t>260211无仓未税-扬州音速</t>
  </si>
  <si>
    <t>浙江省</t>
  </si>
  <si>
    <t>杭州-鲍彬彬</t>
  </si>
  <si>
    <t>杭州星林数码有限公司</t>
  </si>
  <si>
    <t>260228无仓未税-杭州星林</t>
  </si>
  <si>
    <t>260302能良-天津子月</t>
  </si>
  <si>
    <t>江西省</t>
  </si>
  <si>
    <t>江西-魏龙</t>
  </si>
  <si>
    <t>江西鸿展</t>
  </si>
  <si>
    <t>260308无仓未税-江西鸿展</t>
  </si>
  <si>
    <t>江苏-路金亮</t>
  </si>
  <si>
    <t>玄武区正辉讯通商贸经营部</t>
  </si>
  <si>
    <t>260309无仓未税-正辉通讯</t>
  </si>
  <si>
    <t>260310无仓未税-正辉通讯</t>
  </si>
  <si>
    <t>260311无仓未税-江西鸿展</t>
  </si>
  <si>
    <t>宿迁云虎</t>
  </si>
  <si>
    <t>260312无仓未税-宿迁云虎</t>
  </si>
  <si>
    <t>260314无仓未税-江西鸿展</t>
  </si>
  <si>
    <t>杭州诚嵘科技有限公司</t>
  </si>
  <si>
    <t>260315无仓未税-杭州诚嵘</t>
  </si>
  <si>
    <t>260317无仓未税-江西鸿展</t>
  </si>
  <si>
    <t>四川省</t>
  </si>
  <si>
    <t>四川-王良虎</t>
  </si>
  <si>
    <t>成都市卫鑫星商贸有限公司</t>
  </si>
  <si>
    <t>260317无仓未税-四川卫鑫星</t>
  </si>
  <si>
    <t>260318无仓未税-江西鸿展</t>
  </si>
  <si>
    <t>四川-于志轩</t>
  </si>
  <si>
    <t>郑州龙康通讯商行</t>
  </si>
  <si>
    <t>260319无仓未税-河南龙康</t>
  </si>
  <si>
    <t>河南真豪有限公司</t>
  </si>
  <si>
    <t>260319无仓未税-河南真豪</t>
  </si>
  <si>
    <t>260319华壹-壹零肆壹</t>
  </si>
  <si>
    <t>深圳市蓝天鸟贸易有限公司</t>
  </si>
  <si>
    <t>260323能良-蓝天鸟</t>
  </si>
  <si>
    <t>260319无仓未税-四川卫鑫星</t>
  </si>
  <si>
    <t>260320无仓未税-四川卫鑫星</t>
  </si>
  <si>
    <t>陕西省</t>
  </si>
  <si>
    <t>陕西-韩双</t>
  </si>
  <si>
    <t>陕西阿美科技有限公司</t>
  </si>
  <si>
    <t>260320无仓未税-西安阿美</t>
  </si>
  <si>
    <t>湖南省</t>
  </si>
  <si>
    <t>长沙-贺衡祁</t>
  </si>
  <si>
    <t>天津京源盛世科技有限公司</t>
  </si>
  <si>
    <t>260320无仓未税-天津京源盛世</t>
  </si>
  <si>
    <t>江苏-韩高</t>
  </si>
  <si>
    <t>江宁区谨而仁通讯设备经营部</t>
  </si>
  <si>
    <t>260320无仓未税-南京谨而仁</t>
  </si>
  <si>
    <t>260320无仓未税-江西鸿展</t>
  </si>
  <si>
    <t>260321无仓未税-河南真豪</t>
  </si>
  <si>
    <t>260322无仓未税-宿迁云虎</t>
  </si>
  <si>
    <t>260323无仓未税-江西鸿展</t>
  </si>
  <si>
    <t>260323无仓未税-宿迁云虎</t>
  </si>
  <si>
    <t>260323华壹-壹零肆壹</t>
  </si>
  <si>
    <t>260323无仓未税-河南真豪</t>
  </si>
  <si>
    <t>博猿智能科技(河南)有限公司</t>
  </si>
  <si>
    <t>260324太力-华壹-博猿</t>
  </si>
  <si>
    <t>260324无仓未税-河南龙康</t>
  </si>
  <si>
    <t>260324无仓未税-南京正辉</t>
  </si>
  <si>
    <t>260324无仓未税-河南真豪</t>
  </si>
  <si>
    <t>260324无仓未税-江西鸿展</t>
  </si>
  <si>
    <t>260325无仓未税-江西鸿展</t>
  </si>
  <si>
    <t>260325无仓未税-南京正辉</t>
  </si>
  <si>
    <t>陕西中和凌峰</t>
  </si>
  <si>
    <t>260325无仓未税-陕西中和凌峰</t>
  </si>
  <si>
    <t>深圳名氏风</t>
  </si>
  <si>
    <t>260325无仓未税-深圳名氏风</t>
  </si>
  <si>
    <t>260326无仓未税-南京正辉</t>
  </si>
  <si>
    <t>260326无仓未税-陕西中和凌峰</t>
  </si>
  <si>
    <t>江苏熹泽通信设备有限公司</t>
  </si>
  <si>
    <t>260326无仓未税-南京熹泽</t>
  </si>
  <si>
    <t>260326无仓未税-深圳名氏风</t>
  </si>
  <si>
    <t>260326无仓未税-杭州诚嵘</t>
  </si>
  <si>
    <t>上海</t>
  </si>
  <si>
    <t>上海-王健</t>
  </si>
  <si>
    <t xml:space="preserve">深圳市众成世纪通讯有限公司 </t>
  </si>
  <si>
    <t>260326能良-众成-荡石</t>
  </si>
  <si>
    <t>260327无仓未税-杭州诚嵘</t>
  </si>
  <si>
    <t>260327无仓未税-深圳名氏风</t>
  </si>
  <si>
    <t>260327华壹-壹零肆壹</t>
  </si>
  <si>
    <t>260328无仓未税-陕西中和凌峰</t>
  </si>
  <si>
    <t>260328无仓未税-江西鸿展</t>
  </si>
  <si>
    <t>260330无仓未税-陕西中和凌峰</t>
  </si>
  <si>
    <t>260330无仓未税-江西鸿展</t>
  </si>
  <si>
    <t>260329无仓未税-深圳名氏风</t>
  </si>
  <si>
    <t>郑州宇鑫通讯</t>
  </si>
  <si>
    <t>260330无仓未税-郑州宇鑫</t>
  </si>
  <si>
    <t>260331无仓未税-河南真豪</t>
  </si>
  <si>
    <t>260330能良-众成-荡石</t>
  </si>
  <si>
    <t>郑州世航通讯商行</t>
  </si>
  <si>
    <t>260330无仓未税-河南世航</t>
  </si>
  <si>
    <t>刘发发通讯</t>
  </si>
  <si>
    <t>260330无仓未税-刘发发通讯</t>
  </si>
  <si>
    <t>260331无仓未税-刘发发通讯</t>
  </si>
  <si>
    <t>河南大麦通讯</t>
  </si>
  <si>
    <t>260330无仓未税-大麦通讯</t>
  </si>
  <si>
    <t>郑州-李三平</t>
  </si>
  <si>
    <t>卫辉市荣嘉商贸有限公司</t>
  </si>
  <si>
    <t>260331无仓未税-河南卫辉市荣嘉商贸有限公司</t>
  </si>
  <si>
    <t>260331无仓未税-深圳名氏风</t>
  </si>
  <si>
    <t>山东-赵强</t>
  </si>
  <si>
    <t>济南鑫腾飞</t>
  </si>
  <si>
    <t>260331无仓未税-济南鑫腾飞</t>
  </si>
  <si>
    <t>260401无仓未税-民视电子</t>
  </si>
  <si>
    <t>260402无仓未税-民视电子</t>
  </si>
  <si>
    <t>260401无仓未税-郑州宇鑫</t>
  </si>
  <si>
    <t>260403华壹-壹零肆壹</t>
  </si>
  <si>
    <t>260408华壹-壹零肆壹</t>
  </si>
  <si>
    <t>260402无仓未税-河南世航</t>
  </si>
  <si>
    <t>260401无仓未税-深圳名氏风</t>
  </si>
  <si>
    <t>260402无仓未税-深圳名氏风</t>
  </si>
  <si>
    <t>260402无仓未税-江西鸿展</t>
  </si>
  <si>
    <t>260402无仓未税-郑州宇鑫</t>
  </si>
  <si>
    <t>北京中亿礼科技有限公司</t>
  </si>
  <si>
    <t>260409能良-中亿礼-触屏</t>
  </si>
  <si>
    <t>260403无仓未税-深圳名氏风</t>
  </si>
  <si>
    <t>260408无仓未税-荣米</t>
  </si>
  <si>
    <t>深圳捷信</t>
  </si>
  <si>
    <t>260409无仓未税-捷信</t>
  </si>
  <si>
    <t>260409无仓未税-荣米</t>
  </si>
  <si>
    <t>260410无仓未税-荣米</t>
  </si>
  <si>
    <t>260409无仓未税-江西鸿展</t>
  </si>
  <si>
    <t>260411无仓未税-杭州星林</t>
  </si>
  <si>
    <t>260413无仓未税-深圳名氏风</t>
  </si>
  <si>
    <t>重庆市</t>
  </si>
  <si>
    <t>重庆-付天松</t>
  </si>
  <si>
    <t>重庆众翔科技有限公司</t>
  </si>
  <si>
    <t>260414无仓未税-重庆众翔</t>
  </si>
  <si>
    <t>260414无仓未税-深圳名氏风</t>
  </si>
  <si>
    <t>260416无仓未税-河南世航</t>
  </si>
  <si>
    <t>260417无仓未税-河南世航</t>
  </si>
  <si>
    <t>260419无仓未税-四川卫鑫星</t>
  </si>
  <si>
    <t>260416无仓未税-深圳名氏风</t>
  </si>
  <si>
    <t>260417无仓未税-深圳名氏风</t>
  </si>
  <si>
    <t>杭州兴亿通讯设备有限公司</t>
  </si>
  <si>
    <t>260417能良-杭州兴亿通讯</t>
  </si>
  <si>
    <t>260422能良-杭州兴亿通讯</t>
  </si>
  <si>
    <t>山西省</t>
  </si>
  <si>
    <t>山西-李汶</t>
  </si>
  <si>
    <t>太原朗海强鹏通讯</t>
  </si>
  <si>
    <t>260416无仓未税太原朗海强鹏通讯</t>
  </si>
  <si>
    <t>260417无仓未税太原朗海强鹏通讯</t>
  </si>
  <si>
    <t>260417无仓未税-郑州宇鑫</t>
  </si>
  <si>
    <t>260419无仓未税-郑州宇鑫</t>
  </si>
  <si>
    <t>贵州省</t>
  </si>
  <si>
    <t>贵州-安圣</t>
  </si>
  <si>
    <t>贵州世纪恒天通讯有限公司</t>
  </si>
  <si>
    <t>260418无仓未税-贵州世纪恒天</t>
  </si>
  <si>
    <t>260419无仓未税-贵州世纪恒天</t>
  </si>
  <si>
    <t>260420无仓未税-贵州世纪恒天</t>
  </si>
  <si>
    <t>济南牛蛙商贸</t>
  </si>
  <si>
    <t>260420无仓未税-济南牛蛙商贸</t>
  </si>
  <si>
    <t>260421无仓未税-济南牛蛙商贸</t>
  </si>
  <si>
    <t>260421无仓未税-西安阿美</t>
  </si>
  <si>
    <t>260421无仓未税-深圳名氏风</t>
  </si>
  <si>
    <t>济南鑫世纪通讯有限公司</t>
  </si>
  <si>
    <t>260422无仓未税-济南鑫世纪</t>
  </si>
  <si>
    <t>260423无仓未税-济南鑫世纪</t>
  </si>
  <si>
    <t>广东-刘良灯</t>
  </si>
  <si>
    <t>广州福泽电子科技有限公司</t>
  </si>
  <si>
    <t>260422能良-广州福泽电子科技</t>
  </si>
  <si>
    <t>深圳市众成世纪通讯有限公司</t>
  </si>
  <si>
    <t>云南省</t>
  </si>
  <si>
    <t>云南-付红勤</t>
  </si>
  <si>
    <t>昆明市官渡区创联电子产品经营部</t>
  </si>
  <si>
    <t>260423无仓未税-昆明创联</t>
  </si>
  <si>
    <t>260424无仓未税-扬州音速</t>
  </si>
  <si>
    <t>260423无仓未税-杭州星林</t>
  </si>
  <si>
    <t>正辉通讯</t>
  </si>
  <si>
    <t>260425无仓未税-扬州音速</t>
  </si>
  <si>
    <t>260425无仓未税-深圳名氏风</t>
  </si>
  <si>
    <t>260426无仓未税-深圳名氏风</t>
  </si>
  <si>
    <t>260426无仓未税-捷信</t>
  </si>
  <si>
    <t>260428无仓未税-深圳名氏风</t>
  </si>
  <si>
    <t>260429无仓未税-深圳名氏风</t>
  </si>
  <si>
    <t>昆明品达通讯</t>
  </si>
  <si>
    <t>260429无仓未税-昆明品达通讯</t>
  </si>
  <si>
    <t>260429无仓未税-正辉通讯</t>
  </si>
  <si>
    <t>260430能良-天津子月</t>
  </si>
  <si>
    <t>南昌中聚通讯有限公司</t>
  </si>
  <si>
    <t>260430无仓未税-南昌中聚</t>
  </si>
  <si>
    <t>260430无仓未税-深圳名氏风</t>
  </si>
  <si>
    <t>260501无仓未税-南昌中聚</t>
  </si>
  <si>
    <t>河北翩启</t>
  </si>
  <si>
    <t>260506无仓未税-南昌中聚</t>
  </si>
  <si>
    <t>260506无仓未税-深圳名氏风</t>
  </si>
  <si>
    <t>聚水潭</t>
  </si>
  <si>
    <t>260507无仓未税-深圳名氏风</t>
  </si>
  <si>
    <t>260508无仓未税-四川卫鑫星</t>
  </si>
  <si>
    <t>260509无仓未税-昆明品达通讯</t>
  </si>
  <si>
    <t>260511无仓未税-正辉通讯</t>
  </si>
  <si>
    <t>物流-王同杰</t>
  </si>
  <si>
    <t>260511无仓未税-河南卫辉市荣嘉商贸有限公司</t>
  </si>
  <si>
    <t>260511无仓未税-北京中亿礼科技有限公司</t>
  </si>
  <si>
    <t>成都市盛星中科通讯设备有限公司</t>
  </si>
  <si>
    <t>260511无仓未税-盛星中科</t>
  </si>
  <si>
    <t>新疆</t>
  </si>
  <si>
    <t>新疆-谢娇</t>
  </si>
  <si>
    <t>翼联智讯</t>
  </si>
  <si>
    <t>260513无仓未税-新疆新顺和</t>
  </si>
  <si>
    <t>260513无仓未税-四川卫鑫星</t>
  </si>
  <si>
    <t>260513无仓未税-江西鸿展</t>
  </si>
  <si>
    <t>家电</t>
  </si>
  <si>
    <t>山东-刘博</t>
  </si>
  <si>
    <t>济南供源商贸有限公司</t>
  </si>
  <si>
    <t>260514天猫优品-山东挥鞭-济南共源</t>
  </si>
  <si>
    <t>物流-徐军</t>
  </si>
  <si>
    <t>吉林市宜欣商贸有限公司</t>
  </si>
  <si>
    <t>260515无仓未税-吉林市宜欣商贸有限公司</t>
  </si>
  <si>
    <t>济南鑫旭通讯有限公司</t>
  </si>
  <si>
    <t>260517无仓未税-济南鑫旭通讯有限公司</t>
  </si>
  <si>
    <t>260518无仓未税-济南鑫旭通讯有限公司</t>
  </si>
  <si>
    <t>260518无仓未税-宿迁云虎</t>
  </si>
  <si>
    <t>北京恒创通讯</t>
  </si>
  <si>
    <t>260519无仓未税-恒创通讯</t>
  </si>
  <si>
    <t>260519无仓未税-杭州诚嵘</t>
  </si>
  <si>
    <t>260519无仓未税-四川卫鑫星</t>
  </si>
  <si>
    <t>260520无仓未税-江西鸿展</t>
  </si>
  <si>
    <t>260410无仓未税-荣米	</t>
  </si>
  <si>
    <t>260520无仓未税-恒创通讯</t>
  </si>
  <si>
    <t>深圳市恒成华科技有限公司</t>
  </si>
  <si>
    <t>260520无仓未税-深圳市恒成华</t>
  </si>
  <si>
    <t>260521无仓未税-西安阿美</t>
  </si>
  <si>
    <t>260521无仓未税-恒创通讯</t>
  </si>
  <si>
    <t>260520无仓未税-四川卫鑫星</t>
  </si>
  <si>
    <t>260521无仓未税-天津京源盛世</t>
  </si>
  <si>
    <t>深圳市合意通讯有限公司</t>
  </si>
  <si>
    <t>260521无仓未税-深圳合意</t>
  </si>
  <si>
    <t>260522无仓未税-天津京源盛世</t>
  </si>
  <si>
    <t>山东-张岳</t>
  </si>
  <si>
    <t>青岛智术瑞通商贸有限公司</t>
  </si>
  <si>
    <t>260522无仓未税-青岛智术瑞通</t>
  </si>
  <si>
    <t>260522无仓未税-深圳名氏风</t>
  </si>
  <si>
    <t>260523无仓未税-恒创通讯</t>
  </si>
  <si>
    <t>260525能良-重庆众翔</t>
  </si>
  <si>
    <t>采退</t>
  </si>
  <si>
    <t>260528无仓未税-恒创通讯</t>
  </si>
  <si>
    <t>260528太力-荡石-博猿</t>
  </si>
  <si>
    <t>260626太力-荡石-博猿</t>
  </si>
  <si>
    <t>260629无仓未税-吉林市宜欣商贸有限公司</t>
  </si>
  <si>
    <t>260709无仓未税-四川卫鑫星</t>
  </si>
  <si>
    <t>金融助手</t>
  </si>
  <si>
    <t>260710无仓未税-四川卫鑫星</t>
  </si>
  <si>
    <t>260710无仓未税-正辉通讯</t>
  </si>
  <si>
    <t>260713无仓未税-四川卫鑫星</t>
  </si>
  <si>
    <t>260713无仓未税-济南鑫旭通讯有限公司</t>
  </si>
  <si>
    <t>260714无仓未税-北京中亿礼科技有限公司</t>
  </si>
  <si>
    <t>260714无仓未税-深圳名氏风</t>
  </si>
  <si>
    <t>260714无仓未税-四川卫鑫星</t>
  </si>
  <si>
    <t>260715无仓未税-深圳名氏风</t>
  </si>
  <si>
    <t>260716无仓未税-济南鑫旭通讯有限公司</t>
  </si>
  <si>
    <t>260715无仓未税-济南鑫旭通讯有限公司</t>
  </si>
  <si>
    <t>260715无仓未税-正辉通讯</t>
  </si>
  <si>
    <t>260716无仓未税-荣米</t>
  </si>
  <si>
    <t>260716无仓未税-正辉通讯</t>
  </si>
  <si>
    <t>260716无仓未税-深圳名氏风</t>
  </si>
  <si>
    <t>河北汇实科技有限公司</t>
  </si>
  <si>
    <t>260717无仓未税-黄豆</t>
  </si>
  <si>
    <t>260717无仓未税-北京中亿礼科技有限公司</t>
  </si>
  <si>
    <t>260717无仓未税-荣米</t>
  </si>
  <si>
    <t>260718无仓未税-深圳名氏风</t>
  </si>
  <si>
    <t>260720无仓未税-黄豆</t>
  </si>
  <si>
    <t>安徽省</t>
  </si>
  <si>
    <t>安徽-杨一铭</t>
  </si>
  <si>
    <t>安徽瑞豆科技有限公司</t>
  </si>
  <si>
    <t>260720无仓未税-安徽瑞豆</t>
  </si>
  <si>
    <t>260720无仓未税-正辉通讯</t>
  </si>
  <si>
    <t>260722无仓未税-安徽瑞豆</t>
  </si>
  <si>
    <t>260721无仓未税-荣米</t>
  </si>
  <si>
    <t>260722无仓未税-荣米</t>
  </si>
  <si>
    <t>260721无仓未税-四川卫鑫星</t>
  </si>
  <si>
    <t>260722无仓未税-壹零肆壹</t>
  </si>
  <si>
    <t>260722无仓未税-黄豆</t>
  </si>
  <si>
    <t>260724无仓未税-深圳名氏风</t>
  </si>
  <si>
    <t>采购日期</t>
  </si>
  <si>
    <t>合作客户</t>
  </si>
  <si>
    <t>保卖订单单号</t>
  </si>
  <si>
    <t>货主</t>
  </si>
  <si>
    <t>品牌</t>
  </si>
  <si>
    <t>品类</t>
  </si>
  <si>
    <t>商品名称</t>
  </si>
  <si>
    <t>采购数量</t>
  </si>
  <si>
    <t>采购单价</t>
  </si>
  <si>
    <t>采购金额</t>
  </si>
  <si>
    <t>日资金费用（万元/天)</t>
  </si>
  <si>
    <t>今日提货价</t>
  </si>
  <si>
    <t>未入库数量</t>
  </si>
  <si>
    <t>已出库</t>
  </si>
  <si>
    <t>库存</t>
  </si>
  <si>
    <t>库存成本</t>
  </si>
  <si>
    <t>退款状态</t>
  </si>
  <si>
    <t>系统返利单据</t>
  </si>
  <si>
    <t>是否开票</t>
  </si>
  <si>
    <t>发票</t>
  </si>
  <si>
    <t>N0FG01080EBD002W02</t>
  </si>
  <si>
    <t>苹果</t>
  </si>
  <si>
    <t>手机</t>
  </si>
  <si>
    <t>苹果 iPhone 15 Pro Max 白色钛金属-256GB</t>
  </si>
  <si>
    <t>N0FG01080EBD002W01</t>
  </si>
  <si>
    <t>苹果 iPhone 15 Pro Max 黑色钛金属-256GB</t>
  </si>
  <si>
    <t>N0FG01080EBD002W03</t>
  </si>
  <si>
    <t>苹果 iPhone 15 Pro Max 原色钛金属-256GB</t>
  </si>
  <si>
    <t>华为</t>
  </si>
  <si>
    <t>融合</t>
  </si>
  <si>
    <t>HUAWEI WATCH GT 541mm 珍珠白</t>
  </si>
  <si>
    <t>HUAWEI WATCH GT 546mm 幻夜黑</t>
  </si>
  <si>
    <t>华为Mate X5羽砂黑; 12GB+512GB；5G全网通</t>
  </si>
  <si>
    <t>华为Mate XT 非凡大师瑞红; 16GB+1TB</t>
  </si>
  <si>
    <t>华为Mate XT 非凡大师玄黑; 16GB+1TB</t>
  </si>
  <si>
    <t>华为Mate XT 非凡大师玄黑; 16GB+512GB</t>
  </si>
  <si>
    <t>华为nova12 Ultra烟云灰（昆仑玻璃）; 12GB+512GB</t>
  </si>
  <si>
    <t>华为nova12 Ultra曜金黑（昆仑玻璃）; 12GB+512GB</t>
  </si>
  <si>
    <t>华为nova12 活力版冰川白; 8GB+512GB</t>
  </si>
  <si>
    <t>华为nova12 活力版曜金黑; 8GB+256GB</t>
  </si>
  <si>
    <t>华为nova12 活力版曜金黑; 8GB+512GB</t>
  </si>
  <si>
    <t>华为nova13星耀黑; 12GB+512GB</t>
  </si>
  <si>
    <t>华为nova13 Pro洛登绿; 12GB+512GB</t>
  </si>
  <si>
    <t>华为nova13 Pro羽砂白; 12GB+512GB</t>
  </si>
  <si>
    <t>华为Pocket 2大溪地灰; 12GB+512GB</t>
  </si>
  <si>
    <t>华为Pocket 2雅黑; 12GB+512GB</t>
  </si>
  <si>
    <t>华为Pura70 Ultra香颂绿; 12GB+512GB</t>
  </si>
  <si>
    <t>华为Pura70 Ultra星芒白; 12GB+512GB</t>
  </si>
  <si>
    <t>华为Pura70 Ultra星芒黑; 12GB+512GB</t>
  </si>
  <si>
    <t>平板</t>
  </si>
  <si>
    <t>华为平板MatePad SE 11英寸 2024款WiFi 8GB+128GB星海蓝</t>
  </si>
  <si>
    <t>华为平板MatePad SE 11英寸 2024款WiFi 8GB+128GB星云灰</t>
  </si>
  <si>
    <t>华为平板MatePad SE 11英寸 2024款WiFi 8GB+256GB星海蓝</t>
  </si>
  <si>
    <t>华为平板MatePad SE 11英寸 2024款WiFi 8GB+256GB星云灰</t>
  </si>
  <si>
    <t>Hi 畅享 70曜金黑; 6+128G</t>
  </si>
  <si>
    <t>HUAWEI WATCH GT 5 41mm 珍珠白</t>
  </si>
  <si>
    <t>HUAWEI WATCH GT 5 46mm 幻夜黑</t>
  </si>
  <si>
    <t>HUAWEI WATCH GT 5 46mm 托帕蓝</t>
  </si>
  <si>
    <t>HUAWEI WATCH GT 5 Pro46mm 钛空银 钛金属表带</t>
  </si>
  <si>
    <t>HUAWEI WATCH GT 5 Pro46mm 曜石黑 黑色氟橡胶表带</t>
  </si>
  <si>
    <t>华为nova12 活力版冰川白; 8GB+256GB</t>
  </si>
  <si>
    <t>华为nova13星耀黑; 12GB+256GB</t>
  </si>
  <si>
    <t>华为畅享70 S华为畅享70 S; 冰晶蓝； 8GB+256GB；4G全网通</t>
  </si>
  <si>
    <t>华为畅享70 S华为畅享70 S; 曜金黑； 8GB+256GB；4G全网通</t>
  </si>
  <si>
    <t>华为平板Matepad 11.5 2024款WiFi 8GB+256GB 深空灰柔光版</t>
  </si>
  <si>
    <t>华为手表Ultimate 绿野传奇绿野传奇</t>
  </si>
  <si>
    <t>卓奕洲7410</t>
  </si>
  <si>
    <t>Hi 畅享 70 Pro曜金黑 8+256G</t>
  </si>
  <si>
    <t>841370a80227018-484</t>
  </si>
  <si>
    <t>郭晖3351</t>
  </si>
  <si>
    <t>电脑</t>
  </si>
  <si>
    <t>华为 MateBook D16 2024款深空灰-13代酷睿i5-13420H-1TB-16GB</t>
  </si>
  <si>
    <t>84136d500226c4e-484</t>
  </si>
  <si>
    <t>华为 MateBook D16 2024款皓月银-13代酷睿i5-13420H-1TB-16GB</t>
  </si>
  <si>
    <t>84136a780226d18-484</t>
  </si>
  <si>
    <t>华为 MateBook D14 2024款深空灰-i5-13420H-1TB-16GB</t>
  </si>
  <si>
    <t>841365300227001-484</t>
  </si>
  <si>
    <t>华为 MateBook D14 Linux版皓月银-i5-12450H-512GB-16GB</t>
  </si>
  <si>
    <t>84135c300227007-484</t>
  </si>
  <si>
    <t>华为 WATCH 5 42mm 幻月黑</t>
  </si>
  <si>
    <t>84136a000226c3e-484</t>
  </si>
  <si>
    <t>华为畅享 70X 活力版曜金黑-8GB+512GB</t>
  </si>
  <si>
    <t>84136a000226c3d-484</t>
  </si>
  <si>
    <t>华为畅享 70X 活力版冰晶蓝-8GB+512GB</t>
  </si>
  <si>
    <t>84135b400227002-484</t>
  </si>
  <si>
    <t>华为畅享 70X 活力版曜金黑-8GB+256GB</t>
  </si>
  <si>
    <t>84136a000226c50-484</t>
  </si>
  <si>
    <t>华为畅享 70X 活力版冰晶蓝-8GB+256GB</t>
  </si>
  <si>
    <t>84135c380227000-484</t>
  </si>
  <si>
    <t>华为 WATCH 5 42mm 金星白</t>
  </si>
  <si>
    <t>84135bf00227000-484</t>
  </si>
  <si>
    <t>华为nova14 Pro羽砂黑-12GB+512GB</t>
  </si>
  <si>
    <t>84135c980226c00-484</t>
  </si>
  <si>
    <t>华为nova14羽砂黑-12GB+512GB</t>
  </si>
  <si>
    <t>8413567002271cf-484</t>
  </si>
  <si>
    <t>华为nova14凝霜白-12GB+512GB</t>
  </si>
  <si>
    <t>841359300226d28-484</t>
  </si>
  <si>
    <t>华为 Mate 70 Pro+飞天青-16GB+512GB</t>
  </si>
  <si>
    <t>841356700227191-484</t>
  </si>
  <si>
    <t>华为 Mate 70 Pro曜石黑-12GB+256GB</t>
  </si>
  <si>
    <t>841359300226d16-484</t>
  </si>
  <si>
    <t>Hi畅享80S曜石黑-6+128</t>
  </si>
  <si>
    <t>84a77f48023044e-484</t>
  </si>
  <si>
    <t>iQOO</t>
  </si>
  <si>
    <t>iQOO 12传奇版-16GB+512GB-5G全网通</t>
  </si>
  <si>
    <t>84b9b3b002310f1-484</t>
  </si>
  <si>
    <t>84bc4dc002324c2</t>
  </si>
  <si>
    <t>苹果 iPhone 16 Pro 原色钛金属-128GB</t>
  </si>
  <si>
    <t>84bc4dc002324c1</t>
  </si>
  <si>
    <t>苹果 iPhone 16 Pro 黑色钛金属-128GB</t>
  </si>
  <si>
    <t>84f701f0023456a</t>
  </si>
  <si>
    <t>苹果 iPhone 16 Pro 沙漠色钛金属-128GB</t>
  </si>
  <si>
    <t>84f701f00234569</t>
  </si>
  <si>
    <t>苹果 iPhone 16 Pro 白色钛金属-128GB</t>
  </si>
  <si>
    <t>84f701f00234568</t>
  </si>
  <si>
    <t>84f701f00234567</t>
  </si>
  <si>
    <t>850654b80237275</t>
  </si>
  <si>
    <t>850654b80237274</t>
  </si>
  <si>
    <t>850654b80237273</t>
  </si>
  <si>
    <t>850654b80237272</t>
  </si>
  <si>
    <t>851b5b28023ac97</t>
  </si>
  <si>
    <t>华为 MateBook 14 酷睿Ultra深空灰-Ultra 5-1TB-16GB</t>
  </si>
  <si>
    <t>851b6d80023a818</t>
  </si>
  <si>
    <t>华为 MateBook 14 酷睿Ultra深空灰-Ultra 5-1TB-32GB</t>
  </si>
  <si>
    <t>851b5b28023ac99</t>
  </si>
  <si>
    <t>华为 MatePad 11.5S深空灰-12GB+256GB-柔光版</t>
  </si>
  <si>
    <t>851b6d68023a968</t>
  </si>
  <si>
    <t>华为 MatePad 11.5s 柔光版深空灰-12GB+512GB</t>
  </si>
  <si>
    <t>851b5b28023acab</t>
  </si>
  <si>
    <t>华为 MatePad 11.5S羽纱紫-12GB+256GB-柔光版</t>
  </si>
  <si>
    <t>851b5b28023acad</t>
  </si>
  <si>
    <t>华为 MatePad 11.5s 标准版深空灰-8GB+256GB</t>
  </si>
  <si>
    <t>851b6d68023a97e</t>
  </si>
  <si>
    <t>华为 MatePad Air 12英寸 柔光版烟云灰-12GB+256GB-WiFi</t>
  </si>
  <si>
    <t>851b6d68023a97f</t>
  </si>
  <si>
    <t>华为 MatePad Air 12英寸 柔光版烟云灰-12GB+512GB-WiFi</t>
  </si>
  <si>
    <t>851b6d68023a980</t>
  </si>
  <si>
    <t>华为 MatePad Air 12英寸烟云灰-12GB+256GB-WiFi</t>
  </si>
  <si>
    <t>851b5b28023acb1</t>
  </si>
  <si>
    <t>华为 MatePad Pro 12.2英寸砚黑-12GB+256GB</t>
  </si>
  <si>
    <t>851b6d68023a981</t>
  </si>
  <si>
    <t>华为 MatePad Pro 12.2英寸 柔光版宣白-12GB+256GB</t>
  </si>
  <si>
    <t>851b5b28023acb3</t>
  </si>
  <si>
    <t>华为 MatePad 11.5 2024款 柔光版深空灰-8GB+256GB-WiFi版</t>
  </si>
  <si>
    <t>851b6d68023a984</t>
  </si>
  <si>
    <t>华为 MatePad 11.5 2024款 标准版冰霜银-8GB+256GB-WiFi版</t>
  </si>
  <si>
    <t>851b5bf8023ac3a</t>
  </si>
  <si>
    <t>华为 MatePad 11.5 2024款 标准版深空灰-8GB+256GB-WiFi版</t>
  </si>
  <si>
    <t>851b6d68023a985</t>
  </si>
  <si>
    <t>华为 MatePad 11.5 2024款 标准版海岛蓝-8GB+256GB-WiFi版</t>
  </si>
  <si>
    <t>851b6d68023a98a</t>
  </si>
  <si>
    <t>华为 MatePad Pro 12.2英寸 柔光版砚黑-16GB+1TB</t>
  </si>
  <si>
    <t>851b6d68023a98d</t>
  </si>
  <si>
    <t>Hi MateBook D 16皓月银-16GB+1TB-i5-13500H</t>
  </si>
  <si>
    <t>851b5bf8023ac3f</t>
  </si>
  <si>
    <t>Hi MateBook D 16深空灰-16GB+1TB-i5-13500H</t>
  </si>
  <si>
    <t>851b6d68023a99d</t>
  </si>
  <si>
    <t>华为 MatePad Pro 13.2英寸 2025款宣白-12GB+512GB-WiFi版</t>
  </si>
  <si>
    <t>851b6d68023a9cc</t>
  </si>
  <si>
    <t>华为 MatePad Pro 13.2英寸 2025款 柔光版砚黑-12GB+256GB-WiFi版</t>
  </si>
  <si>
    <t>851b5bf8023ac55</t>
  </si>
  <si>
    <t>华为 Pura70 Ultra摩卡棕-12GB+512GB</t>
  </si>
  <si>
    <t>851b6d68023a9d0</t>
  </si>
  <si>
    <t>华为 MatePad Pro 13.2英寸 2025款砚黑-12GB+256GB-WiFi版</t>
  </si>
  <si>
    <t>851b6d68023a9d1</t>
  </si>
  <si>
    <t>华为 MatePad Pro 13.2英寸 2025款宣白-12GB+256GB-WiFi版</t>
  </si>
  <si>
    <t>851b6d68023a9d3</t>
  </si>
  <si>
    <t>华为 MateBook 14 酷睿Ultra原野绿-Ultra 5-1TB-32GB</t>
  </si>
  <si>
    <t>851b6d68023a9d4</t>
  </si>
  <si>
    <t>851b5bf8023ac58</t>
  </si>
  <si>
    <t>华为 MateBook 14 酷睿Ultra皓月银-Ultra 5-1TB-32GB</t>
  </si>
  <si>
    <t>851b5bf8023ac59</t>
  </si>
  <si>
    <t>851b6d68023a9da</t>
  </si>
  <si>
    <t>华为 MateBook 14 酷睿Ultra原野绿-Ultra 5-1TB-16GB</t>
  </si>
  <si>
    <t>851b5bf8023ac61</t>
  </si>
  <si>
    <t>华为MateBook X Pro 微绒典藏版 2024款晴蓝-32GB+1TB-Ultra 7</t>
  </si>
  <si>
    <t>851b6d68023a9e4</t>
  </si>
  <si>
    <t>851b5bf8023ac62</t>
  </si>
  <si>
    <t>851b6d68023a9ed</t>
  </si>
  <si>
    <t>华为 MateBook D 14深空灰-第13代酷睿i5-1340P-1TB-16GB</t>
  </si>
  <si>
    <t>851b5bf8023ac6a</t>
  </si>
  <si>
    <t>851b5bf8023ac6b</t>
  </si>
  <si>
    <t>华为 MateBook D14 Linux版深空灰-i5-12450H-512GB-16GB</t>
  </si>
  <si>
    <t>851b5bf8023ac6e</t>
  </si>
  <si>
    <t>华为MateBook GT 14 酷睿 Ultra深空灰-32GB+1TB-Ultra 5-125H</t>
  </si>
  <si>
    <t>854514d8023ec4a</t>
  </si>
  <si>
    <t>854514d8023ec49</t>
  </si>
  <si>
    <t>854514d8023ec48</t>
  </si>
  <si>
    <t>854514d8023ec47</t>
  </si>
  <si>
    <t>85c432b8024c40c</t>
  </si>
  <si>
    <t>华为watch FIT 4 pro曜石黑氟橡胶表带</t>
  </si>
  <si>
    <t>85c432b8024c40d</t>
  </si>
  <si>
    <t>华为watch FIT 4悦动白氟橡胶表带</t>
  </si>
  <si>
    <t>85c41578024c067</t>
  </si>
  <si>
    <t>华为watch FIT 4韵律黑氟橡胶表带</t>
  </si>
  <si>
    <t>85c41578024c068</t>
  </si>
  <si>
    <t>华为 WATCH GT 5冰晶蓝-41mm</t>
  </si>
  <si>
    <t>85c41578024c069</t>
  </si>
  <si>
    <t>华为 WATCH GT 5珍珠白-41mm</t>
  </si>
  <si>
    <t>85c41578024c06a</t>
  </si>
  <si>
    <t>华为 Watch GT 5 Pro曜石黑-46mm-黑色氟橡胶表带</t>
  </si>
  <si>
    <t>85c41578024c079</t>
  </si>
  <si>
    <t>Hi畅享80曜石黑-6G+128G</t>
  </si>
  <si>
    <t>85c432c0024c446</t>
  </si>
  <si>
    <t>Hi畅享80Pro晨光白-12G+256G</t>
  </si>
  <si>
    <t>85c432b8024c41f</t>
  </si>
  <si>
    <t>Hi畅享80Pro星空黑-12G+256G</t>
  </si>
  <si>
    <t>85c41578024c07b</t>
  </si>
  <si>
    <t>Hi畅享80S晴空蓝-6+128</t>
  </si>
  <si>
    <t>85c432b8024c421</t>
  </si>
  <si>
    <t>华为畅享 80天际白-8GB+128GB</t>
  </si>
  <si>
    <t>85c432b8024c422</t>
  </si>
  <si>
    <t>华为畅享 80曜金黑-8GB+256GB</t>
  </si>
  <si>
    <t>85c432b8024c423</t>
  </si>
  <si>
    <t>华为畅享 80原野绿-8GB+512GB</t>
  </si>
  <si>
    <t>85c432b8024c425</t>
  </si>
  <si>
    <t>85c41578024c07c</t>
  </si>
  <si>
    <t>85c41578024c07d</t>
  </si>
  <si>
    <t>华为 Pura70 Ultra星芒黑-12GB+512GB</t>
  </si>
  <si>
    <t>85c432b8024c428</t>
  </si>
  <si>
    <t>85c41578024c07f</t>
  </si>
  <si>
    <t>华为 Pura70 Ultra香颂绿-12GB+512GB</t>
  </si>
  <si>
    <t>85c432b8024c432</t>
  </si>
  <si>
    <t>华为 Mate X5羽砂白-12GB+512GB-5G全网通</t>
  </si>
  <si>
    <t>85c41580024c002</t>
  </si>
  <si>
    <t>华为 Mate X6深海蓝-12GB+512GB</t>
  </si>
  <si>
    <t>85c41580024c004</t>
  </si>
  <si>
    <t>华为 Mate X6 典藏版寰宇红-16GB+512GB</t>
  </si>
  <si>
    <t>85c41580024c005</t>
  </si>
  <si>
    <t>华为 Mate 70 Pro雪域白-12GB+256GB</t>
  </si>
  <si>
    <t>85c432b8024c434</t>
  </si>
  <si>
    <t>85c432b8024c438</t>
  </si>
  <si>
    <t>华为 Mate 70 Pro雪域白-12GB+512GB</t>
  </si>
  <si>
    <t>85c41580024c007</t>
  </si>
  <si>
    <t>85c432b8024c439</t>
  </si>
  <si>
    <t>华为 Mate 70 Pro+墨韵黑-16GB+512GB</t>
  </si>
  <si>
    <t>85c41580024c008</t>
  </si>
  <si>
    <t>华为 Mate 70 Pro+羽衣白-16GB+512GB</t>
  </si>
  <si>
    <t>85c432b8024c441</t>
  </si>
  <si>
    <t>华为 Mate 70 RS 非凡大师皓白-16GB+512GB</t>
  </si>
  <si>
    <t>85c432b8024c442</t>
  </si>
  <si>
    <t>华为 Mate 70云杉绿（鸿蒙NEXT先锋版）-12GB+512GB</t>
  </si>
  <si>
    <t>85c432b8024c443</t>
  </si>
  <si>
    <t>华为 Mate 70雪域白（鸿蒙NEXT先锋版）-12GB+512GB</t>
  </si>
  <si>
    <t>85c432b8024c444</t>
  </si>
  <si>
    <t>华为 Pocket 2 优享版大溪地灰-12GB+512GB</t>
  </si>
  <si>
    <t>85c432b8024c445</t>
  </si>
  <si>
    <t>华为 Pura80 Pro釉黑-12GB+1TB</t>
  </si>
  <si>
    <t>85c41580024c00e</t>
  </si>
  <si>
    <t>华为 Pura80 Ultra鎏光黑-16GB+512GB</t>
  </si>
  <si>
    <t>85c41580024c00f</t>
  </si>
  <si>
    <t>华为 Pura X零度白-12GB+512GB</t>
  </si>
  <si>
    <t>85c432b8024c44a</t>
  </si>
  <si>
    <t>华为 Pura X月影灰-12GB+512GB</t>
  </si>
  <si>
    <t>85c432b8024c44b</t>
  </si>
  <si>
    <t>华为 Pura X型格红（典藏版）-16GB+512GB</t>
  </si>
  <si>
    <t>85c41580024c016</t>
  </si>
  <si>
    <t>华为 Pura X月影灰（典藏版）-16GB+512GB</t>
  </si>
  <si>
    <t>华为擎云 C5e(第2代) BZH5-W00星云灰-8GB+128GB-wifi版</t>
  </si>
  <si>
    <t>87c5dbf802c0b88</t>
  </si>
  <si>
    <t>华为nova14羽砂黑-12GB+256GB</t>
  </si>
  <si>
    <t>87c5d7f002c0781</t>
  </si>
  <si>
    <t>87c5d7f002c073f</t>
  </si>
  <si>
    <t>N0FG01080EBDZYPO02</t>
  </si>
  <si>
    <t>XS235DA2400220S006</t>
  </si>
  <si>
    <t>iPhone 17 Pro 星宇橙色-1T</t>
  </si>
  <si>
    <t>XS235DA2400220S007</t>
  </si>
  <si>
    <t>iPhone 17 Pro 深蓝色-256GB</t>
  </si>
  <si>
    <t>XS235DA2400220S009</t>
  </si>
  <si>
    <t>iPhone 17 Pro 深蓝色-1T</t>
  </si>
  <si>
    <t>890fba600303022</t>
  </si>
  <si>
    <t>宏碁</t>
  </si>
  <si>
    <t>宏碁暗影骑士 擎7</t>
  </si>
  <si>
    <t>8a224b20032342d</t>
  </si>
  <si>
    <t>Iphone17黑色-256g</t>
  </si>
  <si>
    <t>8a224b20032342e</t>
  </si>
  <si>
    <t>Iphone17白色-256g</t>
  </si>
  <si>
    <t>8a224b20032342f</t>
  </si>
  <si>
    <t>Iphone17青雾蓝色-256g</t>
  </si>
  <si>
    <t>8a224b200323430</t>
  </si>
  <si>
    <t>Iphone17薰衣草紫色-256g</t>
  </si>
  <si>
    <t>8a224b200323431</t>
  </si>
  <si>
    <t>Iphone17鼠尾草绿色-256g</t>
  </si>
  <si>
    <t>8a224b200323432</t>
  </si>
  <si>
    <t>Iphone17白色-512g</t>
  </si>
  <si>
    <t>8a224b200323433</t>
  </si>
  <si>
    <t>Iphone17薰衣草紫色-512g</t>
  </si>
  <si>
    <t>8a224b200323434</t>
  </si>
  <si>
    <t>8a224b200323435</t>
  </si>
  <si>
    <t>Iphone17pro max银色-256g</t>
  </si>
  <si>
    <t>8a224b200323436</t>
  </si>
  <si>
    <t>Iphone17pro max星宇橙色-256g</t>
  </si>
  <si>
    <t>8a224b200323437</t>
  </si>
  <si>
    <t>Iphone17pro max深蓝色-256g</t>
  </si>
  <si>
    <t>8a224b200323438</t>
  </si>
  <si>
    <t>Iphone17pro max深蓝色-512g</t>
  </si>
  <si>
    <t>8a224b200323439</t>
  </si>
  <si>
    <t>Iphone17pro max深蓝色-1T</t>
  </si>
  <si>
    <t>8a224b20032343a</t>
  </si>
  <si>
    <t>Iphone17pro星宇橙色-256g</t>
  </si>
  <si>
    <t>8a224b20032343b</t>
  </si>
  <si>
    <t>Iphone17pro深蓝色-256g</t>
  </si>
  <si>
    <t>8a224b20032343c</t>
  </si>
  <si>
    <t>Iphone17pro银色-512g</t>
  </si>
  <si>
    <t>8a224b20032343d</t>
  </si>
  <si>
    <t>Iphone17pro银色-256g</t>
  </si>
  <si>
    <t>8a224b280323401</t>
  </si>
  <si>
    <t>iPhone Air深空黑色-256GB-双eSIM-5G</t>
  </si>
  <si>
    <t>8a224b280323402</t>
  </si>
  <si>
    <t>iPhone Air云白色-256GB-双eSIM-5G</t>
  </si>
  <si>
    <t>8a224b280323403</t>
  </si>
  <si>
    <t>iPhone Air天蓝色-256GB-双eSIM-5G</t>
  </si>
  <si>
    <t>8a224b280323404</t>
  </si>
  <si>
    <t>iPhone Air深空黑色-512GB-双eSIM-5G</t>
  </si>
  <si>
    <t>8a224b280323405</t>
  </si>
  <si>
    <t>iPhone Air天蓝色-512GB-双eSIM-5G</t>
  </si>
  <si>
    <t>8a224b280323406</t>
  </si>
  <si>
    <t>iPhone Air深空黑色-1T-双eSIM-5G</t>
  </si>
  <si>
    <t>8a224b280323407</t>
  </si>
  <si>
    <t>iPhone 17 Pro深蓝色-256GB</t>
  </si>
  <si>
    <t>8a224b280323408</t>
  </si>
  <si>
    <t>iPhone 17 Pro Max银色-256GB</t>
  </si>
  <si>
    <t>8a224b280323409</t>
  </si>
  <si>
    <t>iPhone 17 Pro Max星宇橙色-256GB</t>
  </si>
  <si>
    <t>8a224b28032340a</t>
  </si>
  <si>
    <t>iPhone 17 Pro Max深蓝色-256GB</t>
  </si>
  <si>
    <t>8a224b28032340b</t>
  </si>
  <si>
    <t>iPhone 17 Pro Max深蓝色-512GB</t>
  </si>
  <si>
    <t>8a224b28032340c</t>
  </si>
  <si>
    <t>iphone17白色-256GB</t>
  </si>
  <si>
    <t>8a224b28032340d</t>
  </si>
  <si>
    <t>iPhone 17 Pro银色-256GB</t>
  </si>
  <si>
    <t>8a3299b8032555b</t>
  </si>
  <si>
    <t>华为擎云 C5e(第2代) BZH5-W00星云灰-4GB+64GB-wifi版</t>
  </si>
  <si>
    <t>8a5d9500032d955</t>
  </si>
  <si>
    <t>暗影骑士擎7S</t>
  </si>
  <si>
    <t>8a5d9500032d957</t>
  </si>
  <si>
    <t>8a5d9500032d956</t>
  </si>
  <si>
    <t>8a5d9500032d958</t>
  </si>
  <si>
    <t>宏碁 暗影骑士&amp;middot 擎6</t>
  </si>
  <si>
    <t>8a5d9500032d959</t>
  </si>
  <si>
    <t>荣耀</t>
  </si>
  <si>
    <t>荣耀X70 8+256黑色</t>
  </si>
  <si>
    <t>荣耀X70 8+256白色</t>
  </si>
  <si>
    <t>荣耀X70 8+256红色</t>
  </si>
  <si>
    <t>荣耀X70 8+256青色</t>
  </si>
  <si>
    <t>8b05c4000349416</t>
  </si>
  <si>
    <t>雷神</t>
  </si>
  <si>
    <t>雷神猎刃R15 标准色-16英寸</t>
  </si>
  <si>
    <t>8b53b8400358c2e</t>
  </si>
  <si>
    <t>荣耀MagicBook X16 战斗版【国家补贴】英特尔酷睿i5标压 16+512G 16吋高清护眼屏 轻薄本笔记本电脑</t>
  </si>
  <si>
    <t>荣耀笔记本 X16 锐龙版【国家补贴】R5-7640HS高性能 16G 512G 护眼屏16吋轻薄长续航笔记本电脑</t>
  </si>
  <si>
    <t>荣耀笔记本 X16 锐龙版 2026【国家补贴】R7-7735HS高性能 16G 512G 护眼屏16吋轻薄长续航笔记本电脑</t>
  </si>
  <si>
    <t>8bdcd140036443a</t>
  </si>
  <si>
    <t>XS235DA2400220Q009</t>
  </si>
  <si>
    <t>iPhone 17 薰衣草紫色-256GB</t>
  </si>
  <si>
    <t>8bdcd1400364439</t>
  </si>
  <si>
    <t>XS235DA2400220Q007</t>
  </si>
  <si>
    <t>iPhone 17 黑色-256GB</t>
  </si>
  <si>
    <t>8bdccfa0036400b</t>
  </si>
  <si>
    <t>XS235DA2400220S001</t>
  </si>
  <si>
    <t>iPhone 17 Pro 银色-256GB</t>
  </si>
  <si>
    <t>8be715d003654b3</t>
  </si>
  <si>
    <t>8be715d003654b2</t>
  </si>
  <si>
    <t>N0FG01080EBDZYPN02</t>
  </si>
  <si>
    <t>苹果 iPhone 16 Pro Max 沙漠色钛金属-512GB</t>
  </si>
  <si>
    <t>8be715d003654b0</t>
  </si>
  <si>
    <t>XS235DA2400220S004</t>
  </si>
  <si>
    <t>iPhone 17 Pro 星宇橙色-256GB</t>
  </si>
  <si>
    <t>8be713d00365108</t>
  </si>
  <si>
    <t>N0FG01080EBDZYPL08</t>
  </si>
  <si>
    <t>苹果 iPhone 16 黑色-256GB</t>
  </si>
  <si>
    <t>8be713d00365107</t>
  </si>
  <si>
    <t>N0FG01080EBDZYPL07</t>
  </si>
  <si>
    <t>苹果 iPhone 16 黑色-128GB</t>
  </si>
  <si>
    <t>8be713d00365106</t>
  </si>
  <si>
    <t>N0FG01080EBDZYPL0A</t>
  </si>
  <si>
    <t>苹果 iPhone 16 白色-128GB</t>
  </si>
  <si>
    <t>8be713d00365007</t>
  </si>
  <si>
    <t>XS235DA2400220T005</t>
  </si>
  <si>
    <t>iPhone 17 Pro Max 星宇橙色-256GB</t>
  </si>
  <si>
    <t>8bdcd140036443b</t>
  </si>
  <si>
    <t>XS235DA2400220T001</t>
  </si>
  <si>
    <t>iPhone 17 Pro Max 银色-256GB</t>
  </si>
  <si>
    <t>8bdccfa00364009</t>
  </si>
  <si>
    <t>XS235DA2400220T009</t>
  </si>
  <si>
    <t>iPhone 17 Pro Max 深蓝色-256GB</t>
  </si>
  <si>
    <t>8bdccfa00364008</t>
  </si>
  <si>
    <t>8bdccfa00364006</t>
  </si>
  <si>
    <t>XS235DA2400220Q005</t>
  </si>
  <si>
    <t>iPhone 17 白色-256GB</t>
  </si>
  <si>
    <t>8c2704c803700c7</t>
  </si>
  <si>
    <t>8c2704c803700c6</t>
  </si>
  <si>
    <t>华为 畅享80（12+512）绿</t>
  </si>
  <si>
    <t>nova14 512昆仑黑</t>
  </si>
  <si>
    <t>8c2730a80370036</t>
  </si>
  <si>
    <t>XS235DA2400220T006</t>
  </si>
  <si>
    <t>iPhone 17 Pro Max 星宇橙色-512GB</t>
  </si>
  <si>
    <t>8c2730a80370034</t>
  </si>
  <si>
    <t>8c2730a80370032</t>
  </si>
  <si>
    <t>华为nova14-羽砂黑-12GB+512GB</t>
  </si>
  <si>
    <t>华为nova14-凝霜白-12GB+512GB</t>
  </si>
  <si>
    <t>nova14 512昆仑蓝</t>
  </si>
  <si>
    <t>8cf6ae68037c826</t>
  </si>
  <si>
    <t>小米</t>
  </si>
  <si>
    <t>米家保温杯口袋版-粉色</t>
  </si>
  <si>
    <t>8cf6ae58037c9ad</t>
  </si>
  <si>
    <t>小米小背包黑色-10L</t>
  </si>
  <si>
    <t>8cf6ae58037c9ac</t>
  </si>
  <si>
    <t>小米小背包深蓝色-10L</t>
  </si>
  <si>
    <t>8cf6ae58037c9ab</t>
  </si>
  <si>
    <t>小米小背包黄色-10L</t>
  </si>
  <si>
    <t>8cf6b068037cdaa</t>
  </si>
  <si>
    <t>小米小背包亮蓝色-10L</t>
  </si>
  <si>
    <t>8cf6b068037cdac</t>
  </si>
  <si>
    <t>米家保温杯口袋版-黑色</t>
  </si>
  <si>
    <t>nova14Ultra 512G 耀金黑</t>
  </si>
  <si>
    <t>8d0453b8037f448</t>
  </si>
  <si>
    <t>朱庆7186</t>
  </si>
  <si>
    <t>米家电子厨房秤</t>
  </si>
  <si>
    <t>8d0453b8037f44b</t>
  </si>
  <si>
    <t>米家电动红酒开瓶器</t>
  </si>
  <si>
    <t>米家恒温电水壶P1 轻音版</t>
  </si>
  <si>
    <t>8d171fd80380405</t>
  </si>
  <si>
    <t>米家多功能养生壶S1</t>
  </si>
  <si>
    <t>8d0c1348037f879</t>
  </si>
  <si>
    <t>米家电子厨房称</t>
  </si>
  <si>
    <t>8d01d740037e5af</t>
  </si>
  <si>
    <t>小米智能摄像机 CW500双摄版</t>
  </si>
  <si>
    <t>8d1f8c10038311d</t>
  </si>
  <si>
    <t>8d207c1803839d5</t>
  </si>
  <si>
    <t>华为畅享80 8GB+256GB 耀金黑 双卡全网通版</t>
  </si>
  <si>
    <t>8d207c1803839d6</t>
  </si>
  <si>
    <t>华为畅享80 8GB+256GB 天青蓝 双卡全网通版</t>
  </si>
  <si>
    <t>8d207c1803839d7</t>
  </si>
  <si>
    <t>华为畅享80 8GB+256GB 天际白 双卡全网通版</t>
  </si>
  <si>
    <t>8d207c1803839d8</t>
  </si>
  <si>
    <t>华为畅享80 8GB+128GB 耀金黑 双卡全网通版</t>
  </si>
  <si>
    <t>8d207c1803839d9</t>
  </si>
  <si>
    <t>华为畅享80 8GB+128GB 天青蓝 双卡全网通版</t>
  </si>
  <si>
    <t>8d207c1803839da</t>
  </si>
  <si>
    <t>华为畅享80 8GB+128GB 天际白 双卡全网通版</t>
  </si>
  <si>
    <t>8d207c200383907</t>
  </si>
  <si>
    <t>南京保卖货押子仓</t>
  </si>
  <si>
    <t>苹果 iPhone 17 薰衣草紫色-256GB</t>
  </si>
  <si>
    <t>苹果 iPhone 17 黑色-256GB</t>
  </si>
  <si>
    <t>苹果 iPhone 17 鼠尾草绿色-256GB</t>
  </si>
  <si>
    <t>苹果 iPhone 17 白色-256GB</t>
  </si>
  <si>
    <t>苹果 iPhone 17 青雾蓝色-256GB</t>
  </si>
  <si>
    <t>苹果 iPhone 17 Pro Max 银色-512GB</t>
  </si>
  <si>
    <t>深圳保卖货押子仓</t>
  </si>
  <si>
    <t>iPhone 17 Pro Max银色-512GB</t>
  </si>
  <si>
    <t>iPhone 17 Pro Max星宇橙色-512GB</t>
  </si>
  <si>
    <t>8df49d88038f85b</t>
  </si>
  <si>
    <t>钱佳滨4578</t>
  </si>
  <si>
    <t>华为MateBookD16SE-i5-13420H-16G-1TB皓月银第三方Linux版</t>
  </si>
  <si>
    <t>张福海1333</t>
  </si>
  <si>
    <t>Hi畅享80Pro星海蓝-12G+512G</t>
  </si>
  <si>
    <t>8e337130039cd05</t>
  </si>
  <si>
    <t>Hi畅享80Pro晨光白-12G+512G</t>
  </si>
  <si>
    <t>8e337130039cd0a</t>
  </si>
  <si>
    <t>Hi畅享80Pro星空黑-12G+512G</t>
  </si>
  <si>
    <t>8e46b5a803a0c20</t>
  </si>
  <si>
    <t>张荣祥3783</t>
  </si>
  <si>
    <t>一加</t>
  </si>
  <si>
    <t>一加ACE6 12+256 白</t>
  </si>
  <si>
    <t>8e46bbf803a1817</t>
  </si>
  <si>
    <t>一加ACE6 12+256 黑</t>
  </si>
  <si>
    <t>8e46b5a803a0c1a</t>
  </si>
  <si>
    <t>一加ACE6 12+256 银</t>
  </si>
  <si>
    <t>8e472b7003a1802</t>
  </si>
  <si>
    <t>8e607b9003a204d</t>
  </si>
  <si>
    <t>8e607b9003a204c</t>
  </si>
  <si>
    <t>荣耀畅玩70 Plus 12+512 幻夜黑</t>
  </si>
  <si>
    <t>8e7fd38003a5447</t>
  </si>
  <si>
    <t>张佰红5236</t>
  </si>
  <si>
    <t>VIVOiQOO-Neo11-12+256G像素方橙</t>
  </si>
  <si>
    <t>8e7fd36803a586c</t>
  </si>
  <si>
    <t>VIVOiQOO-Neo11-12+256G疾影黑</t>
  </si>
  <si>
    <t>8e8603b003a5c88</t>
  </si>
  <si>
    <t>VIVOiQOO-Neo11-12+256G面对疾风</t>
  </si>
  <si>
    <t>8e7fd36803a586d</t>
  </si>
  <si>
    <t>VIVOiQOO-Neo11-12+256G驰光白</t>
  </si>
  <si>
    <t>8e91f85803a8036</t>
  </si>
  <si>
    <t>华为畅享 80天青蓝-8GB+256GB</t>
  </si>
  <si>
    <t>8e8b764803a7c69</t>
  </si>
  <si>
    <t>华为畅享 80天际白-8GB+256GB</t>
  </si>
  <si>
    <t>8e8b627003a7818</t>
  </si>
  <si>
    <t>8ea69b8003a9537</t>
  </si>
  <si>
    <t>张良1989</t>
  </si>
  <si>
    <t>华为 Mate 70 Pro云杉绿-12GB+512GB</t>
  </si>
  <si>
    <t>8ea69b8003a95cf</t>
  </si>
  <si>
    <t>华为 Mate 70 Pro云杉绿-12GB+256GB</t>
  </si>
  <si>
    <t>8eb0095803aa063</t>
  </si>
  <si>
    <t>李松芸6258</t>
  </si>
  <si>
    <t>oppo</t>
  </si>
  <si>
    <t>OPPO A5 活力版琥珀黑-12GB+256GB</t>
  </si>
  <si>
    <t xml:space="preserve">OPPOA5X水晶粉-6GB+128GB
</t>
  </si>
  <si>
    <t>8eb00a3003aa000</t>
  </si>
  <si>
    <t xml:space="preserve">OPPOA5X钻石白-6GB+128GB
</t>
  </si>
  <si>
    <t>8eb00a4803aa000</t>
  </si>
  <si>
    <t xml:space="preserve">OPPOA5X玄武黑-6GB+128GB
</t>
  </si>
  <si>
    <t>8eaff5d803aa430</t>
  </si>
  <si>
    <t>8eaff5d803aa431</t>
  </si>
  <si>
    <t>8eb0007003aa41c</t>
  </si>
  <si>
    <t>华为nova14冰晶蓝-12GB+512GB</t>
  </si>
  <si>
    <t>8eaff5d803aa432</t>
  </si>
  <si>
    <t>8eb00b1803aa480</t>
  </si>
  <si>
    <t xml:space="preserve">Hi畅享80Pro星海蓝-12G+256G
</t>
  </si>
  <si>
    <t>8eb009f003aa01e</t>
  </si>
  <si>
    <t xml:space="preserve">Hi畅享80Pro星空黑-12G+256G
</t>
  </si>
  <si>
    <t>8eb3f23003ab090</t>
  </si>
  <si>
    <t xml:space="preserve">Hi畅享80Pro晨光白-12G+256G
</t>
  </si>
  <si>
    <t>郑州市管城回族区龙康通讯商行</t>
  </si>
  <si>
    <t>26款13寸AIR(M5 10+8)16+512GB天蓝色(HH4)</t>
  </si>
  <si>
    <t>26款13寸AIR(M5 10+8)16+512GB午夜色(HE4)</t>
  </si>
  <si>
    <t>26款13寸AIR(M5 10+8)16+512GB星光色(HA4)</t>
  </si>
  <si>
    <t>26款13寸AIR(M5 10+8)16+512GB银色(H74)</t>
  </si>
  <si>
    <t>8ec977b003ad422</t>
  </si>
  <si>
    <t>李世豪6985</t>
  </si>
  <si>
    <t>8ebef72003ab80a</t>
  </si>
  <si>
    <t>26款13寸AIR(M5 10+10)16+1T天蓝色(HJ4)</t>
  </si>
  <si>
    <t>8ec97c0803ad439</t>
  </si>
  <si>
    <t>华为 Mate 70 Pro曜石黑-12GB+512GB</t>
  </si>
  <si>
    <t>8ec97c0803ad44a</t>
  </si>
  <si>
    <t>8ece3a9003ae4d3</t>
  </si>
  <si>
    <t>华为 Mate 70 Pro 优享版曜石黑-12GB+512GB</t>
  </si>
  <si>
    <t>8ece3a9003ae53d</t>
  </si>
  <si>
    <t>华为 Mate 70 Pro 优享版风信紫-12GB+512GB</t>
  </si>
  <si>
    <t>8ece3a9003ae5ad</t>
  </si>
  <si>
    <t>8eca942803ae0f7</t>
  </si>
  <si>
    <t>华为 Mate 70 Pro 优享版雪域白-12GB+512GB</t>
  </si>
  <si>
    <t>8ec97c0803ad4a8</t>
  </si>
  <si>
    <t>华为 Mate 70 Pro 优享版云杉绿-12GB+512GB</t>
  </si>
  <si>
    <t>8ec237e003ac96f</t>
  </si>
  <si>
    <t>OPPO Reno15可露丽棕-16GB+256GB</t>
  </si>
  <si>
    <t>910397700409410</t>
  </si>
  <si>
    <t>OPPO Reno15星光蝴蝶结-16GB+512GB</t>
  </si>
  <si>
    <t>8ec237e003ac9c6</t>
  </si>
  <si>
    <t>OPPO Reno15极光蓝-16GB+512GB</t>
  </si>
  <si>
    <t>8ec48da003acc79</t>
  </si>
  <si>
    <t>OPPO Reno15星光蝴蝶结-16GB+256GB</t>
  </si>
  <si>
    <t>8ebef88003abc90</t>
  </si>
  <si>
    <t>OPPO Reno15可露丽棕-16GB+512GB</t>
  </si>
  <si>
    <t>8ebef6a803ab823</t>
  </si>
  <si>
    <t>8ed4072003af00c</t>
  </si>
  <si>
    <t>8ed40bf003af812</t>
  </si>
  <si>
    <t>8ed4072003af001</t>
  </si>
  <si>
    <t>8ec97c9003ad41a</t>
  </si>
  <si>
    <t>OPPO A5活力版 12+256 琥珀黑</t>
  </si>
  <si>
    <t>8ecaa7c803ae075</t>
  </si>
  <si>
    <t>OPPO A5活力版 12+256 玛瑙粉</t>
  </si>
  <si>
    <t>8ec97c9803ad431</t>
  </si>
  <si>
    <t>陈威1888</t>
  </si>
  <si>
    <t>华为擎云 L540深空灰-麒麟9006C-512固态</t>
  </si>
  <si>
    <t>8ed40b6003af8d2</t>
  </si>
  <si>
    <t>张俭2222</t>
  </si>
  <si>
    <t>iPhone 17 Pro Max256GB深蓝色</t>
  </si>
  <si>
    <t>8ed40b6003af8c4</t>
  </si>
  <si>
    <t>iPhone 17 Pro Max256GB星宇橙色</t>
  </si>
  <si>
    <t>8ed40b6003af8c2</t>
  </si>
  <si>
    <t>iPhone 17 Pro Max256GB银色</t>
  </si>
  <si>
    <t>8ed40b6003af8c5</t>
  </si>
  <si>
    <t>iPhone 17 Pro Max512GB深蓝色</t>
  </si>
  <si>
    <t>8ed40b6003af8d3</t>
  </si>
  <si>
    <t>iPhone 17 Pro256GB深蓝色</t>
  </si>
  <si>
    <t>8ed4056803af06f</t>
  </si>
  <si>
    <t>iPhone 17 Pro256GB星宇橙色</t>
  </si>
  <si>
    <t>8ed4056803af06e</t>
  </si>
  <si>
    <t>iPhone 17 Pro256GB银色</t>
  </si>
  <si>
    <t>8ed4056803af070</t>
  </si>
  <si>
    <t>iPhone 17 256GB白色</t>
  </si>
  <si>
    <t>8ed40b6003af8c9</t>
  </si>
  <si>
    <t>iPhone 17 256GB黑色</t>
  </si>
  <si>
    <t>8ed40b6003af8cc</t>
  </si>
  <si>
    <t>iPhone 17 256GB青雾蓝色</t>
  </si>
  <si>
    <t>8ed40b6003af8c7</t>
  </si>
  <si>
    <t>iPhone 17 256GB鼠尾草绿色</t>
  </si>
  <si>
    <t>8ed40b6003af8c8</t>
  </si>
  <si>
    <t>iPhone 17 256GB重衣草紫色</t>
  </si>
  <si>
    <t>8ed4056803af071</t>
  </si>
  <si>
    <t>iPhone 17 512GB鼠尾草绿色</t>
  </si>
  <si>
    <t>8ed4056003af035</t>
  </si>
  <si>
    <t>成中腾2109</t>
  </si>
  <si>
    <t>一加 Ace 6快银-12GB+256GB</t>
  </si>
  <si>
    <t>8ed4056003af034</t>
  </si>
  <si>
    <t>一加 Ace 6闪白-12GB+256GB</t>
  </si>
  <si>
    <t>8ed4056003af030</t>
  </si>
  <si>
    <t>一加 Ace 6竞黑-12GB+256GB</t>
  </si>
  <si>
    <t>26款13寸AIR(M5 10+10)16+1T银色(H84)</t>
  </si>
  <si>
    <t>iPhone 17黑色-256GB</t>
  </si>
  <si>
    <t>8ed4636803af063</t>
  </si>
  <si>
    <t>荣耀畅玩70 Plus幻夜黑-12GB+256GB</t>
  </si>
  <si>
    <t>8ede385003b001b</t>
  </si>
  <si>
    <t>荣耀畅玩70 Plus幻夜黑-12GB+512GB</t>
  </si>
  <si>
    <t>8ec237d003ac8ca</t>
  </si>
  <si>
    <t>荣耀 X70i AI版绒黑色-12GB+256GB</t>
  </si>
  <si>
    <t>8ebef77803abc28</t>
  </si>
  <si>
    <t>荣耀 X70i AI版玉兰紫-12GB+256GB</t>
  </si>
  <si>
    <t>8ed40bb803af823</t>
  </si>
  <si>
    <t>8ed4057003af0ca</t>
  </si>
  <si>
    <t>8ede4b5803b006c</t>
  </si>
  <si>
    <t>iPhone 17白色-256GB</t>
  </si>
  <si>
    <t>8ef920e803b094f</t>
  </si>
  <si>
    <t>华为 nova 14 Pro (MIA-AL00)全网通版冰晶蓝 昆仑玻璃版 512GB</t>
  </si>
  <si>
    <t>8ede418803b000d</t>
  </si>
  <si>
    <t>8ed472a003af03b</t>
  </si>
  <si>
    <t>8ede45c003b0002</t>
  </si>
  <si>
    <t>8ed47aa003af8a0</t>
  </si>
  <si>
    <t>8ed47ae803af82f</t>
  </si>
  <si>
    <t>8ed48e9803af839</t>
  </si>
  <si>
    <t>银色-13 英寸-Apple A18 Pro 芯片-6+5-8GB,/512G 带有触控-Apple A18 Pro 芯片</t>
  </si>
  <si>
    <t>8ede5e1003b0046</t>
  </si>
  <si>
    <t>靛蓝色-13 英寸-Apple A18 Pro 芯片-6+5-8GB,/512G 带有触控-Apple A18 Pro 芯片</t>
  </si>
  <si>
    <t>8ed47cc803af80a</t>
  </si>
  <si>
    <t>26款苹果笔记本Neo13英寸-A18pro-8+512G银(FC4)</t>
  </si>
  <si>
    <t>8ed47cc803af814</t>
  </si>
  <si>
    <t>26款苹果笔记本Neo13英寸-A18pro-8+512G靛蓝色(FG4)</t>
  </si>
  <si>
    <t>8ed468d003af002</t>
  </si>
  <si>
    <t>玄武区正辉讯通商贸经营部（个体工商户）</t>
  </si>
  <si>
    <t>一加 Ace 6T闪速黑-12GB+256GB</t>
  </si>
  <si>
    <t>8ede5e1003b0002</t>
  </si>
  <si>
    <t>8ef920f003b0936</t>
  </si>
  <si>
    <t>8ef920f003b0935</t>
  </si>
  <si>
    <t>8f08116803b403b</t>
  </si>
  <si>
    <t>荣耀平板X9 Pro天青色-6GB+128GB</t>
  </si>
  <si>
    <t>荣耀X70幻夜黑-8GB+256GB</t>
  </si>
  <si>
    <t>8f08116803b402f</t>
  </si>
  <si>
    <t>荣耀X70幻夜黑-12GB+256GB</t>
  </si>
  <si>
    <t>8eff5c9003b2c42</t>
  </si>
  <si>
    <t>荣耀平板X9 Pro玉龙雪-6GB+128GB</t>
  </si>
  <si>
    <t>8f041bf003b35d8</t>
  </si>
  <si>
    <t>荣耀X70幻夜黑-12GB+512GB</t>
  </si>
  <si>
    <t>8eff5c9003b2c41</t>
  </si>
  <si>
    <t xml:space="preserve">华为畅享 80天际白-8GB+128GB
</t>
  </si>
  <si>
    <t>8f08116803b4039</t>
  </si>
  <si>
    <t>华为畅享 80天青蓝-8GB+128GB</t>
  </si>
  <si>
    <t>8f08116803b403a</t>
  </si>
  <si>
    <t>华为畅享 80曜金黑-8GB+128GB</t>
  </si>
  <si>
    <t>8f08a0e803b445f</t>
  </si>
  <si>
    <t>Hi nova 12 SE曜金黑</t>
  </si>
  <si>
    <t>8f08a0e803b4460</t>
  </si>
  <si>
    <t>Hi nova 12 SE雪域白</t>
  </si>
  <si>
    <t>8f0f1e1003b68e7</t>
  </si>
  <si>
    <t>8f0f1e1003b6901</t>
  </si>
  <si>
    <t>邵训1777</t>
  </si>
  <si>
    <t>Hi畅享80S曜石黑-8+256</t>
  </si>
  <si>
    <t>8f0ed90003b5c0b</t>
  </si>
  <si>
    <t>Hi畅享80S珍珠白-8+256</t>
  </si>
  <si>
    <t>8f0f1e1003b6905</t>
  </si>
  <si>
    <t>8f0ed90003b5c10</t>
  </si>
  <si>
    <t>8f0ed90003b5c0f</t>
  </si>
  <si>
    <t>8f0f1e1003b6906</t>
  </si>
  <si>
    <t>8f0f1e1003b6902</t>
  </si>
  <si>
    <t>华为畅享 70X 尊享版曜金黑-8GB+256GB</t>
  </si>
  <si>
    <t>8f0f1e1003b6900</t>
  </si>
  <si>
    <t>华为nova15零度白-12GB+256GB</t>
  </si>
  <si>
    <t>8f27b5c003bc4cc</t>
  </si>
  <si>
    <t>华为Pura80-12+512-5G丝绒黑</t>
  </si>
  <si>
    <t>8f1eef5003bb408</t>
  </si>
  <si>
    <t>华为Pura80-12+512-5G丝绒白</t>
  </si>
  <si>
    <t>8f23776803bbdfb</t>
  </si>
  <si>
    <t>华为Pura80-12+512-5G丝绒绿</t>
  </si>
  <si>
    <t>8f1abb0803b9523</t>
  </si>
  <si>
    <t>华为 WATCH GT 6 41mm-流光紫</t>
  </si>
  <si>
    <t>8f1ab90803b91b1</t>
  </si>
  <si>
    <t>华为 WATCH GT 6 41mm-冰雪蓝</t>
  </si>
  <si>
    <t>8f1c1af003ba159</t>
  </si>
  <si>
    <t>华为 WATCH GT 6 46mm-雅丹黑</t>
  </si>
  <si>
    <t>8f1ab90803b91cb</t>
  </si>
  <si>
    <t>华为 Pura80丝绒白-12GB+512GB</t>
  </si>
  <si>
    <t>8f27b5c003bc4ca</t>
  </si>
  <si>
    <t>华为mate80pro-16+512-雪域白</t>
  </si>
  <si>
    <t>8f1ddbb803ba426</t>
  </si>
  <si>
    <t>华为mate80pro-16+512-曜石黑</t>
  </si>
  <si>
    <t>8f1ab91003b905f</t>
  </si>
  <si>
    <t>文坚4231</t>
  </si>
  <si>
    <t>Redmi Note 14 Pro镜瓷白-8GB+256GB</t>
  </si>
  <si>
    <t>8f1c1af003ba1c6</t>
  </si>
  <si>
    <t>Redmi Note 14 Pro子夜黑-8GB+256GB</t>
  </si>
  <si>
    <t>8f5291a803c2413</t>
  </si>
  <si>
    <t>8f4e3ed003c1c0a</t>
  </si>
  <si>
    <t>荣耀X70幻夜黑-8GB+128GB</t>
  </si>
  <si>
    <t>8f53adb003c35b8</t>
  </si>
  <si>
    <t>荣耀X70朱砂红-8GB+256GB</t>
  </si>
  <si>
    <t>8f0ed91003b5c75</t>
  </si>
  <si>
    <t>8f0f1e2003b6964</t>
  </si>
  <si>
    <t>荣耀X70竹韵青-8GB+256GB</t>
  </si>
  <si>
    <t>8f0ed91003b5c64</t>
  </si>
  <si>
    <t>荣耀X70月影白-8GB+256GB</t>
  </si>
  <si>
    <t>8f0ed91003b5c62</t>
  </si>
  <si>
    <t>8f0ed91003b5c65</t>
  </si>
  <si>
    <t>8f1ab91003b905d</t>
  </si>
  <si>
    <t>Redmi Note 14 Pro	幻影青-8GB+256GB</t>
  </si>
  <si>
    <t>8f1ab91003b905e</t>
  </si>
  <si>
    <t>Redmi Note 14 Pro 暮光紫-8GB+256GB</t>
  </si>
  <si>
    <t>8f39f5c003bdccd</t>
  </si>
  <si>
    <t>8f13518803b789a</t>
  </si>
  <si>
    <t>王玉伟4462</t>
  </si>
  <si>
    <t>iQOO 15赛道-16+512GB</t>
  </si>
  <si>
    <t>8f190d5003b8955</t>
  </si>
  <si>
    <t>iQOO 15旷野-16+512GB</t>
  </si>
  <si>
    <t>8f190d5003b8956</t>
  </si>
  <si>
    <t>iQOO 15传奇-16+512GB</t>
  </si>
  <si>
    <t>8f190d5003b8957</t>
  </si>
  <si>
    <t>iQOO 15凌云-16+512GB</t>
  </si>
  <si>
    <t>8f0f1e1003b68e9</t>
  </si>
  <si>
    <t>一加 Ace 6T掠影绿-12GB+256GB</t>
  </si>
  <si>
    <t>8f0f1e1003b68e8</t>
  </si>
  <si>
    <t>一加 Ace 6T电光紫-12GB+256GB</t>
  </si>
  <si>
    <t>8f0f1e1003b6904</t>
  </si>
  <si>
    <t>华为畅享 70X 尊享版流沙金-8GB+256GB</t>
  </si>
  <si>
    <t>8f0ed90003b5c0c</t>
  </si>
  <si>
    <t>华为畅享 70X 尊享版星海蓝-8GB+256GB</t>
  </si>
  <si>
    <t>8f1abb0803b9534</t>
  </si>
  <si>
    <t>华为nova15零度白-12GB+512GB</t>
  </si>
  <si>
    <t>8f1eef5003bb405</t>
  </si>
  <si>
    <t>华为Pura80pro-12+512-5G釉黑</t>
  </si>
  <si>
    <t>8f0f1e1003b68f1</t>
  </si>
  <si>
    <t>华为Mate 80 RS槿紫-20GB+1TB</t>
  </si>
  <si>
    <t>华为Mate X7曜石黑-12GB+512GB</t>
  </si>
  <si>
    <t>8f1abb0803b952c</t>
  </si>
  <si>
    <t>华为 Pura80丝绒绿-12GB+512GB</t>
  </si>
  <si>
    <t>华为 Mate X6曜石黑-12GB+512GB</t>
  </si>
  <si>
    <t>8f27b5c003bc4ce</t>
  </si>
  <si>
    <t>华为Pura80-12+256-5G丝绒白</t>
  </si>
  <si>
    <t>8f27b5c003bc4cd</t>
  </si>
  <si>
    <t>华为Pura80-12+256-5G丝绒黑</t>
  </si>
  <si>
    <t>8f1ab90803b91cc</t>
  </si>
  <si>
    <t>华为 Mate X6星云灰-12GB+512GB</t>
  </si>
  <si>
    <t>8f1abb0803b9537</t>
  </si>
  <si>
    <t>华为Mate 80云杉绿-16GB+512GB</t>
  </si>
  <si>
    <t>8f27b5c003bc4c8</t>
  </si>
  <si>
    <t>华为mate80proMax-16+1TB-极昼金</t>
  </si>
  <si>
    <t>8f1ddbb803ba425</t>
  </si>
  <si>
    <t>华为Pura80pro-12+256-5G釉黑</t>
  </si>
  <si>
    <t>8f23776803bbd62</t>
  </si>
  <si>
    <t>华为 MateBook 14 Linux V20深空灰-473*280*68-Ultra5 125H-1TB-32GB-集成显卡</t>
  </si>
  <si>
    <t>8f27b5c003bc484</t>
  </si>
  <si>
    <t>华为 MateBook Pro晴蓝-华为芯片-华为芯片-柔光版32+1TB</t>
  </si>
  <si>
    <t>8f1eef4803bb5fc</t>
  </si>
  <si>
    <t>华为nova15幻夜黑-12GB+256GB</t>
  </si>
  <si>
    <t>8f1eef5003bb401</t>
  </si>
  <si>
    <t>华为 Pura80 Pro+釉黑-16GB+512GB</t>
  </si>
  <si>
    <t>8f0f1e1003b68ef</t>
  </si>
  <si>
    <t>华为Mate X7 典藏版云锦蓝-16GB+512GB</t>
  </si>
  <si>
    <t>华为Mate X7 典藏版云锦白-16GB+512GB</t>
  </si>
  <si>
    <t>8f1abb0803b953c</t>
  </si>
  <si>
    <t>华为 Pura80 Pro釉黑-12GB+512GB</t>
  </si>
  <si>
    <t>8f1abb0803b9533</t>
  </si>
  <si>
    <t>华为 Mate X6寰宇红-12GB+512GB</t>
  </si>
  <si>
    <t>8f1abb0803b9536</t>
  </si>
  <si>
    <t>华为Mate 80 Pro Max极昼金-16GB+1TB</t>
  </si>
  <si>
    <t>8f1ab90803b91d2</t>
  </si>
  <si>
    <t>8f1abb0803b951f</t>
  </si>
  <si>
    <t>华为 MatePad Pro 13.2英寸 2025款 柔光版
流金-12GB+256GB-WiFi版</t>
  </si>
  <si>
    <t>8f1abb0803b951b</t>
  </si>
  <si>
    <t>华为 MatePad Pro 13.2英寸 2025款
砚黑-12GB+512GB-WiFi版</t>
  </si>
  <si>
    <t>8f1c1af003ba156</t>
  </si>
  <si>
    <t>华为 MatePad Pro 13.2英寸 2025款
宣白-12GB+512GB-WiFi版</t>
  </si>
  <si>
    <t>8f0ed91003b5c72</t>
  </si>
  <si>
    <t>荣耀X70月影白-12GB+256GB</t>
  </si>
  <si>
    <t>8f1abb0803b95ca</t>
  </si>
  <si>
    <t>华为 Mate 70 Pro风信紫-12GB+256GB</t>
  </si>
  <si>
    <t>8f1c1af003ba1e8</t>
  </si>
  <si>
    <t>8f1c1af003ba1e7</t>
  </si>
  <si>
    <t>8f1ab91003b907d</t>
  </si>
  <si>
    <t>8f1abb0003b9563</t>
  </si>
  <si>
    <t>众成</t>
  </si>
  <si>
    <t>苹果Iphone17 PRO资源机 256GB 白</t>
  </si>
  <si>
    <t>8f1abb0003b9564</t>
  </si>
  <si>
    <t>苹果Iphone17 PRO资源机 256GB 橙</t>
  </si>
  <si>
    <t>8f1abb0003b9565</t>
  </si>
  <si>
    <t>苹果Iphone17 PRO资源机 256GB 蓝</t>
  </si>
  <si>
    <t>8f1c1af003ba1e9</t>
  </si>
  <si>
    <t>8f39f7e003be0ba</t>
  </si>
  <si>
    <t>荣耀X70朱砂红-8GB+128GB</t>
  </si>
  <si>
    <t>8f39f7e003be0bc</t>
  </si>
  <si>
    <t>8f0f1e2003b6978</t>
  </si>
  <si>
    <t>荣耀X70朱砂红-12GB+256GB</t>
  </si>
  <si>
    <t>8f1abb0803b957d</t>
  </si>
  <si>
    <t>8f1c1af003ba1b1</t>
  </si>
  <si>
    <t>华为 Pura80丝绒金-12GB+512GB</t>
  </si>
  <si>
    <t>8f1c1af003ba1b0</t>
  </si>
  <si>
    <t>华为 Pura80丝绒黑-12GB+512GB</t>
  </si>
  <si>
    <t>8f1ab91003b9041</t>
  </si>
  <si>
    <t>8f1ab91003b9040</t>
  </si>
  <si>
    <t>8f1c1af003ba1af</t>
  </si>
  <si>
    <t>华为 Pura80 Pro釉金-12GB+512GB</t>
  </si>
  <si>
    <t>8f1c1af003ba1ac</t>
  </si>
  <si>
    <t>华为 Pura80 Pro釉白-12GB+512GB</t>
  </si>
  <si>
    <t>8f1ab91003b903f</t>
  </si>
  <si>
    <t>华为 Pura80 Pro釉黑-12GB+256GB</t>
  </si>
  <si>
    <t>8f1ab91003b903e</t>
  </si>
  <si>
    <t>华为 Mate 70 Pro+金丝银锦-16GB+512GB</t>
  </si>
  <si>
    <t>8f1abb0803b956a</t>
  </si>
  <si>
    <t>8f1abb0803b9566</t>
  </si>
  <si>
    <t>8f1abb0803b9565</t>
  </si>
  <si>
    <t>8f1ab91003b903c</t>
  </si>
  <si>
    <t>8f1abb0803b9563</t>
  </si>
  <si>
    <t>8f1abb0803b9562</t>
  </si>
  <si>
    <t>8f1abb0803b9561</t>
  </si>
  <si>
    <t>8f1abb0803b9560</t>
  </si>
  <si>
    <t>8f1abb0803b955f</t>
  </si>
  <si>
    <t>8f1c1af003ba19e</t>
  </si>
  <si>
    <t>8f1ab91003b903a</t>
  </si>
  <si>
    <t>8f23776803bbdfa</t>
  </si>
  <si>
    <t>华为mate80pro-12+512-雪域白</t>
  </si>
  <si>
    <t>8f1ddbb803ba424</t>
  </si>
  <si>
    <t>华为mate80proMax-16+1TB-极地银</t>
  </si>
  <si>
    <t>8f23776803bbdf7</t>
  </si>
  <si>
    <t>华为mate80proMax-16+512-极夜黑</t>
  </si>
  <si>
    <t>8f1eef4803bb5fd</t>
  </si>
  <si>
    <t>8f1eef5003bb402</t>
  </si>
  <si>
    <t>华为 Pura80 Pro+釉白-16GB+512GB</t>
  </si>
  <si>
    <t>8f23776803bbdf6</t>
  </si>
  <si>
    <t>华为 Pura80 Pro+釉青-16GB+512GB</t>
  </si>
  <si>
    <t>8f0f1e1003b68f4</t>
  </si>
  <si>
    <t>华为Mate 80 RS玄黑-20GB+512GB</t>
  </si>
  <si>
    <t>8f0ed90003b5c08</t>
  </si>
  <si>
    <t>华为Mate 80 RS玄黑-20GB+1TB</t>
  </si>
  <si>
    <t>华为Mate X7 典藏版寰宇红-16GB+512GB</t>
  </si>
  <si>
    <t>华为Mate X7 典藏版云锦白-16GB+1TB</t>
  </si>
  <si>
    <t>8f1c1af003ba15b</t>
  </si>
  <si>
    <t>华为 Mate X6曜石黑-12GB+256GB</t>
  </si>
  <si>
    <t>8f1abb0803b952d</t>
  </si>
  <si>
    <t>华为 Mate X6寰宇红-12GB+256GB</t>
  </si>
  <si>
    <t>8f1ab90803b91ce</t>
  </si>
  <si>
    <t>华为Mate 80 Pro云杉绿-16GB+512GB</t>
  </si>
  <si>
    <t>8f1abb0803b9538</t>
  </si>
  <si>
    <t>华为Mate 80 Pro晨曦金-16GB+512GB</t>
  </si>
  <si>
    <t>8f1abb0803b953d</t>
  </si>
  <si>
    <t>华为Mate 80 Pro雪域白-16GB+1TB</t>
  </si>
  <si>
    <t>8f1c1af003ba161</t>
  </si>
  <si>
    <t>华为Mate 80 Pro曜石黑-16GB+1TB</t>
  </si>
  <si>
    <t>华为 Mate XT 非凡大师瑞红-16GB+1TB</t>
  </si>
  <si>
    <t>华为 Mate XT 非凡大师玄黑-16GB+1TB</t>
  </si>
  <si>
    <t>8f1abb0803b951e</t>
  </si>
  <si>
    <t>华为 MatePad Pro 13.2英寸 2025款 柔光版
宣白-12GB+512GB-WiFi版</t>
  </si>
  <si>
    <t>8f1ddbb803ba427</t>
  </si>
  <si>
    <t>华为mate80pro-12+512-云杉绿</t>
  </si>
  <si>
    <t>8f1eef5003bb406</t>
  </si>
  <si>
    <t>华为mate80pro-16+1TB-云杉绿</t>
  </si>
  <si>
    <t>8f27b5c003bc4cb</t>
  </si>
  <si>
    <t>华为mate80pro-16+512-晨曦金</t>
  </si>
  <si>
    <t>8f27b5c803bc46b</t>
  </si>
  <si>
    <t>Hi畅享80S晴空蓝-8+256</t>
  </si>
  <si>
    <t>8f1f011803bb450</t>
  </si>
  <si>
    <t>8f1ddc1003ba445</t>
  </si>
  <si>
    <t>荣耀畅玩 60墨岩黑-8GB+256GB</t>
  </si>
  <si>
    <t>8f27b5c803bc4cc</t>
  </si>
  <si>
    <t>8f27b5c803bc4cb</t>
  </si>
  <si>
    <t>8f27b5c803bc46c</t>
  </si>
  <si>
    <t>8f28f97003bc83f</t>
  </si>
  <si>
    <t>8f27b5c803bc4ce</t>
  </si>
  <si>
    <t>8f33914803bd8a4</t>
  </si>
  <si>
    <t>8f1ddc1003ba40f</t>
  </si>
  <si>
    <t>8f28f96803bc98d</t>
  </si>
  <si>
    <t>Hi畅享80Pro星海蓝-12G+256G</t>
  </si>
  <si>
    <t>8f5b9c0803c4453</t>
  </si>
  <si>
    <t>Hi畅享80s 6+128 白</t>
  </si>
  <si>
    <t>8f5b9e2003c4915</t>
  </si>
  <si>
    <t>70x尊享 512 黑</t>
  </si>
  <si>
    <t>8f5b9e2003c4911</t>
  </si>
  <si>
    <t>8f5b9c0803c4455</t>
  </si>
  <si>
    <t>8f5b9e2003c490f</t>
  </si>
  <si>
    <t>hi畅享80s 6+128 黑</t>
  </si>
  <si>
    <t>8f5b9e2003c4910</t>
  </si>
  <si>
    <t>hi畅享80s 6+128 蓝</t>
  </si>
  <si>
    <t>8f5b9e2003c4914</t>
  </si>
  <si>
    <t>8f5b9e2003c4913</t>
  </si>
  <si>
    <t>70x尊享 512 蓝</t>
  </si>
  <si>
    <t>8f5b9c0803c4457</t>
  </si>
  <si>
    <t>8f39f5c803bdce4</t>
  </si>
  <si>
    <t>8f39f5c003bdcce</t>
  </si>
  <si>
    <t>8f39f5c003bdccc</t>
  </si>
  <si>
    <t>8f39f7e003be0bd</t>
  </si>
  <si>
    <t>8f4e3ed003c1c09</t>
  </si>
  <si>
    <t>荣耀X70竹韵青-8GB+128GB</t>
  </si>
  <si>
    <t>8f4daac003c18a6</t>
  </si>
  <si>
    <t>8f39f5c803bdd9b</t>
  </si>
  <si>
    <t>贾鑫7101</t>
  </si>
  <si>
    <t>26款苹果笔记本Neo13英寸-A18pro-8+512G靛蓝色(FG4)不换机</t>
  </si>
  <si>
    <t>8f39f7e803be133</t>
  </si>
  <si>
    <t>26款苹果笔记本Neo13英寸-A18pro-8+512G银(FC4)不换机</t>
  </si>
  <si>
    <t>8f39f5c803bdd9c</t>
  </si>
  <si>
    <t>26款苹果笔记本Neo13英寸-A18pro-8+256G银(FA4)不换机</t>
  </si>
  <si>
    <t>8f39f7e803be137</t>
  </si>
  <si>
    <t>26款苹果笔记本Ne013英寸-A18pro-8+256G靛蓝色(FF4)不换机</t>
  </si>
  <si>
    <t>8f39f5c803bdd09</t>
  </si>
  <si>
    <t>26款苹果笔记本Neo13英寸-A18pro-8+256G银(FA4)</t>
  </si>
  <si>
    <t>8f39f5c803bdd0b</t>
  </si>
  <si>
    <t>26款苹果笔记本Neo13英寸-A18pro-8+512G柑橘黄(FE4)</t>
  </si>
  <si>
    <t>8f1eef5003bb407</t>
  </si>
  <si>
    <t>华为mate80pro-16+512-云杉绿</t>
  </si>
  <si>
    <t>8f1eef5003bb403</t>
  </si>
  <si>
    <t>华为mate80proMax-16+512-极昼金</t>
  </si>
  <si>
    <t>8f27b5c003bc498</t>
  </si>
  <si>
    <t>华为nova15-256-5G-带感绿</t>
  </si>
  <si>
    <t>8f1eef5003bb404</t>
  </si>
  <si>
    <t>华为Pura80-12+256-5G丝绒绿</t>
  </si>
  <si>
    <t>华为Pura80pro-12+1TB-5G釉白</t>
  </si>
  <si>
    <t>8f27b5c003bc4c9</t>
  </si>
  <si>
    <t>华为Pura80pro-12+256-5G釉白</t>
  </si>
  <si>
    <t>8f23776803bbdf9</t>
  </si>
  <si>
    <t>华为Pura80pro-12+512-5G釉白</t>
  </si>
  <si>
    <t>8f23776803bbd64</t>
  </si>
  <si>
    <t>华为 MateBook 14 Linux V20原野绿-473*280*68-Ultra5 125H-1TB-16GB-集成显卡</t>
  </si>
  <si>
    <t>8f23776803bbd63</t>
  </si>
  <si>
    <t>华为 MateBook 14 Linux V20原野绿-473*280*68-Ultra5 125H-1TB-32GB-集成显卡</t>
  </si>
  <si>
    <t>8f23776803bbd5b</t>
  </si>
  <si>
    <t>华为 MateBook GT 14 Linux版皓月银-酷睿Ultra5 125H-32GB-1TB</t>
  </si>
  <si>
    <t>8f23776803bbd65</t>
  </si>
  <si>
    <t>8f1ddbb803ba410</t>
  </si>
  <si>
    <t>华为Mate70 Air曜金黑-12GB+256GB</t>
  </si>
  <si>
    <t>8f1eef4803bb5f9</t>
  </si>
  <si>
    <t>华为 Pura80 Ultra鎏光金-16GB+512GB</t>
  </si>
  <si>
    <t>8f1eef4803bb5f8</t>
  </si>
  <si>
    <t>华为Mate 80云杉绿-12GB+512GB</t>
  </si>
  <si>
    <t>8f27b5c003bc485</t>
  </si>
  <si>
    <t>华为Mate 80 RS槿紫-20GB+512GB</t>
  </si>
  <si>
    <t>8f1eef4803bb5fb</t>
  </si>
  <si>
    <t>8f1ddbb803ba412</t>
  </si>
  <si>
    <t>华为 Pura X月影灰（典藏版）-16GB+1TB</t>
  </si>
  <si>
    <t>8f1ddbb803ba413</t>
  </si>
  <si>
    <t>华为 Pura X月影灰-12GB+256GB</t>
  </si>
  <si>
    <t>8f27b5c003bc499</t>
  </si>
  <si>
    <t>华为 Mate 70 Pro风信紫-12GB+512GB</t>
  </si>
  <si>
    <t>8f1eef4803bb5fe</t>
  </si>
  <si>
    <t>8f23776803bbd6e</t>
  </si>
  <si>
    <t>8f1ddbb803ba414</t>
  </si>
  <si>
    <t>8f23776803bbdb4</t>
  </si>
  <si>
    <t>8f39f5e803bdd6a</t>
  </si>
  <si>
    <t>刘鑫洁2247</t>
  </si>
  <si>
    <t>VIVO iQOO Z10 TURBO+ 12+256云海白</t>
  </si>
  <si>
    <t>8f3cd63803bed93</t>
  </si>
  <si>
    <t>一加15-12+256G 原色沙丘</t>
  </si>
  <si>
    <t>8f43869803bf817</t>
  </si>
  <si>
    <t>一加15-12+256G 绝对黑</t>
  </si>
  <si>
    <t>8f4274b003bf54f</t>
  </si>
  <si>
    <t>OPPO K13Turbo pro 12+256 黑武士</t>
  </si>
  <si>
    <t>8f43869803bf80a</t>
  </si>
  <si>
    <t>8f4274b003bf55f</t>
  </si>
  <si>
    <t>一加ace 6T 12+256 电光紫</t>
  </si>
  <si>
    <t>8f3cd63803bed88</t>
  </si>
  <si>
    <t>OPPO K13Turbo 12+256 黑武士</t>
  </si>
  <si>
    <t>8f3cd63803bed87</t>
  </si>
  <si>
    <t>OPPO K13Turbo pro 16+256 骑士银</t>
  </si>
  <si>
    <t>8f3cd63803bed8e</t>
  </si>
  <si>
    <t>VIVO iQOO Z10 TURBO pro 16+512 云海白</t>
  </si>
  <si>
    <t>8f43869803bf809</t>
  </si>
  <si>
    <t>iQOO Neo11驰光白-16+512GB</t>
  </si>
  <si>
    <t>8f43869803bf803</t>
  </si>
  <si>
    <t>VIVO iQOO Z10 TURBO+ 12+256极地灰</t>
  </si>
  <si>
    <t>8f39f5e803bdd6d</t>
  </si>
  <si>
    <t>iQOO Neo11驰光白-12+512GB</t>
  </si>
  <si>
    <t>8f43869003bf9fb</t>
  </si>
  <si>
    <t>OPPO K13Turbo pro 12+256 初号紫</t>
  </si>
  <si>
    <t>8f3cd63803bed8b</t>
  </si>
  <si>
    <t>VIVO iQOO Z11 TURBO 16+256极夜黑</t>
  </si>
  <si>
    <t>8f39f5e803bdd74</t>
  </si>
  <si>
    <t>一加ace 6 12+256 竞黑</t>
  </si>
  <si>
    <t>8f39f5e803bdd6e</t>
  </si>
  <si>
    <t>iQOO Neo11疾影黑-16+512GB</t>
  </si>
  <si>
    <t>8f39f5e803bdd72</t>
  </si>
  <si>
    <t>8f39f5e803bdd71</t>
  </si>
  <si>
    <t>一加 Turbo 6独行黑-12GB+256GB</t>
  </si>
  <si>
    <t>8f39f5e803bdd53</t>
  </si>
  <si>
    <t>OPPO K13Turbo 12+256 初号紫</t>
  </si>
  <si>
    <t>8f43869003bf9fe</t>
  </si>
  <si>
    <t>OPPO K13Turbo 12+256 骑士白</t>
  </si>
  <si>
    <t>8f39f5e803bdd51</t>
  </si>
  <si>
    <t>OPPO K13Turbo pro 12+256 骑士银</t>
  </si>
  <si>
    <t>8f4274b003bf55b</t>
  </si>
  <si>
    <t>VIVO iQOO Neo11 12+512G像素方橙</t>
  </si>
  <si>
    <t>8f39f5e803bdd6b</t>
  </si>
  <si>
    <t>VIVO iQOO Z10 TURBO 12+256 云海白</t>
  </si>
  <si>
    <t>8f39f5e803bdd68</t>
  </si>
  <si>
    <t>VIVO iQOO Z11 TURBO 12+256沧浪浮光</t>
  </si>
  <si>
    <t>8f43869803bf808</t>
  </si>
  <si>
    <t>iQOO Neo11面对疾风-16+256GB</t>
  </si>
  <si>
    <t>8f3cd63803bed90</t>
  </si>
  <si>
    <t>一加 Ace 6T掠影绿-16GB+512GB</t>
  </si>
  <si>
    <t>8f43869803bf804</t>
  </si>
  <si>
    <t>VIVO iQOO Z10 TURBO+ 12+512极地灰</t>
  </si>
  <si>
    <t>8f3cd63803bed91</t>
  </si>
  <si>
    <t>一加ace 6 12+256 闪白</t>
  </si>
  <si>
    <t>8f39f5e803bdd73</t>
  </si>
  <si>
    <t>一加ace 6T 12+256 掠影绿</t>
  </si>
  <si>
    <t>8f4274b003bf55c</t>
  </si>
  <si>
    <t>iQOO 15传奇-12+256GB</t>
  </si>
  <si>
    <t>8f43869803bf807</t>
  </si>
  <si>
    <t>iQOO Neo11像素方橙-12+256GB</t>
  </si>
  <si>
    <t>8f43869803bf80b</t>
  </si>
  <si>
    <t>一加 Turbo 6追光银-12GB+256GB</t>
  </si>
  <si>
    <t>8f43869003bf9ff</t>
  </si>
  <si>
    <t>OPPO K13Turbo 12+512 黑武士</t>
  </si>
  <si>
    <t>8f3cd63803bed8d</t>
  </si>
  <si>
    <t>VIVO iQOO Z10 TURBO pro 12+256 星穹黑</t>
  </si>
  <si>
    <t>8f43869803bf806</t>
  </si>
  <si>
    <t>VIVO iQOO Z10 TURBO pro 12+256 云海白</t>
  </si>
  <si>
    <t>8f3cd63803bed8c</t>
  </si>
  <si>
    <t>VIVO iQOO Z10 TURBO+ 12+256沙漠色</t>
  </si>
  <si>
    <t>8f43869803bf805</t>
  </si>
  <si>
    <t>VIVO iQOO Z10 TURBO+ 16+512云海白</t>
  </si>
  <si>
    <t>8f4274b003bf556</t>
  </si>
  <si>
    <t>VIVO iQOO Z11 TURBO 12+256光晕粉</t>
  </si>
  <si>
    <t>8f4274b003bf557</t>
  </si>
  <si>
    <t>VIVO iQOO Z11 TURBO 12+512沧浪浮光</t>
  </si>
  <si>
    <t>8f39f5e803bdd69</t>
  </si>
  <si>
    <t>VIVO iQOO Z11 TURBO 16+256沧浪浮光</t>
  </si>
  <si>
    <t>8f43869803bf801</t>
  </si>
  <si>
    <t>VIVO iQOO Z11 Turbo 16+512沧浪浮光</t>
  </si>
  <si>
    <t>8f43869803bf802</t>
  </si>
  <si>
    <t>VIVO iQOO Z11 TURBO 16+512极夜黑</t>
  </si>
  <si>
    <t>8f4274b003bf558</t>
  </si>
  <si>
    <t>VIVO iQOO Z11 Turbo 16+512天光白</t>
  </si>
  <si>
    <t>8f39f5e803bdd75</t>
  </si>
  <si>
    <t>一加15-12+512G 原色沙丘</t>
  </si>
  <si>
    <t>8f43869803bf816</t>
  </si>
  <si>
    <t>一加ace 6 12+256 快银</t>
  </si>
  <si>
    <t>8f4274c003bf429</t>
  </si>
  <si>
    <t xml:space="preserve">闻世龙1000	
</t>
  </si>
  <si>
    <t>8f39f5f803bddba</t>
  </si>
  <si>
    <t>26款苹果笔记本Neo13英寸-A18pro-8+256G靛蓝色(FF4)</t>
  </si>
  <si>
    <t>8f39f5f803bddbc</t>
  </si>
  <si>
    <t>闻世龙1000</t>
  </si>
  <si>
    <t>8f39f77803bdc02</t>
  </si>
  <si>
    <t>刘汉文3571</t>
  </si>
  <si>
    <t>苹果 iPhone 16 Pro白色钛金属-128GB</t>
  </si>
  <si>
    <t>8f39f77803bdc05</t>
  </si>
  <si>
    <t>一加Ace6T 12+256 闪速黑</t>
  </si>
  <si>
    <t>8f4274b803bf47e</t>
  </si>
  <si>
    <t>8f4274b803bf47f</t>
  </si>
  <si>
    <t>8f4274b803bf480</t>
  </si>
  <si>
    <t>8f3cd64003bed4f</t>
  </si>
  <si>
    <t>一加Ace6 16+256 白</t>
  </si>
  <si>
    <t>8f39f76803bdc0e</t>
  </si>
  <si>
    <t>vivo</t>
  </si>
  <si>
    <t>VIVO S50 12+256 白</t>
  </si>
  <si>
    <t>8f3cd64003bed2b</t>
  </si>
  <si>
    <t>OPPO K13 Turbo初号紫-12GB+256GB</t>
  </si>
  <si>
    <t>8f39f71803bdc00</t>
  </si>
  <si>
    <t>OPPO K13x钻白-8GB+256GB</t>
  </si>
  <si>
    <t>8f3cd64003bed1c</t>
  </si>
  <si>
    <t>8f4386a003bf9a9</t>
  </si>
  <si>
    <t>一加 15原色沙丘-12GB+256GB</t>
  </si>
  <si>
    <t>8f3cd64003bed19</t>
  </si>
  <si>
    <t>IQOO 15 16+512 赛道版</t>
  </si>
  <si>
    <t>8f3cd64003bed3e</t>
  </si>
  <si>
    <t>IQOO Z10 Turbo+ 12+256 云海白</t>
  </si>
  <si>
    <t>8f39f8f803bdc01</t>
  </si>
  <si>
    <t>IQOO Z11 Turbo 12+256 白</t>
  </si>
  <si>
    <t>8f3cd64003bed74</t>
  </si>
  <si>
    <t>IQOO 15 16+512 凌云</t>
  </si>
  <si>
    <t>8f39f6e803bdc01</t>
  </si>
  <si>
    <t>IQOO Z11 Turbo 16+256 黑</t>
  </si>
  <si>
    <t>8f39f79803bdc00</t>
  </si>
  <si>
    <t>一加Ace5 12+256 引力钛</t>
  </si>
  <si>
    <t>8f4274c003bf46c</t>
  </si>
  <si>
    <t>IQOO 15 12+256 凌云</t>
  </si>
  <si>
    <t>8f4274c003bf4a6</t>
  </si>
  <si>
    <t>一加Ace6 12+256 闪白</t>
  </si>
  <si>
    <t>8f4386a003bf981</t>
  </si>
  <si>
    <t>IQOO Z11 Turbo 12+512 沧浪浮光</t>
  </si>
  <si>
    <t>8f4386a003bf984</t>
  </si>
  <si>
    <t>OPPO K13 Turbo黑武士-12GB+256GB</t>
  </si>
  <si>
    <t>8f39f72003bdc03</t>
  </si>
  <si>
    <t>OPPO Reno15星光蝴蝶结-12GB+512GB</t>
  </si>
  <si>
    <t>8f39f72003bdc06</t>
  </si>
  <si>
    <t>8f39f72003bdc05</t>
  </si>
  <si>
    <t>8f3cd64003bed49</t>
  </si>
  <si>
    <t>一加Ace5 12+256 全速黑</t>
  </si>
  <si>
    <t>8f3cd64003bed4a</t>
  </si>
  <si>
    <t>一加Ace6 12+512 竟黑</t>
  </si>
  <si>
    <t>8f3cd64003bed45</t>
  </si>
  <si>
    <t>一加Turbo6 12+256 青</t>
  </si>
  <si>
    <t>8f4386a003bf990</t>
  </si>
  <si>
    <t>IQOO 15 12+256 传奇版</t>
  </si>
  <si>
    <t>8f3cd64003bed16</t>
  </si>
  <si>
    <t>IQOO 15 16+256 凌云</t>
  </si>
  <si>
    <t>8f4386a003bf976</t>
  </si>
  <si>
    <t>IQOO 15 16+512 传奇版</t>
  </si>
  <si>
    <t>8f4274c003bf46f</t>
  </si>
  <si>
    <t>IQOO Neo11 12+512 像素方橙</t>
  </si>
  <si>
    <t>8f3cd64003bed3f</t>
  </si>
  <si>
    <t>iQOO Z10 Turbo云海白-12GB+256GB-5G全网通</t>
  </si>
  <si>
    <t>8f3cd64003bed3d</t>
  </si>
  <si>
    <t>iQOO Z10 Turbo Pro星穹黑-12GB+256GB-5G全网通</t>
  </si>
  <si>
    <t>8f3cd64003bed22</t>
  </si>
  <si>
    <t>IQOO Z11 Turbo 12+512 黑</t>
  </si>
  <si>
    <t>8f4274c003bf498</t>
  </si>
  <si>
    <t>VIVO S30 16+512 桃桃粉</t>
  </si>
  <si>
    <t>8f4274c003bf49b</t>
  </si>
  <si>
    <t>VIVO S50 12+512 告白</t>
  </si>
  <si>
    <t>8f4274c003bf465</t>
  </si>
  <si>
    <t>OPPO K13 Turbo骑士白-12GB+256GB</t>
  </si>
  <si>
    <t>8f39f72003bdc04</t>
  </si>
  <si>
    <t>OPPO Reno15可露丽棕-12GB+512GB</t>
  </si>
  <si>
    <t>8f3cd64003bed47</t>
  </si>
  <si>
    <t>一加 15原色沙丘-16GB+512GB</t>
  </si>
  <si>
    <t>8f39f79803bdc02</t>
  </si>
  <si>
    <t>一加Ace6T 12+256 掠影绿</t>
  </si>
  <si>
    <t>8f4274c003bf470</t>
  </si>
  <si>
    <t>IQOO Neo11 16+256 面对疾风</t>
  </si>
  <si>
    <t>8f3cd64003bed38</t>
  </si>
  <si>
    <t>8f4274c003bf461</t>
  </si>
  <si>
    <t>IQOO Z11 Turbo 12+256 沧浪浮光</t>
  </si>
  <si>
    <t>8f3cd64003bed20</t>
  </si>
  <si>
    <t>IQOO Z11 Turbo 12+256 黑</t>
  </si>
  <si>
    <t>8f4386a003bf99a</t>
  </si>
  <si>
    <t>VIVO S50 12+256 蓝</t>
  </si>
  <si>
    <t>8f4386a003bf987</t>
  </si>
  <si>
    <t>OPPO K13 Turbo黑武士-16GB+256GB</t>
  </si>
  <si>
    <t>8f39f6f803bdc00</t>
  </si>
  <si>
    <t>OPPO K13 Turbo Pro初号紫-12GB+256GB</t>
  </si>
  <si>
    <t>8f4386a003bf989</t>
  </si>
  <si>
    <t>OPPO K13 Turbo Pro骑士银-12GB+256GB</t>
  </si>
  <si>
    <t>8f4386a003bf986</t>
  </si>
  <si>
    <t>OPPO K13 Turbo Pro黑武士-16GB+512GB</t>
  </si>
  <si>
    <t>8f4274c003bf469</t>
  </si>
  <si>
    <t>OPPO K13x矅黑-8GB+256GB</t>
  </si>
  <si>
    <t>8f3cd64003bed2f</t>
  </si>
  <si>
    <t>OPPO Reno15星光蝴蝶结-12GB+256GB</t>
  </si>
  <si>
    <t>8f39f72003bdc02</t>
  </si>
  <si>
    <t>OPPO Reno15极光蓝-12GB+512GB</t>
  </si>
  <si>
    <t>8f4386a003bf9a7</t>
  </si>
  <si>
    <t>一加 15绝对黑-12GB+256GB</t>
  </si>
  <si>
    <t>8f3cd64003bed4c</t>
  </si>
  <si>
    <t>一加Ace5至尊版 12+256 燃力钛</t>
  </si>
  <si>
    <t>8f3cd64003bed4d</t>
  </si>
  <si>
    <t>一加Ace6 12+256 快银</t>
  </si>
  <si>
    <t>8f3cd64003bed4e</t>
  </si>
  <si>
    <t>一加Ace6 12+512 白</t>
  </si>
  <si>
    <t>8f3cd64003bed4b</t>
  </si>
  <si>
    <t>一加Ace6 16+256 黑</t>
  </si>
  <si>
    <t>8f4274c003bf49e</t>
  </si>
  <si>
    <t>一加Ace6 16+512 黑</t>
  </si>
  <si>
    <t>8f4274c003bf4a7</t>
  </si>
  <si>
    <t>一加Ace6T 12+256 电光紫</t>
  </si>
  <si>
    <t>8f39f77803bdc08</t>
  </si>
  <si>
    <t>一加Turbo6 12+256 独行黑</t>
  </si>
  <si>
    <t>8f39f84003bdc01</t>
  </si>
  <si>
    <t>一加Turbo6 12+256 银</t>
  </si>
  <si>
    <t>8f39f6d803bdc04</t>
  </si>
  <si>
    <t>iQOO Neo11驰光白-12+256GB</t>
  </si>
  <si>
    <t>8f4274c003bf46d</t>
  </si>
  <si>
    <t>iQOO Neo11面对疾风-12+256GB</t>
  </si>
  <si>
    <t>8f4274c003bf460</t>
  </si>
  <si>
    <t>8f39f6e803bdc00</t>
  </si>
  <si>
    <t>IQOO Neo11 16+512 驰光白</t>
  </si>
  <si>
    <t>8f4386a003bf995</t>
  </si>
  <si>
    <t>iQOO Z10 Turbo Pro云海白-12GB+256GB-5G全网通</t>
  </si>
  <si>
    <t>8f4274c003bf479</t>
  </si>
  <si>
    <t>IQOO Z10 Turbo+ 12+256 极地灰</t>
  </si>
  <si>
    <t>8f4274c003bf464</t>
  </si>
  <si>
    <t>IQOO Z11 Turbo 16+512 天光白</t>
  </si>
  <si>
    <t>8f4274c003bf49a</t>
  </si>
  <si>
    <t>VIVO S50 12+256 黑</t>
  </si>
  <si>
    <t>8f3cd64003bed41</t>
  </si>
  <si>
    <t>VIVO S50 12+512 黑</t>
  </si>
  <si>
    <t>8f4274c003bf49c</t>
  </si>
  <si>
    <t>VIVO S50 12+512 灵感紫</t>
  </si>
  <si>
    <t>8f4386a003bf99b</t>
  </si>
  <si>
    <t>VIVO S50 12+512 悠蓝</t>
  </si>
  <si>
    <t>8f39f76803bdc13</t>
  </si>
  <si>
    <t>VIVO X200S 12+256 直白</t>
  </si>
  <si>
    <t>8f4386a003bf99c</t>
  </si>
  <si>
    <t>VIVO X300 12+256 黑</t>
  </si>
  <si>
    <t>8f4386a003bf988</t>
  </si>
  <si>
    <t>OPPO K13 Turbo骑士白-16GB+256GB</t>
  </si>
  <si>
    <t>8f39f7e803be030</t>
  </si>
  <si>
    <t>李冰6596</t>
  </si>
  <si>
    <t>8f39f5c803bdcce</t>
  </si>
  <si>
    <t>8f4274c003bf4a1</t>
  </si>
  <si>
    <t>8f4386a003bf9a5</t>
  </si>
  <si>
    <t>8f4386a003bf9a2</t>
  </si>
  <si>
    <t>8f4274c003bf4a0</t>
  </si>
  <si>
    <t>8f39f7e803be138</t>
  </si>
  <si>
    <t>26款苹果笔记本Ne013英寸-A18pro-8+512G柑橘黄(FE4)不换机</t>
  </si>
  <si>
    <t>8f39f77803bdc04</t>
  </si>
  <si>
    <t>8f4274c003bf49f</t>
  </si>
  <si>
    <t>26款苹果笔记本Ne013英寸-A18pro-8+256G柑橘黄(FD4)不换机</t>
  </si>
  <si>
    <t>8f39f7e803be139</t>
  </si>
  <si>
    <t>8f39f5c803bdda8</t>
  </si>
  <si>
    <t>26款苹果笔记本Ne013英寸-A18pro-8+512G桃粉色(FJ4)不换机</t>
  </si>
  <si>
    <t>8f48028803c00d2</t>
  </si>
  <si>
    <t>王裕良0049</t>
  </si>
  <si>
    <t>8f4e3ec003c1c05</t>
  </si>
  <si>
    <t>8f48fa9803c107a</t>
  </si>
  <si>
    <t>iQOO Z11 Turbo极夜黑-12+256GB</t>
  </si>
  <si>
    <t>8f48fa9803c1079</t>
  </si>
  <si>
    <t>iQOO Z11 Turbo沧浪浮光-12+256GB</t>
  </si>
  <si>
    <t>8f4e3ec003c1c19</t>
  </si>
  <si>
    <t>iQOO Z11 Turbo天光白-12+256GB</t>
  </si>
  <si>
    <t>8f4e3ec003c1c18</t>
  </si>
  <si>
    <t>iQOO Z11 Turbo光晕粉-12+256GB</t>
  </si>
  <si>
    <t>8f4e3ec003c1c0f</t>
  </si>
  <si>
    <t>iQOO Z10 Turbo Pro燃-16GB+256GB-5G全网通</t>
  </si>
  <si>
    <t>8f48fa9803c1078</t>
  </si>
  <si>
    <t>iQOO Z10 Turbo Pro云海白-16GB+512GB-5G全网通</t>
  </si>
  <si>
    <t>8f4daab803c18ce</t>
  </si>
  <si>
    <t>iQOO Z10 Turbo Pro云海白-16GB+256GB-5G全网通</t>
  </si>
  <si>
    <t>8f4daab803c18cb</t>
  </si>
  <si>
    <t>iQOO Z10 Turbo Pro星穹黑-16GB+256GB-5G全网通</t>
  </si>
  <si>
    <t>8f3cd64003bed96</t>
  </si>
  <si>
    <t>华为手机 nova 14 Pro MIA-AL00 512G 羽砂黑</t>
  </si>
  <si>
    <t>8f39f94803bdc0c</t>
  </si>
  <si>
    <t>华为手机 nova 14 TLR-AL00 512G 冰晶蓝</t>
  </si>
  <si>
    <t>8f3cd64003bed8f</t>
  </si>
  <si>
    <t>华为手机 nova 14 Ultra MRT-AL10 1T 浮光白</t>
  </si>
  <si>
    <t>8f3cd64003bed91</t>
  </si>
  <si>
    <t>华为手机 nova 14 Ultra MRT-AL10 256G 流光紫</t>
  </si>
  <si>
    <t>8f39f94803bdc08</t>
  </si>
  <si>
    <t>华为手机 nova 14 Ultra MRT-AL10 512G 浮光金</t>
  </si>
  <si>
    <t>8f5ba19003c4803</t>
  </si>
  <si>
    <t>华为手机Mate70 Air SUP-AL90 12+256G 金丝银锦</t>
  </si>
  <si>
    <t>8f3cd64003bed95</t>
  </si>
  <si>
    <t>华为手机 nova 14 Pro MIA-AL00 256G 冰晶粉</t>
  </si>
  <si>
    <t>8f39f94803bdc07</t>
  </si>
  <si>
    <t>华为手机 nova 14 Ultra MRT-AL10 512G 浮光白</t>
  </si>
  <si>
    <t>8f4731d003bfc20</t>
  </si>
  <si>
    <t>华为手机 nova 14 Ultra MRT-AL10 1T 流光紫</t>
  </si>
  <si>
    <t>8f3cd64003bed97</t>
  </si>
  <si>
    <t>华为手机 nova 14 Pro MIA-AL00 512G 冰晶粉（昆仑玻璃）</t>
  </si>
  <si>
    <t>8f4731d003bfc23</t>
  </si>
  <si>
    <t>华为手机 nova 14 Pro MIA-AL00 512G 凝霜白</t>
  </si>
  <si>
    <t>8f4731d003bfc21</t>
  </si>
  <si>
    <t>华为手机 nova 14 Ultra MRT-AL10 512G 流光紫</t>
  </si>
  <si>
    <t>8f4274c003bf4ce</t>
  </si>
  <si>
    <t>华为手机 nova 14 Pro MIA-AL00 512G 冰晶蓝</t>
  </si>
  <si>
    <t>8f3cd64003bed99</t>
  </si>
  <si>
    <t>华为手机 nova 14 TLR-AL00 512G 羽砂黑（昆仑玻璃）</t>
  </si>
  <si>
    <t>8f4274c003bf4cc</t>
  </si>
  <si>
    <t>华为手机 nova 14 Pro MIA-AL00 256G 冰晶蓝</t>
  </si>
  <si>
    <t>8f4274c003bf4cb</t>
  </si>
  <si>
    <t>华为手机 nova 14 Pro MIA-AL00 256G 羽砂黑</t>
  </si>
  <si>
    <t>8f3cd64003bed90</t>
  </si>
  <si>
    <t>华为手机 nova 14 Ultra MRT-AL10 256G 浮光白</t>
  </si>
  <si>
    <t>8f3cd64003bed93</t>
  </si>
  <si>
    <t>华为手机 nova 14 Ultra MRT-AL10 512G 曜金黑</t>
  </si>
  <si>
    <t>8f4731d003bfc24</t>
  </si>
  <si>
    <t>华为手机 nova 14 TLR-AL00 512G 凝霜白</t>
  </si>
  <si>
    <t>8f39f94803bdc06</t>
  </si>
  <si>
    <t>华为手机 nova 14 Ultra MRT-AL10 1T 浮光金</t>
  </si>
  <si>
    <t>8f4274c003bf4ca</t>
  </si>
  <si>
    <t>华为手机 nova 14 Ultra MRT-AL10 256G 浮光金</t>
  </si>
  <si>
    <t>8f3cd64003bed92</t>
  </si>
  <si>
    <t>华为手机 nova 14 Ultra MRT-AL10 256G 曜金黑</t>
  </si>
  <si>
    <t>8f0f1e2003b6979</t>
  </si>
  <si>
    <t>荣耀X70竹韵青-12GB+256GB</t>
  </si>
  <si>
    <t>8f48029003c0062</t>
  </si>
  <si>
    <t>荣耀X70月影白-8GB+128GB</t>
  </si>
  <si>
    <t>8f48029003c0064</t>
  </si>
  <si>
    <t>8f48faa003c10ce</t>
  </si>
  <si>
    <t>8f4e3ed003c1c0b</t>
  </si>
  <si>
    <t>8f5291a803c2412</t>
  </si>
  <si>
    <t>8f48faa803c1039</t>
  </si>
  <si>
    <t xml:space="preserve">华为 Mate 70 Air曜金黑 12GB+512GB
</t>
  </si>
  <si>
    <t>8f4e3ed003c1ddd</t>
  </si>
  <si>
    <t>8f48faa803c104c</t>
  </si>
  <si>
    <t>8f48faa803c104d</t>
  </si>
  <si>
    <t>8f4e3ed003c1de7</t>
  </si>
  <si>
    <t xml:space="preserve">华为 Mate 80 Pro（SGT-AL00/SGT-AL50）曜石黑 16GB+512GB 标准版
</t>
  </si>
  <si>
    <t>8f4daac803c1893</t>
  </si>
  <si>
    <t xml:space="preserve">华为 WATCH 5 智能手表苍穹黑 氟橡胶表带 不锈钢 46毫米 [RTS-AL00]
</t>
  </si>
  <si>
    <t>8f48faa803c104f</t>
  </si>
  <si>
    <t xml:space="preserve">华为 WATCH GT 6 智能手表雅丹黑 氟橡胶表带 46mm [ATM-B19]
</t>
  </si>
  <si>
    <t>8f4e3ed003c1de9</t>
  </si>
  <si>
    <t xml:space="preserve">华为 WATCH GT 6 智能手表流光紫 氟橡胶表带 41mm [KSU-B19]
</t>
  </si>
  <si>
    <t>8f4daac803c1894</t>
  </si>
  <si>
    <t xml:space="preserve">华为智选 Hi 畅享80 Pro（SHR-AN00）全网通5G版星空黑 12GB+256GB
</t>
  </si>
  <si>
    <t>8f53adb803c34a5</t>
  </si>
  <si>
    <t>8f53adb803c34a4</t>
  </si>
  <si>
    <t>26款13寸NEO(A18PRO6+5)8+512G柑橘黄(FE4)</t>
  </si>
  <si>
    <t>8f58cc9803c407c</t>
  </si>
  <si>
    <t>8f585b8003c3d3c</t>
  </si>
  <si>
    <t>8f5291a803c2411</t>
  </si>
  <si>
    <t>8f585b8003c3d3a</t>
  </si>
  <si>
    <t>8f53adb003c35b7</t>
  </si>
  <si>
    <t>8f5b9e2003c4974</t>
  </si>
  <si>
    <t>vivoS30桃桃粉-12+512GB</t>
  </si>
  <si>
    <t>8f28f97003bc83e</t>
  </si>
  <si>
    <t>荣耀畅玩 60玉龙雪-8GB+256GB</t>
  </si>
  <si>
    <t>8f1ddc1003ba410</t>
  </si>
  <si>
    <t>荣耀畅玩 60晓山青-8GB+256GB</t>
  </si>
  <si>
    <t>8f08116803b402e</t>
  </si>
  <si>
    <t>荣耀X70月影白-12GB+512GB</t>
  </si>
  <si>
    <t>8f0493a003b3d6c</t>
  </si>
  <si>
    <t>荣耀X70朱砂红-12GB+512GB</t>
  </si>
  <si>
    <t>8f08116803b402d</t>
  </si>
  <si>
    <t>8f5b9c0803c4454</t>
  </si>
  <si>
    <t>华为畅享 70X 活力版雪域白-8GB+256GB</t>
  </si>
  <si>
    <t>8f5b9c0803c4456</t>
  </si>
  <si>
    <t>8f5b9c0803c4458</t>
  </si>
  <si>
    <t>Hi畅享80曜石黑-8G+256G</t>
  </si>
  <si>
    <t>8f5b9e2003c490e</t>
  </si>
  <si>
    <t>hi畅享80s 8+256 白</t>
  </si>
  <si>
    <t>8f5b9e2003c4916</t>
  </si>
  <si>
    <t>8f5b9c0803c4459</t>
  </si>
  <si>
    <t>8f5b9c0803c4452</t>
  </si>
  <si>
    <t>8f5b9e2003c4912</t>
  </si>
  <si>
    <t>8f5b9e2003c4917</t>
  </si>
  <si>
    <t>hi 畅享80 8+256 金</t>
  </si>
  <si>
    <t>8f5b9e2003c490c</t>
  </si>
  <si>
    <t>8f5b9c0803c44a4</t>
  </si>
  <si>
    <t>vivoS30薄荷青-12+512GB</t>
  </si>
  <si>
    <t>8f5c79f003c581d</t>
  </si>
  <si>
    <t>8f5c79f003c581b</t>
  </si>
  <si>
    <t>8f5b9c0803c44a2</t>
  </si>
  <si>
    <t>8f5b9e2003c4972</t>
  </si>
  <si>
    <t>8f5b9c0803c449f</t>
  </si>
  <si>
    <t>8f5b9e2003c4970</t>
  </si>
  <si>
    <t>8f5b9c0803c44a0</t>
  </si>
  <si>
    <t>8f5b9c0803c44a1</t>
  </si>
  <si>
    <t>8f39f94803bdc10</t>
  </si>
  <si>
    <t>华为手机Mate70 Air SUP-AL90 12+512G 金丝银锦</t>
  </si>
  <si>
    <t>8f4274c003bf4d2</t>
  </si>
  <si>
    <t>华为手机Mate70 Air SUP-AL90 12+512G 曜金黑</t>
  </si>
  <si>
    <t>8f39f94803bdc0d</t>
  </si>
  <si>
    <t>华为手机 nova 14 活力版 TYR-AL00 12+512G 凝霜白</t>
  </si>
  <si>
    <t>8f39f94803bdc0e</t>
  </si>
  <si>
    <t>华为手机Mate70 Air SUP-AL90 12+256G 曜金黑</t>
  </si>
  <si>
    <t>8f3cd64003bed98</t>
  </si>
  <si>
    <t>华为手机 nova 14 TLR-AL00 512G 羽砂黑</t>
  </si>
  <si>
    <t>8f39f94803bdc0a</t>
  </si>
  <si>
    <t>华为手机 nova 14 Pro MIA-AL00 256G 凝霜白</t>
  </si>
  <si>
    <t>8f4731d003bfc25</t>
  </si>
  <si>
    <t>华为手机 nova 14 活力版 TYR-AL00 12+256G 冰晶蓝</t>
  </si>
  <si>
    <t>8f4274c003bf4d1</t>
  </si>
  <si>
    <t>华为手机 nova 14 活力版 TYR-AL00 12+512G 羽砂黑</t>
  </si>
  <si>
    <t>8f5ba5b003c4482</t>
  </si>
  <si>
    <t>Hi 畅享80 Plus SNP-AN00 12+256G 幻夜黑</t>
  </si>
  <si>
    <t>8f5ba5b003c4481</t>
  </si>
  <si>
    <t>Hi 畅享80 Plus SNP-AN00 12+256G 雅川青</t>
  </si>
  <si>
    <t>8f60d61003c6069</t>
  </si>
  <si>
    <t>Hi 畅享80 Plus SNP-AN00 12+256G 珍珠白</t>
  </si>
  <si>
    <t>8f39f94803bdc0b</t>
  </si>
  <si>
    <t>华为手机 nova 14 Pro MIA-AL00 512G 冰晶蓝（昆仑玻璃）</t>
  </si>
  <si>
    <t>8f4274c003bf4cd</t>
  </si>
  <si>
    <t>华为手机 nova 14 Pro MIA-AL00 512G 凝霜白（昆仑玻璃）</t>
  </si>
  <si>
    <t>8f4731d003bfc22</t>
  </si>
  <si>
    <t>华为手机 nova 14 Pro MIA-AL00 512G 羽砂黑（昆仑玻璃）</t>
  </si>
  <si>
    <t>8f39f94803bdc11</t>
  </si>
  <si>
    <t>华为手机畅享70X 尊享版 BRE-AL80a 8+256G 流沙金</t>
  </si>
  <si>
    <t>8f4274c003bf4d3</t>
  </si>
  <si>
    <t>华为手机畅享70X 尊享版 BRE-AL80a 8+256G 曜金黑</t>
  </si>
  <si>
    <t>8f5ba7d003c4843</t>
  </si>
  <si>
    <t>8f5ba66803c4435</t>
  </si>
  <si>
    <t>8f5ba7d003c4841</t>
  </si>
  <si>
    <t>8f64a35003c6403</t>
  </si>
  <si>
    <t>26款13寸AIR M5 10+8 16+512GB星光色（HA4）</t>
  </si>
  <si>
    <t>8fa6d8f803cd82c</t>
  </si>
  <si>
    <t>联想</t>
  </si>
  <si>
    <t>联想能者S130(N15016GTWIF太灰)</t>
  </si>
  <si>
    <t>8fa6d8f803cd82b</t>
  </si>
  <si>
    <t>联想异能者X14H(R5-7535U16G+1T14.1寸灰色)</t>
  </si>
  <si>
    <t>8fa6d8f803cd82a</t>
  </si>
  <si>
    <t>宏碁笔记本S14-33-CGU1(N10016G+512G)</t>
  </si>
  <si>
    <t>8f6fd7d803c8442</t>
  </si>
  <si>
    <t>米家电子厨房称黑色</t>
  </si>
  <si>
    <t>8f6fd7d803c8440</t>
  </si>
  <si>
    <t>8fa32d1803cc832</t>
  </si>
  <si>
    <t>陈超文6101</t>
  </si>
  <si>
    <t>8fa32ae803cc5c6</t>
  </si>
  <si>
    <t>8fa32ae803cc5c4</t>
  </si>
  <si>
    <t>8fa32ae803cc5c5</t>
  </si>
  <si>
    <t>8fada34803cf496</t>
  </si>
  <si>
    <t>8fada52803cf933</t>
  </si>
  <si>
    <t>8fada11803cf18c-3021</t>
  </si>
  <si>
    <t>8fada11803cf18c-486</t>
  </si>
  <si>
    <t>8fada34803cf49a</t>
  </si>
  <si>
    <t>8fada34803cf498</t>
  </si>
  <si>
    <t>8fada12003cf05d</t>
  </si>
  <si>
    <t>8fada12003cf05c</t>
  </si>
  <si>
    <t>8fada34803cf55b</t>
  </si>
  <si>
    <t>8fada12003cf05f</t>
  </si>
  <si>
    <t>Hi畅享80Pro晨光白-8G+256G</t>
  </si>
  <si>
    <t>8fada53003cf80b</t>
  </si>
  <si>
    <t>Hi畅享80Pro星空黑-8G+256G</t>
  </si>
  <si>
    <t>8fada34803cf55e</t>
  </si>
  <si>
    <t>Hi畅享80Pro星海蓝-8G+256G</t>
  </si>
  <si>
    <t>8fb7db4803d400c</t>
  </si>
  <si>
    <t>罗恒1858</t>
  </si>
  <si>
    <t>8fb79fd803d3591</t>
  </si>
  <si>
    <t>小米智能摄像机 CW500单摄版</t>
  </si>
  <si>
    <t>8fb7a21003d38d2</t>
  </si>
  <si>
    <t>8fb79fd803d3593</t>
  </si>
  <si>
    <t>8fb7db4803d4087</t>
  </si>
  <si>
    <t>8fb7a21003d38b2</t>
  </si>
  <si>
    <t>华为 MateBook GT 14 Linux版深空灰-酷睿Ultra5 125H-32GB-1TB</t>
  </si>
  <si>
    <t>8fb79fd803d3511</t>
  </si>
  <si>
    <t>8fb84f3003d45a0</t>
  </si>
  <si>
    <t>华为 MateBook 14 2024 Linux版原野绿-Ultra 5 125H-1TB-16GB</t>
  </si>
  <si>
    <t>8fd14ce803d787b</t>
  </si>
  <si>
    <t>8fd23bd803d8016</t>
  </si>
  <si>
    <t>8fd14ce803d787c</t>
  </si>
  <si>
    <t>8fd64d6003d8505</t>
  </si>
  <si>
    <t>8fd14ae803d7454</t>
  </si>
  <si>
    <t>Redmi Turbo 5 MAX祥云白-12G+256GB</t>
  </si>
  <si>
    <t>8fd14ae803d7455</t>
  </si>
  <si>
    <t>Redmi Turbo 5 MAX暗影黑-12G+256GB</t>
  </si>
  <si>
    <t>8fd23c0803d8007</t>
  </si>
  <si>
    <t>8fd150b003d785b</t>
  </si>
  <si>
    <t>8fd8de7803d8996</t>
  </si>
  <si>
    <t>8fd23c0803d8009</t>
  </si>
  <si>
    <t>8fd23c0803d800b</t>
  </si>
  <si>
    <t>8fd14be803d7403</t>
  </si>
  <si>
    <t>8fd8de7803d899f</t>
  </si>
  <si>
    <t>8fd23c0803d800a</t>
  </si>
  <si>
    <t>8fd2516003d803f</t>
  </si>
  <si>
    <t>8fe0b7a803d9c71</t>
  </si>
  <si>
    <t>8fd2516003d803c</t>
  </si>
  <si>
    <t>8fd2516003d803d</t>
  </si>
  <si>
    <t>26款苹果笔记本Ne013英寸-A18pro-8+256G柑橘黄(FD4)</t>
  </si>
  <si>
    <t>8ff88ff803ddc4b</t>
  </si>
  <si>
    <t>OPPO A6s海贝白-8GB+256GB</t>
  </si>
  <si>
    <t>8fd198e803d740d</t>
  </si>
  <si>
    <t>8fd1bd5803d7819</t>
  </si>
  <si>
    <t>8fd198e803d740e</t>
  </si>
  <si>
    <t>8fedf62803db124</t>
  </si>
  <si>
    <t>8fd1bf0803d741b</t>
  </si>
  <si>
    <t>华为 WATCH FIT 3 月光白</t>
  </si>
  <si>
    <t>8fd1bf0803d741d</t>
  </si>
  <si>
    <t>华为 WATCH FIT 3 幻夜黑</t>
  </si>
  <si>
    <t>8ff7589003dd9f5</t>
  </si>
  <si>
    <t>韩永强1905</t>
  </si>
  <si>
    <t>荣耀畅玩系列-荣耀X70-12+512G竹韵青</t>
  </si>
  <si>
    <t>8ff752d003dcdb4</t>
  </si>
  <si>
    <t>荣耀畅玩系列-荣耀X70-12+256G竹韵青</t>
  </si>
  <si>
    <t>8ff7589003dd9f2</t>
  </si>
  <si>
    <t>荣耀畅玩系列-畅玩70plus-12+512G幻夜黑</t>
  </si>
  <si>
    <t>8ff752d803dcc90</t>
  </si>
  <si>
    <t>OPPO 手表-OPPO Watch X3-寰宇星橙</t>
  </si>
  <si>
    <t>8ff7589003dd9f6</t>
  </si>
  <si>
    <t>vivo平板-vivo Pad5 Pro-16+512G寒星灰</t>
  </si>
  <si>
    <t>8ff752d003dcdb6</t>
  </si>
  <si>
    <t>vivo平板-vivo Pad5 Pro-16+512G春潮蓝</t>
  </si>
  <si>
    <t>8ff752d003dcdb5</t>
  </si>
  <si>
    <t>华为Nova系列-nova15-512G好搭紫</t>
  </si>
  <si>
    <t>8ff752d003dcdb3</t>
  </si>
  <si>
    <t>华为Nova系列-nova15-512G带感绿</t>
  </si>
  <si>
    <t>8ff752d003dcdb0</t>
  </si>
  <si>
    <t>华为Nova系列-nova15-256G零度白</t>
  </si>
  <si>
    <t>8ff7589003dd9e7</t>
  </si>
  <si>
    <t>华为Nova系列-nova15-256G幻夜黑</t>
  </si>
  <si>
    <t>8ff752d003dcdae</t>
  </si>
  <si>
    <t>华为Nova系列-nova15-256G好搭紫</t>
  </si>
  <si>
    <t>8ff752e803dcc46</t>
  </si>
  <si>
    <t>华为Nova系列-nova15-256G带感绿</t>
  </si>
  <si>
    <t>8ff7589003dd9e6</t>
  </si>
  <si>
    <t>VIVO Y 系列-Y500i-8+256G曜石黑</t>
  </si>
  <si>
    <t>8ff7589003dd9e3</t>
  </si>
  <si>
    <t>VIVO IQOO系列-iQOO Z10 Turbo Pro-16+256G星穹黑</t>
  </si>
  <si>
    <t>8ff752d003dcdb1</t>
  </si>
  <si>
    <t>OPPO Find系列-Find N6-16+512G深黑</t>
  </si>
  <si>
    <t>8ff752d003dcdaa</t>
  </si>
  <si>
    <t>OPPO A系列-A6k-8+512G暮光蓝</t>
  </si>
  <si>
    <t>8ff752d003dcdb2</t>
  </si>
  <si>
    <t>荣耀畅玩系列-畅玩70plus-12+256G幻夜黑</t>
  </si>
  <si>
    <t>8ff7589003dd9e2</t>
  </si>
  <si>
    <t>荣耀HONOR系列-荣耀Power2-12+256G旭日橙</t>
  </si>
  <si>
    <t>8ff752d003dcdad</t>
  </si>
  <si>
    <t>华为畅享系列-畅享70X尊享版-256G曜金黑</t>
  </si>
  <si>
    <t>8ff752d003dcdab</t>
  </si>
  <si>
    <t>华为畅享系列-畅享70X尊享版-256G星海蓝</t>
  </si>
  <si>
    <t>8ff7589003dd9e0</t>
  </si>
  <si>
    <t>华为畅享系列-畅享70X尊享版-256G流沙金</t>
  </si>
  <si>
    <t>8ff752e803dcc48</t>
  </si>
  <si>
    <t>8ff758a803dd900</t>
  </si>
  <si>
    <t>26款苹果笔记本Neo13英寸-A18pro-8+512G柑桶黄(FE4)不换机</t>
  </si>
  <si>
    <t>8ff758a803dd8ff</t>
  </si>
  <si>
    <t>8ff752e803dcc47</t>
  </si>
  <si>
    <t>26款苹果笔记本Neo13英寸-A18pro-8+256G桃粉色(FH4)不换机</t>
  </si>
  <si>
    <t>8ff752e803dcc45</t>
  </si>
  <si>
    <t>26款苹果笔记本Neo13英寸-A18pro-8+512G桃粉色(FJ4)不换机</t>
  </si>
  <si>
    <t>8ff9321003de118</t>
  </si>
  <si>
    <t>8ff9321003de115</t>
  </si>
  <si>
    <t>26款苹果笔记本Neo13英寸-A18pro-8+256G靛蓝色(FF4)不换机</t>
  </si>
  <si>
    <t>26款苹果笔记本Neo13英寸-A18pro-8+256G柑桶黄(FD4)不换机</t>
  </si>
  <si>
    <t>9003b4b003e09bc</t>
  </si>
  <si>
    <t>王新华7787</t>
  </si>
  <si>
    <t>华为 Pura 80 Pro+ LMR-AL10(16GB+512GB)全网通版釉白</t>
  </si>
  <si>
    <t>8ffb4da803df036</t>
  </si>
  <si>
    <t>华为 Pura 80 Pro+ LMR-AL10(16GB+512GB)全网通版釉黑</t>
  </si>
  <si>
    <t>8ffc1d3003df8a4</t>
  </si>
  <si>
    <t>华为 Pura 80 Pro+ LMR-AL10(16GB+512GB)全网通版釉青</t>
  </si>
  <si>
    <t>8ffc1d3003df8a7</t>
  </si>
  <si>
    <t>华为Mate 70 Pro PLR-AL00(12GB+512GB)全网通版雪域白</t>
  </si>
  <si>
    <t>8ffc1d3003df8ac</t>
  </si>
  <si>
    <t>华为Mate 80 Pro Max SGT-AL10(16GB+1TB) 全网通版极夜黑</t>
  </si>
  <si>
    <t>8ffb4da803df02d</t>
  </si>
  <si>
    <t>华为Mate 80 Pro Max SGT-AL10(16GB+512GB) 全网通版极地银</t>
  </si>
  <si>
    <t>9003b4b003e09b3</t>
  </si>
  <si>
    <t>华为nova 15 Pro KLE-AL00U 12+256GB 全网通版幻夜黑</t>
  </si>
  <si>
    <t>8ffc1d3003df8a0</t>
  </si>
  <si>
    <t>华为nova 15 Pro KLE-AL00U 12+512GB 全网通版带感绿</t>
  </si>
  <si>
    <t>9003b4b003e09b5</t>
  </si>
  <si>
    <t>华为nova 15 Pro KLE-AL00U 12+512GB 全网通版好搭紫</t>
  </si>
  <si>
    <t>8ffb4da803df02a</t>
  </si>
  <si>
    <t>华为nova 15 Pro KLE-AL00U 12+512GB 全网通版幻夜黑</t>
  </si>
  <si>
    <t>8ffb4da803df032</t>
  </si>
  <si>
    <t>华为nova 15 Pro KLE-AL00U 12+512GB 全网通版零度白</t>
  </si>
  <si>
    <t>9003b4b003e09bd</t>
  </si>
  <si>
    <t>华为nova 15 PSN-AL00 12+512GB 全网通版带感绿</t>
  </si>
  <si>
    <t>9003b4b003e09bb</t>
  </si>
  <si>
    <t>华为nova 15 PSN-AL00 12+512GB 全网通版好搭紫</t>
  </si>
  <si>
    <t>8ffc1d3003df8a8</t>
  </si>
  <si>
    <t>华为nova 15 PSN-AL00 12+512GB 全网通版零度白</t>
  </si>
  <si>
    <t>8ffc1d3003df859</t>
  </si>
  <si>
    <t>华为nova15 PSN-AL0012+256GB全网通版带感绿</t>
  </si>
  <si>
    <t>9003b4b003e09b4</t>
  </si>
  <si>
    <t>华为nova15 PSN-AL0012+256GB全网通版幻夜黑</t>
  </si>
  <si>
    <t>8ffc1d3003df8a2</t>
  </si>
  <si>
    <t>华为nova15 PSN-AL0012+256GB全网通版零度白</t>
  </si>
  <si>
    <t>8ffc1d3003df8a9</t>
  </si>
  <si>
    <t>华为Pura 80 HED-AL00(12GB+512GB)全网通版丝绒白</t>
  </si>
  <si>
    <t>90024f9803e019d</t>
  </si>
  <si>
    <t>华为Pura 80 HED-AL00(12GB+512GB)全网通版丝绒绿</t>
  </si>
  <si>
    <t>8ffc1d3003df8ae</t>
  </si>
  <si>
    <t>华为Pura 80 Pro LMR-AL00(12GB+512GB)全网通版釉黑</t>
  </si>
  <si>
    <t>8ffb4da803df03e</t>
  </si>
  <si>
    <t>华为WATCH GT 6 ATM-B19 46mm(黑色氟橡胶表带)雅丹黑</t>
  </si>
  <si>
    <t>8ffc1d3003df8aa</t>
  </si>
  <si>
    <t>华为WATCH GT 6 KSU-B19 41mm(紫色氟橡胶表带)流光紫</t>
  </si>
  <si>
    <t>8ffb4da803df031</t>
  </si>
  <si>
    <t>华为畅享 90 Plus JUY-AL50 8G+256G全网通星空黑</t>
  </si>
  <si>
    <t>9003b4b003e09ba</t>
  </si>
  <si>
    <t>华为畅享 90m PlusJUY-AL50 8G+128G 星空黑</t>
  </si>
  <si>
    <t>9003b4b003e0994</t>
  </si>
  <si>
    <t>华为畅享 90m PlusJUY-AL50 8G+128G 羽沙白</t>
  </si>
  <si>
    <t>9003b4b003e09be</t>
  </si>
  <si>
    <t>华为畅享 90m PlusJUY-AL50 8G+256G 星空黑</t>
  </si>
  <si>
    <t>8ffb4da803df027</t>
  </si>
  <si>
    <t>华为畅享 90m PlusJUY-AL50 8G+256G 羽沙白</t>
  </si>
  <si>
    <t>8ffb4da803df033</t>
  </si>
  <si>
    <t>华为麦芒40 5G 全网通版-TYH651M-02(8G+256G)幻夜黑</t>
  </si>
  <si>
    <t>9003b4b003e09c4</t>
  </si>
  <si>
    <t>华为麦芒40 5G 全网通版-TYH651M-02(8G+256G)原野绿</t>
  </si>
  <si>
    <t>8ffc1d3003df89f</t>
  </si>
  <si>
    <t>小米 REDMI 15R 5G REDMI（6G+ 128G）云雾白</t>
  </si>
  <si>
    <t>8ffca29803df834</t>
  </si>
  <si>
    <t>张清政3669</t>
  </si>
  <si>
    <t>苹果 iPad Air8 11英寸 M4 无线局域网机型紫色-256GB</t>
  </si>
  <si>
    <t>9022b29003e34ba</t>
  </si>
  <si>
    <t>苹果 iPad Air8 11英寸 M4 无线局域网机型星光色-256GB</t>
  </si>
  <si>
    <t>8ffbc13003df00e</t>
  </si>
  <si>
    <t>苹果 iPad Air8 11英寸 M4 无线局域网机型蓝色-256GB</t>
  </si>
  <si>
    <t>8ffbc14003df04f</t>
  </si>
  <si>
    <t>90264f9803e61d1</t>
  </si>
  <si>
    <t>90264f9803e61d2</t>
  </si>
  <si>
    <t>90264f9803e61d3</t>
  </si>
  <si>
    <t>902bf7e803e68c9</t>
  </si>
  <si>
    <t>902bf7e803e68af</t>
  </si>
  <si>
    <t>902bf7e803e68b0</t>
  </si>
  <si>
    <t>90264f9803e61d0</t>
  </si>
  <si>
    <t>9026549803e6003</t>
  </si>
  <si>
    <t>90302a8803e742c</t>
  </si>
  <si>
    <t>张斌6867</t>
  </si>
  <si>
    <t>IQOO z10tpro 16+256白</t>
  </si>
  <si>
    <t>90302fb803e7809</t>
  </si>
  <si>
    <t>IQOO z10tpro 16+256沙漠</t>
  </si>
  <si>
    <t>903643b003e8cae</t>
  </si>
  <si>
    <t>VIVO x300 16+1t黑</t>
  </si>
  <si>
    <t>9030300803e783c</t>
  </si>
  <si>
    <t>9030300803e783e</t>
  </si>
  <si>
    <t>IQOO15u 16+512黑</t>
  </si>
  <si>
    <t>90302a8803e742f</t>
  </si>
  <si>
    <t>90302a8803e742e</t>
  </si>
  <si>
    <t>IQOO z10tpro 16+256黑</t>
  </si>
  <si>
    <t>90302fb803e7803</t>
  </si>
  <si>
    <t>IQOO z10tpro 16+256燃</t>
  </si>
  <si>
    <t>90302fb803e7802</t>
  </si>
  <si>
    <t>IQOO z10x 8+128黑</t>
  </si>
  <si>
    <t>903643b003e8cad</t>
  </si>
  <si>
    <t>IQOO15 16+256凌云</t>
  </si>
  <si>
    <t>90302fc803e7800</t>
  </si>
  <si>
    <t>IQOO15u 16+1t黑</t>
  </si>
  <si>
    <t>90314b2803e8468</t>
  </si>
  <si>
    <t>IQOO15u 16+1t银</t>
  </si>
  <si>
    <t>903643b003e8cab</t>
  </si>
  <si>
    <t>IQOO15u 16+512银</t>
  </si>
  <si>
    <t>903643b003e8caf</t>
  </si>
  <si>
    <t>OPPO reno14 12+512黑</t>
  </si>
  <si>
    <t>90302a8803e7430</t>
  </si>
  <si>
    <t>OPPO reno14 12+512人鱼</t>
  </si>
  <si>
    <t>90302fd003e7807</t>
  </si>
  <si>
    <t>VIVO x300 16+1t彩</t>
  </si>
  <si>
    <t>90314b2803e846a</t>
  </si>
  <si>
    <t>VIVO x300 16+1t蓝</t>
  </si>
  <si>
    <t>903643b003e8cac</t>
  </si>
  <si>
    <t>VIVO x300 16+1t紫</t>
  </si>
  <si>
    <t>90302a8803e751d</t>
  </si>
  <si>
    <t>90446db003edc07</t>
  </si>
  <si>
    <t>OPPOk13turbo pro 16+512黑</t>
  </si>
  <si>
    <t>904283e003eada2</t>
  </si>
  <si>
    <t>9044e18803ee044</t>
  </si>
  <si>
    <t>朱水水7777</t>
  </si>
  <si>
    <t>iPhone 17薰衣草紫色-256GB</t>
  </si>
  <si>
    <t>9044e18803ee043</t>
  </si>
  <si>
    <t>iPhone 17青雾蓝色-256GB</t>
  </si>
  <si>
    <t>9044e41003ee80e</t>
  </si>
  <si>
    <t>9044e92003ee01e</t>
  </si>
  <si>
    <t>90492e5803ef0c8</t>
  </si>
  <si>
    <t>9044e61003ee87c</t>
  </si>
  <si>
    <t>90492e5003ef139</t>
  </si>
  <si>
    <t>Redmi Turbo 4白色-12GB+256GB</t>
  </si>
  <si>
    <t>9049719003ef01b</t>
  </si>
  <si>
    <t>Redmi Turbo 4青色-12GB+256GB</t>
  </si>
  <si>
    <t>90452e2003ee401</t>
  </si>
  <si>
    <t>Redmi Turbo 4黑色-12GB+256GB</t>
  </si>
  <si>
    <t>9049719003ef01c</t>
  </si>
  <si>
    <t>9058ec5803ef402</t>
  </si>
  <si>
    <t>90452ad003ee40a</t>
  </si>
  <si>
    <t>9058ec5803ef401</t>
  </si>
  <si>
    <t>9049718803ef045</t>
  </si>
  <si>
    <t>906c783003f45a4</t>
  </si>
  <si>
    <t>906b750003f389c</t>
  </si>
  <si>
    <t>906f72b803f58b9</t>
  </si>
  <si>
    <t>90743fd003f61cd</t>
  </si>
  <si>
    <t>906f709803f5410</t>
  </si>
  <si>
    <t>907d175003f8834</t>
  </si>
  <si>
    <t>陈金平6175</t>
  </si>
  <si>
    <t>y50s钻黑-8+256</t>
  </si>
  <si>
    <t>907d175003f8846</t>
  </si>
  <si>
    <t>Y500i曜石黑-8+256GB</t>
  </si>
  <si>
    <t>907a1bf803f815a</t>
  </si>
  <si>
    <t>Y500i星河银-8+256GB</t>
  </si>
  <si>
    <t>907a1df803f858e</t>
  </si>
  <si>
    <t>Y500i凤迎金-8+256GB</t>
  </si>
  <si>
    <t>907a1c0803f8027</t>
  </si>
  <si>
    <t>908487d803fb009</t>
  </si>
  <si>
    <t>908487d803fb008</t>
  </si>
  <si>
    <t>908485b803fac07</t>
  </si>
  <si>
    <t>908b15d003fcc79</t>
  </si>
  <si>
    <t>908b1a2003fd5b6</t>
  </si>
  <si>
    <t>908b1a2003fd5b7</t>
  </si>
  <si>
    <t>908b1a2003fd5b8</t>
  </si>
  <si>
    <t>908b183003fd15c</t>
  </si>
  <si>
    <t>908b1a2003fd47c</t>
  </si>
  <si>
    <t>花金荣6626</t>
  </si>
  <si>
    <t>华硕</t>
  </si>
  <si>
    <t>华硕天选6 Pro i7-14650HX 16+1T RTX5060 青色（带串码）</t>
  </si>
  <si>
    <t>908b15d803fcc31</t>
  </si>
  <si>
    <t>华硕天选6 Pro i7-14650HX 16+1T RTX5070 2.5K 青（带串号）</t>
  </si>
  <si>
    <t>908b183003fd039</t>
  </si>
  <si>
    <t>华硕天选6 Pro i7-14650HX 16+1T RTX5060 灰色（带串码）</t>
  </si>
  <si>
    <t>908b183003fd03a</t>
  </si>
  <si>
    <t>华硕天选6 Pro R9-8940 16+1T  RTX5060 灰色 （带串码）</t>
  </si>
  <si>
    <t>908b15d803fcd21</t>
  </si>
  <si>
    <t>908b15e803fcc10</t>
  </si>
  <si>
    <t>908b1a2003fd589</t>
  </si>
  <si>
    <t>908be06803fd05a</t>
  </si>
  <si>
    <t>华硕天选6 游戏笔记本电脑 R-7 H 260 16G 512G RTX5050 高色域 灰（带串号）</t>
  </si>
  <si>
    <t>908bfb2003fd418</t>
  </si>
  <si>
    <t>908bf44003fd041</t>
  </si>
  <si>
    <t>908bf44003fd040</t>
  </si>
  <si>
    <t>90d82a680402412</t>
  </si>
  <si>
    <t>Redmi Turbo 5 MAX阳光橙-12G+256GB</t>
  </si>
  <si>
    <t>90d755d80402034</t>
  </si>
  <si>
    <t>90d755d80402035</t>
  </si>
  <si>
    <t>Redmi K80蓝色-12GB+256GB</t>
  </si>
  <si>
    <t>90d755d80402036</t>
  </si>
  <si>
    <t>Redmi K80白色-12GB+256GB</t>
  </si>
  <si>
    <t>90d753a80401d83</t>
  </si>
  <si>
    <t>Redmi K80绿色-12GB+256GB</t>
  </si>
  <si>
    <t>90d753a80401d85</t>
  </si>
  <si>
    <t>Redmi K80灰色-12GB+256GB</t>
  </si>
  <si>
    <t>90ddb660040493d</t>
  </si>
  <si>
    <t>OPPO A6s曙光金-8GB+256GB</t>
  </si>
  <si>
    <t>90e341b80406805</t>
  </si>
  <si>
    <t>Y500i AI版 曜石黑-8+256GB</t>
  </si>
  <si>
    <t>90e33eb80406024</t>
  </si>
  <si>
    <t>Y500i AI版 星河银-8+256GB</t>
  </si>
  <si>
    <t>90e33eb80406023</t>
  </si>
  <si>
    <t>Y500i AI版 凤迎金-8+256GB</t>
  </si>
  <si>
    <t>90f1c4400408454</t>
  </si>
  <si>
    <t>90ed60500407c61</t>
  </si>
  <si>
    <t>刘晖8917</t>
  </si>
  <si>
    <t>苹果 AirPods 4支持主动降噪-MXP93CH/A</t>
  </si>
  <si>
    <t>90f1c5280408452</t>
  </si>
  <si>
    <t>苹果 iPad 11英寸 A16 无线局域网机型银色-128GB</t>
  </si>
  <si>
    <t>90ed5c28040780e</t>
  </si>
  <si>
    <t>施澍5521</t>
  </si>
  <si>
    <t>联想异能者P15H标准色-15寸-R-2312-256GB-8GB</t>
  </si>
  <si>
    <t>90ed5cb80407830</t>
  </si>
  <si>
    <t>魏申阳1907</t>
  </si>
  <si>
    <t>iPhone Air云白色-256GB</t>
  </si>
  <si>
    <t>90e341980406468</t>
  </si>
  <si>
    <t>马菊红5857</t>
  </si>
  <si>
    <t>Redmi 15R星岩黑-6+128</t>
  </si>
  <si>
    <t>90e341980406469</t>
  </si>
  <si>
    <t>Redmi 15R云雾白-6+128</t>
  </si>
  <si>
    <t>90e350980406023</t>
  </si>
  <si>
    <t>Redmi 15R暮光紫-6+128</t>
  </si>
  <si>
    <t>910ad238040a000</t>
  </si>
  <si>
    <t>910397700409411</t>
  </si>
  <si>
    <t>910ad248040a000</t>
  </si>
  <si>
    <t>910397700409412</t>
  </si>
  <si>
    <t>910391700408c01</t>
  </si>
  <si>
    <t>910ad2f8040a000</t>
  </si>
  <si>
    <t>910394000408c0d</t>
  </si>
  <si>
    <t>910885700409c2a</t>
  </si>
  <si>
    <t>天猫优品</t>
  </si>
  <si>
    <t>海信</t>
  </si>
  <si>
    <t>空调</t>
  </si>
  <si>
    <t>海信空调s621</t>
  </si>
  <si>
    <t>91231048040a810</t>
  </si>
  <si>
    <t>王泽仁2777</t>
  </si>
  <si>
    <t>小米投影仪 mini</t>
  </si>
  <si>
    <t>91231048040a811</t>
  </si>
  <si>
    <t>MIJIA智能音频眼镜 悦享版 圆形时尚款</t>
  </si>
  <si>
    <t>91262678040b82c</t>
  </si>
  <si>
    <t>MIJIA智能音频眼镜 悦享版 方形半框款</t>
  </si>
  <si>
    <t>91262678040b82f</t>
  </si>
  <si>
    <t>米家筋膜枪3 迷你版 深空灰</t>
  </si>
  <si>
    <t>91231048040a812</t>
  </si>
  <si>
    <t>MIJIA智能音频眼镜 2 经典波士顿款</t>
  </si>
  <si>
    <t>91262678040b82d</t>
  </si>
  <si>
    <t>MIJIA智能音频眼镜 2 金属飞行员款</t>
  </si>
  <si>
    <t>91231448040b076</t>
  </si>
  <si>
    <t>Redmi 投影仪 J3 Pro</t>
  </si>
  <si>
    <t>91231048040a80f</t>
  </si>
  <si>
    <t>REDMI 投影仪 4</t>
  </si>
  <si>
    <t>91231048040a80c</t>
  </si>
  <si>
    <t>米家漫反射吸顶灯</t>
  </si>
  <si>
    <t>91290e30040bd83</t>
  </si>
  <si>
    <t>REDMI 投影仪 4 Pro</t>
  </si>
  <si>
    <t>91290e30040bd80</t>
  </si>
  <si>
    <t>米家餐厅吊灯</t>
  </si>
  <si>
    <t>91262678040b827</t>
  </si>
  <si>
    <t>米家吸顶灯Pro 超薄 L100</t>
  </si>
  <si>
    <t>91290e30040bd82</t>
  </si>
  <si>
    <t>米家吸顶灯Pro 超薄 D60</t>
  </si>
  <si>
    <t>91231448040b077</t>
  </si>
  <si>
    <t>米家吸顶灯Pro 超薄 D50</t>
  </si>
  <si>
    <t>91231048040a80e</t>
  </si>
  <si>
    <t>米家吸顶灯 L90</t>
  </si>
  <si>
    <t>91290e30040bd7c</t>
  </si>
  <si>
    <t>米家智能吸顶灯Pro 卧室版</t>
  </si>
  <si>
    <t>912c9f40040c84d</t>
  </si>
  <si>
    <t>米家风扇灯42英寸</t>
  </si>
  <si>
    <t>912c9ce8040c4ad</t>
  </si>
  <si>
    <t>刘小燕2625</t>
  </si>
  <si>
    <t>iQOO Z10 Turbo Pro云海白-12GB+256GB-5G</t>
  </si>
  <si>
    <t>912c9f40040c926</t>
  </si>
  <si>
    <t>912c9ce8040c4ac</t>
  </si>
  <si>
    <t>912c9a90040c0e7</t>
  </si>
  <si>
    <t>912c9f40040c925</t>
  </si>
  <si>
    <t>912c9a90040c0e8</t>
  </si>
  <si>
    <t>914b37100411d13</t>
  </si>
  <si>
    <t>91497d700411553</t>
  </si>
  <si>
    <t>914b37100411d16</t>
  </si>
  <si>
    <t>91497b48041100b</t>
  </si>
  <si>
    <t>914cd3800412814</t>
  </si>
  <si>
    <t>张沙力8940</t>
  </si>
  <si>
    <t>91532ab004134b4</t>
  </si>
  <si>
    <t>914cd38804128b3</t>
  </si>
  <si>
    <t>华为 nova15幻夜黑-12GB+512GB</t>
  </si>
  <si>
    <t>914cd3b00412839</t>
  </si>
  <si>
    <t>9153fe58041380b-475</t>
  </si>
  <si>
    <t>姜杰8818</t>
  </si>
  <si>
    <t>915400400413827-472</t>
  </si>
  <si>
    <t>914d0080041283e-472</t>
  </si>
  <si>
    <t>915345b00413436-472</t>
  </si>
  <si>
    <t>915354080413414-3107</t>
  </si>
  <si>
    <t>9167fed80416805-475</t>
  </si>
  <si>
    <t>陈喜涛5533</t>
  </si>
  <si>
    <t>916828380416d76-475</t>
  </si>
  <si>
    <t>9153fe400413809-487</t>
  </si>
  <si>
    <t>916828280416ccf-487</t>
  </si>
  <si>
    <t>915413400413801-485</t>
  </si>
  <si>
    <t>9167fc28041648d-482</t>
  </si>
  <si>
    <t>9167fc28041648b-482</t>
  </si>
  <si>
    <t>9167fed80416869-482</t>
  </si>
  <si>
    <t>9167fed8041686a-482</t>
  </si>
  <si>
    <t>9167fc28041648e-482</t>
  </si>
  <si>
    <t>916862d00417074-482</t>
  </si>
  <si>
    <t>9167fc2804165cb-482</t>
  </si>
  <si>
    <t>91683d980416c44-482</t>
  </si>
  <si>
    <t>91683d980416c3f-482</t>
  </si>
  <si>
    <t>916863780417001-482</t>
  </si>
  <si>
    <t>91682968041686e-482</t>
  </si>
  <si>
    <t>91682968041686f-482</t>
  </si>
  <si>
    <t>91683d980416c45-482</t>
  </si>
  <si>
    <t>916828400416c93-470</t>
  </si>
  <si>
    <t>王术滨2210</t>
  </si>
  <si>
    <t>iPhone 17 Pro星宇橙色-256GB</t>
  </si>
  <si>
    <t>9167fc280416556-470</t>
  </si>
  <si>
    <t>9167fc28041654e-470</t>
  </si>
  <si>
    <t>9167fc28041654c-470</t>
  </si>
  <si>
    <t>9167fc28041654a-470</t>
  </si>
  <si>
    <t>916828400416c8b-470</t>
  </si>
  <si>
    <t>91683d600416c13</t>
  </si>
  <si>
    <t>916847b00416c05</t>
  </si>
  <si>
    <t>916829d80416467</t>
  </si>
  <si>
    <t>91682c30041687d</t>
  </si>
  <si>
    <t>916854d00416c29</t>
  </si>
  <si>
    <t>910ad148040a02f</t>
  </si>
  <si>
    <t>916826f004164b6</t>
  </si>
  <si>
    <t>9205384004401c4</t>
  </si>
  <si>
    <t>9205384004401c5</t>
  </si>
  <si>
    <t>936185f004fbd30</t>
  </si>
  <si>
    <t>华为擎云C5e BLF5-W00（4GB+64GB）</t>
  </si>
  <si>
    <t>92e3599804f1c00-486</t>
  </si>
  <si>
    <t>92e3598004f1c00-486</t>
  </si>
  <si>
    <t>92de522004f086b-486</t>
  </si>
  <si>
    <t>Redmi投影仪 2 绿色</t>
  </si>
  <si>
    <t>92e205e004f1800-486</t>
  </si>
  <si>
    <t>雷鸟显示器R32U81</t>
  </si>
  <si>
    <t>92e22ed804f1800-486</t>
  </si>
  <si>
    <t>米家风扇灯 36英寸</t>
  </si>
  <si>
    <t>92e3596804f1c03-486</t>
  </si>
  <si>
    <t>米家风扇灯 42英寸</t>
  </si>
  <si>
    <t>92de522004f086c-486</t>
  </si>
  <si>
    <t>92e205c804f1802-486</t>
  </si>
  <si>
    <t>米家面板灯L60 蓝牙Mesh版</t>
  </si>
  <si>
    <t>92de5e6804f0000-486</t>
  </si>
  <si>
    <t>米家吸顶灯 D20</t>
  </si>
  <si>
    <t>92de5e5804f0000-486</t>
  </si>
  <si>
    <t>米家吸顶灯 D30</t>
  </si>
  <si>
    <t>92de569804f081a-486</t>
  </si>
  <si>
    <t>92de569804f0818-486</t>
  </si>
  <si>
    <t>米家吸顶灯 D40</t>
  </si>
  <si>
    <t>92e3629804f1c05-486</t>
  </si>
  <si>
    <t>米家吸顶灯 L60</t>
  </si>
  <si>
    <t>92de4d8004f0015-486</t>
  </si>
  <si>
    <t>92e205b004f1800-486</t>
  </si>
  <si>
    <t>92de7c8004f0015-486</t>
  </si>
  <si>
    <t>米家智能车载加湿器</t>
  </si>
  <si>
    <t>92de522004f086a-486</t>
  </si>
  <si>
    <t>米家智能吸顶灯Pro 客厅版</t>
  </si>
  <si>
    <t>92de4d8004f0016-486</t>
  </si>
  <si>
    <t>92e38da804f1c04-486</t>
  </si>
  <si>
    <t>DC202607090003</t>
  </si>
  <si>
    <t>OPPO A5X 6+128 水晶粉</t>
  </si>
  <si>
    <t>DC202607090001</t>
  </si>
  <si>
    <t>OPPO A5M 6+128 玄武黑</t>
  </si>
  <si>
    <t>DC202607090005</t>
  </si>
  <si>
    <t>OPPO A6X 6+128 墨竹黑</t>
  </si>
  <si>
    <t>DC202607090006</t>
  </si>
  <si>
    <t>OPPO A6X 6+128 紫气东来</t>
  </si>
  <si>
    <t>DC202607090007</t>
  </si>
  <si>
    <t>OPPO A6X 6+128 青出于蓝</t>
  </si>
  <si>
    <t>DC202607090008</t>
  </si>
  <si>
    <t>OPPO A6X 8+256 暮光蓝</t>
  </si>
  <si>
    <t>DC202607090010</t>
  </si>
  <si>
    <t>OPPO A6X 8+256 海贝白</t>
  </si>
  <si>
    <t>DC202607090004</t>
  </si>
  <si>
    <t>OPPO A5X 6+128 钻石白</t>
  </si>
  <si>
    <t>DC202607090002</t>
  </si>
  <si>
    <t>OPPO A5M 6+128 钻石白</t>
  </si>
  <si>
    <t>DC202607090009</t>
  </si>
  <si>
    <t>OPPO A6X 8+256 曙光金</t>
  </si>
  <si>
    <t>DC202607090011</t>
  </si>
  <si>
    <t>OPPO A6X 8+512 暮光蓝</t>
  </si>
  <si>
    <t>DC202607090012</t>
  </si>
  <si>
    <t>OPPO A6X 8+512 曙光金:</t>
  </si>
  <si>
    <t>DC202607100001</t>
  </si>
  <si>
    <t>DC202607120003</t>
  </si>
  <si>
    <t>OPPO A6x 青出于蓝-6+128</t>
  </si>
  <si>
    <t>DC202607120002</t>
  </si>
  <si>
    <t>OPPO A6x 紫气东来-6+128</t>
  </si>
  <si>
    <t>DC202607120001</t>
  </si>
  <si>
    <t>OPPO A6x 墨竹黑-6+128</t>
  </si>
  <si>
    <t>DC202607130001</t>
  </si>
  <si>
    <t>荣耀Play10T 幻夜黑-8+256GB</t>
  </si>
  <si>
    <t>DC202607130006</t>
  </si>
  <si>
    <t>联想异能者s120 太空灰-N150-256G-8G</t>
  </si>
  <si>
    <t>联想异能者s120 太空灰-N150-512G-16G</t>
  </si>
  <si>
    <t>DC202607130008</t>
  </si>
  <si>
    <t>DC202607130009</t>
  </si>
  <si>
    <t>DC202607130010</t>
  </si>
  <si>
    <t>DC202607140002</t>
  </si>
  <si>
    <t>DC202607140001</t>
  </si>
  <si>
    <t>DC202607140003</t>
  </si>
  <si>
    <t>OPPOA5X 玄武黑-6GB+128GB</t>
  </si>
  <si>
    <t>DC202607130007</t>
  </si>
  <si>
    <t>DC202607130002</t>
  </si>
  <si>
    <t>OPPO Pad Air5 深空灰-8GB+128GB</t>
  </si>
  <si>
    <t>DC202607130003</t>
  </si>
  <si>
    <t>OPPO Pad Air5 星动白-8GB+128GB</t>
  </si>
  <si>
    <t>DC202607130011</t>
  </si>
  <si>
    <t>OPPO Pad Air5 浅粉-8GB+256GB</t>
  </si>
  <si>
    <t>DC202607150002</t>
  </si>
  <si>
    <t>濮传杰3783</t>
  </si>
  <si>
    <t>DC202607160010</t>
  </si>
  <si>
    <t>小米室外摄像机CW500 智能摄像头</t>
  </si>
  <si>
    <t>DC202607160003</t>
  </si>
  <si>
    <t>DC202607160002</t>
  </si>
  <si>
    <t>DC202607160011</t>
  </si>
  <si>
    <t>DC202607160004</t>
  </si>
  <si>
    <t>DC202607160005</t>
  </si>
  <si>
    <t>DC202607160006</t>
  </si>
  <si>
    <t>DC202607160008</t>
  </si>
  <si>
    <t>DC202607160007</t>
  </si>
  <si>
    <t>DC202607160009</t>
  </si>
  <si>
    <t>DC202607170001</t>
  </si>
  <si>
    <t>DC202607170002</t>
  </si>
  <si>
    <t>DC202607170003</t>
  </si>
  <si>
    <t>刘亮亮0703</t>
  </si>
  <si>
    <t>小米Redmi Note15R Pro 8G+128G子夜黑5G公开版</t>
  </si>
  <si>
    <t>DC202607160001</t>
  </si>
  <si>
    <t>异能者X10A 太空灰-4+64GB</t>
  </si>
  <si>
    <t>DC202607170011</t>
  </si>
  <si>
    <t>DC202607170010</t>
  </si>
  <si>
    <t>DC202607170008</t>
  </si>
  <si>
    <t>DC202607170007</t>
  </si>
  <si>
    <t>DC202607170009</t>
  </si>
  <si>
    <t>DC202607170006</t>
  </si>
  <si>
    <t>DC202607170004</t>
  </si>
  <si>
    <t>DC202607170005</t>
  </si>
  <si>
    <t>DC202607200002</t>
  </si>
  <si>
    <t>REDMI Note 15R Pro 幻影青-12GB+256GB</t>
  </si>
  <si>
    <t>DC202607200001</t>
  </si>
  <si>
    <t>REDMI Note 15R Pro 星辉白-12GB+256GB</t>
  </si>
  <si>
    <t>DC202607200004</t>
  </si>
  <si>
    <t>刘源0810</t>
  </si>
  <si>
    <t>DC202607200006</t>
  </si>
  <si>
    <t>OPPO Reno15 极光蓝-12GB+256GB</t>
  </si>
  <si>
    <t>DC202607200005</t>
  </si>
  <si>
    <t>OPPO Reno15 可露丽棕-12GB+512GB</t>
  </si>
  <si>
    <t>DC202607210003</t>
  </si>
  <si>
    <t>DC202607200008</t>
  </si>
  <si>
    <t>DC202607200007</t>
  </si>
  <si>
    <t>苹果 iPhone 17 Pro Max 银色-256GB</t>
  </si>
  <si>
    <t>DC202607200003</t>
  </si>
  <si>
    <t>DC202607210001</t>
  </si>
  <si>
    <t>DC202607210002</t>
  </si>
  <si>
    <t>DC202607200009</t>
  </si>
  <si>
    <t>王雪峰7307</t>
  </si>
  <si>
    <t>华为 Mate 80 Pro 晨曦金 16GB+512GB 标准版</t>
  </si>
  <si>
    <t>DC202607200010</t>
  </si>
  <si>
    <t>华为 Mate 80 RS 非凡大师 玄黑 20GB+512GB 标准版</t>
  </si>
  <si>
    <t>DC202607200011</t>
  </si>
  <si>
    <t>华为 Mate 80 云杉绿 12GB+512GB 云杉绿 12GB+512GB</t>
  </si>
  <si>
    <t>DC202607200012</t>
  </si>
  <si>
    <t>华为 nova 16 Pro  星空黑 昆仑玻璃 12GB+512GB</t>
  </si>
  <si>
    <t>DC202607200013</t>
  </si>
  <si>
    <t>华为 nova 16 Ultra 星空黑 昆仑玻璃 12GB+512GB</t>
  </si>
  <si>
    <t>DC202607200014</t>
  </si>
  <si>
    <t>华为 nova 16 星空黑 12GB+256GB</t>
  </si>
  <si>
    <t>DC202607200015</t>
  </si>
  <si>
    <t>华为 nova15  带感绿 12+512GB</t>
  </si>
  <si>
    <t>DC202607200016</t>
  </si>
  <si>
    <t xml:space="preserve">华为 nova15 幻夜黑 12+512GB </t>
  </si>
  <si>
    <t>DC202607200017</t>
  </si>
  <si>
    <t>华为 Pura90 Pro Max 曜石黑 16GB+1TB</t>
  </si>
  <si>
    <t>DC202607200018</t>
  </si>
  <si>
    <t>华为畅享 90 Plus  星空黑 8+256GB</t>
  </si>
  <si>
    <t>DC202607200019</t>
  </si>
  <si>
    <t>华为畅享 90 Plus 羽沙白 8+256GB</t>
  </si>
  <si>
    <t>DC202607200020</t>
  </si>
  <si>
    <t>华为畅享 90 Pro Max 曜金黑 512GB</t>
  </si>
  <si>
    <t>DC202607200021</t>
  </si>
  <si>
    <t>华为畅享 90m Plus  星空黑 8+128GB</t>
  </si>
  <si>
    <t>DC202607200022</t>
  </si>
  <si>
    <t>华为畅享 90m Plus  星空黑 8+256GB</t>
  </si>
  <si>
    <t>DC202607200023</t>
  </si>
  <si>
    <t>华为畅享 90m Plus  羽沙白 8+128GB</t>
  </si>
  <si>
    <t>DC202607200024</t>
  </si>
  <si>
    <t>华为畅享 90m Plus  羽沙白 8+256GB</t>
  </si>
  <si>
    <t>DC202607210004</t>
  </si>
  <si>
    <t>Redmi Note 15 Pro 冰川白-12+256</t>
  </si>
  <si>
    <t>DC202607200029</t>
  </si>
  <si>
    <t>荣耀X70 焕新版 旭日金-8GB+128GB</t>
  </si>
  <si>
    <t>DC202607200028</t>
  </si>
  <si>
    <t>荣耀X70 焕新版 竹韵青-8GB+128GB</t>
  </si>
  <si>
    <t>DC202607200027</t>
  </si>
  <si>
    <t>荣耀X70 焕新版 幻夜黑-8GB+128GB</t>
  </si>
  <si>
    <t>DC202607200026</t>
  </si>
  <si>
    <t>荣耀X70 焕新版 月影白-8GB+128GB</t>
  </si>
  <si>
    <t>DC202607200025</t>
  </si>
  <si>
    <t>荣耀X70 焕新版 朱砂红-8GB+128GB</t>
  </si>
  <si>
    <t>数量</t>
  </si>
  <si>
    <t>单价</t>
  </si>
  <si>
    <t>合计</t>
  </si>
  <si>
    <t>金额</t>
  </si>
  <si>
    <t>客户名称</t>
  </si>
  <si>
    <t>父订单单号</t>
  </si>
  <si>
    <t>销售数量</t>
  </si>
  <si>
    <t>销售单价</t>
  </si>
  <si>
    <t>销售金额</t>
  </si>
  <si>
    <t>成本单价</t>
  </si>
  <si>
    <t>成本金额</t>
  </si>
  <si>
    <t>毛利额</t>
  </si>
  <si>
    <t>仓储单价</t>
  </si>
  <si>
    <t>仓储费</t>
  </si>
  <si>
    <t>是否已开发票（标记黄色-已申请未开）</t>
  </si>
  <si>
    <t>备注</t>
  </si>
  <si>
    <t>7d717990005aab3</t>
  </si>
  <si>
    <t>7d717858005a7f2</t>
  </si>
  <si>
    <t>7d866020005c2f5</t>
  </si>
  <si>
    <t>7d865ec0005be9e</t>
  </si>
  <si>
    <t>809deba0005fa1f</t>
  </si>
  <si>
    <t>809deba0005fa0a</t>
  </si>
  <si>
    <t>Hi 畅享 70曜金黑-6GB+128GB</t>
  </si>
  <si>
    <t>809de9f8005f753</t>
  </si>
  <si>
    <t>809deba0005fa09</t>
  </si>
  <si>
    <t>华为 WATCH GT 5幻夜黑-46mm</t>
  </si>
  <si>
    <t>809de9f8005f752</t>
  </si>
  <si>
    <t>华为 WATCH GT 5托帕蓝-46mm</t>
  </si>
  <si>
    <t>809de9f8005f751</t>
  </si>
  <si>
    <t>华为 WATCH GT 5 Pro46mm 钛空银 钛金属表带</t>
  </si>
  <si>
    <t>809deba0005fa08</t>
  </si>
  <si>
    <t>华为 WATCH GT 5 Pro46mm 曜石黑 黑色氟橡胶表带</t>
  </si>
  <si>
    <t>809de9f8005f750</t>
  </si>
  <si>
    <t>华为 Mate X5羽砂黑-12GB+512GB-5G全网通</t>
  </si>
  <si>
    <t>809de9f8005f74f</t>
  </si>
  <si>
    <t>华为 Mate XT 非凡大师玄黑-16GB+512GB</t>
  </si>
  <si>
    <t>809de9f8005f74e</t>
  </si>
  <si>
    <t>华为 nova 12 Ultra曜金黑（昆仑玻璃）-12GB+512GB</t>
  </si>
  <si>
    <t>809de9f8005f74d</t>
  </si>
  <si>
    <t>华为 nova 12 活力版冰川白-8GB+256GB</t>
  </si>
  <si>
    <t>809deba0005fa07</t>
  </si>
  <si>
    <t>华为 nova 12 活力版曜金黑-8GB+256GB</t>
  </si>
  <si>
    <t>809de9f8005f74c</t>
  </si>
  <si>
    <t>华为 nova 13星耀黑-12GB+256GB</t>
  </si>
  <si>
    <t>809deba0005fa06</t>
  </si>
  <si>
    <t>华为 nova 13星耀黑-12GB+512GB</t>
  </si>
  <si>
    <t>809de9f8005f74b</t>
  </si>
  <si>
    <t>华为 nova 13 Pro洛登绿-12GB+512GB</t>
  </si>
  <si>
    <t>809deba0005fa05</t>
  </si>
  <si>
    <t>华为 nova 13 Pro羽砂白-12GB+512GB</t>
  </si>
  <si>
    <t>809de9f8005f74a</t>
  </si>
  <si>
    <t>华为畅享 70S冰晶蓝-8GB+256GB-4G全网通</t>
  </si>
  <si>
    <t>809deba0005fa04</t>
  </si>
  <si>
    <t>华为畅享 70S曜金黑-8GB+256GB-4G全网通</t>
  </si>
  <si>
    <t>809de9f8005f748</t>
  </si>
  <si>
    <t>华为 WATCH Ultimate绿野传奇</t>
  </si>
  <si>
    <t>8e34ccb800b603e</t>
  </si>
  <si>
    <t>8e27f6d800b5db3</t>
  </si>
  <si>
    <t>8e34ccb800b603d</t>
  </si>
  <si>
    <t>8e27f6d800b5db2</t>
  </si>
  <si>
    <t>83fa01d80066694</t>
  </si>
  <si>
    <t>83f9f9a80066bf4</t>
  </si>
  <si>
    <t>83fa01d80066695</t>
  </si>
  <si>
    <t>83fa01d80066696</t>
  </si>
  <si>
    <t>83fa01d80066697</t>
  </si>
  <si>
    <t>华为 MatePad SE 11英寸 2024款星海蓝-8GB+256GB-WiFi版</t>
  </si>
  <si>
    <t>83f9f9a80066bf5</t>
  </si>
  <si>
    <t>华为 MatePad SE 11英寸 2024款星云灰-8GB+128GB-WiFi版</t>
  </si>
  <si>
    <t>83fa01d80066698</t>
  </si>
  <si>
    <t>华为 MatePad SE 11英寸 2024款星海蓝-8GB+128GB-WiFi版</t>
  </si>
  <si>
    <t>83fa01d80066699</t>
  </si>
  <si>
    <t>83f9f9a80066bf6</t>
  </si>
  <si>
    <t>华为 Pura70 Ultra星芒白-12GB+512GB</t>
  </si>
  <si>
    <t>83f9f9a80066bf7</t>
  </si>
  <si>
    <t>83fa01d8006669a</t>
  </si>
  <si>
    <t>华为 Pocket 2大溪地灰-12GB+512GB</t>
  </si>
  <si>
    <t>83fa01d8006669b</t>
  </si>
  <si>
    <t>83f9f9a80066bf8</t>
  </si>
  <si>
    <t>85c3aea0006d3a6</t>
  </si>
  <si>
    <t>85c3aea0006d3a7</t>
  </si>
  <si>
    <t>华为 nova 12 活力版曜金黑-8GB+512GB</t>
  </si>
  <si>
    <t>85c3cf20006d74a</t>
  </si>
  <si>
    <t>华为 nova 12 活力版冰川白-8GB+512GB</t>
  </si>
  <si>
    <t>85c3aea0006d3a8</t>
  </si>
  <si>
    <t>85c3cf20006d74b</t>
  </si>
  <si>
    <t>86970e500070283</t>
  </si>
  <si>
    <t>86f107600073241</t>
  </si>
  <si>
    <t>华为 Pocket 2雅黑-12GB+512GB</t>
  </si>
  <si>
    <t>86f107600073242</t>
  </si>
  <si>
    <t>华为 MatePad SE 11英寸 2024款星云灰-8GB+256GB-WiFi版</t>
  </si>
  <si>
    <t>86f107600073243</t>
  </si>
  <si>
    <t>86f105080072e67</t>
  </si>
  <si>
    <t>86f105080072e68</t>
  </si>
  <si>
    <t>875849580078230</t>
  </si>
  <si>
    <t>875057d80077e81</t>
  </si>
  <si>
    <t>875849580078231</t>
  </si>
  <si>
    <t>87dd08200084fb9</t>
  </si>
  <si>
    <t>87dd08200084fba</t>
  </si>
  <si>
    <t>8236fca80061e1d</t>
  </si>
  <si>
    <t>8236fca80061e1c</t>
  </si>
  <si>
    <t>8236fca80061e1b</t>
  </si>
  <si>
    <t>华为 nova 12 Ultra烟云灰（昆仑玻璃）-12GB+512GB</t>
  </si>
  <si>
    <t>8236fe480062216</t>
  </si>
  <si>
    <t>8236fca80061e1a</t>
  </si>
  <si>
    <t>812253a000606f5</t>
  </si>
  <si>
    <t>812255700060bd6</t>
  </si>
  <si>
    <t>夏宝杰1166</t>
  </si>
  <si>
    <t>iqoo</t>
  </si>
  <si>
    <t>869710780070689</t>
  </si>
  <si>
    <t>86971078007068a</t>
  </si>
  <si>
    <t>86970e500070280</t>
  </si>
  <si>
    <t>86970e500070281</t>
  </si>
  <si>
    <t>86971078007068b</t>
  </si>
  <si>
    <t>86971078007068c</t>
  </si>
  <si>
    <t>86971078007068d</t>
  </si>
  <si>
    <t>812253a000606f4</t>
  </si>
  <si>
    <t>86970e500070323</t>
  </si>
  <si>
    <t>812255700060bd5</t>
  </si>
  <si>
    <t>812253a000606f3</t>
  </si>
  <si>
    <t>812255700060bd4</t>
  </si>
  <si>
    <t>809debb0005fbe9</t>
  </si>
  <si>
    <t>809dea00005f648</t>
  </si>
  <si>
    <t>86f105080072e6b</t>
  </si>
  <si>
    <t>86f105080072e6c</t>
  </si>
  <si>
    <t>86f107600073244</t>
  </si>
  <si>
    <t>86f105080072e98</t>
  </si>
  <si>
    <t>86f105080072e99</t>
  </si>
  <si>
    <t>86f10760007323f</t>
  </si>
  <si>
    <t>86f107600073240</t>
  </si>
  <si>
    <t>875057d80077e7f</t>
  </si>
  <si>
    <t>87584958007822f</t>
  </si>
  <si>
    <t>875057d80077e80</t>
  </si>
  <si>
    <t>875057d80077e82</t>
  </si>
  <si>
    <t>875057d80077e83</t>
  </si>
  <si>
    <t>875057d80077e84</t>
  </si>
  <si>
    <t>875849580078232</t>
  </si>
  <si>
    <t>875057d80077e85</t>
  </si>
  <si>
    <t>875849580078233</t>
  </si>
  <si>
    <t>875849580078234</t>
  </si>
  <si>
    <t>875849580078235</t>
  </si>
  <si>
    <t>875849580078236</t>
  </si>
  <si>
    <t>875849580078237</t>
  </si>
  <si>
    <t>809debb0005fbe8</t>
  </si>
  <si>
    <t>809debb0005fbe7</t>
  </si>
  <si>
    <t>809dea00005f647</t>
  </si>
  <si>
    <t>809dea00005f646</t>
  </si>
  <si>
    <t>809dea00005f645</t>
  </si>
  <si>
    <t>88efdb600094009</t>
  </si>
  <si>
    <t>88efdb600094008</t>
  </si>
  <si>
    <t>894407e80097929</t>
  </si>
  <si>
    <t>89440a100097d79</t>
  </si>
  <si>
    <t>809debb0005fbe6</t>
  </si>
  <si>
    <t>8a0c6240009b88a</t>
  </si>
  <si>
    <t>8a138b98009c48f</t>
  </si>
  <si>
    <t>8a6a1ce0009fc3f</t>
  </si>
  <si>
    <t>8a5e4520009f0c6</t>
  </si>
  <si>
    <t>8a6a1ce0009fc3e</t>
  </si>
  <si>
    <t>8a6a1ce0009fc3d</t>
  </si>
  <si>
    <t>采退单号：18216699</t>
  </si>
  <si>
    <t>8a89d74800a1462</t>
  </si>
  <si>
    <t>8a8061f800a04ad</t>
  </si>
  <si>
    <t>8a89d74800a1461</t>
  </si>
  <si>
    <t>8a87272000a109d</t>
  </si>
  <si>
    <t>8a89d74800a1460</t>
  </si>
  <si>
    <t>8a8061f800a04ac</t>
  </si>
  <si>
    <t>8a805f7000a00f5</t>
  </si>
  <si>
    <t>8a87272000a10a0</t>
  </si>
  <si>
    <t>8a87272000a109e</t>
  </si>
  <si>
    <t>8a8061f800a04b5</t>
  </si>
  <si>
    <t>8a805f7000a00f7</t>
  </si>
  <si>
    <t>8a87272000a109f</t>
  </si>
  <si>
    <t>8a8061f800a04b6</t>
  </si>
  <si>
    <t>8a89d74800a1464</t>
  </si>
  <si>
    <t>809dea00005f644</t>
  </si>
  <si>
    <t>采退单号：19066495</t>
  </si>
  <si>
    <t>采退单号：19066494</t>
  </si>
  <si>
    <t>8ad16f2800a1902</t>
  </si>
  <si>
    <t>采退单号：19748874</t>
  </si>
  <si>
    <t>采退单号：20820496</t>
  </si>
  <si>
    <t>博猿智能科技（河南）有限公司</t>
  </si>
  <si>
    <t>8b88141000ae90d</t>
  </si>
  <si>
    <t>8bd1fab800af88a</t>
  </si>
  <si>
    <t>采退单号：22592002</t>
  </si>
  <si>
    <t>采退单号：23049971</t>
  </si>
  <si>
    <t>8bd1f8d800af432</t>
  </si>
  <si>
    <t>8bd1fac000af8da</t>
  </si>
  <si>
    <t>8bd1f8d800af431</t>
  </si>
  <si>
    <t>8c26566800b0cde</t>
  </si>
  <si>
    <t>8c2658f000b11ad</t>
  </si>
  <si>
    <t>8c2658f800b10ee</t>
  </si>
  <si>
    <t>采退单号：24390396</t>
  </si>
  <si>
    <t>采退单号：24728921</t>
  </si>
  <si>
    <t>8c26750800b11d0</t>
  </si>
  <si>
    <t>ma-8c8d87800039a45</t>
  </si>
  <si>
    <t>ma-8c8d89400039e3a</t>
  </si>
  <si>
    <t>采退单号：25494319</t>
  </si>
  <si>
    <t>8cc15d7000b212b</t>
  </si>
  <si>
    <t>8d28b41000b3c61</t>
  </si>
  <si>
    <t>8d28b41800b3d68</t>
  </si>
  <si>
    <t>8cd6f61000b29b6</t>
  </si>
  <si>
    <t>8cd6f39000b2496</t>
  </si>
  <si>
    <t>ma-8d043648003a2f7-1</t>
  </si>
  <si>
    <t>ma-8d043648003a2f6-1</t>
  </si>
  <si>
    <t>ma-8d043648003a2f5</t>
  </si>
  <si>
    <t>唐玉英3599</t>
  </si>
  <si>
    <t>ma-8d043648003a34e-1</t>
  </si>
  <si>
    <t>ma-8d043840003a72e-1</t>
  </si>
  <si>
    <t>ma-8d043648003a360-1</t>
  </si>
  <si>
    <t>ma-8d043840003a734-1</t>
  </si>
  <si>
    <t>ma-8d043648003a35f-1</t>
  </si>
  <si>
    <t>ma-8d043840003a730-1</t>
  </si>
  <si>
    <t>ma-8d043840003a738-1</t>
  </si>
  <si>
    <t>ma-8d043648003a365-1</t>
  </si>
  <si>
    <t>ma-8d043648003a364-1</t>
  </si>
  <si>
    <t>ma-8d043648003a375-1</t>
  </si>
  <si>
    <t>ma-8d043840003a752</t>
  </si>
  <si>
    <t>ma-8d043648003a391</t>
  </si>
  <si>
    <t>ma-8d043840003a751-1</t>
  </si>
  <si>
    <t>ma-8d043840003a750-1</t>
  </si>
  <si>
    <t>8d04ac4000b2c12</t>
  </si>
  <si>
    <t>ma-8d043840003a758</t>
  </si>
  <si>
    <t>居秋6762</t>
  </si>
  <si>
    <t>ma-8d043840003a759-1</t>
  </si>
  <si>
    <t>ma-8d043840003a756-1</t>
  </si>
  <si>
    <t>ma-8d043840003a75b-1</t>
  </si>
  <si>
    <t>ma-8d043648003a396-1</t>
  </si>
  <si>
    <t>ma-8d043648003a394-1</t>
  </si>
  <si>
    <t>ma-8d043840003a757-1</t>
  </si>
  <si>
    <t>ma-8d043648003a395-1</t>
  </si>
  <si>
    <t>ma-8d043840003a75a-1</t>
  </si>
  <si>
    <t>ma-8d043840003a776-1</t>
  </si>
  <si>
    <t>ma-8d043840003a775-1</t>
  </si>
  <si>
    <t>ma-8d043840003a755-1</t>
  </si>
  <si>
    <t>ma-8d043648003a3b3-1</t>
  </si>
  <si>
    <t>ma-8d043840003a765-1</t>
  </si>
  <si>
    <t>ma-8d043648003a3bf-1</t>
  </si>
  <si>
    <t>ma-8d043648003a3cd-1</t>
  </si>
  <si>
    <t>ma-8d043840003a786-1</t>
  </si>
  <si>
    <t>ma-8d043648003a3cc-1</t>
  </si>
  <si>
    <t>ma-8d043840003a785-1</t>
  </si>
  <si>
    <t>ma-8d043840003a787-1</t>
  </si>
  <si>
    <t>ma-8d043840003a788-1</t>
  </si>
  <si>
    <t>ma-8d043840003a789-1</t>
  </si>
  <si>
    <t>ma-8d043648003a3cf</t>
  </si>
  <si>
    <t>8df26a9800b480b</t>
  </si>
  <si>
    <t>8df65e6800b5043</t>
  </si>
  <si>
    <t>ma-8df202a0003aa9a-1</t>
  </si>
  <si>
    <t>ma-8df202a0003aa9c-1</t>
  </si>
  <si>
    <t>ma-8df202a0003aa9b-1</t>
  </si>
  <si>
    <t>广东成胜智能</t>
  </si>
  <si>
    <t>ma-8e26fe28003ba26-1</t>
  </si>
  <si>
    <t>8e27f6c000b5c3d</t>
  </si>
  <si>
    <t>8e27f6c000b5c40</t>
  </si>
  <si>
    <t>8e27f6c000b5c3f</t>
  </si>
  <si>
    <t>8e27f6c000b5c49</t>
  </si>
  <si>
    <t>8e27f6c000b5c48</t>
  </si>
  <si>
    <t>8e27f6c000b5c4b</t>
  </si>
  <si>
    <t>8e27f6c000b5c4a</t>
  </si>
  <si>
    <t>8e27f6c000b5c4d</t>
  </si>
  <si>
    <t>8e27f6c000b5c4c</t>
  </si>
  <si>
    <t>8e27f6c000b5c4e</t>
  </si>
  <si>
    <t>8e27f44800b5828</t>
  </si>
  <si>
    <t>8e27f6c000b5c3b</t>
  </si>
  <si>
    <t>8e27f6c000b5c3c</t>
  </si>
  <si>
    <t>8e27f6c000b5c46</t>
  </si>
  <si>
    <t>8e27f6c000b5c45</t>
  </si>
  <si>
    <t>8e27f6c000b5c42</t>
  </si>
  <si>
    <t>8e27f6c000b5c41</t>
  </si>
  <si>
    <t>8e27f6c000b5c44</t>
  </si>
  <si>
    <t>8e27f44800b58ac</t>
  </si>
  <si>
    <t>8e27f6c000b5c43</t>
  </si>
  <si>
    <t>8e27f6c000b5c3e</t>
  </si>
  <si>
    <t>采退单号：30613740</t>
  </si>
  <si>
    <t>ma-8e26fe28003bb22</t>
  </si>
  <si>
    <t>华为Hi畅享80Pro 星海蓝-12G+512G</t>
  </si>
  <si>
    <t>ma-8e26fc18003b71d</t>
  </si>
  <si>
    <t>ma-8e26fc18003b79c-1</t>
  </si>
  <si>
    <t>ma-8e26fc18003b79d-1</t>
  </si>
  <si>
    <t>ma-8e26fc18003b79b-1</t>
  </si>
  <si>
    <t>采退单号：31685101</t>
  </si>
  <si>
    <t>采退单号：31685102</t>
  </si>
  <si>
    <t>ma-8e8b2a28003c285</t>
  </si>
  <si>
    <t>采退单号：32026984</t>
  </si>
  <si>
    <t>ma-8eb456f8003d28c</t>
  </si>
  <si>
    <t>ma-8eb456f8003d29c</t>
  </si>
  <si>
    <t>ma-8eb456f8003d29d</t>
  </si>
  <si>
    <t>ma-8eb456f8003d321-1</t>
  </si>
  <si>
    <t>ma-8eb456f8003d322-1</t>
  </si>
  <si>
    <t>OPPO A5活力版 12+256 黑</t>
  </si>
  <si>
    <t>ma-8eb45528003ce9c</t>
  </si>
  <si>
    <t>ma-8eb45528003ce9e</t>
  </si>
  <si>
    <t>ma-8eb45528003ce9d</t>
  </si>
  <si>
    <t>ma-8eb45528003ce9f</t>
  </si>
  <si>
    <t>ma-8eb45700003d259</t>
  </si>
  <si>
    <t>ma-8eb45700003d258</t>
  </si>
  <si>
    <t>ma-8eb45700003d257</t>
  </si>
  <si>
    <t>ma-8eb45700003d256</t>
  </si>
  <si>
    <t>采退单号：33073181</t>
  </si>
  <si>
    <t>8ef9d41800b78b9</t>
  </si>
  <si>
    <t>8ef9d41800b78f6</t>
  </si>
  <si>
    <t>华为擎云 C5e(第2代) BZH5-W00 （8GB+128GB）</t>
  </si>
  <si>
    <t>iPhone 17 256GB 5G全网通 薰衣草紫色</t>
  </si>
  <si>
    <t>iPhone 17 256GB 5G全网通 青雾蓝</t>
  </si>
  <si>
    <t>iPhone 17 Pro Max 256GB 5G全网通 深蓝色</t>
  </si>
  <si>
    <t>iPhone 17 Pro 256GB 5G全网通 深蓝色</t>
  </si>
  <si>
    <t>iPhone 17 Pro Max 256GB 5G全网通 银色</t>
  </si>
  <si>
    <t>iPhone 17 256GB 5G全网通 鼠尾草绿色</t>
  </si>
  <si>
    <t>iPhone 17 Pro 256GB 5G全网通 银色</t>
  </si>
  <si>
    <t>iPhone 17 Pro Max 256GB 5G全网通 星宇橙色</t>
  </si>
  <si>
    <t>ma-8f0f1cb0003d627</t>
  </si>
  <si>
    <t>ma-8f0f1cb0003d626</t>
  </si>
  <si>
    <t>ma-8f0f1cb0003d63f</t>
  </si>
  <si>
    <t>ma-8f0f1cb0003d640</t>
  </si>
  <si>
    <t>8ef9d1a000b7401</t>
  </si>
  <si>
    <t>8f26272800b816f</t>
  </si>
  <si>
    <t>ma-8eb45530003ce4b</t>
  </si>
  <si>
    <t>ma-8eb45530003ce4c</t>
  </si>
  <si>
    <t>ma-8f0f1cb0003d734</t>
  </si>
  <si>
    <t>ma-8f0f1cb0003d733</t>
  </si>
  <si>
    <t>ma-8f0f1cb0003d739</t>
  </si>
  <si>
    <t>ma-8eb45530003ce6b</t>
  </si>
  <si>
    <t>ma-8f0f1cb0003d72f</t>
  </si>
  <si>
    <t>ma-8eb45530003ce5d</t>
  </si>
  <si>
    <t>ma-8f0f1cb0003d72e</t>
  </si>
  <si>
    <t>ma-8eb45530003ce9f</t>
  </si>
  <si>
    <t>ma-8f0f1cb8003d631</t>
  </si>
  <si>
    <t>ma-8f0f1cb0003d7cd</t>
  </si>
  <si>
    <t>ma-8f0f1cb0003d75a</t>
  </si>
  <si>
    <t>ma-8eb45530003ce8c</t>
  </si>
  <si>
    <t>ma-8f0f1cb0003d75b</t>
  </si>
  <si>
    <t>ma-8eb45530003ce8d</t>
  </si>
  <si>
    <t>ma-8eb45530003cef2</t>
  </si>
  <si>
    <t>ma-8eb45530003cef3</t>
  </si>
  <si>
    <t>ma-8eb45530003cec5-1</t>
  </si>
  <si>
    <t>ma-8eb45530003cf80</t>
  </si>
  <si>
    <t>ma-8f0f1cb8003d64f</t>
  </si>
  <si>
    <t>ma-8f0f1cb8003d650</t>
  </si>
  <si>
    <t>ma-8f0f1cb8003d64e</t>
  </si>
  <si>
    <t>ma-8f6dce00003de00</t>
  </si>
  <si>
    <t>ma-8f6dcc30003da03</t>
  </si>
  <si>
    <t>ma-8f6dcc30003da02</t>
  </si>
  <si>
    <t>ma-8f6dcc30003da0c</t>
  </si>
  <si>
    <t>ma-8f6dce00003de12</t>
  </si>
  <si>
    <t>ma-8f6dcc30003da0d</t>
  </si>
  <si>
    <t>8f48059800b8848</t>
  </si>
  <si>
    <t>ma-8f6dcc30003da74</t>
  </si>
  <si>
    <t>ma-8f6dce00003de61</t>
  </si>
  <si>
    <t>ma-8f6dcc30003da75</t>
  </si>
  <si>
    <t>ma-8f6dcc30003da73</t>
  </si>
  <si>
    <t>ma-8f6dce00003de76</t>
  </si>
  <si>
    <t>8f4805b000b88a1</t>
  </si>
  <si>
    <t>8f4805b000b88a0</t>
  </si>
  <si>
    <t>ma-8f6dcc30003db07</t>
  </si>
  <si>
    <t>ma-8f6dcc30003db08</t>
  </si>
  <si>
    <t>ma-8f6dcc30003db09</t>
  </si>
  <si>
    <t>ma-8f6dce00003deac</t>
  </si>
  <si>
    <t>ma-8f6dce00003deab</t>
  </si>
  <si>
    <t>ma-8f6dce00003decd</t>
  </si>
  <si>
    <t>ma-8f6dce00003decb</t>
  </si>
  <si>
    <t>ma-8f6dce00003dec8</t>
  </si>
  <si>
    <t>ma-8f6dce00003dec6</t>
  </si>
  <si>
    <t>ma-8f6dce00003ded4</t>
  </si>
  <si>
    <t>ma-8f6dce00003ded7</t>
  </si>
  <si>
    <t>ma-8f6dcc30003daed</t>
  </si>
  <si>
    <t>ma-8f6dcc30003daec</t>
  </si>
  <si>
    <t>ma-8f6dce00003ded1</t>
  </si>
  <si>
    <t>ma-8f6dce00003decc</t>
  </si>
  <si>
    <t>ma-8f6dce00003dec2</t>
  </si>
  <si>
    <t>ma-8f6dce00003dec1</t>
  </si>
  <si>
    <t>ma-8f6dce00003dec4</t>
  </si>
  <si>
    <t>ma-8f6dce00003dec5</t>
  </si>
  <si>
    <t>ma-8f6dce00003decf</t>
  </si>
  <si>
    <t>ma-8f6dce00003ded5</t>
  </si>
  <si>
    <t>ma-8f6dce00003dece</t>
  </si>
  <si>
    <t>ma-8f6dce00003ded6</t>
  </si>
  <si>
    <t>ma-8f6dce00003ded2</t>
  </si>
  <si>
    <t>ma-8f6dce00003ded8</t>
  </si>
  <si>
    <t>ma-8f6dce00003ded9</t>
  </si>
  <si>
    <t>ma-8f6dce00003ded0</t>
  </si>
  <si>
    <t>ma-8f6dce00003ded3</t>
  </si>
  <si>
    <t>玄武区正辉</t>
  </si>
  <si>
    <t>ma-8f6dce00003dee9</t>
  </si>
  <si>
    <t>ma-8f6dce00003dee8</t>
  </si>
  <si>
    <t>ma-8f6dce00003dee7</t>
  </si>
  <si>
    <t>8fa4c0d800b8c20</t>
  </si>
  <si>
    <t>ma-8f6dcc30003db9a</t>
  </si>
  <si>
    <t>ma-8f6dcc30003db93</t>
  </si>
  <si>
    <t>ma-8f6dce00003df94</t>
  </si>
  <si>
    <t>ma-8f6dce00003df93</t>
  </si>
  <si>
    <t>ma-8f6dcc30003db92</t>
  </si>
  <si>
    <t>ma-8f6dcc30003db9f</t>
  </si>
  <si>
    <t>ma-8f6dcc30003db9d</t>
  </si>
  <si>
    <t>ma-8f6dcc30003db9c</t>
  </si>
  <si>
    <t>ma-8f6dcc30003db9b</t>
  </si>
  <si>
    <t>ma-8f6dcc30003db9e</t>
  </si>
  <si>
    <t>ma-8f6dcc30003dbee</t>
  </si>
  <si>
    <t>华为Hi畅享80Pro 星空黑-12G+512G</t>
  </si>
  <si>
    <t>ma-8f6dcc30003dbf1</t>
  </si>
  <si>
    <t>ma-8f6dcc30003dbf2</t>
  </si>
  <si>
    <t>华为Hi畅享80Pro 晨光白-12G+512G</t>
  </si>
  <si>
    <t>ma-8f6dcc30003dbec</t>
  </si>
  <si>
    <t>ma-8fb16cd0003e608</t>
  </si>
  <si>
    <t>ma-8fb16cd0003e60a</t>
  </si>
  <si>
    <t>ma-8fb16948003e208</t>
  </si>
  <si>
    <t>ma-8fb16cd0003e609</t>
  </si>
  <si>
    <t>ma-8fb16cd0003e634</t>
  </si>
  <si>
    <t>ma-8fb16948003e233</t>
  </si>
  <si>
    <t>ma-8fb16948003e234</t>
  </si>
  <si>
    <t>ma-8fb16948003e23b</t>
  </si>
  <si>
    <t>ma-8fb16948003e23c</t>
  </si>
  <si>
    <t>ma-8fb16948003e242</t>
  </si>
  <si>
    <t>ma-8fb16948003e243</t>
  </si>
  <si>
    <t>ma-8fb16cd0003e63d</t>
  </si>
  <si>
    <t>ma-8fb16cd0003e63e</t>
  </si>
  <si>
    <t>ma-8fb16948003e252</t>
  </si>
  <si>
    <t>ma-8fb16cd0003e644</t>
  </si>
  <si>
    <t>ma-8fb16948003e24e</t>
  </si>
  <si>
    <t>ma-8fb16948003e28e</t>
  </si>
  <si>
    <t>ma-8fb16cd0003e691</t>
  </si>
  <si>
    <t>ma-8fb16948003e28d</t>
  </si>
  <si>
    <t>8fb1691000ba1d1</t>
  </si>
  <si>
    <t>8fb1691000ba1e6</t>
  </si>
  <si>
    <t>8fb1691000ba1e5</t>
  </si>
  <si>
    <t>ma-8fb16cd0003e71e</t>
  </si>
  <si>
    <t>ma-8fb16cd0003e71d</t>
  </si>
  <si>
    <t>ma-8fb16cd0003e71c</t>
  </si>
  <si>
    <t>ma-8fb16cd0003e7b1</t>
  </si>
  <si>
    <t>ma-8fb16cd0003e7b2</t>
  </si>
  <si>
    <t>ma-8fb16cd0003e7b0</t>
  </si>
  <si>
    <t>ma-8fb16cd0003e7d1</t>
  </si>
  <si>
    <t>ma-8fb16cd0003e7d2</t>
  </si>
  <si>
    <t>ma-8fb16cd0003e7d3</t>
  </si>
  <si>
    <t>ma-8fb16cd8003e61a</t>
  </si>
  <si>
    <t>ma-8fb16cd8003e614</t>
  </si>
  <si>
    <t>ma-8fb16cd8003e607</t>
  </si>
  <si>
    <t>ma-8fb16cd8003e612</t>
  </si>
  <si>
    <t>ma-8fb16cd8003e621</t>
  </si>
  <si>
    <t>ma-8fb16cd8003e60e</t>
  </si>
  <si>
    <t>ma-8fb16cd8003e61b</t>
  </si>
  <si>
    <t>ma-8fb16cd8003e625</t>
  </si>
  <si>
    <t>ma-8fb16cd8003e623</t>
  </si>
  <si>
    <t>ma-8fb16cd8003e610</t>
  </si>
  <si>
    <t>ma-8fb16cd8003e61f</t>
  </si>
  <si>
    <t>ma-8fb16cd8003e608</t>
  </si>
  <si>
    <t>ma-8fb16cd8003e601</t>
  </si>
  <si>
    <t>ma-8fb16cd8003e60b</t>
  </si>
  <si>
    <t>ma-8fb16cd8003e622</t>
  </si>
  <si>
    <t>ma-8fb16cd8003e60f</t>
  </si>
  <si>
    <t>ma-8fb16cd8003e61c</t>
  </si>
  <si>
    <t>ma-8fb16cd8003e617</t>
  </si>
  <si>
    <t>ma-8fb16cd8003e618</t>
  </si>
  <si>
    <t>ma-8fb16cd8003e61e</t>
  </si>
  <si>
    <t>ma-8fb16cd8003e626</t>
  </si>
  <si>
    <t>ma-8fb16cd8003e60a</t>
  </si>
  <si>
    <t>ma-8fb16cd8003e616</t>
  </si>
  <si>
    <t>ma-8fb16cd8003e613</t>
  </si>
  <si>
    <t>ma-8fb16cd8003e603</t>
  </si>
  <si>
    <t>ma-8fb16cd8003e624</t>
  </si>
  <si>
    <t>ma-8fb16cd8003e605</t>
  </si>
  <si>
    <t>ma-8fb16cd8003e61d</t>
  </si>
  <si>
    <t>ma-8fb16cd8003e619</t>
  </si>
  <si>
    <t>ma-8fb16cd8003e611</t>
  </si>
  <si>
    <t>ma-8fb16cd8003e609</t>
  </si>
  <si>
    <t>ma-8fb16cd8003e604</t>
  </si>
  <si>
    <t>ma-8fb16cd8003e615</t>
  </si>
  <si>
    <t>ma-8fb16cd8003e60c</t>
  </si>
  <si>
    <t>ma-8fb16cd8003e606</t>
  </si>
  <si>
    <t>ma-8fb16cd8003e60d</t>
  </si>
  <si>
    <t>ma-8fb16cd8003e620</t>
  </si>
  <si>
    <t>ma-8fb16950003e206</t>
  </si>
  <si>
    <t>ma-8fb16950003e205</t>
  </si>
  <si>
    <t>ma-8fb16950003e204</t>
  </si>
  <si>
    <t>ma-8fb16cd8003e643</t>
  </si>
  <si>
    <t>ma-8fb16cd8003e642</t>
  </si>
  <si>
    <t>8ff0760000ba4aa-1</t>
  </si>
  <si>
    <t>ma-8fb16950003e231</t>
  </si>
  <si>
    <t>ma-8fb16cd8003e654</t>
  </si>
  <si>
    <t>ma-8fb16950003e230</t>
  </si>
  <si>
    <t>ma-8fb16950003e232</t>
  </si>
  <si>
    <t>采退单号：35502166</t>
  </si>
  <si>
    <t>ma-8fb16cd8003e65f</t>
  </si>
  <si>
    <t>8ff0760000ba536-1</t>
  </si>
  <si>
    <t>ma-8fb16cd8003e683</t>
  </si>
  <si>
    <t>ma-8fb16cd8003e6b9</t>
  </si>
  <si>
    <t>ma-8fb16cd8003e6b3</t>
  </si>
  <si>
    <t>ma-8fb16cd8003e6b7</t>
  </si>
  <si>
    <t>ma-8fb16cd8003e6b5</t>
  </si>
  <si>
    <t>ma-8fb16cd8003e6b6</t>
  </si>
  <si>
    <t>ma-8fb16cd8003e6b8</t>
  </si>
  <si>
    <t>ma-8fb16cd8003e6b4</t>
  </si>
  <si>
    <t>ma-8fb16950003e2f5</t>
  </si>
  <si>
    <t>8ff0760000ba586</t>
  </si>
  <si>
    <t>8ff0786000ba803</t>
  </si>
  <si>
    <t>8ff0760000ba581</t>
  </si>
  <si>
    <t>8ff0760000ba57f</t>
  </si>
  <si>
    <t>8ff0760000ba580</t>
  </si>
  <si>
    <t>8ff0760000ba584</t>
  </si>
  <si>
    <t>8ff0760000ba585</t>
  </si>
  <si>
    <t>8ff0760000ba582</t>
  </si>
  <si>
    <t>8ff0760000ba583</t>
  </si>
  <si>
    <t>8ff0760000ba587</t>
  </si>
  <si>
    <t>8ff0760000ba588</t>
  </si>
  <si>
    <t>8ff0787000ba8f2-1</t>
  </si>
  <si>
    <t>8ff0761000ba5dd-1</t>
  </si>
  <si>
    <t>ma-8fb16950003e38b</t>
  </si>
  <si>
    <t>ma-8fb16950003e38a</t>
  </si>
  <si>
    <t>ma-8fb16950003e389</t>
  </si>
  <si>
    <t>9025754800bac88-1</t>
  </si>
  <si>
    <t>9025784000bb0c1-1</t>
  </si>
  <si>
    <t>9025754800bac89-1</t>
  </si>
  <si>
    <t>ma-8fb16958003e206</t>
  </si>
  <si>
    <t>ma-8fb16958003e207</t>
  </si>
  <si>
    <t>ma-8fb16958003e208</t>
  </si>
  <si>
    <t>ma-8fb16958003e209</t>
  </si>
  <si>
    <t>ma-8fb16ce0003e612</t>
  </si>
  <si>
    <t>ma-8fb16958003e20a</t>
  </si>
  <si>
    <t>ma-8fb16958003e20b</t>
  </si>
  <si>
    <t>ma-8fb16ce0003e613</t>
  </si>
  <si>
    <t>ma-8fb16ce0003e64a</t>
  </si>
  <si>
    <t>ma-8fb16ce0003e649</t>
  </si>
  <si>
    <t>ma-8fb16958003e23d</t>
  </si>
  <si>
    <t>ma-8fb16ce0003e648</t>
  </si>
  <si>
    <t>ma-8fb16ce0003e647</t>
  </si>
  <si>
    <t>ma-8fb16ce0003e646</t>
  </si>
  <si>
    <t>9025755800badbf-1</t>
  </si>
  <si>
    <t>9025785000bb1ac-1</t>
  </si>
  <si>
    <t>9025755800badc0-1</t>
  </si>
  <si>
    <t>ma-9044fe38003ee1d</t>
  </si>
  <si>
    <t>ma-9044fe38003ee2b</t>
  </si>
  <si>
    <t>ma-9044fe38003ee1a</t>
  </si>
  <si>
    <t>ma-9044fe38003ee19</t>
  </si>
  <si>
    <t>ma-9044fe38003ee28</t>
  </si>
  <si>
    <t>ma-9044fe38003ee26</t>
  </si>
  <si>
    <t>ma-9044fe38003ee1b</t>
  </si>
  <si>
    <t>ma-9044fe38003ee22</t>
  </si>
  <si>
    <t>ma-9044fe38003ee2c</t>
  </si>
  <si>
    <t>ma-9044fe38003ee21</t>
  </si>
  <si>
    <t>ma-9044fe38003ee27</t>
  </si>
  <si>
    <t>ma-9044fe38003ee1e</t>
  </si>
  <si>
    <t>ma-9044fe38003ee1c</t>
  </si>
  <si>
    <t>ma-9044fe38003ee23</t>
  </si>
  <si>
    <t>ma-9044fe38003ee25</t>
  </si>
  <si>
    <t>ma-9044fe38003ee24</t>
  </si>
  <si>
    <t>ma-9044fe38003ee18</t>
  </si>
  <si>
    <t>ma-9044fe38003ee20</t>
  </si>
  <si>
    <t>ma-9044fe38003ee2a</t>
  </si>
  <si>
    <t>ma-9044fe38003ee1f</t>
  </si>
  <si>
    <t>ma-9044fe38003ee29</t>
  </si>
  <si>
    <t>9025756000bac0c-1</t>
  </si>
  <si>
    <t>9025785800bb023-1</t>
  </si>
  <si>
    <t>9025785800bb024-1</t>
  </si>
  <si>
    <t>ma-9044fe38003ee38</t>
  </si>
  <si>
    <t>ma-9044fe38003ee3f</t>
  </si>
  <si>
    <t>ma-9044fe38003ee3e</t>
  </si>
  <si>
    <t>采退单号：36284163</t>
  </si>
  <si>
    <t>ma-9044fe38003eef5</t>
  </si>
  <si>
    <t>ma-9044fe38003eef3</t>
  </si>
  <si>
    <t>ma-9044fe38003eef4</t>
  </si>
  <si>
    <t>ma-9044fe38003ef01</t>
  </si>
  <si>
    <t>ma-9044fe38003eefc</t>
  </si>
  <si>
    <t>ma-9044fe38003eefb</t>
  </si>
  <si>
    <t>ma-9044fe38003eeff</t>
  </si>
  <si>
    <t>ma-9044fe38003eef9</t>
  </si>
  <si>
    <t>ma-9044fe38003eefe</t>
  </si>
  <si>
    <t>ma-9044fe38003eefd</t>
  </si>
  <si>
    <t>ma-9044fe38003eef8</t>
  </si>
  <si>
    <t>ma-9044fe38003eefa</t>
  </si>
  <si>
    <t>ma-9044fe38003ef00</t>
  </si>
  <si>
    <t>ma-9058e6e0003f26a</t>
  </si>
  <si>
    <t>ma-9058e6e0003f276</t>
  </si>
  <si>
    <t>ma-9058e6e0003f274</t>
  </si>
  <si>
    <t>ma-9058e6e0003f277</t>
  </si>
  <si>
    <t>ma-9058e6e0003f273</t>
  </si>
  <si>
    <t>ma-9058e6e0003f275</t>
  </si>
  <si>
    <t>ma-9058e6e0003f272</t>
  </si>
  <si>
    <t>ma-9058e6e0003f27f</t>
  </si>
  <si>
    <t>ma-9058e6e0003f280</t>
  </si>
  <si>
    <t>ma-9058e6e0003f281</t>
  </si>
  <si>
    <t>ma-9044fe38003ef05</t>
  </si>
  <si>
    <t>ma-9044fe38003ef04</t>
  </si>
  <si>
    <t>ma-9058e6e0003f288</t>
  </si>
  <si>
    <t>ma-9058e6e0003f287</t>
  </si>
  <si>
    <t>ma-9058e6e0003f2c4</t>
  </si>
  <si>
    <t>ma-9058e6e0003f2c5</t>
  </si>
  <si>
    <t>ma-9058e6e0003f2c7</t>
  </si>
  <si>
    <t>ma-9058e6e0003f2c9</t>
  </si>
  <si>
    <t>ma-9058e6e0003f2c6</t>
  </si>
  <si>
    <t>ma-9058e6e0003f2c8</t>
  </si>
  <si>
    <t>ma-9058e6e0003f2c3</t>
  </si>
  <si>
    <t>ma-9044fe38003ef50</t>
  </si>
  <si>
    <t>9026ffc800bb10b-1</t>
  </si>
  <si>
    <t>9026ffc800bb10d-1</t>
  </si>
  <si>
    <t>9026ffc800bb10c-1</t>
  </si>
  <si>
    <t>ma-9044fe38003ef5c</t>
  </si>
  <si>
    <t>9025758000bad3c-1</t>
  </si>
  <si>
    <t>9026ffc800bb147-1</t>
  </si>
  <si>
    <t>9025758000bad3d-1</t>
  </si>
  <si>
    <t xml:space="preserve"> </t>
  </si>
  <si>
    <t>ma-9044fe38003ef7f</t>
  </si>
  <si>
    <t>ma-9044fe38003ef80</t>
  </si>
  <si>
    <t>ma-9058e6e0003f315</t>
  </si>
  <si>
    <t>ma-9058e6e0003f306</t>
  </si>
  <si>
    <t>ma-9058e6e0003f307</t>
  </si>
  <si>
    <t>ma-9044fe38003ef9b</t>
  </si>
  <si>
    <t>ma-9044fe38003efb0</t>
  </si>
  <si>
    <t>ma-9044fe38003efaf</t>
  </si>
  <si>
    <t>ma-9044fe38003efa7</t>
  </si>
  <si>
    <t>ma-9044fe38003efaa</t>
  </si>
  <si>
    <t>ma-9044fe38003efae</t>
  </si>
  <si>
    <t>ma-9058e6e0003f324</t>
  </si>
  <si>
    <t>ma-9044fe38003efa8</t>
  </si>
  <si>
    <t>ma-9044fe38003efab</t>
  </si>
  <si>
    <t>ma-9058e6e0003f323</t>
  </si>
  <si>
    <t>ma-9044fe38003efac</t>
  </si>
  <si>
    <t>90843d0000bb4a4-1</t>
  </si>
  <si>
    <t>90843d0000bb55f-1</t>
  </si>
  <si>
    <t>90843fe800bb9a4-1</t>
  </si>
  <si>
    <t>ma-90c9b2e8003fa00</t>
  </si>
  <si>
    <t>ma-9044fe40003ee8f</t>
  </si>
  <si>
    <t>90843ff000bb96d-1</t>
  </si>
  <si>
    <t>90843ff000bb96c-1</t>
  </si>
  <si>
    <t>90843ff000bb96e-1</t>
  </si>
  <si>
    <t>ma-9044fe40003ef1b</t>
  </si>
  <si>
    <t>ma-90c9b2e8003facc</t>
  </si>
  <si>
    <t>ma-90c9b2e8003faf3</t>
  </si>
  <si>
    <t>ma-90c9b2e8003faf4</t>
  </si>
  <si>
    <t>hw2605071000-1</t>
  </si>
  <si>
    <t>hw2605071000-2</t>
  </si>
  <si>
    <t>hw260509200-1</t>
  </si>
  <si>
    <t>ma-90c9b2e8003fb59</t>
  </si>
  <si>
    <t>ma-9044fe40003efe6</t>
  </si>
  <si>
    <t>ma-9044fe40003efe7</t>
  </si>
  <si>
    <t>ma-90c9b2e8003fb89</t>
  </si>
  <si>
    <t>ma-90c9b2e8003fb86</t>
  </si>
  <si>
    <t>ma-90c9b2e8003fb8c</t>
  </si>
  <si>
    <t>ma-90c9b2e8003fb81</t>
  </si>
  <si>
    <t>ma-90c9b2e8003fb83</t>
  </si>
  <si>
    <t>ma-90c9b2e8003fb88</t>
  </si>
  <si>
    <t>ma-90c9b2e8003fb7f</t>
  </si>
  <si>
    <t>ma-90c9b2e8003fb8a</t>
  </si>
  <si>
    <t>ma-90c9b2e8003fb8b</t>
  </si>
  <si>
    <t>ma-90c9b2e8003fb82</t>
  </si>
  <si>
    <t>ma-90c9b2e8003fb85</t>
  </si>
  <si>
    <t>ma-90c9b2e8003fb80</t>
  </si>
  <si>
    <t>ma-90c9b2e8003fb7e</t>
  </si>
  <si>
    <t>ma-90c9b2e8003fb84</t>
  </si>
  <si>
    <t>ma-90c9b2e8003fb87</t>
  </si>
  <si>
    <t>ma-90c9b2e8003fbea</t>
  </si>
  <si>
    <t>ma-90c9b2e8003fbe8</t>
  </si>
  <si>
    <t>ma-90c9b2e8003fbe9</t>
  </si>
  <si>
    <t>ma-90c9b2e8003fbeb</t>
  </si>
  <si>
    <t>ma-90c9b2e8003fbec</t>
  </si>
  <si>
    <t>ma-9044fe48003ee4f</t>
  </si>
  <si>
    <t>ma-9044fe48003ee50</t>
  </si>
  <si>
    <t>ma-9044fe48003ee4e</t>
  </si>
  <si>
    <t>ma-90c9b2e8003fbee</t>
  </si>
  <si>
    <t>ma-90c9b2e8003fbf1</t>
  </si>
  <si>
    <t>ma-90c9b2e8003fbf2</t>
  </si>
  <si>
    <t>ma-90c9b2e8003fbf0</t>
  </si>
  <si>
    <t>ma-90c9b2e8003fbef</t>
  </si>
  <si>
    <t>ma-90c9b2f0003fa16</t>
  </si>
  <si>
    <t>ma-90c9b2f0003fa17</t>
  </si>
  <si>
    <t>90d89fb000bc48b-1</t>
  </si>
  <si>
    <t>ma-9044fe48003eeb9</t>
  </si>
  <si>
    <t>ma-9044fe48003eeb1</t>
  </si>
  <si>
    <t>ma-9044fe48003eed3</t>
  </si>
  <si>
    <t>ma-9044fe48003eed4</t>
  </si>
  <si>
    <t>ma-9044fe48003eed5</t>
  </si>
  <si>
    <t>ma-9044fe48003ef29</t>
  </si>
  <si>
    <t>ma-9044fe48003ef2c</t>
  </si>
  <si>
    <t>ma-9044fe48003ef2e</t>
  </si>
  <si>
    <t>ma-9044fe48003ef2d</t>
  </si>
  <si>
    <t>ma-9044fe48003ef28</t>
  </si>
  <si>
    <t>ma-9044fe48003ef2b</t>
  </si>
  <si>
    <t>ma-9044fe48003ef2a</t>
  </si>
  <si>
    <t>ma-90c9b2f0003fad7</t>
  </si>
  <si>
    <t>hw2605121400-1</t>
  </si>
  <si>
    <t>hw260512300-2</t>
  </si>
  <si>
    <t>ma-90c9b2f0003fb04</t>
  </si>
  <si>
    <t>ma-910da9c80040637</t>
  </si>
  <si>
    <t>ma-910da9c80040638</t>
  </si>
  <si>
    <t>ma-910da9c80040635</t>
  </si>
  <si>
    <t>ma-910da9c80040639</t>
  </si>
  <si>
    <t>ma-910da9c8004063a</t>
  </si>
  <si>
    <t>ma-910da9c80040636</t>
  </si>
  <si>
    <t>OPPO A5 活力版</t>
  </si>
  <si>
    <t>ma-910da9c8004062f</t>
  </si>
  <si>
    <t>ma-910da9c8004062e</t>
  </si>
  <si>
    <t>ma-910da7f80040255-1</t>
  </si>
  <si>
    <t>ma-910da7f80040254-1</t>
  </si>
  <si>
    <t>ma-910da9c80040652-1</t>
  </si>
  <si>
    <t>ma-910da7f8004024a-1</t>
  </si>
  <si>
    <t>ma-910da7f80040256-1</t>
  </si>
  <si>
    <t>ma-910da7f80040253-1</t>
  </si>
  <si>
    <t>ma-910da7f80040252-1</t>
  </si>
  <si>
    <t>ma-910da7f8004024e-1</t>
  </si>
  <si>
    <t>ma-910da9c80040649-1</t>
  </si>
  <si>
    <t>ma-910da9c80040646-1</t>
  </si>
  <si>
    <t>ma-910da7f80040246-1</t>
  </si>
  <si>
    <t>ma-910da9c8004064e-1</t>
  </si>
  <si>
    <t>ma-910da7f80040250-1</t>
  </si>
  <si>
    <t>ma-910da7f8004024f-1</t>
  </si>
  <si>
    <t>ma-910da7f8004024d-1</t>
  </si>
  <si>
    <t>ma-910da9c80040650-1</t>
  </si>
  <si>
    <t>ma-910da7f80040251-1</t>
  </si>
  <si>
    <t>ma-910da7f8004024b-1</t>
  </si>
  <si>
    <t>ma-910da7f80040248-1</t>
  </si>
  <si>
    <t>ma-910da7f80040249-1</t>
  </si>
  <si>
    <t>ma-910da9c80040660-1</t>
  </si>
  <si>
    <t>ma-910da9c80040664-1</t>
  </si>
  <si>
    <t>ma-910da9c8004065f-1</t>
  </si>
  <si>
    <t>ma-910da9c80040667-1</t>
  </si>
  <si>
    <t>ma-910da9c8004065c-1</t>
  </si>
  <si>
    <t>ma-910da9c8004065d-1</t>
  </si>
  <si>
    <t>ma-910da9c80040668-1</t>
  </si>
  <si>
    <t>ma-910da9c80040665-1</t>
  </si>
  <si>
    <t>ma-910da9c80040662-1</t>
  </si>
  <si>
    <t>ma-910da9c80040655-1</t>
  </si>
  <si>
    <t>ma-910da9c8004064a-1</t>
  </si>
  <si>
    <t>ma-910da9c80040657-1</t>
  </si>
  <si>
    <t>ma-910da9c8004065e-1</t>
  </si>
  <si>
    <t>ma-910da9c80040666-1</t>
  </si>
  <si>
    <t>ma-910da9c80040661-1</t>
  </si>
  <si>
    <t>ma-910da9c8004065a-1</t>
  </si>
  <si>
    <t>ma-910da9c80040663-1</t>
  </si>
  <si>
    <t>ma-910da9c8004065b-1</t>
  </si>
  <si>
    <t>ma-910da9c80040648-1</t>
  </si>
  <si>
    <t>ma-910da9c80040645-1</t>
  </si>
  <si>
    <t>ma-910da9c80040651-1</t>
  </si>
  <si>
    <t>ma-910da7f80040234-1</t>
  </si>
  <si>
    <t>ma-910da7f8004023b-1</t>
  </si>
  <si>
    <t>ma-910da7f80040232-1</t>
  </si>
  <si>
    <t>ma-910da7f80040240-1</t>
  </si>
  <si>
    <t>ma-910da7f80040238-1</t>
  </si>
  <si>
    <t>ma-910da7f80040233-1</t>
  </si>
  <si>
    <t>ma-910da7f80040236-1</t>
  </si>
  <si>
    <t>ma-910da7f80040231-1</t>
  </si>
  <si>
    <t>ma-910da7f8004023d-1</t>
  </si>
  <si>
    <t>ma-910da7f80040230-1</t>
  </si>
  <si>
    <t>ma-910da7f80040237-1</t>
  </si>
  <si>
    <t>ma-910da7f8004022e-1</t>
  </si>
  <si>
    <t>ma-910da7f8004023a-1</t>
  </si>
  <si>
    <t>ma-910da7f80040235-1</t>
  </si>
  <si>
    <t>ma-910da7f8004023f-1</t>
  </si>
  <si>
    <t>ma-910da7f8004022f-1</t>
  </si>
  <si>
    <t>ma-910da7f8004023e-1</t>
  </si>
  <si>
    <t>ma-910da7f8004023c-1</t>
  </si>
  <si>
    <t>ma-910da7f80040239-1</t>
  </si>
  <si>
    <t>ma-910da7f80040247-1</t>
  </si>
  <si>
    <t>ma-910da9c80040656-1</t>
  </si>
  <si>
    <t>ma-910da9c8004064c-1</t>
  </si>
  <si>
    <t>ma-910da9c8004064b-1</t>
  </si>
  <si>
    <t>ma-910da9c80040647-1</t>
  </si>
  <si>
    <t>ma-910da9c8004064f-1</t>
  </si>
  <si>
    <t>ma-910da9c80040654-1</t>
  </si>
  <si>
    <t>ma-910da9c80040644-1</t>
  </si>
  <si>
    <t>ma-910da9c8004064d-1</t>
  </si>
  <si>
    <t>ma-910da9c80040653-1</t>
  </si>
  <si>
    <t>ma-910da7f8004024c-1</t>
  </si>
  <si>
    <t xml:space="preserve">ma-910da9c80040678
</t>
  </si>
  <si>
    <t>ma-910da7f80040241</t>
  </si>
  <si>
    <t>ma-910da9c8004066a</t>
  </si>
  <si>
    <t>ma-910da7f8004022d</t>
  </si>
  <si>
    <t>ma-910da7f8004027e</t>
  </si>
  <si>
    <t>ma-910da7f8004027d</t>
  </si>
  <si>
    <t>hw2605141000-1</t>
  </si>
  <si>
    <t>穿戴</t>
  </si>
  <si>
    <t>hw2605142000-2</t>
  </si>
  <si>
    <t xml:space="preserve">ma-910da7f80040285
</t>
  </si>
  <si>
    <t>ma-910da9c800406ce</t>
  </si>
  <si>
    <t>ma-910da9c800406ca</t>
  </si>
  <si>
    <t>ma-910da9c800406cd</t>
  </si>
  <si>
    <t>ma-910da9c800406cb</t>
  </si>
  <si>
    <t>ma-910da9c800406cc</t>
  </si>
  <si>
    <t>910d963800bc802-1</t>
  </si>
  <si>
    <t>ma-912cad580040a21</t>
  </si>
  <si>
    <t>ma-912cad580040a20</t>
  </si>
  <si>
    <t>深圳市青泓源制冷设备有限公司</t>
  </si>
  <si>
    <t>hx06255-1</t>
  </si>
  <si>
    <t>hx06251-2</t>
  </si>
  <si>
    <t>ma-913cd7d0004120f</t>
  </si>
  <si>
    <t>ma-913cd7d00041208</t>
  </si>
  <si>
    <t>ma-913cd7d0004120d</t>
  </si>
  <si>
    <t>ma-913cd7d00041209</t>
  </si>
  <si>
    <t>ma-913cd7d0004120e</t>
  </si>
  <si>
    <t>ma-913cd7d0004120c</t>
  </si>
  <si>
    <t>ma-913cd7d0004120b</t>
  </si>
  <si>
    <t>ma-913cd7d0004120a</t>
  </si>
  <si>
    <t>hw260517500-1</t>
  </si>
  <si>
    <t>hw2605172100-2</t>
  </si>
  <si>
    <t>hw260517400-3</t>
  </si>
  <si>
    <t>ma-913ec7180041a30</t>
  </si>
  <si>
    <t>913ec6d800be8bf-1</t>
  </si>
  <si>
    <t>ma-913ec7180041a88</t>
  </si>
  <si>
    <t>ma-913ec7180041a87</t>
  </si>
  <si>
    <t>ma-913ec7180041a89</t>
  </si>
  <si>
    <t>9149b14000bf90c-1</t>
  </si>
  <si>
    <t>ma-913ec7a80041ecb</t>
  </si>
  <si>
    <t>ma-913ec7180041ad0</t>
  </si>
  <si>
    <t>ma-913ec7180041acf</t>
  </si>
  <si>
    <t>ma-913ec7a80041ea3</t>
  </si>
  <si>
    <t>ma-913ec7180041ad1</t>
  </si>
  <si>
    <t>ma-913ec7a80041ea4</t>
  </si>
  <si>
    <t>ma-913ec7a80041ea5</t>
  </si>
  <si>
    <t>ma-913ec7a80041ea0</t>
  </si>
  <si>
    <t>ma-913ec7a80041ea1</t>
  </si>
  <si>
    <t>ma-913ec7a80041e9f</t>
  </si>
  <si>
    <t>ma-913ec7a80041ea2</t>
  </si>
  <si>
    <t>ma-913ec7a80041eee</t>
  </si>
  <si>
    <t>hw260519800-3</t>
  </si>
  <si>
    <t>hw260519400-4</t>
  </si>
  <si>
    <t>ma-913ec7180041b5f</t>
  </si>
  <si>
    <t>ma-913ec7a80041f2c</t>
  </si>
  <si>
    <t>hw2605201200-1</t>
  </si>
  <si>
    <t>ma-915850080042e01</t>
  </si>
  <si>
    <t>ma-915850080042e0b</t>
  </si>
  <si>
    <t>ma-91584ff00042a26</t>
  </si>
  <si>
    <t>ma-915850080042e35</t>
  </si>
  <si>
    <t>ma-915850080042e21</t>
  </si>
  <si>
    <t>ma-91584ff00042a1b</t>
  </si>
  <si>
    <t>ma-91584ff00042a1a</t>
  </si>
  <si>
    <t>hw260520300-1</t>
  </si>
  <si>
    <t>ma-915850080042e18</t>
  </si>
  <si>
    <t>ma-91584ff00042a2e</t>
  </si>
  <si>
    <t>ma-91584ff00042a25</t>
  </si>
  <si>
    <t>ma-91584ff00042a2d</t>
  </si>
  <si>
    <t>ma-915850080042e1c</t>
  </si>
  <si>
    <t>ma-915850080042e1b</t>
  </si>
  <si>
    <t>ma-91628cd80043e24</t>
  </si>
  <si>
    <t>hw2605211000-1</t>
  </si>
  <si>
    <t>ma-91628cd80043e07</t>
  </si>
  <si>
    <t>ma-91628cd80043e26</t>
  </si>
  <si>
    <t>ma-91628cd80043e35</t>
  </si>
  <si>
    <t>ma-91628cd80043e38</t>
  </si>
  <si>
    <t>ma-91628cd80043e37</t>
  </si>
  <si>
    <t>ma-91628cd80043e36</t>
  </si>
  <si>
    <t>ma-91628cd80043e34</t>
  </si>
  <si>
    <t>ma-91628b080043a20</t>
  </si>
  <si>
    <t>hw260521300-1</t>
  </si>
  <si>
    <t>91628d5800c31cd-1</t>
  </si>
  <si>
    <t>ma-91628b080043a58</t>
  </si>
  <si>
    <t>ma-91628b080043a57</t>
  </si>
  <si>
    <t>ma-91628cd80043e70</t>
  </si>
  <si>
    <t>ma-91628cd80043e71</t>
  </si>
  <si>
    <t>ma-91628cd80043e6f</t>
  </si>
  <si>
    <t>ma-91628cd80043e73</t>
  </si>
  <si>
    <t>ma-91628cd80043e72</t>
  </si>
  <si>
    <t>ma-91628cd80043e74</t>
  </si>
  <si>
    <t>ma-915850080042e15</t>
  </si>
  <si>
    <t>ma-915850080042e14</t>
  </si>
  <si>
    <t>ma-91628cd80043e9c</t>
  </si>
  <si>
    <t>ma-91628cd80043e9b</t>
  </si>
  <si>
    <t>ma-91628cd80043e9a</t>
  </si>
  <si>
    <t>hw2605222150-1</t>
  </si>
  <si>
    <t>hw260522450-1</t>
  </si>
  <si>
    <t>ma-91716c080044244</t>
  </si>
  <si>
    <t>ma-91716c080044241</t>
  </si>
  <si>
    <t>ma-91716c080044243</t>
  </si>
  <si>
    <t>ma-91716c080044242</t>
  </si>
  <si>
    <t>ma-91716c080044229</t>
  </si>
  <si>
    <t>ma-91628cd80043e97</t>
  </si>
  <si>
    <t>ma-91628cd80043ea8</t>
  </si>
  <si>
    <t>ma-91628cd80043eaa</t>
  </si>
  <si>
    <t>ma-91628cd80043ea7</t>
  </si>
  <si>
    <t>ma-91628cd80043ea9</t>
  </si>
  <si>
    <t>ma-91628cd80043ea6</t>
  </si>
  <si>
    <t>ma-91628cd80043eab</t>
  </si>
  <si>
    <t>ma-91716c08004424a</t>
  </si>
  <si>
    <t>济南共源商贸有限公司</t>
  </si>
  <si>
    <t>hx06251-3</t>
  </si>
  <si>
    <t>hw260522200-1</t>
  </si>
  <si>
    <t>ma-91628cd80043ec7</t>
  </si>
  <si>
    <t>ma-91628cd80043ec6</t>
  </si>
  <si>
    <t>hw26052570-1</t>
  </si>
  <si>
    <t>hw26052510-2</t>
  </si>
  <si>
    <t>hw2605259-3</t>
  </si>
  <si>
    <t>ma-918409800044624</t>
  </si>
  <si>
    <t>ma-918409c80044a1e</t>
  </si>
  <si>
    <t>ma-918409c80044a38</t>
  </si>
  <si>
    <t>ma-91840980004462b</t>
  </si>
  <si>
    <t>hx06251093-4</t>
  </si>
  <si>
    <t>918409e000c3441-1</t>
  </si>
  <si>
    <t>ma-918409c80044a67</t>
  </si>
  <si>
    <t>ma-91a24e780045210</t>
  </si>
  <si>
    <t>91a24ec800c3d3e-1</t>
  </si>
  <si>
    <t>ma-91584ff00042a11</t>
  </si>
  <si>
    <t>ma-91584ff00042a12</t>
  </si>
  <si>
    <t>ma-915850080042e13</t>
  </si>
  <si>
    <t>91abb08800c48b2-1</t>
  </si>
  <si>
    <t>hw260528200-1</t>
  </si>
  <si>
    <t>ma-91ac1c700045a51</t>
  </si>
  <si>
    <t>ma-91ac1a480045653</t>
  </si>
  <si>
    <t>ma-91ac1a480045654</t>
  </si>
  <si>
    <t>ma-91ac1a480045655</t>
  </si>
  <si>
    <t>ma-91ac1a480045656</t>
  </si>
  <si>
    <t>ma-91b70650004620b</t>
  </si>
  <si>
    <t>ma-91b704680045e06</t>
  </si>
  <si>
    <t>ma-91b70650004620a</t>
  </si>
  <si>
    <t>ma-91b704680045e05</t>
  </si>
  <si>
    <t>hw260529200-1</t>
  </si>
  <si>
    <t>ma-91b70650004620e</t>
  </si>
  <si>
    <t>ma-91b70650004620d</t>
  </si>
  <si>
    <t>ma-91b70650004620c</t>
  </si>
  <si>
    <t>ma-91b706500046220</t>
  </si>
  <si>
    <t>ma-91b70650004621f</t>
  </si>
  <si>
    <t>ma-91b70650004620f</t>
  </si>
  <si>
    <t>ma-91b706500046210</t>
  </si>
  <si>
    <t>91d1f39000c7441-1</t>
  </si>
  <si>
    <t>91d5ded000c791c-1</t>
  </si>
  <si>
    <t>ma-91b70650004626d</t>
  </si>
  <si>
    <t>ma-91b70650004626e</t>
  </si>
  <si>
    <t>ma-91b70650004626f</t>
  </si>
  <si>
    <t>ma-91de7dc8004665b</t>
  </si>
  <si>
    <t>ma-91de7dc8004665c</t>
  </si>
  <si>
    <t>ma-91b70650004631e</t>
  </si>
  <si>
    <t>ma-91b70650004631d</t>
  </si>
  <si>
    <t>ma-91b7065000462e5</t>
  </si>
  <si>
    <t>ma-91de7dc80046644</t>
  </si>
  <si>
    <t>RY260602400-1</t>
  </si>
  <si>
    <t>ma-91de7dc800466d4</t>
  </si>
  <si>
    <t>ma-91eb01f80046e3e</t>
  </si>
  <si>
    <t>ma-91eb00080046a6c</t>
  </si>
  <si>
    <t>ma-91eb00080046a6a</t>
  </si>
  <si>
    <t>ma-91eb00080046a6b</t>
  </si>
  <si>
    <t>ma-91eb00080046a6d</t>
  </si>
  <si>
    <t>ma-91eb00080046abf</t>
  </si>
  <si>
    <t>hw26060410-1</t>
  </si>
  <si>
    <t>RY260604270-2</t>
  </si>
  <si>
    <t>RY260604130-1</t>
  </si>
  <si>
    <t>ma-91eb00080046b1a</t>
  </si>
  <si>
    <t>91fe0d3800c9430-1</t>
  </si>
  <si>
    <t>ma-91fe0ce8004724b</t>
  </si>
  <si>
    <t>ma-91eb01f80046f6b</t>
  </si>
  <si>
    <t>ma-91eb01f80046f9e</t>
  </si>
  <si>
    <t>ma-91fe0ce80047289</t>
  </si>
  <si>
    <t>ma-91fe0ce80047288</t>
  </si>
  <si>
    <t>hw060530-1</t>
  </si>
  <si>
    <t>hw060510-2</t>
  </si>
  <si>
    <t>hw06057-3</t>
  </si>
  <si>
    <t>hw060515-4</t>
  </si>
  <si>
    <t>hw06055-5</t>
  </si>
  <si>
    <t>hw06057-6</t>
  </si>
  <si>
    <t>hw06058-7</t>
  </si>
  <si>
    <t>hw06058-8</t>
  </si>
  <si>
    <t>hw06056-9</t>
  </si>
  <si>
    <t>hw060510-10</t>
  </si>
  <si>
    <t>ma-91eb01f80046feb</t>
  </si>
  <si>
    <t>ma-92269f500047e04</t>
  </si>
  <si>
    <t>ma-92269f500047e06</t>
  </si>
  <si>
    <t>ma-92269f500047e05</t>
  </si>
  <si>
    <t>ma-920a80a80047697</t>
  </si>
  <si>
    <t>ma-920a80a80047698</t>
  </si>
  <si>
    <t>ma-920a80a80047696</t>
  </si>
  <si>
    <t>920a81a800c992d-1</t>
  </si>
  <si>
    <t>920a81a800c992b-1</t>
  </si>
  <si>
    <t>920a81a800c992c-1</t>
  </si>
  <si>
    <t>hw060820-1</t>
  </si>
  <si>
    <t>ma-92269f080047a0b</t>
  </si>
  <si>
    <t>ma-922a1fb80048609</t>
  </si>
  <si>
    <t>ma-922a1f680048205</t>
  </si>
  <si>
    <t>ma-922a1fb80048608</t>
  </si>
  <si>
    <t>ma-922a1fb80048607</t>
  </si>
  <si>
    <t>ma-922a1f680048204</t>
  </si>
  <si>
    <t>ma-922a1f680048203</t>
  </si>
  <si>
    <t>ma-922a1fb80048606</t>
  </si>
  <si>
    <t>ma-922a1fb80048605</t>
  </si>
  <si>
    <t>ma-922a1f680048202</t>
  </si>
  <si>
    <t>ma-922a1fb80048604</t>
  </si>
  <si>
    <t>ma-922a1fb80048611</t>
  </si>
  <si>
    <t>ma-9230aaa0004921a-1</t>
  </si>
  <si>
    <t>ma-9230aaa00049218-1</t>
  </si>
  <si>
    <t>ma-9230aaa00049213</t>
  </si>
  <si>
    <t>ma-9230aaa00049219-1</t>
  </si>
  <si>
    <t>ma-9230aaa00049216-1</t>
  </si>
  <si>
    <t>ma-9230aaa00049215-1</t>
  </si>
  <si>
    <t>ma-9230aaa00049217-1</t>
  </si>
  <si>
    <t>ma-9230aaa00049214-1</t>
  </si>
  <si>
    <t>ma-92306ea00048a18-1</t>
  </si>
  <si>
    <t>ma-92306ea00048a16-1</t>
  </si>
  <si>
    <t>ma-92306ea00048a0f-1</t>
  </si>
  <si>
    <t>ma-92306ea00048a12-1</t>
  </si>
  <si>
    <t>ma-92306ea00048a0b-1</t>
  </si>
  <si>
    <t>ma-92306ea00048a11-1</t>
  </si>
  <si>
    <t xml:space="preserve">ma-92306ea00048a15-1
</t>
  </si>
  <si>
    <t>ma-92306ea00048a14-1</t>
  </si>
  <si>
    <t>ma-92306ea00048a0e-1</t>
  </si>
  <si>
    <t>ma-92306ea00048a0d-1</t>
  </si>
  <si>
    <t>ma-92306ea00048a17-1</t>
  </si>
  <si>
    <t>ma-92306ea00048a0c-1</t>
  </si>
  <si>
    <t>ma-92306ea00048a10-1</t>
  </si>
  <si>
    <t>ma-9230aaa00049224-1</t>
  </si>
  <si>
    <t>ma-9230aaa00049221-1</t>
  </si>
  <si>
    <t>ma-9230aaa00049225-1</t>
  </si>
  <si>
    <t>ma-9230aaa00049223-1</t>
  </si>
  <si>
    <t>ma-9230aaa0004921f-1</t>
  </si>
  <si>
    <t>ma-9230aaa0004921e-1</t>
  </si>
  <si>
    <t>ma-9230aaa00049226-1</t>
  </si>
  <si>
    <t>ma-9230aaa00049220-1</t>
  </si>
  <si>
    <t>ma-9230aaa00049222-1</t>
  </si>
  <si>
    <t>ma-92306ea00048a21-1</t>
  </si>
  <si>
    <t>ma-92306ea00048a1d-1</t>
  </si>
  <si>
    <t>ma-92306ea00048a25-1</t>
  </si>
  <si>
    <t>ma-92306ea00048a1b-1</t>
  </si>
  <si>
    <t>ma-92306ea00048a20-1</t>
  </si>
  <si>
    <t>ma-92306ea00048a1e-1</t>
  </si>
  <si>
    <t>ma-92306ea00048a24-1</t>
  </si>
  <si>
    <t>ma-92306ea00048a1a-1</t>
  </si>
  <si>
    <t>ma-92306ea00048a22-1</t>
  </si>
  <si>
    <t>ma-92306ea00048a1f-1</t>
  </si>
  <si>
    <t>ma-92306ea00048a23-1</t>
  </si>
  <si>
    <t>ma-92306ea00048a1c-1</t>
  </si>
  <si>
    <t>RY260609260</t>
  </si>
  <si>
    <t>ma-9230aaa00049247</t>
  </si>
  <si>
    <t>ma-92306ea00048a4c</t>
  </si>
  <si>
    <t>ma-9230aaa00049248</t>
  </si>
  <si>
    <t>ma-9230aaa0004928d</t>
  </si>
  <si>
    <t>ma-92306ea00048a88</t>
  </si>
  <si>
    <t>ma-9230aaa0004928e</t>
  </si>
  <si>
    <t>ma-92306ea00048a8a</t>
  </si>
  <si>
    <t>ma-9230aaa0004928f</t>
  </si>
  <si>
    <t>ma-92306ea00048a89</t>
  </si>
  <si>
    <t>ma-92306ea00048a87</t>
  </si>
  <si>
    <t>ma-92306ea00048aa0</t>
  </si>
  <si>
    <t>ma-92306ea00048aa1</t>
  </si>
  <si>
    <t>ma-92306ea00048ab4</t>
  </si>
  <si>
    <t>ma-9230aaa000492bb</t>
  </si>
  <si>
    <t>ma-9230aaa000492cb</t>
  </si>
  <si>
    <t>ma-9230aaa000492d2</t>
  </si>
  <si>
    <t>ma-92306ea00048ae4</t>
  </si>
  <si>
    <t>ma-92306ea00048af5</t>
  </si>
  <si>
    <t>ma-92306ea00048b1d</t>
  </si>
  <si>
    <t>ma-9230aaa0004936b</t>
  </si>
  <si>
    <t>ma-92512f600049a01</t>
  </si>
  <si>
    <t>ma-92512f600049a00</t>
  </si>
  <si>
    <t>ma-92512f600049a02</t>
  </si>
  <si>
    <t>ma-92512f600049a16</t>
  </si>
  <si>
    <t>ma-92512f600049a3b</t>
  </si>
  <si>
    <t>ma-92512f600049a3a</t>
  </si>
  <si>
    <t>ma-92512d88004963d</t>
  </si>
  <si>
    <t>ma-926536a0004fa13</t>
  </si>
  <si>
    <t>ma-926536a0004fa15</t>
  </si>
  <si>
    <t>ma-926536a0004fa14</t>
  </si>
  <si>
    <t>ma-926536a0004fa16</t>
  </si>
  <si>
    <t>ma-926536a0004fa00</t>
  </si>
  <si>
    <t>ma-926536a0004fa2a</t>
  </si>
  <si>
    <t>ma-926536a0004fa29</t>
  </si>
  <si>
    <t>ma-926536a0004fa2b</t>
  </si>
  <si>
    <t>ma-92653610004f666</t>
  </si>
  <si>
    <t>ma-92653610004f678</t>
  </si>
  <si>
    <t>ma-92653610004f67b</t>
  </si>
  <si>
    <t>ma-92653610004f67c</t>
  </si>
  <si>
    <t>ma-92653610004f679</t>
  </si>
  <si>
    <t>ma-92653610004f67d</t>
  </si>
  <si>
    <t>ma-92653610004f67a</t>
  </si>
  <si>
    <t>ma-92653610004f688</t>
  </si>
  <si>
    <t>ma-9284a808005062f</t>
  </si>
  <si>
    <t>ma-9284a8780050a36</t>
  </si>
  <si>
    <t>ma-9284a8780050a44</t>
  </si>
  <si>
    <t>ma-9284a8780050a41</t>
  </si>
  <si>
    <t>ma-9284a8780050a42</t>
  </si>
  <si>
    <t>ma-9284a8780050a43</t>
  </si>
  <si>
    <t>ma-9284a8780050a46</t>
  </si>
  <si>
    <t>ma-9284a8780050a45</t>
  </si>
  <si>
    <t>ma-9284a8780050a48</t>
  </si>
  <si>
    <t>ma-9284a8780050a47</t>
  </si>
  <si>
    <t>ma-9284a8780050a49</t>
  </si>
  <si>
    <t>ma-9284a8080050610</t>
  </si>
  <si>
    <t>ma-9284a8080050627</t>
  </si>
  <si>
    <t>ma-9284a8080050629</t>
  </si>
  <si>
    <t>ma-9284a8080050626</t>
  </si>
  <si>
    <t>ma-9284a8080050680</t>
  </si>
  <si>
    <t>ma-9284a80800506ac</t>
  </si>
  <si>
    <t>ma-9284a80800506ab</t>
  </si>
  <si>
    <t>ma-9284a80800506a6</t>
  </si>
  <si>
    <t>ma-9284a80800506a9</t>
  </si>
  <si>
    <t>ma-9284a80800506a4</t>
  </si>
  <si>
    <t>ma-9284a80800506aa</t>
  </si>
  <si>
    <t>ma-9284a80800506a8</t>
  </si>
  <si>
    <t>ma-9284a80800506a5</t>
  </si>
  <si>
    <t>ma-9284a80800506a7</t>
  </si>
  <si>
    <t>ma-9284a80800506b1</t>
  </si>
  <si>
    <t>ma-9284a80800506b0</t>
  </si>
  <si>
    <t>ma-9284a80800506ae</t>
  </si>
  <si>
    <t>ma-9284a80800506af</t>
  </si>
  <si>
    <t>ma-9284a8780050acf</t>
  </si>
  <si>
    <t>ma-9284a8080050706</t>
  </si>
  <si>
    <t>ma-9284a8080050707</t>
  </si>
  <si>
    <t>ma-9284a8780050b12</t>
  </si>
  <si>
    <t>ma-9284a8780050b15</t>
  </si>
  <si>
    <t>ma-9284a8780050b0f</t>
  </si>
  <si>
    <t>ma-9284a8780050b10</t>
  </si>
  <si>
    <t>ma-9284a8780050b11</t>
  </si>
  <si>
    <t>ma-9284a8780050b0d</t>
  </si>
  <si>
    <t>ma-9284a8780050b13</t>
  </si>
  <si>
    <t>ma-9284a8780050b14</t>
  </si>
  <si>
    <t>ma-9284a8780050b0e</t>
  </si>
  <si>
    <t>ma-9284a8780050b2b</t>
  </si>
  <si>
    <t>ma-9284a8780050b2a</t>
  </si>
  <si>
    <t>ma-9284a8780050b2e</t>
  </si>
  <si>
    <t>ma-9284a8780050b2d</t>
  </si>
  <si>
    <t>ma-9284a8080050737</t>
  </si>
  <si>
    <t>ma-9284a808005073b</t>
  </si>
  <si>
    <t>ma-9284a808005073a</t>
  </si>
  <si>
    <t>ma-9284a8080050739</t>
  </si>
  <si>
    <t>ma-9284a8780050b37</t>
  </si>
  <si>
    <t>ma-9284a8780050b36</t>
  </si>
  <si>
    <t>ma-9284a8780050b50</t>
  </si>
  <si>
    <t>ma-9284a8080050759</t>
  </si>
  <si>
    <t>ma-9284a8780050b4f</t>
  </si>
  <si>
    <t>ma-9284a8080050758</t>
  </si>
  <si>
    <t>ma-9284a8080050757</t>
  </si>
  <si>
    <t>ma-9284a8080050786</t>
  </si>
  <si>
    <t>ma-9284a8080050787</t>
  </si>
  <si>
    <t>ma-9284a8080050789</t>
  </si>
  <si>
    <t>ma-9284a8080050784</t>
  </si>
  <si>
    <t>ma-9284a8080050780</t>
  </si>
  <si>
    <t>ma-9284a8080050782</t>
  </si>
  <si>
    <t>ma-9284a8080050783</t>
  </si>
  <si>
    <t>ma-9284a8080050781</t>
  </si>
  <si>
    <t>ma-9284a8080050788</t>
  </si>
  <si>
    <t>ma-9284a8080050785</t>
  </si>
  <si>
    <t>ma-9284a8780050b7d-1</t>
  </si>
  <si>
    <t>ma-9284a808005078c-1</t>
  </si>
  <si>
    <t>ma-9284a8080050790-1</t>
  </si>
  <si>
    <t>ma-9284a808005078f-1</t>
  </si>
  <si>
    <t>ma-9284a8780050b7f-1</t>
  </si>
  <si>
    <t>ma-9284a8780050b7e-1</t>
  </si>
  <si>
    <t>ma-9284a808005078d-1</t>
  </si>
  <si>
    <t>ma-9284a8780050b81-1</t>
  </si>
  <si>
    <t>ma-9284a80800507b5</t>
  </si>
  <si>
    <t>ma-9284a80800507b6</t>
  </si>
  <si>
    <t>ma-9284a8780050be0</t>
  </si>
  <si>
    <t>ma-9284a8780050bf4</t>
  </si>
  <si>
    <t>ma-9284a8780050bf6</t>
  </si>
  <si>
    <t>ma-9284a8780050bf7</t>
  </si>
  <si>
    <t>ma-9284a8780050bf5</t>
  </si>
  <si>
    <t>ma-9284a8780050bf3</t>
  </si>
  <si>
    <t>ma-9284a8780050bf2</t>
  </si>
  <si>
    <t>hw062420-1</t>
  </si>
  <si>
    <t>ma-9284a810005061a</t>
  </si>
  <si>
    <t>ma-9284a810005061b</t>
  </si>
  <si>
    <t>ma-9284a8100050619</t>
  </si>
  <si>
    <t>ma-9284a8100050618</t>
  </si>
  <si>
    <t>ma-9284a810005061c</t>
  </si>
  <si>
    <t>ma-9284a8100050667</t>
  </si>
  <si>
    <t>ma-9284a810005066a</t>
  </si>
  <si>
    <t>ma-9284a8100050668</t>
  </si>
  <si>
    <t>ma-9284a8100050669</t>
  </si>
  <si>
    <t>ma-9284a810005067e</t>
  </si>
  <si>
    <t>ma-9284a8800050a51</t>
  </si>
  <si>
    <t>ma-9284a8800050a52</t>
  </si>
  <si>
    <t>ma-9284a8100050688</t>
  </si>
  <si>
    <t>ma-9284a8100050689</t>
  </si>
  <si>
    <t>ma-9284a8800050a79</t>
  </si>
  <si>
    <t>ma-9284a81000506ca</t>
  </si>
  <si>
    <t>ma-9284a8800050a8f</t>
  </si>
  <si>
    <t>ma-9284a81000506b8</t>
  </si>
  <si>
    <t>ma-9284a81000506bb</t>
  </si>
  <si>
    <t>ma-9284a81000506b9</t>
  </si>
  <si>
    <t>ma-9284a81000506ba</t>
  </si>
  <si>
    <t>ma-9284a81000506c1</t>
  </si>
  <si>
    <t>ma-9284a81000506be</t>
  </si>
  <si>
    <t>ma-9284a81000506bf</t>
  </si>
  <si>
    <t>ma-9284a81000506c0</t>
  </si>
  <si>
    <t>ma-9284a81000506bd</t>
  </si>
  <si>
    <t>ma-9284a8100050712</t>
  </si>
  <si>
    <t>ma-9284a8100050710</t>
  </si>
  <si>
    <t>ma-9284a810005070f</t>
  </si>
  <si>
    <t>ma-9284a8100050711</t>
  </si>
  <si>
    <t>ma-9284a8800050ad1</t>
  </si>
  <si>
    <t>ma-9284a8800050ad0</t>
  </si>
  <si>
    <t>ma-9284a810005071d</t>
  </si>
  <si>
    <t>ma-9284a810005071c</t>
  </si>
  <si>
    <t>ma-9284a8800050adb</t>
  </si>
  <si>
    <t>ma-9284a8800050ad9</t>
  </si>
  <si>
    <t>ma-9284a8800050ada</t>
  </si>
  <si>
    <t>ma-9284a8800050ad8</t>
  </si>
  <si>
    <t>ma-9284a8800050adc</t>
  </si>
  <si>
    <t>ma-9284a81000506ee</t>
  </si>
  <si>
    <t>ma-9284a81000506ef</t>
  </si>
  <si>
    <t>ma-9284a81000506ed</t>
  </si>
  <si>
    <t>ma-9284a8800050ae5</t>
  </si>
  <si>
    <t>ma-9284a8800050ae6</t>
  </si>
  <si>
    <t>ma-9284a8100050749</t>
  </si>
  <si>
    <t>ma-9284a8100050748</t>
  </si>
  <si>
    <t>ma-9284a8800050b0e</t>
  </si>
  <si>
    <t>ma-9284a8800050b15</t>
  </si>
  <si>
    <t>ma-9284a8800050b11</t>
  </si>
  <si>
    <t>ma-9284a8800050b13</t>
  </si>
  <si>
    <t>ma-9284a8800050b10</t>
  </si>
  <si>
    <t>ma-9284a8800050b12</t>
  </si>
  <si>
    <t>ma-9284a8800050b14</t>
  </si>
  <si>
    <t>hw260701500-1</t>
  </si>
  <si>
    <t>ma-9284a8800050b44</t>
  </si>
  <si>
    <t>ma-9284a8800050b47</t>
  </si>
  <si>
    <t>ma-9284a8800050b46</t>
  </si>
  <si>
    <t>ma-9284a8800050b49</t>
  </si>
  <si>
    <t>ma-9284a8800050b48</t>
  </si>
  <si>
    <t>ma-9284a8800050b52</t>
  </si>
  <si>
    <t>ma-9284a8800050b53</t>
  </si>
  <si>
    <t>ma-9284a8800050b63</t>
  </si>
  <si>
    <t>ma-9284a81000507a6</t>
  </si>
  <si>
    <t>ma-9284a81000507c0</t>
  </si>
  <si>
    <t>ma-9284a8800050ba6</t>
  </si>
  <si>
    <t>ma-9284a8800050ba3</t>
  </si>
  <si>
    <t>ma-9284a8800050ba4</t>
  </si>
  <si>
    <t>ma-9284a8800050ba5</t>
  </si>
  <si>
    <t>ma-9284a8180050603</t>
  </si>
  <si>
    <t>ma-9284a8180050621</t>
  </si>
  <si>
    <t>ma-9284a8180050623</t>
  </si>
  <si>
    <t>ma-9284a8180050624</t>
  </si>
  <si>
    <t>ma-9284a8180050622</t>
  </si>
  <si>
    <t>hw260703500-1</t>
  </si>
  <si>
    <t>hw26070325-1</t>
  </si>
  <si>
    <t>ma-9284a8800050bbf</t>
  </si>
  <si>
    <t>ma-9284a8800050bc3</t>
  </si>
  <si>
    <t>ma-9284a8800050bc1</t>
  </si>
  <si>
    <t>ma-9284a8800050bc4</t>
  </si>
  <si>
    <t>ma-9284a8800050bc0</t>
  </si>
  <si>
    <t>华为 Mate 70 Pro+ 飞天青-16GB+512GB</t>
  </si>
  <si>
    <t>ma-9284a8800050bc2</t>
  </si>
  <si>
    <t>华为 Mate 70 Pro 曜石黑-12GB+256GB</t>
  </si>
  <si>
    <t>ma-9284a8880050a14</t>
  </si>
  <si>
    <t>ma-9284a8880050a13</t>
  </si>
  <si>
    <t>ma-9284a8880050a1a</t>
  </si>
  <si>
    <t>ma-9284a8880050a1b</t>
  </si>
  <si>
    <t>hw070330-1</t>
  </si>
  <si>
    <t>hw070330-2</t>
  </si>
  <si>
    <t>ma-9284a8180050658</t>
  </si>
  <si>
    <t>ma-9284a818005067b</t>
  </si>
  <si>
    <t>ma-9284a818005067a</t>
  </si>
  <si>
    <t>ma-9284a8880050a59</t>
  </si>
  <si>
    <t>ma-9284a8880050a58</t>
  </si>
  <si>
    <t>ma-9284a8180050684</t>
  </si>
  <si>
    <t>ma-9284a8180050685</t>
  </si>
  <si>
    <t>934f4bb800d5c62-1</t>
  </si>
  <si>
    <t>ma-9284a8880050a8b</t>
  </si>
  <si>
    <t>ma-9284a81800506ab</t>
  </si>
  <si>
    <t>ma-9284a8880050a86</t>
  </si>
  <si>
    <t>ma-9284a81800506ae</t>
  </si>
  <si>
    <t>ma-9284a8880050aa6</t>
  </si>
  <si>
    <t>ma-9284a8880050aa7</t>
  </si>
  <si>
    <t>ma-9284a8880050aa5</t>
  </si>
  <si>
    <t>hw070710-1</t>
  </si>
  <si>
    <t>hw07078-2</t>
  </si>
  <si>
    <t>ma-935c3bc80051210</t>
  </si>
  <si>
    <t>ma-935c3a000050e25</t>
  </si>
  <si>
    <t>ma-935c3bc80051219</t>
  </si>
  <si>
    <t>ma-935c3a000050e36</t>
  </si>
  <si>
    <t>ma-935c3a000050e37</t>
  </si>
  <si>
    <t>ma-935c3bc8005122c</t>
  </si>
  <si>
    <t>ma-935c3bc8005122e</t>
  </si>
  <si>
    <t>ma-935c3bc8005122d</t>
  </si>
  <si>
    <t>ma-935c3bc80051242</t>
  </si>
  <si>
    <t>ma-935c3bc80051241</t>
  </si>
  <si>
    <t>ma-935c3a000050e58</t>
  </si>
  <si>
    <t>ma-935c3bc80051258</t>
  </si>
  <si>
    <t>ma-935c3bc8005125a</t>
  </si>
  <si>
    <t>ma-935c3bc8005125b</t>
  </si>
  <si>
    <t>ma-935c3bc80051259</t>
  </si>
  <si>
    <t>ma-935c3a000050e8a</t>
  </si>
  <si>
    <t>ma-935c3a000050e8b</t>
  </si>
  <si>
    <t>ma-935c3a000050e89</t>
  </si>
  <si>
    <t>ma-935c3a000050ead</t>
  </si>
  <si>
    <t>ma-935c3a000050eae</t>
  </si>
  <si>
    <t>ma-935c3bc80051300</t>
  </si>
  <si>
    <t>ma-935c3bc800512ff</t>
  </si>
  <si>
    <t>ma-935c3bc800512fe</t>
  </si>
  <si>
    <t>ma-935c3a000050efa</t>
  </si>
  <si>
    <t>ma-935c3a000050ef9</t>
  </si>
  <si>
    <t>ma-935c3a000050ef8</t>
  </si>
  <si>
    <t>ma-935c3bc80051305</t>
  </si>
  <si>
    <t>hw071210-1</t>
  </si>
  <si>
    <t>hw07125-2</t>
  </si>
  <si>
    <t>hw07125-3</t>
  </si>
  <si>
    <t>hw07126-4</t>
  </si>
  <si>
    <t>hw07124-5</t>
  </si>
  <si>
    <t>hw071236-6</t>
  </si>
  <si>
    <t>ma-935c3bc8005132c</t>
  </si>
  <si>
    <t>ma-935c3a000050f2c</t>
  </si>
  <si>
    <t>ma-935c3a000050f2e</t>
  </si>
  <si>
    <t>ma-935c3a000050f2d</t>
  </si>
  <si>
    <t>ma-935c3a000050f2b</t>
  </si>
  <si>
    <t>9390bd8800d7133-1</t>
  </si>
  <si>
    <t>9390c04800d753a-1</t>
  </si>
  <si>
    <t>ma-935c3bc80051371</t>
  </si>
  <si>
    <t>ma-935c3bc80051372</t>
  </si>
  <si>
    <t>ma-935c3a000050f7e</t>
  </si>
  <si>
    <t>ma-935c3a000050f7f</t>
  </si>
  <si>
    <t>ma-935c3a000050f7d</t>
  </si>
  <si>
    <t>ma-935c3bc8005139e</t>
  </si>
  <si>
    <t>ma-935c3bc8005139c</t>
  </si>
  <si>
    <t>ma-935c3bc800513ca</t>
  </si>
  <si>
    <t>ma-935c3bc800513cc</t>
  </si>
  <si>
    <t>ma-935c3bc800513d3</t>
  </si>
  <si>
    <t>ma-935c3bc800513d2</t>
  </si>
  <si>
    <t>ma-935c3bc800513d1</t>
  </si>
  <si>
    <t>ma-935c3bc800513f8</t>
  </si>
  <si>
    <t>ma-935c3bc800513f5</t>
  </si>
  <si>
    <t>ma-935c3bc800513f4</t>
  </si>
  <si>
    <t>ma-935c3bd0005121d</t>
  </si>
  <si>
    <t>ma-935c3bd00051246</t>
  </si>
  <si>
    <t>ma-935c3a080050e1f</t>
  </si>
  <si>
    <t>ma-935c3a080050e54</t>
  </si>
  <si>
    <t>ma-935c3a080050e58</t>
  </si>
  <si>
    <t>ma-935c3a080050e56</t>
  </si>
  <si>
    <t>ma-935c3a080050e55</t>
  </si>
  <si>
    <t>ma-935c3a080050e59</t>
  </si>
  <si>
    <t>ma-935c3a080050e57</t>
  </si>
  <si>
    <t>ma-935c3bd0005129f</t>
  </si>
  <si>
    <t>ma-935c3bd0005129e</t>
  </si>
  <si>
    <t>ma-935c3bd0005129d</t>
  </si>
  <si>
    <t>ma-935c3a080050e64</t>
  </si>
  <si>
    <t>ma-935c3bd0005129b</t>
  </si>
  <si>
    <t>ma-935c3a080050e65</t>
  </si>
  <si>
    <t>ma-935c3a080050e60</t>
  </si>
  <si>
    <t>s-93b6ef1803f4405-1</t>
  </si>
  <si>
    <t>s-93b7503803f5445-1</t>
  </si>
  <si>
    <t>ma-935c3bd0005125c</t>
  </si>
  <si>
    <t>ma-935c3a080050e2f</t>
  </si>
  <si>
    <t>ma-935c3a080050e75</t>
  </si>
  <si>
    <t>ma-935c3a080050e76</t>
  </si>
  <si>
    <t>ma-935c3a080050e73</t>
  </si>
  <si>
    <t>ma-935c3a080050e74</t>
  </si>
  <si>
    <t>ma-935c3a080050e77</t>
  </si>
  <si>
    <t>ma-935c3a080050e78</t>
  </si>
  <si>
    <t>s-93bbabf003f6d41-1</t>
  </si>
  <si>
    <t>ma-935c3a080050e96</t>
  </si>
  <si>
    <t>ma-935c3bd000512c8</t>
  </si>
  <si>
    <t>ma-935c3a080050e97</t>
  </si>
  <si>
    <t>ma-935c3a080050ecd</t>
  </si>
  <si>
    <t>ma-935c3a080050ed0</t>
  </si>
  <si>
    <t>ma-935c3a080050ecf</t>
  </si>
  <si>
    <t>ma-935c3a080050ec9</t>
  </si>
  <si>
    <t>ma-935c3a080050eca</t>
  </si>
  <si>
    <t>s-93c2196803f780e-1</t>
  </si>
  <si>
    <t>s-93c2190003f7813-1</t>
  </si>
  <si>
    <t>ma-935c3a080050eaa</t>
  </si>
  <si>
    <t>ma-935c3a080050eb1</t>
  </si>
  <si>
    <t>ma-935c3a080050eaf</t>
  </si>
  <si>
    <t>ma-935c3a080050eac</t>
  </si>
  <si>
    <t>ma-935c3a080050eab</t>
  </si>
  <si>
    <t>ma-935c3a080050eae</t>
  </si>
  <si>
    <t>ma-935c3a080050eb2</t>
  </si>
  <si>
    <t>ma-935c3a080050eb3</t>
  </si>
  <si>
    <t>ma-935c3a080050eb4</t>
  </si>
  <si>
    <t>ma-935c3a080050eb0</t>
  </si>
  <si>
    <t>ma-935c3a080050ead</t>
  </si>
  <si>
    <t>s-93bc07e803f6ccc-1</t>
  </si>
  <si>
    <t>s-93d51b0003f7c76-1</t>
  </si>
  <si>
    <t>s-93d51b0003f7c68-1</t>
  </si>
  <si>
    <t>s-93c2421803f7810-1</t>
  </si>
  <si>
    <t>ma-935c3bd0005136f</t>
  </si>
  <si>
    <t>ma-935c3bd00051370</t>
  </si>
  <si>
    <t>ma-935c3bd00051371</t>
  </si>
  <si>
    <t>ma-935c3bd0005135a</t>
  </si>
  <si>
    <t>ma-940493f00052209</t>
  </si>
  <si>
    <t>ma-935c3bd00051359</t>
  </si>
  <si>
    <t>ma-935c3bd00051375</t>
  </si>
  <si>
    <t>s-93e1744803f889c-1</t>
  </si>
  <si>
    <t>hw260720200-1</t>
  </si>
  <si>
    <t>ma-93e550400051a10</t>
  </si>
  <si>
    <t>ma-93e54de80051614</t>
  </si>
  <si>
    <t>ma-93e54de8005160b</t>
  </si>
  <si>
    <t>ma-93e54de8005160c</t>
  </si>
  <si>
    <t>ma-93e550400051a0c</t>
  </si>
  <si>
    <t>s-93e5c3f003fa049-1</t>
  </si>
  <si>
    <t>s-93e5c3f803fa005-1</t>
  </si>
  <si>
    <t>ma-93e54de80051636</t>
  </si>
  <si>
    <t>ma-93e550400051a34</t>
  </si>
  <si>
    <t>ma-93e550400051a2a</t>
  </si>
  <si>
    <t>hw072220-1</t>
  </si>
  <si>
    <t>hw07225-2</t>
  </si>
  <si>
    <t>hw07225-3</t>
  </si>
  <si>
    <t>s-93fb40e803fd0f6-1</t>
  </si>
  <si>
    <t>s-93fb438003fd806-1</t>
  </si>
  <si>
    <t>s-93fb3be803fcc93-1</t>
  </si>
  <si>
    <t>ma-940493f0005221b</t>
  </si>
  <si>
    <t>s-940b6f6803ff4f9-1</t>
  </si>
  <si>
    <t>s-94056b5803ff00d-1</t>
  </si>
  <si>
    <t>s-940b6d1003ff55f-1</t>
  </si>
  <si>
    <t>ma-940493f00052254</t>
  </si>
  <si>
    <t>ma-940493f00052253</t>
  </si>
  <si>
    <t>ma-940492300051e6e</t>
  </si>
  <si>
    <r>
      <rPr>
        <rFont val="Microsoft YaHei"/>
        <charset val="134"/>
        <b val="true"/>
        <color rgb="FF000000"/>
        <sz val="9"/>
      </rPr>
      <t>收保证金</t>
    </r>
  </si>
  <si>
    <r>
      <rPr>
        <rFont val="Microsoft YaHei"/>
        <charset val="134"/>
        <b val="true"/>
        <color rgb="FF000000"/>
        <sz val="9"/>
      </rPr>
      <t>采购付款/退款</t>
    </r>
  </si>
  <si>
    <r>
      <rPr>
        <rFont val="Microsoft YaHei"/>
        <charset val="134"/>
        <b val="true"/>
        <color rgb="FF000000"/>
        <sz val="9"/>
      </rPr>
      <t>销售订单金额</t>
    </r>
  </si>
  <si>
    <r>
      <rPr>
        <rFont val="Microsoft YaHei"/>
        <charset val="134"/>
        <b val="true"/>
        <color rgb="FF000000"/>
        <sz val="9"/>
      </rPr>
      <t>对应成本</t>
    </r>
  </si>
  <si>
    <r>
      <rPr>
        <rFont val="Microsoft YaHei"/>
        <charset val="134"/>
        <b val="true"/>
        <color rgb="FF000000"/>
        <sz val="9"/>
      </rPr>
      <t>收款金额</t>
    </r>
  </si>
  <si>
    <r>
      <rPr>
        <rFont val="Microsoft YaHei"/>
        <charset val="134"/>
        <b val="true"/>
        <color rgb="FF000000"/>
        <sz val="9"/>
      </rPr>
      <t>保证金往来</t>
    </r>
  </si>
  <si>
    <r>
      <rPr>
        <rFont val="Microsoft YaHei"/>
        <charset val="134"/>
        <b val="true"/>
        <color rgb="FF000000"/>
        <sz val="9"/>
      </rPr>
      <t>公司收益</t>
    </r>
  </si>
  <si>
    <r>
      <rPr>
        <rFont val="Microsoft YaHei"/>
        <charset val="134"/>
        <b val="true"/>
        <color rgb="FF000000"/>
        <sz val="9"/>
      </rPr>
      <t>退货数量</t>
    </r>
  </si>
  <si>
    <r>
      <rPr>
        <rFont val="Microsoft YaHei"/>
        <charset val="134"/>
        <b val="true"/>
        <color rgb="FF000000"/>
        <sz val="9"/>
      </rPr>
      <t>入库数量</t>
    </r>
  </si>
  <si>
    <r>
      <rPr>
        <rFont val="Microsoft YaHei"/>
        <charset val="134"/>
        <b val="true"/>
        <color rgb="FF000000"/>
        <sz val="9"/>
      </rPr>
      <t>合同是否收到</t>
    </r>
  </si>
  <si>
    <r>
      <rPr>
        <rFont val="Microsoft YaHei"/>
        <charset val="134"/>
        <b val="true"/>
        <color rgb="FF000000"/>
        <sz val="9"/>
      </rPr>
      <t>合同是否邮寄</t>
    </r>
  </si>
  <si>
    <r>
      <rPr>
        <rFont val="Microsoft YaHei"/>
        <charset val="134"/>
        <b val="true"/>
        <color rgb="FF000000"/>
        <sz val="10"/>
      </rPr>
      <t>打款日期</t>
    </r>
  </si>
  <si>
    <r>
      <rPr>
        <rFont val="Microsoft YaHei"/>
        <charset val="134"/>
        <b val="true"/>
        <color rgb="FF000000"/>
        <sz val="10"/>
      </rPr>
      <t>合同盖章</t>
    </r>
  </si>
  <si>
    <r>
      <rPr>
        <rFont val="宋体"/>
        <b val="false"/>
        <i val="false"/>
        <strike val="false"/>
        <color rgb="FF000000"/>
        <sz val="11"/>
      </rPr>
      <t>华为</t>
    </r>
    <r>
      <rPr>
        <rFont val="Calibri"/>
        <b val="false"/>
        <i val="false"/>
        <strike val="false"/>
        <color rgb="FF000000"/>
        <sz val="11"/>
      </rPr>
      <t xml:space="preserve"> MatePad SE 11</t>
    </r>
    <r>
      <rPr>
        <rFont val="宋体"/>
        <b val="false"/>
        <i val="false"/>
        <strike val="false"/>
        <color rgb="FF000000"/>
        <sz val="11"/>
      </rPr>
      <t>英寸</t>
    </r>
    <r>
      <rPr>
        <rFont val="Calibri"/>
        <b val="false"/>
        <i val="false"/>
        <strike val="false"/>
        <color rgb="FF000000"/>
        <sz val="11"/>
      </rPr>
      <t xml:space="preserve"> 2024</t>
    </r>
    <r>
      <rPr>
        <rFont val="宋体"/>
        <b val="false"/>
        <i val="false"/>
        <strike val="false"/>
        <color rgb="FF000000"/>
        <sz val="11"/>
      </rPr>
      <t>款星云灰</t>
    </r>
    <r>
      <rPr>
        <rFont val="Calibri"/>
        <b val="false"/>
        <i val="false"/>
        <strike val="false"/>
        <color rgb="FF000000"/>
        <sz val="11"/>
      </rPr>
      <t>-8GB+256GB-WiFi</t>
    </r>
    <r>
      <rPr>
        <rFont val="宋体"/>
        <b val="false"/>
        <i val="false"/>
        <strike val="false"/>
        <color rgb="FF000000"/>
        <sz val="11"/>
      </rPr>
      <t>版</t>
    </r>
  </si>
  <si>
    <r>
      <rPr>
        <rFont val="宋体"/>
        <b val="false"/>
        <i val="false"/>
        <strike val="false"/>
        <color rgb="FF000000"/>
        <sz val="11"/>
      </rPr>
      <t>260209无仓未税</t>
    </r>
    <r>
      <rPr>
        <rFont val="Calibri"/>
        <b val="false"/>
        <i val="false"/>
        <strike val="false"/>
        <color rgb="FF000000"/>
        <sz val="11"/>
      </rPr>
      <t>-</t>
    </r>
    <r>
      <rPr>
        <rFont val="宋体"/>
        <b val="false"/>
        <i val="false"/>
        <strike val="false"/>
        <color rgb="FF000000"/>
        <sz val="11"/>
      </rPr>
      <t>扬州音速</t>
    </r>
  </si>
</sst>
</file>

<file path=xl/styles.xml><?xml version="1.0" encoding="utf-8"?>
<styleSheet xmlns="http://schemas.openxmlformats.org/spreadsheetml/2006/main">
  <numFmts count="13">
    <numFmt numFmtId="300" formatCode="yyyy/m/d;@"/>
    <numFmt numFmtId="301" formatCode="0.00_);[Red]\(0.00\)"/>
    <numFmt numFmtId="302" formatCode="0.00_ "/>
    <numFmt numFmtId="303" formatCode="0.0"/>
    <numFmt numFmtId="304" formatCode="m&quot;月&quot;d&quot;日&quot;;@"/>
    <numFmt numFmtId="305" formatCode="yyyy/mm/dd;@"/>
    <numFmt numFmtId="306" formatCode="0.000_ "/>
    <numFmt numFmtId="307" formatCode="General"/>
    <numFmt numFmtId="308" formatCode="_ &quot;￥&quot;* #,##0.00_ ;_ &quot;￥&quot;* \-#,##0.00_ ;_ &quot;￥&quot;* &quot;-&quot;??_ ;_ @_ "/>
    <numFmt numFmtId="309" formatCode="0%"/>
    <numFmt numFmtId="310" formatCode="_ &quot;￥&quot;* #,##0_ ;_ &quot;￥&quot;* \-#,##0_ ;_ &quot;￥&quot;* &quot;-&quot;_ ;_ @_ "/>
    <numFmt numFmtId="311" formatCode="_ * #,##0.00_ ;_ * \-#,##0.00_ ;_ * &quot;-&quot;??_ ;_ @_ "/>
    <numFmt numFmtId="312" formatCode="_ * #,##0_ ;_ * \-#,##0_ ;_ * &quot;-&quot;_ ;_ @_ "/>
  </numFmts>
  <fonts count="67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color rgb="FFFF0000"/>
      <sz val="8"/>
    </font>
    <font>
      <name val="等线"/>
      <charset val="134"/>
      <color rgb="FF000000"/>
      <sz val="8"/>
    </font>
    <font>
      <name val="宋体"/>
      <charset val="134"/>
      <color rgb="FF000000"/>
      <sz val="8"/>
    </font>
    <font>
      <name val="等线"/>
      <charset val="134"/>
      <color theme="1"/>
      <sz val="8"/>
    </font>
    <font>
      <name val="等线"/>
      <color rgb="FF000000"/>
      <sz val="8"/>
    </font>
    <font>
      <name val="微软雅黑"/>
      <charset val="134"/>
      <color rgb="FF000000"/>
      <sz val="8"/>
    </font>
    <font>
      <name val="SimSun"/>
      <charset val="134"/>
      <color rgb="FF000000"/>
      <sz val="8"/>
    </font>
    <font>
      <name val="Microsoft YaHei"/>
      <charset val="134"/>
      <b val="true"/>
      <color rgb="FF000000"/>
      <sz val="9"/>
    </font>
    <font>
      <name val="Microsoft YaHei"/>
      <charset val="134"/>
      <color rgb="FF000000"/>
      <sz val="9"/>
    </font>
    <font>
      <name val="Microsoft YaHei"/>
      <b val="true"/>
      <color rgb="FF000000"/>
      <sz val="9"/>
    </font>
    <font>
      <name val="微软雅黑"/>
      <charset val="134"/>
      <color rgb="FFE74025"/>
      <sz val="10"/>
    </font>
    <font>
      <name val="宋体"/>
    </font>
    <font>
      <name val="等线"/>
    </font>
    <font/>
    <font>
      <name val="宋体"/>
      <color theme="1"/>
      <sz val="11"/>
    </font>
    <font>
      <name val="宋体"/>
      <sz val="11"/>
    </font>
    <font>
      <name val="宋体"/>
    </font>
    <font>
      <name val="宋体"/>
      <color theme="1"/>
      <sz val="11"/>
    </font>
    <font>
      <name val="宋体"/>
      <b val="false"/>
    </font>
    <font>
      <name val="PingFang SC"/>
      <color rgb="FF333333"/>
      <sz val="10"/>
    </font>
    <font/>
    <font>
      <name val="Calibri"/>
    </font>
    <font>
      <name val="宋体"/>
      <b val="true"/>
    </font>
    <font>
      <name val="等线"/>
      <charset val="134"/>
      <color rgb="FF000000"/>
      <sz val="10"/>
    </font>
    <font>
      <name val="宋体"/>
      <charset val="134"/>
      <scheme val="minor"/>
    </font>
    <font>
      <name val="宋体"/>
      <charset val="134"/>
    </font>
    <font>
      <color rgb="FF333333"/>
      <sz val="10"/>
    </font>
    <font>
      <name val="Calibri"/>
    </font>
    <font>
      <name val="宋体"/>
      <sz val="12"/>
    </font>
    <font>
      <color rgb="FF000000"/>
    </font>
    <font>
      <color rgb="FF606266"/>
      <sz val="10"/>
    </font>
    <font>
      <color rgb="FF303133"/>
      <sz val="10"/>
    </font>
    <font>
      <name val="宋体"/>
      <b val="true"/>
      <color theme="1"/>
      <sz val="11"/>
    </font>
    <font>
      <name val="Microsoft YaHei"/>
      <charset val="134"/>
      <color rgb="FF000000"/>
      <sz val="10"/>
    </font>
    <font>
      <name val="Microsoft YaHei"/>
      <b val="true"/>
      <color rgb="FF000000"/>
      <sz val="10"/>
    </font>
    <font>
      <name val="Microsoft YaHei"/>
      <charset val="134"/>
      <b val="true"/>
      <color rgb="FF000000"/>
      <sz val="10"/>
    </font>
    <font>
      <name val="宋体"/>
      <sz val="10"/>
    </font>
    <font>
      <name val="jstFont"/>
      <color rgb="FF333333"/>
      <sz val="9"/>
    </font>
    <font>
      <name val="PingFang SC"/>
      <b val="true"/>
      <color rgb="FF333333"/>
      <sz val="10"/>
    </font>
    <font>
      <name val="Calibri"/>
      <b val="true"/>
    </font>
    <font>
      <b val="true"/>
    </font>
    <font>
      <sz val="11"/>
    </font>
    <font>
      <color rgb="FF0065B3"/>
      <sz val="10"/>
    </font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true"/>
      <color theme="3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i val="true"/>
      <color rgb="FF7F7F7F"/>
      <sz val="11"/>
      <scheme val="minor"/>
    </font>
    <font>
      <name val="宋体"/>
      <charset val="134"/>
      <b val="true"/>
      <color theme="3"/>
      <sz val="15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6100"/>
      <sz val="11"/>
      <scheme val="minor"/>
    </font>
    <font>
      <name val="宋体"/>
      <charset val="0"/>
      <b val="true"/>
      <color rgb="FF3F3F3F"/>
      <sz val="11"/>
      <scheme val="minor"/>
    </font>
    <font>
      <name val="宋体"/>
      <charset val="134"/>
      <b val="true"/>
      <color theme="3"/>
      <sz val="13"/>
      <scheme val="minor"/>
    </font>
    <font>
      <name val="宋体"/>
      <charset val="0"/>
      <color rgb="FFFF0000"/>
      <sz val="11"/>
      <scheme val="minor"/>
    </font>
  </fonts>
  <fills count="5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6CCAC"/>
        <bgColor indexed="64"/>
      </patternFill>
    </fill>
    <fill>
      <patternFill patternType="solid">
        <fgColor rgb="FF9DC3E6"/>
        <bgColor indexed="64"/>
      </patternFill>
    </fill>
    <fill/>
    <fill>
      <patternFill patternType="solid">
        <fgColor rgb="FFFFFFFF"/>
      </patternFill>
    </fill>
    <fill/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8CDDFA"/>
      </patternFill>
    </fill>
    <fill>
      <patternFill patternType="solid">
        <fgColor rgb="FF8CDDFA"/>
      </patternFill>
    </fill>
    <fill>
      <patternFill patternType="solid">
        <fgColor rgb="FFFFFFFF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2C150"/>
        <bgColor indexed="64"/>
      </patternFill>
    </fill>
    <fill>
      <patternFill patternType="solid">
        <fgColor rgb="FFFFFFFF"/>
        <bgColor auto="true"/>
      </patternFill>
    </fill>
    <fill>
      <patternFill patternType="none"/>
    </fill>
    <fill/>
    <fill>
      <patternFill patternType="none">
        <fgColor rgb="FF8CDDFA"/>
      </patternFill>
    </fill>
    <fill>
      <patternFill patternType="solid">
        <fgColor rgb="FFC5DFB4"/>
        <bgColor indexed="64"/>
      </patternFill>
    </fill>
    <fill>
      <patternFill patternType="none">
        <fgColor rgb="FFFFFFFF"/>
      </patternFill>
    </fill>
    <fill>
      <patternFill patternType="none">
        <fgColor rgb="FFE5EFFF"/>
      </patternFill>
    </fill>
    <fill>
      <patternFill patternType="none">
        <fgColor rgb="FF00A3F5"/>
      </patternFill>
    </fill>
    <fill>
      <patternFill patternType="solid">
        <fgColor theme="5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8" tint="0.399976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</border>
    <border>
      <left/>
      <right/>
      <top/>
      <bottom/>
    </border>
    <border diagonalUp="true" diagonalDown="true">
      <left/>
      <right/>
      <top/>
      <bottom/>
      <diagonal/>
    </border>
    <border>
      <bottom/>
    </border>
    <border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 diagonalUp="true" diagonalDown="true">
      <diagonal/>
    </border>
    <border>
      <left/>
      <right/>
      <bottom/>
    </border>
    <border>
      <left/>
      <right/>
      <top/>
      <bottom/>
    </border>
    <border diagonalUp="true" diagonalDown="true">
      <left/>
      <right/>
      <top/>
      <bottom/>
      <diagonal/>
    </border>
    <border diagonalUp="true" diagonalDown="true">
      <left/>
      <right/>
      <top/>
      <bottom/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/>
    <border>
      <bottom style="thin">
        <color rgb="FF91AADF"/>
      </bottom>
    </border>
    <border>
      <left/>
      <right/>
      <top/>
      <bottom/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>
    <xf numFmtId="307" fontId="47" fillId="0" borderId="27" xfId="0">
      <alignment vertical="center"/>
    </xf>
    <xf numFmtId="308" fontId="47" fillId="11" borderId="27" xfId="0">
      <alignment vertical="center"/>
    </xf>
    <xf numFmtId="307" fontId="48" fillId="28" borderId="27" xfId="0">
      <alignment vertical="center"/>
    </xf>
    <xf numFmtId="307" fontId="49" fillId="11" borderId="28" xfId="0">
      <alignment vertical="center"/>
    </xf>
    <xf numFmtId="307" fontId="50" fillId="29" borderId="27" xfId="0">
      <alignment vertical="center"/>
    </xf>
    <xf numFmtId="307" fontId="51" fillId="11" borderId="27" xfId="0">
      <alignment vertical="center"/>
    </xf>
    <xf numFmtId="307" fontId="50" fillId="30" borderId="27" xfId="0">
      <alignment vertical="center"/>
    </xf>
    <xf numFmtId="307" fontId="50" fillId="31" borderId="27" xfId="0">
      <alignment vertical="center"/>
    </xf>
    <xf numFmtId="307" fontId="49" fillId="11" borderId="27" xfId="0">
      <alignment vertical="center"/>
    </xf>
    <xf numFmtId="307" fontId="50" fillId="32" borderId="27" xfId="0">
      <alignment vertical="center"/>
    </xf>
    <xf numFmtId="307" fontId="52" fillId="33" borderId="27" xfId="0">
      <alignment vertical="center"/>
    </xf>
    <xf numFmtId="307" fontId="50" fillId="34" borderId="27" xfId="0">
      <alignment vertical="center"/>
    </xf>
    <xf numFmtId="307" fontId="53" fillId="11" borderId="27" xfId="0">
      <alignment vertical="center"/>
    </xf>
    <xf numFmtId="307" fontId="48" fillId="35" borderId="27" xfId="0">
      <alignment vertical="center"/>
    </xf>
    <xf numFmtId="307" fontId="48" fillId="36" borderId="27" xfId="0">
      <alignment vertical="center"/>
    </xf>
    <xf numFmtId="307" fontId="47" fillId="37" borderId="29" xfId="0">
      <alignment vertical="center"/>
    </xf>
    <xf numFmtId="307" fontId="48" fillId="38" borderId="27" xfId="0">
      <alignment vertical="center"/>
    </xf>
    <xf numFmtId="307" fontId="48" fillId="39" borderId="27" xfId="0">
      <alignment vertical="center"/>
    </xf>
    <xf numFmtId="309" fontId="47" fillId="11" borderId="27" xfId="0">
      <alignment vertical="center"/>
    </xf>
    <xf numFmtId="307" fontId="54" fillId="11" borderId="30" xfId="0">
      <alignment vertical="center"/>
    </xf>
    <xf numFmtId="307" fontId="50" fillId="40" borderId="27" xfId="0">
      <alignment vertical="center"/>
    </xf>
    <xf numFmtId="307" fontId="55" fillId="11" borderId="31" xfId="0">
      <alignment vertical="center"/>
    </xf>
    <xf numFmtId="310" fontId="47" fillId="11" borderId="27" xfId="0">
      <alignment vertical="center"/>
    </xf>
    <xf numFmtId="307" fontId="50" fillId="41" borderId="27" xfId="0">
      <alignment vertical="center"/>
    </xf>
    <xf numFmtId="307" fontId="56" fillId="42" borderId="27" xfId="0">
      <alignment vertical="center"/>
    </xf>
    <xf numFmtId="307" fontId="50" fillId="43" borderId="27" xfId="0">
      <alignment vertical="center"/>
    </xf>
    <xf numFmtId="311" fontId="47" fillId="11" borderId="27" xfId="0">
      <alignment vertical="center"/>
    </xf>
    <xf numFmtId="307" fontId="57" fillId="44" borderId="32" xfId="0">
      <alignment vertical="center"/>
    </xf>
    <xf numFmtId="307" fontId="48" fillId="45" borderId="27" xfId="0">
      <alignment vertical="center"/>
    </xf>
    <xf numFmtId="307" fontId="58" fillId="46" borderId="33" xfId="0">
      <alignment vertical="center"/>
    </xf>
    <xf numFmtId="307" fontId="59" fillId="47" borderId="33" xfId="0">
      <alignment vertical="center"/>
    </xf>
    <xf numFmtId="307" fontId="50" fillId="48" borderId="27" xfId="0">
      <alignment vertical="center"/>
    </xf>
    <xf numFmtId="307" fontId="60" fillId="11" borderId="27" xfId="0">
      <alignment vertical="center"/>
    </xf>
    <xf numFmtId="307" fontId="61" fillId="11" borderId="34" xfId="0">
      <alignment vertical="center"/>
    </xf>
    <xf numFmtId="307" fontId="50" fillId="49" borderId="27" xfId="0">
      <alignment vertical="center"/>
    </xf>
    <xf numFmtId="307" fontId="48" fillId="50" borderId="27" xfId="0">
      <alignment vertical="center"/>
    </xf>
    <xf numFmtId="307" fontId="48" fillId="51" borderId="27" xfId="0">
      <alignment vertical="center"/>
    </xf>
    <xf numFmtId="307" fontId="62" fillId="11" borderId="27" xfId="0">
      <alignment vertical="center"/>
    </xf>
    <xf numFmtId="307" fontId="50" fillId="52" borderId="27" xfId="0">
      <alignment vertical="center"/>
    </xf>
    <xf numFmtId="307" fontId="48" fillId="53" borderId="27" xfId="0">
      <alignment vertical="center"/>
    </xf>
    <xf numFmtId="312" fontId="47" fillId="11" borderId="27" xfId="0">
      <alignment vertical="center"/>
    </xf>
    <xf numFmtId="307" fontId="63" fillId="54" borderId="27" xfId="0">
      <alignment vertical="center"/>
    </xf>
    <xf numFmtId="307" fontId="64" fillId="46" borderId="35" xfId="0">
      <alignment vertical="center"/>
    </xf>
    <xf numFmtId="307" fontId="48" fillId="55" borderId="27" xfId="0">
      <alignment vertical="center"/>
    </xf>
    <xf numFmtId="307" fontId="48" fillId="56" borderId="27" xfId="0">
      <alignment vertical="center"/>
    </xf>
    <xf numFmtId="307" fontId="65" fillId="11" borderId="34" xfId="0">
      <alignment vertical="center"/>
    </xf>
    <xf numFmtId="307" fontId="48" fillId="57" borderId="27" xfId="0">
      <alignment vertical="center"/>
    </xf>
    <xf numFmtId="307" fontId="50" fillId="58" borderId="27" xfId="0">
      <alignment vertical="center"/>
    </xf>
    <xf numFmtId="307" fontId="66" fillId="11" borderId="27" xfId="0">
      <alignment vertical="center"/>
    </xf>
  </cellStyleXfs>
  <cellXfs count="58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7" fontId="47" fillId="0" borderId="27" xfId="0" applyAlignment="true">
      <alignment horizontal="center" vertical="center"/>
    </xf>
    <xf numFmtId="307" fontId="3" fillId="0" borderId="1" xfId="0" applyFont="true" applyBorder="true">
      <alignment vertical="center"/>
    </xf>
    <xf numFmtId="2" fontId="4" fillId="0" borderId="27" xfId="0" applyNumberFormat="true" applyFont="true">
      <alignment vertical="center"/>
    </xf>
    <xf numFmtId="307" fontId="5" fillId="0" borderId="27" xfId="0" applyFont="true">
      <alignment vertical="center"/>
    </xf>
    <xf numFmtId="2" fontId="6" fillId="0" borderId="27" xfId="0" applyNumberFormat="true" applyFont="true">
      <alignment vertical="center"/>
    </xf>
    <xf numFmtId="2" fontId="7" fillId="0" borderId="27" xfId="0" applyNumberFormat="true" applyFont="true">
      <alignment vertical="center"/>
    </xf>
    <xf numFmtId="307" fontId="8" fillId="0" borderId="2" xfId="0" applyFont="true" applyBorder="true" applyAlignment="true">
      <alignment horizontal="center" vertical="center"/>
    </xf>
    <xf numFmtId="307" fontId="8" fillId="0" borderId="3" xfId="0" applyFont="true" applyBorder="true" applyAlignment="true">
      <alignment horizontal="center" vertical="center"/>
    </xf>
    <xf numFmtId="307" fontId="8" fillId="2" borderId="4" xfId="0" applyFont="true" applyFill="true" applyBorder="true" applyAlignment="true">
      <alignment horizontal="center" vertical="center"/>
    </xf>
    <xf numFmtId="307" fontId="8" fillId="0" borderId="4" xfId="0" applyFont="true" applyBorder="true" applyAlignment="true">
      <alignment horizontal="center" vertical="center"/>
    </xf>
    <xf numFmtId="0" fontId="8" fillId="0" borderId="5" xfId="0" applyNumberFormat="true" applyFont="true" applyBorder="true" applyAlignment="true">
      <alignment horizontal="center" vertical="center"/>
    </xf>
    <xf numFmtId="300" fontId="8" fillId="0" borderId="6" xfId="0" applyNumberFormat="true" applyFont="true" applyBorder="true" applyAlignment="true">
      <alignment horizontal="center" vertical="center"/>
    </xf>
    <xf numFmtId="4" fontId="8" fillId="3" borderId="7" xfId="0" applyNumberFormat="true" applyFont="true" applyFill="true" applyBorder="true" applyAlignment="true">
      <alignment horizontal="center" vertical="center"/>
    </xf>
    <xf numFmtId="4" fontId="8" fillId="4" borderId="7" xfId="0" applyNumberFormat="true" applyFont="true" applyFill="true" applyBorder="true" applyAlignment="true">
      <alignment horizontal="center" vertical="center"/>
    </xf>
    <xf numFmtId="307" fontId="9" fillId="0" borderId="7" xfId="0" applyFont="true" applyBorder="true" applyAlignment="true">
      <alignment horizontal="center" vertical="center"/>
    </xf>
    <xf numFmtId="0" fontId="9" fillId="0" borderId="7" xfId="0" applyNumberFormat="true" applyFont="true" applyBorder="true" applyAlignment="true">
      <alignment horizontal="center" vertical="center"/>
    </xf>
    <xf numFmtId="307" fontId="8" fillId="0" borderId="7" xfId="0" applyFont="true" applyBorder="true" applyAlignment="true">
      <alignment horizontal="center" vertical="center"/>
    </xf>
    <xf numFmtId="4" fontId="8" fillId="0" borderId="7" xfId="0" applyNumberFormat="true" applyFont="true" applyBorder="true" applyAlignment="true">
      <alignment horizontal="center" vertical="center"/>
    </xf>
    <xf numFmtId="4" fontId="8" fillId="0" borderId="8" xfId="0" applyNumberFormat="true" applyFont="true" applyBorder="true" applyAlignment="true">
      <alignment horizontal="center" vertical="center"/>
    </xf>
    <xf numFmtId="300" fontId="8" fillId="0" borderId="6" xfId="0">
      <alignment horizontal="center" vertical="center"/>
    </xf>
    <xf numFmtId="0" fontId="9" fillId="3" borderId="7" xfId="0" applyNumberFormat="true" applyFont="true" applyFill="true" applyBorder="true" applyAlignment="true">
      <alignment horizontal="center" vertical="center"/>
    </xf>
    <xf numFmtId="4" fontId="8" fillId="3" borderId="7" xfId="0">
      <alignment horizontal="center" vertical="center"/>
    </xf>
    <xf numFmtId="4" fontId="8" fillId="0" borderId="7" xfId="0">
      <alignment horizontal="center" vertical="center"/>
    </xf>
    <xf numFmtId="4" fontId="8" fillId="0" borderId="9" xfId="0" applyNumberFormat="true" applyFont="true" applyBorder="true" applyAlignment="true">
      <alignment horizontal="center" vertical="center"/>
    </xf>
    <xf numFmtId="300" fontId="8" fillId="0" borderId="10" xfId="0">
      <alignment horizontal="center" vertical="center"/>
    </xf>
    <xf numFmtId="4" fontId="8" fillId="0" borderId="11" xfId="0" applyNumberFormat="true" applyFont="true" applyBorder="true" applyAlignment="true">
      <alignment horizontal="center" vertical="center"/>
    </xf>
    <xf numFmtId="4" fontId="8" fillId="3" borderId="11" xfId="0">
      <alignment horizontal="center" vertical="center"/>
    </xf>
    <xf numFmtId="307" fontId="9" fillId="0" borderId="11" xfId="0" applyFont="true" applyBorder="true" applyAlignment="true">
      <alignment horizontal="center" vertical="center"/>
    </xf>
    <xf numFmtId="307" fontId="8" fillId="0" borderId="11" xfId="0" applyFont="true" applyBorder="true" applyAlignment="true">
      <alignment horizontal="center" vertical="center"/>
    </xf>
    <xf numFmtId="300" fontId="8" fillId="0" borderId="0" xfId="0">
      <alignment horizontal="center" vertical="center"/>
    </xf>
    <xf numFmtId="4" fontId="8" fillId="0" borderId="27" xfId="0" applyNumberFormat="true" applyFont="true" applyAlignment="true">
      <alignment horizontal="center" vertical="center"/>
    </xf>
    <xf numFmtId="307" fontId="9" fillId="0" borderId="27" xfId="0" applyFont="true" applyAlignment="true">
      <alignment horizontal="center" vertical="center"/>
    </xf>
    <xf numFmtId="307" fontId="8" fillId="0" borderId="27" xfId="0" applyFont="true" applyAlignment="true">
      <alignment horizontal="center" vertical="center"/>
    </xf>
    <xf numFmtId="14" fontId="10" fillId="5" borderId="7" xfId="0" applyNumberFormat="true" applyFont="true" applyFill="true" applyBorder="true" applyAlignment="true">
      <alignment horizontal="left" vertical="center"/>
    </xf>
    <xf numFmtId="307" fontId="11" fillId="0" borderId="7" xfId="0" applyFont="true" applyBorder="true" applyAlignment="true">
      <alignment horizontal="left" vertical="center"/>
    </xf>
    <xf numFmtId="307" fontId="10" fillId="5" borderId="7" xfId="0" applyFont="true" applyFill="true" applyBorder="true" applyAlignment="true">
      <alignment horizontal="left" vertical="center"/>
    </xf>
    <xf numFmtId="307" fontId="10" fillId="5" borderId="7" xfId="0" applyFont="true" applyFill="true" applyBorder="true" applyAlignment="true">
      <alignment horizontal="center" vertical="center"/>
    </xf>
    <xf numFmtId="307" fontId="10" fillId="6" borderId="7" xfId="0" applyFont="true" applyFill="true" applyBorder="true" applyAlignment="true">
      <alignment horizontal="left" vertical="center"/>
    </xf>
    <xf numFmtId="10" fontId="10" fillId="5" borderId="7" xfId="0" applyNumberFormat="true" applyFont="true" applyFill="true" applyBorder="true" applyAlignment="true">
      <alignment horizontal="left" vertical="center"/>
    </xf>
    <xf numFmtId="307" fontId="12" fillId="5" borderId="11" xfId="0" applyFont="true" applyFill="true" applyBorder="true" applyAlignment="true">
      <alignment horizontal="left" vertical="center"/>
    </xf>
    <xf fontId="12" fillId="5" borderId="11" xfId="0">
      <alignment horizontal="left" vertical="center"/>
    </xf>
    <xf fontId="10" fillId="5" borderId="7" xfId="0">
      <alignment horizontal="left" vertical="center"/>
    </xf>
    <xf numFmtId="2" fontId="10" fillId="5" borderId="7" xfId="0" applyNumberFormat="true" applyFont="true" applyFill="true" applyBorder="true" applyAlignment="true">
      <alignment horizontal="left" vertical="center"/>
    </xf>
    <xf numFmtId="301" fontId="10" fillId="5" borderId="7" xfId="0" applyNumberFormat="true" applyFont="true" applyFill="true" applyBorder="true" applyAlignment="true">
      <alignment horizontal="left" vertical="center"/>
    </xf>
    <xf numFmtId="302" fontId="13" fillId="0" borderId="7" xfId="0" applyNumberFormat="true" applyFont="true" applyBorder="true" applyAlignment="true">
      <alignment horizontal="left" vertical="center"/>
    </xf>
    <xf numFmtId="14" fontId="10" fillId="7" borderId="7" xfId="0" applyNumberFormat="true" applyFont="true" applyFill="true" applyBorder="true" applyAlignment="true">
      <alignment horizontal="left" vertical="center"/>
    </xf>
    <xf numFmtId="0" fontId="10" fillId="7" borderId="7" xfId="0" applyNumberFormat="true" applyFont="true" applyFill="true" applyBorder="true" applyAlignment="true">
      <alignment horizontal="left" vertical="center"/>
    </xf>
    <xf numFmtId="307" fontId="10" fillId="7" borderId="7" xfId="0" applyFont="true" applyFill="true" applyBorder="true" applyAlignment="true">
      <alignment horizontal="left" vertical="center"/>
    </xf>
    <xf numFmtId="0" fontId="10" fillId="7" borderId="7" xfId="0">
      <alignment horizontal="left" vertical="center" justifyLastLine="false" shrinkToFit="false"/>
    </xf>
    <xf fontId="10" fillId="7" borderId="7" xfId="0">
      <alignment horizontal="left" vertical="center"/>
    </xf>
    <xf numFmtId="307" fontId="10" fillId="7" borderId="7" xfId="0" applyFont="true" applyFill="true" applyBorder="true" applyAlignment="true">
      <alignment horizontal="center" vertical="center"/>
    </xf>
    <xf numFmtId="307" fontId="10" fillId="7" borderId="7" xfId="0" applyFont="true" applyFill="true" applyBorder="true" applyAlignment="true">
      <alignment horizontal="left" vertical="center" wrapText="true"/>
    </xf>
    <xf numFmtId="0" fontId="10" fillId="7" borderId="7" xfId="0" applyNumberFormat="true" applyFont="true" applyFill="true" applyBorder="true" applyAlignment="true">
      <alignment horizontal="center" vertical="center"/>
    </xf>
    <xf numFmtId="0" fontId="12" fillId="7" borderId="11" xfId="0">
      <alignment horizontal="left" vertical="center"/>
    </xf>
    <xf fontId="12" fillId="7" borderId="11" xfId="0">
      <alignment horizontal="left" vertical="center"/>
    </xf>
    <xf numFmtId="2" fontId="10" fillId="7" borderId="7" xfId="0" applyNumberFormat="true" applyFont="true" applyFill="true" applyBorder="true" applyAlignment="true">
      <alignment horizontal="left" vertical="center"/>
    </xf>
    <xf numFmtId="301" fontId="10" fillId="7" borderId="7" xfId="0" applyNumberFormat="true" applyFont="true" applyFill="true" applyBorder="true" applyAlignment="true">
      <alignment horizontal="left" vertical="center"/>
    </xf>
    <xf numFmtId="300" fontId="14" fillId="0" borderId="0" xfId="0">
      <alignment vertical="bottom"/>
    </xf>
    <xf fontId="14" fillId="0" borderId="0" xfId="0">
      <alignment vertical="center"/>
    </xf>
    <xf numFmtId="300" fontId="14" fillId="0" borderId="0" xfId="0">
      <alignment vertical="center"/>
    </xf>
    <xf fontId="14" fillId="3" borderId="0" xfId="0">
      <alignment vertical="center"/>
    </xf>
    <xf numFmtId="300" fontId="14" fillId="8" borderId="0" xfId="0">
      <alignment horizontal="center" vertical="center"/>
    </xf>
    <xf fontId="14" fillId="0" borderId="0" xfId="0">
      <alignment vertical="bottom"/>
    </xf>
    <xf numFmtId="14" fontId="14" fillId="0" borderId="0" xfId="0">
      <alignment vertical="bottom"/>
    </xf>
    <xf numFmtId="2" fontId="14" fillId="0" borderId="0" xfId="0">
      <alignment vertical="center"/>
    </xf>
    <xf fontId="14" fillId="0" borderId="0" xfId="0">
      <alignment horizontal="center" vertical="center"/>
    </xf>
    <xf fontId="14" fillId="0" borderId="0" xfId="0">
      <alignment vertical="center" justifyLastLine="false" shrinkToFit="false"/>
    </xf>
    <xf fontId="14" fillId="9" borderId="0" xfId="0">
      <alignment vertical="center"/>
    </xf>
    <xf fontId="14" fillId="8" borderId="0" xfId="0">
      <alignment horizontal="center" vertical="center"/>
    </xf>
    <xf numFmtId="300" fontId="14" fillId="0" borderId="0" xfId="0">
      <alignment horizontal="center" vertical="center"/>
    </xf>
    <xf fontId="14" fillId="0" borderId="12" xfId="0">
      <alignment vertical="center"/>
    </xf>
    <xf numFmtId="0" fontId="14" fillId="9" borderId="0" xfId="0">
      <alignment horizontal="left" vertical="center"/>
    </xf>
    <xf numFmtId="14" fontId="14" fillId="0" borderId="0" xfId="0">
      <alignment vertical="center"/>
    </xf>
    <xf fontId="14" fillId="10" borderId="0" xfId="0">
      <alignment horizontal="center" vertical="center"/>
    </xf>
    <xf fontId="14" fillId="8" borderId="0" xfId="0">
      <alignment vertical="center"/>
    </xf>
    <xf numFmtId="300" fontId="14" fillId="10" borderId="0" xfId="0">
      <alignment horizontal="center" vertical="center"/>
    </xf>
    <xf numFmtId="300" fontId="14" fillId="3" borderId="0" xfId="0">
      <alignment vertical="center"/>
    </xf>
    <xf fontId="14" fillId="11" borderId="0" xfId="0">
      <alignment horizontal="center" vertical="center"/>
    </xf>
    <xf numFmtId="2" fontId="14" fillId="3" borderId="0" xfId="0">
      <alignment vertical="center"/>
    </xf>
    <xf fontId="14" fillId="11" borderId="0" xfId="0">
      <alignment vertical="center"/>
    </xf>
    <xf numFmtId="2" fontId="14" fillId="11" borderId="0" xfId="0">
      <alignment vertical="center"/>
    </xf>
    <xf numFmtId="2" fontId="14" fillId="12" borderId="0" xfId="0">
      <alignment vertical="center"/>
    </xf>
    <xf numFmtId="2" fontId="14" fillId="8" borderId="0" xfId="0">
      <alignment vertical="center"/>
    </xf>
    <xf fontId="0" fillId="3" borderId="0" xfId="0">
      <alignment vertical="center"/>
    </xf>
    <xf numFmtId="300" fontId="15" fillId="0" borderId="0" xfId="0">
      <alignment horizontal="center" vertical="center"/>
    </xf>
    <xf numFmtId="307" fontId="16" fillId="0" borderId="27" xfId="0" applyFont="true">
      <alignment vertical="center"/>
    </xf>
    <xf numFmtId="10" fontId="14" fillId="0" borderId="0" xfId="0">
      <alignment vertical="center"/>
    </xf>
    <xf numFmtId="303" fontId="14" fillId="0" borderId="0" xfId="0">
      <alignment vertical="center"/>
    </xf>
    <xf numFmtId="0" fontId="14" fillId="3" borderId="0" xfId="0">
      <alignment horizontal="left" vertical="center"/>
    </xf>
    <xf fontId="14" fillId="4" borderId="0" xfId="0">
      <alignment vertical="center"/>
    </xf>
    <xf numFmtId="0" fontId="14" fillId="3" borderId="0" xfId="0">
      <alignment vertical="center"/>
    </xf>
    <xf fontId="16" fillId="0" borderId="0" xfId="0">
      <alignment vertical="center"/>
    </xf>
    <xf numFmtId="0" fontId="14" fillId="11" borderId="0" xfId="0">
      <alignment horizontal="left" vertical="center"/>
    </xf>
    <xf numFmtId="0" fontId="17" fillId="3" borderId="0" xfId="0">
      <alignment vertical="center"/>
    </xf>
    <xf numFmtId="300" fontId="14" fillId="9" borderId="0" xfId="0">
      <alignment vertical="center"/>
    </xf>
    <xf numFmtId="302" fontId="18" fillId="0" borderId="0" xfId="0">
      <alignment vertical="center"/>
    </xf>
    <xf fontId="14" fillId="13" borderId="0" xfId="0">
      <alignment vertical="center"/>
    </xf>
    <xf fontId="14" fillId="14" borderId="0" xfId="0">
      <alignment vertical="center"/>
    </xf>
    <xf numFmtId="300" fontId="14" fillId="4" borderId="0" xfId="0">
      <alignment vertical="center"/>
    </xf>
    <xf numFmtId="307" fontId="47" fillId="0" borderId="27" xfId="0">
      <alignment vertical="center"/>
    </xf>
    <xf numFmtId="14" fontId="14" fillId="8" borderId="0" xfId="0">
      <alignment vertical="center"/>
    </xf>
    <xf fontId="0" fillId="0" borderId="0" xfId="0">
      <alignment vertical="center" wrapText="true"/>
    </xf>
    <xf numFmtId="0" fontId="19" fillId="0" borderId="27" xfId="0" applyNumberFormat="true" applyFont="true">
      <alignment vertical="center"/>
    </xf>
    <xf numFmtId="300" fontId="14" fillId="0" borderId="0" xfId="0">
      <alignment horizontal="right" vertical="bottom"/>
    </xf>
    <xf numFmtId="0" fontId="14" fillId="9" borderId="0" xfId="0">
      <alignment vertical="center"/>
    </xf>
    <xf numFmtId="300" fontId="14" fillId="12" borderId="0" xfId="0">
      <alignment vertical="center"/>
    </xf>
    <xf numFmtId="300" fontId="14" fillId="11" borderId="0" xfId="0">
      <alignment vertical="center"/>
    </xf>
    <xf fontId="14" fillId="10" borderId="0" xfId="0">
      <alignment vertical="center"/>
    </xf>
    <xf fontId="14" fillId="9" borderId="0" xfId="0">
      <alignment vertical="bottom"/>
    </xf>
    <xf fontId="14" fillId="8" borderId="13" xfId="0">
      <alignment horizontal="center" vertical="center"/>
    </xf>
    <xf numFmtId="300" fontId="14" fillId="8" borderId="13" xfId="0">
      <alignment horizontal="center" vertical="center"/>
    </xf>
    <xf fontId="14" fillId="3" borderId="13" xfId="0">
      <alignment horizontal="center" vertical="center"/>
    </xf>
    <xf fontId="14" fillId="12" borderId="0" xfId="0">
      <alignment vertical="center"/>
    </xf>
    <xf numFmtId="0" fontId="20" fillId="3" borderId="13" xfId="0">
      <alignment vertical="center"/>
    </xf>
    <xf numFmtId="300" fontId="14" fillId="10" borderId="0" xfId="0">
      <alignment vertical="center"/>
    </xf>
    <xf numFmtId="0" fontId="17" fillId="3" borderId="27" xfId="0" applyNumberFormat="true" applyFont="true" applyFill="true" applyAlignment="true">
      <alignment vertical="center"/>
    </xf>
    <xf numFmtId="300" fontId="14" fillId="0" borderId="13" xfId="0">
      <alignment horizontal="center" vertical="center"/>
    </xf>
    <xf numFmtId="0" fontId="14" fillId="11" borderId="0" xfId="0">
      <alignment vertical="center"/>
    </xf>
    <xf numFmtId="9" fontId="0" fillId="0" borderId="0" xfId="0">
      <alignment vertical="center"/>
    </xf>
    <xf numFmtId="0" fontId="14" fillId="0" borderId="0" xfId="0">
      <alignment vertical="center"/>
    </xf>
    <xf numFmtId="300" fontId="14" fillId="8" borderId="0" xfId="0">
      <alignment vertical="center"/>
    </xf>
    <xf numFmtId="14" fontId="14" fillId="9" borderId="0" xfId="0">
      <alignment vertical="center"/>
    </xf>
    <xf numFmtId="300" fontId="14" fillId="3" borderId="0" xfId="0">
      <alignment horizontal="right" vertical="bottom"/>
    </xf>
    <xf numFmtId="0" fontId="14" fillId="8" borderId="0" xfId="0">
      <alignment vertical="center"/>
    </xf>
    <xf numFmtId="300" fontId="14" fillId="3" borderId="0" xfId="0">
      <alignment horizontal="center" vertical="center"/>
    </xf>
    <xf fontId="0" fillId="15" borderId="0" xfId="0">
      <alignment vertical="center"/>
    </xf>
    <xf numFmtId="307" fontId="47" fillId="3" borderId="27" xfId="0" applyFill="true">
      <alignment vertical="center"/>
    </xf>
    <xf fontId="14" fillId="12" borderId="0" xfId="0">
      <alignment vertical="center" justifyLastLine="false" shrinkToFit="false"/>
    </xf>
    <xf fontId="16" fillId="15" borderId="0" xfId="0">
      <alignment vertical="center"/>
    </xf>
    <xf numFmtId="300" fontId="14" fillId="10" borderId="0" xfId="0">
      <alignment horizontal="right" vertical="bottom"/>
    </xf>
    <xf numFmtId="0" fontId="19" fillId="0" borderId="0" xfId="0">
      <alignment vertical="center"/>
    </xf>
    <xf numFmtId="300" fontId="14" fillId="13" borderId="0" xfId="0">
      <alignment vertical="center"/>
    </xf>
    <xf numFmtId="0" fontId="0" fillId="0" borderId="0" xfId="0">
      <alignment vertical="center"/>
    </xf>
    <xf fontId="0" fillId="0" borderId="0" xfId="0">
      <alignment horizontal="center" vertical="center"/>
    </xf>
    <xf fontId="0" fillId="0" borderId="0" xfId="0">
      <alignment/>
    </xf>
    <xf numFmtId="300" fontId="21" fillId="0" borderId="0" xfId="0">
      <alignment vertical="center"/>
    </xf>
    <xf fontId="16" fillId="3" borderId="0" xfId="0">
      <alignment vertical="center"/>
    </xf>
    <xf fontId="22" fillId="3" borderId="0" xfId="0">
      <alignment vertical="center"/>
    </xf>
    <xf fontId="16" fillId="11" borderId="0" xfId="0">
      <alignment vertical="center"/>
    </xf>
    <xf fontId="16" fillId="12" borderId="0" xfId="0">
      <alignment vertical="center"/>
    </xf>
    <xf numFmtId="0" fontId="20" fillId="3" borderId="13" xfId="0">
      <alignment vertical="center"/>
    </xf>
    <xf numFmtId="0" fontId="22" fillId="0" borderId="0" xfId="0">
      <alignment vertical="center"/>
    </xf>
    <xf numFmtId="0" fontId="16" fillId="8" borderId="0" xfId="0">
      <alignment vertical="center"/>
    </xf>
    <xf numFmtId="300" fontId="14" fillId="3" borderId="0" xfId="0">
      <alignment horizontal="right" vertical="bottom" textRotation="0"/>
    </xf>
    <xf numFmtId="300" fontId="14" fillId="11" borderId="0" xfId="0">
      <alignment horizontal="right" vertical="bottom" textRotation="0"/>
    </xf>
    <xf numFmtId="0" fontId="16" fillId="10" borderId="0" xfId="0">
      <alignment vertical="center"/>
    </xf>
    <xf numFmtId="0" fontId="14" fillId="0" borderId="0" xfId="0">
      <alignment horizontal="right" vertical="center" textRotation="0" indent="0" justifyLastLine="false" shrinkToFit="false"/>
    </xf>
    <xf numFmtId="0" fontId="14" fillId="0" borderId="0" xfId="0">
      <alignment vertical="center" textRotation="0" indent="0" justifyLastLine="false" shrinkToFit="false"/>
    </xf>
    <xf numFmtId="0" fontId="17" fillId="11" borderId="0" xfId="0">
      <alignment vertical="center"/>
    </xf>
    <xf numFmtId="0" fontId="22" fillId="8" borderId="0" xfId="0">
      <alignment vertical="center"/>
    </xf>
    <xf fontId="0" fillId="0" borderId="0" xfId="0">
      <alignment horizontal="right" vertical="center"/>
    </xf>
    <xf numFmtId="0" fontId="0" fillId="3" borderId="0" xfId="0">
      <alignment vertical="center"/>
    </xf>
    <xf numFmtId="0" fontId="14" fillId="9" borderId="0" xfId="0">
      <alignment vertical="bottom"/>
    </xf>
    <xf numFmtId="2" fontId="0" fillId="0" borderId="0" xfId="0">
      <alignment vertical="center"/>
    </xf>
    <xf numFmtId="300" fontId="14" fillId="13" borderId="0" xfId="0">
      <alignment vertical="center" justifyLastLine="false" shrinkToFit="false"/>
    </xf>
    <xf fontId="23" fillId="8" borderId="13" xfId="0">
      <alignment vertical="center"/>
    </xf>
    <xf fontId="24" fillId="0" borderId="0" xfId="0">
      <alignment vertical="bottom"/>
    </xf>
    <xf numFmtId="0" fontId="0" fillId="0" borderId="0" xfId="0">
      <alignment vertical="center" textRotation="0"/>
    </xf>
    <xf fontId="25" fillId="9" borderId="0" xfId="0">
      <alignment vertical="center"/>
    </xf>
    <xf numFmtId="0" fontId="14" fillId="10" borderId="0" xfId="0">
      <alignment vertical="center" textRotation="0" indent="0" justifyLastLine="false" shrinkToFit="false"/>
    </xf>
    <xf numFmtId="0" fontId="14" fillId="9" borderId="0" xfId="0">
      <alignment vertical="center" justifyLastLine="false" shrinkToFit="false"/>
    </xf>
    <xf numFmtId="300" fontId="14" fillId="9" borderId="14" xfId="0">
      <alignment vertical="center"/>
    </xf>
    <xf fontId="14" fillId="11" borderId="0" xfId="0">
      <alignment vertical="center" justifyLastLine="false" shrinkToFit="false"/>
    </xf>
    <xf fontId="14" fillId="3" borderId="0" xfId="0">
      <alignment vertical="center" justifyLastLine="false" shrinkToFit="false"/>
    </xf>
    <xf numFmtId="300" fontId="14" fillId="16" borderId="0" xfId="0">
      <alignment horizontal="right" vertical="bottom" textRotation="0"/>
    </xf>
    <xf numFmtId="300" fontId="0" fillId="0" borderId="0" xfId="0">
      <alignment vertical="center"/>
    </xf>
    <xf numFmtId="0" fontId="17" fillId="3" borderId="27" xfId="0" applyNumberFormat="true" applyFont="true" applyFill="true" applyAlignment="true">
      <alignment horizontal="center" vertical="center"/>
    </xf>
    <xf numFmtId="307" fontId="26" fillId="0" borderId="27" xfId="0" applyFont="true">
      <alignment vertical="center"/>
    </xf>
    <xf numFmtId="304" fontId="10" fillId="0" borderId="15" xfId="0" applyNumberFormat="true" applyFont="true" applyBorder="true" applyAlignment="true">
      <alignment horizontal="left" vertical="center"/>
    </xf>
    <xf numFmtId="304" fontId="10" fillId="0" borderId="2" xfId="0" applyNumberFormat="true" applyFont="true" applyBorder="true" applyAlignment="true">
      <alignment horizontal="left" vertical="center"/>
    </xf>
    <xf numFmtId="304" fontId="10" fillId="0" borderId="2" xfId="0">
      <alignment horizontal="left" vertical="center"/>
    </xf>
    <xf numFmtId="0" fontId="10" fillId="0" borderId="2" xfId="0" applyNumberFormat="true" applyFont="true" applyBorder="true" applyAlignment="true">
      <alignment horizontal="left" vertical="center"/>
    </xf>
    <xf numFmtId="0" fontId="10" fillId="17" borderId="2" xfId="0" applyNumberFormat="true" applyFont="true" applyFill="true" applyBorder="true" applyAlignment="true">
      <alignment horizontal="center" vertical="center"/>
    </xf>
    <xf numFmtId="0" fontId="12" fillId="0" borderId="16" xfId="0" applyNumberFormat="true" applyFont="true" applyBorder="true" applyAlignment="true">
      <alignment horizontal="left" vertical="center"/>
    </xf>
    <xf numFmtId="0" fontId="10" fillId="3" borderId="2" xfId="0" applyNumberFormat="true" applyFont="true" applyFill="true" applyBorder="true" applyAlignment="true">
      <alignment horizontal="left" vertical="center"/>
    </xf>
    <xf numFmtId="307" fontId="10" fillId="16" borderId="2" xfId="0" applyFont="true" applyFill="true" applyBorder="true" applyAlignment="true">
      <alignment horizontal="center" vertical="center"/>
    </xf>
    <xf numFmtId="307" fontId="10" fillId="0" borderId="2" xfId="0" applyFont="true" applyBorder="true" applyAlignment="true">
      <alignment horizontal="center" vertical="center"/>
    </xf>
    <xf numFmtId="307" fontId="10" fillId="18" borderId="2" xfId="0" applyFont="true" applyFill="true" applyBorder="true" applyAlignment="true">
      <alignment horizontal="center" vertical="center"/>
    </xf>
    <xf numFmtId="301" fontId="10" fillId="0" borderId="2" xfId="0" applyNumberFormat="true" applyFont="true" applyBorder="true">
      <alignment vertical="center"/>
    </xf>
    <xf numFmtId="307" fontId="10" fillId="5" borderId="2" xfId="0" applyFont="true" applyFill="true" applyBorder="true" applyAlignment="true">
      <alignment horizontal="left" vertical="center"/>
    </xf>
    <xf numFmtId="307" fontId="10" fillId="0" borderId="2" xfId="0" applyFont="true" applyBorder="true" applyAlignment="true">
      <alignment horizontal="left" vertical="center"/>
    </xf>
    <xf numFmtId="307" fontId="10" fillId="19" borderId="2" xfId="0" applyFont="true" applyFill="true" applyBorder="true" applyAlignment="true">
      <alignment horizontal="left" vertical="center"/>
    </xf>
    <xf numFmtId="307" fontId="11" fillId="0" borderId="2" xfId="0" applyFont="true" applyBorder="true" applyAlignment="true">
      <alignment horizontal="left" vertical="center"/>
    </xf>
    <xf numFmtId="307" fontId="11" fillId="0" borderId="27" xfId="0" applyFont="true">
      <alignment vertical="center"/>
    </xf>
    <xf numFmtId="300" fontId="14" fillId="9" borderId="0" xfId="0">
      <alignment vertical="bottom"/>
    </xf>
    <xf numFmtId="2" fontId="14" fillId="9" borderId="0" xfId="0">
      <alignment vertical="center"/>
    </xf>
    <xf fontId="0" fillId="9" borderId="0" xfId="0">
      <alignment vertical="center"/>
    </xf>
    <xf numFmtId="2" fontId="27" fillId="4" borderId="0" xfId="0">
      <alignment vertical="center"/>
    </xf>
    <xf fontId="14" fillId="9" borderId="17" xfId="0">
      <alignment vertical="center"/>
    </xf>
    <xf fontId="14" fillId="3" borderId="17" xfId="0">
      <alignment vertical="center"/>
    </xf>
    <xf fontId="14" fillId="3" borderId="0" xfId="0">
      <alignment vertical="center" wrapText="true"/>
    </xf>
    <xf numFmtId="2" fontId="28" fillId="4" borderId="0" xfId="0">
      <alignment vertical="center"/>
    </xf>
    <xf numFmtId="0" fontId="16" fillId="3" borderId="0" xfId="0">
      <alignment vertical="bottom" textRotation="0"/>
    </xf>
    <xf fontId="14" fillId="3" borderId="0" xfId="0">
      <alignment vertical="bottom"/>
    </xf>
    <xf numFmtId="2" fontId="14" fillId="4" borderId="0" xfId="0">
      <alignment vertical="center"/>
    </xf>
    <xf numFmtId="0" fontId="16" fillId="8" borderId="0" xfId="0">
      <alignment horizontal="right" vertical="center" textRotation="0"/>
    </xf>
    <xf numFmtId="0" fontId="16" fillId="8" borderId="0" xfId="0">
      <alignment vertical="center" textRotation="0"/>
    </xf>
    <xf numFmtId="0" fontId="16" fillId="8" borderId="12" xfId="0">
      <alignment horizontal="right" vertical="center" textRotation="0"/>
    </xf>
    <xf fontId="14" fillId="9" borderId="12" xfId="0">
      <alignment horizontal="right" vertical="center"/>
    </xf>
    <xf fontId="16" fillId="8" borderId="0" xfId="0">
      <alignment horizontal="right" vertical="center"/>
    </xf>
    <xf fontId="14" fillId="9" borderId="0" xfId="0">
      <alignment vertical="center" wrapText="true"/>
    </xf>
    <xf numFmtId="14" fontId="14" fillId="9" borderId="0" xfId="0">
      <alignment horizontal="left" vertical="center"/>
    </xf>
    <xf fontId="14" fillId="13" borderId="0" xfId="0">
      <alignment vertical="bottom"/>
    </xf>
    <xf fontId="14" fillId="9" borderId="12" xfId="0">
      <alignment vertical="center"/>
    </xf>
    <xf fontId="18" fillId="9" borderId="0" xfId="0">
      <alignment vertical="center"/>
    </xf>
    <xf numFmtId="0" fontId="14" fillId="9" borderId="0" xfId="0">
      <alignment vertical="center" wrapText="true"/>
    </xf>
    <xf numFmtId="2" fontId="14" fillId="9" borderId="0" xfId="0">
      <alignment vertical="bottom"/>
    </xf>
    <xf numFmtId="14" fontId="18" fillId="9" borderId="0" xfId="0">
      <alignment vertical="center"/>
    </xf>
    <xf fontId="0" fillId="13" borderId="0" xfId="0">
      <alignment vertical="center"/>
    </xf>
    <xf fontId="24" fillId="8" borderId="0" xfId="0">
      <alignment vertical="bottom"/>
    </xf>
    <xf fontId="22" fillId="8" borderId="0" xfId="0">
      <alignment vertical="center"/>
    </xf>
    <xf numFmtId="0" fontId="16" fillId="8" borderId="0" xfId="0">
      <alignment horizontal="right" vertical="center" textRotation="0" indent="0" justifyLastLine="false" shrinkToFit="false"/>
    </xf>
    <xf fontId="14" fillId="20" borderId="0" xfId="0">
      <alignment vertical="center"/>
    </xf>
    <xf fontId="14" fillId="4" borderId="0" xfId="0">
      <alignment vertical="bottom"/>
    </xf>
    <xf fontId="0" fillId="4" borderId="0" xfId="0">
      <alignment vertical="center"/>
    </xf>
    <xf numFmtId="0" fontId="17" fillId="11" borderId="18" xfId="0">
      <alignment vertical="center"/>
    </xf>
    <xf numFmtId="0" fontId="14" fillId="4" borderId="0" xfId="0">
      <alignment vertical="bottom"/>
    </xf>
    <xf fontId="22" fillId="10" borderId="0" xfId="0">
      <alignment vertical="center"/>
    </xf>
    <xf numFmtId="300" fontId="14" fillId="14" borderId="0" xfId="0">
      <alignment vertical="center"/>
    </xf>
    <xf numFmtId="0" fontId="14" fillId="4" borderId="17" xfId="0">
      <alignment vertical="center"/>
    </xf>
    <xf numFmtId="0" fontId="17" fillId="21" borderId="17" xfId="0">
      <alignment vertical="center"/>
    </xf>
    <xf numFmtId="0" fontId="14" fillId="10" borderId="0" xfId="0">
      <alignment vertical="center"/>
    </xf>
    <xf fontId="14" fillId="14" borderId="0" xfId="0">
      <alignment vertical="bottom"/>
    </xf>
    <xf fontId="14" fillId="10" borderId="17" xfId="0">
      <alignment vertical="center"/>
    </xf>
    <xf fontId="14" fillId="11" borderId="0" xfId="0">
      <alignment vertical="bottom"/>
    </xf>
    <xf fontId="23" fillId="4" borderId="17" xfId="0">
      <alignment vertical="center"/>
    </xf>
    <xf numFmtId="0" fontId="20" fillId="21" borderId="17" xfId="0">
      <alignment vertical="center"/>
    </xf>
    <xf numFmtId="0" fontId="14" fillId="4" borderId="13" xfId="0">
      <alignment vertical="center"/>
    </xf>
    <xf numFmtId="0" fontId="17" fillId="11" borderId="13" xfId="0">
      <alignment vertical="center"/>
    </xf>
    <xf fontId="14" fillId="10" borderId="13" xfId="0">
      <alignment vertical="center"/>
    </xf>
    <xf fontId="23" fillId="4" borderId="13" xfId="0">
      <alignment vertical="center"/>
    </xf>
    <xf numFmtId="0" fontId="20" fillId="11" borderId="13" xfId="0">
      <alignment vertical="center"/>
    </xf>
    <xf fontId="14" fillId="11" borderId="13" xfId="0">
      <alignment vertical="center"/>
    </xf>
    <xf fontId="23" fillId="4" borderId="0" xfId="0">
      <alignment vertical="center"/>
    </xf>
    <xf fontId="14" fillId="11" borderId="12" xfId="0">
      <alignment vertical="center"/>
    </xf>
    <xf fontId="24" fillId="10" borderId="0" xfId="0">
      <alignment vertical="bottom"/>
    </xf>
    <xf numFmtId="0" fontId="20" fillId="11" borderId="0" xfId="0">
      <alignment vertical="center"/>
    </xf>
    <xf numFmtId="0" fontId="14" fillId="4" borderId="0" xfId="0">
      <alignment vertical="center"/>
    </xf>
    <xf fontId="22" fillId="0" borderId="0" xfId="0">
      <alignment vertical="center"/>
    </xf>
    <xf numFmtId="0" fontId="17" fillId="3" borderId="13" xfId="0">
      <alignment vertical="center"/>
    </xf>
    <xf numFmtId="0" fontId="14" fillId="9" borderId="27" xfId="0" applyNumberFormat="true" applyFont="true" applyFill="true" applyAlignment="true">
      <alignment vertical="center"/>
    </xf>
    <xf numFmtId="307" fontId="14" fillId="9" borderId="27" xfId="0" applyFont="true" applyFill="true" applyAlignment="true">
      <alignment vertical="center"/>
    </xf>
    <xf fontId="24" fillId="22" borderId="0" xfId="0">
      <alignment vertical="bottom"/>
    </xf>
    <xf fontId="24" fillId="3" borderId="0" xfId="0">
      <alignment vertical="bottom"/>
    </xf>
    <xf fontId="14" fillId="3" borderId="12" xfId="0">
      <alignment vertical="center"/>
    </xf>
    <xf fontId="16" fillId="3" borderId="0" xfId="0">
      <alignment horizontal="right" vertical="center"/>
    </xf>
    <xf fontId="0" fillId="14" borderId="0" xfId="0">
      <alignment vertical="center"/>
    </xf>
    <xf numFmtId="0" fontId="14" fillId="11" borderId="0" xfId="0">
      <alignment vertical="bottom"/>
    </xf>
    <xf fontId="16" fillId="10" borderId="13" xfId="0">
      <alignment vertical="center"/>
    </xf>
    <xf fontId="16" fillId="11" borderId="13" xfId="0">
      <alignment vertical="center"/>
    </xf>
    <xf fontId="16" fillId="10" borderId="0" xfId="0">
      <alignment vertical="center"/>
    </xf>
    <xf numFmtId="49" fontId="29" fillId="10" borderId="0" xfId="0">
      <alignment vertical="center"/>
    </xf>
    <xf fontId="24" fillId="11" borderId="0" xfId="0">
      <alignment vertical="bottom"/>
    </xf>
    <xf fontId="22" fillId="11" borderId="0" xfId="0">
      <alignment vertical="center"/>
    </xf>
    <xf fontId="0" fillId="11" borderId="0" xfId="0">
      <alignment vertical="center"/>
    </xf>
    <xf numFmtId="0" fontId="14" fillId="3" borderId="0" xfId="0">
      <alignment vertical="bottom"/>
    </xf>
    <xf fontId="0" fillId="9" borderId="12" xfId="0">
      <alignment vertical="center"/>
    </xf>
    <xf fontId="23" fillId="9" borderId="13" xfId="0">
      <alignment vertical="center"/>
    </xf>
    <xf fontId="16" fillId="8" borderId="0" xfId="0">
      <alignment vertical="center"/>
    </xf>
    <xf numFmtId="0" fontId="16" fillId="0" borderId="0" xfId="0">
      <alignment vertical="center"/>
    </xf>
    <xf fontId="16" fillId="9" borderId="0" xfId="0">
      <alignment vertical="center"/>
    </xf>
    <xf fontId="14" fillId="4" borderId="0" xfId="0">
      <alignment vertical="center" wrapText="true"/>
    </xf>
    <xf fontId="14" fillId="11" borderId="0" xfId="0">
      <alignment vertical="center" wrapText="true"/>
    </xf>
    <xf fontId="0" fillId="8" borderId="0" xfId="0">
      <alignment vertical="center"/>
    </xf>
    <xf fontId="0" fillId="11" borderId="0" xfId="0">
      <alignment vertical="center" wrapText="true"/>
    </xf>
    <xf fontId="0" fillId="3" borderId="0" xfId="0">
      <alignment vertical="center" wrapText="true"/>
    </xf>
    <xf fontId="0" fillId="23" borderId="0" xfId="0">
      <alignment vertical="center"/>
    </xf>
    <xf fontId="24" fillId="0" borderId="13" xfId="0">
      <alignment vertical="bottom"/>
    </xf>
    <xf fontId="16" fillId="0" borderId="12" xfId="0">
      <alignment vertical="center"/>
    </xf>
    <xf fontId="16" fillId="0" borderId="19" xfId="0">
      <alignment vertical="center"/>
    </xf>
    <xf fontId="16" fillId="3" borderId="12" xfId="0">
      <alignment vertical="center"/>
    </xf>
    <xf fontId="16" fillId="8" borderId="17" xfId="0">
      <alignment vertical="center"/>
    </xf>
    <xf fontId="16" fillId="3" borderId="20" xfId="0">
      <alignment vertical="center"/>
    </xf>
    <xf fontId="0" fillId="10" borderId="0" xfId="0">
      <alignment vertical="center"/>
    </xf>
    <xf fontId="0" fillId="11" borderId="12" xfId="0">
      <alignment vertical="center"/>
    </xf>
    <xf fontId="0" fillId="0" borderId="12" xfId="0">
      <alignment vertical="center"/>
    </xf>
    <xf fontId="0" fillId="10" borderId="17" xfId="0">
      <alignment vertical="center"/>
    </xf>
    <xf fontId="0" fillId="11" borderId="20" xfId="0">
      <alignment vertical="center"/>
    </xf>
    <xf fontId="0" fillId="0" borderId="20" xfId="0">
      <alignment vertical="center"/>
    </xf>
    <xf fontId="0" fillId="0" borderId="13" xfId="0">
      <alignment vertical="center"/>
    </xf>
    <xf fontId="0" fillId="9" borderId="13" xfId="0">
      <alignment vertical="center"/>
    </xf>
    <xf fontId="0" fillId="3" borderId="12" xfId="0">
      <alignment vertical="center"/>
    </xf>
    <xf fontId="14" fillId="4" borderId="12" xfId="0">
      <alignment vertical="center"/>
    </xf>
    <xf fontId="0" fillId="8" borderId="17" xfId="0">
      <alignment vertical="center"/>
    </xf>
    <xf fontId="0" fillId="3" borderId="20" xfId="0">
      <alignment vertical="center"/>
    </xf>
    <xf fontId="14" fillId="4" borderId="20" xfId="0">
      <alignment vertical="center"/>
    </xf>
    <xf fontId="16" fillId="11" borderId="12" xfId="0">
      <alignment vertical="center"/>
    </xf>
    <xf fontId="23" fillId="11" borderId="13" xfId="0">
      <alignment vertical="center"/>
    </xf>
    <xf numFmtId="300" fontId="14" fillId="21" borderId="0" xfId="0">
      <alignment vertical="center"/>
    </xf>
    <xf numFmtId="0" fontId="17" fillId="21" borderId="13" xfId="0">
      <alignment vertical="center"/>
    </xf>
    <xf fontId="16" fillId="21" borderId="0" xfId="0">
      <alignment vertical="center"/>
    </xf>
    <xf fontId="16" fillId="21" borderId="17" xfId="0">
      <alignment vertical="center"/>
    </xf>
    <xf numFmtId="0" fontId="20" fillId="21" borderId="13" xfId="0">
      <alignment vertical="center"/>
    </xf>
    <xf numFmtId="300" fontId="14" fillId="11" borderId="13" xfId="0">
      <alignment vertical="center"/>
    </xf>
    <xf fontId="14" fillId="4" borderId="13" xfId="0">
      <alignment vertical="center"/>
    </xf>
    <xf fontId="14" fillId="11" borderId="18" xfId="0">
      <alignment vertical="center"/>
    </xf>
    <xf fontId="24" fillId="3" borderId="13" xfId="0">
      <alignment vertical="bottom"/>
    </xf>
    <xf fontId="14" fillId="11" borderId="13" xfId="0">
      <alignment vertical="bottom"/>
    </xf>
    <xf numFmtId="2" fontId="14" fillId="4" borderId="13" xfId="0">
      <alignment vertical="center"/>
    </xf>
    <xf fontId="23" fillId="3" borderId="13" xfId="0">
      <alignment vertical="center"/>
    </xf>
    <xf fontId="14" fillId="11" borderId="21" xfId="0">
      <alignment vertical="center"/>
    </xf>
    <xf fontId="16" fillId="4" borderId="13" xfId="0">
      <alignment vertical="center"/>
    </xf>
    <xf fontId="16" fillId="11" borderId="22" xfId="0">
      <alignment vertical="center"/>
    </xf>
    <xf fontId="14" fillId="3" borderId="13" xfId="0">
      <alignment vertical="center"/>
    </xf>
    <xf numFmtId="0" fontId="16" fillId="3" borderId="0" xfId="0">
      <alignment vertical="center"/>
    </xf>
    <xf fontId="30" fillId="8" borderId="0" xfId="0">
      <alignment vertical="bottom"/>
    </xf>
    <xf numFmtId="0" fontId="20" fillId="3" borderId="0" xfId="0">
      <alignment vertical="center"/>
    </xf>
    <xf fontId="23" fillId="10" borderId="0" xfId="0">
      <alignment vertical="center"/>
    </xf>
    <xf fontId="23" fillId="9" borderId="0" xfId="0">
      <alignment vertical="center"/>
    </xf>
    <xf fontId="14" fillId="22" borderId="0" xfId="0">
      <alignment vertical="center"/>
    </xf>
    <xf fontId="14" fillId="11" borderId="17" xfId="0">
      <alignment vertical="center"/>
    </xf>
    <xf fontId="14" fillId="11" borderId="22" xfId="0">
      <alignment vertical="center"/>
    </xf>
    <xf fontId="22" fillId="22" borderId="0" xfId="0">
      <alignment vertical="center"/>
    </xf>
    <xf fontId="14" fillId="21" borderId="0" xfId="0">
      <alignment vertical="center"/>
    </xf>
    <xf fontId="0" fillId="21" borderId="0" xfId="0">
      <alignment vertical="center"/>
    </xf>
    <xf numFmtId="0" fontId="14" fillId="0" borderId="12" xfId="0">
      <alignment vertical="center"/>
    </xf>
    <xf fontId="16" fillId="3" borderId="0" xfId="0">
      <alignment vertical="center" wrapText="true"/>
    </xf>
    <xf fontId="31" fillId="0" borderId="0" xfId="0">
      <alignment vertical="center"/>
    </xf>
    <xf fontId="31" fillId="3" borderId="0" xfId="0">
      <alignment vertical="center"/>
    </xf>
    <xf numFmtId="0" fontId="29" fillId="0" borderId="0" xfId="0">
      <alignment vertical="center"/>
    </xf>
    <xf fontId="14" fillId="9" borderId="12" xfId="0">
      <alignment vertical="bottom"/>
    </xf>
    <xf numFmtId="0" fontId="0" fillId="8" borderId="0" xfId="0">
      <alignment vertical="center"/>
    </xf>
    <xf numFmtId="0" fontId="0" fillId="0" borderId="0" xfId="0">
      <alignment/>
    </xf>
    <xf numFmtId="0" fontId="0" fillId="0" borderId="0" xfId="0">
      <alignment horizontal="right" vertical="center"/>
    </xf>
    <xf fontId="0" fillId="12" borderId="0" xfId="0">
      <alignment vertical="center"/>
    </xf>
    <xf fontId="24" fillId="8" borderId="0" xfId="0">
      <alignment vertical="bottom" wrapText="true"/>
    </xf>
    <xf fontId="24" fillId="0" borderId="0" xfId="0">
      <alignment vertical="bottom" wrapText="true"/>
    </xf>
    <xf fontId="14" fillId="3" borderId="0" xfId="0">
      <alignment horizontal="right" vertical="center"/>
    </xf>
    <xf fontId="0" fillId="8" borderId="0" xfId="0">
      <alignment horizontal="right" vertical="center"/>
    </xf>
    <xf fontId="32" fillId="0" borderId="0" xfId="0">
      <alignment vertical="center"/>
    </xf>
    <xf numFmtId="0" fontId="0" fillId="3" borderId="0" xfId="0">
      <alignment/>
    </xf>
    <xf numFmtId="0" fontId="22" fillId="3" borderId="0" xfId="0">
      <alignment vertical="center"/>
    </xf>
    <xf fontId="0" fillId="3" borderId="0" xfId="0">
      <alignment horizontal="left" vertical="center"/>
    </xf>
    <xf fontId="14" fillId="3" borderId="12" xfId="0">
      <alignment vertical="bottom"/>
    </xf>
    <xf fontId="16" fillId="3" borderId="0" xfId="0">
      <alignment horizontal="left" vertical="center"/>
    </xf>
    <xf fontId="0" fillId="3" borderId="0" xfId="0">
      <alignment horizontal="right" vertical="center"/>
    </xf>
    <xf numFmtId="0" fontId="0" fillId="8" borderId="0" xfId="0">
      <alignment/>
    </xf>
    <xf fontId="0" fillId="8" borderId="0" xfId="0">
      <alignment horizontal="left" vertical="center"/>
    </xf>
    <xf fontId="0" fillId="0" borderId="0" xfId="0">
      <alignment horizontal="left" vertical="center"/>
    </xf>
    <xf fontId="14" fillId="9" borderId="0" xfId="0">
      <alignment horizontal="left" vertical="center"/>
    </xf>
    <xf numFmtId="0" fontId="17" fillId="3" borderId="18" xfId="0">
      <alignment vertical="center"/>
    </xf>
    <xf numFmtId="0" fontId="14" fillId="3" borderId="0" xfId="0">
      <alignment vertical="center" textRotation="0"/>
    </xf>
    <xf numFmtId="0" fontId="14" fillId="0" borderId="0" xfId="0">
      <alignment vertical="center" textRotation="0"/>
    </xf>
    <xf numFmtId="0" fontId="14" fillId="3" borderId="12" xfId="0">
      <alignment vertical="center" textRotation="0"/>
    </xf>
    <xf numFmtId="14" fontId="14" fillId="3" borderId="0" xfId="0">
      <alignment vertical="center"/>
    </xf>
    <xf numFmtId="0" fontId="22" fillId="11" borderId="0" xfId="0">
      <alignment vertical="center"/>
    </xf>
    <xf numFmtId="0" fontId="22" fillId="10" borderId="0" xfId="0">
      <alignment vertical="center"/>
    </xf>
    <xf fontId="0" fillId="10" borderId="0" xfId="0">
      <alignment horizontal="right" vertical="center"/>
    </xf>
    <xf numFmtId="0" fontId="29" fillId="0" borderId="14" xfId="0">
      <alignment vertical="center"/>
    </xf>
    <xf numFmtId="0" fontId="29" fillId="3" borderId="0" xfId="0">
      <alignment vertical="center"/>
    </xf>
    <xf fontId="14" fillId="9" borderId="13" xfId="0">
      <alignment vertical="center"/>
    </xf>
    <xf numFmtId="0" fontId="29" fillId="8" borderId="14" xfId="0">
      <alignment vertical="center"/>
    </xf>
    <xf numFmtId="0" fontId="29" fillId="8" borderId="0" xfId="0">
      <alignment vertical="center"/>
    </xf>
    <xf fontId="0" fillId="11" borderId="0" xfId="0">
      <alignment horizontal="right" vertical="center"/>
    </xf>
    <xf numFmtId="0" fontId="29" fillId="22" borderId="0" xfId="0">
      <alignment vertical="center"/>
    </xf>
    <xf numFmtId="0" fontId="0" fillId="0" borderId="0" xfId="0">
      <alignment vertical="bottom" textRotation="0"/>
    </xf>
    <xf numFmtId="0" fontId="14" fillId="3" borderId="12" xfId="0">
      <alignment vertical="center"/>
    </xf>
    <xf numFmtId="0" fontId="14" fillId="9" borderId="12" xfId="0">
      <alignment vertical="bottom"/>
    </xf>
    <xf numFmtId="0" fontId="29" fillId="10" borderId="0" xfId="0">
      <alignment vertical="center"/>
    </xf>
    <xf fontId="16" fillId="11" borderId="0" xfId="0">
      <alignment horizontal="right" vertical="center"/>
    </xf>
    <xf fontId="0" fillId="21" borderId="0" xfId="0">
      <alignment horizontal="right" vertical="center"/>
    </xf>
    <xf numFmtId="0" fontId="16" fillId="0" borderId="0" xfId="0">
      <alignment vertical="bottom" textRotation="0"/>
    </xf>
    <xf numFmtId="0" fontId="0" fillId="11" borderId="0" xfId="0">
      <alignment horizontal="right" vertical="center"/>
    </xf>
    <xf numFmtId="0" fontId="0" fillId="0" borderId="0" xfId="0">
      <alignment horizontal="right" vertical="center" textRotation="0"/>
    </xf>
    <xf fontId="14" fillId="4" borderId="0" xfId="0">
      <alignment horizontal="right" vertical="center"/>
    </xf>
    <xf fontId="14" fillId="9" borderId="0" xfId="0">
      <alignment horizontal="right" vertical="center"/>
    </xf>
    <xf numFmtId="0" fontId="0" fillId="11" borderId="0" xfId="0">
      <alignment vertical="center"/>
    </xf>
    <xf numFmtId="0" fontId="0" fillId="10" borderId="0" xfId="0">
      <alignment horizontal="right" vertical="center" textRotation="0" indent="0" justifyLastLine="false" shrinkToFit="false"/>
    </xf>
    <xf numFmtId="0" fontId="0" fillId="0" borderId="0" xfId="0">
      <alignment horizontal="right" vertical="center" textRotation="0" indent="0" justifyLastLine="false" shrinkToFit="false"/>
    </xf>
    <xf fontId="0" fillId="3" borderId="0" xfId="0">
      <alignment/>
    </xf>
    <xf fontId="0" fillId="16" borderId="0" xfId="0">
      <alignment vertical="center"/>
    </xf>
    <xf numFmtId="0" fontId="16" fillId="3" borderId="13" xfId="0">
      <alignment vertical="center"/>
    </xf>
    <xf numFmtId="0" fontId="16" fillId="16" borderId="12" xfId="0">
      <alignment vertical="center"/>
    </xf>
    <xf numFmtId="0" fontId="16" fillId="10" borderId="12" xfId="0">
      <alignment horizontal="right" vertical="center" textRotation="0"/>
    </xf>
    <xf fontId="0" fillId="12" borderId="0" xfId="0">
      <alignment horizontal="right" vertical="center"/>
    </xf>
    <xf fontId="23" fillId="0" borderId="13" xfId="0">
      <alignment horizontal="right" vertical="center"/>
    </xf>
    <xf numFmtId="0" fontId="0" fillId="0" borderId="12" xfId="0">
      <alignment horizontal="right" vertical="center" textRotation="0"/>
    </xf>
    <xf fontId="23" fillId="3" borderId="13" xfId="0">
      <alignment horizontal="right" vertical="center"/>
    </xf>
    <xf numFmtId="0" fontId="33" fillId="22" borderId="0" xfId="0">
      <alignment vertical="center"/>
    </xf>
    <xf numFmtId="0" fontId="33" fillId="0" borderId="0" xfId="0">
      <alignment vertical="center"/>
    </xf>
    <xf numFmtId="1" fontId="0" fillId="0" borderId="0" xfId="0">
      <alignment vertical="center"/>
    </xf>
    <xf numFmtId="1" fontId="14" fillId="3" borderId="0" xfId="0">
      <alignment vertical="center"/>
    </xf>
    <xf numFmtId="1" fontId="14" fillId="3" borderId="0" xfId="0">
      <alignment vertical="bottom"/>
    </xf>
    <xf numFmtId="0" fontId="0" fillId="12" borderId="0" xfId="0">
      <alignment vertical="center"/>
    </xf>
    <xf numFmtId="0" fontId="0" fillId="8" borderId="0" xfId="0">
      <alignment horizontal="right" vertical="center" textRotation="0"/>
    </xf>
    <xf numFmtId="0" fontId="16" fillId="3" borderId="12" xfId="0">
      <alignment vertical="center"/>
    </xf>
    <xf numFmtId="0" fontId="33" fillId="8" borderId="14" xfId="0">
      <alignment vertical="center"/>
    </xf>
    <xf numFmtId="0" fontId="33" fillId="3" borderId="0" xfId="0">
      <alignment vertical="center"/>
    </xf>
    <xf fontId="16" fillId="8" borderId="12" xfId="0">
      <alignment horizontal="right" vertical="center"/>
    </xf>
    <xf numFmtId="0" fontId="16" fillId="12" borderId="0" xfId="0">
      <alignment vertical="center"/>
    </xf>
    <xf numFmtId="0" fontId="0" fillId="8" borderId="0" xfId="0">
      <alignment horizontal="right" vertical="center"/>
    </xf>
    <xf numFmtId="0" fontId="33" fillId="8" borderId="0" xfId="0">
      <alignment vertical="center"/>
    </xf>
    <xf fontId="14" fillId="3" borderId="12" xfId="0">
      <alignment horizontal="right" vertical="center"/>
    </xf>
    <xf numFmtId="1" fontId="16" fillId="8" borderId="12" xfId="0">
      <alignment vertical="center"/>
    </xf>
    <xf numFmtId="0" fontId="34" fillId="0" borderId="0" xfId="0">
      <alignment vertical="center"/>
    </xf>
    <xf numFmtId="0" fontId="34" fillId="3" borderId="0" xfId="0">
      <alignment vertical="center"/>
    </xf>
    <xf numFmtId="0" fontId="16" fillId="8" borderId="0" xfId="0">
      <alignment/>
    </xf>
    <xf numFmtId="0" fontId="34" fillId="8" borderId="0" xfId="0">
      <alignment vertical="center"/>
    </xf>
    <xf fontId="16" fillId="0" borderId="0" xfId="0">
      <alignment horizontal="right" vertical="center"/>
    </xf>
    <xf numFmtId="0" fontId="34" fillId="3" borderId="12" xfId="0">
      <alignment vertical="center"/>
    </xf>
    <xf fontId="16" fillId="11" borderId="0" xfId="0">
      <alignment vertical="center" wrapText="true"/>
    </xf>
    <xf numFmtId="0" fontId="34" fillId="10" borderId="0" xfId="0">
      <alignment vertical="center"/>
    </xf>
    <xf numFmtId="0" fontId="14" fillId="9" borderId="0" xfId="0">
      <alignment horizontal="right" vertical="center"/>
    </xf>
    <xf numFmtId="300" fontId="14" fillId="16" borderId="0" xfId="0">
      <alignment vertical="center"/>
    </xf>
    <xf numFmtId="0" fontId="34" fillId="8" borderId="12" xfId="0">
      <alignment vertical="center"/>
    </xf>
    <xf numFmtId="0" fontId="14" fillId="8" borderId="0" xfId="0">
      <alignment vertical="center"/>
    </xf>
    <xf numFmtId="0" fontId="0" fillId="3" borderId="12" xfId="0">
      <alignment vertical="center"/>
    </xf>
    <xf numFmtId="302" fontId="35" fillId="3" borderId="27" xfId="0" applyNumberFormat="true" applyFont="true" applyFill="true">
      <alignment vertical="center"/>
    </xf>
    <xf numFmtId="305" fontId="36" fillId="24" borderId="2" xfId="0" applyNumberFormat="true" applyFont="true" applyFill="true" applyBorder="true" applyAlignment="true">
      <alignment horizontal="left" vertical="center" wrapText="true"/>
    </xf>
    <xf fontId="37" fillId="24" borderId="16" xfId="0">
      <alignment horizontal="left" vertical="center" wrapText="true"/>
    </xf>
    <xf fontId="38" fillId="24" borderId="2" xfId="0">
      <alignment horizontal="left" vertical="center" wrapText="true"/>
    </xf>
    <xf numFmtId="307" fontId="38" fillId="24" borderId="4" xfId="0" applyFont="true" applyFill="true" applyBorder="true" applyAlignment="true">
      <alignment horizontal="left" vertical="center" wrapText="true"/>
    </xf>
    <xf numFmtId="0" fontId="38" fillId="24" borderId="2" xfId="0" applyNumberFormat="true" applyFont="true" applyFill="true" applyBorder="true" applyAlignment="true">
      <alignment horizontal="left" vertical="center" wrapText="true"/>
    </xf>
    <xf numFmtId="0" fontId="38" fillId="24" borderId="2" xfId="0" applyNumberFormat="true" applyFont="true" applyFill="true" applyBorder="true" applyAlignment="true">
      <alignment horizontal="center" vertical="center" wrapText="true"/>
    </xf>
    <xf fontId="37" fillId="24" borderId="23" xfId="0">
      <alignment horizontal="left" vertical="center" wrapText="true"/>
    </xf>
    <xf fontId="38" fillId="24" borderId="4" xfId="0">
      <alignment horizontal="left" vertical="center" wrapText="true"/>
    </xf>
    <xf numFmtId="307" fontId="38" fillId="24" borderId="4" xfId="0" applyFont="true" applyFill="true" applyBorder="true" applyAlignment="true">
      <alignment horizontal="center" vertical="center" wrapText="true"/>
    </xf>
    <xf numFmtId="302" fontId="38" fillId="24" borderId="2" xfId="0" applyNumberFormat="true" applyFont="true" applyFill="true" applyBorder="true" applyAlignment="true">
      <alignment horizontal="center" vertical="center" wrapText="true"/>
    </xf>
    <xf numFmtId="307" fontId="38" fillId="24" borderId="2" xfId="0" applyFont="true" applyFill="true" applyBorder="true" applyAlignment="true">
      <alignment horizontal="center" vertical="center" wrapText="true"/>
    </xf>
    <xf numFmtId="307" fontId="38" fillId="24" borderId="2" xfId="0" applyFont="true" applyFill="true" applyBorder="true" applyAlignment="true">
      <alignment horizontal="left" vertical="center" wrapText="true"/>
    </xf>
    <xf numFmtId="307" fontId="36" fillId="24" borderId="4" xfId="0" applyFont="true" applyFill="true" applyBorder="true" applyAlignment="true">
      <alignment horizontal="left" vertical="center" wrapText="true"/>
    </xf>
    <xf numFmtId="300" fontId="14" fillId="3" borderId="0" xfId="0">
      <alignment horizontal="right" vertical="center"/>
    </xf>
    <xf numFmtId="14" fontId="16" fillId="3" borderId="0" xfId="0">
      <alignment horizontal="left" vertical="center" textRotation="0"/>
    </xf>
    <xf numFmtId="302" fontId="18" fillId="3" borderId="0" xfId="0">
      <alignment vertical="center"/>
    </xf>
    <xf numFmtId="2" fontId="14" fillId="3" borderId="0" xfId="0">
      <alignment vertical="bottom"/>
    </xf>
    <xf numFmtId="300" fontId="14" fillId="3" borderId="12" xfId="0">
      <alignment horizontal="right" vertical="center"/>
    </xf>
    <xf numFmtId="14" fontId="16" fillId="3" borderId="12" xfId="0">
      <alignment horizontal="left" vertical="center" textRotation="0"/>
    </xf>
    <xf numFmtId="302" fontId="18" fillId="3" borderId="12" xfId="0">
      <alignment vertical="center"/>
    </xf>
    <xf numFmtId="2" fontId="14" fillId="3" borderId="12" xfId="0">
      <alignment vertical="bottom"/>
    </xf>
    <xf numFmtId="2" fontId="14" fillId="3" borderId="24" xfId="0">
      <alignment vertical="center"/>
    </xf>
    <xf numFmtId="2" fontId="14" fillId="3" borderId="24" xfId="0">
      <alignment vertical="bottom"/>
    </xf>
    <xf numFmtId="2" fontId="14" fillId="3" borderId="12" xfId="0">
      <alignment vertical="center"/>
    </xf>
    <xf numFmtId="300" fontId="14" fillId="3" borderId="12" xfId="0">
      <alignment horizontal="right" vertical="bottom"/>
    </xf>
    <xf fontId="14" fillId="3" borderId="0" xfId="0">
      <alignment horizontal="left" vertical="center"/>
    </xf>
    <xf numFmtId="14" fontId="14" fillId="3" borderId="12" xfId="0">
      <alignment vertical="center"/>
    </xf>
    <xf numFmtId="302" fontId="18" fillId="11" borderId="0" xfId="0">
      <alignment vertical="center"/>
    </xf>
    <xf numFmtId="49" fontId="14" fillId="3" borderId="0" xfId="0">
      <alignment vertical="center"/>
    </xf>
    <xf numFmtId="14" fontId="16" fillId="3" borderId="0" xfId="0">
      <alignment horizontal="left" vertical="center" textRotation="0" wrapText="true"/>
    </xf>
    <xf fontId="39" fillId="3" borderId="0" xfId="0">
      <alignment vertical="center"/>
    </xf>
    <xf numFmtId="2" fontId="14" fillId="3" borderId="0" xfId="0">
      <alignment vertical="center" wrapText="true"/>
    </xf>
    <xf fontId="14" fillId="0" borderId="0" xfId="0">
      <alignment vertical="center" wrapText="true"/>
    </xf>
    <xf numFmtId="0" fontId="40" fillId="3" borderId="0" xfId="0">
      <alignment vertical="center"/>
    </xf>
    <xf fontId="18" fillId="3" borderId="0" xfId="0">
      <alignment vertical="center" wrapText="true"/>
    </xf>
    <xf fontId="18" fillId="3" borderId="0" xfId="0">
      <alignment vertical="center"/>
    </xf>
    <xf numFmtId="0" fontId="14" fillId="3" borderId="0" xfId="0">
      <alignment vertical="center" wrapText="true"/>
    </xf>
    <xf numFmtId="300" fontId="14" fillId="3" borderId="0" xfId="0">
      <alignment vertical="bottom"/>
    </xf>
    <xf numFmtId="0" fontId="16" fillId="8" borderId="0" xfId="0">
      <alignment vertical="bottom" textRotation="0"/>
    </xf>
    <xf numFmtId="14" fontId="16" fillId="11" borderId="0" xfId="0">
      <alignment horizontal="left" vertical="center" textRotation="0"/>
    </xf>
    <xf numFmtId="300" fontId="14" fillId="11" borderId="0" xfId="0">
      <alignment horizontal="right" vertical="bottom"/>
    </xf>
    <xf numFmtId="0" fontId="16" fillId="10" borderId="0" xfId="0">
      <alignment vertical="bottom" textRotation="0"/>
    </xf>
    <xf numFmtId="2" fontId="14" fillId="11" borderId="0" xfId="0">
      <alignment vertical="bottom"/>
    </xf>
    <xf fontId="14" fillId="21" borderId="0" xfId="0">
      <alignment vertical="bottom"/>
    </xf>
    <xf numFmtId="302" fontId="18" fillId="21" borderId="0" xfId="0">
      <alignment vertical="center"/>
    </xf>
    <xf numFmtId="2" fontId="14" fillId="21" borderId="0" xfId="0">
      <alignment vertical="center"/>
    </xf>
    <xf numFmtId="2" fontId="14" fillId="21" borderId="0" xfId="0">
      <alignment vertical="bottom"/>
    </xf>
    <xf numFmtId="14" fontId="18" fillId="3" borderId="0" xfId="0">
      <alignment vertical="center"/>
    </xf>
    <xf numFmtId="300" fontId="16" fillId="3" borderId="0" xfId="0">
      <alignment horizontal="left" vertical="center" textRotation="0"/>
    </xf>
    <xf numFmtId="300" fontId="16" fillId="11" borderId="0" xfId="0">
      <alignment horizontal="left" vertical="center" textRotation="0"/>
    </xf>
    <xf fontId="14" fillId="3" borderId="25" xfId="0">
      <alignment vertical="center"/>
    </xf>
    <xf numFmtId="2" fontId="14" fillId="3" borderId="25" xfId="0">
      <alignment vertical="center"/>
    </xf>
    <xf numFmtId="302" fontId="18" fillId="3" borderId="25" xfId="0">
      <alignment vertical="center"/>
    </xf>
    <xf numFmtId="2" fontId="14" fillId="3" borderId="25" xfId="0">
      <alignment vertical="bottom"/>
    </xf>
    <xf numFmtId="14" fontId="14" fillId="3" borderId="25" xfId="0">
      <alignment vertical="center"/>
    </xf>
    <xf numFmtId="2" fontId="14" fillId="3" borderId="17" xfId="0">
      <alignment vertical="center"/>
    </xf>
    <xf numFmtId="2" fontId="14" fillId="3" borderId="17" xfId="0">
      <alignment vertical="bottom"/>
    </xf>
    <xf numFmtId="0" fontId="14" fillId="3" borderId="25" xfId="0">
      <alignment vertical="center"/>
    </xf>
    <xf numFmtId="2" fontId="0" fillId="3" borderId="0" xfId="0">
      <alignment vertical="center"/>
    </xf>
    <xf numFmtId="0" fontId="24" fillId="3" borderId="0" xfId="0">
      <alignment vertical="bottom"/>
    </xf>
    <xf numFmtId="2" fontId="16" fillId="3" borderId="0" xfId="0">
      <alignment vertical="center"/>
    </xf>
    <xf numFmtId="2" fontId="17" fillId="3" borderId="0" xfId="0">
      <alignment vertical="center"/>
    </xf>
    <xf numFmtId="2" fontId="16" fillId="3" borderId="19" xfId="0">
      <alignment vertical="center"/>
    </xf>
    <xf fontId="14" fillId="3" borderId="20" xfId="0">
      <alignment vertical="center"/>
    </xf>
    <xf fontId="41" fillId="3" borderId="0" xfId="0">
      <alignment vertical="center"/>
    </xf>
    <xf numFmtId="0" fontId="24" fillId="11" borderId="0" xfId="0">
      <alignment vertical="bottom"/>
    </xf>
    <xf numFmtId="2" fontId="16" fillId="3" borderId="13" xfId="0">
      <alignment vertical="center"/>
    </xf>
    <xf fontId="16" fillId="3" borderId="12" xfId="0">
      <alignment vertical="center" wrapText="true"/>
    </xf>
    <xf numFmtId="2" fontId="16" fillId="3" borderId="12" xfId="0">
      <alignment vertical="center"/>
    </xf>
    <xf numFmtId="2" fontId="16" fillId="3" borderId="0" xfId="0">
      <alignment horizontal="right" vertical="center"/>
    </xf>
    <xf numFmtId="0" fontId="42" fillId="3" borderId="0" xfId="0">
      <alignment vertical="bottom"/>
    </xf>
    <xf numFmtId="14" fontId="0" fillId="3" borderId="0" xfId="0">
      <alignment horizontal="left" vertical="center" textRotation="0"/>
    </xf>
    <xf fontId="16" fillId="3" borderId="19" xfId="0">
      <alignment vertical="center"/>
    </xf>
    <xf numFmtId="300" fontId="14" fillId="3" borderId="0" xfId="0">
      <alignment vertical="center" textRotation="0"/>
    </xf>
    <xf numFmtId="0" fontId="14" fillId="3" borderId="0" xfId="0">
      <alignment vertical="center" textRotation="0" wrapText="true"/>
    </xf>
    <xf fontId="14" fillId="3" borderId="0" xfId="0">
      <alignment vertical="center" textRotation="0"/>
    </xf>
    <xf numFmtId="0" fontId="14" fillId="3" borderId="0" xfId="0">
      <alignment vertical="bottom" textRotation="0"/>
    </xf>
    <xf numFmtId="0" fontId="24" fillId="3" borderId="0" xfId="0">
      <alignment vertical="bottom" textRotation="0"/>
    </xf>
    <xf numFmtId="0" fontId="16" fillId="11" borderId="0" xfId="0">
      <alignment vertical="center"/>
    </xf>
    <xf numFmtId="0" fontId="16" fillId="3" borderId="0" xfId="0">
      <alignment horizontal="right" vertical="center"/>
    </xf>
    <xf numFmtId="0" fontId="0" fillId="3" borderId="0" xfId="0">
      <alignment horizontal="right" vertical="center" textRotation="0" indent="0" justifyLastLine="false" shrinkToFit="false"/>
    </xf>
    <xf numFmtId="0" fontId="22" fillId="3" borderId="0" xfId="0">
      <alignment vertical="center" wrapText="true"/>
    </xf>
    <xf numFmtId="0" fontId="24" fillId="8" borderId="0" xfId="0">
      <alignment vertical="bottom"/>
    </xf>
    <xf numFmtId="49" fontId="16" fillId="8" borderId="0" xfId="0">
      <alignment horizontal="center" vertical="center" textRotation="0"/>
    </xf>
    <xf fontId="16" fillId="3" borderId="12" xfId="0">
      <alignment horizontal="right" vertical="center"/>
    </xf>
    <xf fontId="16" fillId="3" borderId="13" xfId="0">
      <alignment horizontal="right" vertical="center"/>
    </xf>
    <xf fontId="16" fillId="3" borderId="13" xfId="0">
      <alignment vertical="center"/>
    </xf>
    <xf fontId="16" fillId="8" borderId="0" xfId="0">
      <alignment horizontal="left" vertical="center"/>
    </xf>
    <xf numFmtId="14" fontId="0" fillId="11" borderId="0" xfId="0">
      <alignment horizontal="left" vertical="center" textRotation="0"/>
    </xf>
    <xf fontId="16" fillId="10" borderId="0" xfId="0">
      <alignment horizontal="left" vertical="center"/>
    </xf>
    <xf numFmtId="300" fontId="14" fillId="3" borderId="14" xfId="0">
      <alignment vertical="center"/>
    </xf>
    <xf fontId="14" fillId="3" borderId="14" xfId="0">
      <alignment vertical="center"/>
    </xf>
    <xf numFmtId="49" fontId="0" fillId="10" borderId="0" xfId="0">
      <alignment horizontal="center" vertical="center" textRotation="0"/>
    </xf>
    <xf fontId="16" fillId="11" borderId="0" xfId="0">
      <alignment horizontal="left" vertical="center"/>
    </xf>
    <xf numFmtId="0" fontId="0" fillId="3" borderId="0" xfId="0">
      <alignment horizontal="right" vertical="center"/>
    </xf>
    <xf numFmtId="0" fontId="14" fillId="0" borderId="0" xfId="0">
      <alignment vertical="center"/>
    </xf>
    <xf numFmtId="0" fontId="16" fillId="0" borderId="0" xfId="0">
      <alignment horizontal="right" vertical="center"/>
    </xf>
    <xf numFmtId="300" fontId="14" fillId="12" borderId="0" xfId="0">
      <alignment horizontal="right" vertical="bottom" textRotation="0"/>
    </xf>
    <xf numFmtId="0" fontId="22" fillId="22" borderId="0" xfId="0">
      <alignment vertical="center"/>
    </xf>
    <xf numFmtId="0" fontId="24" fillId="0" borderId="0" xfId="0">
      <alignment vertical="bottom"/>
    </xf>
    <xf fontId="23" fillId="0" borderId="13" xfId="0">
      <alignment vertical="center"/>
    </xf>
    <xf numFmtId="0" fontId="16" fillId="8" borderId="0" xfId="0">
      <alignment horizontal="right" vertical="center"/>
    </xf>
    <xf fontId="14" fillId="13" borderId="0" xfId="0">
      <alignment horizontal="right" vertical="center"/>
    </xf>
    <xf numFmtId="49" fontId="16" fillId="0" borderId="0" xfId="0">
      <alignment horizontal="center" vertical="center" textRotation="0"/>
    </xf>
    <xf fontId="0" fillId="0" borderId="19" xfId="0">
      <alignment vertical="center"/>
    </xf>
    <xf numFmtId="0" fontId="16" fillId="0" borderId="13" xfId="0">
      <alignment horizontal="right" vertical="center"/>
    </xf>
    <xf fontId="24" fillId="3" borderId="0" xfId="0">
      <alignment vertical="bottom" wrapText="true"/>
    </xf>
    <xf numFmtId="0" fontId="0" fillId="3" borderId="0" xfId="0">
      <alignment vertical="center" textRotation="0"/>
    </xf>
    <xf fontId="24" fillId="8" borderId="12" xfId="0">
      <alignment vertical="bottom" wrapText="true"/>
    </xf>
    <xf fontId="24" fillId="8" borderId="13" xfId="0">
      <alignment vertical="bottom" wrapText="true"/>
    </xf>
    <xf numFmtId="0" fontId="16" fillId="8" borderId="12" xfId="0">
      <alignment horizontal="right" vertical="center"/>
    </xf>
    <xf numFmtId="0" fontId="0" fillId="8" borderId="0" xfId="0">
      <alignment vertical="center" textRotation="0"/>
    </xf>
    <xf numFmtId="0" fontId="0" fillId="0" borderId="26" xfId="0">
      <alignment vertical="center" textRotation="0"/>
    </xf>
    <xf numFmtId="0" fontId="24" fillId="22" borderId="0" xfId="0">
      <alignment vertical="bottom"/>
    </xf>
    <xf fontId="14" fillId="9" borderId="14" xfId="0">
      <alignment vertical="center"/>
    </xf>
    <xf numFmtId="300" fontId="0" fillId="3" borderId="0" xfId="0">
      <alignment horizontal="left" vertical="center" textRotation="0"/>
    </xf>
    <xf numFmtId="0" fontId="14" fillId="9" borderId="13" xfId="0">
      <alignment vertical="bottom"/>
    </xf>
    <xf fontId="0" fillId="12" borderId="12" xfId="0">
      <alignment horizontal="right" vertical="center"/>
    </xf>
    <xf numFmtId="0" fontId="0" fillId="8" borderId="12" xfId="0">
      <alignment vertical="center"/>
    </xf>
    <xf numFmtId="0" fontId="0" fillId="8" borderId="13" xfId="0">
      <alignment vertical="center"/>
    </xf>
    <xf numFmtId="0" fontId="0" fillId="0" borderId="12" xfId="0">
      <alignment vertical="center" textRotation="0"/>
    </xf>
    <xf fontId="43" fillId="0" borderId="0" xfId="0">
      <alignment horizontal="right" vertical="center"/>
    </xf>
    <xf numFmtId="0" fontId="0" fillId="3" borderId="0" xfId="0">
      <alignment vertical="bottom" textRotation="0"/>
    </xf>
    <xf fontId="16" fillId="0" borderId="13" xfId="0">
      <alignment vertical="center"/>
    </xf>
    <xf numFmtId="0" fontId="0" fillId="8" borderId="0" xfId="0">
      <alignment vertical="bottom" textRotation="0"/>
    </xf>
    <xf numFmtId="0" fontId="16" fillId="10" borderId="0" xfId="0">
      <alignment horizontal="right" vertical="center"/>
    </xf>
    <xf numFmtId="0" fontId="14" fillId="9" borderId="14" xfId="0">
      <alignment vertical="center"/>
    </xf>
    <xf numFmtId="0" fontId="16" fillId="3" borderId="0" xfId="0">
      <alignment horizontal="right" vertical="center" textRotation="0"/>
    </xf>
    <xf numFmtId="0" fontId="0" fillId="8" borderId="12" xfId="0">
      <alignment horizontal="right" vertical="center" textRotation="0"/>
    </xf>
    <xf fontId="14" fillId="3" borderId="13" xfId="0">
      <alignment vertical="center" wrapText="true"/>
    </xf>
    <xf numFmtId="300" fontId="14" fillId="2" borderId="0" xfId="0">
      <alignment horizontal="right" vertical="bottom" textRotation="0"/>
    </xf>
    <xf numFmtId="300" fontId="16" fillId="2" borderId="0" xfId="0">
      <alignment horizontal="left" vertical="center" textRotation="0"/>
    </xf>
    <xf numFmtId="300" fontId="14" fillId="2" borderId="0" xfId="0">
      <alignment vertical="center"/>
    </xf>
    <xf fontId="14" fillId="2" borderId="0" xfId="0">
      <alignment vertical="center"/>
    </xf>
    <xf numFmtId="0" fontId="24" fillId="2" borderId="0" xfId="0">
      <alignment vertical="bottom"/>
    </xf>
    <xf numFmtId="0" fontId="17" fillId="2" borderId="0" xfId="0">
      <alignment vertical="center"/>
    </xf>
    <xf numFmtId="0" fontId="0" fillId="2" borderId="0" xfId="0">
      <alignment vertical="center" textRotation="0"/>
    </xf>
    <xf fontId="16" fillId="2" borderId="0" xfId="0">
      <alignment horizontal="right" vertical="center"/>
    </xf>
    <xf numFmtId="302" fontId="18" fillId="2" borderId="0" xfId="0">
      <alignment vertical="center"/>
    </xf>
    <xf numFmtId="2" fontId="14" fillId="2" borderId="0" xfId="0">
      <alignment vertical="bottom"/>
    </xf>
    <xf numFmtId="0" fontId="0" fillId="3" borderId="0" xfId="0">
      <alignment horizontal="right" vertical="center" textRotation="0"/>
    </xf>
    <xf numFmtId="0" fontId="23" fillId="3" borderId="13" xfId="0">
      <alignment horizontal="right" vertical="center" textRotation="0"/>
    </xf>
    <xf numFmtId="302" fontId="44" fillId="0" borderId="0" xfId="0">
      <alignment horizontal="right" vertical="center" textRotation="0"/>
    </xf>
    <xf numFmtId="300" fontId="16" fillId="3" borderId="0" xfId="0">
      <alignment horizontal="left" vertical="center" textRotation="0" justifyLastLine="false" shrinkToFit="false"/>
    </xf>
    <xf numFmtId="300" fontId="14" fillId="3" borderId="13" xfId="0">
      <alignment vertical="center"/>
    </xf>
    <xf numFmtId="0" fontId="24" fillId="3" borderId="13" xfId="0">
      <alignment vertical="bottom"/>
    </xf>
    <xf fontId="14" fillId="9" borderId="13" xfId="0">
      <alignment vertical="center" wrapText="true"/>
    </xf>
    <xf numFmtId="0" fontId="16" fillId="0" borderId="0" xfId="0">
      <alignment/>
    </xf>
    <xf fontId="0" fillId="3" borderId="12" xfId="0">
      <alignment horizontal="right" vertical="center"/>
    </xf>
    <xf fontId="14" fillId="3" borderId="18" xfId="0">
      <alignment vertical="center"/>
    </xf>
    <xf numFmtId="300" fontId="16" fillId="11" borderId="0" xfId="0">
      <alignment horizontal="left" vertical="center" textRotation="0" justifyLastLine="false" shrinkToFit="false"/>
    </xf>
    <xf numFmtId="0" fontId="45" fillId="0" borderId="0" xfId="0">
      <alignment vertical="center"/>
    </xf>
    <xf numFmtId="0" fontId="34" fillId="11" borderId="0" xfId="0">
      <alignment vertical="center"/>
    </xf>
    <xf numFmtId="0" fontId="14" fillId="13" borderId="0" xfId="0">
      <alignment vertical="center" justifyLastLine="false" shrinkToFit="false"/>
    </xf>
    <xf numFmtId="0" fontId="17" fillId="3" borderId="12" xfId="0">
      <alignment vertical="center"/>
    </xf>
    <xf numFmtId="300" fontId="0" fillId="3" borderId="0" xfId="0">
      <alignment horizontal="left" vertical="center" textRotation="0" justifyLastLine="false" shrinkToFit="false"/>
    </xf>
    <xf fontId="16" fillId="0" borderId="12" xfId="0">
      <alignment horizontal="right" vertical="center"/>
    </xf>
    <xf fontId="16" fillId="10" borderId="12" xfId="0">
      <alignment horizontal="right" vertical="center"/>
    </xf>
    <xf fontId="16" fillId="10" borderId="0" xfId="0">
      <alignment horizontal="right" vertical="center"/>
    </xf>
    <xf numFmtId="2" fontId="14" fillId="12" borderId="0" xfId="0">
      <alignment vertical="bottom"/>
    </xf>
    <xf numFmtId="306" fontId="14" fillId="0" borderId="0" xfId="0">
      <alignment vertical="center"/>
    </xf>
    <xf numFmtId="303" fontId="0" fillId="0" borderId="0" xfId="0">
      <alignment vertical="center"/>
    </xf>
    <xf numFmtId="302" fontId="0" fillId="0" borderId="0" xfId="0">
      <alignment vertical="center"/>
    </xf>
    <xf numFmtId="307" fontId="46" fillId="11" borderId="27" xfId="0" applyNumberFormat="true" applyFont="true" applyFill="true" applyBorder="true" applyAlignment="true">
      <alignment vertical="center"/>
    </xf>
    <xf fontId="0" fillId="25" borderId="0" xfId="0">
      <alignment vertical="center"/>
    </xf>
    <xf fontId="0" fillId="26" borderId="0" xfId="0">
      <alignment vertical="center"/>
    </xf>
    <xf fontId="0" fillId="27" borderId="0" xfId="0">
      <alignment vertical="center"/>
    </xf>
    <xf numFmtId="307" fontId="36" fillId="24" borderId="27" xfId="0" applyNumberFormat="true" applyFont="true" applyFill="true" applyBorder="true" applyAlignment="true">
      <alignment horizontal="left" vertical="center"/>
    </xf>
  </cellXfs>
  <cellStyles>
    <cellStyle name="常规" xfId="0" builtinId="0"/>
    <cellStyle name="货币" xfId="1" builtinId="4"/>
    <cellStyle name="40% - 强调文字颜色 2" xfId="2" builtinId="35"/>
    <cellStyle name="标题 3" xfId="3" builtinId="18"/>
    <cellStyle name="60% - 强调文字颜色 6" xfId="4" builtinId="52"/>
    <cellStyle name="标题" xfId="5" builtinId="15"/>
    <cellStyle name="强调文字颜色 6" xfId="6" builtinId="49"/>
    <cellStyle name="60% - 强调文字颜色 1" xfId="7" builtinId="32"/>
    <cellStyle name="标题 4" xfId="8" builtinId="19"/>
    <cellStyle name="60% - 强调文字颜色 2" xfId="9" builtinId="36"/>
    <cellStyle name="适中" xfId="10" builtinId="28"/>
    <cellStyle name="强调文字颜色 5" xfId="11" builtinId="45"/>
    <cellStyle name="超链接" xfId="12" builtinId="8"/>
    <cellStyle name="40% - 强调文字颜色 1" xfId="13" builtinId="31"/>
    <cellStyle name="40% - 强调文字颜色 5" xfId="14" builtinId="47"/>
    <cellStyle name="注释" xfId="15" builtinId="10"/>
    <cellStyle name="20% - 强调文字颜色 1" xfId="16" builtinId="30"/>
    <cellStyle name="20% - 强调文字颜色 4" xfId="17" builtinId="42"/>
    <cellStyle name="百分比" xfId="18" builtinId="5"/>
    <cellStyle name="汇总" xfId="19" builtinId="25"/>
    <cellStyle name="强调文字颜色 4" xfId="20" builtinId="41"/>
    <cellStyle name="链接单元格" xfId="21" builtinId="24"/>
    <cellStyle name="货币[0]" xfId="22" builtinId="7"/>
    <cellStyle name="60% - 强调文字颜色 4" xfId="23" builtinId="44"/>
    <cellStyle name="差" xfId="24" builtinId="27"/>
    <cellStyle name="60% - 强调文字颜色 3" xfId="25" builtinId="40"/>
    <cellStyle name="千位分隔" xfId="26" builtinId="3"/>
    <cellStyle name="检查单元格" xfId="27" builtinId="23"/>
    <cellStyle name="40% - 强调文字颜色 3" xfId="28" builtinId="39"/>
    <cellStyle name="计算" xfId="29" builtinId="22"/>
    <cellStyle name="输入" xfId="30" builtinId="20"/>
    <cellStyle name="强调文字颜色 3" xfId="31" builtinId="37"/>
    <cellStyle name="解释性文本" xfId="32" builtinId="53"/>
    <cellStyle name="标题 1" xfId="33" builtinId="16"/>
    <cellStyle name="强调文字颜色 2" xfId="34" builtinId="33"/>
    <cellStyle name="20% - 强调文字颜色 6" xfId="35" builtinId="50"/>
    <cellStyle name="20% - 强调文字颜色 5" xfId="36" builtinId="46"/>
    <cellStyle name="已访问的超链接" xfId="37" builtinId="9"/>
    <cellStyle name="强调文字颜色 1" xfId="38" builtinId="29"/>
    <cellStyle name="40% - 强调文字颜色 4" xfId="39" builtinId="43"/>
    <cellStyle name="千位分隔[0]" xfId="40" builtinId="6"/>
    <cellStyle name="好" xfId="41" builtinId="26"/>
    <cellStyle name="输出" xfId="42" builtinId="21"/>
    <cellStyle name="20% - 强调文字颜色 3" xfId="43" builtinId="38"/>
    <cellStyle name="20% - 强调文字颜色 2" xfId="44" builtinId="34"/>
    <cellStyle name="标题 2" xfId="45" builtinId="17"/>
    <cellStyle name="40% - 强调文字颜色 6" xfId="46" builtinId="51"/>
    <cellStyle name="60% - 强调文字颜色 5" xfId="47" builtinId="48"/>
    <cellStyle name="警告文本" xfId="48" builtinId="11"/>
  </cellStyles>
  <dxfs count="2">
    <dxf>
      <font>
        <b val="false"/>
        <i val="false"/>
        <strike val="false"/>
        <color rgb="FFBF711D"/>
      </font>
      <fill>
        <patternFill patternType="solid">
          <fgColor rgb="FFFEFBC6"/>
          <bgColor rgb="FFFEFBC6"/>
        </patternFill>
      </fill>
    </dxf>
    <dxf>
      <font>
        <color rgb="FFDE322C"/>
      </font>
      <fill>
        <patternFill patternType="solid">
          <fgColor rgb="FFFFE9E8"/>
          <bgColor rgb="FFFFE9E8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3" Type="http://schemas.microsoft.com/office/2017/10/relationships/person" Target="persons/person.xml" /><Relationship Id="rId2" Type="http://schemas.openxmlformats.org/officeDocument/2006/relationships/styles" Target="styles.xml" /><Relationship Id="rId4" Type="http://schemas.openxmlformats.org/officeDocument/2006/relationships/worksheet" Target="worksheets/sheet1.xml" /><Relationship Id="rId8" Type="http://schemas.openxmlformats.org/officeDocument/2006/relationships/worksheet" Target="worksheets/sheet5.xml" /><Relationship Id="rId5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16</xdr:col>
      <xdr:colOff>181246</xdr:colOff>
      <xdr:row>766</xdr:row>
      <xdr:rowOff>0</xdr:rowOff>
    </xdr:from>
    <xdr:ext cx="551908" cy="1905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庞正宇" id="{D64E2B7F-3A62-4BD2-841B-223899FFD6FD}"/>
</tc2018: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false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true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false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false"/>
          </a:effectLst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K2" dT="2026-01-23T06:12:31Z" personId="{D64E2B7F-3A62-4BD2-841B-223899FFD6FD}" id="{1F4920CC-D405-478A-8E9A-04D53F0B4228}">
    <tc2018:text>NengLiang:
库存</tc2018:text>
  </tc2018:threadedComment>
  <tc2018:threadedComment ref="H2" dT="2026-01-23T06:12:31Z" personId="{D64E2B7F-3A62-4BD2-841B-223899FFD6FD}" id="{9A168A86-509C-4AED-B5C7-F283707FD7D5}">
    <tc2018:text>NengLiang:
资金占用</tc2018:text>
  </tc2018:threadedComment>
</tc2018:ThreadedComments>
</file>

<file path=xl/threadedComments/threadedComment2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J1415" dT="2026-07-03T10:02:01Z" personId="{D64E2B7F-3A62-4BD2-841B-223899FFD6FD}" id="{E055F89E-E698-4479-A39D-2E28F266A347}">
    <tc2018:text>单价异常，实际应收962.04，如后续对账则进行调整。</tc2018:text>
  </tc2018:threadedComment>
</tc2018:ThreadedComments>
</file>

<file path=xl/worksheets/_rels/sheet2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1.xml" /><Relationship Id="rId0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_rels/sheet4.xml.rels><?xml version="1.0" encoding="UTF-8" standalone="yes"?><Relationships xmlns="http://schemas.openxmlformats.org/package/2006/relationships"><Relationship Id="rId3" Type="http://schemas.openxmlformats.org/officeDocument/2006/relationships/drawing" Target="../drawings/drawing1.xml" /><Relationship Id="rId2" Type="http://schemas.microsoft.com/office/2017/10/relationships/threadedComment" Target="../threadedComments/threadedComment2.xml" /><Relationship Id="rId0" Type="http://schemas.openxmlformats.org/officeDocument/2006/relationships/vmlDrawing" Target="../drawings/vmlDrawing2.vml" /><Relationship Id="rId1" Type="http://schemas.openxmlformats.org/officeDocument/2006/relationships/comments" Target="../comments2.xml" /></Relationships>
</file>

<file path=xl/worksheets/sheet1.xml><?xml version="1.0" encoding="utf-8"?>
<worksheet xmlns="http://schemas.openxmlformats.org/spreadsheetml/2006/main">
  <sheetPr/>
  <dimension ref="J864"/>
  <sheetViews>
    <sheetView showGridLines="true" workbookViewId="0">
      <pane xSplit="1" ySplit="3" topLeftCell="B4" state="frozen"/>
    </sheetView>
  </sheetViews>
  <sheetFormatPr defaultColWidth="9" defaultRowHeight="13.5"/>
  <cols>
    <col min="1" max="1" width="12.875" customWidth="true"/>
    <col min="2" max="2" width="11.5" customWidth="true"/>
    <col min="3" max="3" width="10.875" customWidth="true"/>
    <col min="4" max="4" width="12.625" customWidth="true"/>
    <col min="5" max="5" width="8.875" customWidth="true"/>
    <col min="8" max="8" width="10.875" customWidth="true"/>
  </cols>
  <sheetData>
    <row r="1" spans="1:10">
      <c r="A1" s="4" t="s">
        <v>1</v>
      </c>
      <c r="B1" s="4" t="s"/>
      <c r="C1" s="4" t="s"/>
      <c r="D1" s="4" t="s"/>
      <c r="E1" s="4" t="s"/>
      <c r="F1" s="4" t="s"/>
      <c r="G1" s="4" t="s"/>
      <c r="H1" s="4" t="s"/>
      <c r="I1" s="4" t="s"/>
      <c r="J1" s="4" t="s"/>
    </row>
    <row r="2" spans="1:12">
      <c r="A2" s="5" t="s"/>
      <c r="B2" s="5" t="s"/>
      <c r="C2" s="6">
        <f>=ROUND(SUBTOTAL(9,C4:C1351),2)</f>
        <v>102667894.2</v>
      </c>
      <c r="D2" s="6">
        <f>=ROUND(SUBTOTAL(9,D4:D1351),2)</f>
        <v>0</v>
      </c>
      <c r="E2" s="6">
        <f>=ROUND(SUBTOTAL(9,E4:E1351),2)</f>
        <v>0</v>
      </c>
      <c r="F2" s="6">
        <f>=ROUND(SUBTOTAL(9,F4:F1351),2)</f>
        <v>0</v>
      </c>
      <c r="G2" s="6">
        <f>=ROUND(SUBTOTAL(9,G4:G1351),2)</f>
        <v>66351344.86</v>
      </c>
      <c r="H2" s="7" t="s"/>
      <c r="I2" s="8">
        <f>=ROUND(SUBTOTAL(9,I4:I1351),2)</f>
        <v>3713774.61</v>
      </c>
      <c r="J2" s="7" t="s"/>
      <c r="K2" s="6">
        <f>=ROUND(SUBTOTAL(9,K4:K1351),2)</f>
        <v>2971019.69</v>
      </c>
      <c r="L2" s="9">
        <f>=ROUND(SUBTOTAL(9,L4:L1351),2)</f>
        <v>742754.92</v>
      </c>
    </row>
    <row r="3" spans="1:12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2" t="s">
        <v>9</v>
      </c>
      <c r="I3" s="13" t="s">
        <v>10</v>
      </c>
      <c r="J3" s="13" t="s">
        <v>11</v>
      </c>
      <c r="K3" s="13" t="s">
        <v>12</v>
      </c>
      <c r="L3" s="14" t="s">
        <v>13</v>
      </c>
    </row>
    <row r="4" spans="1:12">
      <c r="A4" s="15">
        <v>45670</v>
      </c>
      <c r="B4" s="16">
        <v>0</v>
      </c>
      <c r="C4" s="17">
        <v>1431000</v>
      </c>
      <c r="D4" s="18" t="s"/>
      <c r="E4" s="19" t="s"/>
      <c r="F4" s="20" t="s"/>
      <c r="G4" s="21" t="s"/>
      <c r="H4" s="17">
        <v>1431000</v>
      </c>
      <c r="I4" s="22">
        <f>=H4/10000*2.5</f>
        <v>357.75</v>
      </c>
      <c r="J4" s="22">
        <f>=I4</f>
        <v>357.75</v>
      </c>
      <c r="K4" s="22">
        <f>=H4/10000*2</f>
        <v>286.2</v>
      </c>
      <c r="L4" s="22">
        <f>=I4-K4</f>
        <v>71.55</v>
      </c>
    </row>
    <row r="5" spans="1:12">
      <c r="A5" s="23">
        <v>45671</v>
      </c>
      <c r="B5" s="21">
        <f>=H4</f>
        <v>1431000</v>
      </c>
      <c r="C5" s="16">
        <v>2778507</v>
      </c>
      <c r="D5" s="18" t="s"/>
      <c r="E5" s="18" t="s"/>
      <c r="F5" s="20" t="s"/>
      <c r="G5" s="21" t="s"/>
      <c r="H5" s="22">
        <f>=B5+C5+D5-E5-F5-G5</f>
        <v>4209507</v>
      </c>
      <c r="I5" s="22">
        <f>=H5/10000*2.5</f>
        <v>1052.37675</v>
      </c>
      <c r="J5" s="22">
        <f>=J4+I5</f>
        <v>1410.12675</v>
      </c>
      <c r="K5" s="22">
        <f>=H5/10000*2</f>
        <v>841.9014</v>
      </c>
      <c r="L5" s="22">
        <f>=I5-K5</f>
        <v>210.47535</v>
      </c>
    </row>
    <row r="6" spans="1:12">
      <c r="A6" s="23">
        <v>45672</v>
      </c>
      <c r="B6" s="21">
        <f>=H5</f>
        <v>4209507</v>
      </c>
      <c r="C6" s="16" t="s"/>
      <c r="D6" s="18" t="s"/>
      <c r="E6" s="24" t="s"/>
      <c r="F6" s="20" t="s"/>
      <c r="G6" s="21" t="s"/>
      <c r="H6" s="22">
        <f>=B6+C6+D6-E6-F6-G6</f>
        <v>4209507</v>
      </c>
      <c r="I6" s="22">
        <f>=H6/10000*2.5</f>
        <v>1052.37675</v>
      </c>
      <c r="J6" s="22">
        <f>=J5+I6</f>
        <v>2462.5035</v>
      </c>
      <c r="K6" s="22">
        <f>=H6/10000*2</f>
        <v>841.9014</v>
      </c>
      <c r="L6" s="22">
        <f>=I6-K6</f>
        <v>210.47535</v>
      </c>
    </row>
    <row r="7" spans="1:12">
      <c r="A7" s="23">
        <v>45673</v>
      </c>
      <c r="B7" s="21">
        <f>=H6</f>
        <v>4209507</v>
      </c>
      <c r="C7" s="25" t="s"/>
      <c r="D7" s="18" t="s"/>
      <c r="E7" s="18" t="s"/>
      <c r="F7" s="20" t="s"/>
      <c r="G7" s="21" t="s"/>
      <c r="H7" s="22">
        <f>=B7+C7+D7-E7-F7-G7</f>
        <v>4209507</v>
      </c>
      <c r="I7" s="22">
        <f>=H7/10000*2.5</f>
        <v>1052.37675</v>
      </c>
      <c r="J7" s="22">
        <f>=J6+I7</f>
        <v>3514.88025</v>
      </c>
      <c r="K7" s="22">
        <f>=H7/10000*2</f>
        <v>841.9014</v>
      </c>
      <c r="L7" s="22">
        <f>=I7-K7</f>
        <v>210.47535</v>
      </c>
    </row>
    <row r="8" spans="1:12">
      <c r="A8" s="23">
        <v>45674</v>
      </c>
      <c r="B8" s="21">
        <f>=H7</f>
        <v>4209507</v>
      </c>
      <c r="C8" s="25" t="s"/>
      <c r="D8" s="18" t="s"/>
      <c r="E8" s="18" t="s"/>
      <c r="F8" s="20" t="s"/>
      <c r="G8" s="21" t="s"/>
      <c r="H8" s="22">
        <f>=B8+C8+D8-E8-F8-G8</f>
        <v>4209507</v>
      </c>
      <c r="I8" s="22">
        <f>=H8/10000*2.5</f>
        <v>1052.37675</v>
      </c>
      <c r="J8" s="22">
        <f>=J7+I8</f>
        <v>4567.257</v>
      </c>
      <c r="K8" s="22">
        <f>=H8/10000*2</f>
        <v>841.9014</v>
      </c>
      <c r="L8" s="22">
        <f>=I8-K8</f>
        <v>210.47535</v>
      </c>
    </row>
    <row r="9" spans="1:12">
      <c r="A9" s="23">
        <v>45675</v>
      </c>
      <c r="B9" s="21">
        <f>=H8</f>
        <v>4209507</v>
      </c>
      <c r="C9" s="25" t="s"/>
      <c r="D9" s="18" t="s"/>
      <c r="E9" s="18" t="s"/>
      <c r="F9" s="20" t="s"/>
      <c r="G9" s="21" t="s"/>
      <c r="H9" s="22">
        <f>=B9+C9+D9-E9-F9-G9</f>
        <v>4209507</v>
      </c>
      <c r="I9" s="22">
        <f>=H9/10000*2.5</f>
        <v>1052.37675</v>
      </c>
      <c r="J9" s="22">
        <f>=J8+I9</f>
        <v>5619.63375</v>
      </c>
      <c r="K9" s="22">
        <f>=H9/10000*2</f>
        <v>841.9014</v>
      </c>
      <c r="L9" s="22">
        <f>=I9-K9</f>
        <v>210.47535</v>
      </c>
    </row>
    <row r="10" spans="1:12">
      <c r="A10" s="23">
        <v>45676</v>
      </c>
      <c r="B10" s="21">
        <f>=H9</f>
        <v>4209507</v>
      </c>
      <c r="C10" s="25" t="s"/>
      <c r="D10" s="18" t="s"/>
      <c r="E10" s="18" t="s"/>
      <c r="F10" s="20" t="s"/>
      <c r="G10" s="21" t="s"/>
      <c r="H10" s="22">
        <f>=B10+C10+D10-E10-F10-G10</f>
        <v>4209507</v>
      </c>
      <c r="I10" s="22">
        <f>=H10/10000*2.5</f>
        <v>1052.37675</v>
      </c>
      <c r="J10" s="22">
        <f>=J9+I10</f>
        <v>6672.0105</v>
      </c>
      <c r="K10" s="22">
        <f>=H10/10000*2</f>
        <v>841.9014</v>
      </c>
      <c r="L10" s="22">
        <f>=I10-K10</f>
        <v>210.47535</v>
      </c>
    </row>
    <row r="11" spans="1:12">
      <c r="A11" s="23">
        <v>45677</v>
      </c>
      <c r="B11" s="21">
        <f>=H10</f>
        <v>4209507</v>
      </c>
      <c r="C11" s="25" t="s"/>
      <c r="D11" s="18" t="s"/>
      <c r="E11" s="18" t="s"/>
      <c r="F11" s="20" t="s"/>
      <c r="G11" s="21" t="s"/>
      <c r="H11" s="22">
        <f>=B11+C11+D11-E11-F11-G11</f>
        <v>4209507</v>
      </c>
      <c r="I11" s="22">
        <f>=H11/10000*2.5</f>
        <v>1052.37675</v>
      </c>
      <c r="J11" s="22">
        <f>=J10+I11</f>
        <v>7724.38725</v>
      </c>
      <c r="K11" s="22">
        <f>=H11/10000*2</f>
        <v>841.9014</v>
      </c>
      <c r="L11" s="22">
        <f>=I11-K11</f>
        <v>210.47535</v>
      </c>
    </row>
    <row r="12" spans="1:12">
      <c r="A12" s="23">
        <v>45678</v>
      </c>
      <c r="B12" s="21">
        <f>=H11</f>
        <v>4209507</v>
      </c>
      <c r="C12" s="25" t="s"/>
      <c r="D12" s="18" t="s"/>
      <c r="E12" s="18" t="s"/>
      <c r="F12" s="20" t="s"/>
      <c r="G12" s="21" t="s"/>
      <c r="H12" s="22">
        <f>=B12+C12+D12-E12-F12-G12</f>
        <v>4209507</v>
      </c>
      <c r="I12" s="22">
        <f>=H12/10000*2.5</f>
        <v>1052.37675</v>
      </c>
      <c r="J12" s="22">
        <f>=J11+I12</f>
        <v>8776.764</v>
      </c>
      <c r="K12" s="22">
        <f>=H12/10000*2</f>
        <v>841.9014</v>
      </c>
      <c r="L12" s="22">
        <f>=I12-K12</f>
        <v>210.47535</v>
      </c>
    </row>
    <row r="13" spans="1:12">
      <c r="A13" s="23">
        <v>45679</v>
      </c>
      <c r="B13" s="21">
        <f>=H12</f>
        <v>4209507</v>
      </c>
      <c r="C13" s="25" t="s"/>
      <c r="D13" s="18" t="s"/>
      <c r="E13" s="18" t="s"/>
      <c r="F13" s="20" t="s"/>
      <c r="G13" s="21" t="s"/>
      <c r="H13" s="22">
        <f>=B13+C13+D13-E13-F13-G13</f>
        <v>4209507</v>
      </c>
      <c r="I13" s="22">
        <f>=H13/10000*2.5</f>
        <v>1052.37675</v>
      </c>
      <c r="J13" s="22">
        <f>=J12+I13</f>
        <v>9829.14075</v>
      </c>
      <c r="K13" s="22">
        <f>=H13/10000*2</f>
        <v>841.9014</v>
      </c>
      <c r="L13" s="22">
        <f>=I13-K13</f>
        <v>210.47535</v>
      </c>
    </row>
    <row r="14" spans="1:12">
      <c r="A14" s="23">
        <v>45680</v>
      </c>
      <c r="B14" s="21">
        <f>=H13</f>
        <v>4209507</v>
      </c>
      <c r="C14" s="25" t="s"/>
      <c r="D14" s="18" t="s"/>
      <c r="E14" s="18" t="s"/>
      <c r="F14" s="20" t="s"/>
      <c r="G14" s="21">
        <v>2435000</v>
      </c>
      <c r="H14" s="22">
        <f>=B14+C14+D14-E14-F14-G14</f>
        <v>1774507</v>
      </c>
      <c r="I14" s="22">
        <f>=H14/10000*2.5</f>
        <v>443.62675</v>
      </c>
      <c r="J14" s="22">
        <f>=J13+I14</f>
        <v>10272.7675</v>
      </c>
      <c r="K14" s="22">
        <f>=H14/10000*2</f>
        <v>354.9014</v>
      </c>
      <c r="L14" s="22">
        <f>=I14-K14</f>
        <v>88.72535</v>
      </c>
    </row>
    <row r="15" spans="1:12">
      <c r="A15" s="23">
        <v>45681</v>
      </c>
      <c r="B15" s="21">
        <f>=H14</f>
        <v>1774507</v>
      </c>
      <c r="C15" s="25" t="s"/>
      <c r="D15" s="18" t="s"/>
      <c r="E15" s="18" t="s"/>
      <c r="F15" s="20" t="s"/>
      <c r="G15" s="21" t="s"/>
      <c r="H15" s="22">
        <f>=B15+C15+D15-E15-F15-G15</f>
        <v>1774507</v>
      </c>
      <c r="I15" s="22">
        <f>=H15/10000*2.5</f>
        <v>443.62675</v>
      </c>
      <c r="J15" s="22">
        <f>=J14+I15</f>
        <v>10716.39425</v>
      </c>
      <c r="K15" s="22">
        <f>=H15/10000*2</f>
        <v>354.9014</v>
      </c>
      <c r="L15" s="22">
        <f>=I15-K15</f>
        <v>88.72535</v>
      </c>
    </row>
    <row r="16" spans="1:12">
      <c r="A16" s="23">
        <v>45682</v>
      </c>
      <c r="B16" s="21">
        <f>=H15</f>
        <v>1774507</v>
      </c>
      <c r="C16" s="25" t="s"/>
      <c r="D16" s="18" t="s"/>
      <c r="E16" s="18" t="s"/>
      <c r="F16" s="20" t="s"/>
      <c r="G16" s="16">
        <v>1128594</v>
      </c>
      <c r="H16" s="22">
        <f>=B16+C16+D16-E16-F16-G16</f>
        <v>645913</v>
      </c>
      <c r="I16" s="22">
        <f>=H16/10000*2.5</f>
        <v>161.47825</v>
      </c>
      <c r="J16" s="22">
        <f>=J15+I16</f>
        <v>10877.8725</v>
      </c>
      <c r="K16" s="22">
        <f>=H16/10000*2</f>
        <v>129.1826</v>
      </c>
      <c r="L16" s="22">
        <f>=I16-K16</f>
        <v>32.29565</v>
      </c>
    </row>
    <row r="17" spans="1:12">
      <c r="A17" s="23">
        <v>45683</v>
      </c>
      <c r="B17" s="21">
        <f>=H16</f>
        <v>645913</v>
      </c>
      <c r="C17" s="25" t="s"/>
      <c r="D17" s="18" t="s"/>
      <c r="E17" s="18" t="s"/>
      <c r="F17" s="20" t="s"/>
      <c r="G17" s="21" t="s"/>
      <c r="H17" s="22">
        <f>=B17+C17+D17-E17-F17-G17</f>
        <v>645913</v>
      </c>
      <c r="I17" s="22">
        <f>=H17/10000*2.5</f>
        <v>161.47825</v>
      </c>
      <c r="J17" s="22">
        <f>=J16+I17</f>
        <v>11039.35075</v>
      </c>
      <c r="K17" s="22">
        <f>=H17/10000*2</f>
        <v>129.1826</v>
      </c>
      <c r="L17" s="22">
        <f>=I17-K17</f>
        <v>32.29565</v>
      </c>
    </row>
    <row r="18" spans="1:12">
      <c r="A18" s="23">
        <v>45684</v>
      </c>
      <c r="B18" s="21">
        <f>=H17</f>
        <v>645913</v>
      </c>
      <c r="C18" s="25" t="s"/>
      <c r="D18" s="18" t="s"/>
      <c r="E18" s="18" t="s"/>
      <c r="F18" s="20" t="s"/>
      <c r="G18" s="16">
        <v>659463</v>
      </c>
      <c r="H18" s="22">
        <f>=B18+C18+D18-E18-F18-G18</f>
        <v>-13550</v>
      </c>
      <c r="I18" s="22">
        <f>=H18/10000*2.5</f>
        <v>-3.3875</v>
      </c>
      <c r="J18" s="22">
        <f>=J17+I18</f>
        <v>11035.96325</v>
      </c>
      <c r="K18" s="22">
        <f>=H18/10000*2</f>
        <v>-2.71</v>
      </c>
      <c r="L18" s="22">
        <f>=I18-K18</f>
        <v>-0.6775</v>
      </c>
    </row>
    <row r="19" spans="1:12">
      <c r="A19" s="23">
        <v>45685</v>
      </c>
      <c r="B19" s="21">
        <f>=H18</f>
        <v>-13550</v>
      </c>
      <c r="C19" s="25" t="s"/>
      <c r="D19" s="18" t="s"/>
      <c r="E19" s="18" t="s"/>
      <c r="F19" s="20" t="s"/>
      <c r="G19" s="21" t="s"/>
      <c r="H19" s="22">
        <f>=B19+C19+D19-E19-F19-G19</f>
        <v>-13550</v>
      </c>
      <c r="I19" s="22">
        <f>=H19/10000*2.5</f>
        <v>-3.3875</v>
      </c>
      <c r="J19" s="22">
        <f>=J18+I19</f>
        <v>11032.57575</v>
      </c>
      <c r="K19" s="22">
        <f>=H19/10000*2</f>
        <v>-2.71</v>
      </c>
      <c r="L19" s="22">
        <f>=I19-K19</f>
        <v>-0.6775</v>
      </c>
    </row>
    <row r="20" spans="1:12">
      <c r="A20" s="23">
        <v>45686</v>
      </c>
      <c r="B20" s="21">
        <f>=H19</f>
        <v>-13550</v>
      </c>
      <c r="C20" s="25" t="s"/>
      <c r="D20" s="18" t="s"/>
      <c r="E20" s="18" t="s"/>
      <c r="F20" s="20" t="s"/>
      <c r="G20" s="21" t="s"/>
      <c r="H20" s="22">
        <f>=B20+C20+D20-E20-F20-G20</f>
        <v>-13550</v>
      </c>
      <c r="I20" s="22">
        <f>=H20/10000*2.5</f>
        <v>-3.3875</v>
      </c>
      <c r="J20" s="22">
        <f>=J19+I20</f>
        <v>11029.18825</v>
      </c>
      <c r="K20" s="22">
        <f>=H20/10000*2</f>
        <v>-2.71</v>
      </c>
      <c r="L20" s="22">
        <f>=I20-K20</f>
        <v>-0.6775</v>
      </c>
    </row>
    <row r="21" spans="1:12">
      <c r="A21" s="23">
        <v>45687</v>
      </c>
      <c r="B21" s="21">
        <f>=H20</f>
        <v>-13550</v>
      </c>
      <c r="C21" s="25" t="s"/>
      <c r="D21" s="18" t="s"/>
      <c r="E21" s="18" t="s"/>
      <c r="F21" s="20" t="s"/>
      <c r="G21" s="21" t="s"/>
      <c r="H21" s="22">
        <f>=B21+C21+D21-E21-F21-G21</f>
        <v>-13550</v>
      </c>
      <c r="I21" s="22">
        <f>=H21/10000*2.5</f>
        <v>-3.3875</v>
      </c>
      <c r="J21" s="22">
        <f>=J20+I21</f>
        <v>11025.80075</v>
      </c>
      <c r="K21" s="22">
        <f>=H21/10000*2</f>
        <v>-2.71</v>
      </c>
      <c r="L21" s="22">
        <f>=I21-K21</f>
        <v>-0.6775</v>
      </c>
    </row>
    <row r="22" spans="1:12">
      <c r="A22" s="23">
        <v>45688</v>
      </c>
      <c r="B22" s="21">
        <f>=H21</f>
        <v>-13550</v>
      </c>
      <c r="C22" s="25" t="s"/>
      <c r="D22" s="18" t="s"/>
      <c r="E22" s="18" t="s"/>
      <c r="F22" s="20" t="s"/>
      <c r="G22" s="26" t="s"/>
      <c r="H22" s="22">
        <f>=B22+C22+D22-E22-F22-G22</f>
        <v>-13550</v>
      </c>
      <c r="I22" s="22">
        <f>=H22/10000*2.5</f>
        <v>-3.3875</v>
      </c>
      <c r="J22" s="22">
        <f>=J21+I22</f>
        <v>11022.41325</v>
      </c>
      <c r="K22" s="22">
        <f>=H22/10000*2</f>
        <v>-2.71</v>
      </c>
      <c r="L22" s="22">
        <f>=I22-K22</f>
        <v>-0.6775</v>
      </c>
    </row>
    <row r="23" spans="1:12">
      <c r="A23" s="23">
        <v>45689</v>
      </c>
      <c r="B23" s="21">
        <f>=H22</f>
        <v>-13550</v>
      </c>
      <c r="C23" s="25" t="s"/>
      <c r="D23" s="18" t="s"/>
      <c r="E23" s="18" t="s"/>
      <c r="F23" s="20" t="s"/>
      <c r="G23" s="26" t="s"/>
      <c r="H23" s="22">
        <f>=B23+C23+D23-E23-F23-G23</f>
        <v>-13550</v>
      </c>
      <c r="I23" s="22">
        <f>=H23/10000*2.5</f>
        <v>-3.3875</v>
      </c>
      <c r="J23" s="22">
        <f>=J22+I23</f>
        <v>11019.02575</v>
      </c>
      <c r="K23" s="22">
        <f>=H23/10000*2</f>
        <v>-2.71</v>
      </c>
      <c r="L23" s="22">
        <f>=I23-K23</f>
        <v>-0.6775</v>
      </c>
    </row>
    <row r="24" spans="1:12">
      <c r="A24" s="23">
        <v>45690</v>
      </c>
      <c r="B24" s="21">
        <f>=H23</f>
        <v>-13550</v>
      </c>
      <c r="C24" s="25" t="s"/>
      <c r="D24" s="18" t="s"/>
      <c r="E24" s="18" t="s"/>
      <c r="F24" s="20" t="s"/>
      <c r="G24" s="26" t="s"/>
      <c r="H24" s="22">
        <f>=B24+C24+D24-E24-F24-G24</f>
        <v>-13550</v>
      </c>
      <c r="I24" s="22">
        <f>=H24/10000*2.5</f>
        <v>-3.3875</v>
      </c>
      <c r="J24" s="22">
        <f>=J23+I24</f>
        <v>11015.63825</v>
      </c>
      <c r="K24" s="22">
        <f>=H24/10000*2</f>
        <v>-2.71</v>
      </c>
      <c r="L24" s="22">
        <f>=I24-K24</f>
        <v>-0.6775</v>
      </c>
    </row>
    <row r="25" spans="1:12">
      <c r="A25" s="23">
        <v>45691</v>
      </c>
      <c r="B25" s="21">
        <f>=H24</f>
        <v>-13550</v>
      </c>
      <c r="C25" s="25" t="s"/>
      <c r="D25" s="18" t="s"/>
      <c r="E25" s="18" t="s"/>
      <c r="F25" s="20" t="s"/>
      <c r="G25" s="26" t="s"/>
      <c r="H25" s="22">
        <f>=B25+C25+D25-E25-F25-G25</f>
        <v>-13550</v>
      </c>
      <c r="I25" s="22">
        <f>=H25/10000*2.5</f>
        <v>-3.3875</v>
      </c>
      <c r="J25" s="22">
        <f>=J24+I25</f>
        <v>11012.25075</v>
      </c>
      <c r="K25" s="22">
        <f>=H25/10000*2</f>
        <v>-2.71</v>
      </c>
      <c r="L25" s="22">
        <f>=I25-K25</f>
        <v>-0.6775</v>
      </c>
    </row>
    <row r="26" spans="1:12">
      <c r="A26" s="23">
        <v>45692</v>
      </c>
      <c r="B26" s="21">
        <f>=H25</f>
        <v>-13550</v>
      </c>
      <c r="C26" s="25" t="s"/>
      <c r="D26" s="18" t="s"/>
      <c r="E26" s="18" t="s"/>
      <c r="F26" s="20" t="s"/>
      <c r="G26" s="26" t="s"/>
      <c r="H26" s="22">
        <f>=B26+C26+D26-E26-F26-G26</f>
        <v>-13550</v>
      </c>
      <c r="I26" s="22">
        <f>=H26/10000*2.5</f>
        <v>-3.3875</v>
      </c>
      <c r="J26" s="22">
        <f>=J25+I26</f>
        <v>11008.86325</v>
      </c>
      <c r="K26" s="22">
        <f>=H26/10000*2</f>
        <v>-2.71</v>
      </c>
      <c r="L26" s="22">
        <f>=I26-K26</f>
        <v>-0.6775</v>
      </c>
    </row>
    <row r="27" spans="1:12">
      <c r="A27" s="23">
        <v>45693</v>
      </c>
      <c r="B27" s="21">
        <f>=H26</f>
        <v>-13550</v>
      </c>
      <c r="C27" s="25" t="s"/>
      <c r="D27" s="18" t="s"/>
      <c r="E27" s="18" t="s"/>
      <c r="F27" s="20" t="s"/>
      <c r="G27" s="26" t="s"/>
      <c r="H27" s="22">
        <f>=B27+C27+D27-E27-F27-G27</f>
        <v>-13550</v>
      </c>
      <c r="I27" s="22">
        <f>=H27/10000*2.5</f>
        <v>-3.3875</v>
      </c>
      <c r="J27" s="22">
        <f>=J26+I27</f>
        <v>11005.47575</v>
      </c>
      <c r="K27" s="22">
        <f>=H27/10000*2</f>
        <v>-2.71</v>
      </c>
      <c r="L27" s="22">
        <f>=I27-K27</f>
        <v>-0.6775</v>
      </c>
    </row>
    <row r="28" spans="1:12">
      <c r="A28" s="23">
        <v>45694</v>
      </c>
      <c r="B28" s="21">
        <f>=H27</f>
        <v>-13550</v>
      </c>
      <c r="C28" s="25" t="s"/>
      <c r="D28" s="18" t="s"/>
      <c r="E28" s="18" t="s"/>
      <c r="F28" s="20" t="s"/>
      <c r="G28" s="26" t="s"/>
      <c r="H28" s="22">
        <f>=B28+C28+D28-E28-F28-G28</f>
        <v>-13550</v>
      </c>
      <c r="I28" s="22">
        <f>=H28/10000*2.5</f>
        <v>-3.3875</v>
      </c>
      <c r="J28" s="22">
        <f>=J27+I28</f>
        <v>11002.08825</v>
      </c>
      <c r="K28" s="22">
        <f>=H28/10000*2</f>
        <v>-2.71</v>
      </c>
      <c r="L28" s="22">
        <f>=I28-K28</f>
        <v>-0.6775</v>
      </c>
    </row>
    <row r="29" spans="1:12">
      <c r="A29" s="23">
        <v>45695</v>
      </c>
      <c r="B29" s="21">
        <f>=H28</f>
        <v>-13550</v>
      </c>
      <c r="C29" s="25" t="s"/>
      <c r="D29" s="18" t="s"/>
      <c r="E29" s="18" t="s"/>
      <c r="F29" s="20" t="s"/>
      <c r="G29" s="26" t="s"/>
      <c r="H29" s="22">
        <f>=B29+C29+D29-E29-F29-G29</f>
        <v>-13550</v>
      </c>
      <c r="I29" s="22">
        <f>=H29/10000*2.5</f>
        <v>-3.3875</v>
      </c>
      <c r="J29" s="22">
        <f>=J28+I29</f>
        <v>10998.70075</v>
      </c>
      <c r="K29" s="22">
        <f>=H29/10000*2</f>
        <v>-2.71</v>
      </c>
      <c r="L29" s="22">
        <f>=I29-K29</f>
        <v>-0.6775</v>
      </c>
    </row>
    <row r="30" spans="1:12">
      <c r="A30" s="23">
        <v>45696</v>
      </c>
      <c r="B30" s="21">
        <f>=H29</f>
        <v>-13550</v>
      </c>
      <c r="C30" s="25" t="s"/>
      <c r="D30" s="18" t="s"/>
      <c r="E30" s="18" t="s"/>
      <c r="F30" s="20" t="s"/>
      <c r="G30" s="26" t="s"/>
      <c r="H30" s="22">
        <f>=B30+C30+D30-E30-F30-G30</f>
        <v>-13550</v>
      </c>
      <c r="I30" s="22">
        <f>=H30/10000*2.5</f>
        <v>-3.3875</v>
      </c>
      <c r="J30" s="22">
        <f>=J29+I30</f>
        <v>10995.31325</v>
      </c>
      <c r="K30" s="22">
        <f>=H30/10000*2</f>
        <v>-2.71</v>
      </c>
      <c r="L30" s="22">
        <f>=I30-K30</f>
        <v>-0.6775</v>
      </c>
    </row>
    <row r="31" spans="1:12">
      <c r="A31" s="23">
        <v>45697</v>
      </c>
      <c r="B31" s="21">
        <f>=H30</f>
        <v>-13550</v>
      </c>
      <c r="C31" s="25" t="s"/>
      <c r="D31" s="18" t="s"/>
      <c r="E31" s="18" t="s"/>
      <c r="F31" s="20" t="s"/>
      <c r="G31" s="26" t="s"/>
      <c r="H31" s="22">
        <f>=B31+C31+D31-E31-F31-G31</f>
        <v>-13550</v>
      </c>
      <c r="I31" s="22">
        <f>=H31/10000*2.5</f>
        <v>-3.3875</v>
      </c>
      <c r="J31" s="22">
        <f>=J30+I31</f>
        <v>10991.92575</v>
      </c>
      <c r="K31" s="22">
        <f>=H31/10000*2</f>
        <v>-2.71</v>
      </c>
      <c r="L31" s="22">
        <f>=I31-K31</f>
        <v>-0.6775</v>
      </c>
    </row>
    <row r="32" spans="1:12">
      <c r="A32" s="23">
        <v>45698</v>
      </c>
      <c r="B32" s="21">
        <f>=H31</f>
        <v>-13550</v>
      </c>
      <c r="C32" s="25" t="s"/>
      <c r="D32" s="18" t="s"/>
      <c r="E32" s="18" t="s"/>
      <c r="F32" s="20" t="s"/>
      <c r="G32" s="26" t="s"/>
      <c r="H32" s="22">
        <f>=B32+C32+D32-E32-F32-G32</f>
        <v>-13550</v>
      </c>
      <c r="I32" s="22">
        <f>=H32/10000*2.5</f>
        <v>-3.3875</v>
      </c>
      <c r="J32" s="22">
        <f>=J31+I32</f>
        <v>10988.53825</v>
      </c>
      <c r="K32" s="22">
        <f>=H32/10000*2</f>
        <v>-2.71</v>
      </c>
      <c r="L32" s="22">
        <f>=I32-K32</f>
        <v>-0.6775</v>
      </c>
    </row>
    <row r="33" spans="1:12">
      <c r="A33" s="23">
        <v>45699</v>
      </c>
      <c r="B33" s="21">
        <f>=H32</f>
        <v>-13550</v>
      </c>
      <c r="C33" s="25" t="s"/>
      <c r="D33" s="18" t="s"/>
      <c r="E33" s="18" t="s"/>
      <c r="F33" s="20" t="s"/>
      <c r="G33" s="26" t="s"/>
      <c r="H33" s="22">
        <f>=B33+C33+D33-E33-F33-G33</f>
        <v>-13550</v>
      </c>
      <c r="I33" s="22">
        <f>=H33/10000*2.5</f>
        <v>-3.3875</v>
      </c>
      <c r="J33" s="22">
        <f>=J32+I33</f>
        <v>10985.15075</v>
      </c>
      <c r="K33" s="27">
        <f>=H33/10000*2</f>
        <v>-2.71</v>
      </c>
      <c r="L33" s="27">
        <f>=I33-K33</f>
        <v>-0.6775</v>
      </c>
    </row>
    <row r="34" spans="1:12">
      <c r="A34" s="23">
        <v>45700</v>
      </c>
      <c r="B34" s="21">
        <f>=H33</f>
        <v>-13550</v>
      </c>
      <c r="C34" s="25" t="s"/>
      <c r="D34" s="18" t="s"/>
      <c r="E34" s="18" t="s"/>
      <c r="F34" s="20" t="s"/>
      <c r="G34" s="26" t="s"/>
      <c r="H34" s="22">
        <f>=B34+C34+D34-E34-F34-G34</f>
        <v>-13550</v>
      </c>
      <c r="I34" s="22">
        <f>=H34/10000*2.5</f>
        <v>-3.3875</v>
      </c>
      <c r="J34" s="22">
        <f>=J33+I34</f>
        <v>10981.76325</v>
      </c>
      <c r="K34" s="27">
        <f>=H34/10000*2</f>
        <v>-2.71</v>
      </c>
      <c r="L34" s="27">
        <f>=I34-K34</f>
        <v>-0.6775</v>
      </c>
    </row>
    <row r="35" spans="1:12">
      <c r="A35" s="23">
        <v>45701</v>
      </c>
      <c r="B35" s="21">
        <f>=H34</f>
        <v>-13550</v>
      </c>
      <c r="C35" s="25" t="s"/>
      <c r="D35" s="18" t="s"/>
      <c r="E35" s="18" t="s"/>
      <c r="F35" s="20" t="s"/>
      <c r="G35" s="26" t="s"/>
      <c r="H35" s="22">
        <f>=B35+C35+D35-E35-F35-G35</f>
        <v>-13550</v>
      </c>
      <c r="I35" s="22">
        <f>=H35/10000*2.5</f>
        <v>-3.3875</v>
      </c>
      <c r="J35" s="22">
        <f>=J34+I35</f>
        <v>10978.37575</v>
      </c>
      <c r="K35" s="27">
        <f>=H35/10000*2</f>
        <v>-2.71</v>
      </c>
      <c r="L35" s="27">
        <f>=I35-K35</f>
        <v>-0.6775</v>
      </c>
    </row>
    <row r="36" spans="1:12">
      <c r="A36" s="23">
        <v>45702</v>
      </c>
      <c r="B36" s="21">
        <f>=H35</f>
        <v>-13550</v>
      </c>
      <c r="C36" s="25" t="s"/>
      <c r="D36" s="18" t="s"/>
      <c r="E36" s="18" t="s"/>
      <c r="F36" s="20" t="s"/>
      <c r="G36" s="26" t="s"/>
      <c r="H36" s="22">
        <f>=B36+C36+D36-E36-F36-G36</f>
        <v>-13550</v>
      </c>
      <c r="I36" s="22">
        <f>=H36/10000*2.5</f>
        <v>-3.3875</v>
      </c>
      <c r="J36" s="22">
        <f>=J35+I36</f>
        <v>10974.98825</v>
      </c>
      <c r="K36" s="27">
        <f>=H36/10000*2</f>
        <v>-2.71</v>
      </c>
      <c r="L36" s="27">
        <f>=I36-K36</f>
        <v>-0.6775</v>
      </c>
    </row>
    <row r="37" spans="1:12">
      <c r="A37" s="23">
        <v>45703</v>
      </c>
      <c r="B37" s="21">
        <f>=H36</f>
        <v>-13550</v>
      </c>
      <c r="C37" s="25" t="s"/>
      <c r="D37" s="18" t="s"/>
      <c r="E37" s="18" t="s"/>
      <c r="F37" s="20" t="s"/>
      <c r="G37" s="26" t="s"/>
      <c r="H37" s="22">
        <f>=B37+C37+D37-E37-F37-G37</f>
        <v>-13550</v>
      </c>
      <c r="I37" s="22">
        <f>=H37/10000*2.5</f>
        <v>-3.3875</v>
      </c>
      <c r="J37" s="22">
        <f>=J36+I37</f>
        <v>10971.60075</v>
      </c>
      <c r="K37" s="27">
        <f>=H37/10000*2</f>
        <v>-2.71</v>
      </c>
      <c r="L37" s="27">
        <f>=I37-K37</f>
        <v>-0.6775</v>
      </c>
    </row>
    <row r="38" spans="1:12">
      <c r="A38" s="23">
        <v>45704</v>
      </c>
      <c r="B38" s="21">
        <f>=H37</f>
        <v>-13550</v>
      </c>
      <c r="C38" s="25" t="s"/>
      <c r="D38" s="18" t="s"/>
      <c r="E38" s="18" t="s"/>
      <c r="F38" s="20" t="s"/>
      <c r="G38" s="26" t="s"/>
      <c r="H38" s="22">
        <f>=B38+C38+D38-E38-F38-G38</f>
        <v>-13550</v>
      </c>
      <c r="I38" s="22">
        <f>=H38/10000*2.5</f>
        <v>-3.3875</v>
      </c>
      <c r="J38" s="22">
        <f>=J37+I38</f>
        <v>10968.21325</v>
      </c>
      <c r="K38" s="27">
        <f>=H38/10000*2</f>
        <v>-2.71</v>
      </c>
      <c r="L38" s="27">
        <f>=I38-K38</f>
        <v>-0.6775</v>
      </c>
    </row>
    <row r="39" spans="1:12">
      <c r="A39" s="23">
        <v>45705</v>
      </c>
      <c r="B39" s="21">
        <f>=H38</f>
        <v>-13550</v>
      </c>
      <c r="C39" s="25" t="s"/>
      <c r="D39" s="18" t="s"/>
      <c r="E39" s="18" t="s"/>
      <c r="F39" s="20" t="s"/>
      <c r="G39" s="26" t="s"/>
      <c r="H39" s="22">
        <f>=B39+C39+D39-E39-F39-G39</f>
        <v>-13550</v>
      </c>
      <c r="I39" s="22">
        <f>=H39/10000*2.5</f>
        <v>-3.3875</v>
      </c>
      <c r="J39" s="22">
        <f>=J38+I39</f>
        <v>10964.82575</v>
      </c>
      <c r="K39" s="27">
        <f>=H39/10000*2</f>
        <v>-2.71</v>
      </c>
      <c r="L39" s="27">
        <f>=I39-K39</f>
        <v>-0.6775</v>
      </c>
    </row>
    <row r="40" spans="1:12">
      <c r="A40" s="23">
        <v>45706</v>
      </c>
      <c r="B40" s="21">
        <f>=H39</f>
        <v>-13550</v>
      </c>
      <c r="C40" s="25" t="s"/>
      <c r="D40" s="18" t="s"/>
      <c r="E40" s="18" t="s"/>
      <c r="F40" s="20" t="s"/>
      <c r="G40" s="26" t="s"/>
      <c r="H40" s="22">
        <f>=B40+C40+D40-E40-F40-G40</f>
        <v>-13550</v>
      </c>
      <c r="I40" s="22">
        <f>=H40/10000*2.5</f>
        <v>-3.3875</v>
      </c>
      <c r="J40" s="22">
        <f>=J39+I40</f>
        <v>10961.43825</v>
      </c>
      <c r="K40" s="27">
        <f>=H40/10000*2</f>
        <v>-2.71</v>
      </c>
      <c r="L40" s="27">
        <f>=I40-K40</f>
        <v>-0.6775</v>
      </c>
    </row>
    <row r="41" spans="1:12">
      <c r="A41" s="23">
        <v>45707</v>
      </c>
      <c r="B41" s="21">
        <f>=H40</f>
        <v>-13550</v>
      </c>
      <c r="C41" s="25" t="s"/>
      <c r="D41" s="18" t="s"/>
      <c r="E41" s="18" t="s"/>
      <c r="F41" s="20" t="s"/>
      <c r="G41" s="26" t="s"/>
      <c r="H41" s="22">
        <f>=B41+C41+D41-E41-F41-G41</f>
        <v>-13550</v>
      </c>
      <c r="I41" s="22">
        <f>=H41/10000*2.5</f>
        <v>-3.3875</v>
      </c>
      <c r="J41" s="22">
        <f>=J40+I41</f>
        <v>10958.05075</v>
      </c>
      <c r="K41" s="27">
        <f>=H41/10000*2</f>
        <v>-2.71</v>
      </c>
      <c r="L41" s="27">
        <f>=I41-K41</f>
        <v>-0.6775</v>
      </c>
    </row>
    <row r="42" spans="1:12">
      <c r="A42" s="23">
        <v>45708</v>
      </c>
      <c r="B42" s="21">
        <f>=H41</f>
        <v>-13550</v>
      </c>
      <c r="C42" s="25" t="s"/>
      <c r="D42" s="18" t="s"/>
      <c r="E42" s="18" t="s"/>
      <c r="F42" s="20" t="s"/>
      <c r="G42" s="26" t="s"/>
      <c r="H42" s="22">
        <f>=B42+C42+D42-E42-F42-G42</f>
        <v>-13550</v>
      </c>
      <c r="I42" s="22">
        <f>=H42/10000*2.5</f>
        <v>-3.3875</v>
      </c>
      <c r="J42" s="22">
        <f>=J41+I42</f>
        <v>10954.66325</v>
      </c>
      <c r="K42" s="27">
        <f>=H42/10000*2</f>
        <v>-2.71</v>
      </c>
      <c r="L42" s="27">
        <f>=I42-K42</f>
        <v>-0.6775</v>
      </c>
    </row>
    <row r="43" spans="1:12">
      <c r="A43" s="23">
        <v>45709</v>
      </c>
      <c r="B43" s="21">
        <f>=H42</f>
        <v>-13550</v>
      </c>
      <c r="C43" s="25" t="s"/>
      <c r="D43" s="18" t="s"/>
      <c r="E43" s="18" t="s"/>
      <c r="F43" s="20" t="s"/>
      <c r="G43" s="26" t="s"/>
      <c r="H43" s="22">
        <f>=B43+C43+D43-E43-F43-G43</f>
        <v>-13550</v>
      </c>
      <c r="I43" s="22">
        <f>=H43/10000*2.5</f>
        <v>-3.3875</v>
      </c>
      <c r="J43" s="22">
        <f>=J42+I43</f>
        <v>10951.27575</v>
      </c>
      <c r="K43" s="27">
        <f>=H43/10000*2</f>
        <v>-2.71</v>
      </c>
      <c r="L43" s="27">
        <f>=I43-K43</f>
        <v>-0.6775</v>
      </c>
    </row>
    <row r="44" spans="1:12">
      <c r="A44" s="23">
        <v>45710</v>
      </c>
      <c r="B44" s="21">
        <f>=H43</f>
        <v>-13550</v>
      </c>
      <c r="C44" s="25" t="s"/>
      <c r="D44" s="18" t="s"/>
      <c r="E44" s="18" t="s"/>
      <c r="F44" s="20" t="s"/>
      <c r="G44" s="26" t="s"/>
      <c r="H44" s="22">
        <f>=B44+C44+D44-E44-F44-G44</f>
        <v>-13550</v>
      </c>
      <c r="I44" s="22">
        <f>=H44/10000*2.5</f>
        <v>-3.3875</v>
      </c>
      <c r="J44" s="22">
        <f>=J43+I44</f>
        <v>10947.88825</v>
      </c>
      <c r="K44" s="27">
        <f>=H44/10000*2</f>
        <v>-2.71</v>
      </c>
      <c r="L44" s="27">
        <f>=I44-K44</f>
        <v>-0.6775</v>
      </c>
    </row>
    <row r="45" spans="1:12">
      <c r="A45" s="23">
        <v>45711</v>
      </c>
      <c r="B45" s="21">
        <f>=H44</f>
        <v>-13550</v>
      </c>
      <c r="C45" s="25" t="s"/>
      <c r="D45" s="18" t="s"/>
      <c r="E45" s="18" t="s"/>
      <c r="F45" s="20" t="s"/>
      <c r="G45" s="26" t="s"/>
      <c r="H45" s="22">
        <f>=B45+C45+D45-E45-F45-G45</f>
        <v>-13550</v>
      </c>
      <c r="I45" s="22">
        <f>=H45/10000*2.5</f>
        <v>-3.3875</v>
      </c>
      <c r="J45" s="22">
        <f>=J44+I45</f>
        <v>10944.50075</v>
      </c>
      <c r="K45" s="27">
        <f>=H45/10000*2</f>
        <v>-2.71</v>
      </c>
      <c r="L45" s="27">
        <f>=I45-K45</f>
        <v>-0.6775</v>
      </c>
    </row>
    <row r="46" spans="1:12">
      <c r="A46" s="23">
        <v>45712</v>
      </c>
      <c r="B46" s="21">
        <f>=H45</f>
        <v>-13550</v>
      </c>
      <c r="C46" s="25" t="s"/>
      <c r="D46" s="18" t="s"/>
      <c r="E46" s="18" t="s"/>
      <c r="F46" s="20" t="s"/>
      <c r="G46" s="26" t="s"/>
      <c r="H46" s="22">
        <f>=B46+C46+D46-E46-F46-G46</f>
        <v>-13550</v>
      </c>
      <c r="I46" s="22">
        <f>=H46/10000*2.5</f>
        <v>-3.3875</v>
      </c>
      <c r="J46" s="22">
        <f>=J45+I46</f>
        <v>10941.11325</v>
      </c>
      <c r="K46" s="27">
        <f>=H46/10000*2</f>
        <v>-2.71</v>
      </c>
      <c r="L46" s="27">
        <f>=I46-K46</f>
        <v>-0.6775</v>
      </c>
    </row>
    <row r="47" spans="1:12">
      <c r="A47" s="23">
        <v>45713</v>
      </c>
      <c r="B47" s="21">
        <f>=H46</f>
        <v>-13550</v>
      </c>
      <c r="C47" s="25" t="s"/>
      <c r="D47" s="18" t="s"/>
      <c r="E47" s="18" t="s"/>
      <c r="F47" s="20" t="s"/>
      <c r="G47" s="26" t="s"/>
      <c r="H47" s="22">
        <f>=B47+C47+D47-E47-F47-G47</f>
        <v>-13550</v>
      </c>
      <c r="I47" s="22">
        <f>=H47/10000*2.5</f>
        <v>-3.3875</v>
      </c>
      <c r="J47" s="22">
        <f>=J46+I47</f>
        <v>10937.72575</v>
      </c>
      <c r="K47" s="27">
        <f>=H47/10000*2</f>
        <v>-2.71</v>
      </c>
      <c r="L47" s="27">
        <f>=I47-K47</f>
        <v>-0.6775</v>
      </c>
    </row>
    <row r="48" spans="1:12">
      <c r="A48" s="23">
        <v>45714</v>
      </c>
      <c r="B48" s="21">
        <f>=H47</f>
        <v>-13550</v>
      </c>
      <c r="C48" s="25" t="s"/>
      <c r="D48" s="18" t="s"/>
      <c r="E48" s="18" t="s"/>
      <c r="F48" s="20" t="s"/>
      <c r="G48" s="26" t="s"/>
      <c r="H48" s="22">
        <f>=B48+C48+D48-E48-F48-G48</f>
        <v>-13550</v>
      </c>
      <c r="I48" s="22">
        <f>=H48/10000*2.5</f>
        <v>-3.3875</v>
      </c>
      <c r="J48" s="22">
        <f>=J47+I48</f>
        <v>10934.33825</v>
      </c>
      <c r="K48" s="27">
        <f>=H48/10000*2</f>
        <v>-2.71</v>
      </c>
      <c r="L48" s="27">
        <f>=I48-K48</f>
        <v>-0.6775</v>
      </c>
    </row>
    <row r="49" spans="1:12">
      <c r="A49" s="23">
        <v>45715</v>
      </c>
      <c r="B49" s="21">
        <f>=H48</f>
        <v>-13550</v>
      </c>
      <c r="C49" s="25" t="s"/>
      <c r="D49" s="18" t="s"/>
      <c r="E49" s="18" t="s"/>
      <c r="F49" s="20" t="s"/>
      <c r="G49" s="26" t="s"/>
      <c r="H49" s="22">
        <f>=B49+C49+D49-E49-F49-G49</f>
        <v>-13550</v>
      </c>
      <c r="I49" s="22">
        <f>=H49/10000*2.5</f>
        <v>-3.3875</v>
      </c>
      <c r="J49" s="22">
        <f>=J48+I49</f>
        <v>10930.95075</v>
      </c>
      <c r="K49" s="27">
        <f>=H49/10000*2</f>
        <v>-2.71</v>
      </c>
      <c r="L49" s="27">
        <f>=I49-K49</f>
        <v>-0.6775</v>
      </c>
    </row>
    <row r="50" spans="1:12">
      <c r="A50" s="23">
        <v>45716</v>
      </c>
      <c r="B50" s="21">
        <f>=H49</f>
        <v>-13550</v>
      </c>
      <c r="C50" s="25" t="s"/>
      <c r="D50" s="18" t="s"/>
      <c r="E50" s="18" t="s"/>
      <c r="F50" s="20" t="s"/>
      <c r="G50" s="26" t="s"/>
      <c r="H50" s="22">
        <f>=B50+C50+D50-E50-F50-G50</f>
        <v>-13550</v>
      </c>
      <c r="I50" s="22">
        <f>=H50/10000*2.5</f>
        <v>-3.3875</v>
      </c>
      <c r="J50" s="22">
        <f>=J49+I50</f>
        <v>10927.56325</v>
      </c>
      <c r="K50" s="27">
        <f>=H50/10000*2</f>
        <v>-2.71</v>
      </c>
      <c r="L50" s="27">
        <f>=I50-K50</f>
        <v>-0.6775</v>
      </c>
    </row>
    <row r="51" spans="1:12">
      <c r="A51" s="23">
        <v>45717</v>
      </c>
      <c r="B51" s="21">
        <f>=H50</f>
        <v>-13550</v>
      </c>
      <c r="C51" s="25" t="s"/>
      <c r="D51" s="18" t="s"/>
      <c r="E51" s="18" t="s"/>
      <c r="F51" s="20" t="s"/>
      <c r="G51" s="26" t="s"/>
      <c r="H51" s="22">
        <f>=B51+C51+D51-E51-F51-G51</f>
        <v>-13550</v>
      </c>
      <c r="I51" s="22">
        <f>=H51/10000*2.5</f>
        <v>-3.3875</v>
      </c>
      <c r="J51" s="22">
        <f>=J50+I51</f>
        <v>10924.17575</v>
      </c>
      <c r="K51" s="27">
        <f>=H51/10000*2</f>
        <v>-2.71</v>
      </c>
      <c r="L51" s="27">
        <f>=I51-K51</f>
        <v>-0.6775</v>
      </c>
    </row>
    <row r="52" spans="1:12">
      <c r="A52" s="23">
        <v>45718</v>
      </c>
      <c r="B52" s="21">
        <f>=H51</f>
        <v>-13550</v>
      </c>
      <c r="C52" s="25" t="s"/>
      <c r="D52" s="18" t="s"/>
      <c r="E52" s="18" t="s"/>
      <c r="F52" s="20" t="s"/>
      <c r="G52" s="26" t="s"/>
      <c r="H52" s="22">
        <f>=B52+C52+D52-E52-F52-G52</f>
        <v>-13550</v>
      </c>
      <c r="I52" s="22">
        <f>=H52/10000*2.5</f>
        <v>-3.3875</v>
      </c>
      <c r="J52" s="22">
        <f>=J51+I52</f>
        <v>10920.78825</v>
      </c>
      <c r="K52" s="27">
        <f>=H52/10000*2</f>
        <v>-2.71</v>
      </c>
      <c r="L52" s="27">
        <f>=I52-K52</f>
        <v>-0.6775</v>
      </c>
    </row>
    <row r="53" spans="1:12">
      <c r="A53" s="23">
        <v>45719</v>
      </c>
      <c r="B53" s="21">
        <f>=H52</f>
        <v>-13550</v>
      </c>
      <c r="C53" s="25" t="s"/>
      <c r="D53" s="18" t="s"/>
      <c r="E53" s="18" t="s"/>
      <c r="F53" s="20" t="s"/>
      <c r="G53" s="26" t="s"/>
      <c r="H53" s="22">
        <f>=B53+C53+D53-E53-F53-G53</f>
        <v>-13550</v>
      </c>
      <c r="I53" s="22">
        <f>=H53/10000*2.5</f>
        <v>-3.3875</v>
      </c>
      <c r="J53" s="22">
        <f>=J52+I53</f>
        <v>10917.40075</v>
      </c>
      <c r="K53" s="27">
        <f>=H53/10000*2</f>
        <v>-2.71</v>
      </c>
      <c r="L53" s="27">
        <f>=I53-K53</f>
        <v>-0.6775</v>
      </c>
    </row>
    <row r="54" spans="1:12">
      <c r="A54" s="23">
        <v>45720</v>
      </c>
      <c r="B54" s="21">
        <f>=H53</f>
        <v>-13550</v>
      </c>
      <c r="C54" s="25" t="s"/>
      <c r="D54" s="18" t="s"/>
      <c r="E54" s="18" t="s"/>
      <c r="F54" s="20" t="s"/>
      <c r="G54" s="26" t="s"/>
      <c r="H54" s="22">
        <f>=B54+C54+D54-E54-F54-G54</f>
        <v>-13550</v>
      </c>
      <c r="I54" s="22">
        <f>=H54/10000*2.5</f>
        <v>-3.3875</v>
      </c>
      <c r="J54" s="22">
        <f>=J53+I54</f>
        <v>10914.01325</v>
      </c>
      <c r="K54" s="27">
        <f>=H54/10000*2</f>
        <v>-2.71</v>
      </c>
      <c r="L54" s="27">
        <f>=I54-K54</f>
        <v>-0.6775</v>
      </c>
    </row>
    <row r="55" spans="1:12">
      <c r="A55" s="23">
        <v>45721</v>
      </c>
      <c r="B55" s="21">
        <f>=H54</f>
        <v>-13550</v>
      </c>
      <c r="C55" s="25" t="s"/>
      <c r="D55" s="18" t="s"/>
      <c r="E55" s="18" t="s"/>
      <c r="F55" s="20" t="s"/>
      <c r="G55" s="26" t="s"/>
      <c r="H55" s="22">
        <f>=B55+C55+D55-E55-F55-G55</f>
        <v>-13550</v>
      </c>
      <c r="I55" s="22">
        <f>=H55/10000*2.5</f>
        <v>-3.3875</v>
      </c>
      <c r="J55" s="22">
        <f>=J54+I55</f>
        <v>10910.62575</v>
      </c>
      <c r="K55" s="27">
        <f>=H55/10000*2</f>
        <v>-2.71</v>
      </c>
      <c r="L55" s="27">
        <f>=I55-K55</f>
        <v>-0.6775</v>
      </c>
    </row>
    <row r="56" spans="1:12">
      <c r="A56" s="23">
        <v>45722</v>
      </c>
      <c r="B56" s="21">
        <f>=H55</f>
        <v>-13550</v>
      </c>
      <c r="C56" s="25" t="s"/>
      <c r="D56" s="18" t="s"/>
      <c r="E56" s="18" t="s"/>
      <c r="F56" s="20" t="s"/>
      <c r="G56" s="26" t="s"/>
      <c r="H56" s="22">
        <f>=B56+C56+D56-E56-F56-G56</f>
        <v>-13550</v>
      </c>
      <c r="I56" s="22">
        <f>=H56/10000*2.5</f>
        <v>-3.3875</v>
      </c>
      <c r="J56" s="22">
        <f>=J55+I56</f>
        <v>10907.23825</v>
      </c>
      <c r="K56" s="27">
        <f>=H56/10000*2</f>
        <v>-2.71</v>
      </c>
      <c r="L56" s="27">
        <f>=I56-K56</f>
        <v>-0.6775</v>
      </c>
    </row>
    <row r="57" spans="1:12">
      <c r="A57" s="23">
        <v>45723</v>
      </c>
      <c r="B57" s="21">
        <f>=H56</f>
        <v>-13550</v>
      </c>
      <c r="C57" s="25" t="s"/>
      <c r="D57" s="18" t="s"/>
      <c r="E57" s="18" t="s"/>
      <c r="F57" s="20" t="s"/>
      <c r="G57" s="26" t="s"/>
      <c r="H57" s="22">
        <f>=B57+C57+D57-E57-F57-G57</f>
        <v>-13550</v>
      </c>
      <c r="I57" s="22">
        <f>=H57/10000*2.5</f>
        <v>-3.3875</v>
      </c>
      <c r="J57" s="22">
        <f>=J56+I57</f>
        <v>10903.85075</v>
      </c>
      <c r="K57" s="27">
        <f>=H57/10000*2</f>
        <v>-2.71</v>
      </c>
      <c r="L57" s="27">
        <f>=I57-K57</f>
        <v>-0.6775</v>
      </c>
    </row>
    <row r="58" spans="1:12">
      <c r="A58" s="23">
        <v>45724</v>
      </c>
      <c r="B58" s="21">
        <f>=H57</f>
        <v>-13550</v>
      </c>
      <c r="C58" s="25" t="s"/>
      <c r="D58" s="18" t="s"/>
      <c r="E58" s="18" t="s"/>
      <c r="F58" s="20" t="s"/>
      <c r="G58" s="26" t="s"/>
      <c r="H58" s="22">
        <f>=B58+C58+D58-E58-F58-G58</f>
        <v>-13550</v>
      </c>
      <c r="I58" s="22">
        <f>=H58/10000*2.5</f>
        <v>-3.3875</v>
      </c>
      <c r="J58" s="22">
        <f>=J57+I58</f>
        <v>10900.46325</v>
      </c>
      <c r="K58" s="27">
        <f>=H58/10000*2</f>
        <v>-2.71</v>
      </c>
      <c r="L58" s="27">
        <f>=I58-K58</f>
        <v>-0.6775</v>
      </c>
    </row>
    <row r="59" spans="1:12">
      <c r="A59" s="23">
        <v>45725</v>
      </c>
      <c r="B59" s="21">
        <f>=H58</f>
        <v>-13550</v>
      </c>
      <c r="C59" s="25" t="s"/>
      <c r="D59" s="18" t="s"/>
      <c r="E59" s="18" t="s"/>
      <c r="F59" s="20" t="s"/>
      <c r="G59" s="26" t="s"/>
      <c r="H59" s="22">
        <f>=B59+C59+D59-E59-F59-G59</f>
        <v>-13550</v>
      </c>
      <c r="I59" s="22">
        <f>=H59/10000*2.5</f>
        <v>-3.3875</v>
      </c>
      <c r="J59" s="22">
        <f>=J58+I59</f>
        <v>10897.07575</v>
      </c>
      <c r="K59" s="27">
        <f>=H59/10000*2</f>
        <v>-2.71</v>
      </c>
      <c r="L59" s="27">
        <f>=I59-K59</f>
        <v>-0.6775</v>
      </c>
    </row>
    <row r="60" spans="1:12">
      <c r="A60" s="23">
        <v>45726</v>
      </c>
      <c r="B60" s="21">
        <f>=H59</f>
        <v>-13550</v>
      </c>
      <c r="C60" s="25" t="s"/>
      <c r="D60" s="18" t="s"/>
      <c r="E60" s="18" t="s"/>
      <c r="F60" s="20" t="s"/>
      <c r="G60" s="26" t="s"/>
      <c r="H60" s="22">
        <f>=B60+C60+D60-E60-F60-G60</f>
        <v>-13550</v>
      </c>
      <c r="I60" s="22">
        <f>=H60/10000*2.5</f>
        <v>-3.3875</v>
      </c>
      <c r="J60" s="22">
        <f>=J59+I60</f>
        <v>10893.68825</v>
      </c>
      <c r="K60" s="27">
        <f>=H60/10000*2</f>
        <v>-2.71</v>
      </c>
      <c r="L60" s="27">
        <f>=I60-K60</f>
        <v>-0.6775</v>
      </c>
    </row>
    <row r="61" spans="1:12">
      <c r="A61" s="23">
        <v>45727</v>
      </c>
      <c r="B61" s="21">
        <f>=H60</f>
        <v>-13550</v>
      </c>
      <c r="C61" s="25" t="s"/>
      <c r="D61" s="18" t="s"/>
      <c r="E61" s="18" t="s"/>
      <c r="F61" s="20" t="s"/>
      <c r="G61" s="26" t="s"/>
      <c r="H61" s="22">
        <f>=B61+C61+D61-E61-F61-G61</f>
        <v>-13550</v>
      </c>
      <c r="I61" s="22">
        <f>=H61/10000*2.5</f>
        <v>-3.3875</v>
      </c>
      <c r="J61" s="22">
        <f>=J60+I61</f>
        <v>10890.30075</v>
      </c>
      <c r="K61" s="27">
        <f>=H61/10000*2</f>
        <v>-2.71</v>
      </c>
      <c r="L61" s="27">
        <f>=I61-K61</f>
        <v>-0.6775</v>
      </c>
    </row>
    <row r="62" spans="1:12">
      <c r="A62" s="23">
        <v>45728</v>
      </c>
      <c r="B62" s="21">
        <f>=H61</f>
        <v>-13550</v>
      </c>
      <c r="C62" s="25" t="s"/>
      <c r="D62" s="18" t="s"/>
      <c r="E62" s="18" t="s"/>
      <c r="F62" s="20" t="s"/>
      <c r="G62" s="26" t="s"/>
      <c r="H62" s="22">
        <f>=B62+C62+D62-E62-F62-G62</f>
        <v>-13550</v>
      </c>
      <c r="I62" s="22">
        <f>=H62/10000*2.5</f>
        <v>-3.3875</v>
      </c>
      <c r="J62" s="22">
        <f>=J61+I62</f>
        <v>10886.91325</v>
      </c>
      <c r="K62" s="27">
        <f>=H62/10000*2</f>
        <v>-2.71</v>
      </c>
      <c r="L62" s="27">
        <f>=I62-K62</f>
        <v>-0.6775</v>
      </c>
    </row>
    <row r="63" spans="1:12">
      <c r="A63" s="23">
        <v>45729</v>
      </c>
      <c r="B63" s="21">
        <f>=H62</f>
        <v>-13550</v>
      </c>
      <c r="C63" s="25" t="s"/>
      <c r="D63" s="18" t="s"/>
      <c r="E63" s="18" t="s"/>
      <c r="F63" s="20" t="s"/>
      <c r="G63" s="26" t="s"/>
      <c r="H63" s="22">
        <f>=B63+C63+D63-E63-F63-G63</f>
        <v>-13550</v>
      </c>
      <c r="I63" s="22">
        <f>=H63/10000*2.5</f>
        <v>-3.3875</v>
      </c>
      <c r="J63" s="22">
        <f>=J62+I63</f>
        <v>10883.52575</v>
      </c>
      <c r="K63" s="27">
        <f>=H63/10000*2</f>
        <v>-2.71</v>
      </c>
      <c r="L63" s="27">
        <f>=I63-K63</f>
        <v>-0.6775</v>
      </c>
    </row>
    <row r="64" spans="1:12">
      <c r="A64" s="23">
        <v>45730</v>
      </c>
      <c r="B64" s="21">
        <f>=H63</f>
        <v>-13550</v>
      </c>
      <c r="C64" s="25" t="s"/>
      <c r="D64" s="18" t="s"/>
      <c r="E64" s="18" t="s"/>
      <c r="F64" s="20" t="s"/>
      <c r="G64" s="26" t="s"/>
      <c r="H64" s="22">
        <f>=B64+C64+D64-E64-F64-G64</f>
        <v>-13550</v>
      </c>
      <c r="I64" s="22">
        <f>=H64/10000*2.5</f>
        <v>-3.3875</v>
      </c>
      <c r="J64" s="22">
        <f>=J63+I64</f>
        <v>10880.13825</v>
      </c>
      <c r="K64" s="27">
        <f>=H64/10000*2</f>
        <v>-2.71</v>
      </c>
      <c r="L64" s="27">
        <f>=I64-K64</f>
        <v>-0.6775</v>
      </c>
    </row>
    <row r="65" spans="1:12">
      <c r="A65" s="23">
        <v>45731</v>
      </c>
      <c r="B65" s="21">
        <f>=H64</f>
        <v>-13550</v>
      </c>
      <c r="C65" s="25" t="s"/>
      <c r="D65" s="18" t="s"/>
      <c r="E65" s="18" t="s"/>
      <c r="F65" s="20" t="s"/>
      <c r="G65" s="26" t="s"/>
      <c r="H65" s="22">
        <f>=B65+C65+D65-E65-F65-G65</f>
        <v>-13550</v>
      </c>
      <c r="I65" s="22">
        <f>=H65/10000*2.5</f>
        <v>-3.3875</v>
      </c>
      <c r="J65" s="22">
        <f>=J64+I65</f>
        <v>10876.75075</v>
      </c>
      <c r="K65" s="27">
        <f>=H65/10000*2</f>
        <v>-2.71</v>
      </c>
      <c r="L65" s="27">
        <f>=I65-K65</f>
        <v>-0.6775</v>
      </c>
    </row>
    <row r="66" spans="1:12">
      <c r="A66" s="23">
        <v>45732</v>
      </c>
      <c r="B66" s="21">
        <f>=H65</f>
        <v>-13550</v>
      </c>
      <c r="C66" s="25" t="s"/>
      <c r="D66" s="18" t="s"/>
      <c r="E66" s="18" t="s"/>
      <c r="F66" s="20" t="s"/>
      <c r="G66" s="26" t="s"/>
      <c r="H66" s="22">
        <f>=B66+C66+D66-E66-F66-G66</f>
        <v>-13550</v>
      </c>
      <c r="I66" s="22">
        <f>=H66/10000*2.5</f>
        <v>-3.3875</v>
      </c>
      <c r="J66" s="22">
        <f>=J65+I66</f>
        <v>10873.36325</v>
      </c>
      <c r="K66" s="27">
        <f>=H66/10000*2</f>
        <v>-2.71</v>
      </c>
      <c r="L66" s="27">
        <f>=I66-K66</f>
        <v>-0.6775</v>
      </c>
    </row>
    <row r="67" spans="1:12">
      <c r="A67" s="23">
        <v>45733</v>
      </c>
      <c r="B67" s="21">
        <f>=H66</f>
        <v>-13550</v>
      </c>
      <c r="C67" s="25" t="s"/>
      <c r="D67" s="18" t="s"/>
      <c r="E67" s="18" t="s"/>
      <c r="F67" s="20" t="s"/>
      <c r="G67" s="26" t="s"/>
      <c r="H67" s="22">
        <f>=B67+C67+D67-E67-F67-G67</f>
        <v>-13550</v>
      </c>
      <c r="I67" s="22">
        <f>=H67/10000*2.5</f>
        <v>-3.3875</v>
      </c>
      <c r="J67" s="22">
        <f>=J66+I67</f>
        <v>10869.97575</v>
      </c>
      <c r="K67" s="27">
        <f>=H67/10000*2</f>
        <v>-2.71</v>
      </c>
      <c r="L67" s="27">
        <f>=I67-K67</f>
        <v>-0.6775</v>
      </c>
    </row>
    <row r="68" spans="1:12">
      <c r="A68" s="23">
        <v>45734</v>
      </c>
      <c r="B68" s="21">
        <f>=H67</f>
        <v>-13550</v>
      </c>
      <c r="C68" s="25" t="s"/>
      <c r="D68" s="18" t="s"/>
      <c r="E68" s="18" t="s"/>
      <c r="F68" s="20" t="s"/>
      <c r="G68" s="26" t="s"/>
      <c r="H68" s="22">
        <f>=B68+C68+D68-E68-F68-G68</f>
        <v>-13550</v>
      </c>
      <c r="I68" s="22">
        <f>=H68/10000*2.5</f>
        <v>-3.3875</v>
      </c>
      <c r="J68" s="22">
        <f>=J67+I68</f>
        <v>10866.58825</v>
      </c>
      <c r="K68" s="27">
        <f>=H68/10000*2</f>
        <v>-2.71</v>
      </c>
      <c r="L68" s="27">
        <f>=I68-K68</f>
        <v>-0.6775</v>
      </c>
    </row>
    <row r="69" spans="1:12">
      <c r="A69" s="23">
        <v>45735</v>
      </c>
      <c r="B69" s="21">
        <f>=H68</f>
        <v>-13550</v>
      </c>
      <c r="C69" s="25" t="s"/>
      <c r="D69" s="18" t="s"/>
      <c r="E69" s="18" t="s"/>
      <c r="F69" s="20" t="s"/>
      <c r="G69" s="26" t="s"/>
      <c r="H69" s="22">
        <f>=B69+C69+D69-E69-F69-G69</f>
        <v>-13550</v>
      </c>
      <c r="I69" s="22">
        <f>=H69/10000*2.5</f>
        <v>-3.3875</v>
      </c>
      <c r="J69" s="22">
        <f>=J68+I69</f>
        <v>10863.20075</v>
      </c>
      <c r="K69" s="27">
        <f>=H69/10000*2</f>
        <v>-2.71</v>
      </c>
      <c r="L69" s="27">
        <f>=I69-K69</f>
        <v>-0.6775</v>
      </c>
    </row>
    <row r="70" spans="1:12">
      <c r="A70" s="23">
        <v>45736</v>
      </c>
      <c r="B70" s="21">
        <f>=H69</f>
        <v>-13550</v>
      </c>
      <c r="C70" s="25" t="s"/>
      <c r="D70" s="18" t="s"/>
      <c r="E70" s="18" t="s"/>
      <c r="F70" s="20" t="s"/>
      <c r="G70" s="26" t="s"/>
      <c r="H70" s="22">
        <f>=B70+C70+D70-E70-F70-G70</f>
        <v>-13550</v>
      </c>
      <c r="I70" s="22">
        <f>=H70/10000*2.5</f>
        <v>-3.3875</v>
      </c>
      <c r="J70" s="22">
        <f>=J69+I70</f>
        <v>10859.81325</v>
      </c>
      <c r="K70" s="27">
        <f>=H70/10000*2</f>
        <v>-2.71</v>
      </c>
      <c r="L70" s="27">
        <f>=I70-K70</f>
        <v>-0.6775</v>
      </c>
    </row>
    <row r="71" spans="1:12">
      <c r="A71" s="23">
        <v>45737</v>
      </c>
      <c r="B71" s="21">
        <f>=H70</f>
        <v>-13550</v>
      </c>
      <c r="C71" s="25">
        <v>2281066</v>
      </c>
      <c r="D71" s="18" t="s"/>
      <c r="E71" s="18" t="s"/>
      <c r="F71" s="20" t="s"/>
      <c r="G71" s="26" t="s"/>
      <c r="H71" s="22">
        <f>=B71+C71+D71-E71-F71-G71</f>
        <v>2267516</v>
      </c>
      <c r="I71" s="22">
        <f>=H71/10000*2.5</f>
        <v>566.879</v>
      </c>
      <c r="J71" s="22">
        <f>=J70+I71</f>
        <v>11426.69225</v>
      </c>
      <c r="K71" s="27">
        <f>=H71/10000*2</f>
        <v>453.5032</v>
      </c>
      <c r="L71" s="27">
        <f>=I71-K71</f>
        <v>113.3758</v>
      </c>
    </row>
    <row r="72" spans="1:12">
      <c r="A72" s="23">
        <v>45738</v>
      </c>
      <c r="B72" s="21">
        <f>=H71</f>
        <v>2267516</v>
      </c>
      <c r="C72" s="25" t="s"/>
      <c r="D72" s="18" t="s"/>
      <c r="E72" s="18" t="s"/>
      <c r="F72" s="20" t="s"/>
      <c r="G72" s="26" t="s"/>
      <c r="H72" s="22">
        <f>=B72+C72+D72-E72-F72-G72</f>
        <v>2267516</v>
      </c>
      <c r="I72" s="22">
        <f>=H72/10000*2.5</f>
        <v>566.879</v>
      </c>
      <c r="J72" s="22">
        <f>=J71+I72</f>
        <v>11993.57125</v>
      </c>
      <c r="K72" s="27">
        <f>=H72/10000*2</f>
        <v>453.5032</v>
      </c>
      <c r="L72" s="27">
        <f>=I72-K72</f>
        <v>113.3758</v>
      </c>
    </row>
    <row r="73" spans="1:12">
      <c r="A73" s="23">
        <v>45739</v>
      </c>
      <c r="B73" s="21">
        <f>=H72</f>
        <v>2267516</v>
      </c>
      <c r="C73" s="25" t="s"/>
      <c r="D73" s="18" t="s"/>
      <c r="E73" s="18" t="s"/>
      <c r="F73" s="20" t="s"/>
      <c r="G73" s="26" t="s"/>
      <c r="H73" s="22">
        <f>=B73+C73+D73-E73-F73-G73</f>
        <v>2267516</v>
      </c>
      <c r="I73" s="22">
        <f>=H73/10000*2.5</f>
        <v>566.879</v>
      </c>
      <c r="J73" s="22">
        <f>=J72+I73</f>
        <v>12560.45025</v>
      </c>
      <c r="K73" s="27">
        <f>=H73/10000*2</f>
        <v>453.5032</v>
      </c>
      <c r="L73" s="27">
        <f>=I73-K73</f>
        <v>113.3758</v>
      </c>
    </row>
    <row r="74" spans="1:12">
      <c r="A74" s="23">
        <v>45740</v>
      </c>
      <c r="B74" s="21">
        <f>=H73</f>
        <v>2267516</v>
      </c>
      <c r="C74" s="25" t="s"/>
      <c r="D74" s="18" t="s"/>
      <c r="E74" s="18" t="s"/>
      <c r="F74" s="20" t="s"/>
      <c r="G74" s="26" t="s"/>
      <c r="H74" s="22">
        <f>=B74+C74+D74-E74-F74-G74</f>
        <v>2267516</v>
      </c>
      <c r="I74" s="22">
        <f>=H74/10000*2.5</f>
        <v>566.879</v>
      </c>
      <c r="J74" s="22">
        <f>=J73+I74</f>
        <v>13127.32925</v>
      </c>
      <c r="K74" s="27">
        <f>=H74/10000*2</f>
        <v>453.5032</v>
      </c>
      <c r="L74" s="27">
        <f>=I74-K74</f>
        <v>113.3758</v>
      </c>
    </row>
    <row r="75" spans="1:12">
      <c r="A75" s="23">
        <v>45741</v>
      </c>
      <c r="B75" s="21">
        <f>=H74</f>
        <v>2267516</v>
      </c>
      <c r="C75" s="25" t="s"/>
      <c r="D75" s="18" t="s"/>
      <c r="E75" s="18" t="s"/>
      <c r="F75" s="20" t="s"/>
      <c r="G75" s="26" t="s"/>
      <c r="H75" s="22">
        <f>=B75+C75+D75-E75-F75-G75</f>
        <v>2267516</v>
      </c>
      <c r="I75" s="22">
        <f>=H75/10000*2.5</f>
        <v>566.879</v>
      </c>
      <c r="J75" s="22">
        <f>=J74+I75</f>
        <v>13694.20825</v>
      </c>
      <c r="K75" s="27">
        <f>=H75/10000*2</f>
        <v>453.5032</v>
      </c>
      <c r="L75" s="27">
        <f>=I75-K75</f>
        <v>113.3758</v>
      </c>
    </row>
    <row r="76" spans="1:12">
      <c r="A76" s="23">
        <v>45742</v>
      </c>
      <c r="B76" s="21">
        <f>=H75</f>
        <v>2267516</v>
      </c>
      <c r="C76" s="25" t="s"/>
      <c r="D76" s="18" t="s"/>
      <c r="E76" s="18" t="s"/>
      <c r="F76" s="20" t="s"/>
      <c r="G76" s="26" t="s"/>
      <c r="H76" s="22">
        <f>=B76+C76+D76-E76-F76-G76</f>
        <v>2267516</v>
      </c>
      <c r="I76" s="22">
        <f>=H76/10000*2.5</f>
        <v>566.879</v>
      </c>
      <c r="J76" s="22">
        <f>=J75+I76</f>
        <v>14261.08725</v>
      </c>
      <c r="K76" s="27">
        <f>=H76/10000*2</f>
        <v>453.5032</v>
      </c>
      <c r="L76" s="27">
        <f>=I76-K76</f>
        <v>113.3758</v>
      </c>
    </row>
    <row r="77" spans="1:12">
      <c r="A77" s="23">
        <v>45743</v>
      </c>
      <c r="B77" s="21">
        <f>=H76</f>
        <v>2267516</v>
      </c>
      <c r="C77" s="25" t="s"/>
      <c r="D77" s="18" t="s"/>
      <c r="E77" s="18" t="s"/>
      <c r="F77" s="20" t="s"/>
      <c r="G77" s="26" t="s"/>
      <c r="H77" s="22">
        <f>=B77+C77+D77-E77-F77-G77</f>
        <v>2267516</v>
      </c>
      <c r="I77" s="22">
        <f>=H77/10000*2.5</f>
        <v>566.879</v>
      </c>
      <c r="J77" s="22">
        <f>=J76+I77</f>
        <v>14827.96625</v>
      </c>
      <c r="K77" s="27">
        <f>=H77/10000*2</f>
        <v>453.5032</v>
      </c>
      <c r="L77" s="27">
        <f>=I77-K77</f>
        <v>113.3758</v>
      </c>
    </row>
    <row r="78" spans="1:12">
      <c r="A78" s="23">
        <v>45744</v>
      </c>
      <c r="B78" s="21">
        <f>=H77</f>
        <v>2267516</v>
      </c>
      <c r="C78" s="25" t="s"/>
      <c r="D78" s="18" t="s"/>
      <c r="E78" s="18" t="s"/>
      <c r="F78" s="20" t="s"/>
      <c r="G78" s="26" t="s"/>
      <c r="H78" s="22">
        <f>=B78+C78+D78-E78-F78-G78</f>
        <v>2267516</v>
      </c>
      <c r="I78" s="22">
        <f>=H78/10000*2.5</f>
        <v>566.879</v>
      </c>
      <c r="J78" s="22">
        <f>=J77+I78</f>
        <v>15394.84525</v>
      </c>
      <c r="K78" s="27">
        <f>=H78/10000*2</f>
        <v>453.5032</v>
      </c>
      <c r="L78" s="27">
        <f>=I78-K78</f>
        <v>113.3758</v>
      </c>
    </row>
    <row r="79" spans="1:12">
      <c r="A79" s="23">
        <v>45745</v>
      </c>
      <c r="B79" s="21">
        <f>=H78</f>
        <v>2267516</v>
      </c>
      <c r="C79" s="25" t="s"/>
      <c r="D79" s="18" t="s"/>
      <c r="E79" s="18" t="s"/>
      <c r="F79" s="20" t="s"/>
      <c r="G79" s="26" t="s"/>
      <c r="H79" s="22">
        <f>=B79+C79+D79-E79-F79-G79</f>
        <v>2267516</v>
      </c>
      <c r="I79" s="22">
        <f>=H79/10000*2.5</f>
        <v>566.879</v>
      </c>
      <c r="J79" s="22">
        <f>=J78+I79</f>
        <v>15961.72425</v>
      </c>
      <c r="K79" s="27">
        <f>=H79/10000*2</f>
        <v>453.5032</v>
      </c>
      <c r="L79" s="27">
        <f>=I79-K79</f>
        <v>113.3758</v>
      </c>
    </row>
    <row r="80" spans="1:12">
      <c r="A80" s="23">
        <v>45746</v>
      </c>
      <c r="B80" s="21">
        <f>=H79</f>
        <v>2267516</v>
      </c>
      <c r="C80" s="25" t="s"/>
      <c r="D80" s="18" t="s"/>
      <c r="E80" s="18" t="s"/>
      <c r="F80" s="20" t="s"/>
      <c r="G80" s="26" t="s"/>
      <c r="H80" s="22">
        <f>=B80+C80+D80-E80-F80-G80</f>
        <v>2267516</v>
      </c>
      <c r="I80" s="22">
        <f>=H80/10000*2.5</f>
        <v>566.879</v>
      </c>
      <c r="J80" s="22">
        <f>=J79+I80</f>
        <v>16528.60325</v>
      </c>
      <c r="K80" s="27">
        <f>=H80/10000*2</f>
        <v>453.5032</v>
      </c>
      <c r="L80" s="27">
        <f>=I80-K80</f>
        <v>113.3758</v>
      </c>
    </row>
    <row r="81" spans="1:12">
      <c r="A81" s="23">
        <v>45747</v>
      </c>
      <c r="B81" s="21">
        <f>=H80</f>
        <v>2267516</v>
      </c>
      <c r="C81" s="25" t="s"/>
      <c r="D81" s="18" t="s"/>
      <c r="E81" s="18" t="s"/>
      <c r="F81" s="20" t="s"/>
      <c r="G81" s="26" t="s"/>
      <c r="H81" s="22">
        <f>=B81+C81+D81-E81-F81-G81</f>
        <v>2267516</v>
      </c>
      <c r="I81" s="22">
        <f>=H81/10000*2.5</f>
        <v>566.879</v>
      </c>
      <c r="J81" s="22">
        <f>=J80+I81</f>
        <v>17095.48225</v>
      </c>
      <c r="K81" s="27">
        <f>=H81/10000*2</f>
        <v>453.5032</v>
      </c>
      <c r="L81" s="27">
        <f>=I81-K81</f>
        <v>113.3758</v>
      </c>
    </row>
    <row r="82" spans="1:12">
      <c r="A82" s="23">
        <v>45748</v>
      </c>
      <c r="B82" s="21">
        <f>=H81</f>
        <v>2267516</v>
      </c>
      <c r="C82" s="25" t="s"/>
      <c r="D82" s="18" t="s"/>
      <c r="E82" s="18" t="s"/>
      <c r="F82" s="20" t="s"/>
      <c r="G82" s="26" t="s"/>
      <c r="H82" s="22">
        <f>=B82+C82+D82-E82-F82-G82</f>
        <v>2267516</v>
      </c>
      <c r="I82" s="22">
        <f>=H82/10000*2.5</f>
        <v>566.879</v>
      </c>
      <c r="J82" s="22">
        <f>=J81+I82</f>
        <v>17662.36125</v>
      </c>
      <c r="K82" s="27">
        <f>=H82/10000*2</f>
        <v>453.5032</v>
      </c>
      <c r="L82" s="27">
        <f>=I82-K82</f>
        <v>113.3758</v>
      </c>
    </row>
    <row r="83" spans="1:12">
      <c r="A83" s="23">
        <v>45749</v>
      </c>
      <c r="B83" s="21">
        <f>=H82</f>
        <v>2267516</v>
      </c>
      <c r="C83" s="25" t="s"/>
      <c r="D83" s="18" t="s"/>
      <c r="E83" s="18" t="s"/>
      <c r="F83" s="20" t="s"/>
      <c r="G83" s="26" t="s"/>
      <c r="H83" s="22">
        <f>=B83+C83+D83-E83-F83-G83</f>
        <v>2267516</v>
      </c>
      <c r="I83" s="22">
        <f>=H83/10000*2.5</f>
        <v>566.879</v>
      </c>
      <c r="J83" s="22">
        <f>=J82+I83</f>
        <v>18229.24025</v>
      </c>
      <c r="K83" s="27">
        <f>=H83/10000*2</f>
        <v>453.5032</v>
      </c>
      <c r="L83" s="27">
        <f>=I83-K83</f>
        <v>113.3758</v>
      </c>
    </row>
    <row r="84" spans="1:12">
      <c r="A84" s="23">
        <v>45750</v>
      </c>
      <c r="B84" s="21">
        <f>=H83</f>
        <v>2267516</v>
      </c>
      <c r="C84" s="25" t="s"/>
      <c r="D84" s="18" t="s"/>
      <c r="E84" s="18" t="s"/>
      <c r="F84" s="20" t="s"/>
      <c r="G84" s="26" t="s"/>
      <c r="H84" s="22">
        <f>=B84+C84+D84-E84-F84-G84</f>
        <v>2267516</v>
      </c>
      <c r="I84" s="22">
        <f>=H84/10000*2.5</f>
        <v>566.879</v>
      </c>
      <c r="J84" s="22">
        <f>=J83+I84</f>
        <v>18796.11925</v>
      </c>
      <c r="K84" s="27">
        <f>=H84/10000*2</f>
        <v>453.5032</v>
      </c>
      <c r="L84" s="27">
        <f>=I84-K84</f>
        <v>113.3758</v>
      </c>
    </row>
    <row r="85" spans="1:12">
      <c r="A85" s="23">
        <v>45751</v>
      </c>
      <c r="B85" s="21">
        <f>=H84</f>
        <v>2267516</v>
      </c>
      <c r="C85" s="25" t="s"/>
      <c r="D85" s="18" t="s"/>
      <c r="E85" s="18" t="s"/>
      <c r="F85" s="20" t="s"/>
      <c r="G85" s="26" t="s"/>
      <c r="H85" s="22">
        <f>=B85+C85+D85-E85-F85-G85</f>
        <v>2267516</v>
      </c>
      <c r="I85" s="22">
        <f>=H85/10000*2.5</f>
        <v>566.879</v>
      </c>
      <c r="J85" s="22">
        <f>=J84+I85</f>
        <v>19362.99825</v>
      </c>
      <c r="K85" s="27">
        <f>=H85/10000*2</f>
        <v>453.5032</v>
      </c>
      <c r="L85" s="27">
        <f>=I85-K85</f>
        <v>113.3758</v>
      </c>
    </row>
    <row r="86" spans="1:12">
      <c r="A86" s="23">
        <v>45752</v>
      </c>
      <c r="B86" s="21">
        <f>=H85</f>
        <v>2267516</v>
      </c>
      <c r="C86" s="25" t="s"/>
      <c r="D86" s="18" t="s"/>
      <c r="E86" s="18" t="s"/>
      <c r="F86" s="20" t="s"/>
      <c r="G86" s="26" t="s"/>
      <c r="H86" s="22">
        <f>=B86+C86+D86-E86-F86-G86</f>
        <v>2267516</v>
      </c>
      <c r="I86" s="22">
        <f>=H86/10000*2.5</f>
        <v>566.879</v>
      </c>
      <c r="J86" s="22">
        <f>=J85+I86</f>
        <v>19929.87725</v>
      </c>
      <c r="K86" s="27">
        <f>=H86/10000*2</f>
        <v>453.5032</v>
      </c>
      <c r="L86" s="27">
        <f>=I86-K86</f>
        <v>113.3758</v>
      </c>
    </row>
    <row r="87" spans="1:12">
      <c r="A87" s="23">
        <v>45753</v>
      </c>
      <c r="B87" s="21">
        <f>=H86</f>
        <v>2267516</v>
      </c>
      <c r="C87" s="25" t="s"/>
      <c r="D87" s="18" t="s"/>
      <c r="E87" s="18" t="s"/>
      <c r="F87" s="20" t="s"/>
      <c r="G87" s="26" t="s"/>
      <c r="H87" s="22">
        <f>=B87+C87+D87-E87-F87-G87</f>
        <v>2267516</v>
      </c>
      <c r="I87" s="22">
        <f>=H87/10000*2.5</f>
        <v>566.879</v>
      </c>
      <c r="J87" s="22">
        <f>=J86+I87</f>
        <v>20496.75625</v>
      </c>
      <c r="K87" s="27">
        <f>=H87/10000*2</f>
        <v>453.5032</v>
      </c>
      <c r="L87" s="27">
        <f>=I87-K87</f>
        <v>113.3758</v>
      </c>
    </row>
    <row r="88" spans="1:12">
      <c r="A88" s="23">
        <v>45754</v>
      </c>
      <c r="B88" s="21">
        <f>=H87</f>
        <v>2267516</v>
      </c>
      <c r="C88" s="25" t="s"/>
      <c r="D88" s="18" t="s"/>
      <c r="E88" s="18" t="s"/>
      <c r="F88" s="20" t="s"/>
      <c r="G88" s="26" t="s"/>
      <c r="H88" s="22">
        <f>=B88+C88+D88-E88-F88-G88</f>
        <v>2267516</v>
      </c>
      <c r="I88" s="22">
        <f>=H88/10000*2.5</f>
        <v>566.879</v>
      </c>
      <c r="J88" s="22">
        <f>=J87+I88</f>
        <v>21063.63525</v>
      </c>
      <c r="K88" s="27">
        <f>=H88/10000*2</f>
        <v>453.5032</v>
      </c>
      <c r="L88" s="27">
        <f>=I88-K88</f>
        <v>113.3758</v>
      </c>
    </row>
    <row r="89" spans="1:12">
      <c r="A89" s="23">
        <v>45755</v>
      </c>
      <c r="B89" s="21">
        <f>=H88</f>
        <v>2267516</v>
      </c>
      <c r="C89" s="25" t="s"/>
      <c r="D89" s="18" t="s"/>
      <c r="E89" s="18" t="s"/>
      <c r="F89" s="20" t="s"/>
      <c r="G89" s="26" t="s"/>
      <c r="H89" s="22">
        <f>=B89+C89+D89-E89-F89-G89</f>
        <v>2267516</v>
      </c>
      <c r="I89" s="22">
        <f>=H89/10000*2.5</f>
        <v>566.879</v>
      </c>
      <c r="J89" s="22">
        <f>=J88+I89</f>
        <v>21630.51425</v>
      </c>
      <c r="K89" s="27">
        <f>=H89/10000*2</f>
        <v>453.5032</v>
      </c>
      <c r="L89" s="27">
        <f>=I89-K89</f>
        <v>113.3758</v>
      </c>
    </row>
    <row r="90" spans="1:12">
      <c r="A90" s="23">
        <v>45756</v>
      </c>
      <c r="B90" s="21">
        <f>=H89</f>
        <v>2267516</v>
      </c>
      <c r="C90" s="25" t="s"/>
      <c r="D90" s="18" t="s"/>
      <c r="E90" s="18" t="s"/>
      <c r="F90" s="20" t="s"/>
      <c r="G90" s="26" t="s"/>
      <c r="H90" s="22">
        <f>=B90+C90+D90-E90-F90-G90</f>
        <v>2267516</v>
      </c>
      <c r="I90" s="22">
        <f>=H90/10000*2.5</f>
        <v>566.879</v>
      </c>
      <c r="J90" s="22">
        <f>=J89+I90</f>
        <v>22197.39325</v>
      </c>
      <c r="K90" s="27">
        <f>=H90/10000*2</f>
        <v>453.5032</v>
      </c>
      <c r="L90" s="27">
        <f>=I90-K90</f>
        <v>113.3758</v>
      </c>
    </row>
    <row r="91" spans="1:12">
      <c r="A91" s="23">
        <v>45757</v>
      </c>
      <c r="B91" s="21">
        <f>=H90</f>
        <v>2267516</v>
      </c>
      <c r="C91" s="25" t="s"/>
      <c r="D91" s="18" t="s"/>
      <c r="E91" s="18" t="s"/>
      <c r="F91" s="20" t="s"/>
      <c r="G91" s="26" t="s"/>
      <c r="H91" s="22">
        <f>=B91+C91+D91-E91-F91-G91</f>
        <v>2267516</v>
      </c>
      <c r="I91" s="22">
        <f>=H91/10000*2.5</f>
        <v>566.879</v>
      </c>
      <c r="J91" s="22">
        <f>=J90+I91</f>
        <v>22764.27225</v>
      </c>
      <c r="K91" s="27">
        <f>=H91/10000*2</f>
        <v>453.5032</v>
      </c>
      <c r="L91" s="27">
        <f>=I91-K91</f>
        <v>113.3758</v>
      </c>
    </row>
    <row r="92" spans="1:12">
      <c r="A92" s="23">
        <v>45758</v>
      </c>
      <c r="B92" s="21">
        <f>=H91</f>
        <v>2267516</v>
      </c>
      <c r="C92" s="25" t="s"/>
      <c r="D92" s="18" t="s"/>
      <c r="E92" s="18" t="s"/>
      <c r="F92" s="20" t="s"/>
      <c r="G92" s="26" t="s"/>
      <c r="H92" s="22">
        <f>=B92+C92+D92-E92-F92-G92</f>
        <v>2267516</v>
      </c>
      <c r="I92" s="22">
        <f>=H92/10000*2.5</f>
        <v>566.879</v>
      </c>
      <c r="J92" s="22">
        <f>=J91+I92</f>
        <v>23331.15125</v>
      </c>
      <c r="K92" s="27">
        <f>=H92/10000*2</f>
        <v>453.5032</v>
      </c>
      <c r="L92" s="27">
        <f>=I92-K92</f>
        <v>113.3758</v>
      </c>
    </row>
    <row r="93" spans="1:12">
      <c r="A93" s="23">
        <v>45759</v>
      </c>
      <c r="B93" s="21">
        <f>=H92</f>
        <v>2267516</v>
      </c>
      <c r="C93" s="25" t="s"/>
      <c r="D93" s="18" t="s"/>
      <c r="E93" s="18" t="s"/>
      <c r="F93" s="20" t="s"/>
      <c r="G93" s="26" t="s"/>
      <c r="H93" s="22">
        <f>=B93+C93+D93-E93-F93-G93</f>
        <v>2267516</v>
      </c>
      <c r="I93" s="22">
        <f>=H93/10000*2.5</f>
        <v>566.879</v>
      </c>
      <c r="J93" s="22">
        <f>=J92+I93</f>
        <v>23898.03025</v>
      </c>
      <c r="K93" s="27">
        <f>=H93/10000*2</f>
        <v>453.5032</v>
      </c>
      <c r="L93" s="27">
        <f>=I93-K93</f>
        <v>113.3758</v>
      </c>
    </row>
    <row r="94" spans="1:12">
      <c r="A94" s="23">
        <v>45760</v>
      </c>
      <c r="B94" s="21">
        <f>=H93</f>
        <v>2267516</v>
      </c>
      <c r="C94" s="25" t="s"/>
      <c r="D94" s="18" t="s"/>
      <c r="E94" s="18" t="s"/>
      <c r="F94" s="20" t="s"/>
      <c r="G94" s="26" t="s"/>
      <c r="H94" s="22">
        <f>=B94+C94+D94-E94-F94-G94</f>
        <v>2267516</v>
      </c>
      <c r="I94" s="22">
        <f>=H94/10000*2.5</f>
        <v>566.879</v>
      </c>
      <c r="J94" s="22">
        <f>=J93+I94</f>
        <v>24464.90925</v>
      </c>
      <c r="K94" s="27">
        <f>=H94/10000*2</f>
        <v>453.5032</v>
      </c>
      <c r="L94" s="27">
        <f>=I94-K94</f>
        <v>113.3758</v>
      </c>
    </row>
    <row r="95" spans="1:12">
      <c r="A95" s="23">
        <v>45761</v>
      </c>
      <c r="B95" s="21">
        <f>=H94</f>
        <v>2267516</v>
      </c>
      <c r="C95" s="25" t="s"/>
      <c r="D95" s="18" t="s"/>
      <c r="E95" s="18" t="s"/>
      <c r="F95" s="20" t="s"/>
      <c r="G95" s="26">
        <v>611742</v>
      </c>
      <c r="H95" s="22">
        <f>=B95+C95+D95-E95-F95-G95</f>
        <v>1655774</v>
      </c>
      <c r="I95" s="22">
        <f>=H95/10000*2.5</f>
        <v>413.9435</v>
      </c>
      <c r="J95" s="22">
        <f>=J94+I95</f>
        <v>24878.85275</v>
      </c>
      <c r="K95" s="27">
        <f>=H95/10000*2</f>
        <v>331.1548</v>
      </c>
      <c r="L95" s="27">
        <f>=I95-K95</f>
        <v>82.7887</v>
      </c>
    </row>
    <row r="96" spans="1:12">
      <c r="A96" s="23">
        <v>45762</v>
      </c>
      <c r="B96" s="21">
        <f>=H95</f>
        <v>1655774</v>
      </c>
      <c r="C96" s="25" t="s"/>
      <c r="D96" s="18" t="s"/>
      <c r="E96" s="18" t="s"/>
      <c r="F96" s="20" t="s"/>
      <c r="G96" s="26" t="s"/>
      <c r="H96" s="22">
        <f>=B96+C96+D96-E96-F96-G96</f>
        <v>1655774</v>
      </c>
      <c r="I96" s="22">
        <f>=H96/10000*2.5</f>
        <v>413.9435</v>
      </c>
      <c r="J96" s="22">
        <f>=J95+I96</f>
        <v>25292.79625</v>
      </c>
      <c r="K96" s="27">
        <f>=H96/10000*2</f>
        <v>331.1548</v>
      </c>
      <c r="L96" s="27">
        <f>=I96-K96</f>
        <v>82.7887</v>
      </c>
    </row>
    <row r="97" spans="1:12">
      <c r="A97" s="23">
        <v>45763</v>
      </c>
      <c r="B97" s="21">
        <f>=H96</f>
        <v>1655774</v>
      </c>
      <c r="C97" s="25" t="s"/>
      <c r="D97" s="18" t="s"/>
      <c r="E97" s="18" t="s"/>
      <c r="F97" s="20" t="s"/>
      <c r="G97" s="26">
        <v>321148</v>
      </c>
      <c r="H97" s="22">
        <f>=B97+C97+D97-E97-F97-G97</f>
        <v>1334626</v>
      </c>
      <c r="I97" s="22">
        <f>=H97/10000*2.5</f>
        <v>333.6565</v>
      </c>
      <c r="J97" s="22">
        <f>=J96+I97</f>
        <v>25626.45275</v>
      </c>
      <c r="K97" s="27">
        <f>=H97/10000*2</f>
        <v>266.9252</v>
      </c>
      <c r="L97" s="27">
        <f>=I97-K97</f>
        <v>66.7313000000001</v>
      </c>
    </row>
    <row r="98" spans="1:12">
      <c r="A98" s="23">
        <v>45764</v>
      </c>
      <c r="B98" s="21">
        <f>=H97</f>
        <v>1334626</v>
      </c>
      <c r="C98" s="25" t="s"/>
      <c r="D98" s="18" t="s"/>
      <c r="E98" s="18" t="s"/>
      <c r="F98" s="20" t="s"/>
      <c r="G98" s="26" t="s"/>
      <c r="H98" s="22">
        <f>=B98+C98+D98-E98-F98-G98</f>
        <v>1334626</v>
      </c>
      <c r="I98" s="22">
        <f>=H98/10000*2.5</f>
        <v>333.6565</v>
      </c>
      <c r="J98" s="22">
        <f>=J97+I98</f>
        <v>25960.10925</v>
      </c>
      <c r="K98" s="27">
        <f>=H98/10000*2</f>
        <v>266.9252</v>
      </c>
      <c r="L98" s="27">
        <f>=I98-K98</f>
        <v>66.7313000000001</v>
      </c>
    </row>
    <row r="99" spans="1:12">
      <c r="A99" s="23">
        <v>45765</v>
      </c>
      <c r="B99" s="21">
        <f>=H98</f>
        <v>1334626</v>
      </c>
      <c r="C99" s="25" t="s"/>
      <c r="D99" s="18" t="s"/>
      <c r="E99" s="18" t="s"/>
      <c r="F99" s="20" t="s"/>
      <c r="G99" s="26" t="s"/>
      <c r="H99" s="22">
        <f>=B99+C99+D99-E99-F99-G99</f>
        <v>1334626</v>
      </c>
      <c r="I99" s="22">
        <f>=H99/10000*2.5</f>
        <v>333.6565</v>
      </c>
      <c r="J99" s="22">
        <f>=J98+I99</f>
        <v>26293.76575</v>
      </c>
      <c r="K99" s="27">
        <f>=H99/10000*2</f>
        <v>266.9252</v>
      </c>
      <c r="L99" s="27">
        <f>=I99-K99</f>
        <v>66.7313000000001</v>
      </c>
    </row>
    <row r="100" spans="1:12">
      <c r="A100" s="23">
        <v>45766</v>
      </c>
      <c r="B100" s="21">
        <f>=H99</f>
        <v>1334626</v>
      </c>
      <c r="C100" s="25" t="s"/>
      <c r="D100" s="18" t="s"/>
      <c r="E100" s="18" t="s"/>
      <c r="F100" s="20" t="s"/>
      <c r="G100" s="26" t="s"/>
      <c r="H100" s="22">
        <f>=B100+C100+D100-E100-F100-G100</f>
        <v>1334626</v>
      </c>
      <c r="I100" s="22">
        <f>=H100/10000*2.5</f>
        <v>333.6565</v>
      </c>
      <c r="J100" s="22">
        <f>=J99+I100</f>
        <v>26627.42225</v>
      </c>
      <c r="K100" s="27">
        <f>=H100/10000*2</f>
        <v>266.9252</v>
      </c>
      <c r="L100" s="27">
        <f>=I100-K100</f>
        <v>66.7313000000001</v>
      </c>
    </row>
    <row r="101" spans="1:12">
      <c r="A101" s="23">
        <v>45767</v>
      </c>
      <c r="B101" s="21">
        <f>=H100</f>
        <v>1334626</v>
      </c>
      <c r="C101" s="25" t="s"/>
      <c r="D101" s="18" t="s"/>
      <c r="E101" s="18" t="s"/>
      <c r="F101" s="20" t="s"/>
      <c r="G101" s="26" t="s"/>
      <c r="H101" s="22">
        <f>=B101+C101+D101-E101-F101-G101</f>
        <v>1334626</v>
      </c>
      <c r="I101" s="22">
        <f>=H101/10000*2.5</f>
        <v>333.6565</v>
      </c>
      <c r="J101" s="22">
        <f>=J100+I101</f>
        <v>26961.07875</v>
      </c>
      <c r="K101" s="27">
        <f>=H101/10000*2</f>
        <v>266.9252</v>
      </c>
      <c r="L101" s="27">
        <f>=I101-K101</f>
        <v>66.7313000000001</v>
      </c>
    </row>
    <row r="102" spans="1:12">
      <c r="A102" s="23">
        <v>45768</v>
      </c>
      <c r="B102" s="21">
        <f>=H101</f>
        <v>1334626</v>
      </c>
      <c r="C102" s="25" t="s"/>
      <c r="D102" s="18" t="s"/>
      <c r="E102" s="18" t="s"/>
      <c r="F102" s="20" t="s"/>
      <c r="G102" s="26" t="s"/>
      <c r="H102" s="22">
        <f>=B102+C102+D102-E102-F102-G102</f>
        <v>1334626</v>
      </c>
      <c r="I102" s="22">
        <f>=H102/10000*2.5</f>
        <v>333.6565</v>
      </c>
      <c r="J102" s="22">
        <f>=J101+I102</f>
        <v>27294.73525</v>
      </c>
      <c r="K102" s="27">
        <f>=H102/10000*2</f>
        <v>266.9252</v>
      </c>
      <c r="L102" s="27">
        <f>=I102-K102</f>
        <v>66.7313000000001</v>
      </c>
    </row>
    <row r="103" spans="1:12">
      <c r="A103" s="23">
        <v>45769</v>
      </c>
      <c r="B103" s="21">
        <f>=H102</f>
        <v>1334626</v>
      </c>
      <c r="C103" s="25" t="s"/>
      <c r="D103" s="18" t="s"/>
      <c r="E103" s="18" t="s"/>
      <c r="F103" s="20" t="s"/>
      <c r="G103" s="26" t="s"/>
      <c r="H103" s="22">
        <f>=B103+C103+D103-E103-F103-G103</f>
        <v>1334626</v>
      </c>
      <c r="I103" s="22">
        <f>=H103/10000*2.5</f>
        <v>333.6565</v>
      </c>
      <c r="J103" s="22">
        <f>=J102+I103</f>
        <v>27628.39175</v>
      </c>
      <c r="K103" s="27">
        <f>=H103/10000*2</f>
        <v>266.9252</v>
      </c>
      <c r="L103" s="27">
        <f>=I103-K103</f>
        <v>66.7313000000001</v>
      </c>
    </row>
    <row r="104" spans="1:12">
      <c r="A104" s="23">
        <v>45770</v>
      </c>
      <c r="B104" s="21">
        <f>=H103</f>
        <v>1334626</v>
      </c>
      <c r="C104" s="25" t="s"/>
      <c r="D104" s="18" t="s"/>
      <c r="E104" s="18" t="s"/>
      <c r="F104" s="20" t="s"/>
      <c r="G104" s="26" t="s"/>
      <c r="H104" s="22">
        <f>=B104+C104+D104-E104-F104-G104</f>
        <v>1334626</v>
      </c>
      <c r="I104" s="22">
        <f>=H104/10000*2.5</f>
        <v>333.6565</v>
      </c>
      <c r="J104" s="22">
        <f>=J103+I104</f>
        <v>27962.04825</v>
      </c>
      <c r="K104" s="27">
        <f>=H104/10000*2</f>
        <v>266.9252</v>
      </c>
      <c r="L104" s="27">
        <f>=I104-K104</f>
        <v>66.7313000000001</v>
      </c>
    </row>
    <row r="105" spans="1:12">
      <c r="A105" s="23">
        <v>45771</v>
      </c>
      <c r="B105" s="21">
        <f>=H104</f>
        <v>1334626</v>
      </c>
      <c r="C105" s="25" t="s"/>
      <c r="D105" s="18" t="s"/>
      <c r="E105" s="18" t="s"/>
      <c r="F105" s="20" t="s"/>
      <c r="G105" s="26" t="s"/>
      <c r="H105" s="22">
        <f>=B105+C105+D105-E105-F105-G105</f>
        <v>1334626</v>
      </c>
      <c r="I105" s="22">
        <f>=H105/10000*2.5</f>
        <v>333.6565</v>
      </c>
      <c r="J105" s="22">
        <f>=J104+I105</f>
        <v>28295.70475</v>
      </c>
      <c r="K105" s="27">
        <f>=H105/10000*2</f>
        <v>266.9252</v>
      </c>
      <c r="L105" s="27">
        <f>=I105-K105</f>
        <v>66.7313000000001</v>
      </c>
    </row>
    <row r="106" spans="1:12">
      <c r="A106" s="23">
        <v>45772</v>
      </c>
      <c r="B106" s="21">
        <f>=H105</f>
        <v>1334626</v>
      </c>
      <c r="C106" s="25" t="s"/>
      <c r="D106" s="18" t="s"/>
      <c r="E106" s="18" t="s"/>
      <c r="F106" s="20" t="s"/>
      <c r="G106" s="26" t="s"/>
      <c r="H106" s="22">
        <f>=B106+C106+D106-E106-F106-G106</f>
        <v>1334626</v>
      </c>
      <c r="I106" s="22">
        <f>=H106/10000*2.5</f>
        <v>333.6565</v>
      </c>
      <c r="J106" s="22">
        <f>=J105+I106</f>
        <v>28629.36125</v>
      </c>
      <c r="K106" s="27">
        <f>=H106/10000*2</f>
        <v>266.9252</v>
      </c>
      <c r="L106" s="27">
        <f>=I106-K106</f>
        <v>66.7313000000001</v>
      </c>
    </row>
    <row r="107" spans="1:12">
      <c r="A107" s="23">
        <v>45773</v>
      </c>
      <c r="B107" s="21">
        <f>=H106</f>
        <v>1334626</v>
      </c>
      <c r="C107" s="25" t="s"/>
      <c r="D107" s="18" t="s"/>
      <c r="E107" s="18" t="s"/>
      <c r="F107" s="20" t="s"/>
      <c r="G107" s="26" t="s"/>
      <c r="H107" s="22">
        <f>=B107+C107+D107-E107-F107-G107</f>
        <v>1334626</v>
      </c>
      <c r="I107" s="22">
        <f>=H107/10000*2.5</f>
        <v>333.6565</v>
      </c>
      <c r="J107" s="22">
        <f>=J106+I107</f>
        <v>28963.01775</v>
      </c>
      <c r="K107" s="27">
        <f>=H107/10000*2</f>
        <v>266.9252</v>
      </c>
      <c r="L107" s="27">
        <f>=I107-K107</f>
        <v>66.7313000000001</v>
      </c>
    </row>
    <row r="108" spans="1:12">
      <c r="A108" s="23">
        <v>45774</v>
      </c>
      <c r="B108" s="21">
        <f>=H107</f>
        <v>1334626</v>
      </c>
      <c r="C108" s="25" t="s"/>
      <c r="D108" s="18" t="s"/>
      <c r="E108" s="18" t="s"/>
      <c r="F108" s="20" t="s"/>
      <c r="G108" s="26" t="s"/>
      <c r="H108" s="22">
        <f>=B108+C108+D108-E108-F108-G108</f>
        <v>1334626</v>
      </c>
      <c r="I108" s="22">
        <f>=H108/10000*2.5</f>
        <v>333.6565</v>
      </c>
      <c r="J108" s="22">
        <f>=J107+I108</f>
        <v>29296.67425</v>
      </c>
      <c r="K108" s="27">
        <f>=H108/10000*2</f>
        <v>266.9252</v>
      </c>
      <c r="L108" s="27">
        <f>=I108-K108</f>
        <v>66.7313000000001</v>
      </c>
    </row>
    <row r="109" spans="1:12">
      <c r="A109" s="23">
        <v>45775</v>
      </c>
      <c r="B109" s="21">
        <f>=H108</f>
        <v>1334626</v>
      </c>
      <c r="C109" s="25" t="s"/>
      <c r="D109" s="18" t="s"/>
      <c r="E109" s="18" t="s"/>
      <c r="F109" s="20" t="s"/>
      <c r="G109" s="26" t="s"/>
      <c r="H109" s="22">
        <f>=B109+C109+D109-E109-F109-G109</f>
        <v>1334626</v>
      </c>
      <c r="I109" s="22">
        <f>=H109/10000*2.5</f>
        <v>333.6565</v>
      </c>
      <c r="J109" s="22">
        <f>=J108+I109</f>
        <v>29630.33075</v>
      </c>
      <c r="K109" s="27">
        <f>=H109/10000*2</f>
        <v>266.9252</v>
      </c>
      <c r="L109" s="27">
        <f>=I109-K109</f>
        <v>66.7313000000001</v>
      </c>
    </row>
    <row r="110" spans="1:12">
      <c r="A110" s="23">
        <v>45776</v>
      </c>
      <c r="B110" s="21">
        <f>=H109</f>
        <v>1334626</v>
      </c>
      <c r="C110" s="25" t="s"/>
      <c r="D110" s="18" t="s"/>
      <c r="E110" s="18" t="s"/>
      <c r="F110" s="20" t="s"/>
      <c r="G110" s="26">
        <v>218469</v>
      </c>
      <c r="H110" s="22">
        <f>=B110+C110+D110-E110-F110-G110</f>
        <v>1116157</v>
      </c>
      <c r="I110" s="22">
        <f>=H110/10000*2.5</f>
        <v>279.03925</v>
      </c>
      <c r="J110" s="22">
        <f>=J109+I110</f>
        <v>29909.37</v>
      </c>
      <c r="K110" s="27">
        <f>=H110/10000*2</f>
        <v>223.2314</v>
      </c>
      <c r="L110" s="27">
        <f>=I110-K110</f>
        <v>55.80785</v>
      </c>
    </row>
    <row r="111" spans="1:12">
      <c r="A111" s="23">
        <v>45777</v>
      </c>
      <c r="B111" s="21">
        <f>=H110</f>
        <v>1116157</v>
      </c>
      <c r="C111" s="25" t="s"/>
      <c r="D111" s="18" t="s"/>
      <c r="E111" s="18" t="s"/>
      <c r="F111" s="20" t="s"/>
      <c r="G111" s="26" t="s"/>
      <c r="H111" s="22">
        <f>=B111+C111+D111-E111-F111-G111</f>
        <v>1116157</v>
      </c>
      <c r="I111" s="22">
        <f>=H111/10000*2.5</f>
        <v>279.03925</v>
      </c>
      <c r="J111" s="22">
        <f>=J110+I111</f>
        <v>30188.40925</v>
      </c>
      <c r="K111" s="27">
        <f>=H111/10000*2</f>
        <v>223.2314</v>
      </c>
      <c r="L111" s="27">
        <f>=I111-K111</f>
        <v>55.80785</v>
      </c>
    </row>
    <row r="112" spans="1:12">
      <c r="A112" s="23">
        <v>45778</v>
      </c>
      <c r="B112" s="21">
        <f>=H111</f>
        <v>1116157</v>
      </c>
      <c r="C112" s="25" t="s"/>
      <c r="D112" s="18" t="s"/>
      <c r="E112" s="18" t="s"/>
      <c r="F112" s="20" t="s"/>
      <c r="G112" s="26" t="s"/>
      <c r="H112" s="22">
        <f>=B112+C112+D112-E112-F112-G112</f>
        <v>1116157</v>
      </c>
      <c r="I112" s="22">
        <f>=H112/10000*2.5</f>
        <v>279.03925</v>
      </c>
      <c r="J112" s="22">
        <f>=J111+I112</f>
        <v>30467.4485</v>
      </c>
      <c r="K112" s="27">
        <f>=H112/10000*2</f>
        <v>223.2314</v>
      </c>
      <c r="L112" s="27">
        <f>=I112-K112</f>
        <v>55.80785</v>
      </c>
    </row>
    <row r="113" spans="1:12">
      <c r="A113" s="23">
        <v>45779</v>
      </c>
      <c r="B113" s="21">
        <f>=H112</f>
        <v>1116157</v>
      </c>
      <c r="C113" s="25" t="s"/>
      <c r="D113" s="18" t="s"/>
      <c r="E113" s="18" t="s"/>
      <c r="F113" s="20" t="s"/>
      <c r="G113" s="26" t="s"/>
      <c r="H113" s="22">
        <f>=B113+C113+D113-E113-F113-G113</f>
        <v>1116157</v>
      </c>
      <c r="I113" s="22">
        <f>=H113/10000*2.5</f>
        <v>279.03925</v>
      </c>
      <c r="J113" s="22">
        <f>=J112+I113</f>
        <v>30746.48775</v>
      </c>
      <c r="K113" s="27">
        <f>=H113/10000*2</f>
        <v>223.2314</v>
      </c>
      <c r="L113" s="27">
        <f>=I113-K113</f>
        <v>55.80785</v>
      </c>
    </row>
    <row r="114" spans="1:12">
      <c r="A114" s="23">
        <v>45780</v>
      </c>
      <c r="B114" s="21">
        <f>=H113</f>
        <v>1116157</v>
      </c>
      <c r="C114" s="25" t="s"/>
      <c r="D114" s="18" t="s"/>
      <c r="E114" s="18" t="s"/>
      <c r="F114" s="20" t="s"/>
      <c r="G114" s="26" t="s"/>
      <c r="H114" s="22">
        <f>=B114+C114+D114-E114-F114-G114</f>
        <v>1116157</v>
      </c>
      <c r="I114" s="22">
        <f>=H114/10000*2.5</f>
        <v>279.03925</v>
      </c>
      <c r="J114" s="22">
        <f>=J113+I114</f>
        <v>31025.527</v>
      </c>
      <c r="K114" s="27">
        <f>=H114/10000*2</f>
        <v>223.2314</v>
      </c>
      <c r="L114" s="27">
        <f>=I114-K114</f>
        <v>55.80785</v>
      </c>
    </row>
    <row r="115" spans="1:12">
      <c r="A115" s="23">
        <v>45781</v>
      </c>
      <c r="B115" s="21">
        <f>=H114</f>
        <v>1116157</v>
      </c>
      <c r="C115" s="25" t="s"/>
      <c r="D115" s="18" t="s"/>
      <c r="E115" s="18" t="s"/>
      <c r="F115" s="20" t="s"/>
      <c r="G115" s="26" t="s"/>
      <c r="H115" s="22">
        <f>=B115+C115+D115-E115-F115-G115</f>
        <v>1116157</v>
      </c>
      <c r="I115" s="22">
        <f>=H115/10000*2.5</f>
        <v>279.03925</v>
      </c>
      <c r="J115" s="22">
        <f>=J114+I115</f>
        <v>31304.56625</v>
      </c>
      <c r="K115" s="27">
        <f>=H115/10000*2</f>
        <v>223.2314</v>
      </c>
      <c r="L115" s="27">
        <f>=I115-K115</f>
        <v>55.80785</v>
      </c>
    </row>
    <row r="116" spans="1:12">
      <c r="A116" s="23">
        <v>45782</v>
      </c>
      <c r="B116" s="21">
        <f>=H115</f>
        <v>1116157</v>
      </c>
      <c r="C116" s="25" t="s"/>
      <c r="D116" s="18" t="s"/>
      <c r="E116" s="18" t="s"/>
      <c r="F116" s="20" t="s"/>
      <c r="G116" s="26" t="s"/>
      <c r="H116" s="22">
        <f>=B116+C116+D116-E116-F116-G116</f>
        <v>1116157</v>
      </c>
      <c r="I116" s="22">
        <f>=H116/10000*2.5</f>
        <v>279.03925</v>
      </c>
      <c r="J116" s="22">
        <f>=J115+I116</f>
        <v>31583.6055</v>
      </c>
      <c r="K116" s="27">
        <f>=H116/10000*2</f>
        <v>223.2314</v>
      </c>
      <c r="L116" s="27">
        <f>=I116-K116</f>
        <v>55.80785</v>
      </c>
    </row>
    <row r="117" spans="1:12">
      <c r="A117" s="23">
        <v>45783</v>
      </c>
      <c r="B117" s="21">
        <f>=H116</f>
        <v>1116157</v>
      </c>
      <c r="C117" s="25" t="s"/>
      <c r="D117" s="18" t="s"/>
      <c r="E117" s="18" t="s"/>
      <c r="F117" s="20" t="s"/>
      <c r="G117" s="26" t="s"/>
      <c r="H117" s="22">
        <f>=B117+C117+D117-E117-F117-G117</f>
        <v>1116157</v>
      </c>
      <c r="I117" s="22">
        <f>=H117/10000*2.5</f>
        <v>279.03925</v>
      </c>
      <c r="J117" s="22">
        <f>=J116+I117</f>
        <v>31862.64475</v>
      </c>
      <c r="K117" s="27">
        <f>=H117/10000*2</f>
        <v>223.2314</v>
      </c>
      <c r="L117" s="27">
        <f>=I117-K117</f>
        <v>55.80785</v>
      </c>
    </row>
    <row r="118" spans="1:12">
      <c r="A118" s="23">
        <v>45784</v>
      </c>
      <c r="B118" s="21">
        <f>=H117</f>
        <v>1116157</v>
      </c>
      <c r="C118" s="25" t="s"/>
      <c r="D118" s="18" t="s"/>
      <c r="E118" s="18" t="s"/>
      <c r="F118" s="20" t="s"/>
      <c r="G118" s="26" t="s"/>
      <c r="H118" s="22">
        <f>=B118+C118+D118-E118-F118-G118</f>
        <v>1116157</v>
      </c>
      <c r="I118" s="22">
        <f>=H118/10000*2.5</f>
        <v>279.03925</v>
      </c>
      <c r="J118" s="22">
        <f>=J117+I118</f>
        <v>32141.684</v>
      </c>
      <c r="K118" s="27">
        <f>=H118/10000*2</f>
        <v>223.2314</v>
      </c>
      <c r="L118" s="27">
        <f>=I118-K118</f>
        <v>55.80785</v>
      </c>
    </row>
    <row r="119" spans="1:12">
      <c r="A119" s="23">
        <v>45785</v>
      </c>
      <c r="B119" s="21">
        <f>=H118</f>
        <v>1116157</v>
      </c>
      <c r="C119" s="25" t="s"/>
      <c r="D119" s="18" t="s"/>
      <c r="E119" s="18" t="s"/>
      <c r="F119" s="20" t="s"/>
      <c r="G119" s="26" t="s"/>
      <c r="H119" s="22">
        <f>=B119+C119+D119-E119-F119-G119</f>
        <v>1116157</v>
      </c>
      <c r="I119" s="22">
        <f>=H119/10000*2.5</f>
        <v>279.03925</v>
      </c>
      <c r="J119" s="22">
        <f>=J118+I119</f>
        <v>32420.72325</v>
      </c>
      <c r="K119" s="27">
        <f>=H119/10000*2</f>
        <v>223.2314</v>
      </c>
      <c r="L119" s="27">
        <f>=I119-K119</f>
        <v>55.80785</v>
      </c>
    </row>
    <row r="120" spans="1:12">
      <c r="A120" s="23">
        <v>45786</v>
      </c>
      <c r="B120" s="21">
        <f>=H119</f>
        <v>1116157</v>
      </c>
      <c r="C120" s="25" t="s"/>
      <c r="D120" s="18" t="s"/>
      <c r="E120" s="18" t="s"/>
      <c r="F120" s="20" t="s"/>
      <c r="G120" s="26" t="s"/>
      <c r="H120" s="22">
        <f>=B120+C120+D120-E120-F120-G120</f>
        <v>1116157</v>
      </c>
      <c r="I120" s="22">
        <f>=H120/10000*2.5</f>
        <v>279.03925</v>
      </c>
      <c r="J120" s="22">
        <f>=J119+I120</f>
        <v>32699.7625</v>
      </c>
      <c r="K120" s="27">
        <f>=H120/10000*2</f>
        <v>223.2314</v>
      </c>
      <c r="L120" s="27">
        <f>=I120-K120</f>
        <v>55.80785</v>
      </c>
    </row>
    <row r="121" spans="1:12">
      <c r="A121" s="23">
        <v>45787</v>
      </c>
      <c r="B121" s="21">
        <f>=H120</f>
        <v>1116157</v>
      </c>
      <c r="C121" s="25" t="s"/>
      <c r="D121" s="18" t="s"/>
      <c r="E121" s="18" t="s"/>
      <c r="F121" s="20" t="s"/>
      <c r="G121" s="26" t="s"/>
      <c r="H121" s="22">
        <f>=B121+C121+D121-E121-F121-G121</f>
        <v>1116157</v>
      </c>
      <c r="I121" s="22">
        <f>=H121/10000*2.5</f>
        <v>279.03925</v>
      </c>
      <c r="J121" s="22">
        <f>=J120+I121</f>
        <v>32978.80175</v>
      </c>
      <c r="K121" s="27">
        <f>=H121/10000*2</f>
        <v>223.2314</v>
      </c>
      <c r="L121" s="27">
        <f>=I121-K121</f>
        <v>55.80785</v>
      </c>
    </row>
    <row r="122" spans="1:12">
      <c r="A122" s="23">
        <v>45788</v>
      </c>
      <c r="B122" s="21">
        <f>=H121</f>
        <v>1116157</v>
      </c>
      <c r="C122" s="25" t="s"/>
      <c r="D122" s="18" t="s"/>
      <c r="E122" s="18" t="s"/>
      <c r="F122" s="20" t="s"/>
      <c r="G122" s="26" t="s"/>
      <c r="H122" s="22">
        <f>=B122+C122+D122-E122-F122-G122</f>
        <v>1116157</v>
      </c>
      <c r="I122" s="22">
        <f>=H122/10000*2.5</f>
        <v>279.03925</v>
      </c>
      <c r="J122" s="22">
        <f>=J121+I122</f>
        <v>33257.841</v>
      </c>
      <c r="K122" s="27">
        <f>=H122/10000*2</f>
        <v>223.2314</v>
      </c>
      <c r="L122" s="27">
        <f>=I122-K122</f>
        <v>55.80785</v>
      </c>
    </row>
    <row r="123" spans="1:12">
      <c r="A123" s="23">
        <v>45789</v>
      </c>
      <c r="B123" s="21">
        <f>=H122</f>
        <v>1116157</v>
      </c>
      <c r="C123" s="25" t="s"/>
      <c r="D123" s="18" t="s"/>
      <c r="E123" s="18" t="s"/>
      <c r="F123" s="20" t="s"/>
      <c r="G123" s="26" t="s"/>
      <c r="H123" s="22">
        <f>=B123+C123+D123-E123-F123-G123</f>
        <v>1116157</v>
      </c>
      <c r="I123" s="22">
        <f>=H123/10000*2.5</f>
        <v>279.03925</v>
      </c>
      <c r="J123" s="22">
        <f>=J122+I123</f>
        <v>33536.88025</v>
      </c>
      <c r="K123" s="27">
        <f>=H123/10000*2</f>
        <v>223.2314</v>
      </c>
      <c r="L123" s="27">
        <f>=I123-K123</f>
        <v>55.80785</v>
      </c>
    </row>
    <row r="124" spans="1:12">
      <c r="A124" s="23">
        <v>45790</v>
      </c>
      <c r="B124" s="21">
        <f>=H123</f>
        <v>1116157</v>
      </c>
      <c r="C124" s="25" t="s"/>
      <c r="D124" s="18" t="s"/>
      <c r="E124" s="18" t="s"/>
      <c r="F124" s="20" t="s"/>
      <c r="G124" s="26" t="s"/>
      <c r="H124" s="22">
        <f>=B124+C124+D124-E124-F124-G124</f>
        <v>1116157</v>
      </c>
      <c r="I124" s="22">
        <f>=H124/10000*2.5</f>
        <v>279.03925</v>
      </c>
      <c r="J124" s="22">
        <f>=J123+I124</f>
        <v>33815.9195</v>
      </c>
      <c r="K124" s="27">
        <f>=H124/10000*2</f>
        <v>223.2314</v>
      </c>
      <c r="L124" s="27">
        <f>=I124-K124</f>
        <v>55.80785</v>
      </c>
    </row>
    <row r="125" spans="1:12">
      <c r="A125" s="23">
        <v>45791</v>
      </c>
      <c r="B125" s="21">
        <f>=H124</f>
        <v>1116157</v>
      </c>
      <c r="C125" s="25" t="s"/>
      <c r="D125" s="18" t="s"/>
      <c r="E125" s="18" t="s"/>
      <c r="F125" s="20" t="s"/>
      <c r="G125" s="26" t="s"/>
      <c r="H125" s="22">
        <f>=B125+C125+D125-E125-F125-G125</f>
        <v>1116157</v>
      </c>
      <c r="I125" s="22">
        <f>=H125/10000*2.5</f>
        <v>279.03925</v>
      </c>
      <c r="J125" s="22">
        <f>=J124+I125</f>
        <v>34094.95875</v>
      </c>
      <c r="K125" s="27">
        <f>=H125/10000*2</f>
        <v>223.2314</v>
      </c>
      <c r="L125" s="27">
        <f>=I125-K125</f>
        <v>55.80785</v>
      </c>
    </row>
    <row r="126" spans="1:12">
      <c r="A126" s="23">
        <v>45792</v>
      </c>
      <c r="B126" s="21">
        <f>=H125</f>
        <v>1116157</v>
      </c>
      <c r="C126" s="25" t="s"/>
      <c r="D126" s="18" t="s"/>
      <c r="E126" s="18" t="s"/>
      <c r="F126" s="20" t="s"/>
      <c r="G126" s="26" t="s"/>
      <c r="H126" s="22">
        <f>=B126+C126+D126-E126-F126-G126</f>
        <v>1116157</v>
      </c>
      <c r="I126" s="22">
        <f>=H126/10000*2.5</f>
        <v>279.03925</v>
      </c>
      <c r="J126" s="22">
        <f>=J125+I126</f>
        <v>34373.998</v>
      </c>
      <c r="K126" s="27">
        <f>=H126/10000*2</f>
        <v>223.2314</v>
      </c>
      <c r="L126" s="27">
        <f>=I126-K126</f>
        <v>55.80785</v>
      </c>
    </row>
    <row r="127" spans="1:12">
      <c r="A127" s="23">
        <v>45793</v>
      </c>
      <c r="B127" s="21">
        <f>=H126</f>
        <v>1116157</v>
      </c>
      <c r="C127" s="25" t="s"/>
      <c r="D127" s="18" t="s"/>
      <c r="E127" s="18" t="s"/>
      <c r="F127" s="20" t="s"/>
      <c r="G127" s="26" t="s"/>
      <c r="H127" s="22">
        <f>=B127+C127+D127-E127-F127-G127</f>
        <v>1116157</v>
      </c>
      <c r="I127" s="22">
        <f>=H127/10000*2.5</f>
        <v>279.03925</v>
      </c>
      <c r="J127" s="22">
        <f>=J126+I127</f>
        <v>34653.03725</v>
      </c>
      <c r="K127" s="27">
        <f>=H127/10000*2</f>
        <v>223.2314</v>
      </c>
      <c r="L127" s="27">
        <f>=I127-K127</f>
        <v>55.80785</v>
      </c>
    </row>
    <row r="128" spans="1:12">
      <c r="A128" s="23">
        <v>45794</v>
      </c>
      <c r="B128" s="21">
        <f>=H127</f>
        <v>1116157</v>
      </c>
      <c r="C128" s="25" t="s"/>
      <c r="D128" s="18" t="s"/>
      <c r="E128" s="18" t="s"/>
      <c r="F128" s="20" t="s"/>
      <c r="G128" s="26" t="s"/>
      <c r="H128" s="22">
        <f>=B128+C128+D128-E128-F128-G128</f>
        <v>1116157</v>
      </c>
      <c r="I128" s="22">
        <f>=H128/10000*2.5</f>
        <v>279.03925</v>
      </c>
      <c r="J128" s="22">
        <f>=J127+I128</f>
        <v>34932.0765</v>
      </c>
      <c r="K128" s="27">
        <f>=H128/10000*2</f>
        <v>223.2314</v>
      </c>
      <c r="L128" s="27">
        <f>=I128-K128</f>
        <v>55.80785</v>
      </c>
    </row>
    <row r="129" spans="1:12">
      <c r="A129" s="23">
        <v>45795</v>
      </c>
      <c r="B129" s="21">
        <f>=H128</f>
        <v>1116157</v>
      </c>
      <c r="C129" s="25" t="s"/>
      <c r="D129" s="18" t="s"/>
      <c r="E129" s="18" t="s"/>
      <c r="F129" s="20" t="s"/>
      <c r="G129" s="26" t="s"/>
      <c r="H129" s="22">
        <f>=B129+C129+D129-E129-F129-G129</f>
        <v>1116157</v>
      </c>
      <c r="I129" s="22">
        <f>=H129/10000*2.5</f>
        <v>279.03925</v>
      </c>
      <c r="J129" s="22">
        <f>=J128+I129</f>
        <v>35211.11575</v>
      </c>
      <c r="K129" s="27">
        <f>=H129/10000*2</f>
        <v>223.2314</v>
      </c>
      <c r="L129" s="27">
        <f>=I129-K129</f>
        <v>55.80785</v>
      </c>
    </row>
    <row r="130" spans="1:12">
      <c r="A130" s="23">
        <v>45796</v>
      </c>
      <c r="B130" s="21">
        <f>=H129</f>
        <v>1116157</v>
      </c>
      <c r="C130" s="25" t="s"/>
      <c r="D130" s="18" t="s"/>
      <c r="E130" s="18" t="s"/>
      <c r="F130" s="20" t="s"/>
      <c r="G130" s="26" t="s"/>
      <c r="H130" s="22">
        <f>=B130+C130+D130-E130-F130-G130</f>
        <v>1116157</v>
      </c>
      <c r="I130" s="22">
        <f>=H130/10000*2.5</f>
        <v>279.03925</v>
      </c>
      <c r="J130" s="22">
        <f>=J129+I130</f>
        <v>35490.155</v>
      </c>
      <c r="K130" s="27">
        <f>=H130/10000*2</f>
        <v>223.2314</v>
      </c>
      <c r="L130" s="27">
        <f>=I130-K130</f>
        <v>55.80785</v>
      </c>
    </row>
    <row r="131" spans="1:12">
      <c r="A131" s="23">
        <v>45797</v>
      </c>
      <c r="B131" s="21">
        <f>=H130</f>
        <v>1116157</v>
      </c>
      <c r="C131" s="25" t="s"/>
      <c r="D131" s="18" t="s"/>
      <c r="E131" s="18" t="s"/>
      <c r="F131" s="20" t="s"/>
      <c r="G131" s="26">
        <v>85650</v>
      </c>
      <c r="H131" s="22">
        <f>=B131+C131+D131-E131-F131-G131</f>
        <v>1030507</v>
      </c>
      <c r="I131" s="22">
        <f>=H131/10000*2.5</f>
        <v>257.62675</v>
      </c>
      <c r="J131" s="22">
        <f>=J130+I131</f>
        <v>35747.78175</v>
      </c>
      <c r="K131" s="27">
        <f>=H131/10000*2</f>
        <v>206.1014</v>
      </c>
      <c r="L131" s="27">
        <f>=I131-K131</f>
        <v>51.52535</v>
      </c>
    </row>
    <row r="132" spans="1:12">
      <c r="A132" s="23">
        <v>45798</v>
      </c>
      <c r="B132" s="21">
        <f>=H131</f>
        <v>1030507</v>
      </c>
      <c r="C132" s="25" t="s"/>
      <c r="D132" s="18" t="s"/>
      <c r="E132" s="18" t="s"/>
      <c r="F132" s="20" t="s"/>
      <c r="G132" s="26" t="s"/>
      <c r="H132" s="22">
        <f>=B132+C132+D132-E132-F132-G132</f>
        <v>1030507</v>
      </c>
      <c r="I132" s="22">
        <f>=H132/10000*2.5</f>
        <v>257.62675</v>
      </c>
      <c r="J132" s="22">
        <f>=J131+I132</f>
        <v>36005.4085</v>
      </c>
      <c r="K132" s="27">
        <f>=H132/10000*2</f>
        <v>206.1014</v>
      </c>
      <c r="L132" s="27">
        <f>=I132-K132</f>
        <v>51.52535</v>
      </c>
    </row>
    <row r="133" spans="1:12">
      <c r="A133" s="23">
        <v>45799</v>
      </c>
      <c r="B133" s="21">
        <f>=H132</f>
        <v>1030507</v>
      </c>
      <c r="C133" s="25" t="s"/>
      <c r="D133" s="18" t="s"/>
      <c r="E133" s="18" t="s"/>
      <c r="F133" s="20" t="s"/>
      <c r="G133" s="26" t="s"/>
      <c r="H133" s="22">
        <f>=B133+C133+D133-E133-F133-G133</f>
        <v>1030507</v>
      </c>
      <c r="I133" s="22">
        <f>=H133/10000*2.5</f>
        <v>257.62675</v>
      </c>
      <c r="J133" s="22">
        <f>=J132+I133</f>
        <v>36263.03525</v>
      </c>
      <c r="K133" s="27">
        <f>=H133/10000*2</f>
        <v>206.1014</v>
      </c>
      <c r="L133" s="27">
        <f>=I133-K133</f>
        <v>51.52535</v>
      </c>
    </row>
    <row r="134" spans="1:12">
      <c r="A134" s="23">
        <v>45800</v>
      </c>
      <c r="B134" s="21">
        <f>=H133</f>
        <v>1030507</v>
      </c>
      <c r="C134" s="25" t="s"/>
      <c r="D134" s="18" t="s"/>
      <c r="E134" s="18" t="s"/>
      <c r="F134" s="20" t="s"/>
      <c r="G134" s="26" t="s"/>
      <c r="H134" s="22">
        <f>=B134+C134+D134-E134-F134-G134</f>
        <v>1030507</v>
      </c>
      <c r="I134" s="22">
        <f>=H134/10000*2.5</f>
        <v>257.62675</v>
      </c>
      <c r="J134" s="22">
        <f>=J133+I134</f>
        <v>36520.662</v>
      </c>
      <c r="K134" s="27">
        <f>=H134/10000*2</f>
        <v>206.1014</v>
      </c>
      <c r="L134" s="27">
        <f>=I134-K134</f>
        <v>51.52535</v>
      </c>
    </row>
    <row r="135" spans="1:12">
      <c r="A135" s="23">
        <v>45801</v>
      </c>
      <c r="B135" s="21">
        <f>=H134</f>
        <v>1030507</v>
      </c>
      <c r="C135" s="25" t="s"/>
      <c r="D135" s="18" t="s"/>
      <c r="E135" s="18" t="s"/>
      <c r="F135" s="20" t="s"/>
      <c r="G135" s="26" t="s"/>
      <c r="H135" s="22">
        <f>=B135+C135+D135-E135-F135-G135</f>
        <v>1030507</v>
      </c>
      <c r="I135" s="22">
        <f>=H135/10000*2.5</f>
        <v>257.62675</v>
      </c>
      <c r="J135" s="22">
        <f>=J134+I135</f>
        <v>36778.28875</v>
      </c>
      <c r="K135" s="27">
        <f>=H135/10000*2</f>
        <v>206.1014</v>
      </c>
      <c r="L135" s="27">
        <f>=I135-K135</f>
        <v>51.52535</v>
      </c>
    </row>
    <row r="136" spans="1:12">
      <c r="A136" s="23">
        <v>45802</v>
      </c>
      <c r="B136" s="21">
        <f>=H135</f>
        <v>1030507</v>
      </c>
      <c r="C136" s="25" t="s"/>
      <c r="D136" s="18" t="s"/>
      <c r="E136" s="18" t="s"/>
      <c r="F136" s="20" t="s"/>
      <c r="G136" s="26" t="s"/>
      <c r="H136" s="22">
        <f>=B136+C136+D136-E136-F136-G136</f>
        <v>1030507</v>
      </c>
      <c r="I136" s="22">
        <f>=H136/10000*2.5</f>
        <v>257.62675</v>
      </c>
      <c r="J136" s="22">
        <f>=J135+I136</f>
        <v>37035.9155</v>
      </c>
      <c r="K136" s="27">
        <f>=H136/10000*2</f>
        <v>206.1014</v>
      </c>
      <c r="L136" s="27">
        <f>=I136-K136</f>
        <v>51.52535</v>
      </c>
    </row>
    <row r="137" spans="1:12">
      <c r="A137" s="23">
        <v>45803</v>
      </c>
      <c r="B137" s="21">
        <f>=H136</f>
        <v>1030507</v>
      </c>
      <c r="C137" s="25" t="s"/>
      <c r="D137" s="18" t="s"/>
      <c r="E137" s="18" t="s"/>
      <c r="F137" s="20" t="s"/>
      <c r="G137" s="26" t="s"/>
      <c r="H137" s="22">
        <f>=B137+C137+D137-E137-F137-G137</f>
        <v>1030507</v>
      </c>
      <c r="I137" s="22">
        <f>=H137/10000*2.5</f>
        <v>257.62675</v>
      </c>
      <c r="J137" s="22">
        <f>=J136+I137</f>
        <v>37293.5422500001</v>
      </c>
      <c r="K137" s="27">
        <f>=H137/10000*2</f>
        <v>206.1014</v>
      </c>
      <c r="L137" s="27">
        <f>=I137-K137</f>
        <v>51.52535</v>
      </c>
    </row>
    <row r="138" spans="1:12">
      <c r="A138" s="23">
        <v>45804</v>
      </c>
      <c r="B138" s="21">
        <f>=H137</f>
        <v>1030507</v>
      </c>
      <c r="C138" s="25" t="s"/>
      <c r="D138" s="18" t="s"/>
      <c r="E138" s="18" t="s"/>
      <c r="F138" s="20" t="s"/>
      <c r="G138" s="26" t="s"/>
      <c r="H138" s="22">
        <f>=B138+C138+D138-E138-F138-G138</f>
        <v>1030507</v>
      </c>
      <c r="I138" s="22">
        <f>=H138/10000*2.5</f>
        <v>257.62675</v>
      </c>
      <c r="J138" s="22">
        <f>=J137+I138</f>
        <v>37551.1690000001</v>
      </c>
      <c r="K138" s="27">
        <f>=H138/10000*2</f>
        <v>206.1014</v>
      </c>
      <c r="L138" s="27">
        <f>=I138-K138</f>
        <v>51.52535</v>
      </c>
    </row>
    <row r="139" spans="1:12">
      <c r="A139" s="23">
        <v>45805</v>
      </c>
      <c r="B139" s="21">
        <f>=H138</f>
        <v>1030507</v>
      </c>
      <c r="C139" s="25" t="s"/>
      <c r="D139" s="18" t="s"/>
      <c r="E139" s="18" t="s"/>
      <c r="F139" s="20" t="s"/>
      <c r="G139" s="26" t="s"/>
      <c r="H139" s="22">
        <f>=B139+C139+D139-E139-F139-G139</f>
        <v>1030507</v>
      </c>
      <c r="I139" s="22">
        <f>=H139/10000*2.5</f>
        <v>257.62675</v>
      </c>
      <c r="J139" s="22">
        <f>=J138+I139</f>
        <v>37808.7957500001</v>
      </c>
      <c r="K139" s="27">
        <f>=H139/10000*2</f>
        <v>206.1014</v>
      </c>
      <c r="L139" s="27">
        <f>=I139-K139</f>
        <v>51.52535</v>
      </c>
    </row>
    <row r="140" spans="1:12">
      <c r="A140" s="23">
        <v>45806</v>
      </c>
      <c r="B140" s="21">
        <f>=H139</f>
        <v>1030507</v>
      </c>
      <c r="C140" s="25" t="s"/>
      <c r="D140" s="18" t="s"/>
      <c r="E140" s="18" t="s"/>
      <c r="F140" s="20" t="s"/>
      <c r="G140" s="26" t="s"/>
      <c r="H140" s="22">
        <f>=B140+C140+D140-E140-F140-G140</f>
        <v>1030507</v>
      </c>
      <c r="I140" s="22">
        <f>=H140/10000*2.5</f>
        <v>257.62675</v>
      </c>
      <c r="J140" s="22">
        <f>=J139+I140</f>
        <v>38066.4225000001</v>
      </c>
      <c r="K140" s="27">
        <f>=H140/10000*2</f>
        <v>206.1014</v>
      </c>
      <c r="L140" s="27">
        <f>=I140-K140</f>
        <v>51.52535</v>
      </c>
    </row>
    <row r="141" spans="1:12">
      <c r="A141" s="23">
        <v>45807</v>
      </c>
      <c r="B141" s="21">
        <f>=H140</f>
        <v>1030507</v>
      </c>
      <c r="C141" s="25" t="s"/>
      <c r="D141" s="18" t="s"/>
      <c r="E141" s="18" t="s"/>
      <c r="F141" s="20" t="s"/>
      <c r="G141" s="26" t="s"/>
      <c r="H141" s="22">
        <f>=B141+C141+D141-E141-F141-G141</f>
        <v>1030507</v>
      </c>
      <c r="I141" s="22">
        <f>=H141/10000*2.5</f>
        <v>257.62675</v>
      </c>
      <c r="J141" s="22">
        <f>=J140+I141</f>
        <v>38324.0492500001</v>
      </c>
      <c r="K141" s="27">
        <f>=H141/10000*2</f>
        <v>206.1014</v>
      </c>
      <c r="L141" s="27">
        <f>=I141-K141</f>
        <v>51.52535</v>
      </c>
    </row>
    <row r="142" spans="1:12">
      <c r="A142" s="23">
        <v>45808</v>
      </c>
      <c r="B142" s="21">
        <f>=H141</f>
        <v>1030507</v>
      </c>
      <c r="C142" s="25" t="s"/>
      <c r="D142" s="18" t="s"/>
      <c r="E142" s="18" t="s"/>
      <c r="F142" s="20" t="s"/>
      <c r="G142" s="26" t="s"/>
      <c r="H142" s="22">
        <f>=B142+C142+D142-E142-F142-G142</f>
        <v>1030507</v>
      </c>
      <c r="I142" s="22">
        <f>=H142/10000*2.5</f>
        <v>257.62675</v>
      </c>
      <c r="J142" s="22">
        <f>=J141+I142</f>
        <v>38581.6760000001</v>
      </c>
      <c r="K142" s="27">
        <f>=H142/10000*2</f>
        <v>206.1014</v>
      </c>
      <c r="L142" s="27">
        <f>=I142-K142</f>
        <v>51.52535</v>
      </c>
    </row>
    <row r="143" spans="1:12">
      <c r="A143" s="23">
        <v>45809</v>
      </c>
      <c r="B143" s="21">
        <f>=H142</f>
        <v>1030507</v>
      </c>
      <c r="C143" s="25" t="s"/>
      <c r="D143" s="18" t="s"/>
      <c r="E143" s="18" t="s"/>
      <c r="F143" s="20" t="s"/>
      <c r="G143" s="26" t="s"/>
      <c r="H143" s="22">
        <f>=B143+C143+D143-E143-F143-G143</f>
        <v>1030507</v>
      </c>
      <c r="I143" s="22">
        <f>=H143/10000*2.5</f>
        <v>257.62675</v>
      </c>
      <c r="J143" s="22">
        <f>=J142+I143</f>
        <v>38839.3027500001</v>
      </c>
      <c r="K143" s="27">
        <f>=H143/10000*2</f>
        <v>206.1014</v>
      </c>
      <c r="L143" s="27">
        <f>=I143-K143</f>
        <v>51.52535</v>
      </c>
    </row>
    <row r="144" spans="1:12">
      <c r="A144" s="23">
        <v>45810</v>
      </c>
      <c r="B144" s="21">
        <f>=H143</f>
        <v>1030507</v>
      </c>
      <c r="C144" s="25" t="s"/>
      <c r="D144" s="18" t="s"/>
      <c r="E144" s="18" t="s"/>
      <c r="F144" s="20" t="s"/>
      <c r="G144" s="26" t="s"/>
      <c r="H144" s="22">
        <f>=B144+C144+D144-E144-F144-G144</f>
        <v>1030507</v>
      </c>
      <c r="I144" s="22">
        <f>=H144/10000*2.5</f>
        <v>257.62675</v>
      </c>
      <c r="J144" s="22">
        <f>=J143+I144</f>
        <v>39096.9295000001</v>
      </c>
      <c r="K144" s="27">
        <f>=H144/10000*2</f>
        <v>206.1014</v>
      </c>
      <c r="L144" s="27">
        <f>=I144-K144</f>
        <v>51.52535</v>
      </c>
    </row>
    <row r="145" spans="1:12">
      <c r="A145" s="23">
        <v>45811</v>
      </c>
      <c r="B145" s="21">
        <f>=H144</f>
        <v>1030507</v>
      </c>
      <c r="C145" s="25" t="s"/>
      <c r="D145" s="18" t="s"/>
      <c r="E145" s="18" t="s"/>
      <c r="F145" s="20" t="s"/>
      <c r="G145" s="26" t="s"/>
      <c r="H145" s="22">
        <f>=B145+C145+D145-E145-F145-G145</f>
        <v>1030507</v>
      </c>
      <c r="I145" s="22">
        <f>=H145/10000*2.5</f>
        <v>257.62675</v>
      </c>
      <c r="J145" s="22">
        <f>=J144+I145</f>
        <v>39354.5562500001</v>
      </c>
      <c r="K145" s="27">
        <f>=H145/10000*2</f>
        <v>206.1014</v>
      </c>
      <c r="L145" s="27">
        <f>=I145-K145</f>
        <v>51.52535</v>
      </c>
    </row>
    <row r="146" spans="1:12">
      <c r="A146" s="23">
        <v>45812</v>
      </c>
      <c r="B146" s="21">
        <f>=H145</f>
        <v>1030507</v>
      </c>
      <c r="C146" s="25" t="s"/>
      <c r="D146" s="18" t="s"/>
      <c r="E146" s="18" t="s"/>
      <c r="F146" s="20" t="s"/>
      <c r="G146" s="26" t="s"/>
      <c r="H146" s="22">
        <f>=B146+C146+D146-E146-F146-G146</f>
        <v>1030507</v>
      </c>
      <c r="I146" s="22">
        <f>=H146/10000*2.5</f>
        <v>257.62675</v>
      </c>
      <c r="J146" s="22">
        <f>=J145+I146</f>
        <v>39612.1830000001</v>
      </c>
      <c r="K146" s="27">
        <f>=H146/10000*2</f>
        <v>206.1014</v>
      </c>
      <c r="L146" s="27">
        <f>=I146-K146</f>
        <v>51.52535</v>
      </c>
    </row>
    <row r="147" spans="1:12">
      <c r="A147" s="23">
        <v>45813</v>
      </c>
      <c r="B147" s="21">
        <f>=H146</f>
        <v>1030507</v>
      </c>
      <c r="C147" s="25" t="s"/>
      <c r="D147" s="18" t="s"/>
      <c r="E147" s="18" t="s"/>
      <c r="F147" s="20" t="s"/>
      <c r="G147" s="26" t="s"/>
      <c r="H147" s="22">
        <f>=B147+C147+D147-E147-F147-G147</f>
        <v>1030507</v>
      </c>
      <c r="I147" s="22">
        <f>=H147/10000*2.5</f>
        <v>257.62675</v>
      </c>
      <c r="J147" s="22">
        <f>=J146+I147</f>
        <v>39869.8097500001</v>
      </c>
      <c r="K147" s="27">
        <f>=H147/10000*2</f>
        <v>206.1014</v>
      </c>
      <c r="L147" s="27">
        <f>=I147-K147</f>
        <v>51.52535</v>
      </c>
    </row>
    <row r="148" spans="1:12">
      <c r="A148" s="23">
        <v>45814</v>
      </c>
      <c r="B148" s="21">
        <f>=H147</f>
        <v>1030507</v>
      </c>
      <c r="C148" s="25" t="s"/>
      <c r="D148" s="18" t="s"/>
      <c r="E148" s="18" t="s"/>
      <c r="F148" s="20" t="s"/>
      <c r="G148" s="26" t="s"/>
      <c r="H148" s="22">
        <f>=B148+C148+D148-E148-F148-G148</f>
        <v>1030507</v>
      </c>
      <c r="I148" s="22">
        <f>=H148/10000*2.5</f>
        <v>257.62675</v>
      </c>
      <c r="J148" s="22">
        <f>=J147+I148</f>
        <v>40127.4365000001</v>
      </c>
      <c r="K148" s="27">
        <f>=H148/10000*2</f>
        <v>206.1014</v>
      </c>
      <c r="L148" s="27">
        <f>=I148-K148</f>
        <v>51.52535</v>
      </c>
    </row>
    <row r="149" spans="1:12">
      <c r="A149" s="23">
        <v>45815</v>
      </c>
      <c r="B149" s="21">
        <f>=H148</f>
        <v>1030507</v>
      </c>
      <c r="C149" s="25" t="s"/>
      <c r="D149" s="18" t="s"/>
      <c r="E149" s="18" t="s"/>
      <c r="F149" s="20" t="s"/>
      <c r="G149" s="26" t="s"/>
      <c r="H149" s="22">
        <f>=B149+C149+D149-E149-F149-G149</f>
        <v>1030507</v>
      </c>
      <c r="I149" s="22">
        <f>=H149/10000*2.5</f>
        <v>257.62675</v>
      </c>
      <c r="J149" s="22">
        <f>=J148+I149</f>
        <v>40385.0632500001</v>
      </c>
      <c r="K149" s="27">
        <f>=H149/10000*2</f>
        <v>206.1014</v>
      </c>
      <c r="L149" s="27">
        <f>=I149-K149</f>
        <v>51.52535</v>
      </c>
    </row>
    <row r="150" spans="1:12">
      <c r="A150" s="23">
        <v>45816</v>
      </c>
      <c r="B150" s="21">
        <f>=H149</f>
        <v>1030507</v>
      </c>
      <c r="C150" s="25" t="s"/>
      <c r="D150" s="18" t="s"/>
      <c r="E150" s="18" t="s"/>
      <c r="F150" s="20" t="s"/>
      <c r="G150" s="26" t="s"/>
      <c r="H150" s="22">
        <f>=B150+C150+D150-E150-F150-G150</f>
        <v>1030507</v>
      </c>
      <c r="I150" s="22">
        <f>=H150/10000*2.5</f>
        <v>257.62675</v>
      </c>
      <c r="J150" s="22">
        <f>=J149+I150</f>
        <v>40642.6900000001</v>
      </c>
      <c r="K150" s="27">
        <f>=H150/10000*2</f>
        <v>206.1014</v>
      </c>
      <c r="L150" s="27">
        <f>=I150-K150</f>
        <v>51.52535</v>
      </c>
    </row>
    <row r="151" spans="1:12">
      <c r="A151" s="23">
        <v>45817</v>
      </c>
      <c r="B151" s="21">
        <f>=H150</f>
        <v>1030507</v>
      </c>
      <c r="C151" s="25" t="s"/>
      <c r="D151" s="18" t="s"/>
      <c r="E151" s="18" t="s"/>
      <c r="F151" s="20" t="s"/>
      <c r="G151" s="26" t="s"/>
      <c r="H151" s="22">
        <f>=B151+C151+D151-E151-F151-G151</f>
        <v>1030507</v>
      </c>
      <c r="I151" s="22">
        <f>=H151/10000*2.5</f>
        <v>257.62675</v>
      </c>
      <c r="J151" s="22">
        <f>=J150+I151</f>
        <v>40900.3167500001</v>
      </c>
      <c r="K151" s="27">
        <f>=H151/10000*2</f>
        <v>206.1014</v>
      </c>
      <c r="L151" s="27">
        <f>=I151-K151</f>
        <v>51.52535</v>
      </c>
    </row>
    <row r="152" spans="1:12">
      <c r="A152" s="23">
        <v>45818</v>
      </c>
      <c r="B152" s="21">
        <f>=H151</f>
        <v>1030507</v>
      </c>
      <c r="C152" s="25" t="s"/>
      <c r="D152" s="18" t="s"/>
      <c r="E152" s="18" t="s"/>
      <c r="F152" s="20" t="s"/>
      <c r="G152" s="26" t="s"/>
      <c r="H152" s="22">
        <f>=B152+C152+D152-E152-F152-G152</f>
        <v>1030507</v>
      </c>
      <c r="I152" s="22">
        <f>=H152/10000*2.5</f>
        <v>257.62675</v>
      </c>
      <c r="J152" s="22">
        <f>=J151+I152</f>
        <v>41157.9435000001</v>
      </c>
      <c r="K152" s="27">
        <f>=H152/10000*2</f>
        <v>206.1014</v>
      </c>
      <c r="L152" s="27">
        <f>=I152-K152</f>
        <v>51.52535</v>
      </c>
    </row>
    <row r="153" spans="1:12">
      <c r="A153" s="23">
        <v>45819</v>
      </c>
      <c r="B153" s="21">
        <f>=H152</f>
        <v>1030507</v>
      </c>
      <c r="C153" s="25" t="s"/>
      <c r="D153" s="18" t="s"/>
      <c r="E153" s="18" t="s"/>
      <c r="F153" s="20" t="s"/>
      <c r="G153" s="26" t="s"/>
      <c r="H153" s="22">
        <f>=B153+C153+D153-E153-F153-G153</f>
        <v>1030507</v>
      </c>
      <c r="I153" s="22">
        <f>=H153/10000*2.5</f>
        <v>257.62675</v>
      </c>
      <c r="J153" s="22">
        <f>=J152+I153</f>
        <v>41415.5702500001</v>
      </c>
      <c r="K153" s="27">
        <f>=H153/10000*2</f>
        <v>206.1014</v>
      </c>
      <c r="L153" s="27">
        <f>=I153-K153</f>
        <v>51.52535</v>
      </c>
    </row>
    <row r="154" spans="1:12">
      <c r="A154" s="23">
        <v>45820</v>
      </c>
      <c r="B154" s="21">
        <f>=H153</f>
        <v>1030507</v>
      </c>
      <c r="C154" s="25" t="s"/>
      <c r="D154" s="18" t="s"/>
      <c r="E154" s="18" t="s"/>
      <c r="F154" s="20" t="s"/>
      <c r="G154" s="26" t="s"/>
      <c r="H154" s="22">
        <f>=B154+C154+D154-E154-F154-G154</f>
        <v>1030507</v>
      </c>
      <c r="I154" s="22">
        <f>=H154/10000*2.5</f>
        <v>257.62675</v>
      </c>
      <c r="J154" s="22">
        <f>=J153+I154</f>
        <v>41673.1970000001</v>
      </c>
      <c r="K154" s="27">
        <f>=H154/10000*2</f>
        <v>206.1014</v>
      </c>
      <c r="L154" s="27">
        <f>=I154-K154</f>
        <v>51.52535</v>
      </c>
    </row>
    <row r="155" spans="1:12">
      <c r="A155" s="23">
        <v>45821</v>
      </c>
      <c r="B155" s="21">
        <f>=H154</f>
        <v>1030507</v>
      </c>
      <c r="C155" s="25" t="s"/>
      <c r="D155" s="18" t="s"/>
      <c r="E155" s="18" t="s"/>
      <c r="F155" s="20" t="s"/>
      <c r="G155" s="26" t="s"/>
      <c r="H155" s="22">
        <f>=B155+C155+D155-E155-F155-G155</f>
        <v>1030507</v>
      </c>
      <c r="I155" s="22">
        <f>=H155/10000*2.5</f>
        <v>257.62675</v>
      </c>
      <c r="J155" s="22">
        <f>=J154+I155</f>
        <v>41930.8237500001</v>
      </c>
      <c r="K155" s="27">
        <f>=H155/10000*2</f>
        <v>206.1014</v>
      </c>
      <c r="L155" s="27">
        <f>=I155-K155</f>
        <v>51.52535</v>
      </c>
    </row>
    <row r="156" spans="1:12">
      <c r="A156" s="23">
        <v>45822</v>
      </c>
      <c r="B156" s="21">
        <f>=H155</f>
        <v>1030507</v>
      </c>
      <c r="C156" s="25" t="s"/>
      <c r="D156" s="18" t="s"/>
      <c r="E156" s="18" t="s"/>
      <c r="F156" s="20" t="s"/>
      <c r="G156" s="26" t="s"/>
      <c r="H156" s="22">
        <f>=B156+C156+D156-E156-F156-G156</f>
        <v>1030507</v>
      </c>
      <c r="I156" s="22">
        <f>=H156/10000*2.5</f>
        <v>257.62675</v>
      </c>
      <c r="J156" s="22">
        <f>=J155+I156</f>
        <v>42188.4505000001</v>
      </c>
      <c r="K156" s="27">
        <f>=H156/10000*2</f>
        <v>206.1014</v>
      </c>
      <c r="L156" s="27">
        <f>=I156-K156</f>
        <v>51.52535</v>
      </c>
    </row>
    <row r="157" spans="1:12">
      <c r="A157" s="23">
        <v>45823</v>
      </c>
      <c r="B157" s="21">
        <f>=H156</f>
        <v>1030507</v>
      </c>
      <c r="C157" s="25" t="s"/>
      <c r="D157" s="18" t="s"/>
      <c r="E157" s="18" t="s"/>
      <c r="F157" s="20" t="s"/>
      <c r="G157" s="26" t="s"/>
      <c r="H157" s="22">
        <f>=B157+C157+D157-E157-F157-G157</f>
        <v>1030507</v>
      </c>
      <c r="I157" s="22">
        <f>=H157/10000*2.5</f>
        <v>257.62675</v>
      </c>
      <c r="J157" s="22">
        <f>=J156+I157</f>
        <v>42446.0772500001</v>
      </c>
      <c r="K157" s="27">
        <f>=H157/10000*2</f>
        <v>206.1014</v>
      </c>
      <c r="L157" s="27">
        <f>=I157-K157</f>
        <v>51.52535</v>
      </c>
    </row>
    <row r="158" spans="1:12">
      <c r="A158" s="23">
        <v>45824</v>
      </c>
      <c r="B158" s="21">
        <f>=H157</f>
        <v>1030507</v>
      </c>
      <c r="C158" s="25" t="s"/>
      <c r="D158" s="18" t="s"/>
      <c r="E158" s="18" t="s"/>
      <c r="F158" s="20" t="s"/>
      <c r="G158" s="26" t="s"/>
      <c r="H158" s="22">
        <f>=B158+C158+D158-E158-F158-G158</f>
        <v>1030507</v>
      </c>
      <c r="I158" s="22">
        <f>=H158/10000*2.5</f>
        <v>257.62675</v>
      </c>
      <c r="J158" s="22">
        <f>=J157+I158</f>
        <v>42703.7040000001</v>
      </c>
      <c r="K158" s="27">
        <f>=H158/10000*2</f>
        <v>206.1014</v>
      </c>
      <c r="L158" s="27">
        <f>=I158-K158</f>
        <v>51.52535</v>
      </c>
    </row>
    <row r="159" spans="1:12">
      <c r="A159" s="23">
        <v>45825</v>
      </c>
      <c r="B159" s="21">
        <f>=H158</f>
        <v>1030507</v>
      </c>
      <c r="C159" s="25" t="s"/>
      <c r="D159" s="18" t="s"/>
      <c r="E159" s="18" t="s"/>
      <c r="F159" s="20" t="s"/>
      <c r="G159" s="26" t="s"/>
      <c r="H159" s="22">
        <f>=B159+C159+D159-E159-F159-G159</f>
        <v>1030507</v>
      </c>
      <c r="I159" s="22">
        <f>=H159/10000*2.5</f>
        <v>257.62675</v>
      </c>
      <c r="J159" s="22">
        <f>=J158+I159</f>
        <v>42961.3307500001</v>
      </c>
      <c r="K159" s="27">
        <f>=H159/10000*2</f>
        <v>206.1014</v>
      </c>
      <c r="L159" s="27">
        <f>=I159-K159</f>
        <v>51.52535</v>
      </c>
    </row>
    <row r="160" spans="1:12">
      <c r="A160" s="23">
        <v>45826</v>
      </c>
      <c r="B160" s="21">
        <f>=H159</f>
        <v>1030507</v>
      </c>
      <c r="C160" s="25" t="s"/>
      <c r="D160" s="18" t="s"/>
      <c r="E160" s="18" t="s"/>
      <c r="F160" s="20" t="s"/>
      <c r="G160" s="26" t="s"/>
      <c r="H160" s="22">
        <f>=B160+C160+D160-E160-F160-G160</f>
        <v>1030507</v>
      </c>
      <c r="I160" s="22">
        <f>=H160/10000*2.5</f>
        <v>257.62675</v>
      </c>
      <c r="J160" s="22">
        <f>=J159+I160</f>
        <v>43218.9575000001</v>
      </c>
      <c r="K160" s="27">
        <f>=H160/10000*2</f>
        <v>206.1014</v>
      </c>
      <c r="L160" s="27">
        <f>=I160-K160</f>
        <v>51.52535</v>
      </c>
    </row>
    <row r="161" spans="1:12">
      <c r="A161" s="23">
        <v>45827</v>
      </c>
      <c r="B161" s="21">
        <f>=H160</f>
        <v>1030507</v>
      </c>
      <c r="C161" s="25" t="s"/>
      <c r="D161" s="18" t="s"/>
      <c r="E161" s="18" t="s"/>
      <c r="F161" s="20" t="s"/>
      <c r="G161" s="26" t="s"/>
      <c r="H161" s="22">
        <f>=B161+C161+D161-E161-F161-G161</f>
        <v>1030507</v>
      </c>
      <c r="I161" s="22">
        <f>=H161/10000*2.5</f>
        <v>257.62675</v>
      </c>
      <c r="J161" s="22">
        <f>=J160+I161</f>
        <v>43476.5842500001</v>
      </c>
      <c r="K161" s="27">
        <f>=H161/10000*2</f>
        <v>206.1014</v>
      </c>
      <c r="L161" s="27">
        <f>=I161-K161</f>
        <v>51.52535</v>
      </c>
    </row>
    <row r="162" spans="1:12">
      <c r="A162" s="23">
        <v>45828</v>
      </c>
      <c r="B162" s="21">
        <f>=H161</f>
        <v>1030507</v>
      </c>
      <c r="C162" s="25" t="s"/>
      <c r="D162" s="18" t="s"/>
      <c r="E162" s="18" t="s"/>
      <c r="F162" s="20" t="s"/>
      <c r="G162" s="26" t="s"/>
      <c r="H162" s="22">
        <f>=B162+C162+D162-E162-F162-G162</f>
        <v>1030507</v>
      </c>
      <c r="I162" s="22">
        <f>=H162/10000*2.5</f>
        <v>257.62675</v>
      </c>
      <c r="J162" s="22">
        <f>=J161+I162</f>
        <v>43734.2110000001</v>
      </c>
      <c r="K162" s="27">
        <f>=H162/10000*2</f>
        <v>206.1014</v>
      </c>
      <c r="L162" s="27">
        <f>=I162-K162</f>
        <v>51.52535</v>
      </c>
    </row>
    <row r="163" spans="1:12">
      <c r="A163" s="23">
        <v>45829</v>
      </c>
      <c r="B163" s="21">
        <f>=H162</f>
        <v>1030507</v>
      </c>
      <c r="C163" s="25" t="s"/>
      <c r="D163" s="18" t="s"/>
      <c r="E163" s="18" t="s"/>
      <c r="F163" s="20" t="s"/>
      <c r="G163" s="26" t="s"/>
      <c r="H163" s="22">
        <f>=B163+C163+D163-E163-F163-G163</f>
        <v>1030507</v>
      </c>
      <c r="I163" s="22">
        <f>=H163/10000*2.5</f>
        <v>257.62675</v>
      </c>
      <c r="J163" s="22">
        <f>=J162+I163</f>
        <v>43991.8377500001</v>
      </c>
      <c r="K163" s="27">
        <f>=H163/10000*2</f>
        <v>206.1014</v>
      </c>
      <c r="L163" s="27">
        <f>=I163-K163</f>
        <v>51.52535</v>
      </c>
    </row>
    <row r="164" spans="1:12">
      <c r="A164" s="23">
        <v>45830</v>
      </c>
      <c r="B164" s="21">
        <f>=H163</f>
        <v>1030507</v>
      </c>
      <c r="C164" s="25" t="s"/>
      <c r="D164" s="18" t="s"/>
      <c r="E164" s="18" t="s"/>
      <c r="F164" s="20" t="s"/>
      <c r="G164" s="26" t="s"/>
      <c r="H164" s="22">
        <f>=B164+C164+D164-E164-F164-G164</f>
        <v>1030507</v>
      </c>
      <c r="I164" s="22">
        <f>=H164/10000*2.5</f>
        <v>257.62675</v>
      </c>
      <c r="J164" s="22">
        <f>=J163+I164</f>
        <v>44249.4645000001</v>
      </c>
      <c r="K164" s="27">
        <f>=H164/10000*2</f>
        <v>206.1014</v>
      </c>
      <c r="L164" s="27">
        <f>=I164-K164</f>
        <v>51.52535</v>
      </c>
    </row>
    <row r="165" spans="1:12">
      <c r="A165" s="23">
        <v>45831</v>
      </c>
      <c r="B165" s="21">
        <f>=H164</f>
        <v>1030507</v>
      </c>
      <c r="C165" s="25" t="s"/>
      <c r="D165" s="18" t="s"/>
      <c r="E165" s="18" t="s"/>
      <c r="F165" s="20" t="s"/>
      <c r="G165" s="26" t="s"/>
      <c r="H165" s="22">
        <f>=B165+C165+D165-E165-F165-G165</f>
        <v>1030507</v>
      </c>
      <c r="I165" s="22">
        <f>=H165/10000*2.5</f>
        <v>257.62675</v>
      </c>
      <c r="J165" s="22">
        <f>=J164+I165</f>
        <v>44507.0912500001</v>
      </c>
      <c r="K165" s="27">
        <f>=H165/10000*2</f>
        <v>206.1014</v>
      </c>
      <c r="L165" s="27">
        <f>=I165-K165</f>
        <v>51.52535</v>
      </c>
    </row>
    <row r="166" spans="1:12">
      <c r="A166" s="23">
        <v>45832</v>
      </c>
      <c r="B166" s="21">
        <f>=H165</f>
        <v>1030507</v>
      </c>
      <c r="C166" s="25" t="s"/>
      <c r="D166" s="18" t="s"/>
      <c r="E166" s="18" t="s"/>
      <c r="F166" s="20" t="s"/>
      <c r="G166" s="26" t="s"/>
      <c r="H166" s="22">
        <f>=B166+C166+D166-E166-F166-G166</f>
        <v>1030507</v>
      </c>
      <c r="I166" s="22">
        <f>=H166/10000*2.5</f>
        <v>257.62675</v>
      </c>
      <c r="J166" s="22">
        <f>=J165+I166</f>
        <v>44764.7180000001</v>
      </c>
      <c r="K166" s="27">
        <f>=H166/10000*2</f>
        <v>206.1014</v>
      </c>
      <c r="L166" s="27">
        <f>=I166-K166</f>
        <v>51.52535</v>
      </c>
    </row>
    <row r="167" spans="1:12">
      <c r="A167" s="23">
        <v>45833</v>
      </c>
      <c r="B167" s="21">
        <f>=H166</f>
        <v>1030507</v>
      </c>
      <c r="C167" s="25" t="s"/>
      <c r="D167" s="18" t="s"/>
      <c r="E167" s="18" t="s"/>
      <c r="F167" s="20" t="s"/>
      <c r="G167" s="26" t="s"/>
      <c r="H167" s="22">
        <f>=B167+C167+D167-E167-F167-G167</f>
        <v>1030507</v>
      </c>
      <c r="I167" s="22">
        <f>=H167/10000*2.5</f>
        <v>257.62675</v>
      </c>
      <c r="J167" s="22">
        <f>=J166+I167</f>
        <v>45022.3447500001</v>
      </c>
      <c r="K167" s="27">
        <f>=H167/10000*2</f>
        <v>206.1014</v>
      </c>
      <c r="L167" s="27">
        <f>=I167-K167</f>
        <v>51.52535</v>
      </c>
    </row>
    <row r="168" spans="1:12">
      <c r="A168" s="23">
        <v>45834</v>
      </c>
      <c r="B168" s="21">
        <f>=H167</f>
        <v>1030507</v>
      </c>
      <c r="C168" s="25" t="s"/>
      <c r="D168" s="18" t="s"/>
      <c r="E168" s="18" t="s"/>
      <c r="F168" s="20" t="s"/>
      <c r="G168" s="26" t="s"/>
      <c r="H168" s="22">
        <f>=B168+C168+D168-E168-F168-G168</f>
        <v>1030507</v>
      </c>
      <c r="I168" s="22">
        <f>=H168/10000*2.5</f>
        <v>257.62675</v>
      </c>
      <c r="J168" s="22">
        <f>=J167+I168</f>
        <v>45279.9715000001</v>
      </c>
      <c r="K168" s="27">
        <f>=H168/10000*2</f>
        <v>206.1014</v>
      </c>
      <c r="L168" s="27">
        <f>=I168-K168</f>
        <v>51.52535</v>
      </c>
    </row>
    <row r="169" spans="1:12">
      <c r="A169" s="23">
        <v>45835</v>
      </c>
      <c r="B169" s="21">
        <f>=H168</f>
        <v>1030507</v>
      </c>
      <c r="C169" s="25" t="s"/>
      <c r="D169" s="18" t="s"/>
      <c r="E169" s="18" t="s"/>
      <c r="F169" s="20" t="s"/>
      <c r="G169" s="26" t="s"/>
      <c r="H169" s="22">
        <f>=B169+C169+D169-E169-F169-G169</f>
        <v>1030507</v>
      </c>
      <c r="I169" s="22">
        <f>=H169/10000*2.5</f>
        <v>257.62675</v>
      </c>
      <c r="J169" s="22">
        <f>=J168+I169</f>
        <v>45537.5982500002</v>
      </c>
      <c r="K169" s="27">
        <f>=H169/10000*2</f>
        <v>206.1014</v>
      </c>
      <c r="L169" s="27">
        <f>=I169-K169</f>
        <v>51.52535</v>
      </c>
    </row>
    <row r="170" spans="1:12">
      <c r="A170" s="23">
        <v>45836</v>
      </c>
      <c r="B170" s="21">
        <f>=H169</f>
        <v>1030507</v>
      </c>
      <c r="C170" s="25" t="s"/>
      <c r="D170" s="18" t="s"/>
      <c r="E170" s="18" t="s"/>
      <c r="F170" s="20" t="s"/>
      <c r="G170" s="26" t="s"/>
      <c r="H170" s="22">
        <f>=B170+C170+D170-E170-F170-G170</f>
        <v>1030507</v>
      </c>
      <c r="I170" s="22">
        <f>=H170/10000*2.5</f>
        <v>257.62675</v>
      </c>
      <c r="J170" s="22">
        <f>=J169+I170</f>
        <v>45795.2250000002</v>
      </c>
      <c r="K170" s="27">
        <f>=H170/10000*2</f>
        <v>206.1014</v>
      </c>
      <c r="L170" s="27">
        <f>=I170-K170</f>
        <v>51.52535</v>
      </c>
    </row>
    <row r="171" spans="1:12">
      <c r="A171" s="23">
        <v>45837</v>
      </c>
      <c r="B171" s="21">
        <f>=H170</f>
        <v>1030507</v>
      </c>
      <c r="C171" s="25" t="s"/>
      <c r="D171" s="18" t="s"/>
      <c r="E171" s="18" t="s"/>
      <c r="F171" s="20" t="s"/>
      <c r="G171" s="26" t="s"/>
      <c r="H171" s="22">
        <f>=B171+C171+D171-E171-F171-G171</f>
        <v>1030507</v>
      </c>
      <c r="I171" s="22">
        <f>=H171/10000*2.5</f>
        <v>257.62675</v>
      </c>
      <c r="J171" s="22">
        <f>=J170+I171</f>
        <v>46052.8517500002</v>
      </c>
      <c r="K171" s="27">
        <f>=H171/10000*2</f>
        <v>206.1014</v>
      </c>
      <c r="L171" s="27">
        <f>=I171-K171</f>
        <v>51.52535</v>
      </c>
    </row>
    <row r="172" spans="1:12">
      <c r="A172" s="23">
        <v>45838</v>
      </c>
      <c r="B172" s="21">
        <f>=H171</f>
        <v>1030507</v>
      </c>
      <c r="C172" s="25" t="s"/>
      <c r="D172" s="18" t="s"/>
      <c r="E172" s="18" t="s"/>
      <c r="F172" s="20" t="s"/>
      <c r="G172" s="26" t="s"/>
      <c r="H172" s="22">
        <f>=B172+C172+D172-E172-F172-G172</f>
        <v>1030507</v>
      </c>
      <c r="I172" s="22">
        <f>=H172/10000*2.5</f>
        <v>257.62675</v>
      </c>
      <c r="J172" s="22">
        <f>=J171+I172</f>
        <v>46310.4785000002</v>
      </c>
      <c r="K172" s="27">
        <f>=H172/10000*2</f>
        <v>206.1014</v>
      </c>
      <c r="L172" s="27">
        <f>=I172-K172</f>
        <v>51.52535</v>
      </c>
    </row>
    <row r="173" spans="1:12">
      <c r="A173" s="23">
        <v>45839</v>
      </c>
      <c r="B173" s="21">
        <f>=H172</f>
        <v>1030507</v>
      </c>
      <c r="C173" s="25" t="s"/>
      <c r="D173" s="18" t="s"/>
      <c r="E173" s="18" t="s"/>
      <c r="F173" s="20" t="s"/>
      <c r="G173" s="26" t="s"/>
      <c r="H173" s="22">
        <f>=B173+C173+D173-E173-F173-G173</f>
        <v>1030507</v>
      </c>
      <c r="I173" s="22">
        <f>=H173/10000*2.5</f>
        <v>257.62675</v>
      </c>
      <c r="J173" s="22">
        <f>=J172+I173</f>
        <v>46568.1052500002</v>
      </c>
      <c r="K173" s="27">
        <f>=H173/10000*2</f>
        <v>206.1014</v>
      </c>
      <c r="L173" s="27">
        <f>=I173-K173</f>
        <v>51.52535</v>
      </c>
    </row>
    <row r="174" spans="1:12">
      <c r="A174" s="23">
        <v>45840</v>
      </c>
      <c r="B174" s="21">
        <f>=H173</f>
        <v>1030507</v>
      </c>
      <c r="C174" s="25" t="s"/>
      <c r="D174" s="18" t="s"/>
      <c r="E174" s="18" t="s"/>
      <c r="F174" s="20" t="s"/>
      <c r="G174" s="26">
        <v>362842</v>
      </c>
      <c r="H174" s="22">
        <f>=B174+C174+D174-E174-F174-G174</f>
        <v>667665</v>
      </c>
      <c r="I174" s="22">
        <f>=H174/10000*2.5</f>
        <v>166.91625</v>
      </c>
      <c r="J174" s="22">
        <f>=J173+I174</f>
        <v>46735.0215000002</v>
      </c>
      <c r="K174" s="27">
        <f>=H174/10000*2</f>
        <v>133.533</v>
      </c>
      <c r="L174" s="27">
        <f>=I174-K174</f>
        <v>33.38325</v>
      </c>
    </row>
    <row r="175" spans="1:12">
      <c r="A175" s="23">
        <v>45841</v>
      </c>
      <c r="B175" s="21">
        <f>=H174</f>
        <v>667665</v>
      </c>
      <c r="C175" s="25" t="s"/>
      <c r="D175" s="18" t="s"/>
      <c r="E175" s="18" t="s"/>
      <c r="F175" s="20" t="s"/>
      <c r="G175" s="26" t="s"/>
      <c r="H175" s="22">
        <f>=B175+C175+D175-E175-F175-G175</f>
        <v>667665</v>
      </c>
      <c r="I175" s="22">
        <f>=H175/10000*2.5</f>
        <v>166.91625</v>
      </c>
      <c r="J175" s="22">
        <f>=J174+I175</f>
        <v>46901.9377500002</v>
      </c>
      <c r="K175" s="27">
        <f>=H175/10000*2</f>
        <v>133.533</v>
      </c>
      <c r="L175" s="27">
        <f>=I175-K175</f>
        <v>33.38325</v>
      </c>
    </row>
    <row r="176" spans="1:12">
      <c r="A176" s="23">
        <v>45842</v>
      </c>
      <c r="B176" s="21">
        <f>=H175</f>
        <v>667665</v>
      </c>
      <c r="C176" s="25" t="s"/>
      <c r="D176" s="18" t="s"/>
      <c r="E176" s="18" t="s"/>
      <c r="F176" s="20" t="s"/>
      <c r="G176" s="26" t="s"/>
      <c r="H176" s="22">
        <f>=B176+C176+D176-E176-F176-G176</f>
        <v>667665</v>
      </c>
      <c r="I176" s="22">
        <f>=H176/10000*2.5</f>
        <v>166.91625</v>
      </c>
      <c r="J176" s="22">
        <f>=J175+I176</f>
        <v>47068.8540000002</v>
      </c>
      <c r="K176" s="27">
        <f>=H176/10000*2</f>
        <v>133.533</v>
      </c>
      <c r="L176" s="27">
        <f>=I176-K176</f>
        <v>33.38325</v>
      </c>
    </row>
    <row r="177" spans="1:12">
      <c r="A177" s="23">
        <v>45843</v>
      </c>
      <c r="B177" s="21">
        <f>=H176</f>
        <v>667665</v>
      </c>
      <c r="C177" s="25" t="s"/>
      <c r="D177" s="18" t="s"/>
      <c r="E177" s="18" t="s"/>
      <c r="F177" s="20" t="s"/>
      <c r="G177" s="26" t="s"/>
      <c r="H177" s="22">
        <f>=B177+C177+D177-E177-F177-G177</f>
        <v>667665</v>
      </c>
      <c r="I177" s="22">
        <f>=H177/10000*2.5</f>
        <v>166.91625</v>
      </c>
      <c r="J177" s="22">
        <f>=J176+I177</f>
        <v>47235.7702500002</v>
      </c>
      <c r="K177" s="27">
        <f>=H177/10000*2</f>
        <v>133.533</v>
      </c>
      <c r="L177" s="27">
        <f>=I177-K177</f>
        <v>33.38325</v>
      </c>
    </row>
    <row r="178" spans="1:12">
      <c r="A178" s="23">
        <v>45844</v>
      </c>
      <c r="B178" s="21">
        <f>=H177</f>
        <v>667665</v>
      </c>
      <c r="C178" s="25" t="s"/>
      <c r="D178" s="18" t="s"/>
      <c r="E178" s="18" t="s"/>
      <c r="F178" s="20" t="s"/>
      <c r="G178" s="26" t="s"/>
      <c r="H178" s="22">
        <f>=B178+C178+D178-E178-F178-G178</f>
        <v>667665</v>
      </c>
      <c r="I178" s="22">
        <f>=H178/10000*2.5</f>
        <v>166.91625</v>
      </c>
      <c r="J178" s="22">
        <f>=J177+I178</f>
        <v>47402.6865000002</v>
      </c>
      <c r="K178" s="27">
        <f>=H178/10000*2</f>
        <v>133.533</v>
      </c>
      <c r="L178" s="27">
        <f>=I178-K178</f>
        <v>33.38325</v>
      </c>
    </row>
    <row r="179" spans="1:12">
      <c r="A179" s="23">
        <v>45845</v>
      </c>
      <c r="B179" s="21">
        <f>=H178</f>
        <v>667665</v>
      </c>
      <c r="C179" s="25" t="s"/>
      <c r="D179" s="18" t="s"/>
      <c r="E179" s="18" t="s"/>
      <c r="F179" s="20" t="s"/>
      <c r="G179" s="26" t="s"/>
      <c r="H179" s="22">
        <f>=B179+C179+D179-E179-F179-G179</f>
        <v>667665</v>
      </c>
      <c r="I179" s="22">
        <f>=H179/10000*2.5</f>
        <v>166.91625</v>
      </c>
      <c r="J179" s="22">
        <f>=J178+I179</f>
        <v>47569.6027500002</v>
      </c>
      <c r="K179" s="27">
        <f>=H179/10000*2</f>
        <v>133.533</v>
      </c>
      <c r="L179" s="27">
        <f>=I179-K179</f>
        <v>33.38325</v>
      </c>
    </row>
    <row r="180" spans="1:12">
      <c r="A180" s="23">
        <v>45846</v>
      </c>
      <c r="B180" s="21">
        <f>=H179</f>
        <v>667665</v>
      </c>
      <c r="C180" s="25" t="s"/>
      <c r="D180" s="18" t="s"/>
      <c r="E180" s="18" t="s"/>
      <c r="F180" s="20" t="s"/>
      <c r="G180" s="26" t="s"/>
      <c r="H180" s="22">
        <f>=B180+C180+D180-E180-F180-G180</f>
        <v>667665</v>
      </c>
      <c r="I180" s="22">
        <f>=H180/10000*2.5</f>
        <v>166.91625</v>
      </c>
      <c r="J180" s="22">
        <f>=J179+I180</f>
        <v>47736.5190000002</v>
      </c>
      <c r="K180" s="27">
        <f>=H180/10000*2</f>
        <v>133.533</v>
      </c>
      <c r="L180" s="27">
        <f>=I180-K180</f>
        <v>33.38325</v>
      </c>
    </row>
    <row r="181" spans="1:12">
      <c r="A181" s="23">
        <v>45847</v>
      </c>
      <c r="B181" s="21">
        <f>=H180</f>
        <v>667665</v>
      </c>
      <c r="C181" s="25" t="s"/>
      <c r="D181" s="18" t="s"/>
      <c r="E181" s="18" t="s"/>
      <c r="F181" s="20" t="s"/>
      <c r="G181" s="26" t="s"/>
      <c r="H181" s="22">
        <f>=B181+C181+D181-E181-F181-G181</f>
        <v>667665</v>
      </c>
      <c r="I181" s="22">
        <f>=H181/10000*2.5</f>
        <v>166.91625</v>
      </c>
      <c r="J181" s="22">
        <f>=J180+I181</f>
        <v>47903.4352500002</v>
      </c>
      <c r="K181" s="27">
        <f>=H181/10000*2</f>
        <v>133.533</v>
      </c>
      <c r="L181" s="27">
        <f>=I181-K181</f>
        <v>33.38325</v>
      </c>
    </row>
    <row r="182" spans="1:12">
      <c r="A182" s="23">
        <v>45848</v>
      </c>
      <c r="B182" s="21">
        <f>=H181</f>
        <v>667665</v>
      </c>
      <c r="C182" s="25" t="s"/>
      <c r="D182" s="18" t="s"/>
      <c r="E182" s="18" t="s"/>
      <c r="F182" s="20" t="s"/>
      <c r="G182" s="26" t="s"/>
      <c r="H182" s="22">
        <f>=B182+C182+D182-E182-F182-G182</f>
        <v>667665</v>
      </c>
      <c r="I182" s="22">
        <f>=H182/10000*2.5</f>
        <v>166.91625</v>
      </c>
      <c r="J182" s="22">
        <f>=J181+I182</f>
        <v>48070.3515000002</v>
      </c>
      <c r="K182" s="27">
        <f>=H182/10000*2</f>
        <v>133.533</v>
      </c>
      <c r="L182" s="27">
        <f>=I182-K182</f>
        <v>33.38325</v>
      </c>
    </row>
    <row r="183" spans="1:12">
      <c r="A183" s="23">
        <v>45849</v>
      </c>
      <c r="B183" s="21">
        <f>=H182</f>
        <v>667665</v>
      </c>
      <c r="C183" s="25" t="s"/>
      <c r="D183" s="18" t="s"/>
      <c r="E183" s="18" t="s"/>
      <c r="F183" s="20" t="s"/>
      <c r="G183" s="26" t="s"/>
      <c r="H183" s="22">
        <f>=B183+C183+D183-E183-F183-G183</f>
        <v>667665</v>
      </c>
      <c r="I183" s="22">
        <f>=H183/10000*2.5</f>
        <v>166.91625</v>
      </c>
      <c r="J183" s="22">
        <f>=J182+I183</f>
        <v>48237.2677500002</v>
      </c>
      <c r="K183" s="27">
        <f>=H183/10000*2</f>
        <v>133.533</v>
      </c>
      <c r="L183" s="27">
        <f>=I183-K183</f>
        <v>33.38325</v>
      </c>
    </row>
    <row r="184" spans="1:12">
      <c r="A184" s="23">
        <v>45850</v>
      </c>
      <c r="B184" s="21">
        <f>=H183</f>
        <v>667665</v>
      </c>
      <c r="C184" s="25" t="s"/>
      <c r="D184" s="18" t="s"/>
      <c r="E184" s="18" t="s"/>
      <c r="F184" s="20" t="s"/>
      <c r="G184" s="26" t="s"/>
      <c r="H184" s="22">
        <f>=B184+C184+D184-E184-F184-G184</f>
        <v>667665</v>
      </c>
      <c r="I184" s="22">
        <f>=H184/10000*2.5</f>
        <v>166.91625</v>
      </c>
      <c r="J184" s="22">
        <f>=J183+I184</f>
        <v>48404.1840000002</v>
      </c>
      <c r="K184" s="27">
        <f>=H184/10000*2</f>
        <v>133.533</v>
      </c>
      <c r="L184" s="27">
        <f>=I184-K184</f>
        <v>33.38325</v>
      </c>
    </row>
    <row r="185" spans="1:12">
      <c r="A185" s="23">
        <v>45851</v>
      </c>
      <c r="B185" s="21">
        <f>=H184</f>
        <v>667665</v>
      </c>
      <c r="C185" s="25" t="s"/>
      <c r="D185" s="18" t="s"/>
      <c r="E185" s="18" t="s"/>
      <c r="F185" s="20" t="s"/>
      <c r="G185" s="26" t="s"/>
      <c r="H185" s="22">
        <f>=B185+C185+D185-E185-F185-G185</f>
        <v>667665</v>
      </c>
      <c r="I185" s="22">
        <f>=H185/10000*2.5</f>
        <v>166.91625</v>
      </c>
      <c r="J185" s="22">
        <f>=J184+I185</f>
        <v>48571.1002500002</v>
      </c>
      <c r="K185" s="27">
        <f>=H185/10000*2</f>
        <v>133.533</v>
      </c>
      <c r="L185" s="27">
        <f>=I185-K185</f>
        <v>33.38325</v>
      </c>
    </row>
    <row r="186" spans="1:12">
      <c r="A186" s="23">
        <v>45852</v>
      </c>
      <c r="B186" s="21">
        <f>=H185</f>
        <v>667665</v>
      </c>
      <c r="C186" s="25" t="s"/>
      <c r="D186" s="18" t="s"/>
      <c r="E186" s="18" t="s"/>
      <c r="F186" s="20" t="s"/>
      <c r="G186" s="26" t="s"/>
      <c r="H186" s="22">
        <f>=B186+C186+D186-E186-F186-G186</f>
        <v>667665</v>
      </c>
      <c r="I186" s="22">
        <f>=H186/10000*2.5</f>
        <v>166.91625</v>
      </c>
      <c r="J186" s="22">
        <f>=J185+I186</f>
        <v>48738.0165000002</v>
      </c>
      <c r="K186" s="27">
        <f>=H186/10000*2</f>
        <v>133.533</v>
      </c>
      <c r="L186" s="27">
        <f>=I186-K186</f>
        <v>33.38325</v>
      </c>
    </row>
    <row r="187" spans="1:12">
      <c r="A187" s="23">
        <v>45853</v>
      </c>
      <c r="B187" s="21">
        <f>=H186</f>
        <v>667665</v>
      </c>
      <c r="C187" s="25" t="s"/>
      <c r="D187" s="18" t="s"/>
      <c r="E187" s="18" t="s"/>
      <c r="F187" s="20" t="s"/>
      <c r="G187" s="26" t="s"/>
      <c r="H187" s="22">
        <f>=B187+C187+D187-E187-F187-G187</f>
        <v>667665</v>
      </c>
      <c r="I187" s="22">
        <f>=H187/10000*2.5</f>
        <v>166.91625</v>
      </c>
      <c r="J187" s="22">
        <f>=J186+I187</f>
        <v>48904.9327500002</v>
      </c>
      <c r="K187" s="27">
        <f>=H187/10000*2</f>
        <v>133.533</v>
      </c>
      <c r="L187" s="27">
        <f>=I187-K187</f>
        <v>33.38325</v>
      </c>
    </row>
    <row r="188" spans="1:12">
      <c r="A188" s="23">
        <v>45854</v>
      </c>
      <c r="B188" s="21">
        <f>=H187</f>
        <v>667665</v>
      </c>
      <c r="C188" s="25" t="s"/>
      <c r="D188" s="18" t="s"/>
      <c r="E188" s="18" t="s"/>
      <c r="F188" s="20" t="s"/>
      <c r="G188" s="26" t="s"/>
      <c r="H188" s="22">
        <f>=B188+C188+D188-E188-F188-G188</f>
        <v>667665</v>
      </c>
      <c r="I188" s="22">
        <f>=H188/10000*2.5</f>
        <v>166.91625</v>
      </c>
      <c r="J188" s="22">
        <f>=J187+I188</f>
        <v>49071.8490000002</v>
      </c>
      <c r="K188" s="27">
        <f>=H188/10000*2</f>
        <v>133.533</v>
      </c>
      <c r="L188" s="27">
        <f>=I188-K188</f>
        <v>33.38325</v>
      </c>
    </row>
    <row r="189" spans="1:12">
      <c r="A189" s="23">
        <v>45855</v>
      </c>
      <c r="B189" s="21">
        <f>=H188</f>
        <v>667665</v>
      </c>
      <c r="C189" s="25">
        <v>2476000</v>
      </c>
      <c r="D189" s="18" t="s"/>
      <c r="E189" s="18" t="s"/>
      <c r="F189" s="20" t="s"/>
      <c r="G189" s="26" t="s"/>
      <c r="H189" s="22">
        <f>=B189+C189+D189-E189-F189-G189</f>
        <v>3143665</v>
      </c>
      <c r="I189" s="22">
        <f>=H189/10000*2.5</f>
        <v>785.91625</v>
      </c>
      <c r="J189" s="22">
        <f>=J188+I189</f>
        <v>49857.7652500002</v>
      </c>
      <c r="K189" s="27">
        <f>=H189/10000*2</f>
        <v>628.733</v>
      </c>
      <c r="L189" s="27">
        <f>=I189-K189</f>
        <v>157.18325</v>
      </c>
    </row>
    <row r="190" spans="1:12">
      <c r="A190" s="23">
        <v>45856</v>
      </c>
      <c r="B190" s="21">
        <f>=H189</f>
        <v>3143665</v>
      </c>
      <c r="C190" s="25" t="s"/>
      <c r="D190" s="18" t="s"/>
      <c r="E190" s="18" t="s"/>
      <c r="F190" s="20" t="s"/>
      <c r="G190" s="26" t="s"/>
      <c r="H190" s="22">
        <f>=B190+C190+D190-E190-F190-G190</f>
        <v>3143665</v>
      </c>
      <c r="I190" s="22">
        <f>=H190/10000*2.5</f>
        <v>785.91625</v>
      </c>
      <c r="J190" s="22">
        <f>=J189+I190</f>
        <v>50643.6815000002</v>
      </c>
      <c r="K190" s="27">
        <f>=H190/10000*2</f>
        <v>628.733</v>
      </c>
      <c r="L190" s="27">
        <f>=I190-K190</f>
        <v>157.18325</v>
      </c>
    </row>
    <row r="191" spans="1:12">
      <c r="A191" s="23">
        <v>45857</v>
      </c>
      <c r="B191" s="21">
        <f>=H190</f>
        <v>3143665</v>
      </c>
      <c r="C191" s="25" t="s"/>
      <c r="D191" s="18" t="s"/>
      <c r="E191" s="18" t="s"/>
      <c r="F191" s="20" t="s"/>
      <c r="G191" s="26" t="s"/>
      <c r="H191" s="22">
        <f>=B191+C191+D191-E191-F191-G191</f>
        <v>3143665</v>
      </c>
      <c r="I191" s="22">
        <f>=H191/10000*2.5</f>
        <v>785.91625</v>
      </c>
      <c r="J191" s="22">
        <f>=J190+I191</f>
        <v>51429.5977500002</v>
      </c>
      <c r="K191" s="27">
        <f>=H191/10000*2</f>
        <v>628.733</v>
      </c>
      <c r="L191" s="27">
        <f>=I191-K191</f>
        <v>157.18325</v>
      </c>
    </row>
    <row r="192" spans="1:12">
      <c r="A192" s="23">
        <v>45858</v>
      </c>
      <c r="B192" s="21">
        <f>=H191</f>
        <v>3143665</v>
      </c>
      <c r="C192" s="25" t="s"/>
      <c r="D192" s="18" t="s"/>
      <c r="E192" s="18" t="s"/>
      <c r="F192" s="20" t="s"/>
      <c r="G192" s="26" t="s"/>
      <c r="H192" s="22">
        <f>=B192+C192+D192-E192-F192-G192</f>
        <v>3143665</v>
      </c>
      <c r="I192" s="22">
        <f>=H192/10000*2.5</f>
        <v>785.91625</v>
      </c>
      <c r="J192" s="22">
        <f>=J191+I192</f>
        <v>52215.5140000002</v>
      </c>
      <c r="K192" s="27">
        <f>=H192/10000*2</f>
        <v>628.733</v>
      </c>
      <c r="L192" s="27">
        <f>=I192-K192</f>
        <v>157.18325</v>
      </c>
    </row>
    <row r="193" spans="1:12">
      <c r="A193" s="23">
        <v>45859</v>
      </c>
      <c r="B193" s="21">
        <f>=H192</f>
        <v>3143665</v>
      </c>
      <c r="C193" s="25" t="s"/>
      <c r="D193" s="18" t="s"/>
      <c r="E193" s="18" t="s"/>
      <c r="F193" s="20" t="s"/>
      <c r="G193" s="26" t="s"/>
      <c r="H193" s="22">
        <f>=B193+C193+D193-E193-F193-G193</f>
        <v>3143665</v>
      </c>
      <c r="I193" s="22">
        <f>=H193/10000*2.5</f>
        <v>785.91625</v>
      </c>
      <c r="J193" s="22">
        <f>=J192+I193</f>
        <v>53001.4302500002</v>
      </c>
      <c r="K193" s="27">
        <f>=H193/10000*2</f>
        <v>628.733</v>
      </c>
      <c r="L193" s="27">
        <f>=I193-K193</f>
        <v>157.18325</v>
      </c>
    </row>
    <row r="194" spans="1:12">
      <c r="A194" s="23">
        <v>45860</v>
      </c>
      <c r="B194" s="21">
        <f>=H193</f>
        <v>3143665</v>
      </c>
      <c r="C194" s="25">
        <v>2165800</v>
      </c>
      <c r="D194" s="18" t="s"/>
      <c r="E194" s="18" t="s"/>
      <c r="F194" s="20" t="s"/>
      <c r="G194" s="26" t="s"/>
      <c r="H194" s="22">
        <f>=B194+C194+D194-E194-F194-G194</f>
        <v>5309465</v>
      </c>
      <c r="I194" s="22">
        <f>=H194/10000*2.5</f>
        <v>1327.36625</v>
      </c>
      <c r="J194" s="22">
        <f>=J193+I194</f>
        <v>54328.7965000002</v>
      </c>
      <c r="K194" s="27">
        <f>=H194/10000*2</f>
        <v>1061.893</v>
      </c>
      <c r="L194" s="27">
        <f>=I194-K194</f>
        <v>265.47325</v>
      </c>
    </row>
    <row r="195" spans="1:12">
      <c r="A195" s="23">
        <v>45861</v>
      </c>
      <c r="B195" s="21">
        <f>=H194</f>
        <v>5309465</v>
      </c>
      <c r="C195" s="25" t="s"/>
      <c r="D195" s="18" t="s"/>
      <c r="E195" s="18" t="s"/>
      <c r="F195" s="20" t="s"/>
      <c r="G195" s="26" t="s"/>
      <c r="H195" s="22">
        <f>=B195+C195+D195-E195-F195-G195</f>
        <v>5309465</v>
      </c>
      <c r="I195" s="22">
        <f>=H195/10000*2.5</f>
        <v>1327.36625</v>
      </c>
      <c r="J195" s="22">
        <f>=J194+I195</f>
        <v>55656.1627500002</v>
      </c>
      <c r="K195" s="27">
        <f>=H195/10000*2</f>
        <v>1061.893</v>
      </c>
      <c r="L195" s="27">
        <f>=I195-K195</f>
        <v>265.47325</v>
      </c>
    </row>
    <row r="196" spans="1:12">
      <c r="A196" s="23">
        <v>45862</v>
      </c>
      <c r="B196" s="21">
        <f>=H195</f>
        <v>5309465</v>
      </c>
      <c r="C196" s="25">
        <v>3059055</v>
      </c>
      <c r="D196" s="18" t="s"/>
      <c r="E196" s="18" t="s"/>
      <c r="F196" s="20" t="s"/>
      <c r="G196" s="26" t="s"/>
      <c r="H196" s="22">
        <f>=B196+C196+D196-E196-F196-G196</f>
        <v>8368520</v>
      </c>
      <c r="I196" s="22">
        <f>=H196/10000*2.5</f>
        <v>2092.13</v>
      </c>
      <c r="J196" s="22">
        <f>=J195+I196</f>
        <v>57748.2927500002</v>
      </c>
      <c r="K196" s="27">
        <f>=H196/10000*2</f>
        <v>1673.704</v>
      </c>
      <c r="L196" s="27">
        <f>=I196-K196</f>
        <v>418.426</v>
      </c>
    </row>
    <row r="197" spans="1:12">
      <c r="A197" s="23">
        <v>45863</v>
      </c>
      <c r="B197" s="21">
        <f>=H196</f>
        <v>8368520</v>
      </c>
      <c r="C197" s="25" t="s"/>
      <c r="D197" s="18" t="s"/>
      <c r="E197" s="18" t="s"/>
      <c r="F197" s="20" t="s"/>
      <c r="G197" s="26" t="s"/>
      <c r="H197" s="22">
        <f>=B197+C197+D197-E197-F197-G197</f>
        <v>8368520</v>
      </c>
      <c r="I197" s="22">
        <f>=H197/10000*2.5</f>
        <v>2092.13</v>
      </c>
      <c r="J197" s="22">
        <f>=J196+I197</f>
        <v>59840.4227500002</v>
      </c>
      <c r="K197" s="27">
        <f>=H197/10000*2</f>
        <v>1673.704</v>
      </c>
      <c r="L197" s="27">
        <f>=I197-K197</f>
        <v>418.426</v>
      </c>
    </row>
    <row r="198" spans="1:12">
      <c r="A198" s="23">
        <v>45864</v>
      </c>
      <c r="B198" s="21">
        <f>=H197</f>
        <v>8368520</v>
      </c>
      <c r="C198" s="25" t="s"/>
      <c r="D198" s="18" t="s"/>
      <c r="E198" s="18" t="s"/>
      <c r="F198" s="20" t="s"/>
      <c r="G198" s="26" t="s"/>
      <c r="H198" s="22">
        <f>=B198+C198+D198-E198-F198-G198</f>
        <v>8368520</v>
      </c>
      <c r="I198" s="22">
        <f>=H198/10000*2.5</f>
        <v>2092.13</v>
      </c>
      <c r="J198" s="22">
        <f>=J197+I198</f>
        <v>61932.5527500002</v>
      </c>
      <c r="K198" s="27">
        <f>=H198/10000*2</f>
        <v>1673.704</v>
      </c>
      <c r="L198" s="27">
        <f>=I198-K198</f>
        <v>418.426</v>
      </c>
    </row>
    <row r="199" spans="1:12">
      <c r="A199" s="23">
        <v>45865</v>
      </c>
      <c r="B199" s="21">
        <f>=H198</f>
        <v>8368520</v>
      </c>
      <c r="C199" s="25">
        <v>317518</v>
      </c>
      <c r="D199" s="18" t="s"/>
      <c r="E199" s="18" t="s"/>
      <c r="F199" s="20" t="s"/>
      <c r="G199" s="26" t="s"/>
      <c r="H199" s="22">
        <f>=B199+C199+D199-E199-F199-G199</f>
        <v>8686038</v>
      </c>
      <c r="I199" s="22">
        <f>=H199/10000*2.5</f>
        <v>2171.5095</v>
      </c>
      <c r="J199" s="22">
        <f>=J198+I199</f>
        <v>64104.0622500002</v>
      </c>
      <c r="K199" s="27">
        <f>=H199/10000*2</f>
        <v>1737.2076</v>
      </c>
      <c r="L199" s="27">
        <f>=I199-K199</f>
        <v>434.3019</v>
      </c>
    </row>
    <row r="200" spans="1:12">
      <c r="A200" s="23">
        <v>45866</v>
      </c>
      <c r="B200" s="21">
        <f>=H199</f>
        <v>8686038</v>
      </c>
      <c r="C200" s="25" t="s"/>
      <c r="D200" s="18" t="s"/>
      <c r="E200" s="18" t="s"/>
      <c r="F200" s="20" t="s"/>
      <c r="G200" s="26" t="s"/>
      <c r="H200" s="22">
        <f>=B200+C200+D200-E200-F200-G200</f>
        <v>8686038</v>
      </c>
      <c r="I200" s="22">
        <f>=H200/10000*2.5</f>
        <v>2171.5095</v>
      </c>
      <c r="J200" s="22">
        <f>=J199+I200</f>
        <v>66275.5717500002</v>
      </c>
      <c r="K200" s="27">
        <f>=H200/10000*2</f>
        <v>1737.2076</v>
      </c>
      <c r="L200" s="27">
        <f>=I200-K200</f>
        <v>434.3019</v>
      </c>
    </row>
    <row r="201" spans="1:12">
      <c r="A201" s="23">
        <v>45867</v>
      </c>
      <c r="B201" s="21">
        <f>=H200</f>
        <v>8686038</v>
      </c>
      <c r="C201" s="25" t="s"/>
      <c r="D201" s="18" t="s"/>
      <c r="E201" s="18" t="s"/>
      <c r="F201" s="20" t="s"/>
      <c r="G201" s="26" t="s"/>
      <c r="H201" s="22">
        <f>=B201+C201+D201-E201-F201-G201</f>
        <v>8686038</v>
      </c>
      <c r="I201" s="22">
        <f>=H201/10000*2.5</f>
        <v>2171.5095</v>
      </c>
      <c r="J201" s="22">
        <f>=J200+I201</f>
        <v>68447.0812500002</v>
      </c>
      <c r="K201" s="27">
        <f>=H201/10000*2</f>
        <v>1737.2076</v>
      </c>
      <c r="L201" s="27">
        <f>=I201-K201</f>
        <v>434.3019</v>
      </c>
    </row>
    <row r="202" spans="1:12">
      <c r="A202" s="23">
        <v>45868</v>
      </c>
      <c r="B202" s="21">
        <f>=H201</f>
        <v>8686038</v>
      </c>
      <c r="C202" s="25">
        <v>1521150</v>
      </c>
      <c r="D202" s="18" t="s"/>
      <c r="E202" s="18" t="s"/>
      <c r="F202" s="20" t="s"/>
      <c r="G202" s="26" t="s"/>
      <c r="H202" s="22">
        <f>=B202+C202+D202-E202-F202-G202</f>
        <v>10207188</v>
      </c>
      <c r="I202" s="22">
        <f>=H202/10000*2.5</f>
        <v>2551.797</v>
      </c>
      <c r="J202" s="22">
        <f>=J201+I202</f>
        <v>70998.8782500002</v>
      </c>
      <c r="K202" s="27">
        <f>=H202/10000*2</f>
        <v>2041.4376</v>
      </c>
      <c r="L202" s="27">
        <f>=I202-K202</f>
        <v>510.3594</v>
      </c>
    </row>
    <row r="203" spans="1:12">
      <c r="A203" s="23">
        <v>45869</v>
      </c>
      <c r="B203" s="21">
        <f>=H202</f>
        <v>10207188</v>
      </c>
      <c r="C203" s="25" t="s"/>
      <c r="D203" s="18" t="s"/>
      <c r="E203" s="18" t="s"/>
      <c r="F203" s="20" t="s"/>
      <c r="G203" s="26" t="s"/>
      <c r="H203" s="22">
        <f>=B203+C203+D203-E203-F203-G203</f>
        <v>10207188</v>
      </c>
      <c r="I203" s="22">
        <f>=H203/10000*2.5</f>
        <v>2551.797</v>
      </c>
      <c r="J203" s="22">
        <f>=J202+I203</f>
        <v>73550.6752500002</v>
      </c>
      <c r="K203" s="27">
        <f>=H203/10000*2</f>
        <v>2041.4376</v>
      </c>
      <c r="L203" s="27">
        <f>=I203-K203</f>
        <v>510.3594</v>
      </c>
    </row>
    <row r="204" spans="1:12">
      <c r="A204" s="23">
        <v>45870</v>
      </c>
      <c r="B204" s="21">
        <f>=H203</f>
        <v>10207188</v>
      </c>
      <c r="C204" s="25" t="s"/>
      <c r="D204" s="18" t="s"/>
      <c r="E204" s="18" t="s"/>
      <c r="F204" s="20" t="s"/>
      <c r="G204" s="26" t="s"/>
      <c r="H204" s="22">
        <f>=B204+C204+D204-E204-F204-G204</f>
        <v>10207188</v>
      </c>
      <c r="I204" s="22">
        <f>=H204/10000*2.5</f>
        <v>2551.797</v>
      </c>
      <c r="J204" s="22">
        <f>=J203+I204</f>
        <v>76102.4722500002</v>
      </c>
      <c r="K204" s="27">
        <f>=H204/10000*2</f>
        <v>2041.4376</v>
      </c>
      <c r="L204" s="27">
        <f>=I204-K204</f>
        <v>510.3594</v>
      </c>
    </row>
    <row r="205" spans="1:12">
      <c r="A205" s="23">
        <v>45871</v>
      </c>
      <c r="B205" s="21">
        <f>=H204</f>
        <v>10207188</v>
      </c>
      <c r="C205" s="25" t="s"/>
      <c r="D205" s="18" t="s"/>
      <c r="E205" s="18" t="s"/>
      <c r="F205" s="20" t="s"/>
      <c r="G205" s="26" t="s"/>
      <c r="H205" s="22">
        <f>=B205+C205+D205-E205-F205-G205</f>
        <v>10207188</v>
      </c>
      <c r="I205" s="22">
        <f>=H205/10000*2.5</f>
        <v>2551.797</v>
      </c>
      <c r="J205" s="22">
        <f>=J204+I205</f>
        <v>78654.2692500002</v>
      </c>
      <c r="K205" s="27">
        <f>=H205/10000*2</f>
        <v>2041.4376</v>
      </c>
      <c r="L205" s="27">
        <f>=I205-K205</f>
        <v>510.3594</v>
      </c>
    </row>
    <row r="206" spans="1:12">
      <c r="A206" s="23">
        <v>45872</v>
      </c>
      <c r="B206" s="21">
        <f>=H205</f>
        <v>10207188</v>
      </c>
      <c r="C206" s="25" t="s"/>
      <c r="D206" s="18" t="s"/>
      <c r="E206" s="18" t="s"/>
      <c r="F206" s="20" t="s"/>
      <c r="G206" s="26" t="s"/>
      <c r="H206" s="22">
        <f>=B206+C206+D206-E206-F206-G206</f>
        <v>10207188</v>
      </c>
      <c r="I206" s="22">
        <f>=H206/10000*2.5</f>
        <v>2551.797</v>
      </c>
      <c r="J206" s="22">
        <f>=J205+I206</f>
        <v>81206.0662500002</v>
      </c>
      <c r="K206" s="27">
        <f>=H206/10000*2</f>
        <v>2041.4376</v>
      </c>
      <c r="L206" s="27">
        <f>=I206-K206</f>
        <v>510.3594</v>
      </c>
    </row>
    <row r="207" spans="1:12">
      <c r="A207" s="23">
        <v>45873</v>
      </c>
      <c r="B207" s="21">
        <f>=H206</f>
        <v>10207188</v>
      </c>
      <c r="C207" s="25" t="s"/>
      <c r="D207" s="18" t="s"/>
      <c r="E207" s="18" t="s"/>
      <c r="F207" s="20" t="s"/>
      <c r="G207" s="26" t="s"/>
      <c r="H207" s="22">
        <f>=B207+C207+D207-E207-F207-G207</f>
        <v>10207188</v>
      </c>
      <c r="I207" s="22">
        <f>=H207/10000*2.5</f>
        <v>2551.797</v>
      </c>
      <c r="J207" s="22">
        <f>=J206+I207</f>
        <v>83757.8632500002</v>
      </c>
      <c r="K207" s="27">
        <f>=H207/10000*2</f>
        <v>2041.4376</v>
      </c>
      <c r="L207" s="27">
        <f>=I207-K207</f>
        <v>510.3594</v>
      </c>
    </row>
    <row r="208" spans="1:12">
      <c r="A208" s="23">
        <v>45874</v>
      </c>
      <c r="B208" s="21">
        <f>=H207</f>
        <v>10207188</v>
      </c>
      <c r="C208" s="25" t="s"/>
      <c r="D208" s="18" t="s"/>
      <c r="E208" s="18" t="s"/>
      <c r="F208" s="20" t="s"/>
      <c r="G208" s="26" t="s"/>
      <c r="H208" s="22">
        <f>=B208+C208+D208-E208-F208-G208</f>
        <v>10207188</v>
      </c>
      <c r="I208" s="22">
        <f>=H208/10000*2.5</f>
        <v>2551.797</v>
      </c>
      <c r="J208" s="22">
        <f>=J207+I208</f>
        <v>86309.6602500002</v>
      </c>
      <c r="K208" s="27">
        <f>=H208/10000*2</f>
        <v>2041.4376</v>
      </c>
      <c r="L208" s="27">
        <f>=I208-K208</f>
        <v>510.3594</v>
      </c>
    </row>
    <row r="209" spans="1:12">
      <c r="A209" s="23">
        <v>45875</v>
      </c>
      <c r="B209" s="21">
        <f>=H208</f>
        <v>10207188</v>
      </c>
      <c r="C209" s="25" t="s"/>
      <c r="D209" s="18" t="s"/>
      <c r="E209" s="18" t="s"/>
      <c r="F209" s="20" t="s"/>
      <c r="G209" s="26" t="s"/>
      <c r="H209" s="22">
        <f>=B209+C209+D209-E209-F209-G209</f>
        <v>10207188</v>
      </c>
      <c r="I209" s="22">
        <f>=H209/10000*2.5</f>
        <v>2551.797</v>
      </c>
      <c r="J209" s="22">
        <f>=J208+I209</f>
        <v>88861.4572500002</v>
      </c>
      <c r="K209" s="27">
        <f>=H209/10000*2</f>
        <v>2041.4376</v>
      </c>
      <c r="L209" s="27">
        <f>=I209-K209</f>
        <v>510.3594</v>
      </c>
    </row>
    <row r="210" spans="1:12">
      <c r="A210" s="23">
        <v>45876</v>
      </c>
      <c r="B210" s="21">
        <f>=H209</f>
        <v>10207188</v>
      </c>
      <c r="C210" s="25" t="s"/>
      <c r="D210" s="18" t="s"/>
      <c r="E210" s="18" t="s"/>
      <c r="F210" s="20" t="s"/>
      <c r="G210" s="26" t="s"/>
      <c r="H210" s="22">
        <f>=B210+C210+D210-E210-F210-G210</f>
        <v>10207188</v>
      </c>
      <c r="I210" s="22">
        <f>=H210/10000*2.5</f>
        <v>2551.797</v>
      </c>
      <c r="J210" s="22">
        <f>=J209+I210</f>
        <v>91413.2542500003</v>
      </c>
      <c r="K210" s="27">
        <f>=H210/10000*2</f>
        <v>2041.4376</v>
      </c>
      <c r="L210" s="27">
        <f>=I210-K210</f>
        <v>510.3594</v>
      </c>
    </row>
    <row r="211" spans="1:12">
      <c r="A211" s="23">
        <v>45877</v>
      </c>
      <c r="B211" s="21">
        <f>=H210</f>
        <v>10207188</v>
      </c>
      <c r="C211" s="25" t="s"/>
      <c r="D211" s="18" t="s"/>
      <c r="E211" s="18" t="s"/>
      <c r="F211" s="20" t="s"/>
      <c r="G211" s="26" t="s"/>
      <c r="H211" s="22">
        <f>=B211+C211+D211-E211-F211-G211</f>
        <v>10207188</v>
      </c>
      <c r="I211" s="22">
        <f>=H211/10000*2.5</f>
        <v>2551.797</v>
      </c>
      <c r="J211" s="22">
        <f>=J210+I211</f>
        <v>93965.0512500003</v>
      </c>
      <c r="K211" s="27">
        <f>=H211/10000*2</f>
        <v>2041.4376</v>
      </c>
      <c r="L211" s="27">
        <f>=I211-K211</f>
        <v>510.3594</v>
      </c>
    </row>
    <row r="212" spans="1:12">
      <c r="A212" s="23">
        <v>45878</v>
      </c>
      <c r="B212" s="21">
        <f>=H211</f>
        <v>10207188</v>
      </c>
      <c r="C212" s="25" t="s"/>
      <c r="D212" s="18" t="s"/>
      <c r="E212" s="18" t="s"/>
      <c r="F212" s="20" t="s"/>
      <c r="G212" s="26" t="s"/>
      <c r="H212" s="22">
        <f>=B212+C212+D212-E212-F212-G212</f>
        <v>10207188</v>
      </c>
      <c r="I212" s="22">
        <f>=H212/10000*2.5</f>
        <v>2551.797</v>
      </c>
      <c r="J212" s="22">
        <f>=J211+I212</f>
        <v>96516.8482500003</v>
      </c>
      <c r="K212" s="27">
        <f>=H212/10000*2</f>
        <v>2041.4376</v>
      </c>
      <c r="L212" s="27">
        <f>=I212-K212</f>
        <v>510.3594</v>
      </c>
    </row>
    <row r="213" spans="1:12">
      <c r="A213" s="23">
        <v>45879</v>
      </c>
      <c r="B213" s="21">
        <f>=H212</f>
        <v>10207188</v>
      </c>
      <c r="C213" s="25" t="s"/>
      <c r="D213" s="18" t="s"/>
      <c r="E213" s="18" t="s"/>
      <c r="F213" s="20" t="s"/>
      <c r="G213" s="26" t="s"/>
      <c r="H213" s="22">
        <f>=B213+C213+D213-E213-F213-G213</f>
        <v>10207188</v>
      </c>
      <c r="I213" s="22">
        <f>=H213/10000*2.5</f>
        <v>2551.797</v>
      </c>
      <c r="J213" s="22">
        <f>=J212+I213</f>
        <v>99068.6452500003</v>
      </c>
      <c r="K213" s="27">
        <f>=H213/10000*2</f>
        <v>2041.4376</v>
      </c>
      <c r="L213" s="27">
        <f>=I213-K213</f>
        <v>510.3594</v>
      </c>
    </row>
    <row r="214" spans="1:12">
      <c r="A214" s="23">
        <v>45880</v>
      </c>
      <c r="B214" s="21">
        <f>=H213</f>
        <v>10207188</v>
      </c>
      <c r="C214" s="25" t="s"/>
      <c r="D214" s="18" t="s"/>
      <c r="E214" s="18" t="s"/>
      <c r="F214" s="20" t="s"/>
      <c r="G214" s="26" t="s"/>
      <c r="H214" s="22">
        <f>=B214+C214+D214-E214-F214-G214</f>
        <v>10207188</v>
      </c>
      <c r="I214" s="22">
        <f>=H214/10000*2.5</f>
        <v>2551.797</v>
      </c>
      <c r="J214" s="22">
        <f>=J213+I214</f>
        <v>101620.44225</v>
      </c>
      <c r="K214" s="27">
        <f>=H214/10000*2</f>
        <v>2041.4376</v>
      </c>
      <c r="L214" s="27">
        <f>=I214-K214</f>
        <v>510.3594</v>
      </c>
    </row>
    <row r="215" spans="1:12">
      <c r="A215" s="23">
        <v>45881</v>
      </c>
      <c r="B215" s="21">
        <f>=H214</f>
        <v>10207188</v>
      </c>
      <c r="C215" s="25">
        <v>930216</v>
      </c>
      <c r="D215" s="18" t="s"/>
      <c r="E215" s="18" t="s"/>
      <c r="F215" s="20" t="s"/>
      <c r="G215" s="26" t="s"/>
      <c r="H215" s="22">
        <f>=B215+C215+D215-E215-F215-G215</f>
        <v>11137404</v>
      </c>
      <c r="I215" s="22">
        <f>=H215/10000*2.5</f>
        <v>2784.351</v>
      </c>
      <c r="J215" s="22">
        <f>=J214+I215</f>
        <v>104404.79325</v>
      </c>
      <c r="K215" s="27">
        <f>=H215/10000*2</f>
        <v>2227.4808</v>
      </c>
      <c r="L215" s="27">
        <f>=I215-K215</f>
        <v>556.8702</v>
      </c>
    </row>
    <row r="216" spans="1:12">
      <c r="A216" s="23">
        <v>45882</v>
      </c>
      <c r="B216" s="21">
        <f>=H215</f>
        <v>11137404</v>
      </c>
      <c r="C216" s="25" t="s"/>
      <c r="D216" s="18" t="s"/>
      <c r="E216" s="18" t="s"/>
      <c r="F216" s="20" t="s"/>
      <c r="G216" s="26" t="s"/>
      <c r="H216" s="22">
        <f>=B216+C216+D216-E216-F216-G216</f>
        <v>11137404</v>
      </c>
      <c r="I216" s="22">
        <f>=H216/10000*2.5</f>
        <v>2784.351</v>
      </c>
      <c r="J216" s="22">
        <f>=J215+I216</f>
        <v>107189.14425</v>
      </c>
      <c r="K216" s="27">
        <f>=H216/10000*2</f>
        <v>2227.4808</v>
      </c>
      <c r="L216" s="27">
        <f>=I216-K216</f>
        <v>556.8702</v>
      </c>
    </row>
    <row r="217" spans="1:12">
      <c r="A217" s="23">
        <v>45883</v>
      </c>
      <c r="B217" s="21">
        <f>=H216</f>
        <v>11137404</v>
      </c>
      <c r="C217" s="25" t="s"/>
      <c r="D217" s="18" t="s"/>
      <c r="E217" s="18" t="s"/>
      <c r="F217" s="20" t="s"/>
      <c r="G217" s="26">
        <v>165900</v>
      </c>
      <c r="H217" s="22">
        <f>=B217+C217+D217-E217-F217-G217</f>
        <v>10971504</v>
      </c>
      <c r="I217" s="22">
        <f>=H217/10000*2.5</f>
        <v>2742.876</v>
      </c>
      <c r="J217" s="22">
        <f>=J216+I217</f>
        <v>109932.02025</v>
      </c>
      <c r="K217" s="27">
        <f>=H217/10000*2</f>
        <v>2194.3008</v>
      </c>
      <c r="L217" s="27">
        <f>=I217-K217</f>
        <v>548.5752</v>
      </c>
    </row>
    <row r="218" spans="1:12">
      <c r="A218" s="23">
        <v>45884</v>
      </c>
      <c r="B218" s="21">
        <f>=H217</f>
        <v>10971504</v>
      </c>
      <c r="C218" s="25" t="s"/>
      <c r="D218" s="18" t="s"/>
      <c r="E218" s="18" t="s"/>
      <c r="F218" s="20" t="s"/>
      <c r="G218" s="26" t="s"/>
      <c r="H218" s="22">
        <f>=B218+C218+D218-E218-F218-G218</f>
        <v>10971504</v>
      </c>
      <c r="I218" s="22">
        <f>=H218/10000*2.5</f>
        <v>2742.876</v>
      </c>
      <c r="J218" s="22">
        <f>=J217+I218</f>
        <v>112674.89625</v>
      </c>
      <c r="K218" s="27">
        <f>=H218/10000*2</f>
        <v>2194.3008</v>
      </c>
      <c r="L218" s="27">
        <f>=I218-K218</f>
        <v>548.5752</v>
      </c>
    </row>
    <row r="219" spans="1:12">
      <c r="A219" s="23">
        <v>45885</v>
      </c>
      <c r="B219" s="21">
        <f>=H218</f>
        <v>10971504</v>
      </c>
      <c r="C219" s="25" t="s"/>
      <c r="D219" s="18" t="s"/>
      <c r="E219" s="18" t="s"/>
      <c r="F219" s="20" t="s"/>
      <c r="G219" s="26" t="s"/>
      <c r="H219" s="22">
        <f>=B219+C219+D219-E219-F219-G219</f>
        <v>10971504</v>
      </c>
      <c r="I219" s="22">
        <f>=H219/10000*2.5</f>
        <v>2742.876</v>
      </c>
      <c r="J219" s="22">
        <f>=J218+I219</f>
        <v>115417.77225</v>
      </c>
      <c r="K219" s="27">
        <f>=H219/10000*2</f>
        <v>2194.3008</v>
      </c>
      <c r="L219" s="27">
        <f>=I219-K219</f>
        <v>548.5752</v>
      </c>
    </row>
    <row r="220" spans="1:12">
      <c r="A220" s="23">
        <v>45886</v>
      </c>
      <c r="B220" s="21">
        <f>=H219</f>
        <v>10971504</v>
      </c>
      <c r="C220" s="25" t="s"/>
      <c r="D220" s="18" t="s"/>
      <c r="E220" s="18" t="s"/>
      <c r="F220" s="20" t="s"/>
      <c r="G220" s="26" t="s"/>
      <c r="H220" s="22">
        <f>=B220+C220+D220-E220-F220-G220</f>
        <v>10971504</v>
      </c>
      <c r="I220" s="22">
        <f>=H220/10000*2.5</f>
        <v>2742.876</v>
      </c>
      <c r="J220" s="22">
        <f>=J219+I220</f>
        <v>118160.64825</v>
      </c>
      <c r="K220" s="27">
        <f>=H220/10000*2</f>
        <v>2194.3008</v>
      </c>
      <c r="L220" s="27">
        <f>=I220-K220</f>
        <v>548.5752</v>
      </c>
    </row>
    <row r="221" spans="1:12">
      <c r="A221" s="23">
        <v>45887</v>
      </c>
      <c r="B221" s="21">
        <f>=H220</f>
        <v>10971504</v>
      </c>
      <c r="C221" s="25" t="s"/>
      <c r="D221" s="18" t="s"/>
      <c r="E221" s="18" t="s"/>
      <c r="F221" s="20" t="s"/>
      <c r="G221" s="26" t="s"/>
      <c r="H221" s="22">
        <f>=B221+C221+D221-E221-F221-G221</f>
        <v>10971504</v>
      </c>
      <c r="I221" s="22">
        <f>=H221/10000*2.5</f>
        <v>2742.876</v>
      </c>
      <c r="J221" s="22">
        <f>=J220+I221</f>
        <v>120903.52425</v>
      </c>
      <c r="K221" s="27">
        <f>=H221/10000*2</f>
        <v>2194.3008</v>
      </c>
      <c r="L221" s="27">
        <f>=I221-K221</f>
        <v>548.5752</v>
      </c>
    </row>
    <row r="222" spans="1:12">
      <c r="A222" s="23">
        <v>45888</v>
      </c>
      <c r="B222" s="21">
        <f>=H221</f>
        <v>10971504</v>
      </c>
      <c r="C222" s="25" t="s"/>
      <c r="D222" s="18" t="s"/>
      <c r="E222" s="18" t="s"/>
      <c r="F222" s="20" t="s"/>
      <c r="G222" s="26" t="s"/>
      <c r="H222" s="22">
        <f>=B222+C222+D222-E222-F222-G222</f>
        <v>10971504</v>
      </c>
      <c r="I222" s="22">
        <f>=H222/10000*2.5</f>
        <v>2742.876</v>
      </c>
      <c r="J222" s="22">
        <f>=J221+I222</f>
        <v>123646.40025</v>
      </c>
      <c r="K222" s="27">
        <f>=H222/10000*2</f>
        <v>2194.3008</v>
      </c>
      <c r="L222" s="27">
        <f>=I222-K222</f>
        <v>548.5752</v>
      </c>
    </row>
    <row r="223" spans="1:12">
      <c r="A223" s="23">
        <v>45889</v>
      </c>
      <c r="B223" s="21">
        <f>=H222</f>
        <v>10971504</v>
      </c>
      <c r="C223" s="25" t="s"/>
      <c r="D223" s="18" t="s"/>
      <c r="E223" s="18" t="s"/>
      <c r="F223" s="20" t="s"/>
      <c r="G223" s="26" t="s"/>
      <c r="H223" s="22">
        <f>=B223+C223+D223-E223-F223-G223</f>
        <v>10971504</v>
      </c>
      <c r="I223" s="22">
        <f>=H223/10000*2.5</f>
        <v>2742.876</v>
      </c>
      <c r="J223" s="22">
        <f>=J222+I223</f>
        <v>126389.27625</v>
      </c>
      <c r="K223" s="27">
        <f>=H223/10000*2</f>
        <v>2194.3008</v>
      </c>
      <c r="L223" s="27">
        <f>=I223-K223</f>
        <v>548.5752</v>
      </c>
    </row>
    <row r="224" spans="1:12">
      <c r="A224" s="23">
        <v>45890</v>
      </c>
      <c r="B224" s="21">
        <f>=H223</f>
        <v>10971504</v>
      </c>
      <c r="C224" s="25" t="s"/>
      <c r="D224" s="18" t="s"/>
      <c r="E224" s="18" t="s"/>
      <c r="F224" s="20" t="s"/>
      <c r="G224" s="26" t="s"/>
      <c r="H224" s="22">
        <f>=B224+C224+D224-E224-F224-G224</f>
        <v>10971504</v>
      </c>
      <c r="I224" s="22">
        <f>=H224/10000*2.5</f>
        <v>2742.876</v>
      </c>
      <c r="J224" s="22">
        <f>=J223+I224</f>
        <v>129132.15225</v>
      </c>
      <c r="K224" s="27">
        <f>=H224/10000*2</f>
        <v>2194.3008</v>
      </c>
      <c r="L224" s="27">
        <f>=I224-K224</f>
        <v>548.5752</v>
      </c>
    </row>
    <row r="225" spans="1:12">
      <c r="A225" s="23">
        <v>45891</v>
      </c>
      <c r="B225" s="21">
        <f>=H224</f>
        <v>10971504</v>
      </c>
      <c r="C225" s="25" t="s"/>
      <c r="D225" s="18" t="s"/>
      <c r="E225" s="18" t="s"/>
      <c r="F225" s="20" t="s"/>
      <c r="G225" s="26" t="s"/>
      <c r="H225" s="22">
        <f>=B225+C225+D225-E225-F225-G225</f>
        <v>10971504</v>
      </c>
      <c r="I225" s="22">
        <f>=H225/10000*2.5</f>
        <v>2742.876</v>
      </c>
      <c r="J225" s="22">
        <f>=J224+I225</f>
        <v>131875.02825</v>
      </c>
      <c r="K225" s="27">
        <f>=H225/10000*2</f>
        <v>2194.3008</v>
      </c>
      <c r="L225" s="27">
        <f>=I225-K225</f>
        <v>548.5752</v>
      </c>
    </row>
    <row r="226" spans="1:12">
      <c r="A226" s="23">
        <v>45892</v>
      </c>
      <c r="B226" s="21">
        <f>=H225</f>
        <v>10971504</v>
      </c>
      <c r="C226" s="25" t="s"/>
      <c r="D226" s="18" t="s"/>
      <c r="E226" s="18" t="s"/>
      <c r="F226" s="20" t="s"/>
      <c r="G226" s="26" t="s"/>
      <c r="H226" s="22">
        <f>=B226+C226+D226-E226-F226-G226</f>
        <v>10971504</v>
      </c>
      <c r="I226" s="22">
        <f>=H226/10000*2.5</f>
        <v>2742.876</v>
      </c>
      <c r="J226" s="22">
        <f>=J225+I226</f>
        <v>134617.90425</v>
      </c>
      <c r="K226" s="27">
        <f>=H226/10000*2</f>
        <v>2194.3008</v>
      </c>
      <c r="L226" s="27">
        <f>=I226-K226</f>
        <v>548.5752</v>
      </c>
    </row>
    <row r="227" spans="1:12">
      <c r="A227" s="23">
        <v>45893</v>
      </c>
      <c r="B227" s="21">
        <f>=H226</f>
        <v>10971504</v>
      </c>
      <c r="C227" s="25" t="s"/>
      <c r="D227" s="18" t="s"/>
      <c r="E227" s="18" t="s"/>
      <c r="F227" s="20" t="s"/>
      <c r="G227" s="26" t="s"/>
      <c r="H227" s="22">
        <f>=B227+C227+D227-E227-F227-G227</f>
        <v>10971504</v>
      </c>
      <c r="I227" s="22">
        <f>=H227/10000*2.5</f>
        <v>2742.876</v>
      </c>
      <c r="J227" s="22">
        <f>=J226+I227</f>
        <v>137360.78025</v>
      </c>
      <c r="K227" s="27">
        <f>=H227/10000*2</f>
        <v>2194.3008</v>
      </c>
      <c r="L227" s="27">
        <f>=I227-K227</f>
        <v>548.5752</v>
      </c>
    </row>
    <row r="228" spans="1:12">
      <c r="A228" s="23">
        <v>45894</v>
      </c>
      <c r="B228" s="21">
        <f>=H227</f>
        <v>10971504</v>
      </c>
      <c r="C228" s="25" t="s"/>
      <c r="D228" s="18" t="s"/>
      <c r="E228" s="18" t="s"/>
      <c r="F228" s="20" t="s"/>
      <c r="G228" s="26" t="s"/>
      <c r="H228" s="22">
        <f>=B228+C228+D228-E228-F228-G228</f>
        <v>10971504</v>
      </c>
      <c r="I228" s="22">
        <f>=H228/10000*2.5</f>
        <v>2742.876</v>
      </c>
      <c r="J228" s="22">
        <f>=J227+I228</f>
        <v>140103.65625</v>
      </c>
      <c r="K228" s="27">
        <f>=H228/10000*2</f>
        <v>2194.3008</v>
      </c>
      <c r="L228" s="27">
        <f>=I228-K228</f>
        <v>548.5752</v>
      </c>
    </row>
    <row r="229" spans="1:12">
      <c r="A229" s="23">
        <v>45895</v>
      </c>
      <c r="B229" s="21">
        <f>=H228</f>
        <v>10971504</v>
      </c>
      <c r="C229" s="25" t="s"/>
      <c r="D229" s="18" t="s"/>
      <c r="E229" s="18" t="s"/>
      <c r="F229" s="20" t="s"/>
      <c r="G229" s="26" t="s"/>
      <c r="H229" s="22">
        <f>=B229+C229+D229-E229-F229-G229</f>
        <v>10971504</v>
      </c>
      <c r="I229" s="22">
        <f>=H229/10000*2.5</f>
        <v>2742.876</v>
      </c>
      <c r="J229" s="22">
        <f>=J228+I229</f>
        <v>142846.53225</v>
      </c>
      <c r="K229" s="27">
        <f>=H229/10000*2</f>
        <v>2194.3008</v>
      </c>
      <c r="L229" s="27">
        <f>=I229-K229</f>
        <v>548.5752</v>
      </c>
    </row>
    <row r="230" spans="1:12">
      <c r="A230" s="23">
        <v>45896</v>
      </c>
      <c r="B230" s="21">
        <f>=H229</f>
        <v>10971504</v>
      </c>
      <c r="C230" s="25" t="s"/>
      <c r="D230" s="18" t="s"/>
      <c r="E230" s="18" t="s"/>
      <c r="F230" s="20" t="s"/>
      <c r="G230" s="26">
        <v>1185000</v>
      </c>
      <c r="H230" s="22">
        <f>=B230+C230+D230-E230-F230-G230</f>
        <v>9786504</v>
      </c>
      <c r="I230" s="22">
        <f>=H230/10000*2.5</f>
        <v>2446.626</v>
      </c>
      <c r="J230" s="22">
        <f>=J229+I230</f>
        <v>145293.15825</v>
      </c>
      <c r="K230" s="27">
        <f>=H230/10000*2</f>
        <v>1957.3008</v>
      </c>
      <c r="L230" s="27">
        <f>=I230-K230</f>
        <v>489.3252</v>
      </c>
    </row>
    <row r="231" spans="1:12">
      <c r="A231" s="23">
        <v>45897</v>
      </c>
      <c r="B231" s="21">
        <f>=H230</f>
        <v>9786504</v>
      </c>
      <c r="C231" s="25" t="s"/>
      <c r="D231" s="18" t="s"/>
      <c r="E231" s="18" t="s"/>
      <c r="F231" s="20" t="s"/>
      <c r="G231" s="26">
        <v>4188720</v>
      </c>
      <c r="H231" s="22">
        <f>=B231+C231+D231-E231-F231-G231</f>
        <v>5597784</v>
      </c>
      <c r="I231" s="22">
        <f>=H231/10000*2.5</f>
        <v>1399.446</v>
      </c>
      <c r="J231" s="22">
        <f>=J230+I231</f>
        <v>146692.60425</v>
      </c>
      <c r="K231" s="27">
        <f>=H231/10000*2</f>
        <v>1119.5568</v>
      </c>
      <c r="L231" s="27">
        <f>=I231-K231</f>
        <v>279.8892</v>
      </c>
    </row>
    <row r="232" spans="1:12">
      <c r="A232" s="23">
        <v>45898</v>
      </c>
      <c r="B232" s="21">
        <f>=H231</f>
        <v>5597784</v>
      </c>
      <c r="C232" s="25" t="s"/>
      <c r="D232" s="18" t="s"/>
      <c r="E232" s="18" t="s"/>
      <c r="F232" s="20" t="s"/>
      <c r="G232" s="26">
        <v>1779358</v>
      </c>
      <c r="H232" s="22">
        <f>=B232+C232+D232-E232-F232-G232</f>
        <v>3818426</v>
      </c>
      <c r="I232" s="22">
        <f>=H232/10000*2.5</f>
        <v>954.6065</v>
      </c>
      <c r="J232" s="22">
        <f>=J231+I232</f>
        <v>147647.21075</v>
      </c>
      <c r="K232" s="27">
        <f>=H232/10000*2</f>
        <v>763.6852</v>
      </c>
      <c r="L232" s="27">
        <f>=I232-K232</f>
        <v>190.9213</v>
      </c>
    </row>
    <row r="233" spans="1:12">
      <c r="A233" s="23">
        <v>45899</v>
      </c>
      <c r="B233" s="21">
        <f>=H232</f>
        <v>3818426</v>
      </c>
      <c r="C233" s="25" t="s"/>
      <c r="D233" s="18" t="s"/>
      <c r="E233" s="18" t="s"/>
      <c r="F233" s="20" t="s"/>
      <c r="G233" s="26" t="s"/>
      <c r="H233" s="22">
        <f>=B233+C233+D233-E233-F233-G233</f>
        <v>3818426</v>
      </c>
      <c r="I233" s="22">
        <f>=H233/10000*2.5</f>
        <v>954.6065</v>
      </c>
      <c r="J233" s="22">
        <f>=J232+I233</f>
        <v>148601.81725</v>
      </c>
      <c r="K233" s="27">
        <f>=H233/10000*2</f>
        <v>763.6852</v>
      </c>
      <c r="L233" s="27">
        <f>=I233-K233</f>
        <v>190.9213</v>
      </c>
    </row>
    <row r="234" spans="1:12">
      <c r="A234" s="23">
        <v>45900</v>
      </c>
      <c r="B234" s="21">
        <f>=H233</f>
        <v>3818426</v>
      </c>
      <c r="C234" s="25" t="s"/>
      <c r="D234" s="18" t="s"/>
      <c r="E234" s="18" t="s"/>
      <c r="F234" s="20" t="s"/>
      <c r="G234" s="26" t="s"/>
      <c r="H234" s="22">
        <f>=B234+C234+D234-E234-F234-G234</f>
        <v>3818426</v>
      </c>
      <c r="I234" s="22">
        <f>=H234/10000*2.5</f>
        <v>954.6065</v>
      </c>
      <c r="J234" s="22">
        <f>=J233+I234</f>
        <v>149556.42375</v>
      </c>
      <c r="K234" s="27">
        <f>=H234/10000*2</f>
        <v>763.6852</v>
      </c>
      <c r="L234" s="27">
        <f>=I234-K234</f>
        <v>190.9213</v>
      </c>
    </row>
    <row r="235" spans="1:12">
      <c r="A235" s="23">
        <v>45901</v>
      </c>
      <c r="B235" s="21">
        <f>=H234</f>
        <v>3818426</v>
      </c>
      <c r="C235" s="25" t="s"/>
      <c r="D235" s="18" t="s"/>
      <c r="E235" s="18" t="s"/>
      <c r="F235" s="20" t="s"/>
      <c r="G235" s="26">
        <v>487449</v>
      </c>
      <c r="H235" s="22">
        <f>=B235+C235+D235-E235-F235-G235</f>
        <v>3330977</v>
      </c>
      <c r="I235" s="22">
        <f>=H235/10000*2.5</f>
        <v>832.74425</v>
      </c>
      <c r="J235" s="22">
        <f>=J234+I235</f>
        <v>150389.168</v>
      </c>
      <c r="K235" s="27">
        <f>=H235/10000*2</f>
        <v>666.1954</v>
      </c>
      <c r="L235" s="27">
        <f>=I235-K235</f>
        <v>166.54885</v>
      </c>
    </row>
    <row r="236" spans="1:12">
      <c r="A236" s="23">
        <v>45902</v>
      </c>
      <c r="B236" s="21">
        <f>=H235</f>
        <v>3330977</v>
      </c>
      <c r="C236" s="25" t="s"/>
      <c r="D236" s="18" t="s"/>
      <c r="E236" s="18" t="s"/>
      <c r="F236" s="20" t="s"/>
      <c r="G236" s="26">
        <v>9332</v>
      </c>
      <c r="H236" s="22">
        <f>=B236+C236+D236-E236-F236-G236</f>
        <v>3321645</v>
      </c>
      <c r="I236" s="22">
        <f>=H236/10000*2.5</f>
        <v>830.41125</v>
      </c>
      <c r="J236" s="22">
        <f>=J235+I236</f>
        <v>151219.57925</v>
      </c>
      <c r="K236" s="27">
        <f>=H236/10000*2</f>
        <v>664.329</v>
      </c>
      <c r="L236" s="27">
        <f>=I236-K236</f>
        <v>166.08225</v>
      </c>
    </row>
    <row r="237" spans="1:12">
      <c r="A237" s="23">
        <v>45903</v>
      </c>
      <c r="B237" s="21">
        <f>=H236</f>
        <v>3321645</v>
      </c>
      <c r="C237" s="25" t="s"/>
      <c r="D237" s="18" t="s"/>
      <c r="E237" s="18" t="s"/>
      <c r="F237" s="20" t="s"/>
      <c r="G237" s="26">
        <v>1834624</v>
      </c>
      <c r="H237" s="22">
        <f>=B237+C237+D237-E237-F237-G237</f>
        <v>1487021</v>
      </c>
      <c r="I237" s="22">
        <f>=H237/10000*2.5</f>
        <v>371.75525</v>
      </c>
      <c r="J237" s="22">
        <f>=J236+I237</f>
        <v>151591.3345</v>
      </c>
      <c r="K237" s="27">
        <f>=H237/10000*2</f>
        <v>297.4042</v>
      </c>
      <c r="L237" s="27">
        <f>=I237-K237</f>
        <v>74.35105</v>
      </c>
    </row>
    <row r="238" spans="1:12">
      <c r="A238" s="23">
        <v>45904</v>
      </c>
      <c r="B238" s="21">
        <f>=H237</f>
        <v>1487021</v>
      </c>
      <c r="C238" s="25" t="s"/>
      <c r="D238" s="18" t="s"/>
      <c r="E238" s="18" t="s"/>
      <c r="F238" s="20" t="s"/>
      <c r="G238" s="26" t="s"/>
      <c r="H238" s="22">
        <f>=B238+C238+D238-E238-F238-G238</f>
        <v>1487021</v>
      </c>
      <c r="I238" s="22">
        <f>=H238/10000*2.5</f>
        <v>371.75525</v>
      </c>
      <c r="J238" s="22">
        <f>=J237+I238</f>
        <v>151963.08975</v>
      </c>
      <c r="K238" s="27">
        <f>=H238/10000*2</f>
        <v>297.4042</v>
      </c>
      <c r="L238" s="27">
        <f>=I238-K238</f>
        <v>74.35105</v>
      </c>
    </row>
    <row r="239" spans="1:12">
      <c r="A239" s="23">
        <v>45905</v>
      </c>
      <c r="B239" s="21">
        <f>=H238</f>
        <v>1487021</v>
      </c>
      <c r="C239" s="25" t="s"/>
      <c r="D239" s="18" t="s"/>
      <c r="E239" s="18" t="s"/>
      <c r="F239" s="20" t="s"/>
      <c r="G239" s="26" t="s"/>
      <c r="H239" s="22">
        <f>=B239+C239+D239-E239-F239-G239</f>
        <v>1487021</v>
      </c>
      <c r="I239" s="22">
        <f>=H239/10000*2.5</f>
        <v>371.75525</v>
      </c>
      <c r="J239" s="22">
        <f>=J238+I239</f>
        <v>152334.845</v>
      </c>
      <c r="K239" s="27">
        <f>=H239/10000*2</f>
        <v>297.4042</v>
      </c>
      <c r="L239" s="27">
        <f>=I239-K239</f>
        <v>74.35105</v>
      </c>
    </row>
    <row r="240" spans="1:12">
      <c r="A240" s="23">
        <v>45906</v>
      </c>
      <c r="B240" s="21">
        <f>=H239</f>
        <v>1487021</v>
      </c>
      <c r="C240" s="25" t="s"/>
      <c r="D240" s="18" t="s"/>
      <c r="E240" s="18" t="s"/>
      <c r="F240" s="20" t="s"/>
      <c r="G240" s="26" t="s"/>
      <c r="H240" s="22">
        <f>=B240+C240+D240-E240-F240-G240</f>
        <v>1487021</v>
      </c>
      <c r="I240" s="22">
        <f>=H240/10000*2.5</f>
        <v>371.75525</v>
      </c>
      <c r="J240" s="22">
        <f>=J239+I240</f>
        <v>152706.60025</v>
      </c>
      <c r="K240" s="27">
        <f>=H240/10000*2</f>
        <v>297.4042</v>
      </c>
      <c r="L240" s="27">
        <f>=I240-K240</f>
        <v>74.35105</v>
      </c>
    </row>
    <row r="241" spans="1:12">
      <c r="A241" s="23">
        <v>45907</v>
      </c>
      <c r="B241" s="21">
        <f>=H240</f>
        <v>1487021</v>
      </c>
      <c r="C241" s="25" t="s"/>
      <c r="D241" s="18" t="s"/>
      <c r="E241" s="18" t="s"/>
      <c r="F241" s="20" t="s"/>
      <c r="G241" s="26" t="s"/>
      <c r="H241" s="22">
        <f>=B241+C241+D241-E241-F241-G241</f>
        <v>1487021</v>
      </c>
      <c r="I241" s="22">
        <f>=H241/10000*2.5</f>
        <v>371.75525</v>
      </c>
      <c r="J241" s="22">
        <f>=J240+I241</f>
        <v>153078.3555</v>
      </c>
      <c r="K241" s="27">
        <f>=H241/10000*2</f>
        <v>297.4042</v>
      </c>
      <c r="L241" s="27">
        <f>=I241-K241</f>
        <v>74.35105</v>
      </c>
    </row>
    <row r="242" spans="1:12">
      <c r="A242" s="23">
        <v>45908</v>
      </c>
      <c r="B242" s="21">
        <f>=H241</f>
        <v>1487021</v>
      </c>
      <c r="C242" s="25" t="s"/>
      <c r="D242" s="18" t="s"/>
      <c r="E242" s="18" t="s"/>
      <c r="F242" s="20" t="s"/>
      <c r="G242" s="26" t="s"/>
      <c r="H242" s="22">
        <f>=B242+C242+D242-E242-F242-G242</f>
        <v>1487021</v>
      </c>
      <c r="I242" s="22">
        <f>=H242/10000*2.5</f>
        <v>371.75525</v>
      </c>
      <c r="J242" s="22">
        <f>=J241+I242</f>
        <v>153450.11075</v>
      </c>
      <c r="K242" s="27">
        <f>=H242/10000*2</f>
        <v>297.4042</v>
      </c>
      <c r="L242" s="27">
        <f>=I242-K242</f>
        <v>74.35105</v>
      </c>
    </row>
    <row r="243" spans="1:12">
      <c r="A243" s="23">
        <v>45909</v>
      </c>
      <c r="B243" s="21">
        <f>=H242</f>
        <v>1487021</v>
      </c>
      <c r="C243" s="25" t="s"/>
      <c r="D243" s="18" t="s"/>
      <c r="E243" s="18" t="s"/>
      <c r="F243" s="20" t="s"/>
      <c r="G243" s="26">
        <v>327225</v>
      </c>
      <c r="H243" s="22">
        <f>=B243+C243+D243-E243-F243-G243</f>
        <v>1159796</v>
      </c>
      <c r="I243" s="22">
        <f>=H243/10000*2.5</f>
        <v>289.949</v>
      </c>
      <c r="J243" s="22">
        <f>=J242+I243</f>
        <v>153740.05975</v>
      </c>
      <c r="K243" s="27">
        <f>=H243/10000*2</f>
        <v>231.9592</v>
      </c>
      <c r="L243" s="27">
        <f>=I243-K243</f>
        <v>57.9898</v>
      </c>
    </row>
    <row r="244" spans="1:12">
      <c r="A244" s="23">
        <v>45910</v>
      </c>
      <c r="B244" s="21">
        <f>=H243</f>
        <v>1159796</v>
      </c>
      <c r="C244" s="25" t="s"/>
      <c r="D244" s="18" t="s"/>
      <c r="E244" s="18" t="s"/>
      <c r="F244" s="20" t="s"/>
      <c r="G244" s="26" t="s"/>
      <c r="H244" s="22">
        <f>=B244+C244+D244-E244-F244-G244</f>
        <v>1159796</v>
      </c>
      <c r="I244" s="22">
        <f>=H244/10000*2.5</f>
        <v>289.949</v>
      </c>
      <c r="J244" s="22">
        <f>=J243+I244</f>
        <v>154030.00875</v>
      </c>
      <c r="K244" s="27">
        <f>=H244/10000*2</f>
        <v>231.9592</v>
      </c>
      <c r="L244" s="27">
        <f>=I244-K244</f>
        <v>57.9898</v>
      </c>
    </row>
    <row r="245" spans="1:12">
      <c r="A245" s="23">
        <v>45911</v>
      </c>
      <c r="B245" s="21">
        <f>=H244</f>
        <v>1159796</v>
      </c>
      <c r="C245" s="25" t="s"/>
      <c r="D245" s="18" t="s"/>
      <c r="E245" s="18" t="s"/>
      <c r="F245" s="20" t="s"/>
      <c r="G245" s="26" t="s"/>
      <c r="H245" s="22">
        <f>=B245+C245+D245-E245-F245-G245</f>
        <v>1159796</v>
      </c>
      <c r="I245" s="22">
        <f>=H245/10000*2.5</f>
        <v>289.949</v>
      </c>
      <c r="J245" s="22">
        <f>=J244+I245</f>
        <v>154319.95775</v>
      </c>
      <c r="K245" s="27">
        <f>=H245/10000*2</f>
        <v>231.9592</v>
      </c>
      <c r="L245" s="27">
        <f>=I245-K245</f>
        <v>57.9898</v>
      </c>
    </row>
    <row r="246" spans="1:12">
      <c r="A246" s="23">
        <v>45912</v>
      </c>
      <c r="B246" s="21">
        <f>=H245</f>
        <v>1159796</v>
      </c>
      <c r="C246" s="25" t="s"/>
      <c r="D246" s="18" t="s"/>
      <c r="E246" s="18" t="s"/>
      <c r="F246" s="20" t="s"/>
      <c r="G246" s="26" t="s"/>
      <c r="H246" s="22">
        <f>=B246+C246+D246-E246-F246-G246</f>
        <v>1159796</v>
      </c>
      <c r="I246" s="22">
        <f>=H246/10000*2.5</f>
        <v>289.949</v>
      </c>
      <c r="J246" s="22">
        <f>=J245+I246</f>
        <v>154609.90675</v>
      </c>
      <c r="K246" s="27">
        <f>=H246/10000*2</f>
        <v>231.9592</v>
      </c>
      <c r="L246" s="27">
        <f>=I246-K246</f>
        <v>57.9898</v>
      </c>
    </row>
    <row r="247" spans="1:12">
      <c r="A247" s="23">
        <v>45913</v>
      </c>
      <c r="B247" s="21">
        <f>=H246</f>
        <v>1159796</v>
      </c>
      <c r="C247" s="25" t="s"/>
      <c r="D247" s="18" t="s"/>
      <c r="E247" s="18" t="s"/>
      <c r="F247" s="20" t="s"/>
      <c r="G247" s="26" t="s"/>
      <c r="H247" s="22">
        <f>=B247+C247+D247-E247-F247-G247</f>
        <v>1159796</v>
      </c>
      <c r="I247" s="22">
        <f>=H247/10000*2.5</f>
        <v>289.949</v>
      </c>
      <c r="J247" s="22">
        <f>=J246+I247</f>
        <v>154899.85575</v>
      </c>
      <c r="K247" s="27">
        <f>=H247/10000*2</f>
        <v>231.9592</v>
      </c>
      <c r="L247" s="27">
        <f>=I247-K247</f>
        <v>57.9898</v>
      </c>
    </row>
    <row r="248" spans="1:12">
      <c r="A248" s="23">
        <v>45914</v>
      </c>
      <c r="B248" s="21">
        <f>=H247</f>
        <v>1159796</v>
      </c>
      <c r="C248" s="25" t="s"/>
      <c r="D248" s="18" t="s"/>
      <c r="E248" s="18" t="s"/>
      <c r="F248" s="20" t="s"/>
      <c r="G248" s="26" t="s"/>
      <c r="H248" s="22">
        <f>=B248+C248+D248-E248-F248-G248</f>
        <v>1159796</v>
      </c>
      <c r="I248" s="22">
        <f>=H248/10000*2.5</f>
        <v>289.949</v>
      </c>
      <c r="J248" s="22">
        <f>=J247+I248</f>
        <v>155189.80475</v>
      </c>
      <c r="K248" s="27">
        <f>=H248/10000*2</f>
        <v>231.9592</v>
      </c>
      <c r="L248" s="27">
        <f>=I248-K248</f>
        <v>57.9898</v>
      </c>
    </row>
    <row r="249" spans="1:12">
      <c r="A249" s="23">
        <v>45915</v>
      </c>
      <c r="B249" s="21">
        <f>=H248</f>
        <v>1159796</v>
      </c>
      <c r="C249" s="25" t="s"/>
      <c r="D249" s="18" t="s"/>
      <c r="E249" s="18" t="s"/>
      <c r="F249" s="20" t="s"/>
      <c r="G249" s="26" t="s"/>
      <c r="H249" s="22">
        <f>=B249+C249+D249-E249-F249-G249</f>
        <v>1159796</v>
      </c>
      <c r="I249" s="22">
        <f>=H249/10000*2.5</f>
        <v>289.949</v>
      </c>
      <c r="J249" s="22">
        <f>=J248+I249</f>
        <v>155479.75375</v>
      </c>
      <c r="K249" s="27">
        <f>=H249/10000*2</f>
        <v>231.9592</v>
      </c>
      <c r="L249" s="27">
        <f>=I249-K249</f>
        <v>57.9898</v>
      </c>
    </row>
    <row r="250" spans="1:12">
      <c r="A250" s="23">
        <v>45916</v>
      </c>
      <c r="B250" s="21">
        <f>=H249</f>
        <v>1159796</v>
      </c>
      <c r="C250" s="25" t="s"/>
      <c r="D250" s="18" t="s"/>
      <c r="E250" s="18" t="s"/>
      <c r="F250" s="20" t="s"/>
      <c r="G250" s="26" t="s"/>
      <c r="H250" s="22">
        <f>=B250+C250+D250-E250-F250-G250</f>
        <v>1159796</v>
      </c>
      <c r="I250" s="22">
        <f>=H250/10000*2.5</f>
        <v>289.949</v>
      </c>
      <c r="J250" s="22">
        <f>=J249+I250</f>
        <v>155769.70275</v>
      </c>
      <c r="K250" s="27">
        <f>=H250/10000*2</f>
        <v>231.9592</v>
      </c>
      <c r="L250" s="27">
        <f>=I250-K250</f>
        <v>57.9898</v>
      </c>
    </row>
    <row r="251" spans="1:12">
      <c r="A251" s="23">
        <v>45917</v>
      </c>
      <c r="B251" s="21">
        <f>=H250</f>
        <v>1159796</v>
      </c>
      <c r="C251" s="25" t="s"/>
      <c r="D251" s="18" t="s"/>
      <c r="E251" s="18" t="s"/>
      <c r="F251" s="20" t="s"/>
      <c r="G251" s="26" t="s"/>
      <c r="H251" s="22">
        <f>=B251+C251+D251-E251-F251-G251</f>
        <v>1159796</v>
      </c>
      <c r="I251" s="22">
        <f>=H251/10000*2.5</f>
        <v>289.949</v>
      </c>
      <c r="J251" s="22">
        <f>=J250+I251</f>
        <v>156059.65175</v>
      </c>
      <c r="K251" s="27">
        <f>=H251/10000*2</f>
        <v>231.9592</v>
      </c>
      <c r="L251" s="27">
        <f>=I251-K251</f>
        <v>57.9898</v>
      </c>
    </row>
    <row r="252" spans="1:12">
      <c r="A252" s="23">
        <v>45918</v>
      </c>
      <c r="B252" s="21">
        <f>=H251</f>
        <v>1159796</v>
      </c>
      <c r="C252" s="25" t="s"/>
      <c r="D252" s="18" t="s"/>
      <c r="E252" s="18" t="s"/>
      <c r="F252" s="20" t="s"/>
      <c r="G252" s="26" t="s"/>
      <c r="H252" s="22">
        <f>=B252+C252+D252-E252-F252-G252</f>
        <v>1159796</v>
      </c>
      <c r="I252" s="22">
        <f>=H252/10000*2.5</f>
        <v>289.949</v>
      </c>
      <c r="J252" s="22">
        <f>=J251+I252</f>
        <v>156349.60075</v>
      </c>
      <c r="K252" s="27">
        <f>=H252/10000*2</f>
        <v>231.9592</v>
      </c>
      <c r="L252" s="27">
        <f>=I252-K252</f>
        <v>57.9898</v>
      </c>
    </row>
    <row r="253" spans="1:12">
      <c r="A253" s="23">
        <v>45919</v>
      </c>
      <c r="B253" s="21">
        <f>=H252</f>
        <v>1159796</v>
      </c>
      <c r="C253" s="25" t="s"/>
      <c r="D253" s="18" t="s"/>
      <c r="E253" s="18" t="s"/>
      <c r="F253" s="20" t="s"/>
      <c r="G253" s="26">
        <v>318435</v>
      </c>
      <c r="H253" s="22">
        <f>=B253+C253+D253-E253-F253-G253</f>
        <v>841361</v>
      </c>
      <c r="I253" s="22">
        <f>=H253/10000*2.5</f>
        <v>210.34025</v>
      </c>
      <c r="J253" s="22">
        <f>=J252+I253</f>
        <v>156559.941</v>
      </c>
      <c r="K253" s="27">
        <f>=H253/10000*2</f>
        <v>168.2722</v>
      </c>
      <c r="L253" s="27">
        <f>=I253-K253</f>
        <v>42.06805</v>
      </c>
    </row>
    <row r="254" spans="1:12">
      <c r="A254" s="23">
        <v>45920</v>
      </c>
      <c r="B254" s="21">
        <f>=H253</f>
        <v>841361</v>
      </c>
      <c r="C254" s="25" t="s"/>
      <c r="D254" s="18" t="s"/>
      <c r="E254" s="18" t="s"/>
      <c r="F254" s="20" t="s"/>
      <c r="G254" s="26" t="s"/>
      <c r="H254" s="22">
        <f>=B254+C254+D254-E254-F254-G254</f>
        <v>841361</v>
      </c>
      <c r="I254" s="22">
        <f>=H254/10000*2.5</f>
        <v>210.34025</v>
      </c>
      <c r="J254" s="22">
        <f>=J253+I254</f>
        <v>156770.28125</v>
      </c>
      <c r="K254" s="27">
        <f>=H254/10000*2</f>
        <v>168.2722</v>
      </c>
      <c r="L254" s="27">
        <f>=I254-K254</f>
        <v>42.06805</v>
      </c>
    </row>
    <row r="255" spans="1:12">
      <c r="A255" s="23">
        <v>45921</v>
      </c>
      <c r="B255" s="21">
        <f>=H254</f>
        <v>841361</v>
      </c>
      <c r="C255" s="25" t="s"/>
      <c r="D255" s="18" t="s"/>
      <c r="E255" s="18" t="s"/>
      <c r="F255" s="20" t="s"/>
      <c r="G255" s="26" t="s"/>
      <c r="H255" s="22">
        <f>=B255+C255+D255-E255-F255-G255</f>
        <v>841361</v>
      </c>
      <c r="I255" s="22">
        <f>=H255/10000*2.5</f>
        <v>210.34025</v>
      </c>
      <c r="J255" s="22">
        <f>=J254+I255</f>
        <v>156980.6215</v>
      </c>
      <c r="K255" s="27">
        <f>=H255/10000*2</f>
        <v>168.2722</v>
      </c>
      <c r="L255" s="27">
        <f>=I255-K255</f>
        <v>42.06805</v>
      </c>
    </row>
    <row r="256" spans="1:12">
      <c r="A256" s="23">
        <v>45922</v>
      </c>
      <c r="B256" s="21">
        <f>=H255</f>
        <v>841361</v>
      </c>
      <c r="C256" s="25" t="s"/>
      <c r="D256" s="18" t="s"/>
      <c r="E256" s="18" t="s"/>
      <c r="F256" s="20" t="s"/>
      <c r="G256" s="26" t="s"/>
      <c r="H256" s="22">
        <f>=B256+C256+D256-E256-F256-G256</f>
        <v>841361</v>
      </c>
      <c r="I256" s="22">
        <f>=H256/10000*2.5</f>
        <v>210.34025</v>
      </c>
      <c r="J256" s="22">
        <f>=J255+I256</f>
        <v>157190.96175</v>
      </c>
      <c r="K256" s="27">
        <f>=H256/10000*2</f>
        <v>168.2722</v>
      </c>
      <c r="L256" s="27">
        <f>=I256-K256</f>
        <v>42.06805</v>
      </c>
    </row>
    <row r="257" spans="1:12">
      <c r="A257" s="23">
        <v>45923</v>
      </c>
      <c r="B257" s="21">
        <f>=H256</f>
        <v>841361</v>
      </c>
      <c r="C257" s="25" t="s"/>
      <c r="D257" s="18" t="s"/>
      <c r="E257" s="18" t="s"/>
      <c r="F257" s="20" t="s"/>
      <c r="G257" s="26" t="s"/>
      <c r="H257" s="22">
        <f>=B257+C257+D257-E257-F257-G257</f>
        <v>841361</v>
      </c>
      <c r="I257" s="22">
        <f>=H257/10000*2.5</f>
        <v>210.34025</v>
      </c>
      <c r="J257" s="22">
        <f>=J256+I257</f>
        <v>157401.302</v>
      </c>
      <c r="K257" s="27">
        <f>=H257/10000*2</f>
        <v>168.2722</v>
      </c>
      <c r="L257" s="27">
        <f>=I257-K257</f>
        <v>42.06805</v>
      </c>
    </row>
    <row r="258" spans="1:12">
      <c r="A258" s="23">
        <v>45924</v>
      </c>
      <c r="B258" s="21">
        <f>=H257</f>
        <v>841361</v>
      </c>
      <c r="C258" s="25">
        <v>2103894</v>
      </c>
      <c r="D258" s="18" t="s"/>
      <c r="E258" s="18" t="s"/>
      <c r="F258" s="20" t="s"/>
      <c r="G258" s="26" t="s"/>
      <c r="H258" s="22">
        <f>=B258+C258+D258-E258-F258-G258</f>
        <v>2945255</v>
      </c>
      <c r="I258" s="22">
        <f>=H258/10000*2.5</f>
        <v>736.31375</v>
      </c>
      <c r="J258" s="22">
        <f>=J257+I258</f>
        <v>158137.61575</v>
      </c>
      <c r="K258" s="27">
        <f>=H258/10000*2</f>
        <v>589.051</v>
      </c>
      <c r="L258" s="27">
        <f>=I258-K258</f>
        <v>147.26275</v>
      </c>
    </row>
    <row r="259" spans="1:12">
      <c r="A259" s="23">
        <v>45925</v>
      </c>
      <c r="B259" s="21">
        <f>=H258</f>
        <v>2945255</v>
      </c>
      <c r="C259" s="25" t="s"/>
      <c r="D259" s="18" t="s"/>
      <c r="E259" s="18" t="s"/>
      <c r="F259" s="20" t="s"/>
      <c r="G259" s="26" t="s"/>
      <c r="H259" s="22">
        <f>=B259+C259+D259-E259-F259-G259</f>
        <v>2945255</v>
      </c>
      <c r="I259" s="22">
        <f>=H259/10000*2.5</f>
        <v>736.31375</v>
      </c>
      <c r="J259" s="22">
        <f>=J258+I259</f>
        <v>158873.9295</v>
      </c>
      <c r="K259" s="27">
        <f>=H259/10000*2</f>
        <v>589.051</v>
      </c>
      <c r="L259" s="27">
        <f>=I259-K259</f>
        <v>147.26275</v>
      </c>
    </row>
    <row r="260" spans="1:12">
      <c r="A260" s="23">
        <v>45926</v>
      </c>
      <c r="B260" s="21">
        <f>=H259</f>
        <v>2945255</v>
      </c>
      <c r="C260" s="25" t="s"/>
      <c r="D260" s="18" t="s"/>
      <c r="E260" s="18" t="s"/>
      <c r="F260" s="20" t="s"/>
      <c r="G260" s="26" t="s"/>
      <c r="H260" s="22">
        <f>=B260+C260+D260-E260-F260-G260</f>
        <v>2945255</v>
      </c>
      <c r="I260" s="22">
        <f>=H260/10000*2.5</f>
        <v>736.31375</v>
      </c>
      <c r="J260" s="22">
        <f>=J259+I260</f>
        <v>159610.24325</v>
      </c>
      <c r="K260" s="27">
        <f>=H260/10000*2</f>
        <v>589.051</v>
      </c>
      <c r="L260" s="27">
        <f>=I260-K260</f>
        <v>147.26275</v>
      </c>
    </row>
    <row r="261" spans="1:12">
      <c r="A261" s="23">
        <v>45927</v>
      </c>
      <c r="B261" s="21">
        <f>=H260</f>
        <v>2945255</v>
      </c>
      <c r="C261" s="25" t="s"/>
      <c r="D261" s="18" t="s"/>
      <c r="E261" s="18" t="s"/>
      <c r="F261" s="20" t="s"/>
      <c r="G261" s="26" t="s"/>
      <c r="H261" s="22">
        <f>=B261+C261+D261-E261-F261-G261</f>
        <v>2945255</v>
      </c>
      <c r="I261" s="22">
        <f>=H261/10000*2.5</f>
        <v>736.31375</v>
      </c>
      <c r="J261" s="22">
        <f>=J260+I261</f>
        <v>160346.557</v>
      </c>
      <c r="K261" s="27">
        <f>=H261/10000*2</f>
        <v>589.051</v>
      </c>
      <c r="L261" s="27">
        <f>=I261-K261</f>
        <v>147.26275</v>
      </c>
    </row>
    <row r="262" spans="1:12">
      <c r="A262" s="23">
        <v>45928</v>
      </c>
      <c r="B262" s="21">
        <f>=H261</f>
        <v>2945255</v>
      </c>
      <c r="C262" s="25" t="s"/>
      <c r="D262" s="18" t="s"/>
      <c r="E262" s="18" t="s"/>
      <c r="F262" s="20" t="s"/>
      <c r="G262" s="26" t="s"/>
      <c r="H262" s="22">
        <f>=B262+C262+D262-E262-F262-G262</f>
        <v>2945255</v>
      </c>
      <c r="I262" s="22">
        <f>=H262/10000*2.5</f>
        <v>736.31375</v>
      </c>
      <c r="J262" s="22">
        <f>=J261+I262</f>
        <v>161082.87075</v>
      </c>
      <c r="K262" s="27">
        <f>=H262/10000*2</f>
        <v>589.051</v>
      </c>
      <c r="L262" s="27">
        <f>=I262-K262</f>
        <v>147.26275</v>
      </c>
    </row>
    <row r="263" spans="1:12">
      <c r="A263" s="23">
        <v>45929</v>
      </c>
      <c r="B263" s="21">
        <f>=H262</f>
        <v>2945255</v>
      </c>
      <c r="C263" s="25">
        <v>326480</v>
      </c>
      <c r="D263" s="18" t="s"/>
      <c r="E263" s="18" t="s"/>
      <c r="F263" s="20" t="s"/>
      <c r="G263" s="26" t="s"/>
      <c r="H263" s="22">
        <f>=B263+C263+D263-E263-F263-G263</f>
        <v>3271735</v>
      </c>
      <c r="I263" s="22">
        <f>=H263/10000*2.5</f>
        <v>817.93375</v>
      </c>
      <c r="J263" s="22">
        <f>=J262+I263</f>
        <v>161900.8045</v>
      </c>
      <c r="K263" s="27">
        <f>=H263/10000*2</f>
        <v>654.347</v>
      </c>
      <c r="L263" s="27">
        <f>=I263-K263</f>
        <v>163.58675</v>
      </c>
    </row>
    <row r="264" spans="1:12">
      <c r="A264" s="23">
        <v>45930</v>
      </c>
      <c r="B264" s="21">
        <f>=H263</f>
        <v>3271735</v>
      </c>
      <c r="C264" s="25" t="s"/>
      <c r="D264" s="18" t="s"/>
      <c r="E264" s="18" t="s"/>
      <c r="F264" s="20" t="s"/>
      <c r="G264" s="26" t="s"/>
      <c r="H264" s="22">
        <f>=B264+C264+D264-E264-F264-G264</f>
        <v>3271735</v>
      </c>
      <c r="I264" s="22">
        <f>=H264/10000*2.5</f>
        <v>817.93375</v>
      </c>
      <c r="J264" s="22">
        <f>=J263+I264</f>
        <v>162718.73825</v>
      </c>
      <c r="K264" s="27">
        <f>=H264/10000*2</f>
        <v>654.347</v>
      </c>
      <c r="L264" s="27">
        <f>=I264-K264</f>
        <v>163.58675</v>
      </c>
    </row>
    <row r="265" spans="1:12">
      <c r="A265" s="23">
        <v>45931</v>
      </c>
      <c r="B265" s="21">
        <f>=H264</f>
        <v>3271735</v>
      </c>
      <c r="C265" s="25" t="s"/>
      <c r="D265" s="18" t="s"/>
      <c r="E265" s="18" t="s"/>
      <c r="F265" s="20" t="s"/>
      <c r="G265" s="26" t="s"/>
      <c r="H265" s="22">
        <f>=B265+C265+D265-E265-F265-G265</f>
        <v>3271735</v>
      </c>
      <c r="I265" s="22">
        <f>=H265/10000*2.5</f>
        <v>817.93375</v>
      </c>
      <c r="J265" s="22">
        <f>=J264+I265</f>
        <v>163536.672</v>
      </c>
      <c r="K265" s="27">
        <f>=H265/10000*2</f>
        <v>654.347</v>
      </c>
      <c r="L265" s="27">
        <f>=I265-K265</f>
        <v>163.58675</v>
      </c>
    </row>
    <row r="266" spans="1:12">
      <c r="A266" s="23">
        <v>45932</v>
      </c>
      <c r="B266" s="21">
        <f>=H265</f>
        <v>3271735</v>
      </c>
      <c r="C266" s="25" t="s"/>
      <c r="D266" s="18" t="s"/>
      <c r="E266" s="18" t="s"/>
      <c r="F266" s="20" t="s"/>
      <c r="G266" s="26">
        <v>15970</v>
      </c>
      <c r="H266" s="22">
        <f>=B266+C266+D266-E266-F266-G266</f>
        <v>3255765</v>
      </c>
      <c r="I266" s="22">
        <f>=H266/10000*2.5</f>
        <v>813.94125</v>
      </c>
      <c r="J266" s="22">
        <f>=J265+I266</f>
        <v>164350.61325</v>
      </c>
      <c r="K266" s="27">
        <f>=H266/10000*2</f>
        <v>651.153</v>
      </c>
      <c r="L266" s="27">
        <f>=I266-K266</f>
        <v>162.78825</v>
      </c>
    </row>
    <row r="267" spans="1:12">
      <c r="A267" s="23">
        <v>45933</v>
      </c>
      <c r="B267" s="21">
        <f>=H266</f>
        <v>3255765</v>
      </c>
      <c r="C267" s="25" t="s"/>
      <c r="D267" s="18" t="s"/>
      <c r="E267" s="18" t="s"/>
      <c r="F267" s="20" t="s"/>
      <c r="G267" s="26" t="s"/>
      <c r="H267" s="22">
        <f>=B267+C267+D267-E267-F267-G267</f>
        <v>3255765</v>
      </c>
      <c r="I267" s="22">
        <f>=H267/10000*2.5</f>
        <v>813.94125</v>
      </c>
      <c r="J267" s="22">
        <f>=J266+I267</f>
        <v>165164.5545</v>
      </c>
      <c r="K267" s="27">
        <f>=H267/10000*2</f>
        <v>651.153</v>
      </c>
      <c r="L267" s="27">
        <f>=I267-K267</f>
        <v>162.78825</v>
      </c>
    </row>
    <row r="268" spans="1:12">
      <c r="A268" s="23">
        <v>45934</v>
      </c>
      <c r="B268" s="21">
        <f>=H267</f>
        <v>3255765</v>
      </c>
      <c r="C268" s="25" t="s"/>
      <c r="D268" s="18" t="s"/>
      <c r="E268" s="18" t="s"/>
      <c r="F268" s="20" t="s"/>
      <c r="G268" s="26" t="s"/>
      <c r="H268" s="22">
        <f>=B268+C268+D268-E268-F268-G268</f>
        <v>3255765</v>
      </c>
      <c r="I268" s="22">
        <f>=H268/10000*2.5</f>
        <v>813.94125</v>
      </c>
      <c r="J268" s="22">
        <f>=J267+I268</f>
        <v>165978.49575</v>
      </c>
      <c r="K268" s="27">
        <f>=H268/10000*2</f>
        <v>651.153</v>
      </c>
      <c r="L268" s="27">
        <f>=I268-K268</f>
        <v>162.78825</v>
      </c>
    </row>
    <row r="269" spans="1:12">
      <c r="A269" s="23">
        <v>45935</v>
      </c>
      <c r="B269" s="21">
        <f>=H268</f>
        <v>3255765</v>
      </c>
      <c r="C269" s="25" t="s"/>
      <c r="D269" s="18" t="s"/>
      <c r="E269" s="18" t="s"/>
      <c r="F269" s="20" t="s"/>
      <c r="G269" s="26" t="s"/>
      <c r="H269" s="22">
        <f>=B269+C269+D269-E269-F269-G269</f>
        <v>3255765</v>
      </c>
      <c r="I269" s="22">
        <f>=H269/10000*2.5</f>
        <v>813.94125</v>
      </c>
      <c r="J269" s="22">
        <f>=J268+I269</f>
        <v>166792.437</v>
      </c>
      <c r="K269" s="27">
        <f>=H269/10000*2</f>
        <v>651.153</v>
      </c>
      <c r="L269" s="27">
        <f>=I269-K269</f>
        <v>162.78825</v>
      </c>
    </row>
    <row r="270" spans="1:12">
      <c r="A270" s="23">
        <v>45936</v>
      </c>
      <c r="B270" s="21">
        <f>=H269</f>
        <v>3255765</v>
      </c>
      <c r="C270" s="25" t="s"/>
      <c r="D270" s="18" t="s"/>
      <c r="E270" s="18" t="s"/>
      <c r="F270" s="20" t="s"/>
      <c r="G270" s="26" t="s"/>
      <c r="H270" s="22">
        <f>=B270+C270+D270-E270-F270-G270</f>
        <v>3255765</v>
      </c>
      <c r="I270" s="22">
        <f>=H270/10000*2.5</f>
        <v>813.94125</v>
      </c>
      <c r="J270" s="22">
        <f>=J269+I270</f>
        <v>167606.37825</v>
      </c>
      <c r="K270" s="27">
        <f>=H270/10000*2</f>
        <v>651.153</v>
      </c>
      <c r="L270" s="27">
        <f>=I270-K270</f>
        <v>162.78825</v>
      </c>
    </row>
    <row r="271" spans="1:12">
      <c r="A271" s="23">
        <v>45937</v>
      </c>
      <c r="B271" s="21">
        <f>=H270</f>
        <v>3255765</v>
      </c>
      <c r="C271" s="25" t="s"/>
      <c r="D271" s="18" t="s"/>
      <c r="E271" s="18" t="s"/>
      <c r="F271" s="20" t="s"/>
      <c r="G271" s="26" t="s"/>
      <c r="H271" s="22">
        <f>=B271+C271+D271-E271-F271-G271</f>
        <v>3255765</v>
      </c>
      <c r="I271" s="22">
        <f>=H271/10000*2.5</f>
        <v>813.94125</v>
      </c>
      <c r="J271" s="22">
        <f>=J270+I271</f>
        <v>168420.3195</v>
      </c>
      <c r="K271" s="27">
        <f>=H271/10000*2</f>
        <v>651.153</v>
      </c>
      <c r="L271" s="27">
        <f>=I271-K271</f>
        <v>162.78825</v>
      </c>
    </row>
    <row r="272" spans="1:12">
      <c r="A272" s="23">
        <v>45938</v>
      </c>
      <c r="B272" s="21">
        <f>=H271</f>
        <v>3255765</v>
      </c>
      <c r="C272" s="25" t="s"/>
      <c r="D272" s="18" t="s"/>
      <c r="E272" s="18" t="s"/>
      <c r="F272" s="20" t="s"/>
      <c r="G272" s="26" t="s"/>
      <c r="H272" s="22">
        <f>=B272+C272+D272-E272-F272-G272</f>
        <v>3255765</v>
      </c>
      <c r="I272" s="22">
        <f>=H272/10000*2.5</f>
        <v>813.94125</v>
      </c>
      <c r="J272" s="22">
        <f>=J271+I272</f>
        <v>169234.26075</v>
      </c>
      <c r="K272" s="27">
        <f>=H272/10000*2</f>
        <v>651.153</v>
      </c>
      <c r="L272" s="27">
        <f>=I272-K272</f>
        <v>162.78825</v>
      </c>
    </row>
    <row r="273" spans="1:12">
      <c r="A273" s="23">
        <v>45939</v>
      </c>
      <c r="B273" s="21">
        <f>=H272</f>
        <v>3255765</v>
      </c>
      <c r="C273" s="25" t="s"/>
      <c r="D273" s="18" t="s"/>
      <c r="E273" s="18" t="s"/>
      <c r="F273" s="20" t="s"/>
      <c r="G273" s="26" t="s"/>
      <c r="H273" s="22">
        <f>=B273+C273+D273-E273-F273-G273</f>
        <v>3255765</v>
      </c>
      <c r="I273" s="22">
        <f>=H273/10000*2.5</f>
        <v>813.94125</v>
      </c>
      <c r="J273" s="22">
        <f>=J272+I273</f>
        <v>170048.202</v>
      </c>
      <c r="K273" s="27">
        <f>=H273/10000*2</f>
        <v>651.153</v>
      </c>
      <c r="L273" s="27">
        <f>=I273-K273</f>
        <v>162.78825</v>
      </c>
    </row>
    <row r="274" spans="1:12">
      <c r="A274" s="23">
        <v>45940</v>
      </c>
      <c r="B274" s="21">
        <f>=H273</f>
        <v>3255765</v>
      </c>
      <c r="C274" s="25" t="s"/>
      <c r="D274" s="18" t="s"/>
      <c r="E274" s="18" t="s"/>
      <c r="F274" s="20" t="s"/>
      <c r="G274" s="26" t="s"/>
      <c r="H274" s="22">
        <f>=B274+C274+D274-E274-F274-G274</f>
        <v>3255765</v>
      </c>
      <c r="I274" s="22">
        <f>=H274/10000*2.5</f>
        <v>813.94125</v>
      </c>
      <c r="J274" s="22">
        <f>=J273+I274</f>
        <v>170862.14325</v>
      </c>
      <c r="K274" s="27">
        <f>=H274/10000*2</f>
        <v>651.153</v>
      </c>
      <c r="L274" s="27">
        <f>=I274-K274</f>
        <v>162.78825</v>
      </c>
    </row>
    <row r="275" spans="1:12">
      <c r="A275" s="23">
        <v>45941</v>
      </c>
      <c r="B275" s="21">
        <f>=H274</f>
        <v>3255765</v>
      </c>
      <c r="C275" s="25" t="s"/>
      <c r="D275" s="18" t="s"/>
      <c r="E275" s="18" t="s"/>
      <c r="F275" s="20" t="s"/>
      <c r="G275" s="26" t="s"/>
      <c r="H275" s="22">
        <f>=B275+C275+D275-E275-F275-G275</f>
        <v>3255765</v>
      </c>
      <c r="I275" s="22">
        <f>=H275/10000*2.5</f>
        <v>813.94125</v>
      </c>
      <c r="J275" s="22">
        <f>=J274+I275</f>
        <v>171676.0845</v>
      </c>
      <c r="K275" s="27">
        <f>=H275/10000*2</f>
        <v>651.153</v>
      </c>
      <c r="L275" s="27">
        <f>=I275-K275</f>
        <v>162.78825</v>
      </c>
    </row>
    <row r="276" spans="1:12">
      <c r="A276" s="23">
        <v>45942</v>
      </c>
      <c r="B276" s="21">
        <f>=H275</f>
        <v>3255765</v>
      </c>
      <c r="C276" s="25" t="s"/>
      <c r="D276" s="18" t="s"/>
      <c r="E276" s="18" t="s"/>
      <c r="F276" s="20" t="s"/>
      <c r="G276" s="26" t="s"/>
      <c r="H276" s="22">
        <f>=B276+C276+D276-E276-F276-G276</f>
        <v>3255765</v>
      </c>
      <c r="I276" s="22">
        <f>=H276/10000*2.5</f>
        <v>813.94125</v>
      </c>
      <c r="J276" s="22">
        <f>=J275+I276</f>
        <v>172490.02575</v>
      </c>
      <c r="K276" s="27">
        <f>=H276/10000*2</f>
        <v>651.153</v>
      </c>
      <c r="L276" s="27">
        <f>=I276-K276</f>
        <v>162.78825</v>
      </c>
    </row>
    <row r="277" spans="1:12">
      <c r="A277" s="23">
        <v>45943</v>
      </c>
      <c r="B277" s="21">
        <f>=H276</f>
        <v>3255765</v>
      </c>
      <c r="C277" s="25">
        <v>1540200</v>
      </c>
      <c r="D277" s="18" t="s"/>
      <c r="E277" s="18" t="s"/>
      <c r="F277" s="20" t="s"/>
      <c r="G277" s="26" t="s"/>
      <c r="H277" s="22">
        <f>=B277+C277+D277-E277-F277-G277</f>
        <v>4795965</v>
      </c>
      <c r="I277" s="22">
        <f>=H277/10000*2.5</f>
        <v>1198.99125</v>
      </c>
      <c r="J277" s="22">
        <f>=J276+I277</f>
        <v>173689.017</v>
      </c>
      <c r="K277" s="27">
        <f>=H277/10000*2</f>
        <v>959.193</v>
      </c>
      <c r="L277" s="27">
        <f>=I277-K277</f>
        <v>239.79825</v>
      </c>
    </row>
    <row r="278" spans="1:12">
      <c r="A278" s="23">
        <v>45944</v>
      </c>
      <c r="B278" s="21">
        <f>=H277</f>
        <v>4795965</v>
      </c>
      <c r="C278" s="25" t="s"/>
      <c r="D278" s="18" t="s"/>
      <c r="E278" s="18" t="s"/>
      <c r="F278" s="20" t="s"/>
      <c r="G278" s="26" t="s"/>
      <c r="H278" s="22">
        <f>=B278+C278+D278-E278-F278-G278</f>
        <v>4795965</v>
      </c>
      <c r="I278" s="22">
        <f>=H278/10000*2.5</f>
        <v>1198.99125</v>
      </c>
      <c r="J278" s="22">
        <f>=J277+I278</f>
        <v>174888.00825</v>
      </c>
      <c r="K278" s="27">
        <f>=H278/10000*2</f>
        <v>959.193</v>
      </c>
      <c r="L278" s="27">
        <f>=I278-K278</f>
        <v>239.79825</v>
      </c>
    </row>
    <row r="279" spans="1:12">
      <c r="A279" s="23">
        <v>45945</v>
      </c>
      <c r="B279" s="21">
        <f>=H278</f>
        <v>4795965</v>
      </c>
      <c r="C279" s="25" t="s"/>
      <c r="D279" s="18" t="s"/>
      <c r="E279" s="18" t="s"/>
      <c r="F279" s="20" t="s"/>
      <c r="G279" s="26" t="s"/>
      <c r="H279" s="22">
        <f>=B279+C279+D279-E279-F279-G279</f>
        <v>4795965</v>
      </c>
      <c r="I279" s="22">
        <f>=H279/10000*2.5</f>
        <v>1198.99125</v>
      </c>
      <c r="J279" s="22">
        <f>=J278+I279</f>
        <v>176086.9995</v>
      </c>
      <c r="K279" s="27">
        <f>=H279/10000*2</f>
        <v>959.193</v>
      </c>
      <c r="L279" s="27">
        <f>=I279-K279</f>
        <v>239.79825</v>
      </c>
    </row>
    <row r="280" spans="1:12">
      <c r="A280" s="23">
        <v>45946</v>
      </c>
      <c r="B280" s="21">
        <f>=H279</f>
        <v>4795965</v>
      </c>
      <c r="C280" s="25" t="s"/>
      <c r="D280" s="18" t="s"/>
      <c r="E280" s="18" t="s"/>
      <c r="F280" s="20" t="s"/>
      <c r="G280" s="26" t="s"/>
      <c r="H280" s="22">
        <f>=B280+C280+D280-E280-F280-G280</f>
        <v>4795965</v>
      </c>
      <c r="I280" s="22">
        <f>=H280/10000*2.5</f>
        <v>1198.99125</v>
      </c>
      <c r="J280" s="22">
        <f>=J279+I280</f>
        <v>177285.99075</v>
      </c>
      <c r="K280" s="27">
        <f>=H280/10000*2</f>
        <v>959.193</v>
      </c>
      <c r="L280" s="27">
        <f>=I280-K280</f>
        <v>239.79825</v>
      </c>
    </row>
    <row r="281" spans="1:12">
      <c r="A281" s="23">
        <v>45947</v>
      </c>
      <c r="B281" s="21">
        <f>=H280</f>
        <v>4795965</v>
      </c>
      <c r="C281" s="25" t="s"/>
      <c r="D281" s="18" t="s"/>
      <c r="E281" s="18" t="s"/>
      <c r="F281" s="20" t="s"/>
      <c r="G281" s="26" t="s"/>
      <c r="H281" s="22">
        <f>=B281+C281+D281-E281-F281-G281</f>
        <v>4795965</v>
      </c>
      <c r="I281" s="22">
        <f>=H281/10000*2.5</f>
        <v>1198.99125</v>
      </c>
      <c r="J281" s="22">
        <f>=J280+I281</f>
        <v>178484.982</v>
      </c>
      <c r="K281" s="27">
        <f>=H281/10000*2</f>
        <v>959.193</v>
      </c>
      <c r="L281" s="27">
        <f>=I281-K281</f>
        <v>239.79825</v>
      </c>
    </row>
    <row r="282" spans="1:12">
      <c r="A282" s="23">
        <v>45948</v>
      </c>
      <c r="B282" s="21">
        <f>=H281</f>
        <v>4795965</v>
      </c>
      <c r="C282" s="25" t="s"/>
      <c r="D282" s="18" t="s"/>
      <c r="E282" s="18" t="s"/>
      <c r="F282" s="20" t="s"/>
      <c r="G282" s="26" t="s"/>
      <c r="H282" s="22">
        <f>=B282+C282+D282-E282-F282-G282</f>
        <v>4795965</v>
      </c>
      <c r="I282" s="22">
        <f>=H282/10000*2.5</f>
        <v>1198.99125</v>
      </c>
      <c r="J282" s="22">
        <f>=J281+I282</f>
        <v>179683.97325</v>
      </c>
      <c r="K282" s="27">
        <f>=H282/10000*2</f>
        <v>959.193</v>
      </c>
      <c r="L282" s="27">
        <f>=I282-K282</f>
        <v>239.79825</v>
      </c>
    </row>
    <row r="283" spans="1:12">
      <c r="A283" s="23">
        <v>45949</v>
      </c>
      <c r="B283" s="21">
        <f>=H282</f>
        <v>4795965</v>
      </c>
      <c r="C283" s="25" t="s"/>
      <c r="D283" s="18" t="s"/>
      <c r="E283" s="18" t="s"/>
      <c r="F283" s="20" t="s"/>
      <c r="G283" s="26" t="s"/>
      <c r="H283" s="22">
        <f>=B283+C283+D283-E283-F283-G283</f>
        <v>4795965</v>
      </c>
      <c r="I283" s="22">
        <f>=H283/10000*2.5</f>
        <v>1198.99125</v>
      </c>
      <c r="J283" s="22">
        <f>=J282+I283</f>
        <v>180882.9645</v>
      </c>
      <c r="K283" s="27">
        <f>=H283/10000*2</f>
        <v>959.193</v>
      </c>
      <c r="L283" s="27">
        <f>=I283-K283</f>
        <v>239.79825</v>
      </c>
    </row>
    <row r="284" spans="1:12">
      <c r="A284" s="23">
        <v>45950</v>
      </c>
      <c r="B284" s="21">
        <f>=H283</f>
        <v>4795965</v>
      </c>
      <c r="C284" s="25" t="s"/>
      <c r="D284" s="18" t="s"/>
      <c r="E284" s="18" t="s"/>
      <c r="F284" s="20" t="s"/>
      <c r="G284" s="26" t="s"/>
      <c r="H284" s="22">
        <f>=B284+C284+D284-E284-F284-G284</f>
        <v>4795965</v>
      </c>
      <c r="I284" s="22">
        <f>=H284/10000*2.5</f>
        <v>1198.99125</v>
      </c>
      <c r="J284" s="22">
        <f>=J283+I284</f>
        <v>182081.95575</v>
      </c>
      <c r="K284" s="27">
        <f>=H284/10000*2</f>
        <v>959.193</v>
      </c>
      <c r="L284" s="27">
        <f>=I284-K284</f>
        <v>239.79825</v>
      </c>
    </row>
    <row r="285" spans="1:12">
      <c r="A285" s="23">
        <v>45951</v>
      </c>
      <c r="B285" s="21">
        <f>=H284</f>
        <v>4795965</v>
      </c>
      <c r="C285" s="25">
        <v>499860</v>
      </c>
      <c r="D285" s="18" t="s"/>
      <c r="E285" s="18" t="s"/>
      <c r="F285" s="20" t="s"/>
      <c r="G285" s="26" t="s"/>
      <c r="H285" s="22">
        <f>=B285+C285+D285-E285-F285-G285</f>
        <v>5295825</v>
      </c>
      <c r="I285" s="22">
        <f>=H285/10000*2.5</f>
        <v>1323.95625</v>
      </c>
      <c r="J285" s="22">
        <f>=J284+I285</f>
        <v>183405.912</v>
      </c>
      <c r="K285" s="27">
        <f>=H285/10000*2</f>
        <v>1059.165</v>
      </c>
      <c r="L285" s="27">
        <f>=I285-K285</f>
        <v>264.79125</v>
      </c>
    </row>
    <row r="286" spans="1:12">
      <c r="A286" s="23">
        <v>45952</v>
      </c>
      <c r="B286" s="21">
        <f>=H285</f>
        <v>5295825</v>
      </c>
      <c r="C286" s="25" t="s"/>
      <c r="D286" s="18" t="s"/>
      <c r="E286" s="18" t="s"/>
      <c r="F286" s="20" t="s"/>
      <c r="G286" s="26" t="s"/>
      <c r="H286" s="22">
        <f>=B286+C286+D286-E286-F286-G286</f>
        <v>5295825</v>
      </c>
      <c r="I286" s="22">
        <f>=H286/10000*2.5</f>
        <v>1323.95625</v>
      </c>
      <c r="J286" s="22">
        <f>=J285+I286</f>
        <v>184729.86825</v>
      </c>
      <c r="K286" s="27">
        <f>=H286/10000*2</f>
        <v>1059.165</v>
      </c>
      <c r="L286" s="27">
        <f>=I286-K286</f>
        <v>264.79125</v>
      </c>
    </row>
    <row r="287" spans="1:12">
      <c r="A287" s="23">
        <v>45953</v>
      </c>
      <c r="B287" s="21">
        <f>=H286</f>
        <v>5295825</v>
      </c>
      <c r="C287" s="25" t="s"/>
      <c r="D287" s="18" t="s"/>
      <c r="E287" s="18" t="s"/>
      <c r="F287" s="20" t="s"/>
      <c r="G287" s="26" t="s"/>
      <c r="H287" s="22">
        <f>=B287+C287+D287-E287-F287-G287</f>
        <v>5295825</v>
      </c>
      <c r="I287" s="22">
        <f>=H287/10000*2.5</f>
        <v>1323.95625</v>
      </c>
      <c r="J287" s="22">
        <f>=J286+I287</f>
        <v>186053.8245</v>
      </c>
      <c r="K287" s="27">
        <f>=H287/10000*2</f>
        <v>1059.165</v>
      </c>
      <c r="L287" s="27">
        <f>=I287-K287</f>
        <v>264.79125</v>
      </c>
    </row>
    <row r="288" spans="1:12">
      <c r="A288" s="23">
        <v>45954</v>
      </c>
      <c r="B288" s="21">
        <f>=H287</f>
        <v>5295825</v>
      </c>
      <c r="C288" s="25" t="s"/>
      <c r="D288" s="18" t="s"/>
      <c r="E288" s="18" t="s"/>
      <c r="F288" s="20" t="s"/>
      <c r="G288" s="26" t="s"/>
      <c r="H288" s="22">
        <f>=B288+C288+D288-E288-F288-G288</f>
        <v>5295825</v>
      </c>
      <c r="I288" s="22">
        <f>=H288/10000*2.5</f>
        <v>1323.95625</v>
      </c>
      <c r="J288" s="22">
        <f>=J287+I288</f>
        <v>187377.78075</v>
      </c>
      <c r="K288" s="27">
        <f>=H288/10000*2</f>
        <v>1059.165</v>
      </c>
      <c r="L288" s="27">
        <f>=I288-K288</f>
        <v>264.79125</v>
      </c>
    </row>
    <row r="289" spans="1:12">
      <c r="A289" s="23">
        <v>45955</v>
      </c>
      <c r="B289" s="21">
        <f>=H288</f>
        <v>5295825</v>
      </c>
      <c r="C289" s="25" t="s"/>
      <c r="D289" s="18" t="s"/>
      <c r="E289" s="18" t="s"/>
      <c r="F289" s="20" t="s"/>
      <c r="G289" s="26">
        <v>136268.04</v>
      </c>
      <c r="H289" s="22">
        <f>=B289+C289+D289-E289-F289-G289</f>
        <v>5159556.96</v>
      </c>
      <c r="I289" s="22">
        <f>=H289/10000*2.5</f>
        <v>1289.88924</v>
      </c>
      <c r="J289" s="22">
        <f>=J288+I289</f>
        <v>188667.66999</v>
      </c>
      <c r="K289" s="27">
        <f>=H289/10000*2</f>
        <v>1031.911392</v>
      </c>
      <c r="L289" s="27">
        <f>=I289-K289</f>
        <v>257.977848</v>
      </c>
    </row>
    <row r="290" spans="1:12">
      <c r="A290" s="23">
        <v>45956</v>
      </c>
      <c r="B290" s="21">
        <f>=H289</f>
        <v>5159556.96</v>
      </c>
      <c r="C290" s="25" t="s"/>
      <c r="D290" s="18" t="s"/>
      <c r="E290" s="18" t="s"/>
      <c r="F290" s="20" t="s"/>
      <c r="G290" s="26" t="s"/>
      <c r="H290" s="22">
        <f>=B290+C290+D290-E290-F290-G290</f>
        <v>5159556.96</v>
      </c>
      <c r="I290" s="22">
        <f>=H290/10000*2.5</f>
        <v>1289.88924</v>
      </c>
      <c r="J290" s="22">
        <f>=J289+I290</f>
        <v>189957.55923</v>
      </c>
      <c r="K290" s="27">
        <f>=H290/10000*2</f>
        <v>1031.911392</v>
      </c>
      <c r="L290" s="27">
        <f>=I290-K290</f>
        <v>257.977848</v>
      </c>
    </row>
    <row r="291" spans="1:12">
      <c r="A291" s="23">
        <v>45957</v>
      </c>
      <c r="B291" s="21">
        <f>=H290</f>
        <v>5159556.96</v>
      </c>
      <c r="C291" s="25" t="s"/>
      <c r="D291" s="18" t="s"/>
      <c r="E291" s="18" t="s"/>
      <c r="F291" s="20" t="s"/>
      <c r="G291" s="26" t="s"/>
      <c r="H291" s="22">
        <f>=B291+C291+D291-E291-F291-G291</f>
        <v>5159556.96</v>
      </c>
      <c r="I291" s="22">
        <f>=H291/10000*2.5</f>
        <v>1289.88924</v>
      </c>
      <c r="J291" s="22">
        <f>=J290+I291</f>
        <v>191247.44847</v>
      </c>
      <c r="K291" s="27">
        <f>=H291/10000*2</f>
        <v>1031.911392</v>
      </c>
      <c r="L291" s="27">
        <f>=I291-K291</f>
        <v>257.977848</v>
      </c>
    </row>
    <row r="292" spans="1:12">
      <c r="A292" s="23">
        <v>45958</v>
      </c>
      <c r="B292" s="21">
        <f>=H291</f>
        <v>5159556.96</v>
      </c>
      <c r="C292" s="25" t="s"/>
      <c r="D292" s="18" t="s"/>
      <c r="E292" s="18" t="s"/>
      <c r="F292" s="20" t="s"/>
      <c r="G292" s="26">
        <v>219965</v>
      </c>
      <c r="H292" s="22">
        <f>=B292+C292+D292-E292-F292-G292</f>
        <v>4939591.96</v>
      </c>
      <c r="I292" s="22">
        <f>=H292/10000*2.5</f>
        <v>1234.89799</v>
      </c>
      <c r="J292" s="22">
        <f>=J291+I292</f>
        <v>192482.34646</v>
      </c>
      <c r="K292" s="27">
        <f>=H292/10000*2</f>
        <v>987.918392</v>
      </c>
      <c r="L292" s="27">
        <f>=I292-K292</f>
        <v>246.979598</v>
      </c>
    </row>
    <row r="293" spans="1:12">
      <c r="A293" s="23">
        <v>45959</v>
      </c>
      <c r="B293" s="21">
        <f>=H292</f>
        <v>4939591.96</v>
      </c>
      <c r="C293" s="25" t="s"/>
      <c r="D293" s="18" t="s"/>
      <c r="E293" s="18" t="s"/>
      <c r="F293" s="20" t="s"/>
      <c r="G293" s="26" t="s"/>
      <c r="H293" s="22">
        <f>=B293+C293+D293-E293-F293-G293</f>
        <v>4939591.96</v>
      </c>
      <c r="I293" s="22">
        <f>=H293/10000*2.5</f>
        <v>1234.89799</v>
      </c>
      <c r="J293" s="22">
        <f>=J292+I293</f>
        <v>193717.24445</v>
      </c>
      <c r="K293" s="27">
        <f>=H293/10000*2</f>
        <v>987.918392</v>
      </c>
      <c r="L293" s="27">
        <f>=I293-K293</f>
        <v>246.979598</v>
      </c>
    </row>
    <row r="294" spans="1:12">
      <c r="A294" s="23">
        <v>45960</v>
      </c>
      <c r="B294" s="21">
        <f>=H293</f>
        <v>4939591.96</v>
      </c>
      <c r="C294" s="25" t="s"/>
      <c r="D294" s="18" t="s"/>
      <c r="E294" s="18" t="s"/>
      <c r="F294" s="20" t="s"/>
      <c r="G294" s="26" t="s"/>
      <c r="H294" s="22">
        <f>=B294+C294+D294-E294-F294-G294</f>
        <v>4939591.96</v>
      </c>
      <c r="I294" s="22">
        <f>=H294/10000*2.5</f>
        <v>1234.89799</v>
      </c>
      <c r="J294" s="22">
        <f>=J293+I294</f>
        <v>194952.14244</v>
      </c>
      <c r="K294" s="27">
        <f>=H294/10000*2</f>
        <v>987.918392</v>
      </c>
      <c r="L294" s="27">
        <f>=I294-K294</f>
        <v>246.979598</v>
      </c>
    </row>
    <row r="295" spans="1:12">
      <c r="A295" s="23">
        <v>45961</v>
      </c>
      <c r="B295" s="21">
        <f>=H294</f>
        <v>4939591.96</v>
      </c>
      <c r="C295" s="25">
        <v>2862720</v>
      </c>
      <c r="D295" s="18" t="s"/>
      <c r="E295" s="18" t="s"/>
      <c r="F295" s="20" t="s"/>
      <c r="G295" s="26" t="s"/>
      <c r="H295" s="22">
        <f>=B295+C295+D295-E295-F295-G295</f>
        <v>7802311.96</v>
      </c>
      <c r="I295" s="22">
        <f>=H295/10000*2.5</f>
        <v>1950.57799</v>
      </c>
      <c r="J295" s="22">
        <f>=J294+I295</f>
        <v>196902.72043</v>
      </c>
      <c r="K295" s="27">
        <f>=H295/10000*2</f>
        <v>1560.462392</v>
      </c>
      <c r="L295" s="27">
        <f>=I295-K295</f>
        <v>390.115598</v>
      </c>
    </row>
    <row r="296" spans="1:12">
      <c r="A296" s="23">
        <v>45962</v>
      </c>
      <c r="B296" s="21">
        <f>=H295</f>
        <v>7802311.96</v>
      </c>
      <c r="C296" s="25" t="s"/>
      <c r="D296" s="18" t="s"/>
      <c r="E296" s="18" t="s"/>
      <c r="F296" s="20" t="s"/>
      <c r="G296" s="26" t="s"/>
      <c r="H296" s="22">
        <f>=B296+C296+D296-E296-F296-G296</f>
        <v>7802311.96</v>
      </c>
      <c r="I296" s="22">
        <f>=H296/10000*2.5</f>
        <v>1950.57799</v>
      </c>
      <c r="J296" s="22">
        <f>=J295+I296</f>
        <v>198853.29842</v>
      </c>
      <c r="K296" s="27">
        <f>=H296/10000*2</f>
        <v>1560.462392</v>
      </c>
      <c r="L296" s="27">
        <f>=I296-K296</f>
        <v>390.115598</v>
      </c>
    </row>
    <row r="297" spans="1:12">
      <c r="A297" s="23">
        <v>45963</v>
      </c>
      <c r="B297" s="21">
        <f>=H296</f>
        <v>7802311.96</v>
      </c>
      <c r="C297" s="25" t="s"/>
      <c r="D297" s="18" t="s"/>
      <c r="E297" s="18" t="s"/>
      <c r="F297" s="20" t="s"/>
      <c r="G297" s="26" t="s"/>
      <c r="H297" s="22">
        <f>=B297+C297+D297-E297-F297-G297</f>
        <v>7802311.96</v>
      </c>
      <c r="I297" s="22">
        <f>=H297/10000*2.5</f>
        <v>1950.57799</v>
      </c>
      <c r="J297" s="22">
        <f>=J296+I297</f>
        <v>200803.87641</v>
      </c>
      <c r="K297" s="27">
        <f>=H297/10000*2</f>
        <v>1560.462392</v>
      </c>
      <c r="L297" s="27">
        <f>=I297-K297</f>
        <v>390.115598</v>
      </c>
    </row>
    <row r="298" spans="1:12">
      <c r="A298" s="23">
        <v>45964</v>
      </c>
      <c r="B298" s="21">
        <f>=H297</f>
        <v>7802311.96</v>
      </c>
      <c r="C298" s="25" t="s"/>
      <c r="D298" s="18" t="s"/>
      <c r="E298" s="18" t="s"/>
      <c r="F298" s="20" t="s"/>
      <c r="G298" s="26" t="s"/>
      <c r="H298" s="22">
        <f>=B298+C298+D298-E298-F298-G298</f>
        <v>7802311.96</v>
      </c>
      <c r="I298" s="22">
        <f>=H298/10000*2.5</f>
        <v>1950.57799</v>
      </c>
      <c r="J298" s="22">
        <f>=J297+I298</f>
        <v>202754.4544</v>
      </c>
      <c r="K298" s="27">
        <f>=H298/10000*2</f>
        <v>1560.462392</v>
      </c>
      <c r="L298" s="27">
        <f>=I298-K298</f>
        <v>390.115598</v>
      </c>
    </row>
    <row r="299" spans="1:12">
      <c r="A299" s="23">
        <v>45965</v>
      </c>
      <c r="B299" s="21">
        <f>=H298</f>
        <v>7802311.96</v>
      </c>
      <c r="C299" s="25" t="s"/>
      <c r="D299" s="18" t="s"/>
      <c r="E299" s="18" t="s"/>
      <c r="F299" s="20" t="s"/>
      <c r="G299" s="26">
        <v>365237</v>
      </c>
      <c r="H299" s="22">
        <f>=B299+C299+D299-E299-F299-G299</f>
        <v>7437074.96</v>
      </c>
      <c r="I299" s="22">
        <f>=H299/10000*2.5</f>
        <v>1859.26874</v>
      </c>
      <c r="J299" s="22">
        <f>=J298+I299</f>
        <v>204613.72314</v>
      </c>
      <c r="K299" s="27">
        <f>=H299/10000*2</f>
        <v>1487.414992</v>
      </c>
      <c r="L299" s="27">
        <f>=I299-K299</f>
        <v>371.853748</v>
      </c>
    </row>
    <row r="300" spans="1:12">
      <c r="A300" s="23">
        <v>45966</v>
      </c>
      <c r="B300" s="21">
        <f>=H299</f>
        <v>7437074.96</v>
      </c>
      <c r="C300" s="25" t="s"/>
      <c r="D300" s="18" t="s"/>
      <c r="E300" s="18" t="s"/>
      <c r="F300" s="20" t="s"/>
      <c r="G300" s="26" t="s"/>
      <c r="H300" s="22">
        <f>=B300+C300+D300-E300-F300-G300</f>
        <v>7437074.96</v>
      </c>
      <c r="I300" s="22">
        <f>=H300/10000*2.5</f>
        <v>1859.26874</v>
      </c>
      <c r="J300" s="22">
        <f>=J299+I300</f>
        <v>206472.99188</v>
      </c>
      <c r="K300" s="27">
        <f>=H300/10000*2</f>
        <v>1487.414992</v>
      </c>
      <c r="L300" s="27">
        <f>=I300-K300</f>
        <v>371.853748</v>
      </c>
    </row>
    <row r="301" spans="1:12">
      <c r="A301" s="23">
        <v>45967</v>
      </c>
      <c r="B301" s="21">
        <f>=H300</f>
        <v>7437074.96</v>
      </c>
      <c r="C301" s="25" t="s"/>
      <c r="D301" s="18" t="s"/>
      <c r="E301" s="18" t="s"/>
      <c r="F301" s="20" t="s"/>
      <c r="G301" s="26">
        <v>716754</v>
      </c>
      <c r="H301" s="22">
        <f>=B301+C301+D301-E301-F301-G301</f>
        <v>6720320.96</v>
      </c>
      <c r="I301" s="22">
        <f>=H301/10000*2.5</f>
        <v>1680.08024</v>
      </c>
      <c r="J301" s="22">
        <f>=J300+I301</f>
        <v>208153.07212</v>
      </c>
      <c r="K301" s="27">
        <f>=H301/10000*2</f>
        <v>1344.064192</v>
      </c>
      <c r="L301" s="27">
        <f>=I301-K301</f>
        <v>336.016048</v>
      </c>
    </row>
    <row r="302" spans="1:12">
      <c r="A302" s="23">
        <v>45968</v>
      </c>
      <c r="B302" s="21">
        <f>=H301</f>
        <v>6720320.96</v>
      </c>
      <c r="C302" s="25" t="s"/>
      <c r="D302" s="18" t="s"/>
      <c r="E302" s="18" t="s"/>
      <c r="F302" s="20" t="s"/>
      <c r="G302" s="26" t="s"/>
      <c r="H302" s="22">
        <f>=B302+C302+D302-E302-F302-G302</f>
        <v>6720320.96</v>
      </c>
      <c r="I302" s="22">
        <f>=H302/10000*2.5</f>
        <v>1680.08024</v>
      </c>
      <c r="J302" s="22">
        <f>=J301+I302</f>
        <v>209833.15236</v>
      </c>
      <c r="K302" s="27">
        <f>=H302/10000*2</f>
        <v>1344.064192</v>
      </c>
      <c r="L302" s="27">
        <f>=I302-K302</f>
        <v>336.016048</v>
      </c>
    </row>
    <row r="303" spans="1:12">
      <c r="A303" s="23">
        <v>45969</v>
      </c>
      <c r="B303" s="21">
        <f>=H302</f>
        <v>6720320.96</v>
      </c>
      <c r="C303" s="25" t="s"/>
      <c r="D303" s="18" t="s"/>
      <c r="E303" s="18" t="s"/>
      <c r="F303" s="20" t="s"/>
      <c r="G303" s="26" t="s"/>
      <c r="H303" s="22">
        <f>=B303+C303+D303-E303-F303-G303</f>
        <v>6720320.96</v>
      </c>
      <c r="I303" s="22">
        <f>=H303/10000*2.5</f>
        <v>1680.08024</v>
      </c>
      <c r="J303" s="22">
        <f>=J302+I303</f>
        <v>211513.2326</v>
      </c>
      <c r="K303" s="27">
        <f>=H303/10000*2</f>
        <v>1344.064192</v>
      </c>
      <c r="L303" s="27">
        <f>=I303-K303</f>
        <v>336.016048</v>
      </c>
    </row>
    <row r="304" spans="1:12">
      <c r="A304" s="23">
        <v>45970</v>
      </c>
      <c r="B304" s="21">
        <f>=H303</f>
        <v>6720320.96</v>
      </c>
      <c r="C304" s="25" t="s"/>
      <c r="D304" s="18" t="s"/>
      <c r="E304" s="18" t="s"/>
      <c r="F304" s="20" t="s"/>
      <c r="G304" s="26" t="s"/>
      <c r="H304" s="22">
        <f>=B304+C304+D304-E304-F304-G304</f>
        <v>6720320.96</v>
      </c>
      <c r="I304" s="22">
        <f>=H304/10000*2.5</f>
        <v>1680.08024</v>
      </c>
      <c r="J304" s="22">
        <f>=J303+I304</f>
        <v>213193.31284</v>
      </c>
      <c r="K304" s="27">
        <f>=H304/10000*2</f>
        <v>1344.064192</v>
      </c>
      <c r="L304" s="27">
        <f>=I304-K304</f>
        <v>336.016048</v>
      </c>
    </row>
    <row r="305" spans="1:12">
      <c r="A305" s="23">
        <v>45971</v>
      </c>
      <c r="B305" s="21">
        <f>=H304</f>
        <v>6720320.96</v>
      </c>
      <c r="C305" s="25" t="s"/>
      <c r="D305" s="18" t="s"/>
      <c r="E305" s="18" t="s"/>
      <c r="F305" s="20" t="s"/>
      <c r="G305" s="26" t="s"/>
      <c r="H305" s="22">
        <f>=B305+C305+D305-E305-F305-G305</f>
        <v>6720320.96</v>
      </c>
      <c r="I305" s="22">
        <f>=H305/10000*2.5</f>
        <v>1680.08024</v>
      </c>
      <c r="J305" s="22">
        <f>=J304+I305</f>
        <v>214873.39308</v>
      </c>
      <c r="K305" s="27">
        <f>=H305/10000*2</f>
        <v>1344.064192</v>
      </c>
      <c r="L305" s="27">
        <f>=I305-K305</f>
        <v>336.016048</v>
      </c>
    </row>
    <row r="306" spans="1:12">
      <c r="A306" s="23">
        <v>45972</v>
      </c>
      <c r="B306" s="21">
        <f>=H305</f>
        <v>6720320.96</v>
      </c>
      <c r="C306" s="25" t="s"/>
      <c r="D306" s="18" t="s"/>
      <c r="E306" s="18" t="s"/>
      <c r="F306" s="20" t="s"/>
      <c r="G306" s="26" t="s"/>
      <c r="H306" s="22">
        <f>=B306+C306+D306-E306-F306-G306</f>
        <v>6720320.96</v>
      </c>
      <c r="I306" s="22">
        <f>=H306/10000*2.5</f>
        <v>1680.08024</v>
      </c>
      <c r="J306" s="22">
        <f>=J305+I306</f>
        <v>216553.47332</v>
      </c>
      <c r="K306" s="27">
        <f>=H306/10000*2</f>
        <v>1344.064192</v>
      </c>
      <c r="L306" s="27">
        <f>=I306-K306</f>
        <v>336.016048</v>
      </c>
    </row>
    <row r="307" spans="1:12">
      <c r="A307" s="23">
        <v>45973</v>
      </c>
      <c r="B307" s="21">
        <f>=H306</f>
        <v>6720320.96</v>
      </c>
      <c r="C307" s="25" t="s"/>
      <c r="D307" s="18" t="s"/>
      <c r="E307" s="18" t="s"/>
      <c r="F307" s="20" t="s"/>
      <c r="G307" s="26" t="s"/>
      <c r="H307" s="22">
        <f>=B307+C307+D307-E307-F307-G307</f>
        <v>6720320.96</v>
      </c>
      <c r="I307" s="22">
        <f>=H307/10000*2.5</f>
        <v>1680.08024</v>
      </c>
      <c r="J307" s="22">
        <f>=J306+I307</f>
        <v>218233.55356</v>
      </c>
      <c r="K307" s="27">
        <f>=H307/10000*2</f>
        <v>1344.064192</v>
      </c>
      <c r="L307" s="27">
        <f>=I307-K307</f>
        <v>336.016048</v>
      </c>
    </row>
    <row r="308" spans="1:12">
      <c r="A308" s="23">
        <v>45974</v>
      </c>
      <c r="B308" s="21">
        <f>=H307</f>
        <v>6720320.96</v>
      </c>
      <c r="C308" s="25" t="s"/>
      <c r="D308" s="18" t="s"/>
      <c r="E308" s="18" t="s"/>
      <c r="F308" s="20" t="s"/>
      <c r="G308" s="26">
        <v>60876</v>
      </c>
      <c r="H308" s="22">
        <f>=B308+C308+D308-E308-F308-G308</f>
        <v>6659444.96</v>
      </c>
      <c r="I308" s="22">
        <f>=H308/10000*2.5</f>
        <v>1664.86124</v>
      </c>
      <c r="J308" s="22">
        <f>=J307+I308</f>
        <v>219898.4148</v>
      </c>
      <c r="K308" s="27">
        <f>=H308/10000*2</f>
        <v>1331.888992</v>
      </c>
      <c r="L308" s="27">
        <f>=I308-K308</f>
        <v>332.972248</v>
      </c>
    </row>
    <row r="309" spans="1:12">
      <c r="A309" s="23">
        <v>45975</v>
      </c>
      <c r="B309" s="21">
        <f>=H308</f>
        <v>6659444.96</v>
      </c>
      <c r="C309" s="25" t="s"/>
      <c r="D309" s="18" t="s"/>
      <c r="E309" s="18" t="s"/>
      <c r="F309" s="20" t="s"/>
      <c r="G309" s="26">
        <v>718185</v>
      </c>
      <c r="H309" s="22">
        <f>=B309+C309+D309-E309-F309-G309</f>
        <v>5941259.96</v>
      </c>
      <c r="I309" s="22">
        <f>=H309/10000*2.5</f>
        <v>1485.31499</v>
      </c>
      <c r="J309" s="22">
        <f>=J308+I309</f>
        <v>221383.72979</v>
      </c>
      <c r="K309" s="27">
        <f>=H309/10000*2</f>
        <v>1188.251992</v>
      </c>
      <c r="L309" s="27">
        <f>=I309-K309</f>
        <v>297.062998</v>
      </c>
    </row>
    <row r="310" spans="1:12">
      <c r="A310" s="23">
        <v>45976</v>
      </c>
      <c r="B310" s="21">
        <f>=H309</f>
        <v>5941259.96</v>
      </c>
      <c r="C310" s="25" t="s"/>
      <c r="D310" s="18" t="s"/>
      <c r="E310" s="18" t="s"/>
      <c r="F310" s="20" t="s"/>
      <c r="G310" s="26" t="s"/>
      <c r="H310" s="22">
        <f>=B310+C310+D310-E310-F310-G310</f>
        <v>5941259.96</v>
      </c>
      <c r="I310" s="22">
        <f>=H310/10000*2.5</f>
        <v>1485.31499</v>
      </c>
      <c r="J310" s="22">
        <f>=J309+I310</f>
        <v>222869.04478</v>
      </c>
      <c r="K310" s="27">
        <f>=H310/10000*2</f>
        <v>1188.251992</v>
      </c>
      <c r="L310" s="27">
        <f>=I310-K310</f>
        <v>297.062998</v>
      </c>
    </row>
    <row r="311" spans="1:12">
      <c r="A311" s="23">
        <v>45977</v>
      </c>
      <c r="B311" s="21">
        <f>=H310</f>
        <v>5941259.96</v>
      </c>
      <c r="C311" s="25" t="s"/>
      <c r="D311" s="18" t="s"/>
      <c r="E311" s="18" t="s"/>
      <c r="F311" s="20" t="s"/>
      <c r="G311" s="26" t="s"/>
      <c r="H311" s="22">
        <f>=B311+C311+D311-E311-F311-G311</f>
        <v>5941259.96</v>
      </c>
      <c r="I311" s="22">
        <f>=H311/10000*2.5</f>
        <v>1485.31499</v>
      </c>
      <c r="J311" s="22">
        <f>=J310+I311</f>
        <v>224354.35977</v>
      </c>
      <c r="K311" s="27">
        <f>=H311/10000*2</f>
        <v>1188.251992</v>
      </c>
      <c r="L311" s="27">
        <f>=I311-K311</f>
        <v>297.062998</v>
      </c>
    </row>
    <row r="312" spans="1:12">
      <c r="A312" s="23">
        <v>45978</v>
      </c>
      <c r="B312" s="21">
        <f>=H311</f>
        <v>5941259.96</v>
      </c>
      <c r="C312" s="25" t="s"/>
      <c r="D312" s="18" t="s"/>
      <c r="E312" s="18" t="s"/>
      <c r="F312" s="20" t="s"/>
      <c r="G312" s="26" t="s"/>
      <c r="H312" s="22">
        <f>=B312+C312+D312-E312-F312-G312</f>
        <v>5941259.96</v>
      </c>
      <c r="I312" s="22">
        <f>=H312/10000*2.5</f>
        <v>1485.31499</v>
      </c>
      <c r="J312" s="22">
        <f>=J311+I312</f>
        <v>225839.67476</v>
      </c>
      <c r="K312" s="27">
        <f>=H312/10000*2</f>
        <v>1188.251992</v>
      </c>
      <c r="L312" s="27">
        <f>=I312-K312</f>
        <v>297.062998</v>
      </c>
    </row>
    <row r="313" spans="1:12">
      <c r="A313" s="23">
        <v>45979</v>
      </c>
      <c r="B313" s="21">
        <f>=H312</f>
        <v>5941259.96</v>
      </c>
      <c r="C313" s="25" t="s"/>
      <c r="D313" s="18" t="s"/>
      <c r="E313" s="18" t="s"/>
      <c r="F313" s="20" t="s"/>
      <c r="G313" s="26" t="s"/>
      <c r="H313" s="22">
        <f>=B313+C313+D313-E313-F313-G313</f>
        <v>5941259.96</v>
      </c>
      <c r="I313" s="22">
        <f>=H313/10000*2.5</f>
        <v>1485.31499</v>
      </c>
      <c r="J313" s="22">
        <f>=J312+I313</f>
        <v>227324.98975</v>
      </c>
      <c r="K313" s="27">
        <f>=H313/10000*2</f>
        <v>1188.251992</v>
      </c>
      <c r="L313" s="27">
        <f>=I313-K313</f>
        <v>297.062998</v>
      </c>
    </row>
    <row r="314" spans="1:12">
      <c r="A314" s="23">
        <v>45980</v>
      </c>
      <c r="B314" s="21">
        <f>=H313</f>
        <v>5941259.96</v>
      </c>
      <c r="C314" s="25">
        <v>2112046.2</v>
      </c>
      <c r="D314" s="18" t="s"/>
      <c r="E314" s="18" t="s"/>
      <c r="F314" s="20" t="s"/>
      <c r="G314" s="26" t="s"/>
      <c r="H314" s="22">
        <f>=B314+C314+D314-E314-F314-G314</f>
        <v>8053306.16</v>
      </c>
      <c r="I314" s="22">
        <f>=H314/10000*2.5</f>
        <v>2013.32654</v>
      </c>
      <c r="J314" s="22">
        <f>=J313+I314</f>
        <v>229338.31629</v>
      </c>
      <c r="K314" s="27">
        <f>=H314/10000*2</f>
        <v>1610.661232</v>
      </c>
      <c r="L314" s="27">
        <f>=I314-K314</f>
        <v>402.665308</v>
      </c>
    </row>
    <row r="315" spans="1:12">
      <c r="A315" s="23">
        <v>45981</v>
      </c>
      <c r="B315" s="21">
        <f>=H314</f>
        <v>8053306.16</v>
      </c>
      <c r="C315" s="25" t="s"/>
      <c r="D315" s="18" t="s"/>
      <c r="E315" s="18" t="s"/>
      <c r="F315" s="20" t="s"/>
      <c r="G315" s="26" t="s"/>
      <c r="H315" s="22">
        <f>=B315+C315+D315-E315-F315-G315</f>
        <v>8053306.16</v>
      </c>
      <c r="I315" s="22">
        <f>=H315/10000*2.5</f>
        <v>2013.32654</v>
      </c>
      <c r="J315" s="22">
        <f>=J314+I315</f>
        <v>231351.64283</v>
      </c>
      <c r="K315" s="27">
        <f>=H315/10000*2</f>
        <v>1610.661232</v>
      </c>
      <c r="L315" s="27">
        <f>=I315-K315</f>
        <v>402.665308</v>
      </c>
    </row>
    <row r="316" spans="1:12">
      <c r="A316" s="23">
        <v>45982</v>
      </c>
      <c r="B316" s="21">
        <f>=H315</f>
        <v>8053306.16</v>
      </c>
      <c r="C316" s="25">
        <v>806302.8</v>
      </c>
      <c r="D316" s="18" t="s"/>
      <c r="E316" s="18" t="s"/>
      <c r="F316" s="20" t="s"/>
      <c r="G316" s="26" t="s"/>
      <c r="H316" s="22">
        <f>=B316+C316+D316-E316-F316-G316</f>
        <v>8859608.96</v>
      </c>
      <c r="I316" s="22">
        <f>=H316/10000*2.5</f>
        <v>2214.90224</v>
      </c>
      <c r="J316" s="22">
        <f>=J315+I316</f>
        <v>233566.54507</v>
      </c>
      <c r="K316" s="27">
        <f>=H316/10000*2</f>
        <v>1771.921792</v>
      </c>
      <c r="L316" s="27">
        <f>=I316-K316</f>
        <v>442.980448</v>
      </c>
    </row>
    <row r="317" spans="1:12">
      <c r="A317" s="23">
        <v>45983</v>
      </c>
      <c r="B317" s="21">
        <f>=H316</f>
        <v>8859608.96</v>
      </c>
      <c r="C317" s="25" t="s"/>
      <c r="D317" s="18" t="s"/>
      <c r="E317" s="18" t="s"/>
      <c r="F317" s="20" t="s"/>
      <c r="G317" s="26" t="s"/>
      <c r="H317" s="22">
        <f>=B317+C317+D317-E317-F317-G317</f>
        <v>8859608.96</v>
      </c>
      <c r="I317" s="22">
        <f>=H317/10000*2.5</f>
        <v>2214.90224</v>
      </c>
      <c r="J317" s="22">
        <f>=J316+I317</f>
        <v>235781.44731</v>
      </c>
      <c r="K317" s="27">
        <f>=H317/10000*2</f>
        <v>1771.921792</v>
      </c>
      <c r="L317" s="27">
        <f>=I317-K317</f>
        <v>442.980448</v>
      </c>
    </row>
    <row r="318" spans="1:12">
      <c r="A318" s="23">
        <v>45984</v>
      </c>
      <c r="B318" s="21">
        <f>=H317</f>
        <v>8859608.96</v>
      </c>
      <c r="C318" s="25" t="s"/>
      <c r="D318" s="18" t="s"/>
      <c r="E318" s="18" t="s"/>
      <c r="F318" s="20" t="s"/>
      <c r="G318" s="26" t="s"/>
      <c r="H318" s="22">
        <f>=B318+C318+D318-E318-F318-G318</f>
        <v>8859608.96</v>
      </c>
      <c r="I318" s="22">
        <f>=H318/10000*2.5</f>
        <v>2214.90224</v>
      </c>
      <c r="J318" s="22">
        <f>=J317+I318</f>
        <v>237996.34955</v>
      </c>
      <c r="K318" s="27">
        <f>=H318/10000*2</f>
        <v>1771.921792</v>
      </c>
      <c r="L318" s="27">
        <f>=I318-K318</f>
        <v>442.980448</v>
      </c>
    </row>
    <row r="319" spans="1:12">
      <c r="A319" s="23">
        <v>45985</v>
      </c>
      <c r="B319" s="21">
        <f>=H318</f>
        <v>8859608.96</v>
      </c>
      <c r="C319" s="25" t="s"/>
      <c r="D319" s="18" t="s"/>
      <c r="E319" s="18" t="s"/>
      <c r="F319" s="20" t="s"/>
      <c r="G319" s="26" t="s"/>
      <c r="H319" s="22">
        <f>=B319+C319+D319-E319-F319-G319</f>
        <v>8859608.96</v>
      </c>
      <c r="I319" s="22">
        <f>=H319/10000*2.5</f>
        <v>2214.90224</v>
      </c>
      <c r="J319" s="22">
        <f>=J318+I319</f>
        <v>240211.25179</v>
      </c>
      <c r="K319" s="27">
        <f>=H319/10000*2</f>
        <v>1771.921792</v>
      </c>
      <c r="L319" s="27">
        <f>=I319-K319</f>
        <v>442.980448</v>
      </c>
    </row>
    <row r="320" spans="1:12">
      <c r="A320" s="23">
        <v>45986</v>
      </c>
      <c r="B320" s="21">
        <f>=H319</f>
        <v>8859608.96</v>
      </c>
      <c r="C320" s="25" t="s"/>
      <c r="D320" s="18" t="s"/>
      <c r="E320" s="18" t="s"/>
      <c r="F320" s="20" t="s"/>
      <c r="G320" s="26">
        <v>49990</v>
      </c>
      <c r="H320" s="22">
        <f>=B320+C320+D320-E320-F320-G320</f>
        <v>8809618.96</v>
      </c>
      <c r="I320" s="22">
        <f>=H320/10000*2.5</f>
        <v>2202.40474</v>
      </c>
      <c r="J320" s="22">
        <f>=J319+I320</f>
        <v>242413.65653</v>
      </c>
      <c r="K320" s="27">
        <f>=H320/10000*2</f>
        <v>1761.923792</v>
      </c>
      <c r="L320" s="27">
        <f>=I320-K320</f>
        <v>440.480948</v>
      </c>
    </row>
    <row r="321" spans="1:12">
      <c r="A321" s="23">
        <v>45987</v>
      </c>
      <c r="B321" s="21">
        <f>=H320</f>
        <v>8809618.96</v>
      </c>
      <c r="C321" s="25" t="s"/>
      <c r="D321" s="18" t="s"/>
      <c r="E321" s="18" t="s"/>
      <c r="F321" s="20" t="s"/>
      <c r="G321" s="26">
        <v>720332</v>
      </c>
      <c r="H321" s="22">
        <f>=B321+C321+D321-E321-F321-G321</f>
        <v>8089286.96</v>
      </c>
      <c r="I321" s="22">
        <f>=H321/10000*2.5</f>
        <v>2022.32174</v>
      </c>
      <c r="J321" s="22">
        <f>=J320+I321</f>
        <v>244435.97827</v>
      </c>
      <c r="K321" s="27">
        <f>=H321/10000*2</f>
        <v>1617.857392</v>
      </c>
      <c r="L321" s="27">
        <f>=I321-K321</f>
        <v>404.464348</v>
      </c>
    </row>
    <row r="322" spans="1:12">
      <c r="A322" s="23">
        <v>45988</v>
      </c>
      <c r="B322" s="21">
        <f>=H321</f>
        <v>8089286.96</v>
      </c>
      <c r="C322" s="25" t="s"/>
      <c r="D322" s="18" t="s"/>
      <c r="E322" s="18" t="s"/>
      <c r="F322" s="20" t="s"/>
      <c r="G322" s="26" t="s"/>
      <c r="H322" s="22">
        <f>=B322+C322+D322-E322-F322-G322</f>
        <v>8089286.96</v>
      </c>
      <c r="I322" s="22">
        <f>=H322/10000*2.5</f>
        <v>2022.32174</v>
      </c>
      <c r="J322" s="22">
        <f>=J321+I322</f>
        <v>246458.30001</v>
      </c>
      <c r="K322" s="27">
        <f>=H322/10000*2</f>
        <v>1617.857392</v>
      </c>
      <c r="L322" s="27">
        <f>=I322-K322</f>
        <v>404.464348</v>
      </c>
    </row>
    <row r="323" spans="1:12">
      <c r="A323" s="23">
        <v>45989</v>
      </c>
      <c r="B323" s="21">
        <f>=H322</f>
        <v>8089286.96</v>
      </c>
      <c r="C323" s="25">
        <v>2345000</v>
      </c>
      <c r="D323" s="18" t="s"/>
      <c r="E323" s="18" t="s"/>
      <c r="F323" s="20" t="s"/>
      <c r="G323" s="26" t="s"/>
      <c r="H323" s="22">
        <f>=B323+C323+D323-E323-F323-G323</f>
        <v>10434286.96</v>
      </c>
      <c r="I323" s="22">
        <f>=H323/10000*2.5</f>
        <v>2608.57174</v>
      </c>
      <c r="J323" s="22">
        <f>=J322+I323</f>
        <v>249066.87175</v>
      </c>
      <c r="K323" s="27">
        <f>=H323/10000*2</f>
        <v>2086.857392</v>
      </c>
      <c r="L323" s="27">
        <f>=I323-K323</f>
        <v>521.714348</v>
      </c>
    </row>
    <row r="324" spans="1:12">
      <c r="A324" s="23">
        <v>45990</v>
      </c>
      <c r="B324" s="21">
        <f>=H323</f>
        <v>10434286.96</v>
      </c>
      <c r="C324" s="25" t="s"/>
      <c r="D324" s="18" t="s"/>
      <c r="E324" s="18" t="s"/>
      <c r="F324" s="20" t="s"/>
      <c r="G324" s="26">
        <v>720869</v>
      </c>
      <c r="H324" s="22">
        <f>=B324+C324+D324-E324-F324-G324</f>
        <v>9713417.96</v>
      </c>
      <c r="I324" s="22">
        <f>=H324/10000*2.5</f>
        <v>2428.35449</v>
      </c>
      <c r="J324" s="22">
        <f>=J323+I324</f>
        <v>251495.22624</v>
      </c>
      <c r="K324" s="27">
        <f>=H324/10000*2</f>
        <v>1942.683592</v>
      </c>
      <c r="L324" s="27">
        <f>=I324-K324</f>
        <v>485.670898</v>
      </c>
    </row>
    <row r="325" spans="1:12">
      <c r="A325" s="23">
        <v>45991</v>
      </c>
      <c r="B325" s="21">
        <f>=H324</f>
        <v>9713417.96</v>
      </c>
      <c r="C325" s="25" t="s"/>
      <c r="D325" s="18" t="s"/>
      <c r="E325" s="18" t="s"/>
      <c r="F325" s="20" t="s"/>
      <c r="G325" s="26" t="s"/>
      <c r="H325" s="22">
        <f>=B325+C325+D325-E325-F325-G325</f>
        <v>9713417.96</v>
      </c>
      <c r="I325" s="22">
        <f>=H325/10000*2.5</f>
        <v>2428.35449</v>
      </c>
      <c r="J325" s="22">
        <f>=J324+I325</f>
        <v>253923.58073</v>
      </c>
      <c r="K325" s="27">
        <f>=H325/10000*2</f>
        <v>1942.683592</v>
      </c>
      <c r="L325" s="27">
        <f>=I325-K325</f>
        <v>485.670898</v>
      </c>
    </row>
    <row r="326" spans="1:12">
      <c r="A326" s="23">
        <v>45992</v>
      </c>
      <c r="B326" s="21">
        <f>=H325</f>
        <v>9713417.96</v>
      </c>
      <c r="C326" s="25" t="s"/>
      <c r="D326" s="18" t="s"/>
      <c r="E326" s="18" t="s"/>
      <c r="F326" s="20" t="s"/>
      <c r="G326" s="26" t="s"/>
      <c r="H326" s="22">
        <f>=B326+C326+D326-E326-F326-G326</f>
        <v>9713417.96</v>
      </c>
      <c r="I326" s="22">
        <f>=H326/10000*2.5</f>
        <v>2428.35449</v>
      </c>
      <c r="J326" s="22">
        <f>=J325+I326</f>
        <v>256351.93522</v>
      </c>
      <c r="K326" s="27">
        <f>=H326/10000*2</f>
        <v>1942.683592</v>
      </c>
      <c r="L326" s="27">
        <f>=I326-K326</f>
        <v>485.670898</v>
      </c>
    </row>
    <row r="327" spans="1:12">
      <c r="A327" s="23">
        <v>45993</v>
      </c>
      <c r="B327" s="21">
        <f>=H326</f>
        <v>9713417.96</v>
      </c>
      <c r="C327" s="25" t="s"/>
      <c r="D327" s="18" t="s"/>
      <c r="E327" s="18" t="s"/>
      <c r="F327" s="20" t="s"/>
      <c r="G327" s="26" t="s"/>
      <c r="H327" s="22">
        <f>=B327+C327+D327-E327-F327-G327</f>
        <v>9713417.96</v>
      </c>
      <c r="I327" s="22">
        <f>=H327/10000*2.5</f>
        <v>2428.35449</v>
      </c>
      <c r="J327" s="22">
        <f>=J326+I327</f>
        <v>258780.28971</v>
      </c>
      <c r="K327" s="27">
        <f>=H327/10000*2</f>
        <v>1942.683592</v>
      </c>
      <c r="L327" s="27">
        <f>=I327-K327</f>
        <v>485.670898</v>
      </c>
    </row>
    <row r="328" spans="1:12">
      <c r="A328" s="23">
        <v>45994</v>
      </c>
      <c r="B328" s="21">
        <f>=H327</f>
        <v>9713417.96</v>
      </c>
      <c r="C328" s="25">
        <v>5407120</v>
      </c>
      <c r="D328" s="18" t="s"/>
      <c r="E328" s="18" t="s"/>
      <c r="F328" s="20" t="s"/>
      <c r="G328" s="26" t="s"/>
      <c r="H328" s="22">
        <f>=B328+C328+D328-E328-F328-G328</f>
        <v>15120537.96</v>
      </c>
      <c r="I328" s="22">
        <f>=H328/10000*2.5</f>
        <v>3780.13449</v>
      </c>
      <c r="J328" s="22">
        <f>=J327+I328</f>
        <v>262560.4242</v>
      </c>
      <c r="K328" s="27">
        <f>=H328/10000*2</f>
        <v>3024.107592</v>
      </c>
      <c r="L328" s="27">
        <f>=I328-K328</f>
        <v>756.026898</v>
      </c>
    </row>
    <row r="329" spans="1:12">
      <c r="A329" s="23">
        <v>45995</v>
      </c>
      <c r="B329" s="21">
        <f>=H328</f>
        <v>15120537.96</v>
      </c>
      <c r="C329" s="25" t="s"/>
      <c r="D329" s="18" t="s"/>
      <c r="E329" s="18" t="s"/>
      <c r="F329" s="20" t="s"/>
      <c r="G329" s="26">
        <v>41190</v>
      </c>
      <c r="H329" s="22">
        <f>=B329+C329+D329-E329-F329-G329</f>
        <v>15079347.96</v>
      </c>
      <c r="I329" s="22">
        <f>=H329/10000*2.5</f>
        <v>3769.83699</v>
      </c>
      <c r="J329" s="22">
        <f>=J328+I329</f>
        <v>266330.26119</v>
      </c>
      <c r="K329" s="27">
        <f>=H329/10000*2</f>
        <v>3015.869592</v>
      </c>
      <c r="L329" s="27">
        <f>=I329-K329</f>
        <v>753.967398</v>
      </c>
    </row>
    <row r="330" spans="1:12">
      <c r="A330" s="23">
        <v>45996</v>
      </c>
      <c r="B330" s="21">
        <f>=H329</f>
        <v>15079347.96</v>
      </c>
      <c r="C330" s="25" t="s"/>
      <c r="D330" s="18" t="s"/>
      <c r="E330" s="18" t="s"/>
      <c r="F330" s="20" t="s"/>
      <c r="G330" s="26">
        <v>584292</v>
      </c>
      <c r="H330" s="22">
        <f>=B330+C330+D330-E330-F330-G330</f>
        <v>14495055.96</v>
      </c>
      <c r="I330" s="22">
        <f>=H330/10000*2.5</f>
        <v>3623.76399</v>
      </c>
      <c r="J330" s="22">
        <f>=J329+I330</f>
        <v>269954.02518</v>
      </c>
      <c r="K330" s="27">
        <f>=H330/10000*2</f>
        <v>2899.011192</v>
      </c>
      <c r="L330" s="27">
        <f>=I330-K330</f>
        <v>724.752798</v>
      </c>
    </row>
    <row r="331" spans="1:12">
      <c r="A331" s="23">
        <v>45997</v>
      </c>
      <c r="B331" s="21">
        <f>=H330</f>
        <v>14495055.96</v>
      </c>
      <c r="C331" s="25">
        <v>1417500</v>
      </c>
      <c r="D331" s="18" t="s"/>
      <c r="E331" s="18" t="s"/>
      <c r="F331" s="20" t="s"/>
      <c r="G331" s="26" t="s"/>
      <c r="H331" s="22">
        <f>=B331+C331+D331-E331-F331-G331</f>
        <v>15912555.96</v>
      </c>
      <c r="I331" s="22">
        <f>=H331/10000*2.5</f>
        <v>3978.13899</v>
      </c>
      <c r="J331" s="22">
        <f>=J330+I331</f>
        <v>273932.16417</v>
      </c>
      <c r="K331" s="27">
        <f>=H331/10000*2</f>
        <v>3182.511192</v>
      </c>
      <c r="L331" s="27">
        <f>=I331-K331</f>
        <v>795.627798</v>
      </c>
    </row>
    <row r="332" spans="1:12">
      <c r="A332" s="23">
        <v>45998</v>
      </c>
      <c r="B332" s="21">
        <f>=H331</f>
        <v>15912555.96</v>
      </c>
      <c r="C332" s="25" t="s"/>
      <c r="D332" s="18" t="s"/>
      <c r="E332" s="18" t="s"/>
      <c r="F332" s="20" t="s"/>
      <c r="G332" s="26">
        <v>231500</v>
      </c>
      <c r="H332" s="22">
        <f>=B332+C332+D332-E332-F332-G332</f>
        <v>15681055.96</v>
      </c>
      <c r="I332" s="22">
        <f>=H332/10000*2.5</f>
        <v>3920.26399</v>
      </c>
      <c r="J332" s="22">
        <f>=J331+I332</f>
        <v>277852.42816</v>
      </c>
      <c r="K332" s="27">
        <f>=H332/10000*2</f>
        <v>3136.211192</v>
      </c>
      <c r="L332" s="27">
        <f>=I332-K332</f>
        <v>784.052798</v>
      </c>
    </row>
    <row r="333" spans="1:12">
      <c r="A333" s="23">
        <v>45999</v>
      </c>
      <c r="B333" s="21">
        <f>=H332</f>
        <v>15681055.96</v>
      </c>
      <c r="C333" s="25" t="s"/>
      <c r="D333" s="18" t="s"/>
      <c r="E333" s="18" t="s"/>
      <c r="F333" s="20" t="s"/>
      <c r="G333" s="26" t="s"/>
      <c r="H333" s="22">
        <f>=B333+C333+D333-E333-F333-G333</f>
        <v>15681055.96</v>
      </c>
      <c r="I333" s="22">
        <f>=H333/10000*2.5</f>
        <v>3920.26399</v>
      </c>
      <c r="J333" s="22">
        <f>=J332+I333</f>
        <v>281772.69215</v>
      </c>
      <c r="K333" s="27">
        <f>=H333/10000*2</f>
        <v>3136.211192</v>
      </c>
      <c r="L333" s="27">
        <f>=I333-K333</f>
        <v>784.052798</v>
      </c>
    </row>
    <row r="334" spans="1:12">
      <c r="A334" s="23">
        <v>46000</v>
      </c>
      <c r="B334" s="21">
        <f>=H333</f>
        <v>15681055.96</v>
      </c>
      <c r="C334" s="25" t="s"/>
      <c r="D334" s="18" t="s"/>
      <c r="E334" s="18" t="s"/>
      <c r="F334" s="20" t="s"/>
      <c r="G334" s="26">
        <v>180999</v>
      </c>
      <c r="H334" s="22">
        <f>=B334+C334+D334-E334-F334-G334</f>
        <v>15500056.96</v>
      </c>
      <c r="I334" s="22">
        <f>=H334/10000*2.5</f>
        <v>3875.01424</v>
      </c>
      <c r="J334" s="22">
        <f>=J333+I334</f>
        <v>285647.70639</v>
      </c>
      <c r="K334" s="27">
        <f>=H334/10000*2</f>
        <v>3100.011392</v>
      </c>
      <c r="L334" s="27">
        <f>=I334-K334</f>
        <v>775.002848</v>
      </c>
    </row>
    <row r="335" spans="1:12">
      <c r="A335" s="23">
        <v>46001</v>
      </c>
      <c r="B335" s="21">
        <f>=H334</f>
        <v>15500056.96</v>
      </c>
      <c r="C335" s="25" t="s"/>
      <c r="D335" s="18" t="s"/>
      <c r="E335" s="18" t="s"/>
      <c r="F335" s="20" t="s"/>
      <c r="G335" s="26">
        <v>103460</v>
      </c>
      <c r="H335" s="22">
        <f>=B335+C335+D335-E335-F335-G335</f>
        <v>15396596.96</v>
      </c>
      <c r="I335" s="22">
        <f>=H335/10000*2.5</f>
        <v>3849.14924</v>
      </c>
      <c r="J335" s="22">
        <f>=J334+I335</f>
        <v>289496.85563</v>
      </c>
      <c r="K335" s="27">
        <f>=H335/10000*2</f>
        <v>3079.319392</v>
      </c>
      <c r="L335" s="27">
        <f>=I335-K335</f>
        <v>769.829848</v>
      </c>
    </row>
    <row r="336" spans="1:12">
      <c r="A336" s="23">
        <v>46002</v>
      </c>
      <c r="B336" s="21">
        <f>=H335</f>
        <v>15396596.96</v>
      </c>
      <c r="C336" s="25" t="s"/>
      <c r="D336" s="18" t="s"/>
      <c r="E336" s="18" t="s"/>
      <c r="F336" s="20" t="s"/>
      <c r="G336" s="26" t="s"/>
      <c r="H336" s="22">
        <f>=B336+C336+D336-E336-F336-G336</f>
        <v>15396596.96</v>
      </c>
      <c r="I336" s="22">
        <f>=H336/10000*2.5</f>
        <v>3849.14924</v>
      </c>
      <c r="J336" s="22">
        <f>=J335+I336</f>
        <v>293346.00487</v>
      </c>
      <c r="K336" s="27">
        <f>=H336/10000*2</f>
        <v>3079.319392</v>
      </c>
      <c r="L336" s="27">
        <f>=I336-K336</f>
        <v>769.829848</v>
      </c>
    </row>
    <row r="337" spans="1:12">
      <c r="A337" s="23">
        <v>46003</v>
      </c>
      <c r="B337" s="21">
        <f>=H336</f>
        <v>15396596.96</v>
      </c>
      <c r="C337" s="25" t="s"/>
      <c r="D337" s="18" t="s"/>
      <c r="E337" s="18" t="s"/>
      <c r="F337" s="20" t="s"/>
      <c r="G337" s="26">
        <v>845097.2</v>
      </c>
      <c r="H337" s="22">
        <f>=B337+C337+D337-E337-F337-G337</f>
        <v>14551499.76</v>
      </c>
      <c r="I337" s="22">
        <f>=H337/10000*2.5</f>
        <v>3637.87494</v>
      </c>
      <c r="J337" s="22">
        <f>=J336+I337</f>
        <v>296983.87981</v>
      </c>
      <c r="K337" s="27">
        <f>=H337/10000*2</f>
        <v>2910.299952</v>
      </c>
      <c r="L337" s="27">
        <f>=I337-K337</f>
        <v>727.574988</v>
      </c>
    </row>
    <row r="338" spans="1:12">
      <c r="A338" s="23">
        <v>46004</v>
      </c>
      <c r="B338" s="21">
        <f>=H337</f>
        <v>14551499.76</v>
      </c>
      <c r="C338" s="25" t="s"/>
      <c r="D338" s="18" t="s"/>
      <c r="E338" s="18" t="s"/>
      <c r="F338" s="20" t="s"/>
      <c r="G338" s="26" t="s"/>
      <c r="H338" s="22">
        <f>=B338+C338+D338-E338-F338-G338</f>
        <v>14551499.76</v>
      </c>
      <c r="I338" s="22">
        <f>=H338/10000*2.5</f>
        <v>3637.87494</v>
      </c>
      <c r="J338" s="22">
        <f>=J337+I338</f>
        <v>300621.75475</v>
      </c>
      <c r="K338" s="27">
        <f>=H338/10000*2</f>
        <v>2910.299952</v>
      </c>
      <c r="L338" s="27">
        <f>=I338-K338</f>
        <v>727.574988</v>
      </c>
    </row>
    <row r="339" spans="1:12">
      <c r="A339" s="23">
        <v>46005</v>
      </c>
      <c r="B339" s="21">
        <f>=H338</f>
        <v>14551499.76</v>
      </c>
      <c r="C339" s="25" t="s"/>
      <c r="D339" s="18" t="s"/>
      <c r="E339" s="18" t="s"/>
      <c r="F339" s="20" t="s"/>
      <c r="G339" s="26" t="s"/>
      <c r="H339" s="22">
        <f>=B339+C339+D339-E339-F339-G339</f>
        <v>14551499.76</v>
      </c>
      <c r="I339" s="22">
        <f>=H339/10000*2.5</f>
        <v>3637.87494</v>
      </c>
      <c r="J339" s="22">
        <f>=J338+I339</f>
        <v>304259.62969</v>
      </c>
      <c r="K339" s="27">
        <f>=H339/10000*2</f>
        <v>2910.299952</v>
      </c>
      <c r="L339" s="27">
        <f>=I339-K339</f>
        <v>727.574988</v>
      </c>
    </row>
    <row r="340" spans="1:12">
      <c r="A340" s="23">
        <v>46006</v>
      </c>
      <c r="B340" s="21">
        <f>=H339</f>
        <v>14551499.76</v>
      </c>
      <c r="C340" s="25" t="s"/>
      <c r="D340" s="18" t="s"/>
      <c r="E340" s="18" t="s"/>
      <c r="F340" s="20" t="s"/>
      <c r="G340" s="26">
        <v>7906</v>
      </c>
      <c r="H340" s="22">
        <f>=B340+C340+D340-E340-F340-G340</f>
        <v>14543593.76</v>
      </c>
      <c r="I340" s="22">
        <f>=H340/10000*2.5</f>
        <v>3635.89844</v>
      </c>
      <c r="J340" s="22">
        <f>=J339+I340</f>
        <v>307895.52813</v>
      </c>
      <c r="K340" s="27">
        <f>=H340/10000*2</f>
        <v>2908.718752</v>
      </c>
      <c r="L340" s="27">
        <f>=I340-K340</f>
        <v>727.179688</v>
      </c>
    </row>
    <row r="341" spans="1:12">
      <c r="A341" s="23">
        <v>46007</v>
      </c>
      <c r="B341" s="21">
        <f>=H340</f>
        <v>14543593.76</v>
      </c>
      <c r="C341" s="25" t="s"/>
      <c r="D341" s="18" t="s"/>
      <c r="E341" s="18" t="s"/>
      <c r="F341" s="20" t="s"/>
      <c r="G341" s="26" t="s"/>
      <c r="H341" s="22">
        <f>=B341+C341+D341-E341-F341-G341</f>
        <v>14543593.76</v>
      </c>
      <c r="I341" s="22">
        <f>=H341/10000*2.5</f>
        <v>3635.89844</v>
      </c>
      <c r="J341" s="22">
        <f>=J340+I341</f>
        <v>311531.42657</v>
      </c>
      <c r="K341" s="27">
        <f>=H341/10000*2</f>
        <v>2908.718752</v>
      </c>
      <c r="L341" s="27">
        <f>=I341-K341</f>
        <v>727.179688</v>
      </c>
    </row>
    <row r="342" spans="1:12">
      <c r="A342" s="23">
        <v>46008</v>
      </c>
      <c r="B342" s="21">
        <f>=H341</f>
        <v>14543593.76</v>
      </c>
      <c r="C342" s="25" t="s"/>
      <c r="D342" s="18" t="s"/>
      <c r="E342" s="18" t="s"/>
      <c r="F342" s="20" t="s"/>
      <c r="G342" s="26">
        <v>586044</v>
      </c>
      <c r="H342" s="22">
        <f>=B342+C342+D342-E342-F342-G342</f>
        <v>13957549.76</v>
      </c>
      <c r="I342" s="22">
        <f>=H342/10000*2.5</f>
        <v>3489.38744</v>
      </c>
      <c r="J342" s="22">
        <f>=J341+I342</f>
        <v>315020.81401</v>
      </c>
      <c r="K342" s="27">
        <f>=H342/10000*2</f>
        <v>2791.509952</v>
      </c>
      <c r="L342" s="27">
        <f>=I342-K342</f>
        <v>697.877488</v>
      </c>
    </row>
    <row r="343" spans="1:12">
      <c r="A343" s="23">
        <v>46009</v>
      </c>
      <c r="B343" s="21">
        <f>=H342</f>
        <v>13957549.76</v>
      </c>
      <c r="C343" s="25" t="s"/>
      <c r="D343" s="18" t="s"/>
      <c r="E343" s="18" t="s"/>
      <c r="F343" s="20" t="s"/>
      <c r="G343" s="26" t="s"/>
      <c r="H343" s="22">
        <f>=B343+C343+D343-E343-F343-G343</f>
        <v>13957549.76</v>
      </c>
      <c r="I343" s="22">
        <f>=H343/10000*2.5</f>
        <v>3489.38744</v>
      </c>
      <c r="J343" s="22">
        <f>=J342+I343</f>
        <v>318510.20145</v>
      </c>
      <c r="K343" s="27">
        <f>=H343/10000*2</f>
        <v>2791.509952</v>
      </c>
      <c r="L343" s="27">
        <f>=I343-K343</f>
        <v>697.877488</v>
      </c>
    </row>
    <row r="344" spans="1:12">
      <c r="A344" s="23">
        <v>46010</v>
      </c>
      <c r="B344" s="21">
        <f>=H343</f>
        <v>13957549.76</v>
      </c>
      <c r="C344" s="25" t="s"/>
      <c r="D344" s="18" t="s"/>
      <c r="E344" s="18" t="s"/>
      <c r="F344" s="20" t="s"/>
      <c r="G344" s="26" t="s"/>
      <c r="H344" s="22">
        <f>=B344+C344+D344-E344-F344-G344</f>
        <v>13957549.76</v>
      </c>
      <c r="I344" s="22">
        <f>=H344/10000*2.5</f>
        <v>3489.38744</v>
      </c>
      <c r="J344" s="22">
        <f>=J343+I344</f>
        <v>321999.58889</v>
      </c>
      <c r="K344" s="27">
        <f>=H344/10000*2</f>
        <v>2791.509952</v>
      </c>
      <c r="L344" s="27">
        <f>=I344-K344</f>
        <v>697.877488</v>
      </c>
    </row>
    <row r="345" spans="1:12">
      <c r="A345" s="23">
        <v>46011</v>
      </c>
      <c r="B345" s="21">
        <f>=H344</f>
        <v>13957549.76</v>
      </c>
      <c r="C345" s="25" t="s"/>
      <c r="D345" s="18" t="s"/>
      <c r="E345" s="18" t="s"/>
      <c r="F345" s="20" t="s"/>
      <c r="G345" s="26" t="s"/>
      <c r="H345" s="22">
        <f>=B345+C345+D345-E345-F345-G345</f>
        <v>13957549.76</v>
      </c>
      <c r="I345" s="22">
        <f>=H345/10000*2.5</f>
        <v>3489.38744</v>
      </c>
      <c r="J345" s="22">
        <f>=J344+I345</f>
        <v>325488.97633</v>
      </c>
      <c r="K345" s="27">
        <f>=H345/10000*2</f>
        <v>2791.509952</v>
      </c>
      <c r="L345" s="27">
        <f>=I345-K345</f>
        <v>697.877488</v>
      </c>
    </row>
    <row r="346" spans="1:12">
      <c r="A346" s="23">
        <v>46012</v>
      </c>
      <c r="B346" s="21">
        <f>=H345</f>
        <v>13957549.76</v>
      </c>
      <c r="C346" s="25" t="s"/>
      <c r="D346" s="18" t="s"/>
      <c r="E346" s="18" t="s"/>
      <c r="F346" s="20" t="s"/>
      <c r="G346" s="26" t="s"/>
      <c r="H346" s="22">
        <f>=B346+C346+D346-E346-F346-G346</f>
        <v>13957549.76</v>
      </c>
      <c r="I346" s="22">
        <f>=H346/10000*2.5</f>
        <v>3489.38744</v>
      </c>
      <c r="J346" s="22">
        <f>=J345+I346</f>
        <v>328978.36377</v>
      </c>
      <c r="K346" s="27">
        <f>=H346/10000*2</f>
        <v>2791.509952</v>
      </c>
      <c r="L346" s="27">
        <f>=I346-K346</f>
        <v>697.877488</v>
      </c>
    </row>
    <row r="347" spans="1:12">
      <c r="A347" s="23">
        <v>46013</v>
      </c>
      <c r="B347" s="21">
        <f>=H346</f>
        <v>13957549.76</v>
      </c>
      <c r="C347" s="25">
        <v>1675000</v>
      </c>
      <c r="D347" s="18" t="s"/>
      <c r="E347" s="18" t="s"/>
      <c r="F347" s="20" t="s"/>
      <c r="G347" s="26" t="s"/>
      <c r="H347" s="22">
        <f>=B347+C347+D347-E347-F347-G347</f>
        <v>15632549.76</v>
      </c>
      <c r="I347" s="22">
        <f>=H347/10000*2.5</f>
        <v>3908.13744</v>
      </c>
      <c r="J347" s="22">
        <f>=J346+I347</f>
        <v>332886.50121</v>
      </c>
      <c r="K347" s="27">
        <f>=H347/10000*2</f>
        <v>3126.509952</v>
      </c>
      <c r="L347" s="27">
        <f>=I347-K347</f>
        <v>781.627488</v>
      </c>
    </row>
    <row r="348" spans="1:12">
      <c r="A348" s="23">
        <v>46014</v>
      </c>
      <c r="B348" s="21">
        <f>=H347</f>
        <v>15632549.76</v>
      </c>
      <c r="C348" s="25" t="s"/>
      <c r="D348" s="18" t="s"/>
      <c r="E348" s="18" t="s"/>
      <c r="F348" s="20" t="s"/>
      <c r="G348" s="26" t="s"/>
      <c r="H348" s="22">
        <f>=B348+C348+D348-E348-F348-G348</f>
        <v>15632549.76</v>
      </c>
      <c r="I348" s="22">
        <f>=H348/10000*2.5</f>
        <v>3908.13744</v>
      </c>
      <c r="J348" s="22">
        <f>=J347+I348</f>
        <v>336794.63865</v>
      </c>
      <c r="K348" s="27">
        <f>=H348/10000*2</f>
        <v>3126.509952</v>
      </c>
      <c r="L348" s="27">
        <f>=I348-K348</f>
        <v>781.627488</v>
      </c>
    </row>
    <row r="349" spans="1:12">
      <c r="A349" s="23">
        <v>46015</v>
      </c>
      <c r="B349" s="21">
        <f>=H348</f>
        <v>15632549.76</v>
      </c>
      <c r="C349" s="25" t="s"/>
      <c r="D349" s="18" t="s"/>
      <c r="E349" s="18" t="s"/>
      <c r="F349" s="20" t="s"/>
      <c r="G349" s="26" t="s"/>
      <c r="H349" s="22">
        <f>=B349+C349+D349-E349-F349-G349</f>
        <v>15632549.76</v>
      </c>
      <c r="I349" s="22">
        <f>=H349/10000*2.5</f>
        <v>3908.13744</v>
      </c>
      <c r="J349" s="22">
        <f>=J348+I349</f>
        <v>340702.77609</v>
      </c>
      <c r="K349" s="27">
        <f>=H349/10000*2</f>
        <v>3126.509952</v>
      </c>
      <c r="L349" s="27">
        <f>=I349-K349</f>
        <v>781.627488</v>
      </c>
    </row>
    <row r="350" spans="1:12">
      <c r="A350" s="23">
        <v>46016</v>
      </c>
      <c r="B350" s="21">
        <f>=H349</f>
        <v>15632549.76</v>
      </c>
      <c r="C350" s="25" t="s"/>
      <c r="D350" s="18" t="s"/>
      <c r="E350" s="18" t="s"/>
      <c r="F350" s="20" t="s"/>
      <c r="G350" s="26" t="s"/>
      <c r="H350" s="22">
        <f>=B350+C350+D350-E350-F350-G350</f>
        <v>15632549.76</v>
      </c>
      <c r="I350" s="22">
        <f>=H350/10000*2.5</f>
        <v>3908.13744</v>
      </c>
      <c r="J350" s="22">
        <f>=J349+I350</f>
        <v>344610.91353</v>
      </c>
      <c r="K350" s="27">
        <f>=H350/10000*2</f>
        <v>3126.509952</v>
      </c>
      <c r="L350" s="27">
        <f>=I350-K350</f>
        <v>781.627488</v>
      </c>
    </row>
    <row r="351" spans="1:12">
      <c r="A351" s="23">
        <v>46017</v>
      </c>
      <c r="B351" s="21">
        <f>=H350</f>
        <v>15632549.76</v>
      </c>
      <c r="C351" s="25" t="s"/>
      <c r="D351" s="18" t="s"/>
      <c r="E351" s="18" t="s"/>
      <c r="F351" s="20" t="s"/>
      <c r="G351" s="26">
        <v>663714.54</v>
      </c>
      <c r="H351" s="22">
        <f>=B351+C351+D351-E351-F351-G351</f>
        <v>14968835.22</v>
      </c>
      <c r="I351" s="22">
        <f>=H351/10000*2.5</f>
        <v>3742.208805</v>
      </c>
      <c r="J351" s="22">
        <f>=J350+I351</f>
        <v>348353.122335</v>
      </c>
      <c r="K351" s="27">
        <f>=H351/10000*2</f>
        <v>2993.767044</v>
      </c>
      <c r="L351" s="27">
        <f>=I351-K351</f>
        <v>748.441761</v>
      </c>
    </row>
    <row r="352" spans="1:12">
      <c r="A352" s="23">
        <v>46018</v>
      </c>
      <c r="B352" s="21">
        <f>=H351</f>
        <v>14968835.22</v>
      </c>
      <c r="C352" s="25" t="s"/>
      <c r="D352" s="18" t="s"/>
      <c r="E352" s="18" t="s"/>
      <c r="F352" s="20" t="s"/>
      <c r="G352" s="26" t="s"/>
      <c r="H352" s="22">
        <f>=B352+C352+D352-E352-F352-G352</f>
        <v>14968835.22</v>
      </c>
      <c r="I352" s="22">
        <f>=H352/10000*2.5</f>
        <v>3742.208805</v>
      </c>
      <c r="J352" s="22">
        <f>=J351+I352</f>
        <v>352095.33114</v>
      </c>
      <c r="K352" s="27">
        <f>=H352/10000*2</f>
        <v>2993.767044</v>
      </c>
      <c r="L352" s="27">
        <f>=I352-K352</f>
        <v>748.441761</v>
      </c>
    </row>
    <row r="353" spans="1:12">
      <c r="A353" s="23">
        <v>46019</v>
      </c>
      <c r="B353" s="21">
        <f>=H352</f>
        <v>14968835.22</v>
      </c>
      <c r="C353" s="25" t="s"/>
      <c r="D353" s="18" t="s"/>
      <c r="E353" s="18" t="s"/>
      <c r="F353" s="20" t="s"/>
      <c r="G353" s="26" t="s"/>
      <c r="H353" s="22">
        <f>=B353+C353+D353-E353-F353-G353</f>
        <v>14968835.22</v>
      </c>
      <c r="I353" s="22">
        <f>=H353/10000*2.5</f>
        <v>3742.208805</v>
      </c>
      <c r="J353" s="22">
        <f>=J352+I353</f>
        <v>355837.539945</v>
      </c>
      <c r="K353" s="27">
        <f>=H353/10000*2</f>
        <v>2993.767044</v>
      </c>
      <c r="L353" s="27">
        <f>=I353-K353</f>
        <v>748.441761</v>
      </c>
    </row>
    <row r="354" spans="1:12">
      <c r="A354" s="23">
        <v>46020</v>
      </c>
      <c r="B354" s="21">
        <f>=H353</f>
        <v>14968835.22</v>
      </c>
      <c r="C354" s="25" t="s"/>
      <c r="D354" s="18" t="s"/>
      <c r="E354" s="18" t="s"/>
      <c r="F354" s="20" t="s"/>
      <c r="G354" s="26" t="s"/>
      <c r="H354" s="22">
        <f>=B354+C354+D354-E354-F354-G354</f>
        <v>14968835.22</v>
      </c>
      <c r="I354" s="22">
        <f>=H354/10000*2.5</f>
        <v>3742.208805</v>
      </c>
      <c r="J354" s="22">
        <f>=J353+I354</f>
        <v>359579.74875</v>
      </c>
      <c r="K354" s="27">
        <f>=H354/10000*2</f>
        <v>2993.767044</v>
      </c>
      <c r="L354" s="27">
        <f>=I354-K354</f>
        <v>748.441761</v>
      </c>
    </row>
    <row r="355" spans="1:12">
      <c r="A355" s="23">
        <v>46021</v>
      </c>
      <c r="B355" s="21">
        <f>=H354</f>
        <v>14968835.22</v>
      </c>
      <c r="C355" s="25" t="s"/>
      <c r="D355" s="18" t="s"/>
      <c r="E355" s="18" t="s"/>
      <c r="F355" s="20" t="s"/>
      <c r="G355" s="26" t="s"/>
      <c r="H355" s="22">
        <f>=B355+C355+D355-E355-F355-G355</f>
        <v>14968835.22</v>
      </c>
      <c r="I355" s="22">
        <f>=H355/10000*2.5</f>
        <v>3742.208805</v>
      </c>
      <c r="J355" s="22">
        <f>=J354+I355</f>
        <v>363321.957555</v>
      </c>
      <c r="K355" s="27">
        <f>=H355/10000*2</f>
        <v>2993.767044</v>
      </c>
      <c r="L355" s="27">
        <f>=I355-K355</f>
        <v>748.441761</v>
      </c>
    </row>
    <row r="356" spans="1:12">
      <c r="A356" s="23">
        <v>46022</v>
      </c>
      <c r="B356" s="21">
        <f>=H355</f>
        <v>14968835.22</v>
      </c>
      <c r="C356" s="25">
        <v>2106000</v>
      </c>
      <c r="D356" s="18" t="s"/>
      <c r="E356" s="18" t="s"/>
      <c r="F356" s="20" t="s"/>
      <c r="G356" s="26" t="s"/>
      <c r="H356" s="22">
        <f>=B356+C356+D356-E356-F356-G356</f>
        <v>17074835.22</v>
      </c>
      <c r="I356" s="22">
        <f>=H356/10000*2.5</f>
        <v>4268.708805</v>
      </c>
      <c r="J356" s="22">
        <f>=J355+I356</f>
        <v>367590.66636</v>
      </c>
      <c r="K356" s="27">
        <f>=H356/10000*2</f>
        <v>3414.967044</v>
      </c>
      <c r="L356" s="27">
        <f>=I356-K356</f>
        <v>853.741761</v>
      </c>
    </row>
    <row r="357" spans="1:12">
      <c r="A357" s="23">
        <v>46023</v>
      </c>
      <c r="B357" s="21">
        <f>=H356</f>
        <v>17074835.22</v>
      </c>
      <c r="C357" s="25" t="s"/>
      <c r="D357" s="18" t="s"/>
      <c r="E357" s="18" t="s"/>
      <c r="F357" s="20" t="s"/>
      <c r="G357" s="26" t="s"/>
      <c r="H357" s="22">
        <f>=B357+C357+D357-E357-F357-G357</f>
        <v>17074835.22</v>
      </c>
      <c r="I357" s="22">
        <f>=H357/10000*2.5</f>
        <v>4268.708805</v>
      </c>
      <c r="J357" s="22">
        <f>=J356+I357</f>
        <v>371859.375165</v>
      </c>
      <c r="K357" s="27">
        <f>=H357/10000*2</f>
        <v>3414.967044</v>
      </c>
      <c r="L357" s="27">
        <f>=I357-K357</f>
        <v>853.741761</v>
      </c>
    </row>
    <row r="358" spans="1:12">
      <c r="A358" s="23">
        <v>46024</v>
      </c>
      <c r="B358" s="21">
        <f>=H357</f>
        <v>17074835.22</v>
      </c>
      <c r="C358" s="25" t="s"/>
      <c r="D358" s="18" t="s"/>
      <c r="E358" s="18" t="s"/>
      <c r="F358" s="20" t="s"/>
      <c r="G358" s="26" t="s"/>
      <c r="H358" s="22">
        <f>=B358+C358+D358-E358-F358-G358</f>
        <v>17074835.22</v>
      </c>
      <c r="I358" s="22">
        <f>=H358/10000*2.5</f>
        <v>4268.708805</v>
      </c>
      <c r="J358" s="22">
        <f>=J357+I358</f>
        <v>376128.08397</v>
      </c>
      <c r="K358" s="27">
        <f>=H358/10000*2</f>
        <v>3414.967044</v>
      </c>
      <c r="L358" s="27">
        <f>=I358-K358</f>
        <v>853.741761</v>
      </c>
    </row>
    <row r="359" spans="1:12">
      <c r="A359" s="23">
        <v>46025</v>
      </c>
      <c r="B359" s="21">
        <f>=H358</f>
        <v>17074835.22</v>
      </c>
      <c r="C359" s="25">
        <v>8083411</v>
      </c>
      <c r="D359" s="18" t="s"/>
      <c r="E359" s="18" t="s"/>
      <c r="F359" s="20" t="s"/>
      <c r="G359" s="26" t="s"/>
      <c r="H359" s="22">
        <f>=B359+C359+D359-E359-F359-G359</f>
        <v>25158246.22</v>
      </c>
      <c r="I359" s="22">
        <f>=H359/10000*2.5</f>
        <v>6289.561555</v>
      </c>
      <c r="J359" s="22">
        <f>=J358+I359</f>
        <v>382417.645525</v>
      </c>
      <c r="K359" s="27">
        <f>=H359/10000*2</f>
        <v>5031.649244</v>
      </c>
      <c r="L359" s="27">
        <f>=I359-K359</f>
        <v>1257.912311</v>
      </c>
    </row>
    <row r="360" spans="1:12">
      <c r="A360" s="23">
        <v>46026</v>
      </c>
      <c r="B360" s="21">
        <f>=H359</f>
        <v>25158246.22</v>
      </c>
      <c r="C360" s="25" t="s"/>
      <c r="D360" s="18" t="s"/>
      <c r="E360" s="18" t="s"/>
      <c r="F360" s="20" t="s"/>
      <c r="G360" s="26">
        <v>474000</v>
      </c>
      <c r="H360" s="22">
        <f>=B360+C360+D360-E360-F360-G360</f>
        <v>24684246.22</v>
      </c>
      <c r="I360" s="22">
        <f>=H360/10000*2.5</f>
        <v>6171.061555</v>
      </c>
      <c r="J360" s="22">
        <f>=J359+I360</f>
        <v>388588.707080001</v>
      </c>
      <c r="K360" s="27">
        <f>=H360/10000*2</f>
        <v>4936.849244</v>
      </c>
      <c r="L360" s="27">
        <f>=I360-K360</f>
        <v>1234.212311</v>
      </c>
    </row>
    <row r="361" spans="1:12">
      <c r="A361" s="23">
        <v>46027</v>
      </c>
      <c r="B361" s="21">
        <f>=H360</f>
        <v>24684246.22</v>
      </c>
      <c r="C361" s="25" t="s"/>
      <c r="D361" s="18" t="s"/>
      <c r="E361" s="18" t="s"/>
      <c r="F361" s="20" t="s"/>
      <c r="G361" s="26" t="s"/>
      <c r="H361" s="22">
        <f>=B361+C361+D361-E361-F361-G361</f>
        <v>24684246.22</v>
      </c>
      <c r="I361" s="22">
        <f>=H361/10000*2.5</f>
        <v>6171.061555</v>
      </c>
      <c r="J361" s="22">
        <f>=J360+I361</f>
        <v>394759.768635001</v>
      </c>
      <c r="K361" s="27">
        <f>=H361/10000*2</f>
        <v>4936.849244</v>
      </c>
      <c r="L361" s="27">
        <f>=I361-K361</f>
        <v>1234.212311</v>
      </c>
    </row>
    <row r="362" spans="1:12">
      <c r="A362" s="23">
        <v>46028</v>
      </c>
      <c r="B362" s="21">
        <f>=H361</f>
        <v>24684246.22</v>
      </c>
      <c r="C362" s="25" t="s"/>
      <c r="D362" s="18" t="s"/>
      <c r="E362" s="18" t="s"/>
      <c r="F362" s="20" t="s"/>
      <c r="G362" s="26">
        <v>4530</v>
      </c>
      <c r="H362" s="22">
        <f>=B362+C362+D362-E362-F362-G362</f>
        <v>24679716.22</v>
      </c>
      <c r="I362" s="22">
        <f>=H362/10000*2.5</f>
        <v>6169.929055</v>
      </c>
      <c r="J362" s="22">
        <f>=J361+I362</f>
        <v>400929.697690001</v>
      </c>
      <c r="K362" s="27">
        <f>=H362/10000*2</f>
        <v>4935.943244</v>
      </c>
      <c r="L362" s="27">
        <f>=I362-K362</f>
        <v>1233.985811</v>
      </c>
    </row>
    <row r="363" spans="1:12">
      <c r="A363" s="23">
        <v>46029</v>
      </c>
      <c r="B363" s="21">
        <f>=H362</f>
        <v>24679716.22</v>
      </c>
      <c r="C363" s="25">
        <v>489600</v>
      </c>
      <c r="D363" s="18" t="s"/>
      <c r="E363" s="18" t="s"/>
      <c r="F363" s="20" t="s"/>
      <c r="G363" s="26">
        <v>871560</v>
      </c>
      <c r="H363" s="22">
        <f>=B363+C363+D363-E363-F363-G363</f>
        <v>24297756.22</v>
      </c>
      <c r="I363" s="22">
        <f>=H363/10000*2.5</f>
        <v>6074.439055</v>
      </c>
      <c r="J363" s="22">
        <f>=J362+I363</f>
        <v>407004.136745001</v>
      </c>
      <c r="K363" s="27">
        <f>=H363/10000*2</f>
        <v>4859.551244</v>
      </c>
      <c r="L363" s="27">
        <f>=I363-K363</f>
        <v>1214.887811</v>
      </c>
    </row>
    <row r="364" spans="1:12">
      <c r="A364" s="23">
        <v>46030</v>
      </c>
      <c r="B364" s="21">
        <f>=H363</f>
        <v>24297756.22</v>
      </c>
      <c r="C364" s="25" t="s"/>
      <c r="D364" s="18" t="s"/>
      <c r="E364" s="18" t="s"/>
      <c r="F364" s="20" t="s"/>
      <c r="G364" s="26" t="s"/>
      <c r="H364" s="22">
        <f>=B364+C364+D364-E364-F364-G364</f>
        <v>24297756.22</v>
      </c>
      <c r="I364" s="22">
        <f>=H364/10000*2.5</f>
        <v>6074.439055</v>
      </c>
      <c r="J364" s="22">
        <f>=J363+I364</f>
        <v>413078.575800001</v>
      </c>
      <c r="K364" s="27">
        <f>=H364/10000*2</f>
        <v>4859.551244</v>
      </c>
      <c r="L364" s="27">
        <f>=I364-K364</f>
        <v>1214.887811</v>
      </c>
    </row>
    <row r="365" spans="1:12">
      <c r="A365" s="23">
        <v>46031</v>
      </c>
      <c r="B365" s="21">
        <f>=H364</f>
        <v>24297756.22</v>
      </c>
      <c r="C365" s="25">
        <v>1356028</v>
      </c>
      <c r="D365" s="18" t="s"/>
      <c r="E365" s="18" t="s"/>
      <c r="F365" s="20" t="s"/>
      <c r="G365" s="26">
        <v>122724.8</v>
      </c>
      <c r="H365" s="22">
        <f>=B365+C365+D365-E365-F365-G365</f>
        <v>25531059.42</v>
      </c>
      <c r="I365" s="22">
        <f>=H365/10000*2.5</f>
        <v>6382.764855</v>
      </c>
      <c r="J365" s="22">
        <f>=J364+I365</f>
        <v>419461.340655001</v>
      </c>
      <c r="K365" s="27">
        <f>=H365/10000*2</f>
        <v>5106.211884</v>
      </c>
      <c r="L365" s="27">
        <f>=I365-K365</f>
        <v>1276.552971</v>
      </c>
    </row>
    <row r="366" spans="1:12">
      <c r="A366" s="23">
        <v>46032</v>
      </c>
      <c r="B366" s="21">
        <f>=H365</f>
        <v>25531059.42</v>
      </c>
      <c r="C366" s="25" t="s"/>
      <c r="D366" s="18" t="s"/>
      <c r="E366" s="18" t="s"/>
      <c r="F366" s="20" t="s"/>
      <c r="G366" s="26">
        <v>379200</v>
      </c>
      <c r="H366" s="22">
        <f>=B366+C366+D366-E366-F366-G366</f>
        <v>25151859.42</v>
      </c>
      <c r="I366" s="22">
        <f>=H366/10000*2.5</f>
        <v>6287.964855</v>
      </c>
      <c r="J366" s="22">
        <f>=J365+I366</f>
        <v>425749.305510001</v>
      </c>
      <c r="K366" s="27">
        <f>=H366/10000*2</f>
        <v>5030.371884</v>
      </c>
      <c r="L366" s="27">
        <f>=I366-K366</f>
        <v>1257.592971</v>
      </c>
    </row>
    <row r="367" spans="1:12">
      <c r="A367" s="23">
        <v>46033</v>
      </c>
      <c r="B367" s="21">
        <f>=H366</f>
        <v>25151859.42</v>
      </c>
      <c r="C367" s="25" t="s"/>
      <c r="D367" s="18" t="s"/>
      <c r="E367" s="18" t="s"/>
      <c r="F367" s="20" t="s"/>
      <c r="G367" s="26">
        <v>611559.5</v>
      </c>
      <c r="H367" s="22">
        <f>=B367+C367+D367-E367-F367-G367</f>
        <v>24540299.92</v>
      </c>
      <c r="I367" s="22">
        <f>=H367/10000*2.5</f>
        <v>6135.07498</v>
      </c>
      <c r="J367" s="22">
        <f>=J366+I367</f>
        <v>431884.380490001</v>
      </c>
      <c r="K367" s="27">
        <f>=H367/10000*2</f>
        <v>4908.059984</v>
      </c>
      <c r="L367" s="27">
        <f>=I367-K367</f>
        <v>1227.014996</v>
      </c>
    </row>
    <row r="368" spans="1:12">
      <c r="A368" s="23">
        <v>46034</v>
      </c>
      <c r="B368" s="21">
        <f>=H367</f>
        <v>24540299.92</v>
      </c>
      <c r="C368" s="25" t="s"/>
      <c r="D368" s="18" t="s"/>
      <c r="E368" s="18" t="s"/>
      <c r="F368" s="20" t="s"/>
      <c r="G368" s="26">
        <v>273988</v>
      </c>
      <c r="H368" s="22">
        <f>=B368+C368+D368-E368-F368-G368</f>
        <v>24266311.92</v>
      </c>
      <c r="I368" s="22">
        <f>=H368/10000*2.5</f>
        <v>6066.57798</v>
      </c>
      <c r="J368" s="22">
        <f>=J367+I368</f>
        <v>437950.958470001</v>
      </c>
      <c r="K368" s="27">
        <f>=H368/10000*2</f>
        <v>4853.262384</v>
      </c>
      <c r="L368" s="27">
        <f>=I368-K368</f>
        <v>1213.315596</v>
      </c>
    </row>
    <row r="369" spans="1:12">
      <c r="A369" s="23">
        <v>46035</v>
      </c>
      <c r="B369" s="21">
        <f>=H368</f>
        <v>24266311.92</v>
      </c>
      <c r="C369" s="25" t="s"/>
      <c r="D369" s="18" t="s"/>
      <c r="E369" s="18" t="s"/>
      <c r="F369" s="20" t="s"/>
      <c r="G369" s="26" t="s"/>
      <c r="H369" s="22">
        <f>=B369+C369+D369-E369-F369-G369</f>
        <v>24266311.92</v>
      </c>
      <c r="I369" s="22">
        <f>=H369/10000*2.5</f>
        <v>6066.57798</v>
      </c>
      <c r="J369" s="22">
        <f>=J368+I369</f>
        <v>444017.536450001</v>
      </c>
      <c r="K369" s="27">
        <f>=H369/10000*2</f>
        <v>4853.262384</v>
      </c>
      <c r="L369" s="27">
        <f>=I369-K369</f>
        <v>1213.315596</v>
      </c>
    </row>
    <row r="370" spans="1:12">
      <c r="A370" s="23">
        <v>46036</v>
      </c>
      <c r="B370" s="21">
        <f>=H369</f>
        <v>24266311.92</v>
      </c>
      <c r="C370" s="25">
        <v>891000</v>
      </c>
      <c r="D370" s="18" t="s"/>
      <c r="E370" s="18" t="s"/>
      <c r="F370" s="20" t="s"/>
      <c r="G370" s="26" t="s"/>
      <c r="H370" s="22">
        <f>=B370+C370+D370-E370-F370-G370</f>
        <v>25157311.92</v>
      </c>
      <c r="I370" s="22">
        <f>=H370/10000*2.5</f>
        <v>6289.32798</v>
      </c>
      <c r="J370" s="22">
        <f>=J369+I370</f>
        <v>450306.864430001</v>
      </c>
      <c r="K370" s="27">
        <f>=H370/10000*2</f>
        <v>5031.462384</v>
      </c>
      <c r="L370" s="27">
        <f>=I370-K370</f>
        <v>1257.865596</v>
      </c>
    </row>
    <row r="371" spans="1:12">
      <c r="A371" s="23">
        <v>46037</v>
      </c>
      <c r="B371" s="21">
        <f>=H370</f>
        <v>25157311.92</v>
      </c>
      <c r="C371" s="25">
        <v>3272675</v>
      </c>
      <c r="D371" s="18" t="s"/>
      <c r="E371" s="18" t="s"/>
      <c r="F371" s="20" t="s"/>
      <c r="G371" s="26">
        <v>28262</v>
      </c>
      <c r="H371" s="22">
        <f>=B371+C371+D371-E371-F371-G371</f>
        <v>28401724.92</v>
      </c>
      <c r="I371" s="22">
        <f>=H371/10000*2.5</f>
        <v>7100.43123</v>
      </c>
      <c r="J371" s="22">
        <f>=J370+I371</f>
        <v>457407.295660001</v>
      </c>
      <c r="K371" s="27">
        <f>=H371/10000*2</f>
        <v>5680.344984</v>
      </c>
      <c r="L371" s="27">
        <f>=I371-K371</f>
        <v>1420.086246</v>
      </c>
    </row>
    <row r="372" spans="1:12">
      <c r="A372" s="23">
        <v>46038</v>
      </c>
      <c r="B372" s="21">
        <f>=H371</f>
        <v>28401724.92</v>
      </c>
      <c r="C372" s="25" t="s"/>
      <c r="D372" s="18" t="s"/>
      <c r="E372" s="18" t="s"/>
      <c r="F372" s="20" t="s"/>
      <c r="G372" s="26">
        <v>475500</v>
      </c>
      <c r="H372" s="22">
        <f>=B372+C372+D372-E372-F372-G372</f>
        <v>27926224.92</v>
      </c>
      <c r="I372" s="22">
        <f>=H372/10000*2.5</f>
        <v>6981.55623</v>
      </c>
      <c r="J372" s="22">
        <f>=J371+I372</f>
        <v>464388.851890001</v>
      </c>
      <c r="K372" s="27">
        <f>=H372/10000*2</f>
        <v>5585.244984</v>
      </c>
      <c r="L372" s="27">
        <f>=I372-K372</f>
        <v>1396.311246</v>
      </c>
    </row>
    <row r="373" spans="1:12">
      <c r="A373" s="23">
        <v>46039</v>
      </c>
      <c r="B373" s="21">
        <f>=H372</f>
        <v>27926224.92</v>
      </c>
      <c r="C373" s="25" t="s"/>
      <c r="D373" s="18" t="s"/>
      <c r="E373" s="18" t="s"/>
      <c r="F373" s="20" t="s"/>
      <c r="G373" s="26" t="s"/>
      <c r="H373" s="22">
        <f>=B373+C373+D373-E373-F373-G373</f>
        <v>27926224.92</v>
      </c>
      <c r="I373" s="22">
        <f>=H373/10000*2.5</f>
        <v>6981.55623</v>
      </c>
      <c r="J373" s="22">
        <f>=J372+I373</f>
        <v>471370.408120001</v>
      </c>
      <c r="K373" s="27">
        <f>=H373/10000*2</f>
        <v>5585.244984</v>
      </c>
      <c r="L373" s="27">
        <f>=I373-K373</f>
        <v>1396.311246</v>
      </c>
    </row>
    <row r="374" spans="1:12">
      <c r="A374" s="23">
        <v>46040</v>
      </c>
      <c r="B374" s="21">
        <f>=H373</f>
        <v>27926224.92</v>
      </c>
      <c r="C374" s="25" t="s"/>
      <c r="D374" s="18" t="s"/>
      <c r="E374" s="18" t="s"/>
      <c r="F374" s="20" t="s"/>
      <c r="G374" s="26" t="s"/>
      <c r="H374" s="22">
        <f>=B374+C374+D374-E374-F374-G374</f>
        <v>27926224.92</v>
      </c>
      <c r="I374" s="22">
        <f>=H374/10000*2.5</f>
        <v>6981.55623</v>
      </c>
      <c r="J374" s="22">
        <f>=J373+I374</f>
        <v>478351.964350001</v>
      </c>
      <c r="K374" s="27">
        <f>=H374/10000*2</f>
        <v>5585.244984</v>
      </c>
      <c r="L374" s="27">
        <f>=I374-K374</f>
        <v>1396.311246</v>
      </c>
    </row>
    <row r="375" spans="1:12">
      <c r="A375" s="23">
        <v>46041</v>
      </c>
      <c r="B375" s="21">
        <f>=H374</f>
        <v>27926224.92</v>
      </c>
      <c r="C375" s="25" t="s"/>
      <c r="D375" s="18" t="s"/>
      <c r="E375" s="18" t="s"/>
      <c r="F375" s="20" t="s"/>
      <c r="G375" s="26">
        <v>726804.8</v>
      </c>
      <c r="H375" s="22">
        <f>=B375+C375+D375-E375-F375-G375</f>
        <v>27199420.12</v>
      </c>
      <c r="I375" s="22">
        <f>=H375/10000*2.5</f>
        <v>6799.85503</v>
      </c>
      <c r="J375" s="22">
        <f>=J374+I375</f>
        <v>485151.819380001</v>
      </c>
      <c r="K375" s="27">
        <f>=H375/10000*2</f>
        <v>5439.884024</v>
      </c>
      <c r="L375" s="27">
        <f>=I375-K375</f>
        <v>1359.971006</v>
      </c>
    </row>
    <row r="376" spans="1:12">
      <c r="A376" s="23">
        <v>46042</v>
      </c>
      <c r="B376" s="21">
        <f>=H375</f>
        <v>27199420.12</v>
      </c>
      <c r="C376" s="25">
        <v>2817200</v>
      </c>
      <c r="D376" s="18" t="s"/>
      <c r="E376" s="18" t="s"/>
      <c r="F376" s="20" t="s"/>
      <c r="G376" s="26">
        <v>331500</v>
      </c>
      <c r="H376" s="22">
        <f>=B376+C376+D376-E376-F376-G376</f>
        <v>29685120.12</v>
      </c>
      <c r="I376" s="22">
        <f>=H376/10000*2.5</f>
        <v>7421.28003</v>
      </c>
      <c r="J376" s="22">
        <f>=J375+I376</f>
        <v>492573.099410001</v>
      </c>
      <c r="K376" s="27">
        <f>=H376/10000*2</f>
        <v>5937.024024</v>
      </c>
      <c r="L376" s="27">
        <f>=I376-K376</f>
        <v>1484.256006</v>
      </c>
    </row>
    <row r="377" spans="1:12">
      <c r="A377" s="23">
        <v>46043</v>
      </c>
      <c r="B377" s="21">
        <f>=H376</f>
        <v>29685120.12</v>
      </c>
      <c r="C377" s="25" t="s"/>
      <c r="D377" s="18" t="s"/>
      <c r="E377" s="18" t="s"/>
      <c r="F377" s="20" t="s"/>
      <c r="G377" s="26">
        <v>738375.2</v>
      </c>
      <c r="H377" s="22">
        <f>=B377+C377+D377-E377-F377-G377</f>
        <v>28946744.92</v>
      </c>
      <c r="I377" s="22">
        <f>=H377/10000*2.5</f>
        <v>7236.68623</v>
      </c>
      <c r="J377" s="22">
        <f>=J376+I377</f>
        <v>499809.785640001</v>
      </c>
      <c r="K377" s="27">
        <f>=H377/10000*2</f>
        <v>5789.348984</v>
      </c>
      <c r="L377" s="27">
        <f>=I377-K377</f>
        <v>1447.337246</v>
      </c>
    </row>
    <row r="378" spans="1:12">
      <c r="A378" s="23">
        <v>46044</v>
      </c>
      <c r="B378" s="21">
        <f>=H377</f>
        <v>28946744.92</v>
      </c>
      <c r="C378" s="25" t="s"/>
      <c r="D378" s="18" t="s"/>
      <c r="E378" s="18" t="s"/>
      <c r="F378" s="20" t="s"/>
      <c r="G378" s="26" t="s"/>
      <c r="H378" s="22">
        <f>=B378+C378+D378-E378-F378-G378</f>
        <v>28946744.92</v>
      </c>
      <c r="I378" s="22">
        <f>=H378/10000*2.5</f>
        <v>7236.68623</v>
      </c>
      <c r="J378" s="22">
        <f>=J377+I378</f>
        <v>507046.471870001</v>
      </c>
      <c r="K378" s="27">
        <f>=H378/10000*2</f>
        <v>5789.348984</v>
      </c>
      <c r="L378" s="27">
        <f>=I378-K378</f>
        <v>1447.337246</v>
      </c>
    </row>
    <row r="379" spans="1:12">
      <c r="A379" s="23">
        <v>46045</v>
      </c>
      <c r="B379" s="21">
        <f>=H378</f>
        <v>28946744.92</v>
      </c>
      <c r="C379" s="25" t="s"/>
      <c r="D379" s="18" t="s"/>
      <c r="E379" s="18" t="s"/>
      <c r="F379" s="20" t="s"/>
      <c r="G379" s="26" t="s"/>
      <c r="H379" s="22">
        <f>=B379+C379+D379-E379-F379-G379</f>
        <v>28946744.92</v>
      </c>
      <c r="I379" s="22">
        <f>=H379/10000*2.5</f>
        <v>7236.68623</v>
      </c>
      <c r="J379" s="22">
        <f>=J378+I379</f>
        <v>514283.158100001</v>
      </c>
      <c r="K379" s="27">
        <f>=H379/10000*2</f>
        <v>5789.348984</v>
      </c>
      <c r="L379" s="27">
        <f>=I379-K379</f>
        <v>1447.337246</v>
      </c>
    </row>
    <row r="380" spans="1:12">
      <c r="A380" s="23">
        <v>46046</v>
      </c>
      <c r="B380" s="21">
        <f>=H379</f>
        <v>28946744.92</v>
      </c>
      <c r="C380" s="25" t="s"/>
      <c r="D380" s="18" t="s"/>
      <c r="E380" s="18" t="s"/>
      <c r="F380" s="20" t="s"/>
      <c r="G380" s="26" t="s"/>
      <c r="H380" s="22">
        <f>=B380+C380+D380-E380-F380-G380</f>
        <v>28946744.92</v>
      </c>
      <c r="I380" s="22">
        <f>=H380/10000*2.5</f>
        <v>7236.68623</v>
      </c>
      <c r="J380" s="22">
        <f>=J379+I380</f>
        <v>521519.844330001</v>
      </c>
      <c r="K380" s="27">
        <f>=H380/10000*2</f>
        <v>5789.348984</v>
      </c>
      <c r="L380" s="27">
        <f>=I380-K380</f>
        <v>1447.337246</v>
      </c>
    </row>
    <row r="381" spans="1:12">
      <c r="A381" s="23">
        <v>46047</v>
      </c>
      <c r="B381" s="21">
        <f>=H380</f>
        <v>28946744.92</v>
      </c>
      <c r="C381" s="25" t="s"/>
      <c r="D381" s="18" t="s"/>
      <c r="E381" s="18" t="s"/>
      <c r="F381" s="20" t="s"/>
      <c r="G381" s="26" t="s"/>
      <c r="H381" s="22">
        <f>=B381+C381+D381-E381-F381-G381</f>
        <v>28946744.92</v>
      </c>
      <c r="I381" s="22">
        <f>=H381/10000*2.5</f>
        <v>7236.68623</v>
      </c>
      <c r="J381" s="22">
        <f>=J380+I381</f>
        <v>528756.530560001</v>
      </c>
      <c r="K381" s="27">
        <f>=H381/10000*2</f>
        <v>5789.348984</v>
      </c>
      <c r="L381" s="27">
        <f>=I381-K381</f>
        <v>1447.337246</v>
      </c>
    </row>
    <row r="382" spans="1:12">
      <c r="A382" s="23">
        <v>46048</v>
      </c>
      <c r="B382" s="21">
        <f>=H381</f>
        <v>28946744.92</v>
      </c>
      <c r="C382" s="25" t="s"/>
      <c r="D382" s="18" t="s"/>
      <c r="E382" s="18" t="s"/>
      <c r="F382" s="20" t="s"/>
      <c r="G382" s="26">
        <v>966938.2</v>
      </c>
      <c r="H382" s="22">
        <f>=B382+C382+D382-E382-F382-G382</f>
        <v>27979806.72</v>
      </c>
      <c r="I382" s="22">
        <f>=H382/10000*2.5</f>
        <v>6994.95168</v>
      </c>
      <c r="J382" s="22">
        <f>=J381+I382</f>
        <v>535751.482240001</v>
      </c>
      <c r="K382" s="27">
        <f>=H382/10000*2</f>
        <v>5595.961344</v>
      </c>
      <c r="L382" s="27">
        <f>=I382-K382</f>
        <v>1398.990336</v>
      </c>
    </row>
    <row r="383" spans="1:12">
      <c r="A383" s="23">
        <v>46049</v>
      </c>
      <c r="B383" s="21">
        <f>=H382</f>
        <v>27979806.72</v>
      </c>
      <c r="C383" s="25" t="s"/>
      <c r="D383" s="18" t="s"/>
      <c r="E383" s="18" t="s"/>
      <c r="F383" s="20" t="s"/>
      <c r="G383" s="26">
        <v>290580</v>
      </c>
      <c r="H383" s="22">
        <f>=B383+C383+D383-E383-F383-G383</f>
        <v>27689226.72</v>
      </c>
      <c r="I383" s="22">
        <f>=H383/10000*2.5</f>
        <v>6922.30668</v>
      </c>
      <c r="J383" s="22">
        <f>=J382+I383</f>
        <v>542673.788920001</v>
      </c>
      <c r="K383" s="27">
        <f>=H383/10000*2</f>
        <v>5537.845344</v>
      </c>
      <c r="L383" s="27">
        <f>=I383-K383</f>
        <v>1384.461336</v>
      </c>
    </row>
    <row r="384" spans="1:12">
      <c r="A384" s="23">
        <v>46050</v>
      </c>
      <c r="B384" s="21">
        <f>=H383</f>
        <v>27689226.72</v>
      </c>
      <c r="C384" s="25" t="s"/>
      <c r="D384" s="18" t="s"/>
      <c r="E384" s="18" t="s"/>
      <c r="F384" s="20" t="s"/>
      <c r="G384" s="26">
        <v>660782.9</v>
      </c>
      <c r="H384" s="22">
        <f>=B384+C384+D384-E384-F384-G384</f>
        <v>27028443.82</v>
      </c>
      <c r="I384" s="22">
        <f>=H384/10000*2.5</f>
        <v>6757.110955</v>
      </c>
      <c r="J384" s="22">
        <f>=J383+I384</f>
        <v>549430.899875001</v>
      </c>
      <c r="K384" s="27">
        <f>=H384/10000*2</f>
        <v>5405.688764</v>
      </c>
      <c r="L384" s="27">
        <f>=I384-K384</f>
        <v>1351.422191</v>
      </c>
    </row>
    <row r="385" spans="1:12">
      <c r="A385" s="23">
        <v>46051</v>
      </c>
      <c r="B385" s="21">
        <f>=H384</f>
        <v>27028443.82</v>
      </c>
      <c r="C385" s="25" t="s"/>
      <c r="D385" s="18" t="s"/>
      <c r="E385" s="18" t="s"/>
      <c r="F385" s="20" t="s"/>
      <c r="G385" s="26">
        <v>478500</v>
      </c>
      <c r="H385" s="22">
        <f>=B385+C385+D385-E385-F385-G385</f>
        <v>26549943.82</v>
      </c>
      <c r="I385" s="22">
        <f>=H385/10000*2.5</f>
        <v>6637.485955</v>
      </c>
      <c r="J385" s="22">
        <f>=J384+I385</f>
        <v>556068.385830001</v>
      </c>
      <c r="K385" s="27">
        <f>=H385/10000*2</f>
        <v>5309.988764</v>
      </c>
      <c r="L385" s="27">
        <f>=I385-K385</f>
        <v>1327.497191</v>
      </c>
    </row>
    <row r="386" spans="1:12">
      <c r="A386" s="23">
        <v>46052</v>
      </c>
      <c r="B386" s="21">
        <f>=H385</f>
        <v>26549943.82</v>
      </c>
      <c r="C386" s="25" t="s"/>
      <c r="D386" s="18" t="s"/>
      <c r="E386" s="18" t="s"/>
      <c r="F386" s="20" t="s"/>
      <c r="G386" s="26">
        <v>7810058</v>
      </c>
      <c r="H386" s="22">
        <f>=B386+C386+D386-E386-F386-G386</f>
        <v>18739885.82</v>
      </c>
      <c r="I386" s="22">
        <f>=H386/10000*2.5</f>
        <v>4684.971455</v>
      </c>
      <c r="J386" s="22">
        <f>=J385+I386</f>
        <v>560753.357285001</v>
      </c>
      <c r="K386" s="27">
        <f>=H386/10000*2</f>
        <v>3747.977164</v>
      </c>
      <c r="L386" s="27">
        <f>=I386-K386</f>
        <v>936.994291</v>
      </c>
    </row>
    <row r="387" spans="1:12">
      <c r="A387" s="23">
        <v>46053</v>
      </c>
      <c r="B387" s="21">
        <f>=H386</f>
        <v>18739885.82</v>
      </c>
      <c r="C387" s="25">
        <v>1876000</v>
      </c>
      <c r="D387" s="18" t="s"/>
      <c r="E387" s="18" t="s"/>
      <c r="F387" s="20" t="s"/>
      <c r="G387" s="26" t="s"/>
      <c r="H387" s="22">
        <f>=B387+C387+D387-E387-F387-G387</f>
        <v>20615885.82</v>
      </c>
      <c r="I387" s="22">
        <f>=H387/10000*2.5</f>
        <v>5153.971455</v>
      </c>
      <c r="J387" s="22">
        <f>=J386+I387</f>
        <v>565907.328740001</v>
      </c>
      <c r="K387" s="27">
        <f>=H387/10000*2</f>
        <v>4123.177164</v>
      </c>
      <c r="L387" s="27">
        <f>=I387-K387</f>
        <v>1030.794291</v>
      </c>
    </row>
    <row r="388" spans="1:12">
      <c r="A388" s="23">
        <v>46054</v>
      </c>
      <c r="B388" s="21">
        <f>=H387</f>
        <v>20615885.82</v>
      </c>
      <c r="C388" s="25" t="s"/>
      <c r="D388" s="18" t="s"/>
      <c r="E388" s="18" t="s"/>
      <c r="F388" s="20" t="s"/>
      <c r="G388" s="26" t="s"/>
      <c r="H388" s="22">
        <f>=B388+C388+D388-E388-F388-G388</f>
        <v>20615885.82</v>
      </c>
      <c r="I388" s="22">
        <f>=H388/10000*2.5</f>
        <v>5153.971455</v>
      </c>
      <c r="J388" s="22">
        <f>=J387+I388</f>
        <v>571061.300195001</v>
      </c>
      <c r="K388" s="27">
        <f>=H388/10000*2</f>
        <v>4123.177164</v>
      </c>
      <c r="L388" s="27">
        <f>=I388-K388</f>
        <v>1030.794291</v>
      </c>
    </row>
    <row r="389" spans="1:12">
      <c r="A389" s="23">
        <v>46055</v>
      </c>
      <c r="B389" s="21">
        <f>=H388</f>
        <v>20615885.82</v>
      </c>
      <c r="C389" s="25" t="s"/>
      <c r="D389" s="18" t="s"/>
      <c r="E389" s="18" t="s"/>
      <c r="F389" s="20" t="s"/>
      <c r="G389" s="26">
        <v>160020</v>
      </c>
      <c r="H389" s="22">
        <f>=B389+C389+D389-E389-F389-G389</f>
        <v>20455865.82</v>
      </c>
      <c r="I389" s="22">
        <f>=H389/10000*2.5</f>
        <v>5113.966455</v>
      </c>
      <c r="J389" s="22">
        <f>=J388+I389</f>
        <v>576175.266650001</v>
      </c>
      <c r="K389" s="27">
        <f>=H389/10000*2</f>
        <v>4091.173164</v>
      </c>
      <c r="L389" s="27">
        <f>=I389-K389</f>
        <v>1022.793291</v>
      </c>
    </row>
    <row r="390" spans="1:12">
      <c r="A390" s="23">
        <v>46056</v>
      </c>
      <c r="B390" s="21">
        <f>=H389</f>
        <v>20455865.82</v>
      </c>
      <c r="C390" s="25" t="s"/>
      <c r="D390" s="18" t="s"/>
      <c r="E390" s="18" t="s"/>
      <c r="F390" s="20" t="s"/>
      <c r="G390" s="26" t="s"/>
      <c r="H390" s="22">
        <f>=B390+C390+D390-E390-F390-G390</f>
        <v>20455865.82</v>
      </c>
      <c r="I390" s="22">
        <f>=H390/10000*2.5</f>
        <v>5113.966455</v>
      </c>
      <c r="J390" s="22">
        <f>=J389+I390</f>
        <v>581289.233105001</v>
      </c>
      <c r="K390" s="27">
        <f>=H390/10000*2</f>
        <v>4091.173164</v>
      </c>
      <c r="L390" s="27">
        <f>=I390-K390</f>
        <v>1022.793291</v>
      </c>
    </row>
    <row r="391" spans="1:12">
      <c r="A391" s="23">
        <v>46057</v>
      </c>
      <c r="B391" s="21">
        <f>=H390</f>
        <v>20455865.82</v>
      </c>
      <c r="C391" s="25">
        <v>332000</v>
      </c>
      <c r="D391" s="18" t="s"/>
      <c r="E391" s="18" t="s"/>
      <c r="F391" s="20" t="s"/>
      <c r="G391" s="26" t="s"/>
      <c r="H391" s="22">
        <f>=B391+C391+D391-E391-F391-G391</f>
        <v>20787865.82</v>
      </c>
      <c r="I391" s="22">
        <f>=H391/10000*2.5</f>
        <v>5196.966455</v>
      </c>
      <c r="J391" s="22">
        <f>=J390+I391</f>
        <v>586486.199560001</v>
      </c>
      <c r="K391" s="27">
        <f>=H391/10000*2</f>
        <v>4157.573164</v>
      </c>
      <c r="L391" s="27">
        <f>=I391-K391</f>
        <v>1039.393291</v>
      </c>
    </row>
    <row r="392" spans="1:12">
      <c r="A392" s="23">
        <v>46058</v>
      </c>
      <c r="B392" s="21">
        <f>=H391</f>
        <v>20787865.82</v>
      </c>
      <c r="C392" s="25">
        <v>1848667.2</v>
      </c>
      <c r="D392" s="18" t="s"/>
      <c r="E392" s="18" t="s"/>
      <c r="F392" s="20" t="s"/>
      <c r="G392" s="26" t="s"/>
      <c r="H392" s="22">
        <f>=B392+C392+D392-E392-F392-G392</f>
        <v>22636533.02</v>
      </c>
      <c r="I392" s="22">
        <f>=H392/10000*2.5</f>
        <v>5659.133255</v>
      </c>
      <c r="J392" s="22">
        <f>=J391+I392</f>
        <v>592145.332815001</v>
      </c>
      <c r="K392" s="27">
        <f>=H392/10000*2</f>
        <v>4527.306604</v>
      </c>
      <c r="L392" s="27">
        <f>=I392-K392</f>
        <v>1131.826651</v>
      </c>
    </row>
    <row r="393" spans="1:12">
      <c r="A393" s="23">
        <v>46059</v>
      </c>
      <c r="B393" s="21">
        <f>=H392</f>
        <v>22636533.02</v>
      </c>
      <c r="C393" s="25">
        <v>7415100</v>
      </c>
      <c r="D393" s="18" t="s"/>
      <c r="E393" s="18" t="s"/>
      <c r="F393" s="20" t="s"/>
      <c r="G393" s="26" t="s"/>
      <c r="H393" s="22">
        <f>=B393+C393+D393-E393-F393-G393</f>
        <v>30051633.02</v>
      </c>
      <c r="I393" s="22">
        <f>=H393/10000*2.5</f>
        <v>7512.908255</v>
      </c>
      <c r="J393" s="22">
        <f>=J392+I393</f>
        <v>599658.241070001</v>
      </c>
      <c r="K393" s="27">
        <f>=H393/10000*2</f>
        <v>6010.326604</v>
      </c>
      <c r="L393" s="27">
        <f>=I393-K393</f>
        <v>1502.581651</v>
      </c>
    </row>
    <row r="394" spans="1:12">
      <c r="A394" s="23">
        <v>46060</v>
      </c>
      <c r="B394" s="21">
        <f>=H393</f>
        <v>30051633.02</v>
      </c>
      <c r="C394" s="25" t="s"/>
      <c r="D394" s="18" t="s"/>
      <c r="E394" s="18" t="s"/>
      <c r="F394" s="20" t="s"/>
      <c r="G394" s="26" t="s"/>
      <c r="H394" s="22">
        <f>=B394+C394+D394-E394-F394-G394</f>
        <v>30051633.02</v>
      </c>
      <c r="I394" s="22">
        <f>=H394/10000*2.5</f>
        <v>7512.908255</v>
      </c>
      <c r="J394" s="22">
        <f>=J393+I394</f>
        <v>607171.149325001</v>
      </c>
      <c r="K394" s="27">
        <f>=H394/10000*2</f>
        <v>6010.326604</v>
      </c>
      <c r="L394" s="27">
        <f>=I394-K394</f>
        <v>1502.581651</v>
      </c>
    </row>
    <row r="395" spans="1:12">
      <c r="A395" s="23">
        <v>46061</v>
      </c>
      <c r="B395" s="21">
        <f>=H394</f>
        <v>30051633.02</v>
      </c>
      <c r="C395" s="25">
        <v>3229050</v>
      </c>
      <c r="D395" s="18" t="s"/>
      <c r="E395" s="18" t="s"/>
      <c r="F395" s="20" t="s"/>
      <c r="G395" s="26">
        <v>478500</v>
      </c>
      <c r="H395" s="22">
        <f>=B395+C395+D395-E395-F395-G395</f>
        <v>32802183.02</v>
      </c>
      <c r="I395" s="22">
        <f>=H395/10000*2.5</f>
        <v>8200.545755</v>
      </c>
      <c r="J395" s="22">
        <f>=J394+I395</f>
        <v>615371.695080001</v>
      </c>
      <c r="K395" s="27">
        <f>=H395/10000*2</f>
        <v>6560.436604</v>
      </c>
      <c r="L395" s="27">
        <f>=I395-K395</f>
        <v>1640.109151</v>
      </c>
    </row>
    <row r="396" spans="1:12">
      <c r="A396" s="23">
        <v>46062</v>
      </c>
      <c r="B396" s="21">
        <f>=H395</f>
        <v>32802183.02</v>
      </c>
      <c r="C396" s="25">
        <v>14328360</v>
      </c>
      <c r="D396" s="18" t="s"/>
      <c r="E396" s="18" t="s"/>
      <c r="F396" s="20" t="s"/>
      <c r="G396" s="26">
        <v>431498</v>
      </c>
      <c r="H396" s="22">
        <f>=B396+C396+D396-E396-F396-G396</f>
        <v>46699045.02</v>
      </c>
      <c r="I396" s="22">
        <f>=H396/10000*2.5</f>
        <v>11674.761255</v>
      </c>
      <c r="J396" s="22">
        <f>=J395+I396</f>
        <v>627046.456335001</v>
      </c>
      <c r="K396" s="27">
        <f>=H396/10000*2</f>
        <v>9339.809004</v>
      </c>
      <c r="L396" s="27">
        <f>=I396-K396</f>
        <v>2334.952251</v>
      </c>
    </row>
    <row r="397" spans="1:12">
      <c r="A397" s="23">
        <v>46063</v>
      </c>
      <c r="B397" s="21">
        <f>=H396</f>
        <v>46699045.02</v>
      </c>
      <c r="C397" s="25" t="s"/>
      <c r="D397" s="18" t="s"/>
      <c r="E397" s="18" t="s"/>
      <c r="F397" s="20" t="s"/>
      <c r="G397" s="26">
        <v>5026.77</v>
      </c>
      <c r="H397" s="22">
        <f>=B397+C397+D397-E397-F397-G397</f>
        <v>46694018.25</v>
      </c>
      <c r="I397" s="22">
        <f>=H397/10000*2.5</f>
        <v>11673.5045625</v>
      </c>
      <c r="J397" s="22">
        <f>=J396+I397</f>
        <v>638719.960897501</v>
      </c>
      <c r="K397" s="27">
        <f>=H397/10000*2</f>
        <v>9338.80365</v>
      </c>
      <c r="L397" s="27">
        <f>=I397-K397</f>
        <v>2334.7009125</v>
      </c>
    </row>
    <row r="398" spans="1:12">
      <c r="A398" s="23">
        <v>46064</v>
      </c>
      <c r="B398" s="21">
        <f>=H397</f>
        <v>46694018.25</v>
      </c>
      <c r="C398" s="25">
        <v>3411900</v>
      </c>
      <c r="D398" s="18" t="s"/>
      <c r="E398" s="18" t="s"/>
      <c r="F398" s="20" t="s"/>
      <c r="G398" s="26">
        <v>5706166.45</v>
      </c>
      <c r="H398" s="22">
        <f>=B398+C398+D398-E398-F398-G398</f>
        <v>44399751.8</v>
      </c>
      <c r="I398" s="22">
        <f>=H398/10000*2.5</f>
        <v>11099.93795</v>
      </c>
      <c r="J398" s="22">
        <f>=J397+I398</f>
        <v>649819.898847501</v>
      </c>
      <c r="K398" s="27">
        <f>=H398/10000*2</f>
        <v>8879.95036</v>
      </c>
      <c r="L398" s="27">
        <f>=I398-K398</f>
        <v>2219.98759</v>
      </c>
    </row>
    <row r="399" spans="1:12">
      <c r="A399" s="23">
        <v>46065</v>
      </c>
      <c r="B399" s="21">
        <f>=H398</f>
        <v>44399751.8</v>
      </c>
      <c r="C399" s="25" t="s"/>
      <c r="D399" s="18" t="s"/>
      <c r="E399" s="18" t="s"/>
      <c r="F399" s="20" t="s"/>
      <c r="G399" s="26">
        <v>1236892.92</v>
      </c>
      <c r="H399" s="22">
        <f>=B399+C399+D399-E399-F399-G399</f>
        <v>43162858.88</v>
      </c>
      <c r="I399" s="22">
        <f>=H399/10000*2.5</f>
        <v>10790.71472</v>
      </c>
      <c r="J399" s="22">
        <f>=J398+I399</f>
        <v>660610.613567501</v>
      </c>
      <c r="K399" s="27">
        <f>=H399/10000*2</f>
        <v>8632.571776</v>
      </c>
      <c r="L399" s="27">
        <f>=I399-K399</f>
        <v>2158.142944</v>
      </c>
    </row>
    <row r="400" spans="1:12">
      <c r="A400" s="23">
        <v>46066</v>
      </c>
      <c r="B400" s="21">
        <f>=H399</f>
        <v>43162858.88</v>
      </c>
      <c r="C400" s="25" t="s"/>
      <c r="D400" s="18" t="s"/>
      <c r="E400" s="18" t="s"/>
      <c r="F400" s="20" t="s"/>
      <c r="G400" s="26">
        <v>7233245.4</v>
      </c>
      <c r="H400" s="22">
        <f>=B400+C400+D400-E400-F400-G400</f>
        <v>35929613.48</v>
      </c>
      <c r="I400" s="22">
        <f>=H400/10000*2.5</f>
        <v>8982.40337</v>
      </c>
      <c r="J400" s="22">
        <f>=J399+I400</f>
        <v>669593.016937501</v>
      </c>
      <c r="K400" s="27">
        <f>=H400/10000*2</f>
        <v>7185.922696</v>
      </c>
      <c r="L400" s="27">
        <f>=I400-K400</f>
        <v>1796.480674</v>
      </c>
    </row>
    <row r="401" spans="1:12">
      <c r="A401" s="23">
        <v>46067</v>
      </c>
      <c r="B401" s="21">
        <f>=H400</f>
        <v>35929613.48</v>
      </c>
      <c r="C401" s="25" t="s"/>
      <c r="D401" s="18" t="s"/>
      <c r="E401" s="18" t="s"/>
      <c r="F401" s="20" t="s"/>
      <c r="G401" s="26" t="s"/>
      <c r="H401" s="22">
        <f>=B401+C401+D401-E401-F401-G401</f>
        <v>35929613.48</v>
      </c>
      <c r="I401" s="22">
        <f>=H401/10000*2.5</f>
        <v>8982.40337</v>
      </c>
      <c r="J401" s="22">
        <f>=J400+I401</f>
        <v>678575.420307501</v>
      </c>
      <c r="K401" s="27">
        <f>=H401/10000*2</f>
        <v>7185.922696</v>
      </c>
      <c r="L401" s="27">
        <f>=I401-K401</f>
        <v>1796.480674</v>
      </c>
    </row>
    <row r="402" spans="1:12">
      <c r="A402" s="23">
        <v>46068</v>
      </c>
      <c r="B402" s="21">
        <f>=H401</f>
        <v>35929613.48</v>
      </c>
      <c r="C402" s="25" t="s"/>
      <c r="D402" s="18" t="s"/>
      <c r="E402" s="18" t="s"/>
      <c r="F402" s="20" t="s"/>
      <c r="G402" s="26">
        <v>3718712.8</v>
      </c>
      <c r="H402" s="22">
        <f>=B402+C402+D402-E402-F402-G402</f>
        <v>32210900.68</v>
      </c>
      <c r="I402" s="22">
        <f>=H402/10000*2.5</f>
        <v>8052.72517</v>
      </c>
      <c r="J402" s="22">
        <f>=J401+I402</f>
        <v>686628.145477501</v>
      </c>
      <c r="K402" s="27">
        <f>=H402/10000*2</f>
        <v>6442.180136</v>
      </c>
      <c r="L402" s="27">
        <f>=I402-K402</f>
        <v>1610.545034</v>
      </c>
    </row>
    <row r="403" spans="1:12">
      <c r="A403" s="23">
        <v>46069</v>
      </c>
      <c r="B403" s="21">
        <f>=H402</f>
        <v>32210900.68</v>
      </c>
      <c r="C403" s="25" t="s"/>
      <c r="D403" s="18" t="s"/>
      <c r="E403" s="18" t="s"/>
      <c r="F403" s="20" t="s"/>
      <c r="G403" s="26">
        <v>1005356</v>
      </c>
      <c r="H403" s="22">
        <f>=B403+C403+D403-E403-F403-G403</f>
        <v>31205544.68</v>
      </c>
      <c r="I403" s="22">
        <f>=H403/10000*2.5</f>
        <v>7801.38617</v>
      </c>
      <c r="J403" s="22">
        <f>=J402+I403</f>
        <v>694429.531647501</v>
      </c>
      <c r="K403" s="27">
        <f>=H403/10000*2</f>
        <v>6241.108936</v>
      </c>
      <c r="L403" s="27">
        <f>=I403-K403</f>
        <v>1560.277234</v>
      </c>
    </row>
    <row r="404" spans="1:12">
      <c r="A404" s="23">
        <v>46070</v>
      </c>
      <c r="B404" s="21">
        <f>=H403</f>
        <v>31205544.68</v>
      </c>
      <c r="C404" s="25" t="s"/>
      <c r="D404" s="18" t="s"/>
      <c r="E404" s="18" t="s"/>
      <c r="F404" s="20" t="s"/>
      <c r="G404" s="26" t="s"/>
      <c r="H404" s="22">
        <f>=B404+C404+D404-E404-F404-G404</f>
        <v>31205544.68</v>
      </c>
      <c r="I404" s="22">
        <f>=H404/10000*2.5</f>
        <v>7801.38617</v>
      </c>
      <c r="J404" s="22">
        <f>=J403+I404</f>
        <v>702230.917817501</v>
      </c>
      <c r="K404" s="27">
        <f>=H404/10000*2</f>
        <v>6241.108936</v>
      </c>
      <c r="L404" s="27">
        <f>=I404-K404</f>
        <v>1560.277234</v>
      </c>
    </row>
    <row r="405" spans="1:12">
      <c r="A405" s="23">
        <v>46071</v>
      </c>
      <c r="B405" s="21">
        <f>=H404</f>
        <v>31205544.68</v>
      </c>
      <c r="C405" s="25" t="s"/>
      <c r="D405" s="18" t="s"/>
      <c r="E405" s="18" t="s"/>
      <c r="F405" s="20" t="s"/>
      <c r="G405" s="26" t="s"/>
      <c r="H405" s="22">
        <f>=B405+C405+D405-E405-F405-G405</f>
        <v>31205544.68</v>
      </c>
      <c r="I405" s="22">
        <f>=H405/10000*2.5</f>
        <v>7801.38617</v>
      </c>
      <c r="J405" s="22">
        <f>=J404+I405</f>
        <v>710032.303987501</v>
      </c>
      <c r="K405" s="27">
        <f>=H405/10000*2</f>
        <v>6241.108936</v>
      </c>
      <c r="L405" s="27">
        <f>=I405-K405</f>
        <v>1560.277234</v>
      </c>
    </row>
    <row r="406" spans="1:12">
      <c r="A406" s="23">
        <v>46072</v>
      </c>
      <c r="B406" s="21">
        <f>=H405</f>
        <v>31205544.68</v>
      </c>
      <c r="C406" s="25" t="s"/>
      <c r="D406" s="18" t="s"/>
      <c r="E406" s="18" t="s"/>
      <c r="F406" s="20" t="s"/>
      <c r="G406" s="26" t="s"/>
      <c r="H406" s="22">
        <f>=B406+C406+D406-E406-F406-G406</f>
        <v>31205544.68</v>
      </c>
      <c r="I406" s="22">
        <f>=H406/10000*2.5</f>
        <v>7801.38617</v>
      </c>
      <c r="J406" s="22">
        <f>=J405+I406</f>
        <v>717833.690157501</v>
      </c>
      <c r="K406" s="27">
        <f>=H406/10000*2</f>
        <v>6241.108936</v>
      </c>
      <c r="L406" s="27">
        <f>=I406-K406</f>
        <v>1560.277234</v>
      </c>
    </row>
    <row r="407" spans="1:12">
      <c r="A407" s="23">
        <v>46073</v>
      </c>
      <c r="B407" s="21">
        <f>=H406</f>
        <v>31205544.68</v>
      </c>
      <c r="C407" s="25" t="s"/>
      <c r="D407" s="18" t="s"/>
      <c r="E407" s="18" t="s"/>
      <c r="F407" s="20" t="s"/>
      <c r="G407" s="26" t="s"/>
      <c r="H407" s="22">
        <f>=B407+C407+D407-E407-F407-G407</f>
        <v>31205544.68</v>
      </c>
      <c r="I407" s="22">
        <f>=H407/10000*2.5</f>
        <v>7801.38617</v>
      </c>
      <c r="J407" s="22">
        <f>=J406+I407</f>
        <v>725635.076327501</v>
      </c>
      <c r="K407" s="27">
        <f>=H407/10000*2</f>
        <v>6241.108936</v>
      </c>
      <c r="L407" s="27">
        <f>=I407-K407</f>
        <v>1560.277234</v>
      </c>
    </row>
    <row r="408" spans="1:12">
      <c r="A408" s="23">
        <v>46074</v>
      </c>
      <c r="B408" s="21">
        <f>=H407</f>
        <v>31205544.68</v>
      </c>
      <c r="C408" s="25" t="s"/>
      <c r="D408" s="18" t="s"/>
      <c r="E408" s="18" t="s"/>
      <c r="F408" s="20" t="s"/>
      <c r="G408" s="26" t="s"/>
      <c r="H408" s="22">
        <f>=B408+C408+D408-E408-F408-G408</f>
        <v>31205544.68</v>
      </c>
      <c r="I408" s="22">
        <f>=H408/10000*2.5</f>
        <v>7801.38617</v>
      </c>
      <c r="J408" s="22">
        <f>=J407+I408</f>
        <v>733436.462497501</v>
      </c>
      <c r="K408" s="27">
        <f>=H408/10000*2</f>
        <v>6241.108936</v>
      </c>
      <c r="L408" s="27">
        <f>=I408-K408</f>
        <v>1560.277234</v>
      </c>
    </row>
    <row r="409" spans="1:12">
      <c r="A409" s="23">
        <v>46075</v>
      </c>
      <c r="B409" s="21">
        <f>=H408</f>
        <v>31205544.68</v>
      </c>
      <c r="C409" s="25" t="s"/>
      <c r="D409" s="18" t="s"/>
      <c r="E409" s="18" t="s"/>
      <c r="F409" s="20" t="s"/>
      <c r="G409" s="26" t="s"/>
      <c r="H409" s="22">
        <f>=B409+C409+D409-E409-F409-G409</f>
        <v>31205544.68</v>
      </c>
      <c r="I409" s="22">
        <f>=H409/10000*2.5</f>
        <v>7801.38617</v>
      </c>
      <c r="J409" s="22">
        <f>=J408+I409</f>
        <v>741237.8486675</v>
      </c>
      <c r="K409" s="27">
        <f>=H409/10000*2</f>
        <v>6241.108936</v>
      </c>
      <c r="L409" s="27">
        <f>=I409-K409</f>
        <v>1560.277234</v>
      </c>
    </row>
    <row r="410" spans="1:12">
      <c r="A410" s="23">
        <v>46076</v>
      </c>
      <c r="B410" s="21">
        <f>=H409</f>
        <v>31205544.68</v>
      </c>
      <c r="C410" s="25" t="s"/>
      <c r="D410" s="18" t="s"/>
      <c r="E410" s="18" t="s"/>
      <c r="F410" s="20" t="s"/>
      <c r="G410" s="26">
        <v>2013522</v>
      </c>
      <c r="H410" s="22">
        <f>=B410+C410+D410-E410-F410-G410</f>
        <v>29192022.68</v>
      </c>
      <c r="I410" s="22">
        <f>=H410/10000*2.5</f>
        <v>7298.00567</v>
      </c>
      <c r="J410" s="22">
        <f>=J409+I410</f>
        <v>748535.8543375</v>
      </c>
      <c r="K410" s="27">
        <f>=H410/10000*2</f>
        <v>5838.404536</v>
      </c>
      <c r="L410" s="27">
        <f>=I410-K410</f>
        <v>1459.601134</v>
      </c>
    </row>
    <row r="411" spans="1:12">
      <c r="A411" s="23">
        <v>46077</v>
      </c>
      <c r="B411" s="21">
        <f>=H410</f>
        <v>29192022.68</v>
      </c>
      <c r="C411" s="25" t="s"/>
      <c r="D411" s="18" t="s"/>
      <c r="E411" s="18" t="s"/>
      <c r="F411" s="20" t="s"/>
      <c r="G411" s="26">
        <v>226701.8</v>
      </c>
      <c r="H411" s="22">
        <f>=B411+C411+D411-E411-F411-G411</f>
        <v>28965320.88</v>
      </c>
      <c r="I411" s="22">
        <f>=H411/10000*2.5</f>
        <v>7241.33022</v>
      </c>
      <c r="J411" s="22">
        <f>=J410+I411</f>
        <v>755777.1845575</v>
      </c>
      <c r="K411" s="27">
        <f>=H411/10000*2</f>
        <v>5793.064176</v>
      </c>
      <c r="L411" s="27">
        <f>=I411-K411</f>
        <v>1448.266044</v>
      </c>
    </row>
    <row r="412" spans="1:12">
      <c r="A412" s="23">
        <v>46078</v>
      </c>
      <c r="B412" s="21">
        <f>=H411</f>
        <v>28965320.88</v>
      </c>
      <c r="C412" s="25" t="s"/>
      <c r="D412" s="18" t="s"/>
      <c r="E412" s="18" t="s"/>
      <c r="F412" s="20" t="s"/>
      <c r="G412" s="26">
        <v>120667</v>
      </c>
      <c r="H412" s="22">
        <f>=B412+C412+D412-E412-F412-G412</f>
        <v>28844653.88</v>
      </c>
      <c r="I412" s="22">
        <f>=H412/10000*2.5</f>
        <v>7211.16347</v>
      </c>
      <c r="J412" s="22">
        <f>=J411+I412</f>
        <v>762988.348027501</v>
      </c>
      <c r="K412" s="27">
        <f>=H412/10000*2</f>
        <v>5768.930776</v>
      </c>
      <c r="L412" s="27">
        <f>=I412-K412</f>
        <v>1442.232694</v>
      </c>
    </row>
    <row r="413" spans="1:12">
      <c r="A413" s="23">
        <v>46079</v>
      </c>
      <c r="B413" s="21">
        <f>=H412</f>
        <v>28844653.88</v>
      </c>
      <c r="C413" s="25" t="s"/>
      <c r="D413" s="18" t="s"/>
      <c r="E413" s="18" t="s"/>
      <c r="F413" s="20" t="s"/>
      <c r="G413" s="26">
        <v>472000</v>
      </c>
      <c r="H413" s="22">
        <f>=B413+C413+D413-E413-F413-G413</f>
        <v>28372653.88</v>
      </c>
      <c r="I413" s="22">
        <f>=H413/10000*2.5</f>
        <v>7093.16347</v>
      </c>
      <c r="J413" s="22">
        <f>=J412+I413</f>
        <v>770081.511497501</v>
      </c>
      <c r="K413" s="27">
        <f>=H413/10000*2</f>
        <v>5674.530776</v>
      </c>
      <c r="L413" s="27">
        <f>=I413-K413</f>
        <v>1418.632694</v>
      </c>
    </row>
    <row r="414" spans="1:12">
      <c r="A414" s="23">
        <v>46080</v>
      </c>
      <c r="B414" s="21">
        <f>=H413</f>
        <v>28372653.88</v>
      </c>
      <c r="C414" s="25" t="s"/>
      <c r="D414" s="18" t="s"/>
      <c r="E414" s="18" t="s"/>
      <c r="F414" s="20" t="s"/>
      <c r="G414" s="26">
        <v>163560</v>
      </c>
      <c r="H414" s="22">
        <f>=B414+C414+D414-E414-F414-G414</f>
        <v>28209093.88</v>
      </c>
      <c r="I414" s="22">
        <f>=H414/10000*2.5</f>
        <v>7052.27347</v>
      </c>
      <c r="J414" s="22">
        <f>=J413+I414</f>
        <v>777133.784967501</v>
      </c>
      <c r="K414" s="27">
        <f>=H414/10000*2</f>
        <v>5641.818776</v>
      </c>
      <c r="L414" s="27">
        <f>=I414-K414</f>
        <v>1410.454694</v>
      </c>
    </row>
    <row r="415" spans="1:12">
      <c r="A415" s="23">
        <v>46081</v>
      </c>
      <c r="B415" s="21">
        <f>=H414</f>
        <v>28209093.88</v>
      </c>
      <c r="C415" s="25" t="s"/>
      <c r="D415" s="18" t="s"/>
      <c r="E415" s="18" t="s"/>
      <c r="F415" s="20" t="s"/>
      <c r="G415" s="26">
        <v>745150</v>
      </c>
      <c r="H415" s="22">
        <f>=B415+C415+D415-E415-F415-G415</f>
        <v>27463943.88</v>
      </c>
      <c r="I415" s="22">
        <f>=H415/10000*2.5</f>
        <v>6865.98597</v>
      </c>
      <c r="J415" s="22">
        <f>=J414+I415</f>
        <v>783999.770937501</v>
      </c>
      <c r="K415" s="27">
        <f>=H415/10000*2</f>
        <v>5492.788776</v>
      </c>
      <c r="L415" s="27">
        <f>=I415-K415</f>
        <v>1373.197194</v>
      </c>
    </row>
    <row r="416" spans="1:12">
      <c r="A416" s="23">
        <v>46082</v>
      </c>
      <c r="B416" s="21">
        <f>=H415</f>
        <v>27463943.88</v>
      </c>
      <c r="C416" s="25" t="s"/>
      <c r="D416" s="18" t="s"/>
      <c r="E416" s="18" t="s"/>
      <c r="F416" s="20" t="s"/>
      <c r="G416" s="26" t="s"/>
      <c r="H416" s="22">
        <f>=B416+C416+D416-E416-F416-G416</f>
        <v>27463943.88</v>
      </c>
      <c r="I416" s="22">
        <f>=H416/10000*2.5</f>
        <v>6865.98597</v>
      </c>
      <c r="J416" s="22">
        <f>=J415+I416</f>
        <v>790865.756907501</v>
      </c>
      <c r="K416" s="27">
        <f>=H416/10000*2</f>
        <v>5492.788776</v>
      </c>
      <c r="L416" s="27">
        <f>=I416-K416</f>
        <v>1373.197194</v>
      </c>
    </row>
    <row r="417" spans="1:12">
      <c r="A417" s="23">
        <v>46083</v>
      </c>
      <c r="B417" s="21">
        <f>=H416</f>
        <v>27463943.88</v>
      </c>
      <c r="C417" s="25">
        <v>2232468</v>
      </c>
      <c r="D417" s="18" t="s"/>
      <c r="E417" s="18" t="s"/>
      <c r="F417" s="20" t="s"/>
      <c r="G417" s="26">
        <v>3234919.74</v>
      </c>
      <c r="H417" s="22">
        <f>=B417+C417+D417-E417-F417-G417</f>
        <v>26461492.14</v>
      </c>
      <c r="I417" s="22">
        <f>=H417/10000*2.5</f>
        <v>6615.373035</v>
      </c>
      <c r="J417" s="22">
        <f>=J416+I417</f>
        <v>797481.129942501</v>
      </c>
      <c r="K417" s="27">
        <f>=H417/10000*2</f>
        <v>5292.298428</v>
      </c>
      <c r="L417" s="27">
        <f>=I417-K417</f>
        <v>1323.074607</v>
      </c>
    </row>
    <row r="418" spans="1:12">
      <c r="A418" s="23">
        <v>46084</v>
      </c>
      <c r="B418" s="21">
        <f>=H417</f>
        <v>26461492.14</v>
      </c>
      <c r="C418" s="25" t="s"/>
      <c r="D418" s="18" t="s"/>
      <c r="E418" s="18" t="s"/>
      <c r="F418" s="20" t="s"/>
      <c r="G418" s="26">
        <v>55390</v>
      </c>
      <c r="H418" s="22">
        <f>=B418+C418+D418-E418-F418-G418</f>
        <v>26406102.14</v>
      </c>
      <c r="I418" s="22">
        <f>=H418/10000*2.5</f>
        <v>6601.525535</v>
      </c>
      <c r="J418" s="22">
        <f>=J417+I418</f>
        <v>804082.655477501</v>
      </c>
      <c r="K418" s="27">
        <f>=H418/10000*2</f>
        <v>5281.220428</v>
      </c>
      <c r="L418" s="27">
        <f>=I418-K418</f>
        <v>1320.305107</v>
      </c>
    </row>
    <row r="419" spans="1:12">
      <c r="A419" s="23">
        <v>46085</v>
      </c>
      <c r="B419" s="21">
        <f>=H418</f>
        <v>26406102.14</v>
      </c>
      <c r="C419" s="25" t="s"/>
      <c r="D419" s="18" t="s"/>
      <c r="E419" s="18" t="s"/>
      <c r="F419" s="20" t="s"/>
      <c r="G419" s="26">
        <v>148972</v>
      </c>
      <c r="H419" s="22">
        <f>=B419+C419+D419-E419-F419-G419</f>
        <v>26257130.14</v>
      </c>
      <c r="I419" s="22">
        <f>=H419/10000*2.5</f>
        <v>6564.282535</v>
      </c>
      <c r="J419" s="22">
        <f>=J418+I419</f>
        <v>810646.938012501</v>
      </c>
      <c r="K419" s="27">
        <f>=H419/10000*2</f>
        <v>5251.426028</v>
      </c>
      <c r="L419" s="27">
        <f>=I419-K419</f>
        <v>1312.856507</v>
      </c>
    </row>
    <row r="420" spans="1:12">
      <c r="A420" s="23">
        <v>46086</v>
      </c>
      <c r="B420" s="21">
        <f>=H419</f>
        <v>26257130.14</v>
      </c>
      <c r="C420" s="25" t="s"/>
      <c r="D420" s="18" t="s"/>
      <c r="E420" s="18" t="s"/>
      <c r="F420" s="20" t="s"/>
      <c r="G420" s="26">
        <v>351913.2</v>
      </c>
      <c r="H420" s="22">
        <f>=B420+C420+D420-E420-F420-G420</f>
        <v>25905216.94</v>
      </c>
      <c r="I420" s="22">
        <f>=H420/10000*2.5</f>
        <v>6476.304235</v>
      </c>
      <c r="J420" s="22">
        <f>=J419+I420</f>
        <v>817123.242247501</v>
      </c>
      <c r="K420" s="27">
        <f>=H420/10000*2</f>
        <v>5181.043388</v>
      </c>
      <c r="L420" s="27">
        <f>=I420-K420</f>
        <v>1295.260847</v>
      </c>
    </row>
    <row r="421" spans="1:12">
      <c r="A421" s="23">
        <v>46087</v>
      </c>
      <c r="B421" s="21">
        <f>=H420</f>
        <v>25905216.94</v>
      </c>
      <c r="C421" s="25" t="s"/>
      <c r="D421" s="18" t="s"/>
      <c r="E421" s="18" t="s"/>
      <c r="F421" s="20" t="s"/>
      <c r="G421" s="26" t="s"/>
      <c r="H421" s="22">
        <f>=B421+C421+D421-E421-F421-G421</f>
        <v>25905216.94</v>
      </c>
      <c r="I421" s="22">
        <f>=H421/10000*2.5</f>
        <v>6476.304235</v>
      </c>
      <c r="J421" s="22">
        <f>=J420+I421</f>
        <v>823599.546482501</v>
      </c>
      <c r="K421" s="27">
        <f>=H421/10000*2</f>
        <v>5181.043388</v>
      </c>
      <c r="L421" s="27">
        <f>=I421-K421</f>
        <v>1295.260847</v>
      </c>
    </row>
    <row r="422" spans="1:12">
      <c r="A422" s="23">
        <v>46088</v>
      </c>
      <c r="B422" s="21">
        <f>=H421</f>
        <v>25905216.94</v>
      </c>
      <c r="C422" s="25" t="s"/>
      <c r="D422" s="18" t="s"/>
      <c r="E422" s="18" t="s"/>
      <c r="F422" s="20" t="s"/>
      <c r="G422" s="26" t="s"/>
      <c r="H422" s="22">
        <f>=B422+C422+D422-E422-F422-G422</f>
        <v>25905216.94</v>
      </c>
      <c r="I422" s="22">
        <f>=H422/10000*2.5</f>
        <v>6476.304235</v>
      </c>
      <c r="J422" s="22">
        <f>=J421+I422</f>
        <v>830075.850717501</v>
      </c>
      <c r="K422" s="27">
        <f>=H422/10000*2</f>
        <v>5181.043388</v>
      </c>
      <c r="L422" s="27">
        <f>=I422-K422</f>
        <v>1295.260847</v>
      </c>
    </row>
    <row r="423" spans="1:12">
      <c r="A423" s="23">
        <v>46089</v>
      </c>
      <c r="B423" s="21">
        <f>=H422</f>
        <v>25905216.94</v>
      </c>
      <c r="C423" s="25">
        <v>812000</v>
      </c>
      <c r="D423" s="18" t="s"/>
      <c r="E423" s="18" t="s"/>
      <c r="F423" s="20" t="s"/>
      <c r="G423" s="26" t="s"/>
      <c r="H423" s="22">
        <f>=B423+C423+D423-E423-F423-G423</f>
        <v>26717216.94</v>
      </c>
      <c r="I423" s="22">
        <f>=H423/10000*2.5</f>
        <v>6679.304235</v>
      </c>
      <c r="J423" s="22">
        <f>=J422+I423</f>
        <v>836755.154952501</v>
      </c>
      <c r="K423" s="27">
        <f>=H423/10000*2</f>
        <v>5343.443388</v>
      </c>
      <c r="L423" s="27">
        <f>=I423-K423</f>
        <v>1335.860847</v>
      </c>
    </row>
    <row r="424" spans="1:12">
      <c r="A424" s="23">
        <v>46090</v>
      </c>
      <c r="B424" s="21">
        <f>=H423</f>
        <v>26717216.94</v>
      </c>
      <c r="C424" s="25">
        <v>6118400</v>
      </c>
      <c r="D424" s="18" t="s"/>
      <c r="E424" s="18" t="s"/>
      <c r="F424" s="20" t="s"/>
      <c r="G424" s="26">
        <v>374032</v>
      </c>
      <c r="H424" s="22">
        <f>=B424+C424+D424-E424-F424-G424</f>
        <v>32461584.94</v>
      </c>
      <c r="I424" s="22">
        <f>=H424/10000*2.5</f>
        <v>8115.396235</v>
      </c>
      <c r="J424" s="22">
        <f>=J423+I424</f>
        <v>844870.551187501</v>
      </c>
      <c r="K424" s="27">
        <f>=H424/10000*2</f>
        <v>6492.316988</v>
      </c>
      <c r="L424" s="27">
        <f>=I424-K424</f>
        <v>1623.079247</v>
      </c>
    </row>
    <row r="425" spans="1:12">
      <c r="A425" s="23">
        <v>46091</v>
      </c>
      <c r="B425" s="21">
        <f>=H424</f>
        <v>32461584.94</v>
      </c>
      <c r="C425" s="25">
        <v>3441600</v>
      </c>
      <c r="D425" s="18" t="s"/>
      <c r="E425" s="18" t="s"/>
      <c r="F425" s="20" t="s"/>
      <c r="G425" s="26" t="s"/>
      <c r="H425" s="22">
        <f>=B425+C425+D425-E425-F425-G425</f>
        <v>35903184.94</v>
      </c>
      <c r="I425" s="22">
        <f>=H425/10000*2.5</f>
        <v>8975.796235</v>
      </c>
      <c r="J425" s="22">
        <f>=J424+I425</f>
        <v>853846.347422501</v>
      </c>
      <c r="K425" s="27">
        <f>=H425/10000*2</f>
        <v>7180.636988</v>
      </c>
      <c r="L425" s="27">
        <f>=I425-K425</f>
        <v>1795.159247</v>
      </c>
    </row>
    <row r="426" spans="1:12">
      <c r="A426" s="23">
        <v>46092</v>
      </c>
      <c r="B426" s="21">
        <f>=H425</f>
        <v>35903184.94</v>
      </c>
      <c r="C426" s="25">
        <v>550000</v>
      </c>
      <c r="D426" s="18" t="s"/>
      <c r="E426" s="18" t="s"/>
      <c r="F426" s="20" t="s"/>
      <c r="G426" s="26">
        <v>136635.6</v>
      </c>
      <c r="H426" s="22">
        <f>=B426+C426+D426-E426-F426-G426</f>
        <v>36316549.34</v>
      </c>
      <c r="I426" s="22">
        <f>=H426/10000*2.5</f>
        <v>9079.137335</v>
      </c>
      <c r="J426" s="22">
        <f>=J425+I426</f>
        <v>862925.484757501</v>
      </c>
      <c r="K426" s="27">
        <f>=H426/10000*2</f>
        <v>7263.309868</v>
      </c>
      <c r="L426" s="27">
        <f>=I426-K426</f>
        <v>1815.827467</v>
      </c>
    </row>
    <row r="427" spans="1:12">
      <c r="A427" s="23">
        <v>46093</v>
      </c>
      <c r="B427" s="21">
        <f>=H426</f>
        <v>36316549.34</v>
      </c>
      <c r="C427" s="25" t="s"/>
      <c r="D427" s="18" t="s"/>
      <c r="E427" s="18" t="s"/>
      <c r="F427" s="20" t="s"/>
      <c r="G427" s="26" t="s"/>
      <c r="H427" s="22">
        <f>=B427+C427+D427-E427-F427-G427</f>
        <v>36316549.34</v>
      </c>
      <c r="I427" s="22">
        <f>=H427/10000*2.5</f>
        <v>9079.137335</v>
      </c>
      <c r="J427" s="22">
        <f>=J426+I427</f>
        <v>872004.622092501</v>
      </c>
      <c r="K427" s="27">
        <f>=H427/10000*2</f>
        <v>7263.309868</v>
      </c>
      <c r="L427" s="27">
        <f>=I427-K427</f>
        <v>1815.827467</v>
      </c>
    </row>
    <row r="428" spans="1:12">
      <c r="A428" s="23">
        <v>46094</v>
      </c>
      <c r="B428" s="21">
        <f>=H427</f>
        <v>36316549.34</v>
      </c>
      <c r="C428" s="25" t="s"/>
      <c r="D428" s="18" t="s"/>
      <c r="E428" s="18" t="s"/>
      <c r="F428" s="20" t="s"/>
      <c r="G428" s="26" t="s"/>
      <c r="H428" s="22">
        <f>=B428+C428+D428-E428-F428-G428</f>
        <v>36316549.34</v>
      </c>
      <c r="I428" s="22">
        <f>=H428/10000*2.5</f>
        <v>9079.137335</v>
      </c>
      <c r="J428" s="22">
        <f>=J427+I428</f>
        <v>881083.759427501</v>
      </c>
      <c r="K428" s="27">
        <f>=H428/10000*2</f>
        <v>7263.309868</v>
      </c>
      <c r="L428" s="27">
        <f>=I428-K428</f>
        <v>1815.827467</v>
      </c>
    </row>
    <row r="429" spans="1:12">
      <c r="A429" s="23">
        <v>46095</v>
      </c>
      <c r="B429" s="21">
        <f>=H428</f>
        <v>36316549.34</v>
      </c>
      <c r="C429" s="25" t="s"/>
      <c r="D429" s="18" t="s"/>
      <c r="E429" s="18" t="s"/>
      <c r="F429" s="20" t="s"/>
      <c r="G429" s="26" t="s"/>
      <c r="H429" s="22">
        <f>=B429+C429+D429-E429-F429-G429</f>
        <v>36316549.34</v>
      </c>
      <c r="I429" s="22">
        <f>=H429/10000*2.5</f>
        <v>9079.137335</v>
      </c>
      <c r="J429" s="22">
        <f>=J428+I429</f>
        <v>890162.896762501</v>
      </c>
      <c r="K429" s="27">
        <f>=H429/10000*2</f>
        <v>7263.309868</v>
      </c>
      <c r="L429" s="27">
        <f>=I429-K429</f>
        <v>1815.827467</v>
      </c>
    </row>
    <row r="430" spans="1:12">
      <c r="A430" s="23">
        <v>46096</v>
      </c>
      <c r="B430" s="21">
        <f>=H429</f>
        <v>36316549.34</v>
      </c>
      <c r="C430" s="25" t="s"/>
      <c r="D430" s="18" t="s"/>
      <c r="E430" s="18" t="s"/>
      <c r="F430" s="20" t="s"/>
      <c r="G430" s="26" t="s"/>
      <c r="H430" s="22">
        <f>=B430+C430+D430-E430-F430-G430</f>
        <v>36316549.34</v>
      </c>
      <c r="I430" s="22">
        <f>=H430/10000*2.5</f>
        <v>9079.137335</v>
      </c>
      <c r="J430" s="22">
        <f>=J429+I430</f>
        <v>899242.034097501</v>
      </c>
      <c r="K430" s="27">
        <f>=H430/10000*2</f>
        <v>7263.309868</v>
      </c>
      <c r="L430" s="27">
        <f>=I430-K430</f>
        <v>1815.827467</v>
      </c>
    </row>
    <row r="431" spans="1:12">
      <c r="A431" s="23">
        <v>46097</v>
      </c>
      <c r="B431" s="21">
        <f>=H430</f>
        <v>36316549.34</v>
      </c>
      <c r="C431" s="25" t="s"/>
      <c r="D431" s="18" t="s"/>
      <c r="E431" s="18" t="s"/>
      <c r="F431" s="20" t="s"/>
      <c r="G431" s="26" t="s"/>
      <c r="H431" s="22">
        <f>=B431+C431+D431-E431-F431-G431</f>
        <v>36316549.34</v>
      </c>
      <c r="I431" s="22">
        <f>=H431/10000*2.5</f>
        <v>9079.137335</v>
      </c>
      <c r="J431" s="22">
        <f>=J430+I431</f>
        <v>908321.171432501</v>
      </c>
      <c r="K431" s="27">
        <f>=H431/10000*2</f>
        <v>7263.309868</v>
      </c>
      <c r="L431" s="27">
        <f>=I431-K431</f>
        <v>1815.827467</v>
      </c>
    </row>
    <row r="432" spans="1:12">
      <c r="A432" s="23">
        <v>46098</v>
      </c>
      <c r="B432" s="21">
        <f>=H431</f>
        <v>36316549.34</v>
      </c>
      <c r="C432" s="25" t="s"/>
      <c r="D432" s="18" t="s"/>
      <c r="E432" s="18" t="s"/>
      <c r="F432" s="20" t="s"/>
      <c r="G432" s="26" t="s"/>
      <c r="H432" s="22">
        <f>=B432+C432+D432-E432-F432-G432</f>
        <v>36316549.34</v>
      </c>
      <c r="I432" s="22">
        <f>=H432/10000*2.5</f>
        <v>9079.137335</v>
      </c>
      <c r="J432" s="22">
        <f>=J431+I432</f>
        <v>917400.308767501</v>
      </c>
      <c r="K432" s="27">
        <f>=H432/10000*2</f>
        <v>7263.309868</v>
      </c>
      <c r="L432" s="27">
        <f>=I432-K432</f>
        <v>1815.827467</v>
      </c>
    </row>
    <row r="433" spans="1:12">
      <c r="A433" s="23">
        <v>46099</v>
      </c>
      <c r="B433" s="21">
        <f>=H432</f>
        <v>36316549.34</v>
      </c>
      <c r="C433" s="25" t="s"/>
      <c r="D433" s="18" t="s"/>
      <c r="E433" s="18" t="s"/>
      <c r="F433" s="20" t="s"/>
      <c r="G433" s="26" t="s"/>
      <c r="H433" s="22">
        <f>=B433+C433+D433-E433-F433-G433</f>
        <v>36316549.34</v>
      </c>
      <c r="I433" s="22">
        <f>=H433/10000*2.5</f>
        <v>9079.137335</v>
      </c>
      <c r="J433" s="22">
        <f>=J432+I433</f>
        <v>926479.446102501</v>
      </c>
      <c r="K433" s="27">
        <f>=H433/10000*2</f>
        <v>7263.309868</v>
      </c>
      <c r="L433" s="27">
        <f>=I433-K433</f>
        <v>1815.827467</v>
      </c>
    </row>
    <row r="434" spans="1:12">
      <c r="A434" s="23">
        <v>46100</v>
      </c>
      <c r="B434" s="21">
        <f>=H433</f>
        <v>36316549.34</v>
      </c>
      <c r="C434" s="25" t="s"/>
      <c r="D434" s="18" t="s"/>
      <c r="E434" s="18" t="s"/>
      <c r="F434" s="20" t="s"/>
      <c r="G434" s="26" t="s"/>
      <c r="H434" s="22">
        <f>=B434+C434+D434-E434-F434-G434</f>
        <v>36316549.34</v>
      </c>
      <c r="I434" s="22">
        <f>=H434/10000*2.5</f>
        <v>9079.137335</v>
      </c>
      <c r="J434" s="22">
        <f>=J433+I434</f>
        <v>935558.583437501</v>
      </c>
      <c r="K434" s="27">
        <f>=H434/10000*2</f>
        <v>7263.309868</v>
      </c>
      <c r="L434" s="27">
        <f>=I434-K434</f>
        <v>1815.827467</v>
      </c>
    </row>
    <row r="435" spans="1:12">
      <c r="A435" s="23">
        <v>46101</v>
      </c>
      <c r="B435" s="21">
        <f>=H434</f>
        <v>36316549.34</v>
      </c>
      <c r="C435" s="25" t="s"/>
      <c r="D435" s="18" t="s"/>
      <c r="E435" s="18" t="s"/>
      <c r="F435" s="20" t="s"/>
      <c r="G435" s="26" t="s"/>
      <c r="H435" s="22">
        <f>=B435+C435+D435-E435-F435-G435</f>
        <v>36316549.34</v>
      </c>
      <c r="I435" s="22">
        <f>=H435/10000*2.5</f>
        <v>9079.137335</v>
      </c>
      <c r="J435" s="22">
        <f>=J434+I435</f>
        <v>944637.720772501</v>
      </c>
      <c r="K435" s="27">
        <f>=H435/10000*2</f>
        <v>7263.309868</v>
      </c>
      <c r="L435" s="27">
        <f>=I435-K435</f>
        <v>1815.827467</v>
      </c>
    </row>
    <row r="436" spans="1:12">
      <c r="A436" s="23">
        <v>46102</v>
      </c>
      <c r="B436" s="21">
        <f>=H435</f>
        <v>36316549.34</v>
      </c>
      <c r="C436" s="25" t="s"/>
      <c r="D436" s="18" t="s"/>
      <c r="E436" s="18" t="s"/>
      <c r="F436" s="20" t="s"/>
      <c r="G436" s="26" t="s"/>
      <c r="H436" s="22">
        <f>=B436+C436+D436-E436-F436-G436</f>
        <v>36316549.34</v>
      </c>
      <c r="I436" s="22">
        <f>=H436/10000*2.5</f>
        <v>9079.137335</v>
      </c>
      <c r="J436" s="22">
        <f>=J435+I436</f>
        <v>953716.858107501</v>
      </c>
      <c r="K436" s="27">
        <f>=H436/10000*2</f>
        <v>7263.309868</v>
      </c>
      <c r="L436" s="27">
        <f>=I436-K436</f>
        <v>1815.827467</v>
      </c>
    </row>
    <row r="437" spans="1:12">
      <c r="A437" s="23">
        <v>46103</v>
      </c>
      <c r="B437" s="21">
        <f>=H436</f>
        <v>36316549.34</v>
      </c>
      <c r="C437" s="25" t="s"/>
      <c r="D437" s="18" t="s"/>
      <c r="E437" s="18" t="s"/>
      <c r="F437" s="20" t="s"/>
      <c r="G437" s="26" t="s"/>
      <c r="H437" s="22">
        <f>=B437+C437+D437-E437-F437-G437</f>
        <v>36316549.34</v>
      </c>
      <c r="I437" s="22">
        <f>=H437/10000*2.5</f>
        <v>9079.137335</v>
      </c>
      <c r="J437" s="22">
        <f>=J436+I437</f>
        <v>962795.995442501</v>
      </c>
      <c r="K437" s="27">
        <f>=H437/10000*2</f>
        <v>7263.309868</v>
      </c>
      <c r="L437" s="27">
        <f>=I437-K437</f>
        <v>1815.827467</v>
      </c>
    </row>
    <row r="438" spans="1:12">
      <c r="A438" s="23">
        <v>46104</v>
      </c>
      <c r="B438" s="21">
        <f>=H437</f>
        <v>36316549.34</v>
      </c>
      <c r="C438" s="25" t="s"/>
      <c r="D438" s="18" t="s"/>
      <c r="E438" s="18" t="s"/>
      <c r="F438" s="20" t="s"/>
      <c r="G438" s="26" t="s"/>
      <c r="H438" s="22">
        <f>=B438+C438+D438-E438-F438-G438</f>
        <v>36316549.34</v>
      </c>
      <c r="I438" s="22">
        <f>=H438/10000*2.5</f>
        <v>9079.137335</v>
      </c>
      <c r="J438" s="22">
        <f>=J437+I438</f>
        <v>971875.132777501</v>
      </c>
      <c r="K438" s="27">
        <f>=H438/10000*2</f>
        <v>7263.309868</v>
      </c>
      <c r="L438" s="27">
        <f>=I438-K438</f>
        <v>1815.827467</v>
      </c>
    </row>
    <row r="439" spans="1:12">
      <c r="A439" s="23">
        <v>46105</v>
      </c>
      <c r="B439" s="21">
        <f>=H438</f>
        <v>36316549.34</v>
      </c>
      <c r="C439" s="25" t="s"/>
      <c r="D439" s="18" t="s"/>
      <c r="E439" s="18" t="s"/>
      <c r="F439" s="20" t="s"/>
      <c r="G439" s="26" t="s"/>
      <c r="H439" s="22">
        <f>=B439+C439+D439-E439-F439-G439</f>
        <v>36316549.34</v>
      </c>
      <c r="I439" s="22">
        <f>=H439/10000*2.5</f>
        <v>9079.137335</v>
      </c>
      <c r="J439" s="22">
        <f>=J438+I439</f>
        <v>980954.270112501</v>
      </c>
      <c r="K439" s="27">
        <f>=H439/10000*2</f>
        <v>7263.309868</v>
      </c>
      <c r="L439" s="27">
        <f>=I439-K439</f>
        <v>1815.827467</v>
      </c>
    </row>
    <row r="440" spans="1:12">
      <c r="A440" s="23">
        <v>46106</v>
      </c>
      <c r="B440" s="21">
        <f>=H439</f>
        <v>36316549.34</v>
      </c>
      <c r="C440" s="25" t="s"/>
      <c r="D440" s="18" t="s"/>
      <c r="E440" s="18" t="s"/>
      <c r="F440" s="20" t="s"/>
      <c r="G440" s="26" t="s"/>
      <c r="H440" s="22">
        <f>=B440+C440+D440-E440-F440-G440</f>
        <v>36316549.34</v>
      </c>
      <c r="I440" s="22">
        <f>=H440/10000*2.5</f>
        <v>9079.137335</v>
      </c>
      <c r="J440" s="22">
        <f>=J439+I440</f>
        <v>990033.407447501</v>
      </c>
      <c r="K440" s="27">
        <f>=H440/10000*2</f>
        <v>7263.309868</v>
      </c>
      <c r="L440" s="27">
        <f>=I440-K440</f>
        <v>1815.827467</v>
      </c>
    </row>
    <row r="441" spans="1:12">
      <c r="A441" s="23">
        <v>46107</v>
      </c>
      <c r="B441" s="21">
        <f>=H440</f>
        <v>36316549.34</v>
      </c>
      <c r="C441" s="25" t="s"/>
      <c r="D441" s="18" t="s"/>
      <c r="E441" s="18" t="s"/>
      <c r="F441" s="20" t="s"/>
      <c r="G441" s="26" t="s"/>
      <c r="H441" s="22">
        <f>=B441+C441+D441-E441-F441-G441</f>
        <v>36316549.34</v>
      </c>
      <c r="I441" s="22">
        <f>=H441/10000*2.5</f>
        <v>9079.137335</v>
      </c>
      <c r="J441" s="22">
        <f>=J440+I441</f>
        <v>999112.544782501</v>
      </c>
      <c r="K441" s="27">
        <f>=H441/10000*2</f>
        <v>7263.309868</v>
      </c>
      <c r="L441" s="27">
        <f>=I441-K441</f>
        <v>1815.827467</v>
      </c>
    </row>
    <row r="442" spans="1:12">
      <c r="A442" s="23">
        <v>46108</v>
      </c>
      <c r="B442" s="21">
        <f>=H441</f>
        <v>36316549.34</v>
      </c>
      <c r="C442" s="25" t="s"/>
      <c r="D442" s="18" t="s"/>
      <c r="E442" s="18" t="s"/>
      <c r="F442" s="20" t="s"/>
      <c r="G442" s="26" t="s"/>
      <c r="H442" s="22">
        <f>=B442+C442+D442-E442-F442-G442</f>
        <v>36316549.34</v>
      </c>
      <c r="I442" s="22">
        <f>=H442/10000*2.5</f>
        <v>9079.137335</v>
      </c>
      <c r="J442" s="22">
        <f>=J441+I442</f>
        <v>1008191.6821175</v>
      </c>
      <c r="K442" s="27">
        <f>=H442/10000*2</f>
        <v>7263.309868</v>
      </c>
      <c r="L442" s="27">
        <f>=I442-K442</f>
        <v>1815.827467</v>
      </c>
    </row>
    <row r="443" spans="1:12">
      <c r="A443" s="23">
        <v>46109</v>
      </c>
      <c r="B443" s="21">
        <f>=H442</f>
        <v>36316549.34</v>
      </c>
      <c r="C443" s="25" t="s"/>
      <c r="D443" s="18" t="s"/>
      <c r="E443" s="18" t="s"/>
      <c r="F443" s="20" t="s"/>
      <c r="G443" s="26" t="s"/>
      <c r="H443" s="22">
        <f>=B443+C443+D443-E443-F443-G443</f>
        <v>36316549.34</v>
      </c>
      <c r="I443" s="22">
        <f>=H443/10000*2.5</f>
        <v>9079.137335</v>
      </c>
      <c r="J443" s="22">
        <f>=J442+I443</f>
        <v>1017270.8194525</v>
      </c>
      <c r="K443" s="27">
        <f>=H443/10000*2</f>
        <v>7263.309868</v>
      </c>
      <c r="L443" s="27">
        <f>=I443-K443</f>
        <v>1815.827467</v>
      </c>
    </row>
    <row r="444" spans="1:12">
      <c r="A444" s="23">
        <v>46110</v>
      </c>
      <c r="B444" s="21">
        <f>=H443</f>
        <v>36316549.34</v>
      </c>
      <c r="C444" s="25" t="s"/>
      <c r="D444" s="18" t="s"/>
      <c r="E444" s="18" t="s"/>
      <c r="F444" s="20" t="s"/>
      <c r="G444" s="26" t="s"/>
      <c r="H444" s="22">
        <f>=B444+C444+D444-E444-F444-G444</f>
        <v>36316549.34</v>
      </c>
      <c r="I444" s="22">
        <f>=H444/10000*2.5</f>
        <v>9079.137335</v>
      </c>
      <c r="J444" s="22">
        <f>=J443+I444</f>
        <v>1026349.9567875</v>
      </c>
      <c r="K444" s="27">
        <f>=H444/10000*2</f>
        <v>7263.309868</v>
      </c>
      <c r="L444" s="27">
        <f>=I444-K444</f>
        <v>1815.827467</v>
      </c>
    </row>
    <row r="445" spans="1:12">
      <c r="A445" s="23">
        <v>46111</v>
      </c>
      <c r="B445" s="21">
        <f>=H444</f>
        <v>36316549.34</v>
      </c>
      <c r="C445" s="25" t="s"/>
      <c r="D445" s="18" t="s"/>
      <c r="E445" s="18" t="s"/>
      <c r="F445" s="20" t="s"/>
      <c r="G445" s="26" t="s"/>
      <c r="H445" s="22">
        <f>=B445+C445+D445-E445-F445-G445</f>
        <v>36316549.34</v>
      </c>
      <c r="I445" s="22">
        <f>=H445/10000*2.5</f>
        <v>9079.137335</v>
      </c>
      <c r="J445" s="22">
        <f>=J444+I445</f>
        <v>1035429.0941225</v>
      </c>
      <c r="K445" s="27">
        <f>=H445/10000*2</f>
        <v>7263.309868</v>
      </c>
      <c r="L445" s="27">
        <f>=I445-K445</f>
        <v>1815.827467</v>
      </c>
    </row>
    <row r="446" spans="1:12">
      <c r="A446" s="23">
        <v>46112</v>
      </c>
      <c r="B446" s="21">
        <f>=H445</f>
        <v>36316549.34</v>
      </c>
      <c r="C446" s="25" t="s"/>
      <c r="D446" s="18" t="s"/>
      <c r="E446" s="18" t="s"/>
      <c r="F446" s="20" t="s"/>
      <c r="G446" s="26" t="s"/>
      <c r="H446" s="22">
        <f>=B446+C446+D446-E446-F446-G446</f>
        <v>36316549.34</v>
      </c>
      <c r="I446" s="22">
        <f>=H446/10000*2.5</f>
        <v>9079.137335</v>
      </c>
      <c r="J446" s="22">
        <f>=J445+I446</f>
        <v>1044508.2314575</v>
      </c>
      <c r="K446" s="27">
        <f>=H446/10000*2</f>
        <v>7263.309868</v>
      </c>
      <c r="L446" s="27">
        <f>=I446-K446</f>
        <v>1815.827467</v>
      </c>
    </row>
    <row r="447" spans="1:12">
      <c r="A447" s="23">
        <v>46113</v>
      </c>
      <c r="B447" s="21">
        <f>=H446</f>
        <v>36316549.34</v>
      </c>
      <c r="C447" s="25" t="s"/>
      <c r="D447" s="18" t="s"/>
      <c r="E447" s="18" t="s"/>
      <c r="F447" s="20" t="s"/>
      <c r="G447" s="26" t="s"/>
      <c r="H447" s="22">
        <f>=B447+C447+D447-E447-F447-G447</f>
        <v>36316549.34</v>
      </c>
      <c r="I447" s="22">
        <f>=H447/10000*2.5</f>
        <v>9079.137335</v>
      </c>
      <c r="J447" s="22">
        <f>=J446+I447</f>
        <v>1053587.3687925</v>
      </c>
      <c r="K447" s="27">
        <f>=H447/10000*2</f>
        <v>7263.309868</v>
      </c>
      <c r="L447" s="27">
        <f>=I447-K447</f>
        <v>1815.827467</v>
      </c>
    </row>
    <row r="448" spans="1:12">
      <c r="A448" s="23">
        <v>46114</v>
      </c>
      <c r="B448" s="21">
        <f>=H447</f>
        <v>36316549.34</v>
      </c>
      <c r="C448" s="25" t="s"/>
      <c r="D448" s="18" t="s"/>
      <c r="E448" s="18" t="s"/>
      <c r="F448" s="20" t="s"/>
      <c r="G448" s="26" t="s"/>
      <c r="H448" s="22">
        <f>=B448+C448+D448-E448-F448-G448</f>
        <v>36316549.34</v>
      </c>
      <c r="I448" s="22">
        <f>=H448/10000*2.5</f>
        <v>9079.137335</v>
      </c>
      <c r="J448" s="22">
        <f>=J447+I448</f>
        <v>1062666.5061275</v>
      </c>
      <c r="K448" s="27">
        <f>=H448/10000*2</f>
        <v>7263.309868</v>
      </c>
      <c r="L448" s="27">
        <f>=I448-K448</f>
        <v>1815.827467</v>
      </c>
    </row>
    <row r="449" spans="1:12">
      <c r="A449" s="23">
        <v>46115</v>
      </c>
      <c r="B449" s="21">
        <f>=H448</f>
        <v>36316549.34</v>
      </c>
      <c r="C449" s="25" t="s"/>
      <c r="D449" s="18" t="s"/>
      <c r="E449" s="18" t="s"/>
      <c r="F449" s="20" t="s"/>
      <c r="G449" s="26" t="s"/>
      <c r="H449" s="22">
        <f>=B449+C449+D449-E449-F449-G449</f>
        <v>36316549.34</v>
      </c>
      <c r="I449" s="22">
        <f>=H449/10000*2.5</f>
        <v>9079.137335</v>
      </c>
      <c r="J449" s="22">
        <f>=J448+I449</f>
        <v>1071745.6434625</v>
      </c>
      <c r="K449" s="27">
        <f>=H449/10000*2</f>
        <v>7263.309868</v>
      </c>
      <c r="L449" s="27">
        <f>=I449-K449</f>
        <v>1815.827467</v>
      </c>
    </row>
    <row r="450" spans="1:12">
      <c r="A450" s="23">
        <v>46116</v>
      </c>
      <c r="B450" s="21">
        <f>=H449</f>
        <v>36316549.34</v>
      </c>
      <c r="C450" s="25" t="s"/>
      <c r="D450" s="18" t="s"/>
      <c r="E450" s="18" t="s"/>
      <c r="F450" s="20" t="s"/>
      <c r="G450" s="26" t="s"/>
      <c r="H450" s="22">
        <f>=B450+C450+D450-E450-F450-G450</f>
        <v>36316549.34</v>
      </c>
      <c r="I450" s="22">
        <f>=H450/10000*2.5</f>
        <v>9079.137335</v>
      </c>
      <c r="J450" s="22">
        <f>=J449+I450</f>
        <v>1080824.7807975</v>
      </c>
      <c r="K450" s="27">
        <f>=H450/10000*2</f>
        <v>7263.309868</v>
      </c>
      <c r="L450" s="27">
        <f>=I450-K450</f>
        <v>1815.827467</v>
      </c>
    </row>
    <row r="451" spans="1:12">
      <c r="A451" s="23">
        <v>46117</v>
      </c>
      <c r="B451" s="21">
        <f>=H450</f>
        <v>36316549.34</v>
      </c>
      <c r="C451" s="25" t="s"/>
      <c r="D451" s="18" t="s"/>
      <c r="E451" s="18" t="s"/>
      <c r="F451" s="20" t="s"/>
      <c r="G451" s="26" t="s"/>
      <c r="H451" s="22">
        <f>=B451+C451+D451-E451-F451-G451</f>
        <v>36316549.34</v>
      </c>
      <c r="I451" s="22">
        <f>=H451/10000*2.5</f>
        <v>9079.137335</v>
      </c>
      <c r="J451" s="22">
        <f>=J450+I451</f>
        <v>1089903.9181325</v>
      </c>
      <c r="K451" s="27">
        <f>=H451/10000*2</f>
        <v>7263.309868</v>
      </c>
      <c r="L451" s="27">
        <f>=I451-K451</f>
        <v>1815.827467</v>
      </c>
    </row>
    <row r="452" spans="1:12">
      <c r="A452" s="23">
        <v>46118</v>
      </c>
      <c r="B452" s="21">
        <f>=H451</f>
        <v>36316549.34</v>
      </c>
      <c r="C452" s="25" t="s"/>
      <c r="D452" s="18" t="s"/>
      <c r="E452" s="18" t="s"/>
      <c r="F452" s="20" t="s"/>
      <c r="G452" s="26" t="s"/>
      <c r="H452" s="22">
        <f>=B452+C452+D452-E452-F452-G452</f>
        <v>36316549.34</v>
      </c>
      <c r="I452" s="22">
        <f>=H452/10000*2.5</f>
        <v>9079.137335</v>
      </c>
      <c r="J452" s="22">
        <f>=J451+I452</f>
        <v>1098983.0554675</v>
      </c>
      <c r="K452" s="27">
        <f>=H452/10000*2</f>
        <v>7263.309868</v>
      </c>
      <c r="L452" s="27">
        <f>=I452-K452</f>
        <v>1815.827467</v>
      </c>
    </row>
    <row r="453" spans="1:12">
      <c r="A453" s="23">
        <v>46119</v>
      </c>
      <c r="B453" s="21">
        <f>=H452</f>
        <v>36316549.34</v>
      </c>
      <c r="C453" s="25" t="s"/>
      <c r="D453" s="18" t="s"/>
      <c r="E453" s="18" t="s"/>
      <c r="F453" s="20" t="s"/>
      <c r="G453" s="26" t="s"/>
      <c r="H453" s="22">
        <f>=B453+C453+D453-E453-F453-G453</f>
        <v>36316549.34</v>
      </c>
      <c r="I453" s="22">
        <f>=H453/10000*2.5</f>
        <v>9079.137335</v>
      </c>
      <c r="J453" s="22">
        <f>=J452+I453</f>
        <v>1108062.1928025</v>
      </c>
      <c r="K453" s="27">
        <f>=H453/10000*2</f>
        <v>7263.309868</v>
      </c>
      <c r="L453" s="27">
        <f>=I453-K453</f>
        <v>1815.827467</v>
      </c>
    </row>
    <row r="454" spans="1:12">
      <c r="A454" s="23">
        <v>46120</v>
      </c>
      <c r="B454" s="21">
        <f>=H453</f>
        <v>36316549.34</v>
      </c>
      <c r="C454" s="25" t="s"/>
      <c r="D454" s="18" t="s"/>
      <c r="E454" s="18" t="s"/>
      <c r="F454" s="20" t="s"/>
      <c r="G454" s="26" t="s"/>
      <c r="H454" s="22">
        <f>=B454+C454+D454-E454-F454-G454</f>
        <v>36316549.34</v>
      </c>
      <c r="I454" s="22">
        <f>=H454/10000*2.5</f>
        <v>9079.137335</v>
      </c>
      <c r="J454" s="22">
        <f>=J453+I454</f>
        <v>1117141.3301375</v>
      </c>
      <c r="K454" s="27">
        <f>=H454/10000*2</f>
        <v>7263.309868</v>
      </c>
      <c r="L454" s="27">
        <f>=I454-K454</f>
        <v>1815.827467</v>
      </c>
    </row>
    <row r="455" spans="1:12">
      <c r="A455" s="23">
        <v>46121</v>
      </c>
      <c r="B455" s="21">
        <f>=H454</f>
        <v>36316549.34</v>
      </c>
      <c r="C455" s="25" t="s"/>
      <c r="D455" s="18" t="s"/>
      <c r="E455" s="18" t="s"/>
      <c r="F455" s="20" t="s"/>
      <c r="G455" s="26" t="s"/>
      <c r="H455" s="22">
        <f>=B455+C455+D455-E455-F455-G455</f>
        <v>36316549.34</v>
      </c>
      <c r="I455" s="22">
        <f>=H455/10000*2.5</f>
        <v>9079.137335</v>
      </c>
      <c r="J455" s="22">
        <f>=J454+I455</f>
        <v>1126220.4674725</v>
      </c>
      <c r="K455" s="27">
        <f>=H455/10000*2</f>
        <v>7263.309868</v>
      </c>
      <c r="L455" s="27">
        <f>=I455-K455</f>
        <v>1815.827467</v>
      </c>
    </row>
    <row r="456" spans="1:12">
      <c r="A456" s="23">
        <v>46122</v>
      </c>
      <c r="B456" s="21">
        <f>=H455</f>
        <v>36316549.34</v>
      </c>
      <c r="C456" s="25" t="s"/>
      <c r="D456" s="18" t="s"/>
      <c r="E456" s="18" t="s"/>
      <c r="F456" s="20" t="s"/>
      <c r="G456" s="26" t="s"/>
      <c r="H456" s="22">
        <f>=B456+C456+D456-E456-F456-G456</f>
        <v>36316549.34</v>
      </c>
      <c r="I456" s="22">
        <f>=H456/10000*2.5</f>
        <v>9079.137335</v>
      </c>
      <c r="J456" s="22">
        <f>=J455+I456</f>
        <v>1135299.6048075</v>
      </c>
      <c r="K456" s="27">
        <f>=H456/10000*2</f>
        <v>7263.309868</v>
      </c>
      <c r="L456" s="27">
        <f>=I456-K456</f>
        <v>1815.827467</v>
      </c>
    </row>
    <row r="457" spans="1:12">
      <c r="A457" s="23">
        <v>46123</v>
      </c>
      <c r="B457" s="21">
        <f>=H456</f>
        <v>36316549.34</v>
      </c>
      <c r="C457" s="25" t="s"/>
      <c r="D457" s="18" t="s"/>
      <c r="E457" s="18" t="s"/>
      <c r="F457" s="20" t="s"/>
      <c r="G457" s="26" t="s"/>
      <c r="H457" s="22">
        <f>=B457+C457+D457-E457-F457-G457</f>
        <v>36316549.34</v>
      </c>
      <c r="I457" s="22">
        <f>=H457/10000*2.5</f>
        <v>9079.137335</v>
      </c>
      <c r="J457" s="22">
        <f>=J456+I457</f>
        <v>1144378.7421425</v>
      </c>
      <c r="K457" s="27">
        <f>=H457/10000*2</f>
        <v>7263.309868</v>
      </c>
      <c r="L457" s="27">
        <f>=I457-K457</f>
        <v>1815.827467</v>
      </c>
    </row>
    <row r="458" spans="1:12">
      <c r="A458" s="23">
        <v>46124</v>
      </c>
      <c r="B458" s="21">
        <f>=H457</f>
        <v>36316549.34</v>
      </c>
      <c r="C458" s="25" t="s"/>
      <c r="D458" s="18" t="s"/>
      <c r="E458" s="18" t="s"/>
      <c r="F458" s="20" t="s"/>
      <c r="G458" s="26" t="s"/>
      <c r="H458" s="22">
        <f>=B458+C458+D458-E458-F458-G458</f>
        <v>36316549.34</v>
      </c>
      <c r="I458" s="22">
        <f>=H458/10000*2.5</f>
        <v>9079.137335</v>
      </c>
      <c r="J458" s="22">
        <f>=J457+I458</f>
        <v>1153457.8794775</v>
      </c>
      <c r="K458" s="27">
        <f>=H458/10000*2</f>
        <v>7263.309868</v>
      </c>
      <c r="L458" s="27">
        <f>=I458-K458</f>
        <v>1815.827467</v>
      </c>
    </row>
    <row r="459" spans="1:12">
      <c r="A459" s="23">
        <v>46125</v>
      </c>
      <c r="B459" s="21">
        <f>=H458</f>
        <v>36316549.34</v>
      </c>
      <c r="C459" s="25" t="s"/>
      <c r="D459" s="18" t="s"/>
      <c r="E459" s="18" t="s"/>
      <c r="F459" s="20" t="s"/>
      <c r="G459" s="26" t="s"/>
      <c r="H459" s="22">
        <f>=B459+C459+D459-E459-F459-G459</f>
        <v>36316549.34</v>
      </c>
      <c r="I459" s="22">
        <f>=H459/10000*2.5</f>
        <v>9079.137335</v>
      </c>
      <c r="J459" s="22">
        <f>=J458+I459</f>
        <v>1162537.0168125</v>
      </c>
      <c r="K459" s="27">
        <f>=H459/10000*2</f>
        <v>7263.309868</v>
      </c>
      <c r="L459" s="27">
        <f>=I459-K459</f>
        <v>1815.827467</v>
      </c>
    </row>
    <row r="460" spans="1:12">
      <c r="A460" s="23">
        <v>46126</v>
      </c>
      <c r="B460" s="21">
        <f>=H459</f>
        <v>36316549.34</v>
      </c>
      <c r="C460" s="25" t="s"/>
      <c r="D460" s="18" t="s"/>
      <c r="E460" s="18" t="s"/>
      <c r="F460" s="20" t="s"/>
      <c r="G460" s="26" t="s"/>
      <c r="H460" s="22">
        <f>=B460+C460+D460-E460-F460-G460</f>
        <v>36316549.34</v>
      </c>
      <c r="I460" s="22">
        <f>=H460/10000*2.5</f>
        <v>9079.137335</v>
      </c>
      <c r="J460" s="22">
        <f>=J459+I460</f>
        <v>1171616.1541475</v>
      </c>
      <c r="K460" s="27">
        <f>=H460/10000*2</f>
        <v>7263.309868</v>
      </c>
      <c r="L460" s="27">
        <f>=I460-K460</f>
        <v>1815.827467</v>
      </c>
    </row>
    <row r="461" spans="1:12">
      <c r="A461" s="23">
        <v>46127</v>
      </c>
      <c r="B461" s="21">
        <f>=H460</f>
        <v>36316549.34</v>
      </c>
      <c r="C461" s="25" t="s"/>
      <c r="D461" s="18" t="s"/>
      <c r="E461" s="18" t="s"/>
      <c r="F461" s="20" t="s"/>
      <c r="G461" s="26" t="s"/>
      <c r="H461" s="22">
        <f>=B461+C461+D461-E461-F461-G461</f>
        <v>36316549.34</v>
      </c>
      <c r="I461" s="22">
        <f>=H461/10000*2.5</f>
        <v>9079.137335</v>
      </c>
      <c r="J461" s="22">
        <f>=J460+I461</f>
        <v>1180695.2914825</v>
      </c>
      <c r="K461" s="27">
        <f>=H461/10000*2</f>
        <v>7263.309868</v>
      </c>
      <c r="L461" s="27">
        <f>=I461-K461</f>
        <v>1815.827467</v>
      </c>
    </row>
    <row r="462" spans="1:12">
      <c r="A462" s="23">
        <v>46128</v>
      </c>
      <c r="B462" s="21">
        <f>=H461</f>
        <v>36316549.34</v>
      </c>
      <c r="C462" s="25" t="s"/>
      <c r="D462" s="18" t="s"/>
      <c r="E462" s="18" t="s"/>
      <c r="F462" s="20" t="s"/>
      <c r="G462" s="26" t="s"/>
      <c r="H462" s="22">
        <f>=B462+C462+D462-E462-F462-G462</f>
        <v>36316549.34</v>
      </c>
      <c r="I462" s="22">
        <f>=H462/10000*2.5</f>
        <v>9079.137335</v>
      </c>
      <c r="J462" s="22">
        <f>=J461+I462</f>
        <v>1189774.4288175</v>
      </c>
      <c r="K462" s="27">
        <f>=H462/10000*2</f>
        <v>7263.309868</v>
      </c>
      <c r="L462" s="27">
        <f>=I462-K462</f>
        <v>1815.827467</v>
      </c>
    </row>
    <row r="463" spans="1:12">
      <c r="A463" s="23">
        <v>46129</v>
      </c>
      <c r="B463" s="21">
        <f>=H462</f>
        <v>36316549.34</v>
      </c>
      <c r="C463" s="25" t="s"/>
      <c r="D463" s="18" t="s"/>
      <c r="E463" s="18" t="s"/>
      <c r="F463" s="20" t="s"/>
      <c r="G463" s="26" t="s"/>
      <c r="H463" s="22">
        <f>=B463+C463+D463-E463-F463-G463</f>
        <v>36316549.34</v>
      </c>
      <c r="I463" s="22">
        <f>=H463/10000*2.5</f>
        <v>9079.137335</v>
      </c>
      <c r="J463" s="22">
        <f>=J462+I463</f>
        <v>1198853.5661525</v>
      </c>
      <c r="K463" s="27">
        <f>=H463/10000*2</f>
        <v>7263.309868</v>
      </c>
      <c r="L463" s="27">
        <f>=I463-K463</f>
        <v>1815.827467</v>
      </c>
    </row>
    <row r="464" spans="1:12">
      <c r="A464" s="23">
        <v>46130</v>
      </c>
      <c r="B464" s="21">
        <f>=H463</f>
        <v>36316549.34</v>
      </c>
      <c r="C464" s="25" t="s"/>
      <c r="D464" s="18" t="s"/>
      <c r="E464" s="18" t="s"/>
      <c r="F464" s="20" t="s"/>
      <c r="G464" s="26" t="s"/>
      <c r="H464" s="22">
        <f>=B464+C464+D464-E464-F464-G464</f>
        <v>36316549.34</v>
      </c>
      <c r="I464" s="22">
        <f>=H464/10000*2.5</f>
        <v>9079.137335</v>
      </c>
      <c r="J464" s="22">
        <f>=J463+I464</f>
        <v>1207932.7034875</v>
      </c>
      <c r="K464" s="27">
        <f>=H464/10000*2</f>
        <v>7263.309868</v>
      </c>
      <c r="L464" s="27">
        <f>=I464-K464</f>
        <v>1815.827467</v>
      </c>
    </row>
    <row r="465" spans="1:12">
      <c r="A465" s="23">
        <v>46131</v>
      </c>
      <c r="B465" s="21">
        <f>=H464</f>
        <v>36316549.34</v>
      </c>
      <c r="C465" s="25" t="s"/>
      <c r="D465" s="18" t="s"/>
      <c r="E465" s="18" t="s"/>
      <c r="F465" s="20" t="s"/>
      <c r="G465" s="26" t="s"/>
      <c r="H465" s="22">
        <f>=B465+C465+D465-E465-F465-G465</f>
        <v>36316549.34</v>
      </c>
      <c r="I465" s="22">
        <f>=H465/10000*2.5</f>
        <v>9079.137335</v>
      </c>
      <c r="J465" s="22">
        <f>=J464+I465</f>
        <v>1217011.8408225</v>
      </c>
      <c r="K465" s="27">
        <f>=H465/10000*2</f>
        <v>7263.309868</v>
      </c>
      <c r="L465" s="27">
        <f>=I465-K465</f>
        <v>1815.827467</v>
      </c>
    </row>
    <row r="466" spans="1:12">
      <c r="A466" s="23">
        <v>46132</v>
      </c>
      <c r="B466" s="21">
        <f>=H465</f>
        <v>36316549.34</v>
      </c>
      <c r="C466" s="25" t="s"/>
      <c r="D466" s="18" t="s"/>
      <c r="E466" s="18" t="s"/>
      <c r="F466" s="20" t="s"/>
      <c r="G466" s="26" t="s"/>
      <c r="H466" s="22">
        <f>=B466+C466+D466-E466-F466-G466</f>
        <v>36316549.34</v>
      </c>
      <c r="I466" s="22">
        <f>=H466/10000*2.5</f>
        <v>9079.137335</v>
      </c>
      <c r="J466" s="22">
        <f>=J465+I466</f>
        <v>1226090.9781575</v>
      </c>
      <c r="K466" s="27">
        <f>=H466/10000*2</f>
        <v>7263.309868</v>
      </c>
      <c r="L466" s="27">
        <f>=I466-K466</f>
        <v>1815.827467</v>
      </c>
    </row>
    <row r="467" spans="1:12">
      <c r="A467" s="23">
        <v>46133</v>
      </c>
      <c r="B467" s="21">
        <f>=H466</f>
        <v>36316549.34</v>
      </c>
      <c r="C467" s="25" t="s"/>
      <c r="D467" s="18" t="s"/>
      <c r="E467" s="18" t="s"/>
      <c r="F467" s="20" t="s"/>
      <c r="G467" s="26" t="s"/>
      <c r="H467" s="22">
        <f>=B467+C467+D467-E467-F467-G467</f>
        <v>36316549.34</v>
      </c>
      <c r="I467" s="22">
        <f>=H467/10000*2.5</f>
        <v>9079.137335</v>
      </c>
      <c r="J467" s="22">
        <f>=J466+I467</f>
        <v>1235170.1154925</v>
      </c>
      <c r="K467" s="27">
        <f>=H467/10000*2</f>
        <v>7263.309868</v>
      </c>
      <c r="L467" s="27">
        <f>=I467-K467</f>
        <v>1815.827467</v>
      </c>
    </row>
    <row r="468" spans="1:12">
      <c r="A468" s="23">
        <v>46134</v>
      </c>
      <c r="B468" s="21">
        <f>=H467</f>
        <v>36316549.34</v>
      </c>
      <c r="C468" s="25" t="s"/>
      <c r="D468" s="18" t="s"/>
      <c r="E468" s="18" t="s"/>
      <c r="F468" s="20" t="s"/>
      <c r="G468" s="26" t="s"/>
      <c r="H468" s="22">
        <f>=B468+C468+D468-E468-F468-G468</f>
        <v>36316549.34</v>
      </c>
      <c r="I468" s="22">
        <f>=H468/10000*2.5</f>
        <v>9079.137335</v>
      </c>
      <c r="J468" s="22">
        <f>=J467+I468</f>
        <v>1244249.2528275</v>
      </c>
      <c r="K468" s="27">
        <f>=H468/10000*2</f>
        <v>7263.309868</v>
      </c>
      <c r="L468" s="27">
        <f>=I468-K468</f>
        <v>1815.827467</v>
      </c>
    </row>
    <row r="469" spans="1:12">
      <c r="A469" s="23">
        <v>46135</v>
      </c>
      <c r="B469" s="21">
        <f>=H468</f>
        <v>36316549.34</v>
      </c>
      <c r="C469" s="25" t="s"/>
      <c r="D469" s="18" t="s"/>
      <c r="E469" s="18" t="s"/>
      <c r="F469" s="20" t="s"/>
      <c r="G469" s="26" t="s"/>
      <c r="H469" s="22">
        <f>=B469+C469+D469-E469-F469-G469</f>
        <v>36316549.34</v>
      </c>
      <c r="I469" s="22">
        <f>=H469/10000*2.5</f>
        <v>9079.137335</v>
      </c>
      <c r="J469" s="22">
        <f>=J468+I469</f>
        <v>1253328.3901625</v>
      </c>
      <c r="K469" s="27">
        <f>=H469/10000*2</f>
        <v>7263.309868</v>
      </c>
      <c r="L469" s="27">
        <f>=I469-K469</f>
        <v>1815.827467</v>
      </c>
    </row>
    <row r="470" spans="1:12">
      <c r="A470" s="23">
        <v>46136</v>
      </c>
      <c r="B470" s="21">
        <f>=H469</f>
        <v>36316549.34</v>
      </c>
      <c r="C470" s="25" t="s"/>
      <c r="D470" s="18" t="s"/>
      <c r="E470" s="18" t="s"/>
      <c r="F470" s="20" t="s"/>
      <c r="G470" s="26" t="s"/>
      <c r="H470" s="22">
        <f>=B470+C470+D470-E470-F470-G470</f>
        <v>36316549.34</v>
      </c>
      <c r="I470" s="22">
        <f>=H470/10000*2.5</f>
        <v>9079.137335</v>
      </c>
      <c r="J470" s="22">
        <f>=J469+I470</f>
        <v>1262407.5274975</v>
      </c>
      <c r="K470" s="27">
        <f>=H470/10000*2</f>
        <v>7263.309868</v>
      </c>
      <c r="L470" s="27">
        <f>=I470-K470</f>
        <v>1815.827467</v>
      </c>
    </row>
    <row r="471" spans="1:12">
      <c r="A471" s="23">
        <v>46137</v>
      </c>
      <c r="B471" s="21">
        <f>=H470</f>
        <v>36316549.34</v>
      </c>
      <c r="C471" s="25" t="s"/>
      <c r="D471" s="18" t="s"/>
      <c r="E471" s="18" t="s"/>
      <c r="F471" s="20" t="s"/>
      <c r="G471" s="26" t="s"/>
      <c r="H471" s="22">
        <f>=B471+C471+D471-E471-F471-G471</f>
        <v>36316549.34</v>
      </c>
      <c r="I471" s="22">
        <f>=H471/10000*2.5</f>
        <v>9079.137335</v>
      </c>
      <c r="J471" s="22">
        <f>=J470+I471</f>
        <v>1271486.6648325</v>
      </c>
      <c r="K471" s="27">
        <f>=H471/10000*2</f>
        <v>7263.309868</v>
      </c>
      <c r="L471" s="27">
        <f>=I471-K471</f>
        <v>1815.827467</v>
      </c>
    </row>
    <row r="472" spans="1:12">
      <c r="A472" s="23">
        <v>46138</v>
      </c>
      <c r="B472" s="21">
        <f>=H471</f>
        <v>36316549.34</v>
      </c>
      <c r="C472" s="25" t="s"/>
      <c r="D472" s="18" t="s"/>
      <c r="E472" s="18" t="s"/>
      <c r="F472" s="20" t="s"/>
      <c r="G472" s="26" t="s"/>
      <c r="H472" s="22">
        <f>=B472+C472+D472-E472-F472-G472</f>
        <v>36316549.34</v>
      </c>
      <c r="I472" s="22">
        <f>=H472/10000*2.5</f>
        <v>9079.137335</v>
      </c>
      <c r="J472" s="22">
        <f>=J471+I472</f>
        <v>1280565.8021675</v>
      </c>
      <c r="K472" s="27">
        <f>=H472/10000*2</f>
        <v>7263.309868</v>
      </c>
      <c r="L472" s="27">
        <f>=I472-K472</f>
        <v>1815.827467</v>
      </c>
    </row>
    <row r="473" spans="1:12">
      <c r="A473" s="23">
        <v>46139</v>
      </c>
      <c r="B473" s="21">
        <f>=H472</f>
        <v>36316549.34</v>
      </c>
      <c r="C473" s="25" t="s"/>
      <c r="D473" s="18" t="s"/>
      <c r="E473" s="18" t="s"/>
      <c r="F473" s="20" t="s"/>
      <c r="G473" s="26" t="s"/>
      <c r="H473" s="22">
        <f>=B473+C473+D473-E473-F473-G473</f>
        <v>36316549.34</v>
      </c>
      <c r="I473" s="22">
        <f>=H473/10000*2.5</f>
        <v>9079.137335</v>
      </c>
      <c r="J473" s="22">
        <f>=J472+I473</f>
        <v>1289644.9395025</v>
      </c>
      <c r="K473" s="27">
        <f>=H473/10000*2</f>
        <v>7263.309868</v>
      </c>
      <c r="L473" s="27">
        <f>=I473-K473</f>
        <v>1815.827467</v>
      </c>
    </row>
    <row r="474" spans="1:12">
      <c r="A474" s="23">
        <v>46140</v>
      </c>
      <c r="B474" s="21">
        <f>=H473</f>
        <v>36316549.34</v>
      </c>
      <c r="C474" s="25" t="s"/>
      <c r="D474" s="18" t="s"/>
      <c r="E474" s="18" t="s"/>
      <c r="F474" s="20" t="s"/>
      <c r="G474" s="26" t="s"/>
      <c r="H474" s="22">
        <f>=B474+C474+D474-E474-F474-G474</f>
        <v>36316549.34</v>
      </c>
      <c r="I474" s="22">
        <f>=H474/10000*2.5</f>
        <v>9079.137335</v>
      </c>
      <c r="J474" s="22">
        <f>=J473+I474</f>
        <v>1298724.0768375</v>
      </c>
      <c r="K474" s="27">
        <f>=H474/10000*2</f>
        <v>7263.309868</v>
      </c>
      <c r="L474" s="27">
        <f>=I474-K474</f>
        <v>1815.827467</v>
      </c>
    </row>
    <row r="475" spans="1:12">
      <c r="A475" s="23">
        <v>46141</v>
      </c>
      <c r="B475" s="21">
        <f>=H474</f>
        <v>36316549.34</v>
      </c>
      <c r="C475" s="25" t="s"/>
      <c r="D475" s="18" t="s"/>
      <c r="E475" s="18" t="s"/>
      <c r="F475" s="20" t="s"/>
      <c r="G475" s="26" t="s"/>
      <c r="H475" s="22">
        <f>=B475+C475+D475-E475-F475-G475</f>
        <v>36316549.34</v>
      </c>
      <c r="I475" s="22">
        <f>=H475/10000*2.5</f>
        <v>9079.137335</v>
      </c>
      <c r="J475" s="22">
        <f>=J474+I475</f>
        <v>1307803.2141725</v>
      </c>
      <c r="K475" s="27">
        <f>=H475/10000*2</f>
        <v>7263.309868</v>
      </c>
      <c r="L475" s="27">
        <f>=I475-K475</f>
        <v>1815.827467</v>
      </c>
    </row>
    <row r="476" spans="1:12">
      <c r="A476" s="23">
        <v>46142</v>
      </c>
      <c r="B476" s="21">
        <f>=H475</f>
        <v>36316549.34</v>
      </c>
      <c r="C476" s="25" t="s"/>
      <c r="D476" s="18" t="s"/>
      <c r="E476" s="18" t="s"/>
      <c r="F476" s="20" t="s"/>
      <c r="G476" s="26" t="s"/>
      <c r="H476" s="22">
        <f>=B476+C476+D476-E476-F476-G476</f>
        <v>36316549.34</v>
      </c>
      <c r="I476" s="22">
        <f>=H476/10000*2.5</f>
        <v>9079.137335</v>
      </c>
      <c r="J476" s="22">
        <f>=J475+I476</f>
        <v>1316882.3515075</v>
      </c>
      <c r="K476" s="27">
        <f>=H476/10000*2</f>
        <v>7263.309868</v>
      </c>
      <c r="L476" s="27">
        <f>=I476-K476</f>
        <v>1815.827467</v>
      </c>
    </row>
    <row r="477" spans="1:12">
      <c r="A477" s="23">
        <v>46143</v>
      </c>
      <c r="B477" s="21">
        <f>=H476</f>
        <v>36316549.34</v>
      </c>
      <c r="C477" s="25" t="s"/>
      <c r="D477" s="18" t="s"/>
      <c r="E477" s="18" t="s"/>
      <c r="F477" s="20" t="s"/>
      <c r="G477" s="26" t="s"/>
      <c r="H477" s="22">
        <f>=B477+C477+D477-E477-F477-G477</f>
        <v>36316549.34</v>
      </c>
      <c r="I477" s="22">
        <f>=H477/10000*2.5</f>
        <v>9079.137335</v>
      </c>
      <c r="J477" s="22">
        <f>=J476+I477</f>
        <v>1325961.4888425</v>
      </c>
      <c r="K477" s="27">
        <f>=H477/10000*2</f>
        <v>7263.309868</v>
      </c>
      <c r="L477" s="27">
        <f>=I477-K477</f>
        <v>1815.827467</v>
      </c>
    </row>
    <row r="478" spans="1:12">
      <c r="A478" s="23">
        <v>46144</v>
      </c>
      <c r="B478" s="21">
        <f>=H477</f>
        <v>36316549.34</v>
      </c>
      <c r="C478" s="25" t="s"/>
      <c r="D478" s="18" t="s"/>
      <c r="E478" s="18" t="s"/>
      <c r="F478" s="20" t="s"/>
      <c r="G478" s="26" t="s"/>
      <c r="H478" s="22">
        <f>=B478+C478+D478-E478-F478-G478</f>
        <v>36316549.34</v>
      </c>
      <c r="I478" s="22">
        <f>=H478/10000*2.5</f>
        <v>9079.137335</v>
      </c>
      <c r="J478" s="22">
        <f>=J477+I478</f>
        <v>1335040.6261775</v>
      </c>
      <c r="K478" s="27">
        <f>=H478/10000*2</f>
        <v>7263.309868</v>
      </c>
      <c r="L478" s="27">
        <f>=I478-K478</f>
        <v>1815.827467</v>
      </c>
    </row>
    <row r="479" spans="1:12">
      <c r="A479" s="23">
        <v>46145</v>
      </c>
      <c r="B479" s="21">
        <f>=H478</f>
        <v>36316549.34</v>
      </c>
      <c r="C479" s="25" t="s"/>
      <c r="D479" s="18" t="s"/>
      <c r="E479" s="18" t="s"/>
      <c r="F479" s="20" t="s"/>
      <c r="G479" s="26" t="s"/>
      <c r="H479" s="22">
        <f>=B479+C479+D479-E479-F479-G479</f>
        <v>36316549.34</v>
      </c>
      <c r="I479" s="22">
        <f>=H479/10000*2.5</f>
        <v>9079.137335</v>
      </c>
      <c r="J479" s="22">
        <f>=J478+I479</f>
        <v>1344119.7635125</v>
      </c>
      <c r="K479" s="27">
        <f>=H479/10000*2</f>
        <v>7263.309868</v>
      </c>
      <c r="L479" s="27">
        <f>=I479-K479</f>
        <v>1815.827467</v>
      </c>
    </row>
    <row r="480" spans="1:12">
      <c r="A480" s="23">
        <v>46146</v>
      </c>
      <c r="B480" s="21">
        <f>=H479</f>
        <v>36316549.34</v>
      </c>
      <c r="C480" s="25" t="s"/>
      <c r="D480" s="18" t="s"/>
      <c r="E480" s="18" t="s"/>
      <c r="F480" s="20" t="s"/>
      <c r="G480" s="26" t="s"/>
      <c r="H480" s="22">
        <f>=B480+C480+D480-E480-F480-G480</f>
        <v>36316549.34</v>
      </c>
      <c r="I480" s="22">
        <f>=H480/10000*2.5</f>
        <v>9079.137335</v>
      </c>
      <c r="J480" s="22">
        <f>=J479+I480</f>
        <v>1353198.9008475</v>
      </c>
      <c r="K480" s="27">
        <f>=H480/10000*2</f>
        <v>7263.309868</v>
      </c>
      <c r="L480" s="27">
        <f>=I480-K480</f>
        <v>1815.827467</v>
      </c>
    </row>
    <row r="481" spans="1:12">
      <c r="A481" s="23">
        <v>46147</v>
      </c>
      <c r="B481" s="21">
        <f>=H480</f>
        <v>36316549.34</v>
      </c>
      <c r="C481" s="25" t="s"/>
      <c r="D481" s="18" t="s"/>
      <c r="E481" s="18" t="s"/>
      <c r="F481" s="20" t="s"/>
      <c r="G481" s="26" t="s"/>
      <c r="H481" s="22">
        <f>=B481+C481+D481-E481-F481-G481</f>
        <v>36316549.34</v>
      </c>
      <c r="I481" s="22">
        <f>=H481/10000*2.5</f>
        <v>9079.137335</v>
      </c>
      <c r="J481" s="22">
        <f>=J480+I481</f>
        <v>1362278.0381825</v>
      </c>
      <c r="K481" s="27">
        <f>=H481/10000*2</f>
        <v>7263.309868</v>
      </c>
      <c r="L481" s="27">
        <f>=I481-K481</f>
        <v>1815.827467</v>
      </c>
    </row>
    <row r="482" spans="1:12">
      <c r="A482" s="23">
        <v>46148</v>
      </c>
      <c r="B482" s="21">
        <f>=H481</f>
        <v>36316549.34</v>
      </c>
      <c r="C482" s="25" t="s"/>
      <c r="D482" s="18" t="s"/>
      <c r="E482" s="18" t="s"/>
      <c r="F482" s="20" t="s"/>
      <c r="G482" s="26" t="s"/>
      <c r="H482" s="22">
        <f>=B482+C482+D482-E482-F482-G482</f>
        <v>36316549.34</v>
      </c>
      <c r="I482" s="22">
        <f>=H482/10000*2.5</f>
        <v>9079.137335</v>
      </c>
      <c r="J482" s="22">
        <f>=J481+I482</f>
        <v>1371357.1755175</v>
      </c>
      <c r="K482" s="27">
        <f>=H482/10000*2</f>
        <v>7263.309868</v>
      </c>
      <c r="L482" s="27">
        <f>=I482-K482</f>
        <v>1815.827467</v>
      </c>
    </row>
    <row r="483" spans="1:12">
      <c r="A483" s="23">
        <v>46149</v>
      </c>
      <c r="B483" s="21">
        <f>=H482</f>
        <v>36316549.34</v>
      </c>
      <c r="C483" s="25" t="s"/>
      <c r="D483" s="18" t="s"/>
      <c r="E483" s="18" t="s"/>
      <c r="F483" s="20" t="s"/>
      <c r="G483" s="26" t="s"/>
      <c r="H483" s="22">
        <f>=B483+C483+D483-E483-F483-G483</f>
        <v>36316549.34</v>
      </c>
      <c r="I483" s="22">
        <f>=H483/10000*2.5</f>
        <v>9079.137335</v>
      </c>
      <c r="J483" s="22">
        <f>=J482+I483</f>
        <v>1380436.3128525</v>
      </c>
      <c r="K483" s="27">
        <f>=H483/10000*2</f>
        <v>7263.309868</v>
      </c>
      <c r="L483" s="27">
        <f>=I483-K483</f>
        <v>1815.827467</v>
      </c>
    </row>
    <row r="484" spans="1:12">
      <c r="A484" s="23">
        <v>46150</v>
      </c>
      <c r="B484" s="21">
        <f>=H483</f>
        <v>36316549.34</v>
      </c>
      <c r="C484" s="25" t="s"/>
      <c r="D484" s="18" t="s"/>
      <c r="E484" s="18" t="s"/>
      <c r="F484" s="20" t="s"/>
      <c r="G484" s="26" t="s"/>
      <c r="H484" s="22">
        <f>=B484+C484+D484-E484-F484-G484</f>
        <v>36316549.34</v>
      </c>
      <c r="I484" s="22">
        <f>=H484/10000*2.5</f>
        <v>9079.137335</v>
      </c>
      <c r="J484" s="22">
        <f>=J483+I484</f>
        <v>1389515.4501875</v>
      </c>
      <c r="K484" s="27">
        <f>=H484/10000*2</f>
        <v>7263.309868</v>
      </c>
      <c r="L484" s="27">
        <f>=I484-K484</f>
        <v>1815.827467</v>
      </c>
    </row>
    <row r="485" spans="1:12">
      <c r="A485" s="23">
        <v>46151</v>
      </c>
      <c r="B485" s="21">
        <f>=H484</f>
        <v>36316549.34</v>
      </c>
      <c r="C485" s="25" t="s"/>
      <c r="D485" s="18" t="s"/>
      <c r="E485" s="18" t="s"/>
      <c r="F485" s="20" t="s"/>
      <c r="G485" s="26" t="s"/>
      <c r="H485" s="22">
        <f>=B485+C485+D485-E485-F485-G485</f>
        <v>36316549.34</v>
      </c>
      <c r="I485" s="22">
        <f>=H485/10000*2.5</f>
        <v>9079.137335</v>
      </c>
      <c r="J485" s="22">
        <f>=J484+I485</f>
        <v>1398594.5875225</v>
      </c>
      <c r="K485" s="27">
        <f>=H485/10000*2</f>
        <v>7263.309868</v>
      </c>
      <c r="L485" s="27">
        <f>=I485-K485</f>
        <v>1815.827467</v>
      </c>
    </row>
    <row r="486" spans="1:12">
      <c r="A486" s="23">
        <v>46152</v>
      </c>
      <c r="B486" s="21">
        <f>=H485</f>
        <v>36316549.34</v>
      </c>
      <c r="C486" s="25" t="s"/>
      <c r="D486" s="18" t="s"/>
      <c r="E486" s="18" t="s"/>
      <c r="F486" s="20" t="s"/>
      <c r="G486" s="26" t="s"/>
      <c r="H486" s="22">
        <f>=B486+C486+D486-E486-F486-G486</f>
        <v>36316549.34</v>
      </c>
      <c r="I486" s="22">
        <f>=H486/10000*2.5</f>
        <v>9079.137335</v>
      </c>
      <c r="J486" s="22">
        <f>=J485+I486</f>
        <v>1407673.7248575</v>
      </c>
      <c r="K486" s="27">
        <f>=H486/10000*2</f>
        <v>7263.309868</v>
      </c>
      <c r="L486" s="27">
        <f>=I486-K486</f>
        <v>1815.827467</v>
      </c>
    </row>
    <row r="487" spans="1:12">
      <c r="A487" s="23">
        <v>46153</v>
      </c>
      <c r="B487" s="21">
        <f>=H486</f>
        <v>36316549.34</v>
      </c>
      <c r="C487" s="25" t="s"/>
      <c r="D487" s="18" t="s"/>
      <c r="E487" s="18" t="s"/>
      <c r="F487" s="20" t="s"/>
      <c r="G487" s="26" t="s"/>
      <c r="H487" s="22">
        <f>=B487+C487+D487-E487-F487-G487</f>
        <v>36316549.34</v>
      </c>
      <c r="I487" s="22">
        <f>=H487/10000*2.5</f>
        <v>9079.137335</v>
      </c>
      <c r="J487" s="22">
        <f>=J486+I487</f>
        <v>1416752.8621925</v>
      </c>
      <c r="K487" s="27">
        <f>=H487/10000*2</f>
        <v>7263.309868</v>
      </c>
      <c r="L487" s="27">
        <f>=I487-K487</f>
        <v>1815.827467</v>
      </c>
    </row>
    <row r="488" spans="1:12">
      <c r="A488" s="23">
        <v>46154</v>
      </c>
      <c r="B488" s="21">
        <f>=H487</f>
        <v>36316549.34</v>
      </c>
      <c r="C488" s="25" t="s"/>
      <c r="D488" s="18" t="s"/>
      <c r="E488" s="18" t="s"/>
      <c r="F488" s="20" t="s"/>
      <c r="G488" s="26" t="s"/>
      <c r="H488" s="22">
        <f>=B488+C488+D488-E488-F488-G488</f>
        <v>36316549.34</v>
      </c>
      <c r="I488" s="22">
        <f>=H488/10000*2.5</f>
        <v>9079.137335</v>
      </c>
      <c r="J488" s="22">
        <f>=J487+I488</f>
        <v>1425831.9995275</v>
      </c>
      <c r="K488" s="27">
        <f>=H488/10000*2</f>
        <v>7263.309868</v>
      </c>
      <c r="L488" s="27">
        <f>=I488-K488</f>
        <v>1815.827467</v>
      </c>
    </row>
    <row r="489" spans="1:12">
      <c r="A489" s="23">
        <v>46155</v>
      </c>
      <c r="B489" s="21">
        <f>=H488</f>
        <v>36316549.34</v>
      </c>
      <c r="C489" s="25" t="s"/>
      <c r="D489" s="18" t="s"/>
      <c r="E489" s="18" t="s"/>
      <c r="F489" s="20" t="s"/>
      <c r="G489" s="26" t="s"/>
      <c r="H489" s="22">
        <f>=B489+C489+D489-E489-F489-G489</f>
        <v>36316549.34</v>
      </c>
      <c r="I489" s="22">
        <f>=H489/10000*2.5</f>
        <v>9079.137335</v>
      </c>
      <c r="J489" s="22">
        <f>=J488+I489</f>
        <v>1434911.1368625</v>
      </c>
      <c r="K489" s="27">
        <f>=H489/10000*2</f>
        <v>7263.309868</v>
      </c>
      <c r="L489" s="27">
        <f>=I489-K489</f>
        <v>1815.827467</v>
      </c>
    </row>
    <row r="490" spans="1:12">
      <c r="A490" s="23">
        <v>46156</v>
      </c>
      <c r="B490" s="21">
        <f>=H489</f>
        <v>36316549.34</v>
      </c>
      <c r="C490" s="25" t="s"/>
      <c r="D490" s="18" t="s"/>
      <c r="E490" s="18" t="s"/>
      <c r="F490" s="20" t="s"/>
      <c r="G490" s="26" t="s"/>
      <c r="H490" s="22">
        <f>=B490+C490+D490-E490-F490-G490</f>
        <v>36316549.34</v>
      </c>
      <c r="I490" s="22">
        <f>=H490/10000*2.5</f>
        <v>9079.137335</v>
      </c>
      <c r="J490" s="22">
        <f>=J489+I490</f>
        <v>1443990.2741975</v>
      </c>
      <c r="K490" s="27">
        <f>=H490/10000*2</f>
        <v>7263.309868</v>
      </c>
      <c r="L490" s="27">
        <f>=I490-K490</f>
        <v>1815.827467</v>
      </c>
    </row>
    <row r="491" spans="1:12">
      <c r="A491" s="23">
        <v>46157</v>
      </c>
      <c r="B491" s="21">
        <f>=H490</f>
        <v>36316549.34</v>
      </c>
      <c r="C491" s="25" t="s"/>
      <c r="D491" s="18" t="s"/>
      <c r="E491" s="18" t="s"/>
      <c r="F491" s="20" t="s"/>
      <c r="G491" s="26" t="s"/>
      <c r="H491" s="22">
        <f>=B491+C491+D491-E491-F491-G491</f>
        <v>36316549.34</v>
      </c>
      <c r="I491" s="22">
        <f>=H491/10000*2.5</f>
        <v>9079.137335</v>
      </c>
      <c r="J491" s="22">
        <f>=J490+I491</f>
        <v>1453069.4115325</v>
      </c>
      <c r="K491" s="27">
        <f>=H491/10000*2</f>
        <v>7263.309868</v>
      </c>
      <c r="L491" s="27">
        <f>=I491-K491</f>
        <v>1815.827467</v>
      </c>
    </row>
    <row r="492" spans="1:12">
      <c r="A492" s="23">
        <v>46158</v>
      </c>
      <c r="B492" s="21">
        <f>=H491</f>
        <v>36316549.34</v>
      </c>
      <c r="C492" s="25" t="s"/>
      <c r="D492" s="18" t="s"/>
      <c r="E492" s="18" t="s"/>
      <c r="F492" s="20" t="s"/>
      <c r="G492" s="26" t="s"/>
      <c r="H492" s="22">
        <f>=B492+C492+D492-E492-F492-G492</f>
        <v>36316549.34</v>
      </c>
      <c r="I492" s="22">
        <f>=H492/10000*2.5</f>
        <v>9079.137335</v>
      </c>
      <c r="J492" s="22">
        <f>=J491+I492</f>
        <v>1462148.5488675</v>
      </c>
      <c r="K492" s="27">
        <f>=H492/10000*2</f>
        <v>7263.309868</v>
      </c>
      <c r="L492" s="27">
        <f>=I492-K492</f>
        <v>1815.827467</v>
      </c>
    </row>
    <row r="493" spans="1:12">
      <c r="A493" s="23">
        <v>46159</v>
      </c>
      <c r="B493" s="21">
        <f>=H492</f>
        <v>36316549.34</v>
      </c>
      <c r="C493" s="25" t="s"/>
      <c r="D493" s="18" t="s"/>
      <c r="E493" s="18" t="s"/>
      <c r="F493" s="20" t="s"/>
      <c r="G493" s="26" t="s"/>
      <c r="H493" s="22">
        <f>=B493+C493+D493-E493-F493-G493</f>
        <v>36316549.34</v>
      </c>
      <c r="I493" s="22">
        <f>=H493/10000*2.5</f>
        <v>9079.137335</v>
      </c>
      <c r="J493" s="22">
        <f>=J492+I493</f>
        <v>1471227.68620251</v>
      </c>
      <c r="K493" s="27">
        <f>=H493/10000*2</f>
        <v>7263.309868</v>
      </c>
      <c r="L493" s="27">
        <f>=I493-K493</f>
        <v>1815.827467</v>
      </c>
    </row>
    <row r="494" spans="1:12">
      <c r="A494" s="23">
        <v>46160</v>
      </c>
      <c r="B494" s="21">
        <f>=H493</f>
        <v>36316549.34</v>
      </c>
      <c r="C494" s="25" t="s"/>
      <c r="D494" s="18" t="s"/>
      <c r="E494" s="18" t="s"/>
      <c r="F494" s="20" t="s"/>
      <c r="G494" s="26" t="s"/>
      <c r="H494" s="22">
        <f>=B494+C494+D494-E494-F494-G494</f>
        <v>36316549.34</v>
      </c>
      <c r="I494" s="22">
        <f>=H494/10000*2.5</f>
        <v>9079.137335</v>
      </c>
      <c r="J494" s="22">
        <f>=J493+I494</f>
        <v>1480306.82353751</v>
      </c>
      <c r="K494" s="27">
        <f>=H494/10000*2</f>
        <v>7263.309868</v>
      </c>
      <c r="L494" s="27">
        <f>=I494-K494</f>
        <v>1815.827467</v>
      </c>
    </row>
    <row r="495" spans="1:12">
      <c r="A495" s="23">
        <v>46161</v>
      </c>
      <c r="B495" s="21">
        <f>=H494</f>
        <v>36316549.34</v>
      </c>
      <c r="C495" s="25" t="s"/>
      <c r="D495" s="18" t="s"/>
      <c r="E495" s="18" t="s"/>
      <c r="F495" s="20" t="s"/>
      <c r="G495" s="26" t="s"/>
      <c r="H495" s="22">
        <f>=B495+C495+D495-E495-F495-G495</f>
        <v>36316549.34</v>
      </c>
      <c r="I495" s="22">
        <f>=H495/10000*2.5</f>
        <v>9079.137335</v>
      </c>
      <c r="J495" s="22">
        <f>=J494+I495</f>
        <v>1489385.96087251</v>
      </c>
      <c r="K495" s="27">
        <f>=H495/10000*2</f>
        <v>7263.309868</v>
      </c>
      <c r="L495" s="27">
        <f>=I495-K495</f>
        <v>1815.827467</v>
      </c>
    </row>
    <row r="496" spans="1:12">
      <c r="A496" s="23">
        <v>46162</v>
      </c>
      <c r="B496" s="21">
        <f>=H495</f>
        <v>36316549.34</v>
      </c>
      <c r="C496" s="25" t="s"/>
      <c r="D496" s="18" t="s"/>
      <c r="E496" s="18" t="s"/>
      <c r="F496" s="20" t="s"/>
      <c r="G496" s="26" t="s"/>
      <c r="H496" s="22">
        <f>=B496+C496+D496-E496-F496-G496</f>
        <v>36316549.34</v>
      </c>
      <c r="I496" s="22">
        <f>=H496/10000*2.5</f>
        <v>9079.137335</v>
      </c>
      <c r="J496" s="22">
        <f>=J495+I496</f>
        <v>1498465.09820751</v>
      </c>
      <c r="K496" s="27">
        <f>=H496/10000*2</f>
        <v>7263.309868</v>
      </c>
      <c r="L496" s="27">
        <f>=I496-K496</f>
        <v>1815.827467</v>
      </c>
    </row>
    <row r="497" spans="1:12">
      <c r="A497" s="23">
        <v>46163</v>
      </c>
      <c r="B497" s="21">
        <f>=H496</f>
        <v>36316549.34</v>
      </c>
      <c r="C497" s="25" t="s"/>
      <c r="D497" s="18" t="s"/>
      <c r="E497" s="18" t="s"/>
      <c r="F497" s="20" t="s"/>
      <c r="G497" s="26" t="s"/>
      <c r="H497" s="22">
        <f>=B497+C497+D497-E497-F497-G497</f>
        <v>36316549.34</v>
      </c>
      <c r="I497" s="22">
        <f>=H497/10000*2.5</f>
        <v>9079.137335</v>
      </c>
      <c r="J497" s="22">
        <f>=J496+I497</f>
        <v>1507544.23554251</v>
      </c>
      <c r="K497" s="27">
        <f>=H497/10000*2</f>
        <v>7263.309868</v>
      </c>
      <c r="L497" s="27">
        <f>=I497-K497</f>
        <v>1815.827467</v>
      </c>
    </row>
    <row r="498" spans="1:12">
      <c r="A498" s="23">
        <v>46164</v>
      </c>
      <c r="B498" s="21">
        <f>=H497</f>
        <v>36316549.34</v>
      </c>
      <c r="C498" s="25" t="s"/>
      <c r="D498" s="18" t="s"/>
      <c r="E498" s="18" t="s"/>
      <c r="F498" s="20" t="s"/>
      <c r="G498" s="26" t="s"/>
      <c r="H498" s="22">
        <f>=B498+C498+D498-E498-F498-G498</f>
        <v>36316549.34</v>
      </c>
      <c r="I498" s="22">
        <f>=H498/10000*2.5</f>
        <v>9079.137335</v>
      </c>
      <c r="J498" s="22">
        <f>=J497+I498</f>
        <v>1516623.37287751</v>
      </c>
      <c r="K498" s="27">
        <f>=H498/10000*2</f>
        <v>7263.309868</v>
      </c>
      <c r="L498" s="27">
        <f>=I498-K498</f>
        <v>1815.827467</v>
      </c>
    </row>
    <row r="499" spans="1:12">
      <c r="A499" s="23">
        <v>46165</v>
      </c>
      <c r="B499" s="21">
        <f>=H498</f>
        <v>36316549.34</v>
      </c>
      <c r="C499" s="25" t="s"/>
      <c r="D499" s="18" t="s"/>
      <c r="E499" s="18" t="s"/>
      <c r="F499" s="20" t="s"/>
      <c r="G499" s="26" t="s"/>
      <c r="H499" s="22">
        <f>=B499+C499+D499-E499-F499-G499</f>
        <v>36316549.34</v>
      </c>
      <c r="I499" s="22">
        <f>=H499/10000*2.5</f>
        <v>9079.137335</v>
      </c>
      <c r="J499" s="22">
        <f>=J498+I499</f>
        <v>1525702.51021251</v>
      </c>
      <c r="K499" s="27">
        <f>=H499/10000*2</f>
        <v>7263.309868</v>
      </c>
      <c r="L499" s="27">
        <f>=I499-K499</f>
        <v>1815.827467</v>
      </c>
    </row>
    <row r="500" spans="1:12">
      <c r="A500" s="23">
        <v>46166</v>
      </c>
      <c r="B500" s="21">
        <f>=H499</f>
        <v>36316549.34</v>
      </c>
      <c r="C500" s="25" t="s"/>
      <c r="D500" s="18" t="s"/>
      <c r="E500" s="18" t="s"/>
      <c r="F500" s="20" t="s"/>
      <c r="G500" s="26" t="s"/>
      <c r="H500" s="22">
        <f>=B500+C500+D500-E500-F500-G500</f>
        <v>36316549.34</v>
      </c>
      <c r="I500" s="22">
        <f>=H500/10000*2.5</f>
        <v>9079.137335</v>
      </c>
      <c r="J500" s="22">
        <f>=J499+I500</f>
        <v>1534781.64754751</v>
      </c>
      <c r="K500" s="27">
        <f>=H500/10000*2</f>
        <v>7263.309868</v>
      </c>
      <c r="L500" s="27">
        <f>=I500-K500</f>
        <v>1815.827467</v>
      </c>
    </row>
    <row r="501" spans="1:12">
      <c r="A501" s="23">
        <v>46167</v>
      </c>
      <c r="B501" s="21">
        <f>=H500</f>
        <v>36316549.34</v>
      </c>
      <c r="C501" s="25" t="s"/>
      <c r="D501" s="18" t="s"/>
      <c r="E501" s="18" t="s"/>
      <c r="F501" s="20" t="s"/>
      <c r="G501" s="26" t="s"/>
      <c r="H501" s="22">
        <f>=B501+C501+D501-E501-F501-G501</f>
        <v>36316549.34</v>
      </c>
      <c r="I501" s="22">
        <f>=H501/10000*2.5</f>
        <v>9079.137335</v>
      </c>
      <c r="J501" s="22">
        <f>=J500+I501</f>
        <v>1543860.78488251</v>
      </c>
      <c r="K501" s="27">
        <f>=H501/10000*2</f>
        <v>7263.309868</v>
      </c>
      <c r="L501" s="27">
        <f>=I501-K501</f>
        <v>1815.827467</v>
      </c>
    </row>
    <row r="502" spans="1:12">
      <c r="A502" s="23">
        <v>46168</v>
      </c>
      <c r="B502" s="21">
        <f>=H501</f>
        <v>36316549.34</v>
      </c>
      <c r="C502" s="25" t="s"/>
      <c r="D502" s="18" t="s"/>
      <c r="E502" s="18" t="s"/>
      <c r="F502" s="20" t="s"/>
      <c r="G502" s="26" t="s"/>
      <c r="H502" s="22">
        <f>=B502+C502+D502-E502-F502-G502</f>
        <v>36316549.34</v>
      </c>
      <c r="I502" s="22">
        <f>=H502/10000*2.5</f>
        <v>9079.137335</v>
      </c>
      <c r="J502" s="22">
        <f>=J501+I502</f>
        <v>1552939.92221751</v>
      </c>
      <c r="K502" s="27">
        <f>=H502/10000*2</f>
        <v>7263.309868</v>
      </c>
      <c r="L502" s="27">
        <f>=I502-K502</f>
        <v>1815.827467</v>
      </c>
    </row>
    <row r="503" spans="1:12">
      <c r="A503" s="23">
        <v>46169</v>
      </c>
      <c r="B503" s="21">
        <f>=H502</f>
        <v>36316549.34</v>
      </c>
      <c r="C503" s="25" t="s"/>
      <c r="D503" s="18" t="s"/>
      <c r="E503" s="18" t="s"/>
      <c r="F503" s="20" t="s"/>
      <c r="G503" s="26" t="s"/>
      <c r="H503" s="22">
        <f>=B503+C503+D503-E503-F503-G503</f>
        <v>36316549.34</v>
      </c>
      <c r="I503" s="22">
        <f>=H503/10000*2.5</f>
        <v>9079.137335</v>
      </c>
      <c r="J503" s="22">
        <f>=J502+I503</f>
        <v>1562019.05955251</v>
      </c>
      <c r="K503" s="27">
        <f>=H503/10000*2</f>
        <v>7263.309868</v>
      </c>
      <c r="L503" s="27">
        <f>=I503-K503</f>
        <v>1815.827467</v>
      </c>
    </row>
    <row r="504" spans="1:12">
      <c r="A504" s="23">
        <v>46170</v>
      </c>
      <c r="B504" s="21">
        <f>=H503</f>
        <v>36316549.34</v>
      </c>
      <c r="C504" s="25" t="s"/>
      <c r="D504" s="18" t="s"/>
      <c r="E504" s="18" t="s"/>
      <c r="F504" s="20" t="s"/>
      <c r="G504" s="26" t="s"/>
      <c r="H504" s="22">
        <f>=B504+C504+D504-E504-F504-G504</f>
        <v>36316549.34</v>
      </c>
      <c r="I504" s="22">
        <f>=H504/10000*2.5</f>
        <v>9079.137335</v>
      </c>
      <c r="J504" s="22">
        <f>=J503+I504</f>
        <v>1571098.19688751</v>
      </c>
      <c r="K504" s="27">
        <f>=H504/10000*2</f>
        <v>7263.309868</v>
      </c>
      <c r="L504" s="27">
        <f>=I504-K504</f>
        <v>1815.827467</v>
      </c>
    </row>
    <row r="505" spans="1:12">
      <c r="A505" s="23">
        <v>46171</v>
      </c>
      <c r="B505" s="21">
        <f>=H504</f>
        <v>36316549.34</v>
      </c>
      <c r="C505" s="25" t="s"/>
      <c r="D505" s="18" t="s"/>
      <c r="E505" s="18" t="s"/>
      <c r="F505" s="20" t="s"/>
      <c r="G505" s="26" t="s"/>
      <c r="H505" s="22">
        <f>=B505+C505+D505-E505-F505-G505</f>
        <v>36316549.34</v>
      </c>
      <c r="I505" s="22">
        <f>=H505/10000*2.5</f>
        <v>9079.137335</v>
      </c>
      <c r="J505" s="22">
        <f>=J504+I505</f>
        <v>1580177.33422251</v>
      </c>
      <c r="K505" s="27">
        <f>=H505/10000*2</f>
        <v>7263.309868</v>
      </c>
      <c r="L505" s="27">
        <f>=I505-K505</f>
        <v>1815.827467</v>
      </c>
    </row>
    <row r="506" spans="1:12">
      <c r="A506" s="23">
        <v>46172</v>
      </c>
      <c r="B506" s="21">
        <f>=H505</f>
        <v>36316549.34</v>
      </c>
      <c r="C506" s="25" t="s"/>
      <c r="D506" s="18" t="s"/>
      <c r="E506" s="18" t="s"/>
      <c r="F506" s="20" t="s"/>
      <c r="G506" s="26" t="s"/>
      <c r="H506" s="22">
        <f>=B506+C506+D506-E506-F506-G506</f>
        <v>36316549.34</v>
      </c>
      <c r="I506" s="22">
        <f>=H506/10000*2.5</f>
        <v>9079.137335</v>
      </c>
      <c r="J506" s="22">
        <f>=J505+I506</f>
        <v>1589256.47155751</v>
      </c>
      <c r="K506" s="27">
        <f>=H506/10000*2</f>
        <v>7263.309868</v>
      </c>
      <c r="L506" s="27">
        <f>=I506-K506</f>
        <v>1815.827467</v>
      </c>
    </row>
    <row r="507" spans="1:12">
      <c r="A507" s="23">
        <v>46173</v>
      </c>
      <c r="B507" s="21">
        <f>=H506</f>
        <v>36316549.34</v>
      </c>
      <c r="C507" s="25" t="s"/>
      <c r="D507" s="18" t="s"/>
      <c r="E507" s="18" t="s"/>
      <c r="F507" s="20" t="s"/>
      <c r="G507" s="26" t="s"/>
      <c r="H507" s="22">
        <f>=B507+C507+D507-E507-F507-G507</f>
        <v>36316549.34</v>
      </c>
      <c r="I507" s="22">
        <f>=H507/10000*2.5</f>
        <v>9079.137335</v>
      </c>
      <c r="J507" s="22">
        <f>=J506+I507</f>
        <v>1598335.60889251</v>
      </c>
      <c r="K507" s="27">
        <f>=H507/10000*2</f>
        <v>7263.309868</v>
      </c>
      <c r="L507" s="27">
        <f>=I507-K507</f>
        <v>1815.827467</v>
      </c>
    </row>
    <row r="508" spans="1:12">
      <c r="A508" s="23">
        <v>46174</v>
      </c>
      <c r="B508" s="21">
        <f>=H507</f>
        <v>36316549.34</v>
      </c>
      <c r="C508" s="25" t="s"/>
      <c r="D508" s="18" t="s"/>
      <c r="E508" s="18" t="s"/>
      <c r="F508" s="20" t="s"/>
      <c r="G508" s="26" t="s"/>
      <c r="H508" s="22">
        <f>=B508+C508+D508-E508-F508-G508</f>
        <v>36316549.34</v>
      </c>
      <c r="I508" s="22">
        <f>=H508/10000*2.5</f>
        <v>9079.137335</v>
      </c>
      <c r="J508" s="22">
        <f>=J507+I508</f>
        <v>1607414.74622751</v>
      </c>
      <c r="K508" s="27">
        <f>=H508/10000*2</f>
        <v>7263.309868</v>
      </c>
      <c r="L508" s="27">
        <f>=I508-K508</f>
        <v>1815.827467</v>
      </c>
    </row>
    <row r="509" spans="1:12">
      <c r="A509" s="23">
        <v>46175</v>
      </c>
      <c r="B509" s="21">
        <f>=H508</f>
        <v>36316549.34</v>
      </c>
      <c r="C509" s="25" t="s"/>
      <c r="D509" s="18" t="s"/>
      <c r="E509" s="18" t="s"/>
      <c r="F509" s="20" t="s"/>
      <c r="G509" s="26" t="s"/>
      <c r="H509" s="22">
        <f>=B509+C509+D509-E509-F509-G509</f>
        <v>36316549.34</v>
      </c>
      <c r="I509" s="22">
        <f>=H509/10000*2.5</f>
        <v>9079.137335</v>
      </c>
      <c r="J509" s="22">
        <f>=J508+I509</f>
        <v>1616493.88356251</v>
      </c>
      <c r="K509" s="27">
        <f>=H509/10000*2</f>
        <v>7263.309868</v>
      </c>
      <c r="L509" s="27">
        <f>=I509-K509</f>
        <v>1815.827467</v>
      </c>
    </row>
    <row r="510" spans="1:12">
      <c r="A510" s="23">
        <v>46176</v>
      </c>
      <c r="B510" s="21">
        <f>=H509</f>
        <v>36316549.34</v>
      </c>
      <c r="C510" s="25" t="s"/>
      <c r="D510" s="18" t="s"/>
      <c r="E510" s="18" t="s"/>
      <c r="F510" s="20" t="s"/>
      <c r="G510" s="26" t="s"/>
      <c r="H510" s="22">
        <f>=B510+C510+D510-E510-F510-G510</f>
        <v>36316549.34</v>
      </c>
      <c r="I510" s="22">
        <f>=H510/10000*2.5</f>
        <v>9079.137335</v>
      </c>
      <c r="J510" s="22">
        <f>=J509+I510</f>
        <v>1625573.02089751</v>
      </c>
      <c r="K510" s="27">
        <f>=H510/10000*2</f>
        <v>7263.309868</v>
      </c>
      <c r="L510" s="27">
        <f>=I510-K510</f>
        <v>1815.827467</v>
      </c>
    </row>
    <row r="511" spans="1:12">
      <c r="A511" s="23">
        <v>46177</v>
      </c>
      <c r="B511" s="21">
        <f>=H510</f>
        <v>36316549.34</v>
      </c>
      <c r="C511" s="25" t="s"/>
      <c r="D511" s="18" t="s"/>
      <c r="E511" s="18" t="s"/>
      <c r="F511" s="20" t="s"/>
      <c r="G511" s="26" t="s"/>
      <c r="H511" s="22">
        <f>=B511+C511+D511-E511-F511-G511</f>
        <v>36316549.34</v>
      </c>
      <c r="I511" s="22">
        <f>=H511/10000*2.5</f>
        <v>9079.137335</v>
      </c>
      <c r="J511" s="22">
        <f>=J510+I511</f>
        <v>1634652.15823251</v>
      </c>
      <c r="K511" s="27">
        <f>=H511/10000*2</f>
        <v>7263.309868</v>
      </c>
      <c r="L511" s="27">
        <f>=I511-K511</f>
        <v>1815.827467</v>
      </c>
    </row>
    <row r="512" spans="1:12">
      <c r="A512" s="23">
        <v>46178</v>
      </c>
      <c r="B512" s="21">
        <f>=H511</f>
        <v>36316549.34</v>
      </c>
      <c r="C512" s="25" t="s"/>
      <c r="D512" s="18" t="s"/>
      <c r="E512" s="18" t="s"/>
      <c r="F512" s="20" t="s"/>
      <c r="G512" s="26" t="s"/>
      <c r="H512" s="22">
        <f>=B512+C512+D512-E512-F512-G512</f>
        <v>36316549.34</v>
      </c>
      <c r="I512" s="22">
        <f>=H512/10000*2.5</f>
        <v>9079.137335</v>
      </c>
      <c r="J512" s="22">
        <f>=J511+I512</f>
        <v>1643731.29556751</v>
      </c>
      <c r="K512" s="27">
        <f>=H512/10000*2</f>
        <v>7263.309868</v>
      </c>
      <c r="L512" s="27">
        <f>=I512-K512</f>
        <v>1815.827467</v>
      </c>
    </row>
    <row r="513" spans="1:12">
      <c r="A513" s="23">
        <v>46179</v>
      </c>
      <c r="B513" s="21">
        <f>=H512</f>
        <v>36316549.34</v>
      </c>
      <c r="C513" s="25" t="s"/>
      <c r="D513" s="18" t="s"/>
      <c r="E513" s="18" t="s"/>
      <c r="F513" s="20" t="s"/>
      <c r="G513" s="26" t="s"/>
      <c r="H513" s="22">
        <f>=B513+C513+D513-E513-F513-G513</f>
        <v>36316549.34</v>
      </c>
      <c r="I513" s="22">
        <f>=H513/10000*2.5</f>
        <v>9079.137335</v>
      </c>
      <c r="J513" s="22">
        <f>=J512+I513</f>
        <v>1652810.43290251</v>
      </c>
      <c r="K513" s="27">
        <f>=H513/10000*2</f>
        <v>7263.309868</v>
      </c>
      <c r="L513" s="27">
        <f>=I513-K513</f>
        <v>1815.827467</v>
      </c>
    </row>
    <row r="514" spans="1:12">
      <c r="A514" s="23">
        <v>46180</v>
      </c>
      <c r="B514" s="21">
        <f>=H513</f>
        <v>36316549.34</v>
      </c>
      <c r="C514" s="25" t="s"/>
      <c r="D514" s="18" t="s"/>
      <c r="E514" s="18" t="s"/>
      <c r="F514" s="20" t="s"/>
      <c r="G514" s="26" t="s"/>
      <c r="H514" s="22">
        <f>=B514+C514+D514-E514-F514-G514</f>
        <v>36316549.34</v>
      </c>
      <c r="I514" s="22">
        <f>=H514/10000*2.5</f>
        <v>9079.137335</v>
      </c>
      <c r="J514" s="22">
        <f>=J513+I514</f>
        <v>1661889.57023751</v>
      </c>
      <c r="K514" s="27">
        <f>=H514/10000*2</f>
        <v>7263.309868</v>
      </c>
      <c r="L514" s="27">
        <f>=I514-K514</f>
        <v>1815.827467</v>
      </c>
    </row>
    <row r="515" spans="1:12">
      <c r="A515" s="23">
        <v>46181</v>
      </c>
      <c r="B515" s="21">
        <f>=H514</f>
        <v>36316549.34</v>
      </c>
      <c r="C515" s="25" t="s"/>
      <c r="D515" s="18" t="s"/>
      <c r="E515" s="18" t="s"/>
      <c r="F515" s="20" t="s"/>
      <c r="G515" s="26" t="s"/>
      <c r="H515" s="22">
        <f>=B515+C515+D515-E515-F515-G515</f>
        <v>36316549.34</v>
      </c>
      <c r="I515" s="22">
        <f>=H515/10000*2.5</f>
        <v>9079.137335</v>
      </c>
      <c r="J515" s="22">
        <f>=J514+I515</f>
        <v>1670968.70757251</v>
      </c>
      <c r="K515" s="27">
        <f>=H515/10000*2</f>
        <v>7263.309868</v>
      </c>
      <c r="L515" s="27">
        <f>=I515-K515</f>
        <v>1815.827467</v>
      </c>
    </row>
    <row r="516" spans="1:12">
      <c r="A516" s="23">
        <v>46182</v>
      </c>
      <c r="B516" s="21">
        <f>=H515</f>
        <v>36316549.34</v>
      </c>
      <c r="C516" s="25" t="s"/>
      <c r="D516" s="18" t="s"/>
      <c r="E516" s="18" t="s"/>
      <c r="F516" s="20" t="s"/>
      <c r="G516" s="26" t="s"/>
      <c r="H516" s="22">
        <f>=B516+C516+D516-E516-F516-G516</f>
        <v>36316549.34</v>
      </c>
      <c r="I516" s="22">
        <f>=H516/10000*2.5</f>
        <v>9079.137335</v>
      </c>
      <c r="J516" s="22">
        <f>=J515+I516</f>
        <v>1680047.84490751</v>
      </c>
      <c r="K516" s="27">
        <f>=H516/10000*2</f>
        <v>7263.309868</v>
      </c>
      <c r="L516" s="27">
        <f>=I516-K516</f>
        <v>1815.827467</v>
      </c>
    </row>
    <row r="517" spans="1:12">
      <c r="A517" s="23">
        <v>46183</v>
      </c>
      <c r="B517" s="21">
        <f>=H516</f>
        <v>36316549.34</v>
      </c>
      <c r="C517" s="25" t="s"/>
      <c r="D517" s="18" t="s"/>
      <c r="E517" s="18" t="s"/>
      <c r="F517" s="20" t="s"/>
      <c r="G517" s="26" t="s"/>
      <c r="H517" s="22">
        <f>=B517+C517+D517-E517-F517-G517</f>
        <v>36316549.34</v>
      </c>
      <c r="I517" s="22">
        <f>=H517/10000*2.5</f>
        <v>9079.137335</v>
      </c>
      <c r="J517" s="22">
        <f>=J516+I517</f>
        <v>1689126.98224251</v>
      </c>
      <c r="K517" s="27">
        <f>=H517/10000*2</f>
        <v>7263.309868</v>
      </c>
      <c r="L517" s="27">
        <f>=I517-K517</f>
        <v>1815.827467</v>
      </c>
    </row>
    <row r="518" spans="1:12">
      <c r="A518" s="23">
        <v>46184</v>
      </c>
      <c r="B518" s="21">
        <f>=H517</f>
        <v>36316549.34</v>
      </c>
      <c r="C518" s="25" t="s"/>
      <c r="D518" s="18" t="s"/>
      <c r="E518" s="18" t="s"/>
      <c r="F518" s="20" t="s"/>
      <c r="G518" s="26" t="s"/>
      <c r="H518" s="22">
        <f>=B518+C518+D518-E518-F518-G518</f>
        <v>36316549.34</v>
      </c>
      <c r="I518" s="22">
        <f>=H518/10000*2.5</f>
        <v>9079.137335</v>
      </c>
      <c r="J518" s="22">
        <f>=J517+I518</f>
        <v>1698206.11957751</v>
      </c>
      <c r="K518" s="27">
        <f>=H518/10000*2</f>
        <v>7263.309868</v>
      </c>
      <c r="L518" s="27">
        <f>=I518-K518</f>
        <v>1815.827467</v>
      </c>
    </row>
    <row r="519" spans="1:12">
      <c r="A519" s="23">
        <v>46185</v>
      </c>
      <c r="B519" s="21">
        <f>=H518</f>
        <v>36316549.34</v>
      </c>
      <c r="C519" s="25" t="s"/>
      <c r="D519" s="18" t="s"/>
      <c r="E519" s="18" t="s"/>
      <c r="F519" s="20" t="s"/>
      <c r="G519" s="26" t="s"/>
      <c r="H519" s="22">
        <f>=B519+C519+D519-E519-F519-G519</f>
        <v>36316549.34</v>
      </c>
      <c r="I519" s="22">
        <f>=H519/10000*2.5</f>
        <v>9079.137335</v>
      </c>
      <c r="J519" s="22">
        <f>=J518+I519</f>
        <v>1707285.25691251</v>
      </c>
      <c r="K519" s="27">
        <f>=H519/10000*2</f>
        <v>7263.309868</v>
      </c>
      <c r="L519" s="27">
        <f>=I519-K519</f>
        <v>1815.827467</v>
      </c>
    </row>
    <row r="520" spans="1:12">
      <c r="A520" s="23">
        <v>46186</v>
      </c>
      <c r="B520" s="21">
        <f>=H519</f>
        <v>36316549.34</v>
      </c>
      <c r="C520" s="25" t="s"/>
      <c r="D520" s="18" t="s"/>
      <c r="E520" s="18" t="s"/>
      <c r="F520" s="20" t="s"/>
      <c r="G520" s="26" t="s"/>
      <c r="H520" s="22">
        <f>=B520+C520+D520-E520-F520-G520</f>
        <v>36316549.34</v>
      </c>
      <c r="I520" s="22">
        <f>=H520/10000*2.5</f>
        <v>9079.137335</v>
      </c>
      <c r="J520" s="22">
        <f>=J519+I520</f>
        <v>1716364.39424751</v>
      </c>
      <c r="K520" s="27">
        <f>=H520/10000*2</f>
        <v>7263.309868</v>
      </c>
      <c r="L520" s="27">
        <f>=I520-K520</f>
        <v>1815.827467</v>
      </c>
    </row>
    <row r="521" spans="1:12">
      <c r="A521" s="23">
        <v>46187</v>
      </c>
      <c r="B521" s="21">
        <f>=H520</f>
        <v>36316549.34</v>
      </c>
      <c r="C521" s="25" t="s"/>
      <c r="D521" s="18" t="s"/>
      <c r="E521" s="18" t="s"/>
      <c r="F521" s="20" t="s"/>
      <c r="G521" s="26" t="s"/>
      <c r="H521" s="22">
        <f>=B521+C521+D521-E521-F521-G521</f>
        <v>36316549.34</v>
      </c>
      <c r="I521" s="22">
        <f>=H521/10000*2.5</f>
        <v>9079.137335</v>
      </c>
      <c r="J521" s="22">
        <f>=J520+I521</f>
        <v>1725443.53158251</v>
      </c>
      <c r="K521" s="27">
        <f>=H521/10000*2</f>
        <v>7263.309868</v>
      </c>
      <c r="L521" s="27">
        <f>=I521-K521</f>
        <v>1815.827467</v>
      </c>
    </row>
    <row r="522" spans="1:12">
      <c r="A522" s="23">
        <v>46188</v>
      </c>
      <c r="B522" s="21">
        <f>=H521</f>
        <v>36316549.34</v>
      </c>
      <c r="C522" s="25" t="s"/>
      <c r="D522" s="18" t="s"/>
      <c r="E522" s="18" t="s"/>
      <c r="F522" s="20" t="s"/>
      <c r="G522" s="26" t="s"/>
      <c r="H522" s="22">
        <f>=B522+C522+D522-E522-F522-G522</f>
        <v>36316549.34</v>
      </c>
      <c r="I522" s="22">
        <f>=H522/10000*2.5</f>
        <v>9079.137335</v>
      </c>
      <c r="J522" s="22">
        <f>=J521+I522</f>
        <v>1734522.66891751</v>
      </c>
      <c r="K522" s="27">
        <f>=H522/10000*2</f>
        <v>7263.309868</v>
      </c>
      <c r="L522" s="27">
        <f>=I522-K522</f>
        <v>1815.827467</v>
      </c>
    </row>
    <row r="523" spans="1:12">
      <c r="A523" s="23">
        <v>46189</v>
      </c>
      <c r="B523" s="21">
        <f>=H522</f>
        <v>36316549.34</v>
      </c>
      <c r="C523" s="25" t="s"/>
      <c r="D523" s="18" t="s"/>
      <c r="E523" s="18" t="s"/>
      <c r="F523" s="20" t="s"/>
      <c r="G523" s="26" t="s"/>
      <c r="H523" s="22">
        <f>=B523+C523+D523-E523-F523-G523</f>
        <v>36316549.34</v>
      </c>
      <c r="I523" s="22">
        <f>=H523/10000*2.5</f>
        <v>9079.137335</v>
      </c>
      <c r="J523" s="22">
        <f>=J522+I523</f>
        <v>1743601.80625251</v>
      </c>
      <c r="K523" s="27">
        <f>=H523/10000*2</f>
        <v>7263.309868</v>
      </c>
      <c r="L523" s="27">
        <f>=I523-K523</f>
        <v>1815.827467</v>
      </c>
    </row>
    <row r="524" spans="1:12">
      <c r="A524" s="23">
        <v>46190</v>
      </c>
      <c r="B524" s="21">
        <f>=H523</f>
        <v>36316549.34</v>
      </c>
      <c r="C524" s="25" t="s"/>
      <c r="D524" s="18" t="s"/>
      <c r="E524" s="18" t="s"/>
      <c r="F524" s="20" t="s"/>
      <c r="G524" s="26" t="s"/>
      <c r="H524" s="22">
        <f>=B524+C524+D524-E524-F524-G524</f>
        <v>36316549.34</v>
      </c>
      <c r="I524" s="22">
        <f>=H524/10000*2.5</f>
        <v>9079.137335</v>
      </c>
      <c r="J524" s="22">
        <f>=J523+I524</f>
        <v>1752680.94358751</v>
      </c>
      <c r="K524" s="27">
        <f>=H524/10000*2</f>
        <v>7263.309868</v>
      </c>
      <c r="L524" s="27">
        <f>=I524-K524</f>
        <v>1815.827467</v>
      </c>
    </row>
    <row r="525" spans="1:12">
      <c r="A525" s="23">
        <v>46191</v>
      </c>
      <c r="B525" s="21">
        <f>=H524</f>
        <v>36316549.34</v>
      </c>
      <c r="C525" s="25" t="s"/>
      <c r="D525" s="18" t="s"/>
      <c r="E525" s="18" t="s"/>
      <c r="F525" s="20" t="s"/>
      <c r="G525" s="26" t="s"/>
      <c r="H525" s="22">
        <f>=B525+C525+D525-E525-F525-G525</f>
        <v>36316549.34</v>
      </c>
      <c r="I525" s="22">
        <f>=H525/10000*2.5</f>
        <v>9079.137335</v>
      </c>
      <c r="J525" s="22">
        <f>=J524+I525</f>
        <v>1761760.08092251</v>
      </c>
      <c r="K525" s="27">
        <f>=H525/10000*2</f>
        <v>7263.309868</v>
      </c>
      <c r="L525" s="27">
        <f>=I525-K525</f>
        <v>1815.827467</v>
      </c>
    </row>
    <row r="526" spans="1:12">
      <c r="A526" s="23">
        <v>46192</v>
      </c>
      <c r="B526" s="21">
        <f>=H525</f>
        <v>36316549.34</v>
      </c>
      <c r="C526" s="25" t="s"/>
      <c r="D526" s="18" t="s"/>
      <c r="E526" s="18" t="s"/>
      <c r="F526" s="20" t="s"/>
      <c r="G526" s="26" t="s"/>
      <c r="H526" s="22">
        <f>=B526+C526+D526-E526-F526-G526</f>
        <v>36316549.34</v>
      </c>
      <c r="I526" s="22">
        <f>=H526/10000*2.5</f>
        <v>9079.137335</v>
      </c>
      <c r="J526" s="22">
        <f>=J525+I526</f>
        <v>1770839.21825751</v>
      </c>
      <c r="K526" s="27">
        <f>=H526/10000*2</f>
        <v>7263.309868</v>
      </c>
      <c r="L526" s="27">
        <f>=I526-K526</f>
        <v>1815.827467</v>
      </c>
    </row>
    <row r="527" spans="1:12">
      <c r="A527" s="23">
        <v>46193</v>
      </c>
      <c r="B527" s="21">
        <f>=H526</f>
        <v>36316549.34</v>
      </c>
      <c r="C527" s="25" t="s"/>
      <c r="D527" s="18" t="s"/>
      <c r="E527" s="18" t="s"/>
      <c r="F527" s="20" t="s"/>
      <c r="G527" s="26" t="s"/>
      <c r="H527" s="22">
        <f>=B527+C527+D527-E527-F527-G527</f>
        <v>36316549.34</v>
      </c>
      <c r="I527" s="22">
        <f>=H527/10000*2.5</f>
        <v>9079.137335</v>
      </c>
      <c r="J527" s="22">
        <f>=J526+I527</f>
        <v>1779918.35559251</v>
      </c>
      <c r="K527" s="27">
        <f>=H527/10000*2</f>
        <v>7263.309868</v>
      </c>
      <c r="L527" s="27">
        <f>=I527-K527</f>
        <v>1815.827467</v>
      </c>
    </row>
    <row r="528" spans="1:12">
      <c r="A528" s="23">
        <v>46194</v>
      </c>
      <c r="B528" s="21">
        <f>=H527</f>
        <v>36316549.34</v>
      </c>
      <c r="C528" s="25" t="s"/>
      <c r="D528" s="18" t="s"/>
      <c r="E528" s="18" t="s"/>
      <c r="F528" s="20" t="s"/>
      <c r="G528" s="26" t="s"/>
      <c r="H528" s="22">
        <f>=B528+C528+D528-E528-F528-G528</f>
        <v>36316549.34</v>
      </c>
      <c r="I528" s="22">
        <f>=H528/10000*2.5</f>
        <v>9079.137335</v>
      </c>
      <c r="J528" s="22">
        <f>=J527+I528</f>
        <v>1788997.49292751</v>
      </c>
      <c r="K528" s="27">
        <f>=H528/10000*2</f>
        <v>7263.309868</v>
      </c>
      <c r="L528" s="27">
        <f>=I528-K528</f>
        <v>1815.827467</v>
      </c>
    </row>
    <row r="529" spans="1:12">
      <c r="A529" s="23">
        <v>46195</v>
      </c>
      <c r="B529" s="21">
        <f>=H528</f>
        <v>36316549.34</v>
      </c>
      <c r="C529" s="25" t="s"/>
      <c r="D529" s="18" t="s"/>
      <c r="E529" s="18" t="s"/>
      <c r="F529" s="20" t="s"/>
      <c r="G529" s="26" t="s"/>
      <c r="H529" s="22">
        <f>=B529+C529+D529-E529-F529-G529</f>
        <v>36316549.34</v>
      </c>
      <c r="I529" s="22">
        <f>=H529/10000*2.5</f>
        <v>9079.137335</v>
      </c>
      <c r="J529" s="22">
        <f>=J528+I529</f>
        <v>1798076.63026251</v>
      </c>
      <c r="K529" s="27">
        <f>=H529/10000*2</f>
        <v>7263.309868</v>
      </c>
      <c r="L529" s="27">
        <f>=I529-K529</f>
        <v>1815.827467</v>
      </c>
    </row>
    <row r="530" spans="1:12">
      <c r="A530" s="23">
        <v>46196</v>
      </c>
      <c r="B530" s="21">
        <f>=H529</f>
        <v>36316549.34</v>
      </c>
      <c r="C530" s="25" t="s"/>
      <c r="D530" s="18" t="s"/>
      <c r="E530" s="18" t="s"/>
      <c r="F530" s="20" t="s"/>
      <c r="G530" s="26" t="s"/>
      <c r="H530" s="22">
        <f>=B530+C530+D530-E530-F530-G530</f>
        <v>36316549.34</v>
      </c>
      <c r="I530" s="22">
        <f>=H530/10000*2.5</f>
        <v>9079.137335</v>
      </c>
      <c r="J530" s="22">
        <f>=J529+I530</f>
        <v>1807155.76759751</v>
      </c>
      <c r="K530" s="27">
        <f>=H530/10000*2</f>
        <v>7263.309868</v>
      </c>
      <c r="L530" s="27">
        <f>=I530-K530</f>
        <v>1815.827467</v>
      </c>
    </row>
    <row r="531" spans="1:12">
      <c r="A531" s="23">
        <v>46197</v>
      </c>
      <c r="B531" s="21">
        <f>=H530</f>
        <v>36316549.34</v>
      </c>
      <c r="C531" s="25" t="s"/>
      <c r="D531" s="18" t="s"/>
      <c r="E531" s="18" t="s"/>
      <c r="F531" s="20" t="s"/>
      <c r="G531" s="26" t="s"/>
      <c r="H531" s="22">
        <f>=B531+C531+D531-E531-F531-G531</f>
        <v>36316549.34</v>
      </c>
      <c r="I531" s="22">
        <f>=H531/10000*2.5</f>
        <v>9079.137335</v>
      </c>
      <c r="J531" s="22">
        <f>=J530+I531</f>
        <v>1816234.90493251</v>
      </c>
      <c r="K531" s="27">
        <f>=H531/10000*2</f>
        <v>7263.309868</v>
      </c>
      <c r="L531" s="27">
        <f>=I531-K531</f>
        <v>1815.827467</v>
      </c>
    </row>
    <row r="532" spans="1:12">
      <c r="A532" s="23">
        <v>46198</v>
      </c>
      <c r="B532" s="21">
        <f>=H531</f>
        <v>36316549.34</v>
      </c>
      <c r="C532" s="25" t="s"/>
      <c r="D532" s="18" t="s"/>
      <c r="E532" s="18" t="s"/>
      <c r="F532" s="20" t="s"/>
      <c r="G532" s="26" t="s"/>
      <c r="H532" s="22">
        <f>=B532+C532+D532-E532-F532-G532</f>
        <v>36316549.34</v>
      </c>
      <c r="I532" s="22">
        <f>=H532/10000*2.5</f>
        <v>9079.137335</v>
      </c>
      <c r="J532" s="22">
        <f>=J531+I532</f>
        <v>1825314.04226751</v>
      </c>
      <c r="K532" s="27">
        <f>=H532/10000*2</f>
        <v>7263.309868</v>
      </c>
      <c r="L532" s="27">
        <f>=I532-K532</f>
        <v>1815.827467</v>
      </c>
    </row>
    <row r="533" spans="1:12">
      <c r="A533" s="23">
        <v>46199</v>
      </c>
      <c r="B533" s="21">
        <f>=H532</f>
        <v>36316549.34</v>
      </c>
      <c r="C533" s="25" t="s"/>
      <c r="D533" s="18" t="s"/>
      <c r="E533" s="18" t="s"/>
      <c r="F533" s="20" t="s"/>
      <c r="G533" s="26" t="s"/>
      <c r="H533" s="22">
        <f>=B533+C533+D533-E533-F533-G533</f>
        <v>36316549.34</v>
      </c>
      <c r="I533" s="22">
        <f>=H533/10000*2.5</f>
        <v>9079.137335</v>
      </c>
      <c r="J533" s="22">
        <f>=J532+I533</f>
        <v>1834393.17960251</v>
      </c>
      <c r="K533" s="27">
        <f>=H533/10000*2</f>
        <v>7263.309868</v>
      </c>
      <c r="L533" s="27">
        <f>=I533-K533</f>
        <v>1815.827467</v>
      </c>
    </row>
    <row r="534" spans="1:12">
      <c r="A534" s="23">
        <v>46200</v>
      </c>
      <c r="B534" s="21">
        <f>=H533</f>
        <v>36316549.34</v>
      </c>
      <c r="C534" s="25" t="s"/>
      <c r="D534" s="18" t="s"/>
      <c r="E534" s="18" t="s"/>
      <c r="F534" s="20" t="s"/>
      <c r="G534" s="26" t="s"/>
      <c r="H534" s="22">
        <f>=B534+C534+D534-E534-F534-G534</f>
        <v>36316549.34</v>
      </c>
      <c r="I534" s="22">
        <f>=H534/10000*2.5</f>
        <v>9079.137335</v>
      </c>
      <c r="J534" s="22">
        <f>=J533+I534</f>
        <v>1843472.31693751</v>
      </c>
      <c r="K534" s="27">
        <f>=H534/10000*2</f>
        <v>7263.309868</v>
      </c>
      <c r="L534" s="27">
        <f>=I534-K534</f>
        <v>1815.827467</v>
      </c>
    </row>
    <row r="535" spans="1:12">
      <c r="A535" s="23">
        <v>46201</v>
      </c>
      <c r="B535" s="21">
        <f>=H534</f>
        <v>36316549.34</v>
      </c>
      <c r="C535" s="25" t="s"/>
      <c r="D535" s="18" t="s"/>
      <c r="E535" s="18" t="s"/>
      <c r="F535" s="20" t="s"/>
      <c r="G535" s="26" t="s"/>
      <c r="H535" s="22">
        <f>=B535+C535+D535-E535-F535-G535</f>
        <v>36316549.34</v>
      </c>
      <c r="I535" s="22">
        <f>=H535/10000*2.5</f>
        <v>9079.137335</v>
      </c>
      <c r="J535" s="22">
        <f>=J534+I535</f>
        <v>1852551.45427251</v>
      </c>
      <c r="K535" s="27">
        <f>=H535/10000*2</f>
        <v>7263.309868</v>
      </c>
      <c r="L535" s="27">
        <f>=I535-K535</f>
        <v>1815.827467</v>
      </c>
    </row>
    <row r="536" spans="1:12">
      <c r="A536" s="23">
        <v>46202</v>
      </c>
      <c r="B536" s="21">
        <f>=H535</f>
        <v>36316549.34</v>
      </c>
      <c r="C536" s="25" t="s"/>
      <c r="D536" s="18" t="s"/>
      <c r="E536" s="18" t="s"/>
      <c r="F536" s="20" t="s"/>
      <c r="G536" s="26" t="s"/>
      <c r="H536" s="22">
        <f>=B536+C536+D536-E536-F536-G536</f>
        <v>36316549.34</v>
      </c>
      <c r="I536" s="22">
        <f>=H536/10000*2.5</f>
        <v>9079.137335</v>
      </c>
      <c r="J536" s="22">
        <f>=J535+I536</f>
        <v>1861630.59160751</v>
      </c>
      <c r="K536" s="27">
        <f>=H536/10000*2</f>
        <v>7263.309868</v>
      </c>
      <c r="L536" s="27">
        <f>=I536-K536</f>
        <v>1815.827467</v>
      </c>
    </row>
    <row r="537" spans="1:12">
      <c r="A537" s="23">
        <v>46203</v>
      </c>
      <c r="B537" s="21">
        <f>=H536</f>
        <v>36316549.34</v>
      </c>
      <c r="C537" s="25" t="s"/>
      <c r="D537" s="18" t="s"/>
      <c r="E537" s="18" t="s"/>
      <c r="F537" s="20" t="s"/>
      <c r="G537" s="26" t="s"/>
      <c r="H537" s="22">
        <f>=B537+C537+D537-E537-F537-G537</f>
        <v>36316549.34</v>
      </c>
      <c r="I537" s="22">
        <f>=H537/10000*2.5</f>
        <v>9079.137335</v>
      </c>
      <c r="J537" s="22">
        <f>=J536+I537</f>
        <v>1870709.72894251</v>
      </c>
      <c r="K537" s="27">
        <f>=H537/10000*2</f>
        <v>7263.309868</v>
      </c>
      <c r="L537" s="27">
        <f>=I537-K537</f>
        <v>1815.827467</v>
      </c>
    </row>
    <row r="538" spans="1:12">
      <c r="A538" s="23">
        <v>46204</v>
      </c>
      <c r="B538" s="21">
        <f>=H537</f>
        <v>36316549.34</v>
      </c>
      <c r="C538" s="25" t="s"/>
      <c r="D538" s="18" t="s"/>
      <c r="E538" s="18" t="s"/>
      <c r="F538" s="20" t="s"/>
      <c r="G538" s="26" t="s"/>
      <c r="H538" s="22">
        <f>=B538+C538+D538-E538-F538-G538</f>
        <v>36316549.34</v>
      </c>
      <c r="I538" s="22">
        <f>=H538/10000*2.5</f>
        <v>9079.137335</v>
      </c>
      <c r="J538" s="22">
        <f>=J537+I538</f>
        <v>1879788.86627751</v>
      </c>
      <c r="K538" s="27">
        <f>=H538/10000*2</f>
        <v>7263.309868</v>
      </c>
      <c r="L538" s="27">
        <f>=I538-K538</f>
        <v>1815.827467</v>
      </c>
    </row>
    <row r="539" spans="1:12">
      <c r="A539" s="23">
        <v>46205</v>
      </c>
      <c r="B539" s="21">
        <f>=H538</f>
        <v>36316549.34</v>
      </c>
      <c r="C539" s="25" t="s"/>
      <c r="D539" s="18" t="s"/>
      <c r="E539" s="18" t="s"/>
      <c r="F539" s="20" t="s"/>
      <c r="G539" s="26" t="s"/>
      <c r="H539" s="22">
        <f>=B539+C539+D539-E539-F539-G539</f>
        <v>36316549.34</v>
      </c>
      <c r="I539" s="22">
        <f>=H539/10000*2.5</f>
        <v>9079.137335</v>
      </c>
      <c r="J539" s="22">
        <f>=J538+I539</f>
        <v>1888868.00361251</v>
      </c>
      <c r="K539" s="27">
        <f>=H539/10000*2</f>
        <v>7263.309868</v>
      </c>
      <c r="L539" s="27">
        <f>=I539-K539</f>
        <v>1815.827467</v>
      </c>
    </row>
    <row r="540" spans="1:12">
      <c r="A540" s="23">
        <v>46206</v>
      </c>
      <c r="B540" s="21">
        <f>=H539</f>
        <v>36316549.34</v>
      </c>
      <c r="C540" s="25" t="s"/>
      <c r="D540" s="18" t="s"/>
      <c r="E540" s="18" t="s"/>
      <c r="F540" s="20" t="s"/>
      <c r="G540" s="26" t="s"/>
      <c r="H540" s="22">
        <f>=B540+C540+D540-E540-F540-G540</f>
        <v>36316549.34</v>
      </c>
      <c r="I540" s="22">
        <f>=H540/10000*2.5</f>
        <v>9079.137335</v>
      </c>
      <c r="J540" s="22">
        <f>=J539+I540</f>
        <v>1897947.14094751</v>
      </c>
      <c r="K540" s="27">
        <f>=H540/10000*2</f>
        <v>7263.309868</v>
      </c>
      <c r="L540" s="27">
        <f>=I540-K540</f>
        <v>1815.827467</v>
      </c>
    </row>
    <row r="541" spans="1:12">
      <c r="A541" s="23">
        <v>46207</v>
      </c>
      <c r="B541" s="21">
        <f>=H540</f>
        <v>36316549.34</v>
      </c>
      <c r="C541" s="25" t="s"/>
      <c r="D541" s="18" t="s"/>
      <c r="E541" s="18" t="s"/>
      <c r="F541" s="20" t="s"/>
      <c r="G541" s="26" t="s"/>
      <c r="H541" s="22">
        <f>=B541+C541+D541-E541-F541-G541</f>
        <v>36316549.34</v>
      </c>
      <c r="I541" s="22">
        <f>=H541/10000*2.5</f>
        <v>9079.137335</v>
      </c>
      <c r="J541" s="22">
        <f>=J540+I541</f>
        <v>1907026.27828251</v>
      </c>
      <c r="K541" s="27">
        <f>=H541/10000*2</f>
        <v>7263.309868</v>
      </c>
      <c r="L541" s="27">
        <f>=I541-K541</f>
        <v>1815.827467</v>
      </c>
    </row>
    <row r="542" spans="1:12">
      <c r="A542" s="23">
        <v>46208</v>
      </c>
      <c r="B542" s="21">
        <f>=H541</f>
        <v>36316549.34</v>
      </c>
      <c r="C542" s="25" t="s"/>
      <c r="D542" s="18" t="s"/>
      <c r="E542" s="18" t="s"/>
      <c r="F542" s="20" t="s"/>
      <c r="G542" s="26" t="s"/>
      <c r="H542" s="22">
        <f>=B542+C542+D542-E542-F542-G542</f>
        <v>36316549.34</v>
      </c>
      <c r="I542" s="22">
        <f>=H542/10000*2.5</f>
        <v>9079.137335</v>
      </c>
      <c r="J542" s="22">
        <f>=J541+I542</f>
        <v>1916105.41561751</v>
      </c>
      <c r="K542" s="27">
        <f>=H542/10000*2</f>
        <v>7263.309868</v>
      </c>
      <c r="L542" s="27">
        <f>=I542-K542</f>
        <v>1815.827467</v>
      </c>
    </row>
    <row r="543" spans="1:12">
      <c r="A543" s="23">
        <v>46209</v>
      </c>
      <c r="B543" s="21">
        <f>=H542</f>
        <v>36316549.34</v>
      </c>
      <c r="C543" s="25" t="s"/>
      <c r="D543" s="18" t="s"/>
      <c r="E543" s="18" t="s"/>
      <c r="F543" s="20" t="s"/>
      <c r="G543" s="26" t="s"/>
      <c r="H543" s="22">
        <f>=B543+C543+D543-E543-F543-G543</f>
        <v>36316549.34</v>
      </c>
      <c r="I543" s="22">
        <f>=H543/10000*2.5</f>
        <v>9079.137335</v>
      </c>
      <c r="J543" s="22">
        <f>=J542+I543</f>
        <v>1925184.55295251</v>
      </c>
      <c r="K543" s="27">
        <f>=H543/10000*2</f>
        <v>7263.309868</v>
      </c>
      <c r="L543" s="27">
        <f>=I543-K543</f>
        <v>1815.827467</v>
      </c>
    </row>
    <row r="544" spans="1:12">
      <c r="A544" s="23">
        <v>46210</v>
      </c>
      <c r="B544" s="21">
        <f>=H543</f>
        <v>36316549.34</v>
      </c>
      <c r="C544" s="25" t="s"/>
      <c r="D544" s="18" t="s"/>
      <c r="E544" s="18" t="s"/>
      <c r="F544" s="20" t="s"/>
      <c r="G544" s="26" t="s"/>
      <c r="H544" s="22">
        <f>=B544+C544+D544-E544-F544-G544</f>
        <v>36316549.34</v>
      </c>
      <c r="I544" s="22">
        <f>=H544/10000*2.5</f>
        <v>9079.137335</v>
      </c>
      <c r="J544" s="22">
        <f>=J543+I544</f>
        <v>1934263.69028751</v>
      </c>
      <c r="K544" s="27">
        <f>=H544/10000*2</f>
        <v>7263.309868</v>
      </c>
      <c r="L544" s="27">
        <f>=I544-K544</f>
        <v>1815.827467</v>
      </c>
    </row>
    <row r="545" spans="1:12">
      <c r="A545" s="23">
        <v>46211</v>
      </c>
      <c r="B545" s="21">
        <f>=H544</f>
        <v>36316549.34</v>
      </c>
      <c r="C545" s="25" t="s"/>
      <c r="D545" s="18" t="s"/>
      <c r="E545" s="18" t="s"/>
      <c r="F545" s="20" t="s"/>
      <c r="G545" s="26" t="s"/>
      <c r="H545" s="22">
        <f>=B545+C545+D545-E545-F545-G545</f>
        <v>36316549.34</v>
      </c>
      <c r="I545" s="22">
        <f>=H545/10000*2.5</f>
        <v>9079.137335</v>
      </c>
      <c r="J545" s="22">
        <f>=J544+I545</f>
        <v>1943342.82762251</v>
      </c>
      <c r="K545" s="27">
        <f>=H545/10000*2</f>
        <v>7263.309868</v>
      </c>
      <c r="L545" s="27">
        <f>=I545-K545</f>
        <v>1815.827467</v>
      </c>
    </row>
    <row r="546" spans="1:12">
      <c r="A546" s="23">
        <v>46212</v>
      </c>
      <c r="B546" s="21">
        <f>=H545</f>
        <v>36316549.34</v>
      </c>
      <c r="C546" s="25" t="s"/>
      <c r="D546" s="18" t="s"/>
      <c r="E546" s="18" t="s"/>
      <c r="F546" s="20" t="s"/>
      <c r="G546" s="26" t="s"/>
      <c r="H546" s="22">
        <f>=B546+C546+D546-E546-F546-G546</f>
        <v>36316549.34</v>
      </c>
      <c r="I546" s="22">
        <f>=H546/10000*2.5</f>
        <v>9079.137335</v>
      </c>
      <c r="J546" s="22">
        <f>=J545+I546</f>
        <v>1952421.96495751</v>
      </c>
      <c r="K546" s="27">
        <f>=H546/10000*2</f>
        <v>7263.309868</v>
      </c>
      <c r="L546" s="27">
        <f>=I546-K546</f>
        <v>1815.827467</v>
      </c>
    </row>
    <row r="547" spans="1:12">
      <c r="A547" s="23">
        <v>46213</v>
      </c>
      <c r="B547" s="21">
        <f>=H546</f>
        <v>36316549.34</v>
      </c>
      <c r="C547" s="25" t="s"/>
      <c r="D547" s="18" t="s"/>
      <c r="E547" s="18" t="s"/>
      <c r="F547" s="20" t="s"/>
      <c r="G547" s="26" t="s"/>
      <c r="H547" s="22">
        <f>=B547+C547+D547-E547-F547-G547</f>
        <v>36316549.34</v>
      </c>
      <c r="I547" s="22">
        <f>=H547/10000*2.5</f>
        <v>9079.137335</v>
      </c>
      <c r="J547" s="22">
        <f>=J546+I547</f>
        <v>1961501.10229251</v>
      </c>
      <c r="K547" s="27">
        <f>=H547/10000*2</f>
        <v>7263.309868</v>
      </c>
      <c r="L547" s="27">
        <f>=I547-K547</f>
        <v>1815.827467</v>
      </c>
    </row>
    <row r="548" spans="1:12">
      <c r="A548" s="23">
        <v>46214</v>
      </c>
      <c r="B548" s="21">
        <f>=H547</f>
        <v>36316549.34</v>
      </c>
      <c r="C548" s="25" t="s"/>
      <c r="D548" s="18" t="s"/>
      <c r="E548" s="18" t="s"/>
      <c r="F548" s="20" t="s"/>
      <c r="G548" s="26" t="s"/>
      <c r="H548" s="22">
        <f>=B548+C548+D548-E548-F548-G548</f>
        <v>36316549.34</v>
      </c>
      <c r="I548" s="22">
        <f>=H548/10000*2.5</f>
        <v>9079.137335</v>
      </c>
      <c r="J548" s="22">
        <f>=J547+I548</f>
        <v>1970580.23962751</v>
      </c>
      <c r="K548" s="27">
        <f>=H548/10000*2</f>
        <v>7263.309868</v>
      </c>
      <c r="L548" s="27">
        <f>=I548-K548</f>
        <v>1815.827467</v>
      </c>
    </row>
    <row r="549" spans="1:12">
      <c r="A549" s="23">
        <v>46215</v>
      </c>
      <c r="B549" s="21">
        <f>=H548</f>
        <v>36316549.34</v>
      </c>
      <c r="C549" s="25" t="s"/>
      <c r="D549" s="18" t="s"/>
      <c r="E549" s="18" t="s"/>
      <c r="F549" s="20" t="s"/>
      <c r="G549" s="26" t="s"/>
      <c r="H549" s="22">
        <f>=B549+C549+D549-E549-F549-G549</f>
        <v>36316549.34</v>
      </c>
      <c r="I549" s="22">
        <f>=H549/10000*2.5</f>
        <v>9079.137335</v>
      </c>
      <c r="J549" s="22">
        <f>=J548+I549</f>
        <v>1979659.37696251</v>
      </c>
      <c r="K549" s="27">
        <f>=H549/10000*2</f>
        <v>7263.309868</v>
      </c>
      <c r="L549" s="27">
        <f>=I549-K549</f>
        <v>1815.827467</v>
      </c>
    </row>
    <row r="550" spans="1:12">
      <c r="A550" s="23">
        <v>46216</v>
      </c>
      <c r="B550" s="21">
        <f>=H549</f>
        <v>36316549.34</v>
      </c>
      <c r="C550" s="25" t="s"/>
      <c r="D550" s="18" t="s"/>
      <c r="E550" s="18" t="s"/>
      <c r="F550" s="20" t="s"/>
      <c r="G550" s="26" t="s"/>
      <c r="H550" s="22">
        <f>=B550+C550+D550-E550-F550-G550</f>
        <v>36316549.34</v>
      </c>
      <c r="I550" s="22">
        <f>=H550/10000*2.5</f>
        <v>9079.137335</v>
      </c>
      <c r="J550" s="22">
        <f>=J549+I550</f>
        <v>1988738.51429751</v>
      </c>
      <c r="K550" s="27">
        <f>=H550/10000*2</f>
        <v>7263.309868</v>
      </c>
      <c r="L550" s="27">
        <f>=I550-K550</f>
        <v>1815.827467</v>
      </c>
    </row>
    <row r="551" spans="1:12">
      <c r="A551" s="23">
        <v>46217</v>
      </c>
      <c r="B551" s="21">
        <f>=H550</f>
        <v>36316549.34</v>
      </c>
      <c r="C551" s="25" t="s"/>
      <c r="D551" s="18" t="s"/>
      <c r="E551" s="18" t="s"/>
      <c r="F551" s="20" t="s"/>
      <c r="G551" s="26" t="s"/>
      <c r="H551" s="22">
        <f>=B551+C551+D551-E551-F551-G551</f>
        <v>36316549.34</v>
      </c>
      <c r="I551" s="22">
        <f>=H551/10000*2.5</f>
        <v>9079.137335</v>
      </c>
      <c r="J551" s="22">
        <f>=J550+I551</f>
        <v>1997817.65163251</v>
      </c>
      <c r="K551" s="27">
        <f>=H551/10000*2</f>
        <v>7263.309868</v>
      </c>
      <c r="L551" s="27">
        <f>=I551-K551</f>
        <v>1815.827467</v>
      </c>
    </row>
    <row r="552" spans="1:12">
      <c r="A552" s="23">
        <v>46218</v>
      </c>
      <c r="B552" s="21">
        <f>=H551</f>
        <v>36316549.34</v>
      </c>
      <c r="C552" s="25" t="s"/>
      <c r="D552" s="18" t="s"/>
      <c r="E552" s="18" t="s"/>
      <c r="F552" s="20" t="s"/>
      <c r="G552" s="26" t="s"/>
      <c r="H552" s="22">
        <f>=B552+C552+D552-E552-F552-G552</f>
        <v>36316549.34</v>
      </c>
      <c r="I552" s="22">
        <f>=H552/10000*2.5</f>
        <v>9079.137335</v>
      </c>
      <c r="J552" s="22">
        <f>=J551+I552</f>
        <v>2006896.78896751</v>
      </c>
      <c r="K552" s="27">
        <f>=H552/10000*2</f>
        <v>7263.309868</v>
      </c>
      <c r="L552" s="27">
        <f>=I552-K552</f>
        <v>1815.827467</v>
      </c>
    </row>
    <row r="553" spans="1:12">
      <c r="A553" s="23">
        <v>46219</v>
      </c>
      <c r="B553" s="21">
        <f>=H552</f>
        <v>36316549.34</v>
      </c>
      <c r="C553" s="25" t="s"/>
      <c r="D553" s="18" t="s"/>
      <c r="E553" s="18" t="s"/>
      <c r="F553" s="20" t="s"/>
      <c r="G553" s="26" t="s"/>
      <c r="H553" s="22">
        <f>=B553+C553+D553-E553-F553-G553</f>
        <v>36316549.34</v>
      </c>
      <c r="I553" s="22">
        <f>=H553/10000*2.5</f>
        <v>9079.137335</v>
      </c>
      <c r="J553" s="22">
        <f>=J552+I553</f>
        <v>2015975.92630251</v>
      </c>
      <c r="K553" s="27">
        <f>=H553/10000*2</f>
        <v>7263.309868</v>
      </c>
      <c r="L553" s="27">
        <f>=I553-K553</f>
        <v>1815.827467</v>
      </c>
    </row>
    <row r="554" spans="1:12">
      <c r="A554" s="23">
        <v>46220</v>
      </c>
      <c r="B554" s="21">
        <f>=H553</f>
        <v>36316549.34</v>
      </c>
      <c r="C554" s="25" t="s"/>
      <c r="D554" s="18" t="s"/>
      <c r="E554" s="18" t="s"/>
      <c r="F554" s="20" t="s"/>
      <c r="G554" s="26" t="s"/>
      <c r="H554" s="22">
        <f>=B554+C554+D554-E554-F554-G554</f>
        <v>36316549.34</v>
      </c>
      <c r="I554" s="22">
        <f>=H554/10000*2.5</f>
        <v>9079.137335</v>
      </c>
      <c r="J554" s="22">
        <f>=J553+I554</f>
        <v>2025055.06363751</v>
      </c>
      <c r="K554" s="27">
        <f>=H554/10000*2</f>
        <v>7263.309868</v>
      </c>
      <c r="L554" s="27">
        <f>=I554-K554</f>
        <v>1815.827467</v>
      </c>
    </row>
    <row r="555" spans="1:12">
      <c r="A555" s="23">
        <v>46221</v>
      </c>
      <c r="B555" s="21">
        <f>=H554</f>
        <v>36316549.34</v>
      </c>
      <c r="C555" s="25" t="s"/>
      <c r="D555" s="18" t="s"/>
      <c r="E555" s="18" t="s"/>
      <c r="F555" s="20" t="s"/>
      <c r="G555" s="26" t="s"/>
      <c r="H555" s="22">
        <f>=B555+C555+D555-E555-F555-G555</f>
        <v>36316549.34</v>
      </c>
      <c r="I555" s="22">
        <f>=H555/10000*2.5</f>
        <v>9079.137335</v>
      </c>
      <c r="J555" s="22">
        <f>=J554+I555</f>
        <v>2034134.20097251</v>
      </c>
      <c r="K555" s="27">
        <f>=H555/10000*2</f>
        <v>7263.309868</v>
      </c>
      <c r="L555" s="27">
        <f>=I555-K555</f>
        <v>1815.827467</v>
      </c>
    </row>
    <row r="556" spans="1:12">
      <c r="A556" s="23">
        <v>46222</v>
      </c>
      <c r="B556" s="21">
        <f>=H555</f>
        <v>36316549.34</v>
      </c>
      <c r="C556" s="25" t="s"/>
      <c r="D556" s="18" t="s"/>
      <c r="E556" s="18" t="s"/>
      <c r="F556" s="20" t="s"/>
      <c r="G556" s="26" t="s"/>
      <c r="H556" s="22">
        <f>=B556+C556+D556-E556-F556-G556</f>
        <v>36316549.34</v>
      </c>
      <c r="I556" s="22">
        <f>=H556/10000*2.5</f>
        <v>9079.137335</v>
      </c>
      <c r="J556" s="22">
        <f>=J555+I556</f>
        <v>2043213.33830751</v>
      </c>
      <c r="K556" s="27">
        <f>=H556/10000*2</f>
        <v>7263.309868</v>
      </c>
      <c r="L556" s="27">
        <f>=I556-K556</f>
        <v>1815.827467</v>
      </c>
    </row>
    <row r="557" spans="1:12">
      <c r="A557" s="23">
        <v>46223</v>
      </c>
      <c r="B557" s="21">
        <f>=H556</f>
        <v>36316549.34</v>
      </c>
      <c r="C557" s="25" t="s"/>
      <c r="D557" s="18" t="s"/>
      <c r="E557" s="18" t="s"/>
      <c r="F557" s="20" t="s"/>
      <c r="G557" s="26" t="s"/>
      <c r="H557" s="22">
        <f>=B557+C557+D557-E557-F557-G557</f>
        <v>36316549.34</v>
      </c>
      <c r="I557" s="22">
        <f>=H557/10000*2.5</f>
        <v>9079.137335</v>
      </c>
      <c r="J557" s="22">
        <f>=J556+I557</f>
        <v>2052292.47564251</v>
      </c>
      <c r="K557" s="27">
        <f>=H557/10000*2</f>
        <v>7263.309868</v>
      </c>
      <c r="L557" s="27">
        <f>=I557-K557</f>
        <v>1815.827467</v>
      </c>
    </row>
    <row r="558" spans="1:12">
      <c r="A558" s="23">
        <v>46224</v>
      </c>
      <c r="B558" s="21">
        <f>=H557</f>
        <v>36316549.34</v>
      </c>
      <c r="C558" s="25" t="s"/>
      <c r="D558" s="18" t="s"/>
      <c r="E558" s="18" t="s"/>
      <c r="F558" s="20" t="s"/>
      <c r="G558" s="26" t="s"/>
      <c r="H558" s="22">
        <f>=B558+C558+D558-E558-F558-G558</f>
        <v>36316549.34</v>
      </c>
      <c r="I558" s="22">
        <f>=H558/10000*2.5</f>
        <v>9079.137335</v>
      </c>
      <c r="J558" s="22">
        <f>=J557+I558</f>
        <v>2061371.61297751</v>
      </c>
      <c r="K558" s="27">
        <f>=H558/10000*2</f>
        <v>7263.309868</v>
      </c>
      <c r="L558" s="27">
        <f>=I558-K558</f>
        <v>1815.827467</v>
      </c>
    </row>
    <row r="559" spans="1:12">
      <c r="A559" s="23">
        <v>46225</v>
      </c>
      <c r="B559" s="21">
        <f>=H558</f>
        <v>36316549.34</v>
      </c>
      <c r="C559" s="25" t="s"/>
      <c r="D559" s="18" t="s"/>
      <c r="E559" s="18" t="s"/>
      <c r="F559" s="20" t="s"/>
      <c r="G559" s="26" t="s"/>
      <c r="H559" s="22">
        <f>=B559+C559+D559-E559-F559-G559</f>
        <v>36316549.34</v>
      </c>
      <c r="I559" s="22">
        <f>=H559/10000*2.5</f>
        <v>9079.137335</v>
      </c>
      <c r="J559" s="22">
        <f>=J558+I559</f>
        <v>2070450.75031251</v>
      </c>
      <c r="K559" s="27">
        <f>=H559/10000*2</f>
        <v>7263.309868</v>
      </c>
      <c r="L559" s="27">
        <f>=I559-K559</f>
        <v>1815.827467</v>
      </c>
    </row>
    <row r="560" spans="1:12">
      <c r="A560" s="23">
        <v>46226</v>
      </c>
      <c r="B560" s="21">
        <f>=H559</f>
        <v>36316549.34</v>
      </c>
      <c r="C560" s="25" t="s"/>
      <c r="D560" s="18" t="s"/>
      <c r="E560" s="18" t="s"/>
      <c r="F560" s="20" t="s"/>
      <c r="G560" s="26" t="s"/>
      <c r="H560" s="22">
        <f>=B560+C560+D560-E560-F560-G560</f>
        <v>36316549.34</v>
      </c>
      <c r="I560" s="22">
        <f>=H560/10000*2.5</f>
        <v>9079.137335</v>
      </c>
      <c r="J560" s="22">
        <f>=J559+I560</f>
        <v>2079529.88764751</v>
      </c>
      <c r="K560" s="27">
        <f>=H560/10000*2</f>
        <v>7263.309868</v>
      </c>
      <c r="L560" s="27">
        <f>=I560-K560</f>
        <v>1815.827467</v>
      </c>
    </row>
    <row r="561" spans="1:12">
      <c r="A561" s="23">
        <v>46227</v>
      </c>
      <c r="B561" s="21">
        <f>=H560</f>
        <v>36316549.34</v>
      </c>
      <c r="C561" s="25" t="s"/>
      <c r="D561" s="18" t="s"/>
      <c r="E561" s="18" t="s"/>
      <c r="F561" s="20" t="s"/>
      <c r="G561" s="26" t="s"/>
      <c r="H561" s="22">
        <f>=B561+C561+D561-E561-F561-G561</f>
        <v>36316549.34</v>
      </c>
      <c r="I561" s="22">
        <f>=H561/10000*2.5</f>
        <v>9079.137335</v>
      </c>
      <c r="J561" s="22">
        <f>=J560+I561</f>
        <v>2088609.02498251</v>
      </c>
      <c r="K561" s="27">
        <f>=H561/10000*2</f>
        <v>7263.309868</v>
      </c>
      <c r="L561" s="27">
        <f>=I561-K561</f>
        <v>1815.827467</v>
      </c>
    </row>
    <row r="562" spans="1:12">
      <c r="A562" s="23">
        <v>46228</v>
      </c>
      <c r="B562" s="21">
        <f>=H561</f>
        <v>36316549.34</v>
      </c>
      <c r="C562" s="25" t="s"/>
      <c r="D562" s="18" t="s"/>
      <c r="E562" s="18" t="s"/>
      <c r="F562" s="20" t="s"/>
      <c r="G562" s="26" t="s"/>
      <c r="H562" s="22">
        <f>=B562+C562+D562-E562-F562-G562</f>
        <v>36316549.34</v>
      </c>
      <c r="I562" s="22">
        <f>=H562/10000*2.5</f>
        <v>9079.137335</v>
      </c>
      <c r="J562" s="22">
        <f>=J561+I562</f>
        <v>2097688.16231751</v>
      </c>
      <c r="K562" s="27">
        <f>=H562/10000*2</f>
        <v>7263.309868</v>
      </c>
      <c r="L562" s="27">
        <f>=I562-K562</f>
        <v>1815.827467</v>
      </c>
    </row>
    <row r="563" spans="1:12">
      <c r="A563" s="23">
        <v>46229</v>
      </c>
      <c r="B563" s="21">
        <f>=H562</f>
        <v>36316549.34</v>
      </c>
      <c r="C563" s="25" t="s"/>
      <c r="D563" s="18" t="s"/>
      <c r="E563" s="18" t="s"/>
      <c r="F563" s="20" t="s"/>
      <c r="G563" s="26" t="s"/>
      <c r="H563" s="22">
        <f>=B563+C563+D563-E563-F563-G563</f>
        <v>36316549.34</v>
      </c>
      <c r="I563" s="22">
        <f>=H563/10000*2.5</f>
        <v>9079.137335</v>
      </c>
      <c r="J563" s="22">
        <f>=J562+I563</f>
        <v>2106767.29965251</v>
      </c>
      <c r="K563" s="27">
        <f>=H563/10000*2</f>
        <v>7263.309868</v>
      </c>
      <c r="L563" s="27">
        <f>=I563-K563</f>
        <v>1815.827467</v>
      </c>
    </row>
    <row r="564" spans="1:12">
      <c r="A564" s="23">
        <v>46230</v>
      </c>
      <c r="B564" s="21">
        <f>=H563</f>
        <v>36316549.34</v>
      </c>
      <c r="C564" s="25" t="s"/>
      <c r="D564" s="18" t="s"/>
      <c r="E564" s="18" t="s"/>
      <c r="F564" s="20" t="s"/>
      <c r="G564" s="26" t="s"/>
      <c r="H564" s="22">
        <f>=B564+C564+D564-E564-F564-G564</f>
        <v>36316549.34</v>
      </c>
      <c r="I564" s="22">
        <f>=H564/10000*2.5</f>
        <v>9079.137335</v>
      </c>
      <c r="J564" s="22">
        <f>=J563+I564</f>
        <v>2115846.43698751</v>
      </c>
      <c r="K564" s="27">
        <f>=H564/10000*2</f>
        <v>7263.309868</v>
      </c>
      <c r="L564" s="27">
        <f>=I564-K564</f>
        <v>1815.827467</v>
      </c>
    </row>
    <row r="565" spans="1:12">
      <c r="A565" s="23">
        <v>46231</v>
      </c>
      <c r="B565" s="21">
        <f>=H564</f>
        <v>36316549.34</v>
      </c>
      <c r="C565" s="25" t="s"/>
      <c r="D565" s="18" t="s"/>
      <c r="E565" s="18" t="s"/>
      <c r="F565" s="20" t="s"/>
      <c r="G565" s="26" t="s"/>
      <c r="H565" s="22">
        <f>=B565+C565+D565-E565-F565-G565</f>
        <v>36316549.34</v>
      </c>
      <c r="I565" s="22">
        <f>=H565/10000*2.5</f>
        <v>9079.137335</v>
      </c>
      <c r="J565" s="22">
        <f>=J564+I565</f>
        <v>2124925.57432251</v>
      </c>
      <c r="K565" s="27">
        <f>=H565/10000*2</f>
        <v>7263.309868</v>
      </c>
      <c r="L565" s="27">
        <f>=I565-K565</f>
        <v>1815.827467</v>
      </c>
    </row>
    <row r="566" spans="1:12">
      <c r="A566" s="23">
        <v>46232</v>
      </c>
      <c r="B566" s="21">
        <f>=H565</f>
        <v>36316549.34</v>
      </c>
      <c r="C566" s="25" t="s"/>
      <c r="D566" s="18" t="s"/>
      <c r="E566" s="18" t="s"/>
      <c r="F566" s="20" t="s"/>
      <c r="G566" s="26" t="s"/>
      <c r="H566" s="22">
        <f>=B566+C566+D566-E566-F566-G566</f>
        <v>36316549.34</v>
      </c>
      <c r="I566" s="22">
        <f>=H566/10000*2.5</f>
        <v>9079.137335</v>
      </c>
      <c r="J566" s="22">
        <f>=J565+I566</f>
        <v>2134004.71165751</v>
      </c>
      <c r="K566" s="27">
        <f>=H566/10000*2</f>
        <v>7263.309868</v>
      </c>
      <c r="L566" s="27">
        <f>=I566-K566</f>
        <v>1815.827467</v>
      </c>
    </row>
    <row r="567" spans="1:12">
      <c r="A567" s="23">
        <v>46233</v>
      </c>
      <c r="B567" s="21">
        <f>=H566</f>
        <v>36316549.34</v>
      </c>
      <c r="C567" s="25" t="s"/>
      <c r="D567" s="18" t="s"/>
      <c r="E567" s="18" t="s"/>
      <c r="F567" s="20" t="s"/>
      <c r="G567" s="26" t="s"/>
      <c r="H567" s="22">
        <f>=B567+C567+D567-E567-F567-G567</f>
        <v>36316549.34</v>
      </c>
      <c r="I567" s="22">
        <f>=H567/10000*2.5</f>
        <v>9079.137335</v>
      </c>
      <c r="J567" s="22">
        <f>=J566+I567</f>
        <v>2143083.84899251</v>
      </c>
      <c r="K567" s="27">
        <f>=H567/10000*2</f>
        <v>7263.309868</v>
      </c>
      <c r="L567" s="27">
        <f>=I567-K567</f>
        <v>1815.827467</v>
      </c>
    </row>
    <row r="568" spans="1:12">
      <c r="A568" s="23">
        <v>46234</v>
      </c>
      <c r="B568" s="21">
        <f>=H567</f>
        <v>36316549.34</v>
      </c>
      <c r="C568" s="25" t="s"/>
      <c r="D568" s="18" t="s"/>
      <c r="E568" s="18" t="s"/>
      <c r="F568" s="20" t="s"/>
      <c r="G568" s="26" t="s"/>
      <c r="H568" s="22">
        <f>=B568+C568+D568-E568-F568-G568</f>
        <v>36316549.34</v>
      </c>
      <c r="I568" s="22">
        <f>=H568/10000*2.5</f>
        <v>9079.137335</v>
      </c>
      <c r="J568" s="22">
        <f>=J567+I568</f>
        <v>2152162.98632751</v>
      </c>
      <c r="K568" s="27">
        <f>=H568/10000*2</f>
        <v>7263.309868</v>
      </c>
      <c r="L568" s="27">
        <f>=I568-K568</f>
        <v>1815.827467</v>
      </c>
    </row>
    <row r="569" spans="1:12">
      <c r="A569" s="23">
        <v>46235</v>
      </c>
      <c r="B569" s="21">
        <f>=H568</f>
        <v>36316549.34</v>
      </c>
      <c r="C569" s="25" t="s"/>
      <c r="D569" s="18" t="s"/>
      <c r="E569" s="18" t="s"/>
      <c r="F569" s="20" t="s"/>
      <c r="G569" s="26" t="s"/>
      <c r="H569" s="22">
        <f>=B569+C569+D569-E569-F569-G569</f>
        <v>36316549.34</v>
      </c>
      <c r="I569" s="22">
        <f>=H569/10000*2.5</f>
        <v>9079.137335</v>
      </c>
      <c r="J569" s="22">
        <f>=J568+I569</f>
        <v>2161242.12366251</v>
      </c>
      <c r="K569" s="27">
        <f>=H569/10000*2</f>
        <v>7263.309868</v>
      </c>
      <c r="L569" s="27">
        <f>=I569-K569</f>
        <v>1815.827467</v>
      </c>
    </row>
    <row r="570" spans="1:12">
      <c r="A570" s="23">
        <v>46236</v>
      </c>
      <c r="B570" s="21">
        <f>=H569</f>
        <v>36316549.34</v>
      </c>
      <c r="C570" s="25" t="s"/>
      <c r="D570" s="18" t="s"/>
      <c r="E570" s="18" t="s"/>
      <c r="F570" s="20" t="s"/>
      <c r="G570" s="26" t="s"/>
      <c r="H570" s="22">
        <f>=B570+C570+D570-E570-F570-G570</f>
        <v>36316549.34</v>
      </c>
      <c r="I570" s="22">
        <f>=H570/10000*2.5</f>
        <v>9079.137335</v>
      </c>
      <c r="J570" s="22">
        <f>=J569+I570</f>
        <v>2170321.26099751</v>
      </c>
      <c r="K570" s="27">
        <f>=H570/10000*2</f>
        <v>7263.309868</v>
      </c>
      <c r="L570" s="27">
        <f>=I570-K570</f>
        <v>1815.827467</v>
      </c>
    </row>
    <row r="571" spans="1:12">
      <c r="A571" s="23">
        <v>46237</v>
      </c>
      <c r="B571" s="21">
        <f>=H570</f>
        <v>36316549.34</v>
      </c>
      <c r="C571" s="25" t="s"/>
      <c r="D571" s="18" t="s"/>
      <c r="E571" s="18" t="s"/>
      <c r="F571" s="20" t="s"/>
      <c r="G571" s="26" t="s"/>
      <c r="H571" s="22">
        <f>=B571+C571+D571-E571-F571-G571</f>
        <v>36316549.34</v>
      </c>
      <c r="I571" s="22">
        <f>=H571/10000*2.5</f>
        <v>9079.137335</v>
      </c>
      <c r="J571" s="22">
        <f>=J570+I571</f>
        <v>2179400.39833251</v>
      </c>
      <c r="K571" s="27">
        <f>=H571/10000*2</f>
        <v>7263.309868</v>
      </c>
      <c r="L571" s="27">
        <f>=I571-K571</f>
        <v>1815.827467</v>
      </c>
    </row>
    <row r="572" spans="1:12">
      <c r="A572" s="23">
        <v>46238</v>
      </c>
      <c r="B572" s="21">
        <f>=H571</f>
        <v>36316549.34</v>
      </c>
      <c r="C572" s="25" t="s"/>
      <c r="D572" s="18" t="s"/>
      <c r="E572" s="18" t="s"/>
      <c r="F572" s="20" t="s"/>
      <c r="G572" s="26" t="s"/>
      <c r="H572" s="22">
        <f>=B572+C572+D572-E572-F572-G572</f>
        <v>36316549.34</v>
      </c>
      <c r="I572" s="22">
        <f>=H572/10000*2.5</f>
        <v>9079.137335</v>
      </c>
      <c r="J572" s="22">
        <f>=J571+I572</f>
        <v>2188479.53566751</v>
      </c>
      <c r="K572" s="27">
        <f>=H572/10000*2</f>
        <v>7263.309868</v>
      </c>
      <c r="L572" s="27">
        <f>=I572-K572</f>
        <v>1815.827467</v>
      </c>
    </row>
    <row r="573" spans="1:12">
      <c r="A573" s="23">
        <v>46239</v>
      </c>
      <c r="B573" s="21">
        <f>=H572</f>
        <v>36316549.34</v>
      </c>
      <c r="C573" s="25" t="s"/>
      <c r="D573" s="18" t="s"/>
      <c r="E573" s="18" t="s"/>
      <c r="F573" s="20" t="s"/>
      <c r="G573" s="26" t="s"/>
      <c r="H573" s="22">
        <f>=B573+C573+D573-E573-F573-G573</f>
        <v>36316549.34</v>
      </c>
      <c r="I573" s="22">
        <f>=H573/10000*2.5</f>
        <v>9079.137335</v>
      </c>
      <c r="J573" s="22">
        <f>=J572+I573</f>
        <v>2197558.67300251</v>
      </c>
      <c r="K573" s="27">
        <f>=H573/10000*2</f>
        <v>7263.309868</v>
      </c>
      <c r="L573" s="27">
        <f>=I573-K573</f>
        <v>1815.827467</v>
      </c>
    </row>
    <row r="574" spans="1:12">
      <c r="A574" s="23">
        <v>46240</v>
      </c>
      <c r="B574" s="21">
        <f>=H573</f>
        <v>36316549.34</v>
      </c>
      <c r="C574" s="25" t="s"/>
      <c r="D574" s="18" t="s"/>
      <c r="E574" s="18" t="s"/>
      <c r="F574" s="20" t="s"/>
      <c r="G574" s="26" t="s"/>
      <c r="H574" s="22">
        <f>=B574+C574+D574-E574-F574-G574</f>
        <v>36316549.34</v>
      </c>
      <c r="I574" s="22">
        <f>=H574/10000*2.5</f>
        <v>9079.137335</v>
      </c>
      <c r="J574" s="22">
        <f>=J573+I574</f>
        <v>2206637.81033751</v>
      </c>
      <c r="K574" s="27">
        <f>=H574/10000*2</f>
        <v>7263.309868</v>
      </c>
      <c r="L574" s="27">
        <f>=I574-K574</f>
        <v>1815.827467</v>
      </c>
    </row>
    <row r="575" spans="1:12">
      <c r="A575" s="23">
        <v>46241</v>
      </c>
      <c r="B575" s="21">
        <f>=H574</f>
        <v>36316549.34</v>
      </c>
      <c r="C575" s="25" t="s"/>
      <c r="D575" s="18" t="s"/>
      <c r="E575" s="18" t="s"/>
      <c r="F575" s="20" t="s"/>
      <c r="G575" s="26" t="s"/>
      <c r="H575" s="22">
        <f>=B575+C575+D575-E575-F575-G575</f>
        <v>36316549.34</v>
      </c>
      <c r="I575" s="22">
        <f>=H575/10000*2.5</f>
        <v>9079.137335</v>
      </c>
      <c r="J575" s="22">
        <f>=J574+I575</f>
        <v>2215716.94767251</v>
      </c>
      <c r="K575" s="27">
        <f>=H575/10000*2</f>
        <v>7263.309868</v>
      </c>
      <c r="L575" s="27">
        <f>=I575-K575</f>
        <v>1815.827467</v>
      </c>
    </row>
    <row r="576" spans="1:12">
      <c r="A576" s="23">
        <v>46242</v>
      </c>
      <c r="B576" s="21">
        <f>=H575</f>
        <v>36316549.34</v>
      </c>
      <c r="C576" s="25" t="s"/>
      <c r="D576" s="18" t="s"/>
      <c r="E576" s="18" t="s"/>
      <c r="F576" s="20" t="s"/>
      <c r="G576" s="26" t="s"/>
      <c r="H576" s="22">
        <f>=B576+C576+D576-E576-F576-G576</f>
        <v>36316549.34</v>
      </c>
      <c r="I576" s="22">
        <f>=H576/10000*2.5</f>
        <v>9079.137335</v>
      </c>
      <c r="J576" s="22">
        <f>=J575+I576</f>
        <v>2224796.08500751</v>
      </c>
      <c r="K576" s="27">
        <f>=H576/10000*2</f>
        <v>7263.309868</v>
      </c>
      <c r="L576" s="27">
        <f>=I576-K576</f>
        <v>1815.827467</v>
      </c>
    </row>
    <row r="577" spans="1:12">
      <c r="A577" s="23">
        <v>46243</v>
      </c>
      <c r="B577" s="21">
        <f>=H576</f>
        <v>36316549.34</v>
      </c>
      <c r="C577" s="25" t="s"/>
      <c r="D577" s="18" t="s"/>
      <c r="E577" s="18" t="s"/>
      <c r="F577" s="20" t="s"/>
      <c r="G577" s="26" t="s"/>
      <c r="H577" s="22">
        <f>=B577+C577+D577-E577-F577-G577</f>
        <v>36316549.34</v>
      </c>
      <c r="I577" s="22">
        <f>=H577/10000*2.5</f>
        <v>9079.137335</v>
      </c>
      <c r="J577" s="22">
        <f>=J576+I577</f>
        <v>2233875.22234251</v>
      </c>
      <c r="K577" s="27">
        <f>=H577/10000*2</f>
        <v>7263.309868</v>
      </c>
      <c r="L577" s="27">
        <f>=I577-K577</f>
        <v>1815.827467</v>
      </c>
    </row>
    <row r="578" spans="1:12">
      <c r="A578" s="23">
        <v>46244</v>
      </c>
      <c r="B578" s="21">
        <f>=H577</f>
        <v>36316549.34</v>
      </c>
      <c r="C578" s="25" t="s"/>
      <c r="D578" s="18" t="s"/>
      <c r="E578" s="18" t="s"/>
      <c r="F578" s="20" t="s"/>
      <c r="G578" s="26" t="s"/>
      <c r="H578" s="22">
        <f>=B578+C578+D578-E578-F578-G578</f>
        <v>36316549.34</v>
      </c>
      <c r="I578" s="22">
        <f>=H578/10000*2.5</f>
        <v>9079.137335</v>
      </c>
      <c r="J578" s="22">
        <f>=J577+I578</f>
        <v>2242954.35967751</v>
      </c>
      <c r="K578" s="27">
        <f>=H578/10000*2</f>
        <v>7263.309868</v>
      </c>
      <c r="L578" s="27">
        <f>=I578-K578</f>
        <v>1815.827467</v>
      </c>
    </row>
    <row r="579" spans="1:12">
      <c r="A579" s="23">
        <v>46245</v>
      </c>
      <c r="B579" s="21">
        <f>=H578</f>
        <v>36316549.34</v>
      </c>
      <c r="C579" s="25" t="s"/>
      <c r="D579" s="18" t="s"/>
      <c r="E579" s="18" t="s"/>
      <c r="F579" s="20" t="s"/>
      <c r="G579" s="26" t="s"/>
      <c r="H579" s="22">
        <f>=B579+C579+D579-E579-F579-G579</f>
        <v>36316549.34</v>
      </c>
      <c r="I579" s="22">
        <f>=H579/10000*2.5</f>
        <v>9079.137335</v>
      </c>
      <c r="J579" s="22">
        <f>=J578+I579</f>
        <v>2252033.49701251</v>
      </c>
      <c r="K579" s="27">
        <f>=H579/10000*2</f>
        <v>7263.309868</v>
      </c>
      <c r="L579" s="27">
        <f>=I579-K579</f>
        <v>1815.827467</v>
      </c>
    </row>
    <row r="580" spans="1:12">
      <c r="A580" s="23">
        <v>46246</v>
      </c>
      <c r="B580" s="21">
        <f>=H579</f>
        <v>36316549.34</v>
      </c>
      <c r="C580" s="25" t="s"/>
      <c r="D580" s="18" t="s"/>
      <c r="E580" s="18" t="s"/>
      <c r="F580" s="20" t="s"/>
      <c r="G580" s="26" t="s"/>
      <c r="H580" s="22">
        <f>=B580+C580+D580-E580-F580-G580</f>
        <v>36316549.34</v>
      </c>
      <c r="I580" s="22">
        <f>=H580/10000*2.5</f>
        <v>9079.137335</v>
      </c>
      <c r="J580" s="22">
        <f>=J579+I580</f>
        <v>2261112.63434751</v>
      </c>
      <c r="K580" s="27">
        <f>=H580/10000*2</f>
        <v>7263.309868</v>
      </c>
      <c r="L580" s="27">
        <f>=I580-K580</f>
        <v>1815.827467</v>
      </c>
    </row>
    <row r="581" spans="1:12">
      <c r="A581" s="23">
        <v>46247</v>
      </c>
      <c r="B581" s="21">
        <f>=H580</f>
        <v>36316549.34</v>
      </c>
      <c r="C581" s="25" t="s"/>
      <c r="D581" s="18" t="s"/>
      <c r="E581" s="18" t="s"/>
      <c r="F581" s="20" t="s"/>
      <c r="G581" s="26" t="s"/>
      <c r="H581" s="22">
        <f>=B581+C581+D581-E581-F581-G581</f>
        <v>36316549.34</v>
      </c>
      <c r="I581" s="22">
        <f>=H581/10000*2.5</f>
        <v>9079.137335</v>
      </c>
      <c r="J581" s="22">
        <f>=J580+I581</f>
        <v>2270191.77168251</v>
      </c>
      <c r="K581" s="27">
        <f>=H581/10000*2</f>
        <v>7263.309868</v>
      </c>
      <c r="L581" s="27">
        <f>=I581-K581</f>
        <v>1815.827467</v>
      </c>
    </row>
    <row r="582" spans="1:12">
      <c r="A582" s="23">
        <v>46248</v>
      </c>
      <c r="B582" s="21">
        <f>=H581</f>
        <v>36316549.34</v>
      </c>
      <c r="C582" s="25" t="s"/>
      <c r="D582" s="18" t="s"/>
      <c r="E582" s="18" t="s"/>
      <c r="F582" s="20" t="s"/>
      <c r="G582" s="26" t="s"/>
      <c r="H582" s="22">
        <f>=B582+C582+D582-E582-F582-G582</f>
        <v>36316549.34</v>
      </c>
      <c r="I582" s="22">
        <f>=H582/10000*2.5</f>
        <v>9079.137335</v>
      </c>
      <c r="J582" s="22">
        <f>=J581+I582</f>
        <v>2279270.90901751</v>
      </c>
      <c r="K582" s="27">
        <f>=H582/10000*2</f>
        <v>7263.309868</v>
      </c>
      <c r="L582" s="27">
        <f>=I582-K582</f>
        <v>1815.827467</v>
      </c>
    </row>
    <row r="583" spans="1:12">
      <c r="A583" s="23">
        <v>46249</v>
      </c>
      <c r="B583" s="21">
        <f>=H582</f>
        <v>36316549.34</v>
      </c>
      <c r="C583" s="25" t="s"/>
      <c r="D583" s="18" t="s"/>
      <c r="E583" s="18" t="s"/>
      <c r="F583" s="20" t="s"/>
      <c r="G583" s="26" t="s"/>
      <c r="H583" s="22">
        <f>=B583+C583+D583-E583-F583-G583</f>
        <v>36316549.34</v>
      </c>
      <c r="I583" s="22">
        <f>=H583/10000*2.5</f>
        <v>9079.137335</v>
      </c>
      <c r="J583" s="22">
        <f>=J582+I583</f>
        <v>2288350.04635251</v>
      </c>
      <c r="K583" s="27">
        <f>=H583/10000*2</f>
        <v>7263.309868</v>
      </c>
      <c r="L583" s="27">
        <f>=I583-K583</f>
        <v>1815.827467</v>
      </c>
    </row>
    <row r="584" spans="1:12">
      <c r="A584" s="23">
        <v>46250</v>
      </c>
      <c r="B584" s="21">
        <f>=H583</f>
        <v>36316549.34</v>
      </c>
      <c r="C584" s="25" t="s"/>
      <c r="D584" s="18" t="s"/>
      <c r="E584" s="18" t="s"/>
      <c r="F584" s="20" t="s"/>
      <c r="G584" s="26" t="s"/>
      <c r="H584" s="22">
        <f>=B584+C584+D584-E584-F584-G584</f>
        <v>36316549.34</v>
      </c>
      <c r="I584" s="22">
        <f>=H584/10000*2.5</f>
        <v>9079.137335</v>
      </c>
      <c r="J584" s="22">
        <f>=J583+I584</f>
        <v>2297429.18368751</v>
      </c>
      <c r="K584" s="27">
        <f>=H584/10000*2</f>
        <v>7263.309868</v>
      </c>
      <c r="L584" s="27">
        <f>=I584-K584</f>
        <v>1815.827467</v>
      </c>
    </row>
    <row r="585" spans="1:12">
      <c r="A585" s="23">
        <v>46251</v>
      </c>
      <c r="B585" s="21">
        <f>=H584</f>
        <v>36316549.34</v>
      </c>
      <c r="C585" s="25" t="s"/>
      <c r="D585" s="18" t="s"/>
      <c r="E585" s="18" t="s"/>
      <c r="F585" s="20" t="s"/>
      <c r="G585" s="26" t="s"/>
      <c r="H585" s="22">
        <f>=B585+C585+D585-E585-F585-G585</f>
        <v>36316549.34</v>
      </c>
      <c r="I585" s="22">
        <f>=H585/10000*2.5</f>
        <v>9079.137335</v>
      </c>
      <c r="J585" s="22">
        <f>=J584+I585</f>
        <v>2306508.32102251</v>
      </c>
      <c r="K585" s="27">
        <f>=H585/10000*2</f>
        <v>7263.309868</v>
      </c>
      <c r="L585" s="27">
        <f>=I585-K585</f>
        <v>1815.827467</v>
      </c>
    </row>
    <row r="586" spans="1:12">
      <c r="A586" s="23">
        <v>46252</v>
      </c>
      <c r="B586" s="21">
        <f>=H585</f>
        <v>36316549.34</v>
      </c>
      <c r="C586" s="25" t="s"/>
      <c r="D586" s="18" t="s"/>
      <c r="E586" s="18" t="s"/>
      <c r="F586" s="20" t="s"/>
      <c r="G586" s="26" t="s"/>
      <c r="H586" s="22">
        <f>=B586+C586+D586-E586-F586-G586</f>
        <v>36316549.34</v>
      </c>
      <c r="I586" s="22">
        <f>=H586/10000*2.5</f>
        <v>9079.137335</v>
      </c>
      <c r="J586" s="22">
        <f>=J585+I586</f>
        <v>2315587.45835751</v>
      </c>
      <c r="K586" s="27">
        <f>=H586/10000*2</f>
        <v>7263.309868</v>
      </c>
      <c r="L586" s="27">
        <f>=I586-K586</f>
        <v>1815.827467</v>
      </c>
    </row>
    <row r="587" spans="1:12">
      <c r="A587" s="23">
        <v>46253</v>
      </c>
      <c r="B587" s="21">
        <f>=H586</f>
        <v>36316549.34</v>
      </c>
      <c r="C587" s="25" t="s"/>
      <c r="D587" s="18" t="s"/>
      <c r="E587" s="18" t="s"/>
      <c r="F587" s="20" t="s"/>
      <c r="G587" s="26" t="s"/>
      <c r="H587" s="22">
        <f>=B587+C587+D587-E587-F587-G587</f>
        <v>36316549.34</v>
      </c>
      <c r="I587" s="22">
        <f>=H587/10000*2.5</f>
        <v>9079.137335</v>
      </c>
      <c r="J587" s="22">
        <f>=J586+I587</f>
        <v>2324666.59569251</v>
      </c>
      <c r="K587" s="27">
        <f>=H587/10000*2</f>
        <v>7263.309868</v>
      </c>
      <c r="L587" s="27">
        <f>=I587-K587</f>
        <v>1815.827467</v>
      </c>
    </row>
    <row r="588" spans="1:12">
      <c r="A588" s="23">
        <v>46254</v>
      </c>
      <c r="B588" s="21">
        <f>=H587</f>
        <v>36316549.34</v>
      </c>
      <c r="C588" s="25" t="s"/>
      <c r="D588" s="18" t="s"/>
      <c r="E588" s="18" t="s"/>
      <c r="F588" s="20" t="s"/>
      <c r="G588" s="26" t="s"/>
      <c r="H588" s="22">
        <f>=B588+C588+D588-E588-F588-G588</f>
        <v>36316549.34</v>
      </c>
      <c r="I588" s="22">
        <f>=H588/10000*2.5</f>
        <v>9079.137335</v>
      </c>
      <c r="J588" s="22">
        <f>=J587+I588</f>
        <v>2333745.73302751</v>
      </c>
      <c r="K588" s="27">
        <f>=H588/10000*2</f>
        <v>7263.309868</v>
      </c>
      <c r="L588" s="27">
        <f>=I588-K588</f>
        <v>1815.827467</v>
      </c>
    </row>
    <row r="589" spans="1:12">
      <c r="A589" s="23">
        <v>46255</v>
      </c>
      <c r="B589" s="21">
        <f>=H588</f>
        <v>36316549.34</v>
      </c>
      <c r="C589" s="25" t="s"/>
      <c r="D589" s="18" t="s"/>
      <c r="E589" s="18" t="s"/>
      <c r="F589" s="20" t="s"/>
      <c r="G589" s="26" t="s"/>
      <c r="H589" s="22">
        <f>=B589+C589+D589-E589-F589-G589</f>
        <v>36316549.34</v>
      </c>
      <c r="I589" s="22">
        <f>=H589/10000*2.5</f>
        <v>9079.137335</v>
      </c>
      <c r="J589" s="22">
        <f>=J588+I589</f>
        <v>2342824.87036251</v>
      </c>
      <c r="K589" s="27">
        <f>=H589/10000*2</f>
        <v>7263.309868</v>
      </c>
      <c r="L589" s="27">
        <f>=I589-K589</f>
        <v>1815.827467</v>
      </c>
    </row>
    <row r="590" spans="1:12">
      <c r="A590" s="23">
        <v>46256</v>
      </c>
      <c r="B590" s="21">
        <f>=H589</f>
        <v>36316549.34</v>
      </c>
      <c r="C590" s="25" t="s"/>
      <c r="D590" s="18" t="s"/>
      <c r="E590" s="18" t="s"/>
      <c r="F590" s="20" t="s"/>
      <c r="G590" s="26" t="s"/>
      <c r="H590" s="22">
        <f>=B590+C590+D590-E590-F590-G590</f>
        <v>36316549.34</v>
      </c>
      <c r="I590" s="22">
        <f>=H590/10000*2.5</f>
        <v>9079.137335</v>
      </c>
      <c r="J590" s="22">
        <f>=J589+I590</f>
        <v>2351904.00769751</v>
      </c>
      <c r="K590" s="27">
        <f>=H590/10000*2</f>
        <v>7263.309868</v>
      </c>
      <c r="L590" s="27">
        <f>=I590-K590</f>
        <v>1815.827467</v>
      </c>
    </row>
    <row r="591" spans="1:12">
      <c r="A591" s="23">
        <v>46257</v>
      </c>
      <c r="B591" s="21">
        <f>=H590</f>
        <v>36316549.34</v>
      </c>
      <c r="C591" s="25" t="s"/>
      <c r="D591" s="18" t="s"/>
      <c r="E591" s="18" t="s"/>
      <c r="F591" s="20" t="s"/>
      <c r="G591" s="26" t="s"/>
      <c r="H591" s="22">
        <f>=B591+C591+D591-E591-F591-G591</f>
        <v>36316549.34</v>
      </c>
      <c r="I591" s="22">
        <f>=H591/10000*2.5</f>
        <v>9079.137335</v>
      </c>
      <c r="J591" s="22">
        <f>=J590+I591</f>
        <v>2360983.14503251</v>
      </c>
      <c r="K591" s="27">
        <f>=H591/10000*2</f>
        <v>7263.309868</v>
      </c>
      <c r="L591" s="27">
        <f>=I591-K591</f>
        <v>1815.827467</v>
      </c>
    </row>
    <row r="592" spans="1:12">
      <c r="A592" s="23">
        <v>46258</v>
      </c>
      <c r="B592" s="21">
        <f>=H591</f>
        <v>36316549.34</v>
      </c>
      <c r="C592" s="25" t="s"/>
      <c r="D592" s="18" t="s"/>
      <c r="E592" s="18" t="s"/>
      <c r="F592" s="20" t="s"/>
      <c r="G592" s="26" t="s"/>
      <c r="H592" s="22">
        <f>=B592+C592+D592-E592-F592-G592</f>
        <v>36316549.34</v>
      </c>
      <c r="I592" s="22">
        <f>=H592/10000*2.5</f>
        <v>9079.137335</v>
      </c>
      <c r="J592" s="22">
        <f>=J591+I592</f>
        <v>2370062.28236751</v>
      </c>
      <c r="K592" s="27">
        <f>=H592/10000*2</f>
        <v>7263.309868</v>
      </c>
      <c r="L592" s="27">
        <f>=I592-K592</f>
        <v>1815.827467</v>
      </c>
    </row>
    <row r="593" spans="1:12">
      <c r="A593" s="23">
        <v>46259</v>
      </c>
      <c r="B593" s="21">
        <f>=H592</f>
        <v>36316549.34</v>
      </c>
      <c r="C593" s="25" t="s"/>
      <c r="D593" s="18" t="s"/>
      <c r="E593" s="18" t="s"/>
      <c r="F593" s="20" t="s"/>
      <c r="G593" s="26" t="s"/>
      <c r="H593" s="22">
        <f>=B593+C593+D593-E593-F593-G593</f>
        <v>36316549.34</v>
      </c>
      <c r="I593" s="22">
        <f>=H593/10000*2.5</f>
        <v>9079.137335</v>
      </c>
      <c r="J593" s="22">
        <f>=J592+I593</f>
        <v>2379141.41970251</v>
      </c>
      <c r="K593" s="27">
        <f>=H593/10000*2</f>
        <v>7263.309868</v>
      </c>
      <c r="L593" s="27">
        <f>=I593-K593</f>
        <v>1815.827467</v>
      </c>
    </row>
    <row r="594" spans="1:12">
      <c r="A594" s="23">
        <v>46260</v>
      </c>
      <c r="B594" s="21">
        <f>=H593</f>
        <v>36316549.34</v>
      </c>
      <c r="C594" s="25" t="s"/>
      <c r="D594" s="18" t="s"/>
      <c r="E594" s="18" t="s"/>
      <c r="F594" s="20" t="s"/>
      <c r="G594" s="26" t="s"/>
      <c r="H594" s="22">
        <f>=B594+C594+D594-E594-F594-G594</f>
        <v>36316549.34</v>
      </c>
      <c r="I594" s="22">
        <f>=H594/10000*2.5</f>
        <v>9079.137335</v>
      </c>
      <c r="J594" s="22">
        <f>=J593+I594</f>
        <v>2388220.55703751</v>
      </c>
      <c r="K594" s="27">
        <f>=H594/10000*2</f>
        <v>7263.309868</v>
      </c>
      <c r="L594" s="27">
        <f>=I594-K594</f>
        <v>1815.827467</v>
      </c>
    </row>
    <row r="595" spans="1:12">
      <c r="A595" s="23">
        <v>46261</v>
      </c>
      <c r="B595" s="21">
        <f>=H594</f>
        <v>36316549.34</v>
      </c>
      <c r="C595" s="25" t="s"/>
      <c r="D595" s="18" t="s"/>
      <c r="E595" s="18" t="s"/>
      <c r="F595" s="20" t="s"/>
      <c r="G595" s="26" t="s"/>
      <c r="H595" s="22">
        <f>=B595+C595+D595-E595-F595-G595</f>
        <v>36316549.34</v>
      </c>
      <c r="I595" s="22">
        <f>=H595/10000*2.5</f>
        <v>9079.137335</v>
      </c>
      <c r="J595" s="22">
        <f>=J594+I595</f>
        <v>2397299.69437251</v>
      </c>
      <c r="K595" s="27">
        <f>=H595/10000*2</f>
        <v>7263.309868</v>
      </c>
      <c r="L595" s="27">
        <f>=I595-K595</f>
        <v>1815.827467</v>
      </c>
    </row>
    <row r="596" spans="1:12">
      <c r="A596" s="23">
        <v>46262</v>
      </c>
      <c r="B596" s="21">
        <f>=H595</f>
        <v>36316549.34</v>
      </c>
      <c r="C596" s="25" t="s"/>
      <c r="D596" s="18" t="s"/>
      <c r="E596" s="18" t="s"/>
      <c r="F596" s="20" t="s"/>
      <c r="G596" s="26" t="s"/>
      <c r="H596" s="22">
        <f>=B596+C596+D596-E596-F596-G596</f>
        <v>36316549.34</v>
      </c>
      <c r="I596" s="22">
        <f>=H596/10000*2.5</f>
        <v>9079.137335</v>
      </c>
      <c r="J596" s="22">
        <f>=J595+I596</f>
        <v>2406378.83170751</v>
      </c>
      <c r="K596" s="27">
        <f>=H596/10000*2</f>
        <v>7263.309868</v>
      </c>
      <c r="L596" s="27">
        <f>=I596-K596</f>
        <v>1815.827467</v>
      </c>
    </row>
    <row r="597" spans="1:12">
      <c r="A597" s="23">
        <v>46263</v>
      </c>
      <c r="B597" s="21">
        <f>=H596</f>
        <v>36316549.34</v>
      </c>
      <c r="C597" s="25" t="s"/>
      <c r="D597" s="18" t="s"/>
      <c r="E597" s="18" t="s"/>
      <c r="F597" s="20" t="s"/>
      <c r="G597" s="26" t="s"/>
      <c r="H597" s="22">
        <f>=B597+C597+D597-E597-F597-G597</f>
        <v>36316549.34</v>
      </c>
      <c r="I597" s="22">
        <f>=H597/10000*2.5</f>
        <v>9079.137335</v>
      </c>
      <c r="J597" s="22">
        <f>=J596+I597</f>
        <v>2415457.96904252</v>
      </c>
      <c r="K597" s="27">
        <f>=H597/10000*2</f>
        <v>7263.309868</v>
      </c>
      <c r="L597" s="27">
        <f>=I597-K597</f>
        <v>1815.827467</v>
      </c>
    </row>
    <row r="598" spans="1:12">
      <c r="A598" s="23">
        <v>46264</v>
      </c>
      <c r="B598" s="21">
        <f>=H597</f>
        <v>36316549.34</v>
      </c>
      <c r="C598" s="25" t="s"/>
      <c r="D598" s="18" t="s"/>
      <c r="E598" s="18" t="s"/>
      <c r="F598" s="20" t="s"/>
      <c r="G598" s="26" t="s"/>
      <c r="H598" s="22">
        <f>=B598+C598+D598-E598-F598-G598</f>
        <v>36316549.34</v>
      </c>
      <c r="I598" s="22">
        <f>=H598/10000*2.5</f>
        <v>9079.137335</v>
      </c>
      <c r="J598" s="22">
        <f>=J597+I598</f>
        <v>2424537.10637752</v>
      </c>
      <c r="K598" s="27">
        <f>=H598/10000*2</f>
        <v>7263.309868</v>
      </c>
      <c r="L598" s="27">
        <f>=I598-K598</f>
        <v>1815.827467</v>
      </c>
    </row>
    <row r="599" spans="1:12">
      <c r="A599" s="23">
        <v>46265</v>
      </c>
      <c r="B599" s="21">
        <f>=H598</f>
        <v>36316549.34</v>
      </c>
      <c r="C599" s="25" t="s"/>
      <c r="D599" s="18" t="s"/>
      <c r="E599" s="18" t="s"/>
      <c r="F599" s="20" t="s"/>
      <c r="G599" s="26" t="s"/>
      <c r="H599" s="22">
        <f>=B599+C599+D599-E599-F599-G599</f>
        <v>36316549.34</v>
      </c>
      <c r="I599" s="22">
        <f>=H599/10000*2.5</f>
        <v>9079.137335</v>
      </c>
      <c r="J599" s="22">
        <f>=J598+I599</f>
        <v>2433616.24371252</v>
      </c>
      <c r="K599" s="27">
        <f>=H599/10000*2</f>
        <v>7263.309868</v>
      </c>
      <c r="L599" s="27">
        <f>=I599-K599</f>
        <v>1815.827467</v>
      </c>
    </row>
    <row r="600" spans="1:12">
      <c r="A600" s="23">
        <v>46266</v>
      </c>
      <c r="B600" s="21">
        <f>=H599</f>
        <v>36316549.34</v>
      </c>
      <c r="C600" s="25" t="s"/>
      <c r="D600" s="18" t="s"/>
      <c r="E600" s="18" t="s"/>
      <c r="F600" s="20" t="s"/>
      <c r="G600" s="26" t="s"/>
      <c r="H600" s="22">
        <f>=B600+C600+D600-E600-F600-G600</f>
        <v>36316549.34</v>
      </c>
      <c r="I600" s="22">
        <f>=H600/10000*2.5</f>
        <v>9079.137335</v>
      </c>
      <c r="J600" s="22">
        <f>=J599+I600</f>
        <v>2442695.38104752</v>
      </c>
      <c r="K600" s="27">
        <f>=H600/10000*2</f>
        <v>7263.309868</v>
      </c>
      <c r="L600" s="27">
        <f>=I600-K600</f>
        <v>1815.827467</v>
      </c>
    </row>
    <row r="601" spans="1:12">
      <c r="A601" s="23">
        <v>46267</v>
      </c>
      <c r="B601" s="21">
        <f>=H600</f>
        <v>36316549.34</v>
      </c>
      <c r="C601" s="25" t="s"/>
      <c r="D601" s="18" t="s"/>
      <c r="E601" s="18" t="s"/>
      <c r="F601" s="20" t="s"/>
      <c r="G601" s="26" t="s"/>
      <c r="H601" s="22">
        <f>=B601+C601+D601-E601-F601-G601</f>
        <v>36316549.34</v>
      </c>
      <c r="I601" s="22">
        <f>=H601/10000*2.5</f>
        <v>9079.137335</v>
      </c>
      <c r="J601" s="22">
        <f>=J600+I601</f>
        <v>2451774.51838252</v>
      </c>
      <c r="K601" s="27">
        <f>=H601/10000*2</f>
        <v>7263.309868</v>
      </c>
      <c r="L601" s="27">
        <f>=I601-K601</f>
        <v>1815.827467</v>
      </c>
    </row>
    <row r="602" spans="1:12">
      <c r="A602" s="23">
        <v>46268</v>
      </c>
      <c r="B602" s="21">
        <f>=H601</f>
        <v>36316549.34</v>
      </c>
      <c r="C602" s="25" t="s"/>
      <c r="D602" s="18" t="s"/>
      <c r="E602" s="18" t="s"/>
      <c r="F602" s="20" t="s"/>
      <c r="G602" s="26" t="s"/>
      <c r="H602" s="22">
        <f>=B602+C602+D602-E602-F602-G602</f>
        <v>36316549.34</v>
      </c>
      <c r="I602" s="22">
        <f>=H602/10000*2.5</f>
        <v>9079.137335</v>
      </c>
      <c r="J602" s="22">
        <f>=J601+I602</f>
        <v>2460853.65571752</v>
      </c>
      <c r="K602" s="27">
        <f>=H602/10000*2</f>
        <v>7263.309868</v>
      </c>
      <c r="L602" s="27">
        <f>=I602-K602</f>
        <v>1815.827467</v>
      </c>
    </row>
    <row r="603" spans="1:12">
      <c r="A603" s="23">
        <v>46269</v>
      </c>
      <c r="B603" s="21">
        <f>=H602</f>
        <v>36316549.34</v>
      </c>
      <c r="C603" s="25" t="s"/>
      <c r="D603" s="18" t="s"/>
      <c r="E603" s="18" t="s"/>
      <c r="F603" s="20" t="s"/>
      <c r="G603" s="26" t="s"/>
      <c r="H603" s="22">
        <f>=B603+C603+D603-E603-F603-G603</f>
        <v>36316549.34</v>
      </c>
      <c r="I603" s="22">
        <f>=H603/10000*2.5</f>
        <v>9079.137335</v>
      </c>
      <c r="J603" s="22">
        <f>=J602+I603</f>
        <v>2469932.79305252</v>
      </c>
      <c r="K603" s="27">
        <f>=H603/10000*2</f>
        <v>7263.309868</v>
      </c>
      <c r="L603" s="27">
        <f>=I603-K603</f>
        <v>1815.827467</v>
      </c>
    </row>
    <row r="604" spans="1:12">
      <c r="A604" s="23">
        <v>46270</v>
      </c>
      <c r="B604" s="21">
        <f>=H603</f>
        <v>36316549.34</v>
      </c>
      <c r="C604" s="25" t="s"/>
      <c r="D604" s="18" t="s"/>
      <c r="E604" s="18" t="s"/>
      <c r="F604" s="20" t="s"/>
      <c r="G604" s="26" t="s"/>
      <c r="H604" s="22">
        <f>=B604+C604+D604-E604-F604-G604</f>
        <v>36316549.34</v>
      </c>
      <c r="I604" s="22">
        <f>=H604/10000*2.5</f>
        <v>9079.137335</v>
      </c>
      <c r="J604" s="22">
        <f>=J603+I604</f>
        <v>2479011.93038752</v>
      </c>
      <c r="K604" s="27">
        <f>=H604/10000*2</f>
        <v>7263.309868</v>
      </c>
      <c r="L604" s="27">
        <f>=I604-K604</f>
        <v>1815.827467</v>
      </c>
    </row>
    <row r="605" spans="1:12">
      <c r="A605" s="23">
        <v>46271</v>
      </c>
      <c r="B605" s="21">
        <f>=H604</f>
        <v>36316549.34</v>
      </c>
      <c r="C605" s="25" t="s"/>
      <c r="D605" s="18" t="s"/>
      <c r="E605" s="18" t="s"/>
      <c r="F605" s="20" t="s"/>
      <c r="G605" s="26" t="s"/>
      <c r="H605" s="22">
        <f>=B605+C605+D605-E605-F605-G605</f>
        <v>36316549.34</v>
      </c>
      <c r="I605" s="22">
        <f>=H605/10000*2.5</f>
        <v>9079.137335</v>
      </c>
      <c r="J605" s="22">
        <f>=J604+I605</f>
        <v>2488091.06772252</v>
      </c>
      <c r="K605" s="27">
        <f>=H605/10000*2</f>
        <v>7263.309868</v>
      </c>
      <c r="L605" s="27">
        <f>=I605-K605</f>
        <v>1815.827467</v>
      </c>
    </row>
    <row r="606" spans="1:12">
      <c r="A606" s="23">
        <v>46272</v>
      </c>
      <c r="B606" s="21">
        <f>=H605</f>
        <v>36316549.34</v>
      </c>
      <c r="C606" s="25" t="s"/>
      <c r="D606" s="18" t="s"/>
      <c r="E606" s="18" t="s"/>
      <c r="F606" s="20" t="s"/>
      <c r="G606" s="26" t="s"/>
      <c r="H606" s="22">
        <f>=B606+C606+D606-E606-F606-G606</f>
        <v>36316549.34</v>
      </c>
      <c r="I606" s="22">
        <f>=H606/10000*2.5</f>
        <v>9079.137335</v>
      </c>
      <c r="J606" s="22">
        <f>=J605+I606</f>
        <v>2497170.20505752</v>
      </c>
      <c r="K606" s="27">
        <f>=H606/10000*2</f>
        <v>7263.309868</v>
      </c>
      <c r="L606" s="27">
        <f>=I606-K606</f>
        <v>1815.827467</v>
      </c>
    </row>
    <row r="607" spans="1:12">
      <c r="A607" s="23">
        <v>46273</v>
      </c>
      <c r="B607" s="21">
        <f>=H606</f>
        <v>36316549.34</v>
      </c>
      <c r="C607" s="25" t="s"/>
      <c r="D607" s="18" t="s"/>
      <c r="E607" s="18" t="s"/>
      <c r="F607" s="20" t="s"/>
      <c r="G607" s="26" t="s"/>
      <c r="H607" s="22">
        <f>=B607+C607+D607-E607-F607-G607</f>
        <v>36316549.34</v>
      </c>
      <c r="I607" s="22">
        <f>=H607/10000*2.5</f>
        <v>9079.137335</v>
      </c>
      <c r="J607" s="22">
        <f>=J606+I607</f>
        <v>2506249.34239252</v>
      </c>
      <c r="K607" s="27">
        <f>=H607/10000*2</f>
        <v>7263.309868</v>
      </c>
      <c r="L607" s="27">
        <f>=I607-K607</f>
        <v>1815.827467</v>
      </c>
    </row>
    <row r="608" spans="1:12">
      <c r="A608" s="23">
        <v>46274</v>
      </c>
      <c r="B608" s="21">
        <f>=H607</f>
        <v>36316549.34</v>
      </c>
      <c r="C608" s="25" t="s"/>
      <c r="D608" s="18" t="s"/>
      <c r="E608" s="18" t="s"/>
      <c r="F608" s="20" t="s"/>
      <c r="G608" s="26" t="s"/>
      <c r="H608" s="22">
        <f>=B608+C608+D608-E608-F608-G608</f>
        <v>36316549.34</v>
      </c>
      <c r="I608" s="22">
        <f>=H608/10000*2.5</f>
        <v>9079.137335</v>
      </c>
      <c r="J608" s="22">
        <f>=J607+I608</f>
        <v>2515328.47972752</v>
      </c>
      <c r="K608" s="27">
        <f>=H608/10000*2</f>
        <v>7263.309868</v>
      </c>
      <c r="L608" s="27">
        <f>=I608-K608</f>
        <v>1815.827467</v>
      </c>
    </row>
    <row r="609" spans="1:12">
      <c r="A609" s="23">
        <v>46275</v>
      </c>
      <c r="B609" s="21">
        <f>=H608</f>
        <v>36316549.34</v>
      </c>
      <c r="C609" s="25" t="s"/>
      <c r="D609" s="18" t="s"/>
      <c r="E609" s="18" t="s"/>
      <c r="F609" s="20" t="s"/>
      <c r="G609" s="26" t="s"/>
      <c r="H609" s="22">
        <f>=B609+C609+D609-E609-F609-G609</f>
        <v>36316549.34</v>
      </c>
      <c r="I609" s="22">
        <f>=H609/10000*2.5</f>
        <v>9079.137335</v>
      </c>
      <c r="J609" s="22">
        <f>=J608+I609</f>
        <v>2524407.61706252</v>
      </c>
      <c r="K609" s="27">
        <f>=H609/10000*2</f>
        <v>7263.309868</v>
      </c>
      <c r="L609" s="27">
        <f>=I609-K609</f>
        <v>1815.827467</v>
      </c>
    </row>
    <row r="610" spans="1:12">
      <c r="A610" s="23">
        <v>46276</v>
      </c>
      <c r="B610" s="21">
        <f>=H609</f>
        <v>36316549.34</v>
      </c>
      <c r="C610" s="25" t="s"/>
      <c r="D610" s="18" t="s"/>
      <c r="E610" s="18" t="s"/>
      <c r="F610" s="20" t="s"/>
      <c r="G610" s="26" t="s"/>
      <c r="H610" s="22">
        <f>=B610+C610+D610-E610-F610-G610</f>
        <v>36316549.34</v>
      </c>
      <c r="I610" s="22">
        <f>=H610/10000*2.5</f>
        <v>9079.137335</v>
      </c>
      <c r="J610" s="22">
        <f>=J609+I610</f>
        <v>2533486.75439752</v>
      </c>
      <c r="K610" s="27">
        <f>=H610/10000*2</f>
        <v>7263.309868</v>
      </c>
      <c r="L610" s="27">
        <f>=I610-K610</f>
        <v>1815.827467</v>
      </c>
    </row>
    <row r="611" spans="1:12">
      <c r="A611" s="23">
        <v>46277</v>
      </c>
      <c r="B611" s="21">
        <f>=H610</f>
        <v>36316549.34</v>
      </c>
      <c r="C611" s="25" t="s"/>
      <c r="D611" s="18" t="s"/>
      <c r="E611" s="18" t="s"/>
      <c r="F611" s="20" t="s"/>
      <c r="G611" s="26" t="s"/>
      <c r="H611" s="22">
        <f>=B611+C611+D611-E611-F611-G611</f>
        <v>36316549.34</v>
      </c>
      <c r="I611" s="22">
        <f>=H611/10000*2.5</f>
        <v>9079.137335</v>
      </c>
      <c r="J611" s="22">
        <f>=J610+I611</f>
        <v>2542565.89173252</v>
      </c>
      <c r="K611" s="27">
        <f>=H611/10000*2</f>
        <v>7263.309868</v>
      </c>
      <c r="L611" s="27">
        <f>=I611-K611</f>
        <v>1815.827467</v>
      </c>
    </row>
    <row r="612" spans="1:12">
      <c r="A612" s="23">
        <v>46278</v>
      </c>
      <c r="B612" s="21">
        <f>=H611</f>
        <v>36316549.34</v>
      </c>
      <c r="C612" s="25" t="s"/>
      <c r="D612" s="18" t="s"/>
      <c r="E612" s="18" t="s"/>
      <c r="F612" s="20" t="s"/>
      <c r="G612" s="26" t="s"/>
      <c r="H612" s="22">
        <f>=B612+C612+D612-E612-F612-G612</f>
        <v>36316549.34</v>
      </c>
      <c r="I612" s="22">
        <f>=H612/10000*2.5</f>
        <v>9079.137335</v>
      </c>
      <c r="J612" s="22">
        <f>=J611+I612</f>
        <v>2551645.02906752</v>
      </c>
      <c r="K612" s="27">
        <f>=H612/10000*2</f>
        <v>7263.309868</v>
      </c>
      <c r="L612" s="27">
        <f>=I612-K612</f>
        <v>1815.827467</v>
      </c>
    </row>
    <row r="613" spans="1:12">
      <c r="A613" s="23">
        <v>46279</v>
      </c>
      <c r="B613" s="21">
        <f>=H612</f>
        <v>36316549.34</v>
      </c>
      <c r="C613" s="25" t="s"/>
      <c r="D613" s="18" t="s"/>
      <c r="E613" s="18" t="s"/>
      <c r="F613" s="20" t="s"/>
      <c r="G613" s="26" t="s"/>
      <c r="H613" s="22">
        <f>=B613+C613+D613-E613-F613-G613</f>
        <v>36316549.34</v>
      </c>
      <c r="I613" s="22">
        <f>=H613/10000*2.5</f>
        <v>9079.137335</v>
      </c>
      <c r="J613" s="22">
        <f>=J612+I613</f>
        <v>2560724.16640252</v>
      </c>
      <c r="K613" s="27">
        <f>=H613/10000*2</f>
        <v>7263.309868</v>
      </c>
      <c r="L613" s="27">
        <f>=I613-K613</f>
        <v>1815.827467</v>
      </c>
    </row>
    <row r="614" spans="1:12">
      <c r="A614" s="23">
        <v>46280</v>
      </c>
      <c r="B614" s="21">
        <f>=H613</f>
        <v>36316549.34</v>
      </c>
      <c r="C614" s="25" t="s"/>
      <c r="D614" s="18" t="s"/>
      <c r="E614" s="18" t="s"/>
      <c r="F614" s="20" t="s"/>
      <c r="G614" s="26" t="s"/>
      <c r="H614" s="22">
        <f>=B614+C614+D614-E614-F614-G614</f>
        <v>36316549.34</v>
      </c>
      <c r="I614" s="22">
        <f>=H614/10000*2.5</f>
        <v>9079.137335</v>
      </c>
      <c r="J614" s="22">
        <f>=J613+I614</f>
        <v>2569803.30373752</v>
      </c>
      <c r="K614" s="27">
        <f>=H614/10000*2</f>
        <v>7263.309868</v>
      </c>
      <c r="L614" s="27">
        <f>=I614-K614</f>
        <v>1815.827467</v>
      </c>
    </row>
    <row r="615" spans="1:12">
      <c r="A615" s="23">
        <v>46281</v>
      </c>
      <c r="B615" s="21">
        <f>=H614</f>
        <v>36316549.34</v>
      </c>
      <c r="C615" s="25" t="s"/>
      <c r="D615" s="18" t="s"/>
      <c r="E615" s="18" t="s"/>
      <c r="F615" s="20" t="s"/>
      <c r="G615" s="26" t="s"/>
      <c r="H615" s="22">
        <f>=B615+C615+D615-E615-F615-G615</f>
        <v>36316549.34</v>
      </c>
      <c r="I615" s="22">
        <f>=H615/10000*2.5</f>
        <v>9079.137335</v>
      </c>
      <c r="J615" s="22">
        <f>=J614+I615</f>
        <v>2578882.44107252</v>
      </c>
      <c r="K615" s="27">
        <f>=H615/10000*2</f>
        <v>7263.309868</v>
      </c>
      <c r="L615" s="27">
        <f>=I615-K615</f>
        <v>1815.827467</v>
      </c>
    </row>
    <row r="616" spans="1:12">
      <c r="A616" s="23">
        <v>46282</v>
      </c>
      <c r="B616" s="21">
        <f>=H615</f>
        <v>36316549.34</v>
      </c>
      <c r="C616" s="25" t="s"/>
      <c r="D616" s="18" t="s"/>
      <c r="E616" s="18" t="s"/>
      <c r="F616" s="20" t="s"/>
      <c r="G616" s="26" t="s"/>
      <c r="H616" s="22">
        <f>=B616+C616+D616-E616-F616-G616</f>
        <v>36316549.34</v>
      </c>
      <c r="I616" s="22">
        <f>=H616/10000*2.5</f>
        <v>9079.137335</v>
      </c>
      <c r="J616" s="22">
        <f>=J615+I616</f>
        <v>2587961.57840752</v>
      </c>
      <c r="K616" s="27">
        <f>=H616/10000*2</f>
        <v>7263.309868</v>
      </c>
      <c r="L616" s="27">
        <f>=I616-K616</f>
        <v>1815.827467</v>
      </c>
    </row>
    <row r="617" spans="1:12">
      <c r="A617" s="23">
        <v>46283</v>
      </c>
      <c r="B617" s="21">
        <f>=H616</f>
        <v>36316549.34</v>
      </c>
      <c r="C617" s="25" t="s"/>
      <c r="D617" s="18" t="s"/>
      <c r="E617" s="18" t="s"/>
      <c r="F617" s="20" t="s"/>
      <c r="G617" s="26" t="s"/>
      <c r="H617" s="22">
        <f>=B617+C617+D617-E617-F617-G617</f>
        <v>36316549.34</v>
      </c>
      <c r="I617" s="22">
        <f>=H617/10000*2.5</f>
        <v>9079.137335</v>
      </c>
      <c r="J617" s="22">
        <f>=J616+I617</f>
        <v>2597040.71574252</v>
      </c>
      <c r="K617" s="27">
        <f>=H617/10000*2</f>
        <v>7263.309868</v>
      </c>
      <c r="L617" s="27">
        <f>=I617-K617</f>
        <v>1815.827467</v>
      </c>
    </row>
    <row r="618" spans="1:12">
      <c r="A618" s="23">
        <v>46284</v>
      </c>
      <c r="B618" s="21">
        <f>=H617</f>
        <v>36316549.34</v>
      </c>
      <c r="C618" s="25" t="s"/>
      <c r="D618" s="18" t="s"/>
      <c r="E618" s="18" t="s"/>
      <c r="F618" s="20" t="s"/>
      <c r="G618" s="26" t="s"/>
      <c r="H618" s="22">
        <f>=B618+C618+D618-E618-F618-G618</f>
        <v>36316549.34</v>
      </c>
      <c r="I618" s="22">
        <f>=H618/10000*2.5</f>
        <v>9079.137335</v>
      </c>
      <c r="J618" s="22">
        <f>=J617+I618</f>
        <v>2606119.85307752</v>
      </c>
      <c r="K618" s="27">
        <f>=H618/10000*2</f>
        <v>7263.309868</v>
      </c>
      <c r="L618" s="27">
        <f>=I618-K618</f>
        <v>1815.827467</v>
      </c>
    </row>
    <row r="619" spans="1:12">
      <c r="A619" s="23">
        <v>46285</v>
      </c>
      <c r="B619" s="21">
        <f>=H618</f>
        <v>36316549.34</v>
      </c>
      <c r="C619" s="25" t="s"/>
      <c r="D619" s="18" t="s"/>
      <c r="E619" s="18" t="s"/>
      <c r="F619" s="20" t="s"/>
      <c r="G619" s="26" t="s"/>
      <c r="H619" s="22">
        <f>=B619+C619+D619-E619-F619-G619</f>
        <v>36316549.34</v>
      </c>
      <c r="I619" s="22">
        <f>=H619/10000*2.5</f>
        <v>9079.137335</v>
      </c>
      <c r="J619" s="22">
        <f>=J618+I619</f>
        <v>2615198.99041252</v>
      </c>
      <c r="K619" s="27">
        <f>=H619/10000*2</f>
        <v>7263.309868</v>
      </c>
      <c r="L619" s="27">
        <f>=I619-K619</f>
        <v>1815.827467</v>
      </c>
    </row>
    <row r="620" spans="1:12">
      <c r="A620" s="23">
        <v>46286</v>
      </c>
      <c r="B620" s="21">
        <f>=H619</f>
        <v>36316549.34</v>
      </c>
      <c r="C620" s="25" t="s"/>
      <c r="D620" s="18" t="s"/>
      <c r="E620" s="18" t="s"/>
      <c r="F620" s="20" t="s"/>
      <c r="G620" s="26" t="s"/>
      <c r="H620" s="22">
        <f>=B620+C620+D620-E620-F620-G620</f>
        <v>36316549.34</v>
      </c>
      <c r="I620" s="22">
        <f>=H620/10000*2.5</f>
        <v>9079.137335</v>
      </c>
      <c r="J620" s="22">
        <f>=J619+I620</f>
        <v>2624278.12774752</v>
      </c>
      <c r="K620" s="27">
        <f>=H620/10000*2</f>
        <v>7263.309868</v>
      </c>
      <c r="L620" s="27">
        <f>=I620-K620</f>
        <v>1815.827467</v>
      </c>
    </row>
    <row r="621" spans="1:12">
      <c r="A621" s="23">
        <v>46287</v>
      </c>
      <c r="B621" s="21">
        <f>=H620</f>
        <v>36316549.34</v>
      </c>
      <c r="C621" s="25" t="s"/>
      <c r="D621" s="18" t="s"/>
      <c r="E621" s="18" t="s"/>
      <c r="F621" s="20" t="s"/>
      <c r="G621" s="26" t="s"/>
      <c r="H621" s="22">
        <f>=B621+C621+D621-E621-F621-G621</f>
        <v>36316549.34</v>
      </c>
      <c r="I621" s="22">
        <f>=H621/10000*2.5</f>
        <v>9079.137335</v>
      </c>
      <c r="J621" s="22">
        <f>=J620+I621</f>
        <v>2633357.26508252</v>
      </c>
      <c r="K621" s="27">
        <f>=H621/10000*2</f>
        <v>7263.309868</v>
      </c>
      <c r="L621" s="27">
        <f>=I621-K621</f>
        <v>1815.827467</v>
      </c>
    </row>
    <row r="622" spans="1:12">
      <c r="A622" s="23">
        <v>46288</v>
      </c>
      <c r="B622" s="21">
        <f>=H621</f>
        <v>36316549.34</v>
      </c>
      <c r="C622" s="25" t="s"/>
      <c r="D622" s="18" t="s"/>
      <c r="E622" s="18" t="s"/>
      <c r="F622" s="20" t="s"/>
      <c r="G622" s="26" t="s"/>
      <c r="H622" s="22">
        <f>=B622+C622+D622-E622-F622-G622</f>
        <v>36316549.34</v>
      </c>
      <c r="I622" s="22">
        <f>=H622/10000*2.5</f>
        <v>9079.137335</v>
      </c>
      <c r="J622" s="22">
        <f>=J621+I622</f>
        <v>2642436.40241752</v>
      </c>
      <c r="K622" s="27">
        <f>=H622/10000*2</f>
        <v>7263.309868</v>
      </c>
      <c r="L622" s="27">
        <f>=I622-K622</f>
        <v>1815.827467</v>
      </c>
    </row>
    <row r="623" spans="1:12">
      <c r="A623" s="23">
        <v>46289</v>
      </c>
      <c r="B623" s="21">
        <f>=H622</f>
        <v>36316549.34</v>
      </c>
      <c r="C623" s="25" t="s"/>
      <c r="D623" s="18" t="s"/>
      <c r="E623" s="18" t="s"/>
      <c r="F623" s="20" t="s"/>
      <c r="G623" s="26" t="s"/>
      <c r="H623" s="22">
        <f>=B623+C623+D623-E623-F623-G623</f>
        <v>36316549.34</v>
      </c>
      <c r="I623" s="22">
        <f>=H623/10000*2.5</f>
        <v>9079.137335</v>
      </c>
      <c r="J623" s="22">
        <f>=J622+I623</f>
        <v>2651515.53975252</v>
      </c>
      <c r="K623" s="27">
        <f>=H623/10000*2</f>
        <v>7263.309868</v>
      </c>
      <c r="L623" s="27">
        <f>=I623-K623</f>
        <v>1815.827467</v>
      </c>
    </row>
    <row r="624" spans="1:12">
      <c r="A624" s="23">
        <v>46290</v>
      </c>
      <c r="B624" s="21">
        <f>=H623</f>
        <v>36316549.34</v>
      </c>
      <c r="C624" s="25" t="s"/>
      <c r="D624" s="18" t="s"/>
      <c r="E624" s="18" t="s"/>
      <c r="F624" s="20" t="s"/>
      <c r="G624" s="26" t="s"/>
      <c r="H624" s="22">
        <f>=B624+C624+D624-E624-F624-G624</f>
        <v>36316549.34</v>
      </c>
      <c r="I624" s="22">
        <f>=H624/10000*2.5</f>
        <v>9079.137335</v>
      </c>
      <c r="J624" s="22">
        <f>=J623+I624</f>
        <v>2660594.67708752</v>
      </c>
      <c r="K624" s="27">
        <f>=H624/10000*2</f>
        <v>7263.309868</v>
      </c>
      <c r="L624" s="27">
        <f>=I624-K624</f>
        <v>1815.827467</v>
      </c>
    </row>
    <row r="625" spans="1:12">
      <c r="A625" s="23">
        <v>46291</v>
      </c>
      <c r="B625" s="21">
        <f>=H624</f>
        <v>36316549.34</v>
      </c>
      <c r="C625" s="25" t="s"/>
      <c r="D625" s="18" t="s"/>
      <c r="E625" s="18" t="s"/>
      <c r="F625" s="20" t="s"/>
      <c r="G625" s="26" t="s"/>
      <c r="H625" s="22">
        <f>=B625+C625+D625-E625-F625-G625</f>
        <v>36316549.34</v>
      </c>
      <c r="I625" s="22">
        <f>=H625/10000*2.5</f>
        <v>9079.137335</v>
      </c>
      <c r="J625" s="22">
        <f>=J624+I625</f>
        <v>2669673.81442252</v>
      </c>
      <c r="K625" s="27">
        <f>=H625/10000*2</f>
        <v>7263.309868</v>
      </c>
      <c r="L625" s="27">
        <f>=I625-K625</f>
        <v>1815.827467</v>
      </c>
    </row>
    <row r="626" spans="1:12">
      <c r="A626" s="23">
        <v>46292</v>
      </c>
      <c r="B626" s="21">
        <f>=H625</f>
        <v>36316549.34</v>
      </c>
      <c r="C626" s="25" t="s"/>
      <c r="D626" s="18" t="s"/>
      <c r="E626" s="18" t="s"/>
      <c r="F626" s="20" t="s"/>
      <c r="G626" s="26" t="s"/>
      <c r="H626" s="22">
        <f>=B626+C626+D626-E626-F626-G626</f>
        <v>36316549.34</v>
      </c>
      <c r="I626" s="22">
        <f>=H626/10000*2.5</f>
        <v>9079.137335</v>
      </c>
      <c r="J626" s="22">
        <f>=J625+I626</f>
        <v>2678752.95175752</v>
      </c>
      <c r="K626" s="27">
        <f>=H626/10000*2</f>
        <v>7263.309868</v>
      </c>
      <c r="L626" s="27">
        <f>=I626-K626</f>
        <v>1815.827467</v>
      </c>
    </row>
    <row r="627" spans="1:12">
      <c r="A627" s="23">
        <v>46293</v>
      </c>
      <c r="B627" s="21">
        <f>=H626</f>
        <v>36316549.34</v>
      </c>
      <c r="C627" s="25" t="s"/>
      <c r="D627" s="18" t="s"/>
      <c r="E627" s="18" t="s"/>
      <c r="F627" s="20" t="s"/>
      <c r="G627" s="26" t="s"/>
      <c r="H627" s="22">
        <f>=B627+C627+D627-E627-F627-G627</f>
        <v>36316549.34</v>
      </c>
      <c r="I627" s="22">
        <f>=H627/10000*2.5</f>
        <v>9079.137335</v>
      </c>
      <c r="J627" s="22">
        <f>=J626+I627</f>
        <v>2687832.08909252</v>
      </c>
      <c r="K627" s="27">
        <f>=H627/10000*2</f>
        <v>7263.309868</v>
      </c>
      <c r="L627" s="27">
        <f>=I627-K627</f>
        <v>1815.827467</v>
      </c>
    </row>
    <row r="628" spans="1:12">
      <c r="A628" s="23">
        <v>46294</v>
      </c>
      <c r="B628" s="21">
        <f>=H627</f>
        <v>36316549.34</v>
      </c>
      <c r="C628" s="25" t="s"/>
      <c r="D628" s="18" t="s"/>
      <c r="E628" s="18" t="s"/>
      <c r="F628" s="20" t="s"/>
      <c r="G628" s="26" t="s"/>
      <c r="H628" s="22">
        <f>=B628+C628+D628-E628-F628-G628</f>
        <v>36316549.34</v>
      </c>
      <c r="I628" s="22">
        <f>=H628/10000*2.5</f>
        <v>9079.137335</v>
      </c>
      <c r="J628" s="22">
        <f>=J627+I628</f>
        <v>2696911.22642752</v>
      </c>
      <c r="K628" s="27">
        <f>=H628/10000*2</f>
        <v>7263.309868</v>
      </c>
      <c r="L628" s="27">
        <f>=I628-K628</f>
        <v>1815.827467</v>
      </c>
    </row>
    <row r="629" spans="1:12">
      <c r="A629" s="23">
        <v>46295</v>
      </c>
      <c r="B629" s="21">
        <f>=H628</f>
        <v>36316549.34</v>
      </c>
      <c r="C629" s="25" t="s"/>
      <c r="D629" s="18" t="s"/>
      <c r="E629" s="18" t="s"/>
      <c r="F629" s="20" t="s"/>
      <c r="G629" s="26" t="s"/>
      <c r="H629" s="22">
        <f>=B629+C629+D629-E629-F629-G629</f>
        <v>36316549.34</v>
      </c>
      <c r="I629" s="22">
        <f>=H629/10000*2.5</f>
        <v>9079.137335</v>
      </c>
      <c r="J629" s="22">
        <f>=J628+I629</f>
        <v>2705990.36376252</v>
      </c>
      <c r="K629" s="27">
        <f>=H629/10000*2</f>
        <v>7263.309868</v>
      </c>
      <c r="L629" s="27">
        <f>=I629-K629</f>
        <v>1815.827467</v>
      </c>
    </row>
    <row r="630" spans="1:12">
      <c r="A630" s="23">
        <v>46296</v>
      </c>
      <c r="B630" s="21">
        <f>=H629</f>
        <v>36316549.34</v>
      </c>
      <c r="C630" s="25" t="s"/>
      <c r="D630" s="18" t="s"/>
      <c r="E630" s="18" t="s"/>
      <c r="F630" s="20" t="s"/>
      <c r="G630" s="26" t="s"/>
      <c r="H630" s="22">
        <f>=B630+C630+D630-E630-F630-G630</f>
        <v>36316549.34</v>
      </c>
      <c r="I630" s="22">
        <f>=H630/10000*2.5</f>
        <v>9079.137335</v>
      </c>
      <c r="J630" s="22">
        <f>=J629+I630</f>
        <v>2715069.50109752</v>
      </c>
      <c r="K630" s="27">
        <f>=H630/10000*2</f>
        <v>7263.309868</v>
      </c>
      <c r="L630" s="27">
        <f>=I630-K630</f>
        <v>1815.827467</v>
      </c>
    </row>
    <row r="631" spans="1:12">
      <c r="A631" s="23">
        <v>46297</v>
      </c>
      <c r="B631" s="21">
        <f>=H630</f>
        <v>36316549.34</v>
      </c>
      <c r="C631" s="25" t="s"/>
      <c r="D631" s="18" t="s"/>
      <c r="E631" s="18" t="s"/>
      <c r="F631" s="20" t="s"/>
      <c r="G631" s="26" t="s"/>
      <c r="H631" s="22">
        <f>=B631+C631+D631-E631-F631-G631</f>
        <v>36316549.34</v>
      </c>
      <c r="I631" s="22">
        <f>=H631/10000*2.5</f>
        <v>9079.137335</v>
      </c>
      <c r="J631" s="22">
        <f>=J630+I631</f>
        <v>2724148.63843252</v>
      </c>
      <c r="K631" s="27">
        <f>=H631/10000*2</f>
        <v>7263.309868</v>
      </c>
      <c r="L631" s="27">
        <f>=I631-K631</f>
        <v>1815.827467</v>
      </c>
    </row>
    <row r="632" spans="1:12">
      <c r="A632" s="23">
        <v>46298</v>
      </c>
      <c r="B632" s="21">
        <f>=H631</f>
        <v>36316549.34</v>
      </c>
      <c r="C632" s="25" t="s"/>
      <c r="D632" s="18" t="s"/>
      <c r="E632" s="18" t="s"/>
      <c r="F632" s="20" t="s"/>
      <c r="G632" s="26" t="s"/>
      <c r="H632" s="22">
        <f>=B632+C632+D632-E632-F632-G632</f>
        <v>36316549.34</v>
      </c>
      <c r="I632" s="22">
        <f>=H632/10000*2.5</f>
        <v>9079.137335</v>
      </c>
      <c r="J632" s="22">
        <f>=J631+I632</f>
        <v>2733227.77576752</v>
      </c>
      <c r="K632" s="27">
        <f>=H632/10000*2</f>
        <v>7263.309868</v>
      </c>
      <c r="L632" s="27">
        <f>=I632-K632</f>
        <v>1815.827467</v>
      </c>
    </row>
    <row r="633" spans="1:12">
      <c r="A633" s="23">
        <v>46299</v>
      </c>
      <c r="B633" s="21">
        <f>=H632</f>
        <v>36316549.34</v>
      </c>
      <c r="C633" s="25" t="s"/>
      <c r="D633" s="18" t="s"/>
      <c r="E633" s="18" t="s"/>
      <c r="F633" s="20" t="s"/>
      <c r="G633" s="26" t="s"/>
      <c r="H633" s="22">
        <f>=B633+C633+D633-E633-F633-G633</f>
        <v>36316549.34</v>
      </c>
      <c r="I633" s="22">
        <f>=H633/10000*2.5</f>
        <v>9079.137335</v>
      </c>
      <c r="J633" s="22">
        <f>=J632+I633</f>
        <v>2742306.91310252</v>
      </c>
      <c r="K633" s="27">
        <f>=H633/10000*2</f>
        <v>7263.309868</v>
      </c>
      <c r="L633" s="27">
        <f>=I633-K633</f>
        <v>1815.827467</v>
      </c>
    </row>
    <row r="634" spans="1:12">
      <c r="A634" s="23">
        <v>46300</v>
      </c>
      <c r="B634" s="21">
        <f>=H633</f>
        <v>36316549.34</v>
      </c>
      <c r="C634" s="25" t="s"/>
      <c r="D634" s="18" t="s"/>
      <c r="E634" s="18" t="s"/>
      <c r="F634" s="20" t="s"/>
      <c r="G634" s="26" t="s"/>
      <c r="H634" s="22">
        <f>=B634+C634+D634-E634-F634-G634</f>
        <v>36316549.34</v>
      </c>
      <c r="I634" s="22">
        <f>=H634/10000*2.5</f>
        <v>9079.137335</v>
      </c>
      <c r="J634" s="22">
        <f>=J633+I634</f>
        <v>2751386.05043752</v>
      </c>
      <c r="K634" s="27">
        <f>=H634/10000*2</f>
        <v>7263.309868</v>
      </c>
      <c r="L634" s="27">
        <f>=I634-K634</f>
        <v>1815.827467</v>
      </c>
    </row>
    <row r="635" spans="1:12">
      <c r="A635" s="23">
        <v>46301</v>
      </c>
      <c r="B635" s="21">
        <f>=H634</f>
        <v>36316549.34</v>
      </c>
      <c r="C635" s="25" t="s"/>
      <c r="D635" s="18" t="s"/>
      <c r="E635" s="18" t="s"/>
      <c r="F635" s="20" t="s"/>
      <c r="G635" s="26" t="s"/>
      <c r="H635" s="22">
        <f>=B635+C635+D635-E635-F635-G635</f>
        <v>36316549.34</v>
      </c>
      <c r="I635" s="22">
        <f>=H635/10000*2.5</f>
        <v>9079.137335</v>
      </c>
      <c r="J635" s="22">
        <f>=J634+I635</f>
        <v>2760465.18777252</v>
      </c>
      <c r="K635" s="27">
        <f>=H635/10000*2</f>
        <v>7263.309868</v>
      </c>
      <c r="L635" s="27">
        <f>=I635-K635</f>
        <v>1815.827467</v>
      </c>
    </row>
    <row r="636" spans="1:12">
      <c r="A636" s="23">
        <v>46302</v>
      </c>
      <c r="B636" s="21">
        <f>=H635</f>
        <v>36316549.34</v>
      </c>
      <c r="C636" s="25" t="s"/>
      <c r="D636" s="18" t="s"/>
      <c r="E636" s="18" t="s"/>
      <c r="F636" s="20" t="s"/>
      <c r="G636" s="26" t="s"/>
      <c r="H636" s="22">
        <f>=B636+C636+D636-E636-F636-G636</f>
        <v>36316549.34</v>
      </c>
      <c r="I636" s="22">
        <f>=H636/10000*2.5</f>
        <v>9079.137335</v>
      </c>
      <c r="J636" s="22">
        <f>=J635+I636</f>
        <v>2769544.32510752</v>
      </c>
      <c r="K636" s="27">
        <f>=H636/10000*2</f>
        <v>7263.309868</v>
      </c>
      <c r="L636" s="27">
        <f>=I636-K636</f>
        <v>1815.827467</v>
      </c>
    </row>
    <row r="637" spans="1:12">
      <c r="A637" s="23">
        <v>46303</v>
      </c>
      <c r="B637" s="21">
        <f>=H636</f>
        <v>36316549.34</v>
      </c>
      <c r="C637" s="25" t="s"/>
      <c r="D637" s="18" t="s"/>
      <c r="E637" s="18" t="s"/>
      <c r="F637" s="20" t="s"/>
      <c r="G637" s="26" t="s"/>
      <c r="H637" s="22">
        <f>=B637+C637+D637-E637-F637-G637</f>
        <v>36316549.34</v>
      </c>
      <c r="I637" s="22">
        <f>=H637/10000*2.5</f>
        <v>9079.137335</v>
      </c>
      <c r="J637" s="22">
        <f>=J636+I637</f>
        <v>2778623.46244252</v>
      </c>
      <c r="K637" s="27">
        <f>=H637/10000*2</f>
        <v>7263.309868</v>
      </c>
      <c r="L637" s="27">
        <f>=I637-K637</f>
        <v>1815.827467</v>
      </c>
    </row>
    <row r="638" spans="1:12">
      <c r="A638" s="23">
        <v>46304</v>
      </c>
      <c r="B638" s="21">
        <f>=H637</f>
        <v>36316549.34</v>
      </c>
      <c r="C638" s="25" t="s"/>
      <c r="D638" s="18" t="s"/>
      <c r="E638" s="18" t="s"/>
      <c r="F638" s="20" t="s"/>
      <c r="G638" s="26" t="s"/>
      <c r="H638" s="22">
        <f>=B638+C638+D638-E638-F638-G638</f>
        <v>36316549.34</v>
      </c>
      <c r="I638" s="22">
        <f>=H638/10000*2.5</f>
        <v>9079.137335</v>
      </c>
      <c r="J638" s="22">
        <f>=J637+I638</f>
        <v>2787702.59977752</v>
      </c>
      <c r="K638" s="27">
        <f>=H638/10000*2</f>
        <v>7263.309868</v>
      </c>
      <c r="L638" s="27">
        <f>=I638-K638</f>
        <v>1815.827467</v>
      </c>
    </row>
    <row r="639" spans="1:12">
      <c r="A639" s="23">
        <v>46305</v>
      </c>
      <c r="B639" s="21">
        <f>=H638</f>
        <v>36316549.34</v>
      </c>
      <c r="C639" s="25" t="s"/>
      <c r="D639" s="18" t="s"/>
      <c r="E639" s="18" t="s"/>
      <c r="F639" s="20" t="s"/>
      <c r="G639" s="26" t="s"/>
      <c r="H639" s="22">
        <f>=B639+C639+D639-E639-F639-G639</f>
        <v>36316549.34</v>
      </c>
      <c r="I639" s="22">
        <f>=H639/10000*2.5</f>
        <v>9079.137335</v>
      </c>
      <c r="J639" s="22">
        <f>=J638+I639</f>
        <v>2796781.73711252</v>
      </c>
      <c r="K639" s="27">
        <f>=H639/10000*2</f>
        <v>7263.309868</v>
      </c>
      <c r="L639" s="27">
        <f>=I639-K639</f>
        <v>1815.827467</v>
      </c>
    </row>
    <row r="640" spans="1:12">
      <c r="A640" s="23">
        <v>46306</v>
      </c>
      <c r="B640" s="21">
        <f>=H639</f>
        <v>36316549.34</v>
      </c>
      <c r="C640" s="25" t="s"/>
      <c r="D640" s="18" t="s"/>
      <c r="E640" s="18" t="s"/>
      <c r="F640" s="20" t="s"/>
      <c r="G640" s="26" t="s"/>
      <c r="H640" s="22">
        <f>=B640+C640+D640-E640-F640-G640</f>
        <v>36316549.34</v>
      </c>
      <c r="I640" s="22">
        <f>=H640/10000*2.5</f>
        <v>9079.137335</v>
      </c>
      <c r="J640" s="22">
        <f>=J639+I640</f>
        <v>2805860.87444752</v>
      </c>
      <c r="K640" s="27">
        <f>=H640/10000*2</f>
        <v>7263.309868</v>
      </c>
      <c r="L640" s="27">
        <f>=I640-K640</f>
        <v>1815.827467</v>
      </c>
    </row>
    <row r="641" spans="1:12">
      <c r="A641" s="23">
        <v>46307</v>
      </c>
      <c r="B641" s="21">
        <f>=H640</f>
        <v>36316549.34</v>
      </c>
      <c r="C641" s="25" t="s"/>
      <c r="D641" s="18" t="s"/>
      <c r="E641" s="18" t="s"/>
      <c r="F641" s="20" t="s"/>
      <c r="G641" s="26" t="s"/>
      <c r="H641" s="22">
        <f>=B641+C641+D641-E641-F641-G641</f>
        <v>36316549.34</v>
      </c>
      <c r="I641" s="22">
        <f>=H641/10000*2.5</f>
        <v>9079.137335</v>
      </c>
      <c r="J641" s="22">
        <f>=J640+I641</f>
        <v>2814940.01178252</v>
      </c>
      <c r="K641" s="27">
        <f>=H641/10000*2</f>
        <v>7263.309868</v>
      </c>
      <c r="L641" s="27">
        <f>=I641-K641</f>
        <v>1815.827467</v>
      </c>
    </row>
    <row r="642" spans="1:12">
      <c r="A642" s="23">
        <v>46308</v>
      </c>
      <c r="B642" s="21">
        <f>=H641</f>
        <v>36316549.34</v>
      </c>
      <c r="C642" s="25" t="s"/>
      <c r="D642" s="18" t="s"/>
      <c r="E642" s="18" t="s"/>
      <c r="F642" s="20" t="s"/>
      <c r="G642" s="26" t="s"/>
      <c r="H642" s="22">
        <f>=B642+C642+D642-E642-F642-G642</f>
        <v>36316549.34</v>
      </c>
      <c r="I642" s="22">
        <f>=H642/10000*2.5</f>
        <v>9079.137335</v>
      </c>
      <c r="J642" s="22">
        <f>=J641+I642</f>
        <v>2824019.14911752</v>
      </c>
      <c r="K642" s="27">
        <f>=H642/10000*2</f>
        <v>7263.309868</v>
      </c>
      <c r="L642" s="27">
        <f>=I642-K642</f>
        <v>1815.827467</v>
      </c>
    </row>
    <row r="643" spans="1:12">
      <c r="A643" s="23">
        <v>46309</v>
      </c>
      <c r="B643" s="21">
        <f>=H642</f>
        <v>36316549.34</v>
      </c>
      <c r="C643" s="25" t="s"/>
      <c r="D643" s="18" t="s"/>
      <c r="E643" s="18" t="s"/>
      <c r="F643" s="20" t="s"/>
      <c r="G643" s="26" t="s"/>
      <c r="H643" s="22">
        <f>=B643+C643+D643-E643-F643-G643</f>
        <v>36316549.34</v>
      </c>
      <c r="I643" s="22">
        <f>=H643/10000*2.5</f>
        <v>9079.137335</v>
      </c>
      <c r="J643" s="22">
        <f>=J642+I643</f>
        <v>2833098.28645252</v>
      </c>
      <c r="K643" s="27">
        <f>=H643/10000*2</f>
        <v>7263.309868</v>
      </c>
      <c r="L643" s="27">
        <f>=I643-K643</f>
        <v>1815.827467</v>
      </c>
    </row>
    <row r="644" spans="1:12">
      <c r="A644" s="23">
        <v>46310</v>
      </c>
      <c r="B644" s="21">
        <f>=H643</f>
        <v>36316549.34</v>
      </c>
      <c r="C644" s="25" t="s"/>
      <c r="D644" s="18" t="s"/>
      <c r="E644" s="18" t="s"/>
      <c r="F644" s="20" t="s"/>
      <c r="G644" s="26" t="s"/>
      <c r="H644" s="22">
        <f>=B644+C644+D644-E644-F644-G644</f>
        <v>36316549.34</v>
      </c>
      <c r="I644" s="22">
        <f>=H644/10000*2.5</f>
        <v>9079.137335</v>
      </c>
      <c r="J644" s="22">
        <f>=J643+I644</f>
        <v>2842177.42378752</v>
      </c>
      <c r="K644" s="27">
        <f>=H644/10000*2</f>
        <v>7263.309868</v>
      </c>
      <c r="L644" s="27">
        <f>=I644-K644</f>
        <v>1815.827467</v>
      </c>
    </row>
    <row r="645" spans="1:12">
      <c r="A645" s="23">
        <v>46311</v>
      </c>
      <c r="B645" s="21">
        <f>=H644</f>
        <v>36316549.34</v>
      </c>
      <c r="C645" s="25" t="s"/>
      <c r="D645" s="18" t="s"/>
      <c r="E645" s="18" t="s"/>
      <c r="F645" s="20" t="s"/>
      <c r="G645" s="26" t="s"/>
      <c r="H645" s="22">
        <f>=B645+C645+D645-E645-F645-G645</f>
        <v>36316549.34</v>
      </c>
      <c r="I645" s="22">
        <f>=H645/10000*2.5</f>
        <v>9079.137335</v>
      </c>
      <c r="J645" s="22">
        <f>=J644+I645</f>
        <v>2851256.56112252</v>
      </c>
      <c r="K645" s="27">
        <f>=H645/10000*2</f>
        <v>7263.309868</v>
      </c>
      <c r="L645" s="27">
        <f>=I645-K645</f>
        <v>1815.827467</v>
      </c>
    </row>
    <row r="646" spans="1:12">
      <c r="A646" s="23">
        <v>46312</v>
      </c>
      <c r="B646" s="21">
        <f>=H645</f>
        <v>36316549.34</v>
      </c>
      <c r="C646" s="25" t="s"/>
      <c r="D646" s="18" t="s"/>
      <c r="E646" s="18" t="s"/>
      <c r="F646" s="20" t="s"/>
      <c r="G646" s="26" t="s"/>
      <c r="H646" s="22">
        <f>=B646+C646+D646-E646-F646-G646</f>
        <v>36316549.34</v>
      </c>
      <c r="I646" s="22">
        <f>=H646/10000*2.5</f>
        <v>9079.137335</v>
      </c>
      <c r="J646" s="22">
        <f>=J645+I646</f>
        <v>2860335.69845752</v>
      </c>
      <c r="K646" s="27">
        <f>=H646/10000*2</f>
        <v>7263.309868</v>
      </c>
      <c r="L646" s="27">
        <f>=I646-K646</f>
        <v>1815.827467</v>
      </c>
    </row>
    <row r="647" spans="1:12">
      <c r="A647" s="23">
        <v>46313</v>
      </c>
      <c r="B647" s="21">
        <f>=H646</f>
        <v>36316549.34</v>
      </c>
      <c r="C647" s="25" t="s"/>
      <c r="D647" s="18" t="s"/>
      <c r="E647" s="18" t="s"/>
      <c r="F647" s="20" t="s"/>
      <c r="G647" s="26" t="s"/>
      <c r="H647" s="22">
        <f>=B647+C647+D647-E647-F647-G647</f>
        <v>36316549.34</v>
      </c>
      <c r="I647" s="22">
        <f>=H647/10000*2.5</f>
        <v>9079.137335</v>
      </c>
      <c r="J647" s="22">
        <f>=J646+I647</f>
        <v>2869414.83579252</v>
      </c>
      <c r="K647" s="27">
        <f>=H647/10000*2</f>
        <v>7263.309868</v>
      </c>
      <c r="L647" s="27">
        <f>=I647-K647</f>
        <v>1815.827467</v>
      </c>
    </row>
    <row r="648" spans="1:12">
      <c r="A648" s="23">
        <v>46314</v>
      </c>
      <c r="B648" s="21">
        <f>=H647</f>
        <v>36316549.34</v>
      </c>
      <c r="C648" s="25" t="s"/>
      <c r="D648" s="18" t="s"/>
      <c r="E648" s="18" t="s"/>
      <c r="F648" s="20" t="s"/>
      <c r="G648" s="26" t="s"/>
      <c r="H648" s="22">
        <f>=B648+C648+D648-E648-F648-G648</f>
        <v>36316549.34</v>
      </c>
      <c r="I648" s="22">
        <f>=H648/10000*2.5</f>
        <v>9079.137335</v>
      </c>
      <c r="J648" s="22">
        <f>=J647+I648</f>
        <v>2878493.97312752</v>
      </c>
      <c r="K648" s="27">
        <f>=H648/10000*2</f>
        <v>7263.309868</v>
      </c>
      <c r="L648" s="27">
        <f>=I648-K648</f>
        <v>1815.827467</v>
      </c>
    </row>
    <row r="649" spans="1:12">
      <c r="A649" s="23">
        <v>46315</v>
      </c>
      <c r="B649" s="21">
        <f>=H648</f>
        <v>36316549.34</v>
      </c>
      <c r="C649" s="25" t="s"/>
      <c r="D649" s="18" t="s"/>
      <c r="E649" s="18" t="s"/>
      <c r="F649" s="20" t="s"/>
      <c r="G649" s="26" t="s"/>
      <c r="H649" s="22">
        <f>=B649+C649+D649-E649-F649-G649</f>
        <v>36316549.34</v>
      </c>
      <c r="I649" s="22">
        <f>=H649/10000*2.5</f>
        <v>9079.137335</v>
      </c>
      <c r="J649" s="22">
        <f>=J648+I649</f>
        <v>2887573.11046252</v>
      </c>
      <c r="K649" s="27">
        <f>=H649/10000*2</f>
        <v>7263.309868</v>
      </c>
      <c r="L649" s="27">
        <f>=I649-K649</f>
        <v>1815.827467</v>
      </c>
    </row>
    <row r="650" spans="1:12">
      <c r="A650" s="23">
        <v>46316</v>
      </c>
      <c r="B650" s="21">
        <f>=H649</f>
        <v>36316549.34</v>
      </c>
      <c r="C650" s="25" t="s"/>
      <c r="D650" s="18" t="s"/>
      <c r="E650" s="18" t="s"/>
      <c r="F650" s="20" t="s"/>
      <c r="G650" s="26" t="s"/>
      <c r="H650" s="22">
        <f>=B650+C650+D650-E650-F650-G650</f>
        <v>36316549.34</v>
      </c>
      <c r="I650" s="22">
        <f>=H650/10000*2.5</f>
        <v>9079.137335</v>
      </c>
      <c r="J650" s="22">
        <f>=J649+I650</f>
        <v>2896652.24779752</v>
      </c>
      <c r="K650" s="27">
        <f>=H650/10000*2</f>
        <v>7263.309868</v>
      </c>
      <c r="L650" s="27">
        <f>=I650-K650</f>
        <v>1815.827467</v>
      </c>
    </row>
    <row r="651" spans="1:12">
      <c r="A651" s="23">
        <v>46317</v>
      </c>
      <c r="B651" s="21">
        <f>=H650</f>
        <v>36316549.34</v>
      </c>
      <c r="C651" s="25" t="s"/>
      <c r="D651" s="18" t="s"/>
      <c r="E651" s="18" t="s"/>
      <c r="F651" s="20" t="s"/>
      <c r="G651" s="26" t="s"/>
      <c r="H651" s="22">
        <f>=B651+C651+D651-E651-F651-G651</f>
        <v>36316549.34</v>
      </c>
      <c r="I651" s="22">
        <f>=H651/10000*2.5</f>
        <v>9079.137335</v>
      </c>
      <c r="J651" s="22">
        <f>=J650+I651</f>
        <v>2905731.38513252</v>
      </c>
      <c r="K651" s="27">
        <f>=H651/10000*2</f>
        <v>7263.309868</v>
      </c>
      <c r="L651" s="27">
        <f>=I651-K651</f>
        <v>1815.827467</v>
      </c>
    </row>
    <row r="652" spans="1:12">
      <c r="A652" s="23">
        <v>46318</v>
      </c>
      <c r="B652" s="21">
        <f>=H651</f>
        <v>36316549.34</v>
      </c>
      <c r="C652" s="25" t="s"/>
      <c r="D652" s="18" t="s"/>
      <c r="E652" s="18" t="s"/>
      <c r="F652" s="20" t="s"/>
      <c r="G652" s="26" t="s"/>
      <c r="H652" s="22">
        <f>=B652+C652+D652-E652-F652-G652</f>
        <v>36316549.34</v>
      </c>
      <c r="I652" s="22">
        <f>=H652/10000*2.5</f>
        <v>9079.137335</v>
      </c>
      <c r="J652" s="22">
        <f>=J651+I652</f>
        <v>2914810.52246752</v>
      </c>
      <c r="K652" s="27">
        <f>=H652/10000*2</f>
        <v>7263.309868</v>
      </c>
      <c r="L652" s="27">
        <f>=I652-K652</f>
        <v>1815.827467</v>
      </c>
    </row>
    <row r="653" spans="1:12">
      <c r="A653" s="23">
        <v>46319</v>
      </c>
      <c r="B653" s="21">
        <f>=H652</f>
        <v>36316549.34</v>
      </c>
      <c r="C653" s="25" t="s"/>
      <c r="D653" s="18" t="s"/>
      <c r="E653" s="18" t="s"/>
      <c r="F653" s="20" t="s"/>
      <c r="G653" s="26" t="s"/>
      <c r="H653" s="22">
        <f>=B653+C653+D653-E653-F653-G653</f>
        <v>36316549.34</v>
      </c>
      <c r="I653" s="22">
        <f>=H653/10000*2.5</f>
        <v>9079.137335</v>
      </c>
      <c r="J653" s="22">
        <f>=J652+I653</f>
        <v>2923889.65980252</v>
      </c>
      <c r="K653" s="27">
        <f>=H653/10000*2</f>
        <v>7263.309868</v>
      </c>
      <c r="L653" s="27">
        <f>=I653-K653</f>
        <v>1815.827467</v>
      </c>
    </row>
    <row r="654" spans="1:12">
      <c r="A654" s="23">
        <v>46320</v>
      </c>
      <c r="B654" s="21">
        <f>=H653</f>
        <v>36316549.34</v>
      </c>
      <c r="C654" s="25" t="s"/>
      <c r="D654" s="18" t="s"/>
      <c r="E654" s="18" t="s"/>
      <c r="F654" s="20" t="s"/>
      <c r="G654" s="26" t="s"/>
      <c r="H654" s="22">
        <f>=B654+C654+D654-E654-F654-G654</f>
        <v>36316549.34</v>
      </c>
      <c r="I654" s="22">
        <f>=H654/10000*2.5</f>
        <v>9079.137335</v>
      </c>
      <c r="J654" s="22">
        <f>=J653+I654</f>
        <v>2932968.79713752</v>
      </c>
      <c r="K654" s="27">
        <f>=H654/10000*2</f>
        <v>7263.309868</v>
      </c>
      <c r="L654" s="27">
        <f>=I654-K654</f>
        <v>1815.827467</v>
      </c>
    </row>
    <row r="655" spans="1:12">
      <c r="A655" s="28">
        <v>46321</v>
      </c>
      <c r="B655" s="21">
        <f>=H654</f>
        <v>36316549.34</v>
      </c>
      <c r="C655" s="25" t="s"/>
      <c r="D655" s="18" t="s"/>
      <c r="E655" s="18" t="s"/>
      <c r="F655" s="20" t="s"/>
      <c r="G655" s="26" t="s"/>
      <c r="H655" s="22">
        <f>=B655+C655+D655-E655-F655-G655</f>
        <v>36316549.34</v>
      </c>
      <c r="I655" s="22">
        <f>=H655/10000*2.5</f>
        <v>9079.137335</v>
      </c>
      <c r="J655" s="22">
        <f>=J654+I655</f>
        <v>2942047.93447252</v>
      </c>
      <c r="K655" s="27">
        <f>=H655/10000*2</f>
        <v>7263.309868</v>
      </c>
      <c r="L655" s="27">
        <f>=I655-K655</f>
        <v>1815.827467</v>
      </c>
    </row>
    <row r="656" spans="1:12">
      <c r="A656" s="28">
        <v>46322</v>
      </c>
      <c r="B656" s="21">
        <f>=H655</f>
        <v>36316549.34</v>
      </c>
      <c r="C656" s="25" t="s"/>
      <c r="D656" s="18" t="s"/>
      <c r="E656" s="18" t="s"/>
      <c r="F656" s="20" t="s"/>
      <c r="G656" s="26" t="s"/>
      <c r="H656" s="22">
        <f>=B656+C656+D656-E656-F656-G656</f>
        <v>36316549.34</v>
      </c>
      <c r="I656" s="22">
        <f>=H656/10000*2.5</f>
        <v>9079.137335</v>
      </c>
      <c r="J656" s="22">
        <f>=J655+I656</f>
        <v>2951127.07180752</v>
      </c>
      <c r="K656" s="27">
        <f>=H656/10000*2</f>
        <v>7263.309868</v>
      </c>
      <c r="L656" s="27">
        <f>=I656-K656</f>
        <v>1815.827467</v>
      </c>
    </row>
    <row r="657" spans="1:12">
      <c r="A657" s="28">
        <v>46323</v>
      </c>
      <c r="B657" s="21">
        <f>=H656</f>
        <v>36316549.34</v>
      </c>
      <c r="C657" s="25" t="s"/>
      <c r="D657" s="18" t="s"/>
      <c r="E657" s="18" t="s"/>
      <c r="F657" s="20" t="s"/>
      <c r="G657" s="26" t="s"/>
      <c r="H657" s="22">
        <f>=B657+C657+D657-E657-F657-G657</f>
        <v>36316549.34</v>
      </c>
      <c r="I657" s="22">
        <f>=H657/10000*2.5</f>
        <v>9079.137335</v>
      </c>
      <c r="J657" s="22">
        <f>=J656+I657</f>
        <v>2960206.20914252</v>
      </c>
      <c r="K657" s="27">
        <f>=H657/10000*2</f>
        <v>7263.309868</v>
      </c>
      <c r="L657" s="27">
        <f>=I657-K657</f>
        <v>1815.827467</v>
      </c>
    </row>
    <row r="658" spans="1:12">
      <c r="A658" s="28">
        <v>46324</v>
      </c>
      <c r="B658" s="21">
        <f>=H657</f>
        <v>36316549.34</v>
      </c>
      <c r="C658" s="25" t="s"/>
      <c r="D658" s="18" t="s"/>
      <c r="E658" s="18" t="s"/>
      <c r="F658" s="20" t="s"/>
      <c r="G658" s="26" t="s"/>
      <c r="H658" s="22">
        <f>=B658+C658+D658-E658-F658-G658</f>
        <v>36316549.34</v>
      </c>
      <c r="I658" s="22">
        <f>=H658/10000*2.5</f>
        <v>9079.137335</v>
      </c>
      <c r="J658" s="22">
        <f>=J657+I658</f>
        <v>2969285.34647752</v>
      </c>
      <c r="K658" s="27">
        <f>=H658/10000*2</f>
        <v>7263.309868</v>
      </c>
      <c r="L658" s="27">
        <f>=I658-K658</f>
        <v>1815.827467</v>
      </c>
    </row>
    <row r="659" spans="1:12">
      <c r="A659" s="28">
        <v>46325</v>
      </c>
      <c r="B659" s="29">
        <f>=H658</f>
        <v>36316549.34</v>
      </c>
      <c r="C659" s="30" t="s"/>
      <c r="D659" s="31" t="s"/>
      <c r="E659" s="31" t="s"/>
      <c r="F659" s="32" t="s"/>
      <c r="G659" s="26" t="s"/>
      <c r="H659" s="27">
        <f>=B659+C659+D659-E659-F659-G659</f>
        <v>36316549.34</v>
      </c>
      <c r="I659" s="27">
        <f>=H659/10000*2.5</f>
        <v>9079.137335</v>
      </c>
      <c r="J659" s="27">
        <f>=J658+I659</f>
        <v>2978364.48381252</v>
      </c>
      <c r="K659" s="27">
        <f>=H659/10000*2</f>
        <v>7263.309868</v>
      </c>
      <c r="L659" s="27">
        <f>=I659-K659</f>
        <v>1815.827467</v>
      </c>
    </row>
    <row r="660" spans="1:12">
      <c r="A660" s="28">
        <v>46326</v>
      </c>
      <c r="B660" s="29">
        <f>=H659</f>
        <v>36316549.34</v>
      </c>
      <c r="C660" s="30" t="s"/>
      <c r="D660" s="31" t="s"/>
      <c r="E660" s="31" t="s"/>
      <c r="F660" s="32" t="s"/>
      <c r="G660" s="26" t="s"/>
      <c r="H660" s="27">
        <f>=B660+C660+D660-E660-F660-G660</f>
        <v>36316549.34</v>
      </c>
      <c r="I660" s="27">
        <f>=H660/10000*2.5</f>
        <v>9079.137335</v>
      </c>
      <c r="J660" s="27">
        <f>=J659+I660</f>
        <v>2987443.62114752</v>
      </c>
      <c r="K660" s="27">
        <f>=H660/10000*2</f>
        <v>7263.309868</v>
      </c>
      <c r="L660" s="27">
        <f>=I660-K660</f>
        <v>1815.827467</v>
      </c>
    </row>
    <row r="661" spans="1:12">
      <c r="A661" s="28">
        <v>46327</v>
      </c>
      <c r="B661" s="29">
        <f>=H660</f>
        <v>36316549.34</v>
      </c>
      <c r="C661" s="30" t="s"/>
      <c r="D661" s="31" t="s"/>
      <c r="E661" s="31" t="s"/>
      <c r="F661" s="32" t="s"/>
      <c r="G661" s="26" t="s"/>
      <c r="H661" s="27">
        <f>=B661+C661+D661-E661-F661-G661</f>
        <v>36316549.34</v>
      </c>
      <c r="I661" s="27">
        <f>=H661/10000*2.5</f>
        <v>9079.137335</v>
      </c>
      <c r="J661" s="27">
        <f>=J660+I661</f>
        <v>2996522.75848252</v>
      </c>
      <c r="K661" s="27">
        <f>=H661/10000*2</f>
        <v>7263.309868</v>
      </c>
      <c r="L661" s="27">
        <f>=I661-K661</f>
        <v>1815.827467</v>
      </c>
    </row>
    <row r="662" spans="1:12">
      <c r="A662" s="28">
        <v>46328</v>
      </c>
      <c r="B662" s="29">
        <f>=H661</f>
        <v>36316549.34</v>
      </c>
      <c r="C662" s="30" t="s"/>
      <c r="D662" s="31" t="s"/>
      <c r="E662" s="31" t="s"/>
      <c r="F662" s="32" t="s"/>
      <c r="G662" s="26" t="s"/>
      <c r="H662" s="27">
        <f>=B662+C662+D662-E662-F662-G662</f>
        <v>36316549.34</v>
      </c>
      <c r="I662" s="27">
        <f>=H662/10000*2.5</f>
        <v>9079.137335</v>
      </c>
      <c r="J662" s="27">
        <f>=J661+I662</f>
        <v>3005601.89581752</v>
      </c>
      <c r="K662" s="27">
        <f>=H662/10000*2</f>
        <v>7263.309868</v>
      </c>
      <c r="L662" s="27">
        <f>=I662-K662</f>
        <v>1815.827467</v>
      </c>
    </row>
    <row r="663" spans="1:12">
      <c r="A663" s="28">
        <v>46329</v>
      </c>
      <c r="B663" s="29">
        <f>=H662</f>
        <v>36316549.34</v>
      </c>
      <c r="C663" s="30" t="s"/>
      <c r="D663" s="31" t="s"/>
      <c r="E663" s="31" t="s"/>
      <c r="F663" s="32" t="s"/>
      <c r="G663" s="26" t="s"/>
      <c r="H663" s="27">
        <f>=B663+C663+D663-E663-F663-G663</f>
        <v>36316549.34</v>
      </c>
      <c r="I663" s="27">
        <f>=H663/10000*2.5</f>
        <v>9079.137335</v>
      </c>
      <c r="J663" s="27">
        <f>=J662+I663</f>
        <v>3014681.03315252</v>
      </c>
      <c r="K663" s="27">
        <f>=H663/10000*2</f>
        <v>7263.309868</v>
      </c>
      <c r="L663" s="27">
        <f>=I663-K663</f>
        <v>1815.827467</v>
      </c>
    </row>
    <row r="664" spans="1:12">
      <c r="A664" s="28">
        <v>46330</v>
      </c>
      <c r="B664" s="29">
        <f>=H663</f>
        <v>36316549.34</v>
      </c>
      <c r="C664" s="30" t="s"/>
      <c r="D664" s="31" t="s"/>
      <c r="E664" s="31" t="s"/>
      <c r="F664" s="32" t="s"/>
      <c r="G664" s="26" t="s"/>
      <c r="H664" s="27">
        <f>=B664+C664+D664-E664-F664-G664</f>
        <v>36316549.34</v>
      </c>
      <c r="I664" s="27">
        <f>=H664/10000*2.5</f>
        <v>9079.137335</v>
      </c>
      <c r="J664" s="27">
        <f>=J663+I664</f>
        <v>3023760.17048752</v>
      </c>
      <c r="K664" s="27">
        <f>=H664/10000*2</f>
        <v>7263.309868</v>
      </c>
      <c r="L664" s="27">
        <f>=I664-K664</f>
        <v>1815.827467</v>
      </c>
    </row>
    <row r="665" spans="1:12">
      <c r="A665" s="28">
        <v>46331</v>
      </c>
      <c r="B665" s="29">
        <f>=H664</f>
        <v>36316549.34</v>
      </c>
      <c r="C665" s="30" t="s"/>
      <c r="D665" s="31" t="s"/>
      <c r="E665" s="31" t="s"/>
      <c r="F665" s="32" t="s"/>
      <c r="G665" s="26" t="s"/>
      <c r="H665" s="27">
        <f>=B665+C665+D665-E665-F665-G665</f>
        <v>36316549.34</v>
      </c>
      <c r="I665" s="27">
        <f>=H665/10000*2.5</f>
        <v>9079.137335</v>
      </c>
      <c r="J665" s="27">
        <f>=J664+I665</f>
        <v>3032839.30782252</v>
      </c>
      <c r="K665" s="27">
        <f>=H665/10000*2</f>
        <v>7263.309868</v>
      </c>
      <c r="L665" s="27">
        <f>=I665-K665</f>
        <v>1815.827467</v>
      </c>
    </row>
    <row r="666" spans="1:12">
      <c r="A666" s="28">
        <v>46332</v>
      </c>
      <c r="B666" s="29">
        <f>=H665</f>
        <v>36316549.34</v>
      </c>
      <c r="C666" s="30" t="s"/>
      <c r="D666" s="31" t="s"/>
      <c r="E666" s="31" t="s"/>
      <c r="F666" s="32" t="s"/>
      <c r="G666" s="26" t="s"/>
      <c r="H666" s="27">
        <f>=B666+C666+D666-E666-F666-G666</f>
        <v>36316549.34</v>
      </c>
      <c r="I666" s="27">
        <f>=H666/10000*2.5</f>
        <v>9079.137335</v>
      </c>
      <c r="J666" s="27">
        <f>=J665+I666</f>
        <v>3041918.44515752</v>
      </c>
      <c r="K666" s="27">
        <f>=H666/10000*2</f>
        <v>7263.309868</v>
      </c>
      <c r="L666" s="27">
        <f>=I666-K666</f>
        <v>1815.827467</v>
      </c>
    </row>
    <row r="667" spans="1:12">
      <c r="A667" s="28">
        <v>46333</v>
      </c>
      <c r="B667" s="29">
        <f>=H666</f>
        <v>36316549.34</v>
      </c>
      <c r="C667" s="30" t="s"/>
      <c r="D667" s="31" t="s"/>
      <c r="E667" s="31" t="s"/>
      <c r="F667" s="32" t="s"/>
      <c r="G667" s="26" t="s"/>
      <c r="H667" s="27">
        <f>=B667+C667+D667-E667-F667-G667</f>
        <v>36316549.34</v>
      </c>
      <c r="I667" s="27">
        <f>=H667/10000*2.5</f>
        <v>9079.137335</v>
      </c>
      <c r="J667" s="27">
        <f>=J666+I667</f>
        <v>3050997.58249252</v>
      </c>
      <c r="K667" s="27">
        <f>=H667/10000*2</f>
        <v>7263.309868</v>
      </c>
      <c r="L667" s="27">
        <f>=I667-K667</f>
        <v>1815.827467</v>
      </c>
    </row>
    <row r="668" spans="1:12">
      <c r="A668" s="28">
        <v>46334</v>
      </c>
      <c r="B668" s="29">
        <f>=H667</f>
        <v>36316549.34</v>
      </c>
      <c r="C668" s="30" t="s"/>
      <c r="D668" s="31" t="s"/>
      <c r="E668" s="31" t="s"/>
      <c r="F668" s="32" t="s"/>
      <c r="G668" s="26" t="s"/>
      <c r="H668" s="27">
        <f>=B668+C668+D668-E668-F668-G668</f>
        <v>36316549.34</v>
      </c>
      <c r="I668" s="27">
        <f>=H668/10000*2.5</f>
        <v>9079.137335</v>
      </c>
      <c r="J668" s="27">
        <f>=J667+I668</f>
        <v>3060076.71982752</v>
      </c>
      <c r="K668" s="27">
        <f>=H668/10000*2</f>
        <v>7263.309868</v>
      </c>
      <c r="L668" s="27">
        <f>=I668-K668</f>
        <v>1815.827467</v>
      </c>
    </row>
    <row r="669" spans="1:12">
      <c r="A669" s="28">
        <v>46335</v>
      </c>
      <c r="B669" s="29">
        <f>=H668</f>
        <v>36316549.34</v>
      </c>
      <c r="C669" s="30" t="s"/>
      <c r="D669" s="31" t="s"/>
      <c r="E669" s="31" t="s"/>
      <c r="F669" s="32" t="s"/>
      <c r="G669" s="26" t="s"/>
      <c r="H669" s="27">
        <f>=B669+C669+D669-E669-F669-G669</f>
        <v>36316549.34</v>
      </c>
      <c r="I669" s="27">
        <f>=H669/10000*2.5</f>
        <v>9079.137335</v>
      </c>
      <c r="J669" s="27">
        <f>=J668+I669</f>
        <v>3069155.85716252</v>
      </c>
      <c r="K669" s="27">
        <f>=H669/10000*2</f>
        <v>7263.309868</v>
      </c>
      <c r="L669" s="27">
        <f>=I669-K669</f>
        <v>1815.827467</v>
      </c>
    </row>
    <row r="670" spans="1:12">
      <c r="A670" s="28">
        <v>46336</v>
      </c>
      <c r="B670" s="29">
        <f>=H669</f>
        <v>36316549.34</v>
      </c>
      <c r="C670" s="30" t="s"/>
      <c r="D670" s="31" t="s"/>
      <c r="E670" s="31" t="s"/>
      <c r="F670" s="32" t="s"/>
      <c r="G670" s="26" t="s"/>
      <c r="H670" s="27">
        <f>=B670+C670+D670-E670-F670-G670</f>
        <v>36316549.34</v>
      </c>
      <c r="I670" s="27">
        <f>=H670/10000*2.5</f>
        <v>9079.137335</v>
      </c>
      <c r="J670" s="27">
        <f>=J669+I670</f>
        <v>3078234.99449752</v>
      </c>
      <c r="K670" s="27">
        <f>=H670/10000*2</f>
        <v>7263.309868</v>
      </c>
      <c r="L670" s="27">
        <f>=I670-K670</f>
        <v>1815.827467</v>
      </c>
    </row>
    <row r="671" spans="1:12">
      <c r="A671" s="28">
        <v>46337</v>
      </c>
      <c r="B671" s="29">
        <f>=H670</f>
        <v>36316549.34</v>
      </c>
      <c r="C671" s="30" t="s"/>
      <c r="D671" s="31" t="s"/>
      <c r="E671" s="31" t="s"/>
      <c r="F671" s="32" t="s"/>
      <c r="G671" s="26" t="s"/>
      <c r="H671" s="27">
        <f>=B671+C671+D671-E671-F671-G671</f>
        <v>36316549.34</v>
      </c>
      <c r="I671" s="27">
        <f>=H671/10000*2.5</f>
        <v>9079.137335</v>
      </c>
      <c r="J671" s="27">
        <f>=J670+I671</f>
        <v>3087314.13183252</v>
      </c>
      <c r="K671" s="27">
        <f>=H671/10000*2</f>
        <v>7263.309868</v>
      </c>
      <c r="L671" s="27">
        <f>=I671-K671</f>
        <v>1815.827467</v>
      </c>
    </row>
    <row r="672" spans="1:12">
      <c r="A672" s="28">
        <v>46338</v>
      </c>
      <c r="B672" s="29">
        <f>=H671</f>
        <v>36316549.34</v>
      </c>
      <c r="C672" s="30" t="s"/>
      <c r="D672" s="31" t="s"/>
      <c r="E672" s="31" t="s"/>
      <c r="F672" s="32" t="s"/>
      <c r="G672" s="26" t="s"/>
      <c r="H672" s="27">
        <f>=B672+C672+D672-E672-F672-G672</f>
        <v>36316549.34</v>
      </c>
      <c r="I672" s="27">
        <f>=H672/10000*2.5</f>
        <v>9079.137335</v>
      </c>
      <c r="J672" s="27">
        <f>=J671+I672</f>
        <v>3096393.26916752</v>
      </c>
      <c r="K672" s="27">
        <f>=H672/10000*2</f>
        <v>7263.309868</v>
      </c>
      <c r="L672" s="27">
        <f>=I672-K672</f>
        <v>1815.827467</v>
      </c>
    </row>
    <row r="673" spans="1:12">
      <c r="A673" s="28">
        <v>46339</v>
      </c>
      <c r="B673" s="29">
        <f>=H672</f>
        <v>36316549.34</v>
      </c>
      <c r="C673" s="30" t="s"/>
      <c r="D673" s="31" t="s"/>
      <c r="E673" s="31" t="s"/>
      <c r="F673" s="32" t="s"/>
      <c r="G673" s="26" t="s"/>
      <c r="H673" s="27">
        <f>=B673+C673+D673-E673-F673-G673</f>
        <v>36316549.34</v>
      </c>
      <c r="I673" s="27">
        <f>=H673/10000*2.5</f>
        <v>9079.137335</v>
      </c>
      <c r="J673" s="27">
        <f>=J672+I673</f>
        <v>3105472.40650252</v>
      </c>
      <c r="K673" s="27">
        <f>=H673/10000*2</f>
        <v>7263.309868</v>
      </c>
      <c r="L673" s="27">
        <f>=I673-K673</f>
        <v>1815.827467</v>
      </c>
    </row>
    <row r="674" spans="1:12">
      <c r="A674" s="28">
        <v>46340</v>
      </c>
      <c r="B674" s="29">
        <f>=H673</f>
        <v>36316549.34</v>
      </c>
      <c r="C674" s="30" t="s"/>
      <c r="D674" s="31" t="s"/>
      <c r="E674" s="31" t="s"/>
      <c r="F674" s="32" t="s"/>
      <c r="G674" s="26" t="s"/>
      <c r="H674" s="27">
        <f>=B674+C674+D674-E674-F674-G674</f>
        <v>36316549.34</v>
      </c>
      <c r="I674" s="27">
        <f>=H674/10000*2.5</f>
        <v>9079.137335</v>
      </c>
      <c r="J674" s="27">
        <f>=J673+I674</f>
        <v>3114551.54383752</v>
      </c>
      <c r="K674" s="27">
        <f>=H674/10000*2</f>
        <v>7263.309868</v>
      </c>
      <c r="L674" s="27">
        <f>=I674-K674</f>
        <v>1815.827467</v>
      </c>
    </row>
    <row r="675" spans="1:12">
      <c r="A675" s="28">
        <v>46341</v>
      </c>
      <c r="B675" s="29">
        <f>=H674</f>
        <v>36316549.34</v>
      </c>
      <c r="C675" s="30" t="s"/>
      <c r="D675" s="31" t="s"/>
      <c r="E675" s="31" t="s"/>
      <c r="F675" s="32" t="s"/>
      <c r="G675" s="26" t="s"/>
      <c r="H675" s="27">
        <f>=B675+C675+D675-E675-F675-G675</f>
        <v>36316549.34</v>
      </c>
      <c r="I675" s="27">
        <f>=H675/10000*2.5</f>
        <v>9079.137335</v>
      </c>
      <c r="J675" s="27">
        <f>=J674+I675</f>
        <v>3123630.68117252</v>
      </c>
      <c r="K675" s="27">
        <f>=H675/10000*2</f>
        <v>7263.309868</v>
      </c>
      <c r="L675" s="27">
        <f>=I675-K675</f>
        <v>1815.827467</v>
      </c>
    </row>
    <row r="676" spans="1:12">
      <c r="A676" s="28">
        <v>46342</v>
      </c>
      <c r="B676" s="29">
        <f>=H675</f>
        <v>36316549.34</v>
      </c>
      <c r="C676" s="30" t="s"/>
      <c r="D676" s="31" t="s"/>
      <c r="E676" s="31" t="s"/>
      <c r="F676" s="32" t="s"/>
      <c r="G676" s="26" t="s"/>
      <c r="H676" s="27">
        <f>=B676+C676+D676-E676-F676-G676</f>
        <v>36316549.34</v>
      </c>
      <c r="I676" s="27">
        <f>=H676/10000*2.5</f>
        <v>9079.137335</v>
      </c>
      <c r="J676" s="27">
        <f>=J675+I676</f>
        <v>3132709.81850752</v>
      </c>
      <c r="K676" s="27">
        <f>=H676/10000*2</f>
        <v>7263.309868</v>
      </c>
      <c r="L676" s="27">
        <f>=I676-K676</f>
        <v>1815.827467</v>
      </c>
    </row>
    <row r="677" spans="1:12">
      <c r="A677" s="28">
        <v>46343</v>
      </c>
      <c r="B677" s="29">
        <f>=H676</f>
        <v>36316549.34</v>
      </c>
      <c r="C677" s="30" t="s"/>
      <c r="D677" s="31" t="s"/>
      <c r="E677" s="31" t="s"/>
      <c r="F677" s="32" t="s"/>
      <c r="G677" s="26" t="s"/>
      <c r="H677" s="27">
        <f>=B677+C677+D677-E677-F677-G677</f>
        <v>36316549.34</v>
      </c>
      <c r="I677" s="27">
        <f>=H677/10000*2.5</f>
        <v>9079.137335</v>
      </c>
      <c r="J677" s="27">
        <f>=J676+I677</f>
        <v>3141788.95584252</v>
      </c>
      <c r="K677" s="27">
        <f>=H677/10000*2</f>
        <v>7263.309868</v>
      </c>
      <c r="L677" s="27">
        <f>=I677-K677</f>
        <v>1815.827467</v>
      </c>
    </row>
    <row r="678" spans="1:12">
      <c r="A678" s="28">
        <v>46344</v>
      </c>
      <c r="B678" s="29">
        <f>=H677</f>
        <v>36316549.34</v>
      </c>
      <c r="C678" s="30" t="s"/>
      <c r="D678" s="31" t="s"/>
      <c r="E678" s="31" t="s"/>
      <c r="F678" s="32" t="s"/>
      <c r="G678" s="26" t="s"/>
      <c r="H678" s="27">
        <f>=B678+C678+D678-E678-F678-G678</f>
        <v>36316549.34</v>
      </c>
      <c r="I678" s="27">
        <f>=H678/10000*2.5</f>
        <v>9079.137335</v>
      </c>
      <c r="J678" s="27">
        <f>=J677+I678</f>
        <v>3150868.09317752</v>
      </c>
      <c r="K678" s="27">
        <f>=H678/10000*2</f>
        <v>7263.309868</v>
      </c>
      <c r="L678" s="27">
        <f>=I678-K678</f>
        <v>1815.827467</v>
      </c>
    </row>
    <row r="679" spans="1:12">
      <c r="A679" s="28">
        <v>46345</v>
      </c>
      <c r="B679" s="29">
        <f>=H678</f>
        <v>36316549.34</v>
      </c>
      <c r="C679" s="30" t="s"/>
      <c r="D679" s="31" t="s"/>
      <c r="E679" s="31" t="s"/>
      <c r="F679" s="32" t="s"/>
      <c r="G679" s="26" t="s"/>
      <c r="H679" s="27">
        <f>=B679+C679+D679-E679-F679-G679</f>
        <v>36316549.34</v>
      </c>
      <c r="I679" s="27">
        <f>=H679/10000*2.5</f>
        <v>9079.137335</v>
      </c>
      <c r="J679" s="27">
        <f>=J678+I679</f>
        <v>3159947.23051252</v>
      </c>
      <c r="K679" s="27">
        <f>=H679/10000*2</f>
        <v>7263.309868</v>
      </c>
      <c r="L679" s="27">
        <f>=I679-K679</f>
        <v>1815.827467</v>
      </c>
    </row>
    <row r="680" spans="1:12">
      <c r="A680" s="28">
        <v>46346</v>
      </c>
      <c r="B680" s="29">
        <f>=H679</f>
        <v>36316549.34</v>
      </c>
      <c r="C680" s="30" t="s"/>
      <c r="D680" s="31" t="s"/>
      <c r="E680" s="31" t="s"/>
      <c r="F680" s="32" t="s"/>
      <c r="G680" s="26" t="s"/>
      <c r="H680" s="27">
        <f>=B680+C680+D680-E680-F680-G680</f>
        <v>36316549.34</v>
      </c>
      <c r="I680" s="27">
        <f>=H680/10000*2.5</f>
        <v>9079.137335</v>
      </c>
      <c r="J680" s="27">
        <f>=J679+I680</f>
        <v>3169026.36784752</v>
      </c>
      <c r="K680" s="27">
        <f>=H680/10000*2</f>
        <v>7263.309868</v>
      </c>
      <c r="L680" s="27">
        <f>=I680-K680</f>
        <v>1815.827467</v>
      </c>
    </row>
    <row r="681" spans="1:12">
      <c r="A681" s="28">
        <v>46347</v>
      </c>
      <c r="B681" s="29">
        <f>=H680</f>
        <v>36316549.34</v>
      </c>
      <c r="C681" s="30" t="s"/>
      <c r="D681" s="31" t="s"/>
      <c r="E681" s="31" t="s"/>
      <c r="F681" s="32" t="s"/>
      <c r="G681" s="26" t="s"/>
      <c r="H681" s="27">
        <f>=B681+C681+D681-E681-F681-G681</f>
        <v>36316549.34</v>
      </c>
      <c r="I681" s="27">
        <f>=H681/10000*2.5</f>
        <v>9079.137335</v>
      </c>
      <c r="J681" s="27">
        <f>=J680+I681</f>
        <v>3178105.50518252</v>
      </c>
      <c r="K681" s="27">
        <f>=H681/10000*2</f>
        <v>7263.309868</v>
      </c>
      <c r="L681" s="27">
        <f>=I681-K681</f>
        <v>1815.827467</v>
      </c>
    </row>
    <row r="682" spans="1:12">
      <c r="A682" s="28">
        <v>46348</v>
      </c>
      <c r="B682" s="29">
        <f>=H681</f>
        <v>36316549.34</v>
      </c>
      <c r="C682" s="30" t="s"/>
      <c r="D682" s="31" t="s"/>
      <c r="E682" s="31" t="s"/>
      <c r="F682" s="32" t="s"/>
      <c r="G682" s="26" t="s"/>
      <c r="H682" s="27">
        <f>=B682+C682+D682-E682-F682-G682</f>
        <v>36316549.34</v>
      </c>
      <c r="I682" s="27">
        <f>=H682/10000*2.5</f>
        <v>9079.137335</v>
      </c>
      <c r="J682" s="27">
        <f>=J681+I682</f>
        <v>3187184.64251752</v>
      </c>
      <c r="K682" s="27">
        <f>=H682/10000*2</f>
        <v>7263.309868</v>
      </c>
      <c r="L682" s="27">
        <f>=I682-K682</f>
        <v>1815.827467</v>
      </c>
    </row>
    <row r="683" spans="1:12">
      <c r="A683" s="28">
        <v>46349</v>
      </c>
      <c r="B683" s="29">
        <f>=H682</f>
        <v>36316549.34</v>
      </c>
      <c r="C683" s="30" t="s"/>
      <c r="D683" s="31" t="s"/>
      <c r="E683" s="31" t="s"/>
      <c r="F683" s="32" t="s"/>
      <c r="G683" s="26" t="s"/>
      <c r="H683" s="27">
        <f>=B683+C683+D683-E683-F683-G683</f>
        <v>36316549.34</v>
      </c>
      <c r="I683" s="27">
        <f>=H683/10000*2.5</f>
        <v>9079.137335</v>
      </c>
      <c r="J683" s="27">
        <f>=J682+I683</f>
        <v>3196263.77985252</v>
      </c>
      <c r="K683" s="27">
        <f>=H683/10000*2</f>
        <v>7263.309868</v>
      </c>
      <c r="L683" s="27">
        <f>=I683-K683</f>
        <v>1815.827467</v>
      </c>
    </row>
    <row r="684" spans="1:12">
      <c r="A684" s="28">
        <v>46350</v>
      </c>
      <c r="B684" s="29">
        <f>=H683</f>
        <v>36316549.34</v>
      </c>
      <c r="C684" s="30" t="s"/>
      <c r="D684" s="31" t="s"/>
      <c r="E684" s="31" t="s"/>
      <c r="F684" s="32" t="s"/>
      <c r="G684" s="26" t="s"/>
      <c r="H684" s="27">
        <f>=B684+C684+D684-E684-F684-G684</f>
        <v>36316549.34</v>
      </c>
      <c r="I684" s="27">
        <f>=H684/10000*2.5</f>
        <v>9079.137335</v>
      </c>
      <c r="J684" s="27">
        <f>=J683+I684</f>
        <v>3205342.91718752</v>
      </c>
      <c r="K684" s="27">
        <f>=H684/10000*2</f>
        <v>7263.309868</v>
      </c>
      <c r="L684" s="27">
        <f>=I684-K684</f>
        <v>1815.827467</v>
      </c>
    </row>
    <row r="685" spans="1:12">
      <c r="A685" s="28">
        <v>46351</v>
      </c>
      <c r="B685" s="29">
        <f>=H684</f>
        <v>36316549.34</v>
      </c>
      <c r="C685" s="30" t="s"/>
      <c r="D685" s="31" t="s"/>
      <c r="E685" s="31" t="s"/>
      <c r="F685" s="32" t="s"/>
      <c r="G685" s="26" t="s"/>
      <c r="H685" s="27">
        <f>=B685+C685+D685-E685-F685-G685</f>
        <v>36316549.34</v>
      </c>
      <c r="I685" s="27">
        <f>=H685/10000*2.5</f>
        <v>9079.137335</v>
      </c>
      <c r="J685" s="27">
        <f>=J684+I685</f>
        <v>3214422.05452252</v>
      </c>
      <c r="K685" s="27">
        <f>=H685/10000*2</f>
        <v>7263.309868</v>
      </c>
      <c r="L685" s="27">
        <f>=I685-K685</f>
        <v>1815.827467</v>
      </c>
    </row>
    <row r="686" spans="1:12">
      <c r="A686" s="28">
        <v>46352</v>
      </c>
      <c r="B686" s="29">
        <f>=H685</f>
        <v>36316549.34</v>
      </c>
      <c r="C686" s="30" t="s"/>
      <c r="D686" s="31" t="s"/>
      <c r="E686" s="31" t="s"/>
      <c r="F686" s="32" t="s"/>
      <c r="G686" s="26" t="s"/>
      <c r="H686" s="27">
        <f>=B686+C686+D686-E686-F686-G686</f>
        <v>36316549.34</v>
      </c>
      <c r="I686" s="27">
        <f>=H686/10000*2.5</f>
        <v>9079.137335</v>
      </c>
      <c r="J686" s="27">
        <f>=J685+I686</f>
        <v>3223501.19185752</v>
      </c>
      <c r="K686" s="27">
        <f>=H686/10000*2</f>
        <v>7263.309868</v>
      </c>
      <c r="L686" s="27">
        <f>=I686-K686</f>
        <v>1815.827467</v>
      </c>
    </row>
    <row r="687" spans="1:12">
      <c r="A687" s="28">
        <v>46353</v>
      </c>
      <c r="B687" s="29">
        <f>=H686</f>
        <v>36316549.34</v>
      </c>
      <c r="C687" s="30" t="s"/>
      <c r="D687" s="31" t="s"/>
      <c r="E687" s="31" t="s"/>
      <c r="F687" s="32" t="s"/>
      <c r="G687" s="26" t="s"/>
      <c r="H687" s="27">
        <f>=B687+C687+D687-E687-F687-G687</f>
        <v>36316549.34</v>
      </c>
      <c r="I687" s="27">
        <f>=H687/10000*2.5</f>
        <v>9079.137335</v>
      </c>
      <c r="J687" s="27">
        <f>=J686+I687</f>
        <v>3232580.32919252</v>
      </c>
      <c r="K687" s="27">
        <f>=H687/10000*2</f>
        <v>7263.309868</v>
      </c>
      <c r="L687" s="27">
        <f>=I687-K687</f>
        <v>1815.827467</v>
      </c>
    </row>
    <row r="688" spans="1:12">
      <c r="A688" s="28">
        <v>46354</v>
      </c>
      <c r="B688" s="29">
        <f>=H687</f>
        <v>36316549.34</v>
      </c>
      <c r="C688" s="30" t="s"/>
      <c r="D688" s="31" t="s"/>
      <c r="E688" s="31" t="s"/>
      <c r="F688" s="32" t="s"/>
      <c r="G688" s="26" t="s"/>
      <c r="H688" s="27">
        <f>=B688+C688+D688-E688-F688-G688</f>
        <v>36316549.34</v>
      </c>
      <c r="I688" s="27">
        <f>=H688/10000*2.5</f>
        <v>9079.137335</v>
      </c>
      <c r="J688" s="27">
        <f>=J687+I688</f>
        <v>3241659.46652752</v>
      </c>
      <c r="K688" s="27">
        <f>=H688/10000*2</f>
        <v>7263.309868</v>
      </c>
      <c r="L688" s="27">
        <f>=I688-K688</f>
        <v>1815.827467</v>
      </c>
    </row>
    <row r="689" spans="1:12">
      <c r="A689" s="28">
        <v>46355</v>
      </c>
      <c r="B689" s="29">
        <f>=H688</f>
        <v>36316549.34</v>
      </c>
      <c r="C689" s="30" t="s"/>
      <c r="D689" s="31" t="s"/>
      <c r="E689" s="31" t="s"/>
      <c r="F689" s="32" t="s"/>
      <c r="G689" s="26" t="s"/>
      <c r="H689" s="27">
        <f>=B689+C689+D689-E689-F689-G689</f>
        <v>36316549.34</v>
      </c>
      <c r="I689" s="27">
        <f>=H689/10000*2.5</f>
        <v>9079.137335</v>
      </c>
      <c r="J689" s="27">
        <f>=J688+I689</f>
        <v>3250738.60386252</v>
      </c>
      <c r="K689" s="27">
        <f>=H689/10000*2</f>
        <v>7263.309868</v>
      </c>
      <c r="L689" s="27">
        <f>=I689-K689</f>
        <v>1815.827467</v>
      </c>
    </row>
    <row r="690" spans="1:12">
      <c r="A690" s="28">
        <v>46356</v>
      </c>
      <c r="B690" s="29">
        <f>=H689</f>
        <v>36316549.34</v>
      </c>
      <c r="C690" s="30" t="s"/>
      <c r="D690" s="31" t="s"/>
      <c r="E690" s="31" t="s"/>
      <c r="F690" s="32" t="s"/>
      <c r="G690" s="26" t="s"/>
      <c r="H690" s="27">
        <f>=B690+C690+D690-E690-F690-G690</f>
        <v>36316549.34</v>
      </c>
      <c r="I690" s="27">
        <f>=H690/10000*2.5</f>
        <v>9079.137335</v>
      </c>
      <c r="J690" s="27">
        <f>=J689+I690</f>
        <v>3259817.74119752</v>
      </c>
      <c r="K690" s="27">
        <f>=H690/10000*2</f>
        <v>7263.309868</v>
      </c>
      <c r="L690" s="27">
        <f>=I690-K690</f>
        <v>1815.827467</v>
      </c>
    </row>
    <row r="691" spans="1:12">
      <c r="A691" s="28">
        <v>46357</v>
      </c>
      <c r="B691" s="29">
        <f>=H690</f>
        <v>36316549.34</v>
      </c>
      <c r="C691" s="30" t="s"/>
      <c r="D691" s="31" t="s"/>
      <c r="E691" s="31" t="s"/>
      <c r="F691" s="32" t="s"/>
      <c r="G691" s="26" t="s"/>
      <c r="H691" s="27">
        <f>=B691+C691+D691-E691-F691-G691</f>
        <v>36316549.34</v>
      </c>
      <c r="I691" s="27">
        <f>=H691/10000*2.5</f>
        <v>9079.137335</v>
      </c>
      <c r="J691" s="27">
        <f>=J690+I691</f>
        <v>3268896.87853252</v>
      </c>
      <c r="K691" s="27">
        <f>=H691/10000*2</f>
        <v>7263.309868</v>
      </c>
      <c r="L691" s="27">
        <f>=I691-K691</f>
        <v>1815.827467</v>
      </c>
    </row>
    <row r="692" spans="1:12">
      <c r="A692" s="28">
        <v>46358</v>
      </c>
      <c r="B692" s="29">
        <f>=H691</f>
        <v>36316549.34</v>
      </c>
      <c r="C692" s="30" t="s"/>
      <c r="D692" s="31" t="s"/>
      <c r="E692" s="31" t="s"/>
      <c r="F692" s="32" t="s"/>
      <c r="G692" s="26" t="s"/>
      <c r="H692" s="27">
        <f>=B692+C692+D692-E692-F692-G692</f>
        <v>36316549.34</v>
      </c>
      <c r="I692" s="27">
        <f>=H692/10000*2.5</f>
        <v>9079.137335</v>
      </c>
      <c r="J692" s="27">
        <f>=J691+I692</f>
        <v>3277976.01586752</v>
      </c>
      <c r="K692" s="27">
        <f>=H692/10000*2</f>
        <v>7263.309868</v>
      </c>
      <c r="L692" s="27">
        <f>=I692-K692</f>
        <v>1815.827467</v>
      </c>
    </row>
    <row r="693" spans="1:12">
      <c r="A693" s="28">
        <v>46359</v>
      </c>
      <c r="B693" s="29">
        <f>=H692</f>
        <v>36316549.34</v>
      </c>
      <c r="C693" s="30" t="s"/>
      <c r="D693" s="31" t="s"/>
      <c r="E693" s="31" t="s"/>
      <c r="F693" s="32" t="s"/>
      <c r="G693" s="26" t="s"/>
      <c r="H693" s="27">
        <f>=B693+C693+D693-E693-F693-G693</f>
        <v>36316549.34</v>
      </c>
      <c r="I693" s="27">
        <f>=H693/10000*2.5</f>
        <v>9079.137335</v>
      </c>
      <c r="J693" s="27">
        <f>=J692+I693</f>
        <v>3287055.15320252</v>
      </c>
      <c r="K693" s="27">
        <f>=H693/10000*2</f>
        <v>7263.309868</v>
      </c>
      <c r="L693" s="27">
        <f>=I693-K693</f>
        <v>1815.827467</v>
      </c>
    </row>
    <row r="694" spans="1:12">
      <c r="A694" s="28">
        <v>46360</v>
      </c>
      <c r="B694" s="29">
        <f>=H693</f>
        <v>36316549.34</v>
      </c>
      <c r="C694" s="30" t="s"/>
      <c r="D694" s="31" t="s"/>
      <c r="E694" s="31" t="s"/>
      <c r="F694" s="32" t="s"/>
      <c r="G694" s="26" t="s"/>
      <c r="H694" s="27">
        <f>=B694+C694+D694-E694-F694-G694</f>
        <v>36316549.34</v>
      </c>
      <c r="I694" s="27">
        <f>=H694/10000*2.5</f>
        <v>9079.137335</v>
      </c>
      <c r="J694" s="27">
        <f>=J693+I694</f>
        <v>3296134.29053752</v>
      </c>
      <c r="K694" s="27">
        <f>=H694/10000*2</f>
        <v>7263.309868</v>
      </c>
      <c r="L694" s="27">
        <f>=I694-K694</f>
        <v>1815.827467</v>
      </c>
    </row>
    <row r="695" spans="1:12">
      <c r="A695" s="28">
        <v>46361</v>
      </c>
      <c r="B695" s="29">
        <f>=H694</f>
        <v>36316549.34</v>
      </c>
      <c r="C695" s="30" t="s"/>
      <c r="D695" s="31" t="s"/>
      <c r="E695" s="31" t="s"/>
      <c r="F695" s="32" t="s"/>
      <c r="G695" s="26" t="s"/>
      <c r="H695" s="27">
        <f>=B695+C695+D695-E695-F695-G695</f>
        <v>36316549.34</v>
      </c>
      <c r="I695" s="27">
        <f>=H695/10000*2.5</f>
        <v>9079.137335</v>
      </c>
      <c r="J695" s="27">
        <f>=J694+I695</f>
        <v>3305213.42787252</v>
      </c>
      <c r="K695" s="27">
        <f>=H695/10000*2</f>
        <v>7263.309868</v>
      </c>
      <c r="L695" s="27">
        <f>=I695-K695</f>
        <v>1815.827467</v>
      </c>
    </row>
    <row r="696" spans="1:12">
      <c r="A696" s="28">
        <v>46362</v>
      </c>
      <c r="B696" s="29">
        <f>=H695</f>
        <v>36316549.34</v>
      </c>
      <c r="C696" s="30" t="s"/>
      <c r="D696" s="31" t="s"/>
      <c r="E696" s="31" t="s"/>
      <c r="F696" s="32" t="s"/>
      <c r="G696" s="26" t="s"/>
      <c r="H696" s="27">
        <f>=B696+C696+D696-E696-F696-G696</f>
        <v>36316549.34</v>
      </c>
      <c r="I696" s="27">
        <f>=H696/10000*2.5</f>
        <v>9079.137335</v>
      </c>
      <c r="J696" s="27">
        <f>=J695+I696</f>
        <v>3314292.56520752</v>
      </c>
      <c r="K696" s="27">
        <f>=H696/10000*2</f>
        <v>7263.309868</v>
      </c>
      <c r="L696" s="27">
        <f>=I696-K696</f>
        <v>1815.827467</v>
      </c>
    </row>
    <row r="697" spans="1:12">
      <c r="A697" s="28">
        <v>46363</v>
      </c>
      <c r="B697" s="29">
        <f>=H696</f>
        <v>36316549.34</v>
      </c>
      <c r="C697" s="30" t="s"/>
      <c r="D697" s="31" t="s"/>
      <c r="E697" s="31" t="s"/>
      <c r="F697" s="32" t="s"/>
      <c r="G697" s="26" t="s"/>
      <c r="H697" s="27">
        <f>=B697+C697+D697-E697-F697-G697</f>
        <v>36316549.34</v>
      </c>
      <c r="I697" s="27">
        <f>=H697/10000*2.5</f>
        <v>9079.137335</v>
      </c>
      <c r="J697" s="27">
        <f>=J696+I697</f>
        <v>3323371.70254252</v>
      </c>
      <c r="K697" s="27">
        <f>=H697/10000*2</f>
        <v>7263.309868</v>
      </c>
      <c r="L697" s="27">
        <f>=I697-K697</f>
        <v>1815.827467</v>
      </c>
    </row>
    <row r="698" spans="1:12">
      <c r="A698" s="28">
        <v>46364</v>
      </c>
      <c r="B698" s="29">
        <f>=H697</f>
        <v>36316549.34</v>
      </c>
      <c r="C698" s="30" t="s"/>
      <c r="D698" s="31" t="s"/>
      <c r="E698" s="31" t="s"/>
      <c r="F698" s="32" t="s"/>
      <c r="G698" s="26" t="s"/>
      <c r="H698" s="27">
        <f>=B698+C698+D698-E698-F698-G698</f>
        <v>36316549.34</v>
      </c>
      <c r="I698" s="27">
        <f>=H698/10000*2.5</f>
        <v>9079.137335</v>
      </c>
      <c r="J698" s="27">
        <f>=J697+I698</f>
        <v>3332450.83987752</v>
      </c>
      <c r="K698" s="27">
        <f>=H698/10000*2</f>
        <v>7263.309868</v>
      </c>
      <c r="L698" s="27">
        <f>=I698-K698</f>
        <v>1815.827467</v>
      </c>
    </row>
    <row r="699" spans="1:12">
      <c r="A699" s="28">
        <v>46365</v>
      </c>
      <c r="B699" s="29">
        <f>=H698</f>
        <v>36316549.34</v>
      </c>
      <c r="C699" s="30" t="s"/>
      <c r="D699" s="31" t="s"/>
      <c r="E699" s="31" t="s"/>
      <c r="F699" s="32" t="s"/>
      <c r="G699" s="26" t="s"/>
      <c r="H699" s="27">
        <f>=B699+C699+D699-E699-F699-G699</f>
        <v>36316549.34</v>
      </c>
      <c r="I699" s="27">
        <f>=H699/10000*2.5</f>
        <v>9079.137335</v>
      </c>
      <c r="J699" s="27">
        <f>=J698+I699</f>
        <v>3341529.97721252</v>
      </c>
      <c r="K699" s="27">
        <f>=H699/10000*2</f>
        <v>7263.309868</v>
      </c>
      <c r="L699" s="27">
        <f>=I699-K699</f>
        <v>1815.827467</v>
      </c>
    </row>
    <row r="700" spans="1:12">
      <c r="A700" s="28">
        <v>46366</v>
      </c>
      <c r="B700" s="29">
        <f>=H699</f>
        <v>36316549.34</v>
      </c>
      <c r="C700" s="30" t="s"/>
      <c r="D700" s="31" t="s"/>
      <c r="E700" s="31" t="s"/>
      <c r="F700" s="32" t="s"/>
      <c r="G700" s="26" t="s"/>
      <c r="H700" s="27">
        <f>=B700+C700+D700-E700-F700-G700</f>
        <v>36316549.34</v>
      </c>
      <c r="I700" s="27">
        <f>=H700/10000*2.5</f>
        <v>9079.137335</v>
      </c>
      <c r="J700" s="27">
        <f>=J699+I700</f>
        <v>3350609.11454752</v>
      </c>
      <c r="K700" s="27">
        <f>=H700/10000*2</f>
        <v>7263.309868</v>
      </c>
      <c r="L700" s="27">
        <f>=I700-K700</f>
        <v>1815.827467</v>
      </c>
    </row>
    <row r="701" spans="1:12">
      <c r="A701" s="28">
        <v>46367</v>
      </c>
      <c r="B701" s="29">
        <f>=H700</f>
        <v>36316549.34</v>
      </c>
      <c r="C701" s="30" t="s"/>
      <c r="D701" s="31" t="s"/>
      <c r="E701" s="31" t="s"/>
      <c r="F701" s="32" t="s"/>
      <c r="G701" s="26" t="s"/>
      <c r="H701" s="27">
        <f>=B701+C701+D701-E701-F701-G701</f>
        <v>36316549.34</v>
      </c>
      <c r="I701" s="27">
        <f>=H701/10000*2.5</f>
        <v>9079.137335</v>
      </c>
      <c r="J701" s="27">
        <f>=J700+I701</f>
        <v>3359688.25188253</v>
      </c>
      <c r="K701" s="27">
        <f>=H701/10000*2</f>
        <v>7263.309868</v>
      </c>
      <c r="L701" s="27">
        <f>=I701-K701</f>
        <v>1815.827467</v>
      </c>
    </row>
    <row r="702" spans="1:12">
      <c r="A702" s="28">
        <v>46368</v>
      </c>
      <c r="B702" s="29">
        <f>=H701</f>
        <v>36316549.34</v>
      </c>
      <c r="C702" s="30" t="s"/>
      <c r="D702" s="31" t="s"/>
      <c r="E702" s="31" t="s"/>
      <c r="F702" s="32" t="s"/>
      <c r="G702" s="26" t="s"/>
      <c r="H702" s="27">
        <f>=B702+C702+D702-E702-F702-G702</f>
        <v>36316549.34</v>
      </c>
      <c r="I702" s="27">
        <f>=H702/10000*2.5</f>
        <v>9079.137335</v>
      </c>
      <c r="J702" s="27">
        <f>=J701+I702</f>
        <v>3368767.38921753</v>
      </c>
      <c r="K702" s="27">
        <f>=H702/10000*2</f>
        <v>7263.309868</v>
      </c>
      <c r="L702" s="27">
        <f>=I702-K702</f>
        <v>1815.827467</v>
      </c>
    </row>
    <row r="703" spans="1:12">
      <c r="A703" s="28">
        <v>46369</v>
      </c>
      <c r="B703" s="29">
        <f>=H702</f>
        <v>36316549.34</v>
      </c>
      <c r="C703" s="30" t="s"/>
      <c r="D703" s="31" t="s"/>
      <c r="E703" s="31" t="s"/>
      <c r="F703" s="32" t="s"/>
      <c r="G703" s="26" t="s"/>
      <c r="H703" s="27">
        <f>=B703+C703+D703-E703-F703-G703</f>
        <v>36316549.34</v>
      </c>
      <c r="I703" s="27">
        <f>=H703/10000*2.5</f>
        <v>9079.137335</v>
      </c>
      <c r="J703" s="27">
        <f>=J702+I703</f>
        <v>3377846.52655253</v>
      </c>
      <c r="K703" s="27">
        <f>=H703/10000*2</f>
        <v>7263.309868</v>
      </c>
      <c r="L703" s="27">
        <f>=I703-K703</f>
        <v>1815.827467</v>
      </c>
    </row>
    <row r="704" spans="1:12">
      <c r="A704" s="28">
        <v>46370</v>
      </c>
      <c r="B704" s="29">
        <f>=H703</f>
        <v>36316549.34</v>
      </c>
      <c r="C704" s="30" t="s"/>
      <c r="D704" s="31" t="s"/>
      <c r="E704" s="31" t="s"/>
      <c r="F704" s="32" t="s"/>
      <c r="G704" s="26" t="s"/>
      <c r="H704" s="27">
        <f>=B704+C704+D704-E704-F704-G704</f>
        <v>36316549.34</v>
      </c>
      <c r="I704" s="27">
        <f>=H704/10000*2.5</f>
        <v>9079.137335</v>
      </c>
      <c r="J704" s="27">
        <f>=J703+I704</f>
        <v>3386925.66388753</v>
      </c>
      <c r="K704" s="27">
        <f>=H704/10000*2</f>
        <v>7263.309868</v>
      </c>
      <c r="L704" s="27">
        <f>=I704-K704</f>
        <v>1815.827467</v>
      </c>
    </row>
    <row r="705" spans="1:12">
      <c r="A705" s="28">
        <v>46371</v>
      </c>
      <c r="B705" s="29">
        <f>=H704</f>
        <v>36316549.34</v>
      </c>
      <c r="C705" s="30" t="s"/>
      <c r="D705" s="31" t="s"/>
      <c r="E705" s="31" t="s"/>
      <c r="F705" s="32" t="s"/>
      <c r="G705" s="26" t="s"/>
      <c r="H705" s="27">
        <f>=B705+C705+D705-E705-F705-G705</f>
        <v>36316549.34</v>
      </c>
      <c r="I705" s="27">
        <f>=H705/10000*2.5</f>
        <v>9079.137335</v>
      </c>
      <c r="J705" s="27">
        <f>=J704+I705</f>
        <v>3396004.80122253</v>
      </c>
      <c r="K705" s="27">
        <f>=H705/10000*2</f>
        <v>7263.309868</v>
      </c>
      <c r="L705" s="27">
        <f>=I705-K705</f>
        <v>1815.827467</v>
      </c>
    </row>
    <row r="706" spans="1:12">
      <c r="A706" s="28">
        <v>46372</v>
      </c>
      <c r="B706" s="29">
        <f>=H705</f>
        <v>36316549.34</v>
      </c>
      <c r="C706" s="30" t="s"/>
      <c r="D706" s="31" t="s"/>
      <c r="E706" s="31" t="s"/>
      <c r="F706" s="32" t="s"/>
      <c r="G706" s="26" t="s"/>
      <c r="H706" s="27">
        <f>=B706+C706+D706-E706-F706-G706</f>
        <v>36316549.34</v>
      </c>
      <c r="I706" s="27">
        <f>=H706/10000*2.5</f>
        <v>9079.137335</v>
      </c>
      <c r="J706" s="27">
        <f>=J705+I706</f>
        <v>3405083.93855753</v>
      </c>
      <c r="K706" s="27">
        <f>=H706/10000*2</f>
        <v>7263.309868</v>
      </c>
      <c r="L706" s="27">
        <f>=I706-K706</f>
        <v>1815.827467</v>
      </c>
    </row>
    <row r="707" spans="1:12">
      <c r="A707" s="28">
        <v>46373</v>
      </c>
      <c r="B707" s="29">
        <f>=H706</f>
        <v>36316549.34</v>
      </c>
      <c r="C707" s="30" t="s"/>
      <c r="D707" s="31" t="s"/>
      <c r="E707" s="31" t="s"/>
      <c r="F707" s="32" t="s"/>
      <c r="G707" s="26" t="s"/>
      <c r="H707" s="27">
        <f>=B707+C707+D707-E707-F707-G707</f>
        <v>36316549.34</v>
      </c>
      <c r="I707" s="27">
        <f>=H707/10000*2.5</f>
        <v>9079.137335</v>
      </c>
      <c r="J707" s="27">
        <f>=J706+I707</f>
        <v>3414163.07589253</v>
      </c>
      <c r="K707" s="27">
        <f>=H707/10000*2</f>
        <v>7263.309868</v>
      </c>
      <c r="L707" s="27">
        <f>=I707-K707</f>
        <v>1815.827467</v>
      </c>
    </row>
    <row r="708" spans="1:12">
      <c r="A708" s="28">
        <v>46374</v>
      </c>
      <c r="B708" s="29">
        <f>=H707</f>
        <v>36316549.34</v>
      </c>
      <c r="C708" s="30" t="s"/>
      <c r="D708" s="31" t="s"/>
      <c r="E708" s="31" t="s"/>
      <c r="F708" s="32" t="s"/>
      <c r="G708" s="26" t="s"/>
      <c r="H708" s="27">
        <f>=B708+C708+D708-E708-F708-G708</f>
        <v>36316549.34</v>
      </c>
      <c r="I708" s="27">
        <f>=H708/10000*2.5</f>
        <v>9079.137335</v>
      </c>
      <c r="J708" s="27">
        <f>=J707+I708</f>
        <v>3423242.21322753</v>
      </c>
      <c r="K708" s="27">
        <f>=H708/10000*2</f>
        <v>7263.309868</v>
      </c>
      <c r="L708" s="27">
        <f>=I708-K708</f>
        <v>1815.827467</v>
      </c>
    </row>
    <row r="709" spans="1:12">
      <c r="A709" s="28">
        <v>46375</v>
      </c>
      <c r="B709" s="29">
        <f>=H708</f>
        <v>36316549.34</v>
      </c>
      <c r="C709" s="30" t="s"/>
      <c r="D709" s="31" t="s"/>
      <c r="E709" s="31" t="s"/>
      <c r="F709" s="32" t="s"/>
      <c r="G709" s="26" t="s"/>
      <c r="H709" s="27">
        <f>=B709+C709+D709-E709-F709-G709</f>
        <v>36316549.34</v>
      </c>
      <c r="I709" s="27">
        <f>=H709/10000*2.5</f>
        <v>9079.137335</v>
      </c>
      <c r="J709" s="27">
        <f>=J708+I709</f>
        <v>3432321.35056253</v>
      </c>
      <c r="K709" s="27">
        <f>=H709/10000*2</f>
        <v>7263.309868</v>
      </c>
      <c r="L709" s="27">
        <f>=I709-K709</f>
        <v>1815.827467</v>
      </c>
    </row>
    <row r="710" spans="1:12">
      <c r="A710" s="28">
        <v>46376</v>
      </c>
      <c r="B710" s="29">
        <f>=H709</f>
        <v>36316549.34</v>
      </c>
      <c r="C710" s="30" t="s"/>
      <c r="D710" s="31" t="s"/>
      <c r="E710" s="31" t="s"/>
      <c r="F710" s="32" t="s"/>
      <c r="G710" s="26" t="s"/>
      <c r="H710" s="27">
        <f>=B710+C710+D710-E710-F710-G710</f>
        <v>36316549.34</v>
      </c>
      <c r="I710" s="27">
        <f>=H710/10000*2.5</f>
        <v>9079.137335</v>
      </c>
      <c r="J710" s="27">
        <f>=J709+I710</f>
        <v>3441400.48789753</v>
      </c>
      <c r="K710" s="27">
        <f>=H710/10000*2</f>
        <v>7263.309868</v>
      </c>
      <c r="L710" s="27">
        <f>=I710-K710</f>
        <v>1815.827467</v>
      </c>
    </row>
    <row r="711" spans="1:12">
      <c r="A711" s="28">
        <v>46377</v>
      </c>
      <c r="B711" s="29">
        <f>=H710</f>
        <v>36316549.34</v>
      </c>
      <c r="C711" s="30" t="s"/>
      <c r="D711" s="31" t="s"/>
      <c r="E711" s="31" t="s"/>
      <c r="F711" s="32" t="s"/>
      <c r="G711" s="26" t="s"/>
      <c r="H711" s="27">
        <f>=B711+C711+D711-E711-F711-G711</f>
        <v>36316549.34</v>
      </c>
      <c r="I711" s="27">
        <f>=H711/10000*2.5</f>
        <v>9079.137335</v>
      </c>
      <c r="J711" s="27">
        <f>=J710+I711</f>
        <v>3450479.62523253</v>
      </c>
      <c r="K711" s="27">
        <f>=H711/10000*2</f>
        <v>7263.309868</v>
      </c>
      <c r="L711" s="27">
        <f>=I711-K711</f>
        <v>1815.827467</v>
      </c>
    </row>
    <row r="712" spans="1:12">
      <c r="A712" s="28">
        <v>46378</v>
      </c>
      <c r="B712" s="29">
        <f>=H711</f>
        <v>36316549.34</v>
      </c>
      <c r="C712" s="30" t="s"/>
      <c r="D712" s="31" t="s"/>
      <c r="E712" s="31" t="s"/>
      <c r="F712" s="32" t="s"/>
      <c r="G712" s="26" t="s"/>
      <c r="H712" s="27">
        <f>=B712+C712+D712-E712-F712-G712</f>
        <v>36316549.34</v>
      </c>
      <c r="I712" s="27">
        <f>=H712/10000*2.5</f>
        <v>9079.137335</v>
      </c>
      <c r="J712" s="27">
        <f>=J711+I712</f>
        <v>3459558.76256753</v>
      </c>
      <c r="K712" s="27">
        <f>=H712/10000*2</f>
        <v>7263.309868</v>
      </c>
      <c r="L712" s="27">
        <f>=I712-K712</f>
        <v>1815.827467</v>
      </c>
    </row>
    <row r="713" spans="1:12">
      <c r="A713" s="28">
        <v>46379</v>
      </c>
      <c r="B713" s="29">
        <f>=H712</f>
        <v>36316549.34</v>
      </c>
      <c r="C713" s="30" t="s"/>
      <c r="D713" s="31" t="s"/>
      <c r="E713" s="31" t="s"/>
      <c r="F713" s="32" t="s"/>
      <c r="G713" s="26" t="s"/>
      <c r="H713" s="27">
        <f>=B713+C713+D713-E713-F713-G713</f>
        <v>36316549.34</v>
      </c>
      <c r="I713" s="27">
        <f>=H713/10000*2.5</f>
        <v>9079.137335</v>
      </c>
      <c r="J713" s="27">
        <f>=J712+I713</f>
        <v>3468637.89990253</v>
      </c>
      <c r="K713" s="27">
        <f>=H713/10000*2</f>
        <v>7263.309868</v>
      </c>
      <c r="L713" s="27">
        <f>=I713-K713</f>
        <v>1815.827467</v>
      </c>
    </row>
    <row r="714" spans="1:12">
      <c r="A714" s="28">
        <v>46380</v>
      </c>
      <c r="B714" s="29">
        <f>=H713</f>
        <v>36316549.34</v>
      </c>
      <c r="C714" s="30" t="s"/>
      <c r="D714" s="31" t="s"/>
      <c r="E714" s="31" t="s"/>
      <c r="F714" s="32" t="s"/>
      <c r="G714" s="26" t="s"/>
      <c r="H714" s="27">
        <f>=B714+C714+D714-E714-F714-G714</f>
        <v>36316549.34</v>
      </c>
      <c r="I714" s="27">
        <f>=H714/10000*2.5</f>
        <v>9079.137335</v>
      </c>
      <c r="J714" s="27">
        <f>=J713+I714</f>
        <v>3477717.03723753</v>
      </c>
      <c r="K714" s="27">
        <f>=H714/10000*2</f>
        <v>7263.309868</v>
      </c>
      <c r="L714" s="27">
        <f>=I714-K714</f>
        <v>1815.827467</v>
      </c>
    </row>
    <row r="715" spans="1:12">
      <c r="A715" s="28">
        <v>46381</v>
      </c>
      <c r="B715" s="29">
        <f>=H714</f>
        <v>36316549.34</v>
      </c>
      <c r="C715" s="30" t="s"/>
      <c r="D715" s="31" t="s"/>
      <c r="E715" s="31" t="s"/>
      <c r="F715" s="32" t="s"/>
      <c r="G715" s="26" t="s"/>
      <c r="H715" s="27">
        <f>=B715+C715+D715-E715-F715-G715</f>
        <v>36316549.34</v>
      </c>
      <c r="I715" s="27">
        <f>=H715/10000*2.5</f>
        <v>9079.137335</v>
      </c>
      <c r="J715" s="27">
        <f>=J714+I715</f>
        <v>3486796.17457253</v>
      </c>
      <c r="K715" s="27">
        <f>=H715/10000*2</f>
        <v>7263.309868</v>
      </c>
      <c r="L715" s="27">
        <f>=I715-K715</f>
        <v>1815.827467</v>
      </c>
    </row>
    <row r="716" spans="1:12">
      <c r="A716" s="28">
        <v>46382</v>
      </c>
      <c r="B716" s="29">
        <f>=H715</f>
        <v>36316549.34</v>
      </c>
      <c r="C716" s="30" t="s"/>
      <c r="D716" s="31" t="s"/>
      <c r="E716" s="31" t="s"/>
      <c r="F716" s="32" t="s"/>
      <c r="G716" s="26" t="s"/>
      <c r="H716" s="27">
        <f>=B716+C716+D716-E716-F716-G716</f>
        <v>36316549.34</v>
      </c>
      <c r="I716" s="27">
        <f>=H716/10000*2.5</f>
        <v>9079.137335</v>
      </c>
      <c r="J716" s="27">
        <f>=J715+I716</f>
        <v>3495875.31190753</v>
      </c>
      <c r="K716" s="27">
        <f>=H716/10000*2</f>
        <v>7263.309868</v>
      </c>
      <c r="L716" s="27">
        <f>=I716-K716</f>
        <v>1815.827467</v>
      </c>
    </row>
    <row r="717" spans="1:12">
      <c r="A717" s="28">
        <v>46383</v>
      </c>
      <c r="B717" s="29">
        <f>=H716</f>
        <v>36316549.34</v>
      </c>
      <c r="C717" s="30" t="s"/>
      <c r="D717" s="31" t="s"/>
      <c r="E717" s="31" t="s"/>
      <c r="F717" s="32" t="s"/>
      <c r="G717" s="26" t="s"/>
      <c r="H717" s="27">
        <f>=B717+C717+D717-E717-F717-G717</f>
        <v>36316549.34</v>
      </c>
      <c r="I717" s="27">
        <f>=H717/10000*2.5</f>
        <v>9079.137335</v>
      </c>
      <c r="J717" s="27">
        <f>=J716+I717</f>
        <v>3504954.44924253</v>
      </c>
      <c r="K717" s="27">
        <f>=H717/10000*2</f>
        <v>7263.309868</v>
      </c>
      <c r="L717" s="27">
        <f>=I717-K717</f>
        <v>1815.827467</v>
      </c>
    </row>
    <row r="718" spans="1:12">
      <c r="A718" s="28">
        <v>46384</v>
      </c>
      <c r="B718" s="29">
        <f>=H717</f>
        <v>36316549.34</v>
      </c>
      <c r="C718" s="30" t="s"/>
      <c r="D718" s="31" t="s"/>
      <c r="E718" s="31" t="s"/>
      <c r="F718" s="32" t="s"/>
      <c r="G718" s="26" t="s"/>
      <c r="H718" s="27">
        <f>=B718+C718+D718-E718-F718-G718</f>
        <v>36316549.34</v>
      </c>
      <c r="I718" s="27">
        <f>=H718/10000*2.5</f>
        <v>9079.137335</v>
      </c>
      <c r="J718" s="27">
        <f>=J717+I718</f>
        <v>3514033.58657753</v>
      </c>
      <c r="K718" s="27">
        <f>=H718/10000*2</f>
        <v>7263.309868</v>
      </c>
      <c r="L718" s="27">
        <f>=I718-K718</f>
        <v>1815.827467</v>
      </c>
    </row>
    <row r="719" spans="1:12">
      <c r="A719" s="28">
        <v>46385</v>
      </c>
      <c r="B719" s="29">
        <f>=H718</f>
        <v>36316549.34</v>
      </c>
      <c r="C719" s="30" t="s"/>
      <c r="D719" s="31" t="s"/>
      <c r="E719" s="31" t="s"/>
      <c r="F719" s="32" t="s"/>
      <c r="G719" s="26" t="s"/>
      <c r="H719" s="27">
        <f>=B719+C719+D719-E719-F719-G719</f>
        <v>36316549.34</v>
      </c>
      <c r="I719" s="27">
        <f>=H719/10000*2.5</f>
        <v>9079.137335</v>
      </c>
      <c r="J719" s="27">
        <f>=J718+I719</f>
        <v>3523112.72391253</v>
      </c>
      <c r="K719" s="27">
        <f>=H719/10000*2</f>
        <v>7263.309868</v>
      </c>
      <c r="L719" s="27">
        <f>=I719-K719</f>
        <v>1815.827467</v>
      </c>
    </row>
    <row r="720" spans="1:12">
      <c r="A720" s="28">
        <v>46386</v>
      </c>
      <c r="B720" s="29">
        <f>=H719</f>
        <v>36316549.34</v>
      </c>
      <c r="C720" s="30" t="s"/>
      <c r="D720" s="31" t="s"/>
      <c r="E720" s="31" t="s"/>
      <c r="F720" s="32" t="s"/>
      <c r="G720" s="26" t="s"/>
      <c r="H720" s="27">
        <f>=B720+C720+D720-E720-F720-G720</f>
        <v>36316549.34</v>
      </c>
      <c r="I720" s="27">
        <f>=H720/10000*2.5</f>
        <v>9079.137335</v>
      </c>
      <c r="J720" s="27">
        <f>=J719+I720</f>
        <v>3532191.86124753</v>
      </c>
      <c r="K720" s="27">
        <f>=H720/10000*2</f>
        <v>7263.309868</v>
      </c>
      <c r="L720" s="27">
        <f>=I720-K720</f>
        <v>1815.827467</v>
      </c>
    </row>
    <row r="721" spans="1:12">
      <c r="A721" s="28">
        <v>46387</v>
      </c>
      <c r="B721" s="29">
        <f>=H720</f>
        <v>36316549.34</v>
      </c>
      <c r="C721" s="30" t="s"/>
      <c r="D721" s="31" t="s"/>
      <c r="E721" s="31" t="s"/>
      <c r="F721" s="32" t="s"/>
      <c r="G721" s="26" t="s"/>
      <c r="H721" s="27">
        <f>=B721+C721+D721-E721-F721-G721</f>
        <v>36316549.34</v>
      </c>
      <c r="I721" s="27">
        <f>=H721/10000*2.5</f>
        <v>9079.137335</v>
      </c>
      <c r="J721" s="27">
        <f>=J720+I721</f>
        <v>3541270.99858253</v>
      </c>
      <c r="K721" s="27">
        <f>=H721/10000*2</f>
        <v>7263.309868</v>
      </c>
      <c r="L721" s="27">
        <f>=I721-K721</f>
        <v>1815.827467</v>
      </c>
    </row>
    <row r="722" spans="1:12">
      <c r="A722" s="28">
        <v>46388</v>
      </c>
      <c r="B722" s="29">
        <f>=H721</f>
        <v>36316549.34</v>
      </c>
      <c r="C722" s="30" t="s"/>
      <c r="D722" s="31" t="s"/>
      <c r="E722" s="31" t="s"/>
      <c r="F722" s="32" t="s"/>
      <c r="G722" s="26" t="s"/>
      <c r="H722" s="27">
        <f>=B722+C722+D722-E722-F722-G722</f>
        <v>36316549.34</v>
      </c>
      <c r="I722" s="27">
        <f>=H722/10000*2.5</f>
        <v>9079.137335</v>
      </c>
      <c r="J722" s="27">
        <f>=J721+I722</f>
        <v>3550350.13591753</v>
      </c>
      <c r="K722" s="27">
        <f>=H722/10000*2</f>
        <v>7263.309868</v>
      </c>
      <c r="L722" s="27">
        <f>=I722-K722</f>
        <v>1815.827467</v>
      </c>
    </row>
    <row r="723" spans="1:12">
      <c r="A723" s="28">
        <v>46389</v>
      </c>
      <c r="B723" s="29">
        <f>=H722</f>
        <v>36316549.34</v>
      </c>
      <c r="C723" s="30" t="s"/>
      <c r="D723" s="31" t="s"/>
      <c r="E723" s="31" t="s"/>
      <c r="F723" s="32" t="s"/>
      <c r="G723" s="26" t="s"/>
      <c r="H723" s="27">
        <f>=B723+C723+D723-E723-F723-G723</f>
        <v>36316549.34</v>
      </c>
      <c r="I723" s="27">
        <f>=H723/10000*2.5</f>
        <v>9079.137335</v>
      </c>
      <c r="J723" s="27">
        <f>=J722+I723</f>
        <v>3559429.27325253</v>
      </c>
      <c r="K723" s="27">
        <f>=H723/10000*2</f>
        <v>7263.309868</v>
      </c>
      <c r="L723" s="27">
        <f>=I723-K723</f>
        <v>1815.827467</v>
      </c>
    </row>
    <row r="724" spans="1:12">
      <c r="A724" s="28">
        <v>46390</v>
      </c>
      <c r="B724" s="29">
        <f>=H723</f>
        <v>36316549.34</v>
      </c>
      <c r="C724" s="30" t="s"/>
      <c r="D724" s="31" t="s"/>
      <c r="E724" s="31" t="s"/>
      <c r="F724" s="32" t="s"/>
      <c r="G724" s="26" t="s"/>
      <c r="H724" s="27">
        <f>=B724+C724+D724-E724-F724-G724</f>
        <v>36316549.34</v>
      </c>
      <c r="I724" s="27">
        <f>=H724/10000*2.5</f>
        <v>9079.137335</v>
      </c>
      <c r="J724" s="27">
        <f>=J723+I724</f>
        <v>3568508.41058753</v>
      </c>
      <c r="K724" s="27">
        <f>=H724/10000*2</f>
        <v>7263.309868</v>
      </c>
      <c r="L724" s="27">
        <f>=I724-K724</f>
        <v>1815.827467</v>
      </c>
    </row>
    <row r="725" spans="1:12">
      <c r="A725" s="28">
        <v>46391</v>
      </c>
      <c r="B725" s="29">
        <f>=H724</f>
        <v>36316549.34</v>
      </c>
      <c r="C725" s="30" t="s"/>
      <c r="D725" s="31" t="s"/>
      <c r="E725" s="31" t="s"/>
      <c r="F725" s="32" t="s"/>
      <c r="G725" s="26" t="s"/>
      <c r="H725" s="27">
        <f>=B725+C725+D725-E725-F725-G725</f>
        <v>36316549.34</v>
      </c>
      <c r="I725" s="27">
        <f>=H725/10000*2.5</f>
        <v>9079.137335</v>
      </c>
      <c r="J725" s="27">
        <f>=J724+I725</f>
        <v>3577587.54792253</v>
      </c>
      <c r="K725" s="27">
        <f>=H725/10000*2</f>
        <v>7263.309868</v>
      </c>
      <c r="L725" s="27">
        <f>=I725-K725</f>
        <v>1815.827467</v>
      </c>
    </row>
    <row r="726" spans="1:12">
      <c r="A726" s="28">
        <v>46392</v>
      </c>
      <c r="B726" s="29">
        <f>=H725</f>
        <v>36316549.34</v>
      </c>
      <c r="C726" s="30" t="s"/>
      <c r="D726" s="31" t="s"/>
      <c r="E726" s="31" t="s"/>
      <c r="F726" s="32" t="s"/>
      <c r="G726" s="26" t="s"/>
      <c r="H726" s="27">
        <f>=B726+C726+D726-E726-F726-G726</f>
        <v>36316549.34</v>
      </c>
      <c r="I726" s="27">
        <f>=H726/10000*2.5</f>
        <v>9079.137335</v>
      </c>
      <c r="J726" s="27">
        <f>=J725+I726</f>
        <v>3586666.68525753</v>
      </c>
      <c r="K726" s="27">
        <f>=H726/10000*2</f>
        <v>7263.309868</v>
      </c>
      <c r="L726" s="27">
        <f>=I726-K726</f>
        <v>1815.827467</v>
      </c>
    </row>
    <row r="727" spans="1:12">
      <c r="A727" s="28">
        <v>46393</v>
      </c>
      <c r="B727" s="29">
        <f>=H726</f>
        <v>36316549.34</v>
      </c>
      <c r="C727" s="30" t="s"/>
      <c r="D727" s="31" t="s"/>
      <c r="E727" s="31" t="s"/>
      <c r="F727" s="32" t="s"/>
      <c r="G727" s="26" t="s"/>
      <c r="H727" s="27">
        <f>=B727+C727+D727-E727-F727-G727</f>
        <v>36316549.34</v>
      </c>
      <c r="I727" s="27">
        <f>=H727/10000*2.5</f>
        <v>9079.137335</v>
      </c>
      <c r="J727" s="27">
        <f>=J726+I727</f>
        <v>3595745.82259253</v>
      </c>
      <c r="K727" s="27">
        <f>=H727/10000*2</f>
        <v>7263.309868</v>
      </c>
      <c r="L727" s="27">
        <f>=I727-K727</f>
        <v>1815.827467</v>
      </c>
    </row>
    <row r="728" spans="1:12">
      <c r="A728" s="28">
        <v>46394</v>
      </c>
      <c r="B728" s="29">
        <f>=H727</f>
        <v>36316549.34</v>
      </c>
      <c r="C728" s="30" t="s"/>
      <c r="D728" s="31" t="s"/>
      <c r="E728" s="31" t="s"/>
      <c r="F728" s="32" t="s"/>
      <c r="G728" s="26" t="s"/>
      <c r="H728" s="27">
        <f>=B728+C728+D728-E728-F728-G728</f>
        <v>36316549.34</v>
      </c>
      <c r="I728" s="27">
        <f>=H728/10000*2.5</f>
        <v>9079.137335</v>
      </c>
      <c r="J728" s="27">
        <f>=J727+I728</f>
        <v>3604824.95992753</v>
      </c>
      <c r="K728" s="27">
        <f>=H728/10000*2</f>
        <v>7263.309868</v>
      </c>
      <c r="L728" s="27">
        <f>=I728-K728</f>
        <v>1815.827467</v>
      </c>
    </row>
    <row r="729" spans="1:12">
      <c r="A729" s="28">
        <v>46395</v>
      </c>
      <c r="B729" s="29">
        <f>=H728</f>
        <v>36316549.34</v>
      </c>
      <c r="C729" s="30" t="s"/>
      <c r="D729" s="31" t="s"/>
      <c r="E729" s="31" t="s"/>
      <c r="F729" s="32" t="s"/>
      <c r="G729" s="26" t="s"/>
      <c r="H729" s="27">
        <f>=B729+C729+D729-E729-F729-G729</f>
        <v>36316549.34</v>
      </c>
      <c r="I729" s="27">
        <f>=H729/10000*2.5</f>
        <v>9079.137335</v>
      </c>
      <c r="J729" s="27">
        <f>=J728+I729</f>
        <v>3613904.09726253</v>
      </c>
      <c r="K729" s="27">
        <f>=H729/10000*2</f>
        <v>7263.309868</v>
      </c>
      <c r="L729" s="27">
        <f>=I729-K729</f>
        <v>1815.827467</v>
      </c>
    </row>
    <row r="730" spans="1:12">
      <c r="A730" s="28">
        <v>46396</v>
      </c>
      <c r="B730" s="29">
        <f>=H729</f>
        <v>36316549.34</v>
      </c>
      <c r="C730" s="30" t="s"/>
      <c r="D730" s="31" t="s"/>
      <c r="E730" s="31" t="s"/>
      <c r="F730" s="32" t="s"/>
      <c r="G730" s="26" t="s"/>
      <c r="H730" s="27">
        <f>=B730+C730+D730-E730-F730-G730</f>
        <v>36316549.34</v>
      </c>
      <c r="I730" s="27">
        <f>=H730/10000*2.5</f>
        <v>9079.137335</v>
      </c>
      <c r="J730" s="27">
        <f>=J729+I730</f>
        <v>3622983.23459753</v>
      </c>
      <c r="K730" s="27">
        <f>=H730/10000*2</f>
        <v>7263.309868</v>
      </c>
      <c r="L730" s="27">
        <f>=I730-K730</f>
        <v>1815.827467</v>
      </c>
    </row>
    <row r="731" spans="1:12">
      <c r="A731" s="28">
        <v>46397</v>
      </c>
      <c r="B731" s="29">
        <f>=H730</f>
        <v>36316549.34</v>
      </c>
      <c r="C731" s="30" t="s"/>
      <c r="D731" s="31" t="s"/>
      <c r="E731" s="31" t="s"/>
      <c r="F731" s="32" t="s"/>
      <c r="G731" s="26" t="s"/>
      <c r="H731" s="27">
        <f>=B731+C731+D731-E731-F731-G731</f>
        <v>36316549.34</v>
      </c>
      <c r="I731" s="27">
        <f>=H731/10000*2.5</f>
        <v>9079.137335</v>
      </c>
      <c r="J731" s="27">
        <f>=J730+I731</f>
        <v>3632062.37193253</v>
      </c>
      <c r="K731" s="27">
        <f>=H731/10000*2</f>
        <v>7263.309868</v>
      </c>
      <c r="L731" s="27">
        <f>=I731-K731</f>
        <v>1815.827467</v>
      </c>
    </row>
    <row r="732" spans="1:12">
      <c r="A732" s="28">
        <v>46398</v>
      </c>
      <c r="B732" s="29">
        <f>=H731</f>
        <v>36316549.34</v>
      </c>
      <c r="C732" s="30" t="s"/>
      <c r="D732" s="31" t="s"/>
      <c r="E732" s="31" t="s"/>
      <c r="F732" s="32" t="s"/>
      <c r="G732" s="26" t="s"/>
      <c r="H732" s="27">
        <f>=B732+C732+D732-E732-F732-G732</f>
        <v>36316549.34</v>
      </c>
      <c r="I732" s="27">
        <f>=H732/10000*2.5</f>
        <v>9079.137335</v>
      </c>
      <c r="J732" s="27">
        <f>=J731+I732</f>
        <v>3641141.50926753</v>
      </c>
      <c r="K732" s="27">
        <f>=H732/10000*2</f>
        <v>7263.309868</v>
      </c>
      <c r="L732" s="27">
        <f>=I732-K732</f>
        <v>1815.827467</v>
      </c>
    </row>
    <row r="733" spans="1:12">
      <c r="A733" s="28">
        <v>46399</v>
      </c>
      <c r="B733" s="29">
        <f>=H732</f>
        <v>36316549.34</v>
      </c>
      <c r="C733" s="30" t="s"/>
      <c r="D733" s="31" t="s"/>
      <c r="E733" s="31" t="s"/>
      <c r="F733" s="32" t="s"/>
      <c r="G733" s="26" t="s"/>
      <c r="H733" s="27">
        <f>=B733+C733+D733-E733-F733-G733</f>
        <v>36316549.34</v>
      </c>
      <c r="I733" s="27">
        <f>=H733/10000*2.5</f>
        <v>9079.137335</v>
      </c>
      <c r="J733" s="27">
        <f>=J732+I733</f>
        <v>3650220.64660253</v>
      </c>
      <c r="K733" s="27">
        <f>=H733/10000*2</f>
        <v>7263.309868</v>
      </c>
      <c r="L733" s="27">
        <f>=I733-K733</f>
        <v>1815.827467</v>
      </c>
    </row>
    <row r="734" spans="1:12">
      <c r="A734" s="28">
        <v>46400</v>
      </c>
      <c r="B734" s="29">
        <f>=H733</f>
        <v>36316549.34</v>
      </c>
      <c r="C734" s="30" t="s"/>
      <c r="D734" s="31" t="s"/>
      <c r="E734" s="31" t="s"/>
      <c r="F734" s="32" t="s"/>
      <c r="G734" s="26" t="s"/>
      <c r="H734" s="27">
        <f>=B734+C734+D734-E734-F734-G734</f>
        <v>36316549.34</v>
      </c>
      <c r="I734" s="27">
        <f>=H734/10000*2.5</f>
        <v>9079.137335</v>
      </c>
      <c r="J734" s="27">
        <f>=J733+I734</f>
        <v>3659299.78393753</v>
      </c>
      <c r="K734" s="27">
        <f>=H734/10000*2</f>
        <v>7263.309868</v>
      </c>
      <c r="L734" s="27">
        <f>=I734-K734</f>
        <v>1815.827467</v>
      </c>
    </row>
    <row r="735" spans="1:12">
      <c r="A735" s="28">
        <v>46401</v>
      </c>
      <c r="B735" s="29">
        <f>=H734</f>
        <v>36316549.34</v>
      </c>
      <c r="C735" s="30" t="s"/>
      <c r="D735" s="31" t="s"/>
      <c r="E735" s="31" t="s"/>
      <c r="F735" s="32" t="s"/>
      <c r="G735" s="26" t="s"/>
      <c r="H735" s="27">
        <f>=B735+C735+D735-E735-F735-G735</f>
        <v>36316549.34</v>
      </c>
      <c r="I735" s="27">
        <f>=H735/10000*2.5</f>
        <v>9079.137335</v>
      </c>
      <c r="J735" s="27">
        <f>=J734+I735</f>
        <v>3668378.92127253</v>
      </c>
      <c r="K735" s="27">
        <f>=H735/10000*2</f>
        <v>7263.309868</v>
      </c>
      <c r="L735" s="27">
        <f>=I735-K735</f>
        <v>1815.827467</v>
      </c>
    </row>
    <row r="736" spans="1:12">
      <c r="A736" s="28">
        <v>46402</v>
      </c>
      <c r="B736" s="29">
        <f>=H735</f>
        <v>36316549.34</v>
      </c>
      <c r="C736" s="30" t="s"/>
      <c r="D736" s="31" t="s"/>
      <c r="E736" s="31" t="s"/>
      <c r="F736" s="32" t="s"/>
      <c r="G736" s="26" t="s"/>
      <c r="H736" s="27">
        <f>=B736+C736+D736-E736-F736-G736</f>
        <v>36316549.34</v>
      </c>
      <c r="I736" s="27">
        <f>=H736/10000*2.5</f>
        <v>9079.137335</v>
      </c>
      <c r="J736" s="27">
        <f>=J735+I736</f>
        <v>3677458.05860753</v>
      </c>
      <c r="K736" s="27">
        <f>=H736/10000*2</f>
        <v>7263.309868</v>
      </c>
      <c r="L736" s="27">
        <f>=I736-K736</f>
        <v>1815.827467</v>
      </c>
    </row>
    <row r="737" spans="1:12">
      <c r="A737" s="28">
        <v>46403</v>
      </c>
      <c r="B737" s="29">
        <f>=H736</f>
        <v>36316549.34</v>
      </c>
      <c r="C737" s="30" t="s"/>
      <c r="D737" s="31" t="s"/>
      <c r="E737" s="31" t="s"/>
      <c r="F737" s="32" t="s"/>
      <c r="G737" s="26" t="s"/>
      <c r="H737" s="27">
        <f>=B737+C737+D737-E737-F737-G737</f>
        <v>36316549.34</v>
      </c>
      <c r="I737" s="27">
        <f>=H737/10000*2.5</f>
        <v>9079.137335</v>
      </c>
      <c r="J737" s="27">
        <f>=J736+I737</f>
        <v>3686537.19594253</v>
      </c>
      <c r="K737" s="27">
        <f>=H737/10000*2</f>
        <v>7263.309868</v>
      </c>
      <c r="L737" s="27">
        <f>=I737-K737</f>
        <v>1815.827467</v>
      </c>
    </row>
    <row r="738" spans="1:12">
      <c r="A738" s="28">
        <v>46404</v>
      </c>
      <c r="B738" s="29">
        <f>=H737</f>
        <v>36316549.34</v>
      </c>
      <c r="C738" s="30" t="s"/>
      <c r="D738" s="31" t="s"/>
      <c r="E738" s="31" t="s"/>
      <c r="F738" s="32" t="s"/>
      <c r="G738" s="26" t="s"/>
      <c r="H738" s="27">
        <f>=B738+C738+D738-E738-F738-G738</f>
        <v>36316549.34</v>
      </c>
      <c r="I738" s="27">
        <f>=H738/10000*2.5</f>
        <v>9079.137335</v>
      </c>
      <c r="J738" s="27">
        <f>=J737+I738</f>
        <v>3695616.33327753</v>
      </c>
      <c r="K738" s="27">
        <f>=H738/10000*2</f>
        <v>7263.309868</v>
      </c>
      <c r="L738" s="27">
        <f>=I738-K738</f>
        <v>1815.827467</v>
      </c>
    </row>
    <row r="739" spans="1:12">
      <c r="A739" s="28">
        <v>46405</v>
      </c>
      <c r="B739" s="29">
        <f>=H738</f>
        <v>36316549.34</v>
      </c>
      <c r="C739" s="30" t="s"/>
      <c r="D739" s="31" t="s"/>
      <c r="E739" s="31" t="s"/>
      <c r="F739" s="32" t="s"/>
      <c r="G739" s="26" t="s"/>
      <c r="H739" s="27">
        <f>=B739+C739+D739-E739-F739-G739</f>
        <v>36316549.34</v>
      </c>
      <c r="I739" s="27">
        <f>=H739/10000*2.5</f>
        <v>9079.137335</v>
      </c>
      <c r="J739" s="27">
        <f>=J738+I739</f>
        <v>3704695.47061253</v>
      </c>
      <c r="K739" s="27">
        <f>=H739/10000*2</f>
        <v>7263.309868</v>
      </c>
      <c r="L739" s="27">
        <f>=I739-K739</f>
        <v>1815.827467</v>
      </c>
    </row>
    <row r="740" spans="1:12">
      <c r="A740" s="28">
        <v>46406</v>
      </c>
      <c r="B740" s="29">
        <f>=H739</f>
        <v>36316549.34</v>
      </c>
      <c r="C740" s="30" t="s"/>
      <c r="D740" s="31" t="s"/>
      <c r="E740" s="31" t="s"/>
      <c r="F740" s="32" t="s"/>
      <c r="G740" s="26" t="s"/>
      <c r="H740" s="27">
        <f>=B740+C740+D740-E740-F740-G740</f>
        <v>36316549.34</v>
      </c>
      <c r="I740" s="27">
        <f>=H740/10000*2.5</f>
        <v>9079.137335</v>
      </c>
      <c r="J740" s="27">
        <f>=J739+I740</f>
        <v>3713774.60794753</v>
      </c>
      <c r="K740" s="27">
        <f>=H740/10000*2</f>
        <v>7263.309868</v>
      </c>
      <c r="L740" s="27">
        <f>=I740-K740</f>
        <v>1815.827467</v>
      </c>
    </row>
    <row r="741" spans="1:10">
      <c r="A741" s="33" t="s"/>
      <c r="B741" s="34" t="s"/>
      <c r="C741" s="34" t="s"/>
      <c r="D741" s="35" t="s"/>
      <c r="E741" s="35" t="s"/>
      <c r="F741" s="36" t="s"/>
      <c r="G741" s="34" t="s"/>
      <c r="H741" s="34" t="s"/>
      <c r="I741" s="34" t="s"/>
      <c r="J741" s="34" t="s"/>
    </row>
    <row r="742" spans="1:10">
      <c r="A742" s="33" t="s"/>
      <c r="B742" s="34" t="s"/>
      <c r="C742" s="34" t="s"/>
      <c r="D742" s="35" t="s"/>
      <c r="E742" s="35" t="s"/>
      <c r="F742" s="36" t="s"/>
      <c r="G742" s="34" t="s"/>
      <c r="H742" s="34" t="s"/>
      <c r="I742" s="34" t="s"/>
      <c r="J742" s="34" t="s"/>
    </row>
    <row r="743" spans="1:10">
      <c r="A743" s="33" t="s"/>
      <c r="B743" s="34" t="s"/>
      <c r="C743" s="34" t="s"/>
      <c r="D743" s="35" t="s"/>
      <c r="E743" s="35" t="s"/>
      <c r="F743" s="36" t="s"/>
      <c r="G743" s="34" t="s"/>
      <c r="H743" s="34" t="s"/>
      <c r="I743" s="34" t="s"/>
      <c r="J743" s="34" t="s"/>
    </row>
    <row r="744" spans="1:10">
      <c r="A744" s="33" t="s"/>
      <c r="B744" s="34" t="s"/>
      <c r="C744" s="34" t="s"/>
      <c r="D744" s="35" t="s"/>
      <c r="E744" s="35" t="s"/>
      <c r="F744" s="36" t="s"/>
      <c r="G744" s="34" t="s"/>
      <c r="H744" s="34" t="s"/>
      <c r="I744" s="34" t="s"/>
      <c r="J744" s="34" t="s"/>
    </row>
    <row r="745" spans="1:10">
      <c r="A745" s="33" t="s"/>
      <c r="B745" s="34" t="s"/>
      <c r="C745" s="34" t="s"/>
      <c r="D745" s="35" t="s"/>
      <c r="E745" s="35" t="s"/>
      <c r="F745" s="36" t="s"/>
      <c r="G745" s="34" t="s"/>
      <c r="H745" s="34" t="s"/>
      <c r="I745" s="34" t="s"/>
      <c r="J745" s="34" t="s"/>
    </row>
    <row r="746" spans="1:10">
      <c r="A746" s="33" t="s"/>
      <c r="B746" s="34" t="s"/>
      <c r="C746" s="34" t="s"/>
      <c r="D746" s="35" t="s"/>
      <c r="E746" s="35" t="s"/>
      <c r="F746" s="36" t="s"/>
      <c r="G746" s="34" t="s"/>
      <c r="H746" s="34" t="s"/>
      <c r="I746" s="34" t="s"/>
      <c r="J746" s="34" t="s"/>
    </row>
    <row r="747" spans="1:10">
      <c r="A747" s="33" t="s"/>
      <c r="B747" s="34" t="s"/>
      <c r="C747" s="34" t="s"/>
      <c r="D747" s="35" t="s"/>
      <c r="E747" s="35" t="s"/>
      <c r="F747" s="36" t="s"/>
      <c r="G747" s="34" t="s"/>
      <c r="H747" s="34" t="s"/>
      <c r="I747" s="34" t="s"/>
      <c r="J747" s="34" t="s"/>
    </row>
    <row r="748" spans="1:10">
      <c r="A748" s="33" t="s"/>
      <c r="B748" s="34" t="s"/>
      <c r="C748" s="34" t="s"/>
      <c r="D748" s="35" t="s"/>
      <c r="E748" s="35" t="s"/>
      <c r="F748" s="36" t="s"/>
      <c r="G748" s="34" t="s"/>
      <c r="H748" s="34" t="s"/>
      <c r="I748" s="34" t="s"/>
      <c r="J748" s="34" t="s"/>
    </row>
    <row r="749" spans="1:10">
      <c r="A749" s="33" t="s"/>
      <c r="B749" s="34" t="s"/>
      <c r="C749" s="34" t="s"/>
      <c r="D749" s="35" t="s"/>
      <c r="E749" s="35" t="s"/>
      <c r="F749" s="36" t="s"/>
      <c r="G749" s="34" t="s"/>
      <c r="H749" s="34" t="s"/>
      <c r="I749" s="34" t="s"/>
      <c r="J749" s="34" t="s"/>
    </row>
    <row r="750" spans="1:10">
      <c r="A750" s="33" t="s"/>
      <c r="B750" s="34" t="s"/>
      <c r="C750" s="34" t="s"/>
      <c r="D750" s="35" t="s"/>
      <c r="E750" s="35" t="s"/>
      <c r="F750" s="36" t="s"/>
      <c r="G750" s="34" t="s"/>
      <c r="H750" s="34" t="s"/>
      <c r="I750" s="34" t="s"/>
      <c r="J750" s="34" t="s"/>
    </row>
    <row r="751" spans="1:10">
      <c r="A751" s="33" t="s"/>
      <c r="B751" s="34" t="s"/>
      <c r="C751" s="34" t="s"/>
      <c r="D751" s="35" t="s"/>
      <c r="E751" s="35" t="s"/>
      <c r="F751" s="36" t="s"/>
      <c r="G751" s="34" t="s"/>
      <c r="H751" s="34" t="s"/>
      <c r="I751" s="34" t="s"/>
      <c r="J751" s="34" t="s"/>
    </row>
    <row r="752" spans="1:10">
      <c r="A752" s="33" t="s"/>
      <c r="B752" s="34" t="s"/>
      <c r="C752" s="34" t="s"/>
      <c r="D752" s="35" t="s"/>
      <c r="E752" s="35" t="s"/>
      <c r="F752" s="36" t="s"/>
      <c r="G752" s="34" t="s"/>
      <c r="H752" s="34" t="s"/>
      <c r="I752" s="34" t="s"/>
      <c r="J752" s="34" t="s"/>
    </row>
    <row r="753" spans="1:10">
      <c r="A753" s="33" t="s"/>
      <c r="B753" s="34" t="s"/>
      <c r="C753" s="34" t="s"/>
      <c r="D753" s="35" t="s"/>
      <c r="E753" s="35" t="s"/>
      <c r="F753" s="36" t="s"/>
      <c r="G753" s="34" t="s"/>
      <c r="H753" s="34" t="s"/>
      <c r="I753" s="34" t="s"/>
      <c r="J753" s="34" t="s"/>
    </row>
    <row r="754" spans="1:10">
      <c r="A754" s="33" t="s"/>
      <c r="B754" s="34" t="s"/>
      <c r="C754" s="34" t="s"/>
      <c r="D754" s="35" t="s"/>
      <c r="E754" s="35" t="s"/>
      <c r="F754" s="36" t="s"/>
      <c r="G754" s="34" t="s"/>
      <c r="H754" s="34" t="s"/>
      <c r="I754" s="34" t="s"/>
      <c r="J754" s="34" t="s"/>
    </row>
    <row r="755" spans="1:10">
      <c r="A755" s="33" t="s"/>
      <c r="B755" s="34" t="s"/>
      <c r="C755" s="34" t="s"/>
      <c r="D755" s="35" t="s"/>
      <c r="E755" s="35" t="s"/>
      <c r="F755" s="36" t="s"/>
      <c r="G755" s="34" t="s"/>
      <c r="H755" s="34" t="s"/>
      <c r="I755" s="34" t="s"/>
      <c r="J755" s="34" t="s"/>
    </row>
    <row r="756" spans="1:10">
      <c r="A756" s="33" t="s"/>
      <c r="B756" s="34" t="s"/>
      <c r="C756" s="34" t="s"/>
      <c r="D756" s="35" t="s"/>
      <c r="E756" s="35" t="s"/>
      <c r="F756" s="36" t="s"/>
      <c r="G756" s="34" t="s"/>
      <c r="H756" s="34" t="s"/>
      <c r="I756" s="34" t="s"/>
      <c r="J756" s="34" t="s"/>
    </row>
    <row r="757" spans="1:10">
      <c r="A757" s="33" t="s"/>
      <c r="B757" s="34" t="s"/>
      <c r="C757" s="34" t="s"/>
      <c r="D757" s="35" t="s"/>
      <c r="E757" s="35" t="s"/>
      <c r="F757" s="36" t="s"/>
      <c r="G757" s="34" t="s"/>
      <c r="H757" s="34" t="s"/>
      <c r="I757" s="34" t="s"/>
      <c r="J757" s="34" t="s"/>
    </row>
    <row r="758" spans="1:10">
      <c r="A758" s="33" t="s"/>
      <c r="B758" s="34" t="s"/>
      <c r="C758" s="34" t="s"/>
      <c r="D758" s="35" t="s"/>
      <c r="E758" s="35" t="s"/>
      <c r="F758" s="36" t="s"/>
      <c r="G758" s="34" t="s"/>
      <c r="H758" s="34" t="s"/>
      <c r="I758" s="34" t="s"/>
      <c r="J758" s="34" t="s"/>
    </row>
    <row r="759" spans="1:10">
      <c r="A759" s="33" t="s"/>
      <c r="B759" s="34" t="s"/>
      <c r="C759" s="34" t="s"/>
      <c r="D759" s="35" t="s"/>
      <c r="E759" s="35" t="s"/>
      <c r="F759" s="36" t="s"/>
      <c r="G759" s="34" t="s"/>
      <c r="H759" s="34" t="s"/>
      <c r="I759" s="34" t="s"/>
      <c r="J759" s="34" t="s"/>
    </row>
    <row r="760" spans="1:10">
      <c r="A760" s="33" t="s"/>
      <c r="B760" s="34" t="s"/>
      <c r="C760" s="34" t="s"/>
      <c r="D760" s="35" t="s"/>
      <c r="E760" s="35" t="s"/>
      <c r="F760" s="36" t="s"/>
      <c r="G760" s="34" t="s"/>
      <c r="H760" s="34" t="s"/>
      <c r="I760" s="34" t="s"/>
      <c r="J760" s="34" t="s"/>
    </row>
    <row r="761" spans="1:10">
      <c r="A761" s="33" t="s"/>
      <c r="B761" s="34" t="s"/>
      <c r="C761" s="34" t="s"/>
      <c r="D761" s="35" t="s"/>
      <c r="E761" s="35" t="s"/>
      <c r="F761" s="36" t="s"/>
      <c r="G761" s="34" t="s"/>
      <c r="H761" s="34" t="s"/>
      <c r="I761" s="34" t="s"/>
      <c r="J761" s="34" t="s"/>
    </row>
    <row r="762" spans="1:10">
      <c r="A762" s="33" t="s"/>
      <c r="B762" s="34" t="s"/>
      <c r="C762" s="34" t="s"/>
      <c r="D762" s="35" t="s"/>
      <c r="E762" s="35" t="s"/>
      <c r="F762" s="36" t="s"/>
      <c r="G762" s="34" t="s"/>
      <c r="H762" s="34" t="s"/>
      <c r="I762" s="34" t="s"/>
      <c r="J762" s="34" t="s"/>
    </row>
    <row r="763" spans="1:10">
      <c r="A763" s="33" t="s"/>
      <c r="B763" s="34" t="s"/>
      <c r="C763" s="34" t="s"/>
      <c r="D763" s="35" t="s"/>
      <c r="E763" s="35" t="s"/>
      <c r="F763" s="36" t="s"/>
      <c r="G763" s="34" t="s"/>
      <c r="H763" s="34" t="s"/>
      <c r="I763" s="34" t="s"/>
      <c r="J763" s="34" t="s"/>
    </row>
    <row r="764" spans="1:10">
      <c r="A764" s="33" t="s"/>
      <c r="B764" s="34" t="s"/>
      <c r="C764" s="34" t="s"/>
      <c r="D764" s="35" t="s"/>
      <c r="E764" s="35" t="s"/>
      <c r="F764" s="36" t="s"/>
      <c r="G764" s="34" t="s"/>
      <c r="H764" s="34" t="s"/>
      <c r="I764" s="34" t="s"/>
      <c r="J764" s="34" t="s"/>
    </row>
    <row r="765" spans="1:10">
      <c r="A765" s="33" t="s"/>
      <c r="B765" s="34" t="s"/>
      <c r="C765" s="34" t="s"/>
      <c r="D765" s="35" t="s"/>
      <c r="E765" s="35" t="s"/>
      <c r="F765" s="36" t="s"/>
      <c r="G765" s="34" t="s"/>
      <c r="H765" s="34" t="s"/>
      <c r="I765" s="34" t="s"/>
      <c r="J765" s="34" t="s"/>
    </row>
    <row r="766" spans="1:10">
      <c r="A766" s="33" t="s"/>
      <c r="B766" s="34" t="s"/>
      <c r="C766" s="34" t="s"/>
      <c r="D766" s="35" t="s"/>
      <c r="E766" s="35" t="s"/>
      <c r="F766" s="36" t="s"/>
      <c r="G766" s="34" t="s"/>
      <c r="H766" s="34" t="s"/>
      <c r="I766" s="34" t="s"/>
      <c r="J766" s="34" t="s"/>
    </row>
    <row r="767" spans="1:10">
      <c r="A767" s="33" t="s"/>
      <c r="B767" s="34" t="s"/>
      <c r="C767" s="34" t="s"/>
      <c r="D767" s="35" t="s"/>
      <c r="E767" s="35" t="s"/>
      <c r="F767" s="36" t="s"/>
      <c r="G767" s="34" t="s"/>
      <c r="H767" s="34" t="s"/>
      <c r="I767" s="34" t="s"/>
      <c r="J767" s="34" t="s"/>
    </row>
    <row r="768" spans="1:10">
      <c r="A768" s="33" t="s"/>
      <c r="B768" s="34" t="s"/>
      <c r="C768" s="34" t="s"/>
      <c r="D768" s="35" t="s"/>
      <c r="E768" s="35" t="s"/>
      <c r="F768" s="36" t="s"/>
      <c r="G768" s="34" t="s"/>
      <c r="H768" s="34" t="s"/>
      <c r="I768" s="34" t="s"/>
      <c r="J768" s="34" t="s"/>
    </row>
    <row r="769" spans="1:10">
      <c r="A769" s="33" t="s"/>
      <c r="B769" s="34" t="s"/>
      <c r="C769" s="34" t="s"/>
      <c r="D769" s="35" t="s"/>
      <c r="E769" s="35" t="s"/>
      <c r="F769" s="36" t="s"/>
      <c r="G769" s="34" t="s"/>
      <c r="H769" s="34" t="s"/>
      <c r="I769" s="34" t="s"/>
      <c r="J769" s="34" t="s"/>
    </row>
    <row r="770" spans="1:10">
      <c r="A770" s="33" t="s"/>
      <c r="B770" s="34" t="s"/>
      <c r="C770" s="34" t="s"/>
      <c r="D770" s="35" t="s"/>
      <c r="E770" s="35" t="s"/>
      <c r="F770" s="36" t="s"/>
      <c r="G770" s="34" t="s"/>
      <c r="H770" s="34" t="s"/>
      <c r="I770" s="34" t="s"/>
      <c r="J770" s="34" t="s"/>
    </row>
    <row r="771" spans="1:10">
      <c r="A771" s="33" t="s"/>
      <c r="B771" s="34" t="s"/>
      <c r="C771" s="34" t="s"/>
      <c r="D771" s="35" t="s"/>
      <c r="E771" s="35" t="s"/>
      <c r="F771" s="36" t="s"/>
      <c r="G771" s="34" t="s"/>
      <c r="H771" s="34" t="s"/>
      <c r="I771" s="34" t="s"/>
      <c r="J771" s="34" t="s"/>
    </row>
    <row r="772" spans="1:10">
      <c r="A772" s="33" t="s"/>
      <c r="B772" s="34" t="s"/>
      <c r="C772" s="34" t="s"/>
      <c r="D772" s="35" t="s"/>
      <c r="E772" s="35" t="s"/>
      <c r="F772" s="36" t="s"/>
      <c r="G772" s="34" t="s"/>
      <c r="H772" s="34" t="s"/>
      <c r="I772" s="34" t="s"/>
      <c r="J772" s="34" t="s"/>
    </row>
    <row r="773" spans="1:10">
      <c r="A773" s="33" t="s"/>
      <c r="B773" s="34" t="s"/>
      <c r="C773" s="34" t="s"/>
      <c r="D773" s="35" t="s"/>
      <c r="E773" s="35" t="s"/>
      <c r="F773" s="36" t="s"/>
      <c r="G773" s="34" t="s"/>
      <c r="H773" s="34" t="s"/>
      <c r="I773" s="34" t="s"/>
      <c r="J773" s="34" t="s"/>
    </row>
    <row r="774" spans="1:10">
      <c r="A774" s="33" t="s"/>
      <c r="B774" s="34" t="s"/>
      <c r="C774" s="34" t="s"/>
      <c r="D774" s="35" t="s"/>
      <c r="E774" s="35" t="s"/>
      <c r="F774" s="36" t="s"/>
      <c r="G774" s="34" t="s"/>
      <c r="H774" s="34" t="s"/>
      <c r="I774" s="34" t="s"/>
      <c r="J774" s="34" t="s"/>
    </row>
    <row r="775" spans="1:10">
      <c r="A775" s="33" t="s"/>
      <c r="B775" s="34" t="s"/>
      <c r="C775" s="34" t="s"/>
      <c r="D775" s="35" t="s"/>
      <c r="E775" s="35" t="s"/>
      <c r="F775" s="36" t="s"/>
      <c r="G775" s="34" t="s"/>
      <c r="H775" s="34" t="s"/>
      <c r="I775" s="34" t="s"/>
      <c r="J775" s="34" t="s"/>
    </row>
    <row r="776" spans="1:10">
      <c r="A776" s="33" t="s"/>
      <c r="B776" s="34" t="s"/>
      <c r="C776" s="34" t="s"/>
      <c r="D776" s="35" t="s"/>
      <c r="E776" s="35" t="s"/>
      <c r="F776" s="36" t="s"/>
      <c r="G776" s="34" t="s"/>
      <c r="H776" s="34" t="s"/>
      <c r="I776" s="34" t="s"/>
      <c r="J776" s="34" t="s"/>
    </row>
    <row r="777" spans="1:10">
      <c r="A777" s="33" t="s"/>
      <c r="B777" s="34" t="s"/>
      <c r="C777" s="34" t="s"/>
      <c r="D777" s="35" t="s"/>
      <c r="E777" s="35" t="s"/>
      <c r="F777" s="36" t="s"/>
      <c r="G777" s="34" t="s"/>
      <c r="H777" s="34" t="s"/>
      <c r="I777" s="34" t="s"/>
      <c r="J777" s="34" t="s"/>
    </row>
    <row r="778" spans="1:10">
      <c r="A778" s="33" t="s"/>
      <c r="B778" s="34" t="s"/>
      <c r="C778" s="34" t="s"/>
      <c r="D778" s="35" t="s"/>
      <c r="E778" s="35" t="s"/>
      <c r="F778" s="36" t="s"/>
      <c r="G778" s="34" t="s"/>
      <c r="H778" s="34" t="s"/>
      <c r="I778" s="34" t="s"/>
      <c r="J778" s="34" t="s"/>
    </row>
    <row r="779" spans="1:10">
      <c r="A779" s="33" t="s"/>
      <c r="B779" s="34" t="s"/>
      <c r="C779" s="34" t="s"/>
      <c r="D779" s="35" t="s"/>
      <c r="E779" s="35" t="s"/>
      <c r="F779" s="36" t="s"/>
      <c r="G779" s="34" t="s"/>
      <c r="H779" s="34" t="s"/>
      <c r="I779" s="34" t="s"/>
      <c r="J779" s="34" t="s"/>
    </row>
    <row r="780" spans="1:10">
      <c r="A780" s="33" t="s"/>
      <c r="B780" s="34" t="s"/>
      <c r="C780" s="34" t="s"/>
      <c r="D780" s="35" t="s"/>
      <c r="E780" s="35" t="s"/>
      <c r="F780" s="36" t="s"/>
      <c r="G780" s="34" t="s"/>
      <c r="H780" s="34" t="s"/>
      <c r="I780" s="34" t="s"/>
      <c r="J780" s="34" t="s"/>
    </row>
    <row r="781" spans="1:10">
      <c r="A781" s="33" t="s"/>
      <c r="B781" s="34" t="s"/>
      <c r="C781" s="34" t="s"/>
      <c r="D781" s="35" t="s"/>
      <c r="E781" s="35" t="s"/>
      <c r="F781" s="36" t="s"/>
      <c r="G781" s="34" t="s"/>
      <c r="H781" s="34" t="s"/>
      <c r="I781" s="34" t="s"/>
      <c r="J781" s="34" t="s"/>
    </row>
    <row r="782" spans="1:10">
      <c r="A782" s="33" t="s"/>
      <c r="B782" s="34" t="s"/>
      <c r="C782" s="34" t="s"/>
      <c r="D782" s="35" t="s"/>
      <c r="E782" s="35" t="s"/>
      <c r="F782" s="36" t="s"/>
      <c r="G782" s="34" t="s"/>
      <c r="H782" s="34" t="s"/>
      <c r="I782" s="34" t="s"/>
      <c r="J782" s="34" t="s"/>
    </row>
    <row r="783" spans="1:10">
      <c r="A783" s="33" t="s"/>
      <c r="B783" s="34" t="s"/>
      <c r="C783" s="34" t="s"/>
      <c r="D783" s="35" t="s"/>
      <c r="E783" s="35" t="s"/>
      <c r="F783" s="36" t="s"/>
      <c r="G783" s="34" t="s"/>
      <c r="H783" s="34" t="s"/>
      <c r="I783" s="34" t="s"/>
      <c r="J783" s="34" t="s"/>
    </row>
    <row r="784" spans="1:10">
      <c r="A784" s="33" t="s"/>
      <c r="B784" s="34" t="s"/>
      <c r="C784" s="34" t="s"/>
      <c r="D784" s="35" t="s"/>
      <c r="E784" s="35" t="s"/>
      <c r="F784" s="36" t="s"/>
      <c r="G784" s="34" t="s"/>
      <c r="H784" s="34" t="s"/>
      <c r="I784" s="34" t="s"/>
      <c r="J784" s="34" t="s"/>
    </row>
    <row r="785" spans="1:10">
      <c r="A785" s="33" t="s"/>
      <c r="B785" s="34" t="s"/>
      <c r="C785" s="34" t="s"/>
      <c r="D785" s="35" t="s"/>
      <c r="E785" s="35" t="s"/>
      <c r="F785" s="36" t="s"/>
      <c r="G785" s="34" t="s"/>
      <c r="H785" s="34" t="s"/>
      <c r="I785" s="34" t="s"/>
      <c r="J785" s="34" t="s"/>
    </row>
    <row r="786" spans="1:10">
      <c r="A786" s="33" t="s"/>
      <c r="B786" s="34" t="s"/>
      <c r="C786" s="34" t="s"/>
      <c r="D786" s="35" t="s"/>
      <c r="E786" s="35" t="s"/>
      <c r="F786" s="36" t="s"/>
      <c r="G786" s="34" t="s"/>
      <c r="H786" s="34" t="s"/>
      <c r="I786" s="34" t="s"/>
      <c r="J786" s="34" t="s"/>
    </row>
    <row r="787" spans="1:10">
      <c r="A787" s="33" t="s"/>
      <c r="B787" s="34" t="s"/>
      <c r="C787" s="34" t="s"/>
      <c r="D787" s="35" t="s"/>
      <c r="E787" s="35" t="s"/>
      <c r="F787" s="36" t="s"/>
      <c r="G787" s="34" t="s"/>
      <c r="H787" s="34" t="s"/>
      <c r="I787" s="34" t="s"/>
      <c r="J787" s="34" t="s"/>
    </row>
    <row r="788" spans="1:10">
      <c r="A788" s="33" t="s"/>
      <c r="B788" s="34" t="s"/>
      <c r="C788" s="34" t="s"/>
      <c r="D788" s="35" t="s"/>
      <c r="E788" s="35" t="s"/>
      <c r="F788" s="36" t="s"/>
      <c r="G788" s="34" t="s"/>
      <c r="H788" s="34" t="s"/>
      <c r="I788" s="34" t="s"/>
      <c r="J788" s="34" t="s"/>
    </row>
    <row r="789" spans="1:10">
      <c r="A789" s="33" t="s"/>
      <c r="B789" s="34" t="s"/>
      <c r="C789" s="34" t="s"/>
      <c r="D789" s="35" t="s"/>
      <c r="E789" s="35" t="s"/>
      <c r="F789" s="36" t="s"/>
      <c r="G789" s="34" t="s"/>
      <c r="H789" s="34" t="s"/>
      <c r="I789" s="34" t="s"/>
      <c r="J789" s="34" t="s"/>
    </row>
    <row r="790" spans="1:10">
      <c r="A790" s="33" t="s"/>
      <c r="B790" s="34" t="s"/>
      <c r="C790" s="34" t="s"/>
      <c r="D790" s="35" t="s"/>
      <c r="E790" s="35" t="s"/>
      <c r="F790" s="36" t="s"/>
      <c r="G790" s="34" t="s"/>
      <c r="H790" s="34" t="s"/>
      <c r="I790" s="34" t="s"/>
      <c r="J790" s="34" t="s"/>
    </row>
    <row r="791" spans="1:10">
      <c r="A791" s="33" t="s"/>
      <c r="B791" s="34" t="s"/>
      <c r="C791" s="34" t="s"/>
      <c r="D791" s="35" t="s"/>
      <c r="E791" s="35" t="s"/>
      <c r="F791" s="36" t="s"/>
      <c r="G791" s="34" t="s"/>
      <c r="H791" s="34" t="s"/>
      <c r="I791" s="34" t="s"/>
      <c r="J791" s="34" t="s"/>
    </row>
    <row r="792" spans="1:10">
      <c r="A792" s="33" t="s"/>
      <c r="B792" s="34" t="s"/>
      <c r="C792" s="34" t="s"/>
      <c r="D792" s="35" t="s"/>
      <c r="E792" s="35" t="s"/>
      <c r="F792" s="36" t="s"/>
      <c r="G792" s="34" t="s"/>
      <c r="H792" s="34" t="s"/>
      <c r="I792" s="34" t="s"/>
      <c r="J792" s="34" t="s"/>
    </row>
    <row r="793" spans="1:10">
      <c r="A793" s="33" t="s"/>
      <c r="B793" s="34" t="s"/>
      <c r="C793" s="34" t="s"/>
      <c r="D793" s="35" t="s"/>
      <c r="E793" s="35" t="s"/>
      <c r="F793" s="36" t="s"/>
      <c r="G793" s="34" t="s"/>
      <c r="H793" s="34" t="s"/>
      <c r="I793" s="34" t="s"/>
      <c r="J793" s="34" t="s"/>
    </row>
    <row r="794" spans="1:10">
      <c r="A794" s="33" t="s"/>
      <c r="B794" s="34" t="s"/>
      <c r="C794" s="34" t="s"/>
      <c r="D794" s="35" t="s"/>
      <c r="E794" s="35" t="s"/>
      <c r="F794" s="36" t="s"/>
      <c r="G794" s="34" t="s"/>
      <c r="H794" s="34" t="s"/>
      <c r="I794" s="34" t="s"/>
      <c r="J794" s="34" t="s"/>
    </row>
    <row r="795" spans="1:10">
      <c r="A795" s="33" t="s"/>
      <c r="B795" s="34" t="s"/>
      <c r="C795" s="34" t="s"/>
      <c r="D795" s="35" t="s"/>
      <c r="E795" s="35" t="s"/>
      <c r="F795" s="36" t="s"/>
      <c r="G795" s="34" t="s"/>
      <c r="H795" s="34" t="s"/>
      <c r="I795" s="34" t="s"/>
      <c r="J795" s="34" t="s"/>
    </row>
    <row r="796" spans="1:10">
      <c r="A796" s="33" t="s"/>
      <c r="B796" s="34" t="s"/>
      <c r="C796" s="34" t="s"/>
      <c r="D796" s="35" t="s"/>
      <c r="E796" s="35" t="s"/>
      <c r="F796" s="36" t="s"/>
      <c r="G796" s="34" t="s"/>
      <c r="H796" s="34" t="s"/>
      <c r="I796" s="34" t="s"/>
      <c r="J796" s="34" t="s"/>
    </row>
    <row r="797" spans="1:10">
      <c r="A797" s="33" t="s"/>
      <c r="B797" s="34" t="s"/>
      <c r="C797" s="34" t="s"/>
      <c r="D797" s="35" t="s"/>
      <c r="E797" s="35" t="s"/>
      <c r="F797" s="36" t="s"/>
      <c r="G797" s="34" t="s"/>
      <c r="H797" s="34" t="s"/>
      <c r="I797" s="34" t="s"/>
      <c r="J797" s="34" t="s"/>
    </row>
    <row r="798" spans="1:10">
      <c r="A798" s="33" t="s"/>
      <c r="B798" s="34" t="s"/>
      <c r="C798" s="34" t="s"/>
      <c r="D798" s="35" t="s"/>
      <c r="E798" s="35" t="s"/>
      <c r="F798" s="36" t="s"/>
      <c r="G798" s="34" t="s"/>
      <c r="H798" s="34" t="s"/>
      <c r="I798" s="34" t="s"/>
      <c r="J798" s="34" t="s"/>
    </row>
    <row r="799" spans="1:10">
      <c r="A799" s="33" t="s"/>
      <c r="B799" s="34" t="s"/>
      <c r="C799" s="34" t="s"/>
      <c r="D799" s="35" t="s"/>
      <c r="E799" s="35" t="s"/>
      <c r="F799" s="36" t="s"/>
      <c r="G799" s="34" t="s"/>
      <c r="H799" s="34" t="s"/>
      <c r="I799" s="34" t="s"/>
      <c r="J799" s="34" t="s"/>
    </row>
    <row r="800" spans="1:10">
      <c r="A800" s="33" t="s"/>
      <c r="B800" s="34" t="s"/>
      <c r="C800" s="34" t="s"/>
      <c r="D800" s="35" t="s"/>
      <c r="E800" s="35" t="s"/>
      <c r="F800" s="36" t="s"/>
      <c r="G800" s="34" t="s"/>
      <c r="H800" s="34" t="s"/>
      <c r="I800" s="34" t="s"/>
      <c r="J800" s="34" t="s"/>
    </row>
    <row r="801" spans="1:10">
      <c r="A801" s="33" t="s"/>
      <c r="B801" s="34" t="s"/>
      <c r="C801" s="34" t="s"/>
      <c r="D801" s="35" t="s"/>
      <c r="E801" s="35" t="s"/>
      <c r="F801" s="36" t="s"/>
      <c r="G801" s="34" t="s"/>
      <c r="H801" s="34" t="s"/>
      <c r="I801" s="34" t="s"/>
      <c r="J801" s="34" t="s"/>
    </row>
    <row r="802" spans="1:10">
      <c r="A802" s="33" t="s"/>
      <c r="B802" s="34" t="s"/>
      <c r="C802" s="34" t="s"/>
      <c r="D802" s="35" t="s"/>
      <c r="E802" s="35" t="s"/>
      <c r="F802" s="36" t="s"/>
      <c r="G802" s="34" t="s"/>
      <c r="H802" s="34" t="s"/>
      <c r="I802" s="34" t="s"/>
      <c r="J802" s="34" t="s"/>
    </row>
    <row r="803" spans="1:10">
      <c r="A803" s="33" t="s"/>
      <c r="B803" s="34" t="s"/>
      <c r="C803" s="34" t="s"/>
      <c r="D803" s="35" t="s"/>
      <c r="E803" s="35" t="s"/>
      <c r="F803" s="36" t="s"/>
      <c r="G803" s="34" t="s"/>
      <c r="H803" s="34" t="s"/>
      <c r="I803" s="34" t="s"/>
      <c r="J803" s="34" t="s"/>
    </row>
    <row r="804" spans="1:10">
      <c r="A804" s="33" t="s"/>
      <c r="B804" s="34" t="s"/>
      <c r="C804" s="34" t="s"/>
      <c r="D804" s="35" t="s"/>
      <c r="E804" s="35" t="s"/>
      <c r="F804" s="36" t="s"/>
      <c r="G804" s="34" t="s"/>
      <c r="H804" s="34" t="s"/>
      <c r="I804" s="34" t="s"/>
      <c r="J804" s="34" t="s"/>
    </row>
    <row r="805" spans="1:10">
      <c r="A805" s="33" t="s"/>
      <c r="B805" s="34" t="s"/>
      <c r="C805" s="34" t="s"/>
      <c r="D805" s="35" t="s"/>
      <c r="E805" s="35" t="s"/>
      <c r="F805" s="36" t="s"/>
      <c r="G805" s="34" t="s"/>
      <c r="H805" s="34" t="s"/>
      <c r="I805" s="34" t="s"/>
      <c r="J805" s="34" t="s"/>
    </row>
    <row r="806" spans="1:10">
      <c r="A806" s="33" t="s"/>
      <c r="B806" s="34" t="s"/>
      <c r="C806" s="34" t="s"/>
      <c r="D806" s="35" t="s"/>
      <c r="E806" s="35" t="s"/>
      <c r="F806" s="36" t="s"/>
      <c r="G806" s="34" t="s"/>
      <c r="H806" s="34" t="s"/>
      <c r="I806" s="34" t="s"/>
      <c r="J806" s="34" t="s"/>
    </row>
    <row r="807" spans="1:10">
      <c r="A807" s="33" t="s"/>
      <c r="B807" s="34" t="s"/>
      <c r="C807" s="34" t="s"/>
      <c r="D807" s="35" t="s"/>
      <c r="E807" s="35" t="s"/>
      <c r="F807" s="36" t="s"/>
      <c r="G807" s="34" t="s"/>
      <c r="H807" s="34" t="s"/>
      <c r="I807" s="34" t="s"/>
      <c r="J807" s="34" t="s"/>
    </row>
    <row r="808" spans="1:10">
      <c r="A808" s="33" t="s"/>
      <c r="B808" s="34" t="s"/>
      <c r="C808" s="34" t="s"/>
      <c r="D808" s="35" t="s"/>
      <c r="E808" s="35" t="s"/>
      <c r="F808" s="36" t="s"/>
      <c r="G808" s="34" t="s"/>
      <c r="H808" s="34" t="s"/>
      <c r="I808" s="34" t="s"/>
      <c r="J808" s="34" t="s"/>
    </row>
    <row r="809" spans="1:10">
      <c r="A809" s="33" t="s"/>
      <c r="B809" s="34" t="s"/>
      <c r="C809" s="34" t="s"/>
      <c r="D809" s="35" t="s"/>
      <c r="E809" s="35" t="s"/>
      <c r="F809" s="36" t="s"/>
      <c r="G809" s="34" t="s"/>
      <c r="H809" s="34" t="s"/>
      <c r="I809" s="34" t="s"/>
      <c r="J809" s="34" t="s"/>
    </row>
    <row r="810" spans="1:10">
      <c r="A810" s="33" t="s"/>
      <c r="B810" s="34" t="s"/>
      <c r="C810" s="34" t="s"/>
      <c r="D810" s="35" t="s"/>
      <c r="E810" s="35" t="s"/>
      <c r="F810" s="36" t="s"/>
      <c r="G810" s="34" t="s"/>
      <c r="H810" s="34" t="s"/>
      <c r="I810" s="34" t="s"/>
      <c r="J810" s="34" t="s"/>
    </row>
    <row r="811" spans="1:10">
      <c r="A811" s="33" t="s"/>
      <c r="B811" s="34" t="s"/>
      <c r="C811" s="34" t="s"/>
      <c r="D811" s="35" t="s"/>
      <c r="E811" s="35" t="s"/>
      <c r="F811" s="36" t="s"/>
      <c r="G811" s="34" t="s"/>
      <c r="H811" s="34" t="s"/>
      <c r="I811" s="34" t="s"/>
      <c r="J811" s="34" t="s"/>
    </row>
    <row r="812" spans="1:10">
      <c r="A812" s="33" t="s"/>
      <c r="B812" s="34" t="s"/>
      <c r="C812" s="34" t="s"/>
      <c r="D812" s="35" t="s"/>
      <c r="E812" s="35" t="s"/>
      <c r="F812" s="36" t="s"/>
      <c r="G812" s="34" t="s"/>
      <c r="H812" s="34" t="s"/>
      <c r="I812" s="34" t="s"/>
      <c r="J812" s="34" t="s"/>
    </row>
    <row r="813" spans="1:10">
      <c r="A813" s="33" t="s"/>
      <c r="B813" s="34" t="s"/>
      <c r="C813" s="34" t="s"/>
      <c r="D813" s="35" t="s"/>
      <c r="E813" s="35" t="s"/>
      <c r="F813" s="36" t="s"/>
      <c r="G813" s="34" t="s"/>
      <c r="H813" s="34" t="s"/>
      <c r="I813" s="34" t="s"/>
      <c r="J813" s="34" t="s"/>
    </row>
    <row r="814" spans="1:10">
      <c r="A814" s="33" t="s"/>
      <c r="B814" s="34" t="s"/>
      <c r="C814" s="34" t="s"/>
      <c r="D814" s="35" t="s"/>
      <c r="E814" s="35" t="s"/>
      <c r="F814" s="36" t="s"/>
      <c r="G814" s="34" t="s"/>
      <c r="H814" s="34" t="s"/>
      <c r="I814" s="34" t="s"/>
      <c r="J814" s="34" t="s"/>
    </row>
    <row r="815" spans="1:10">
      <c r="A815" s="33" t="s"/>
      <c r="B815" s="34" t="s"/>
      <c r="C815" s="34" t="s"/>
      <c r="D815" s="35" t="s"/>
      <c r="E815" s="35" t="s"/>
      <c r="F815" s="36" t="s"/>
      <c r="G815" s="34" t="s"/>
      <c r="H815" s="34" t="s"/>
      <c r="I815" s="34" t="s"/>
      <c r="J815" s="34" t="s"/>
    </row>
    <row r="816" spans="1:10">
      <c r="A816" s="33" t="s"/>
      <c r="B816" s="34" t="s"/>
      <c r="C816" s="34" t="s"/>
      <c r="D816" s="35" t="s"/>
      <c r="E816" s="35" t="s"/>
      <c r="F816" s="36" t="s"/>
      <c r="G816" s="34" t="s"/>
      <c r="H816" s="34" t="s"/>
      <c r="I816" s="34" t="s"/>
      <c r="J816" s="34" t="s"/>
    </row>
    <row r="817" spans="1:10">
      <c r="A817" s="33" t="s"/>
      <c r="B817" s="34" t="s"/>
      <c r="C817" s="34" t="s"/>
      <c r="D817" s="35" t="s"/>
      <c r="E817" s="35" t="s"/>
      <c r="F817" s="36" t="s"/>
      <c r="G817" s="34" t="s"/>
      <c r="H817" s="34" t="s"/>
      <c r="I817" s="34" t="s"/>
      <c r="J817" s="34" t="s"/>
    </row>
    <row r="818" spans="1:10">
      <c r="A818" s="33" t="s"/>
      <c r="B818" s="34" t="s"/>
      <c r="C818" s="34" t="s"/>
      <c r="D818" s="35" t="s"/>
      <c r="E818" s="35" t="s"/>
      <c r="F818" s="36" t="s"/>
      <c r="G818" s="34" t="s"/>
      <c r="H818" s="34" t="s"/>
      <c r="I818" s="34" t="s"/>
      <c r="J818" s="34" t="s"/>
    </row>
    <row r="819" spans="1:10">
      <c r="A819" s="33" t="s"/>
      <c r="B819" s="34" t="s"/>
      <c r="C819" s="34" t="s"/>
      <c r="D819" s="35" t="s"/>
      <c r="E819" s="35" t="s"/>
      <c r="F819" s="36" t="s"/>
      <c r="G819" s="34" t="s"/>
      <c r="H819" s="34" t="s"/>
      <c r="I819" s="34" t="s"/>
      <c r="J819" s="34" t="s"/>
    </row>
    <row r="820" spans="1:10">
      <c r="A820" s="33" t="s"/>
      <c r="B820" s="34" t="s"/>
      <c r="C820" s="34" t="s"/>
      <c r="D820" s="35" t="s"/>
      <c r="E820" s="35" t="s"/>
      <c r="F820" s="36" t="s"/>
      <c r="G820" s="34" t="s"/>
      <c r="H820" s="34" t="s"/>
      <c r="I820" s="34" t="s"/>
      <c r="J820" s="34" t="s"/>
    </row>
    <row r="821" spans="1:10">
      <c r="A821" s="33" t="s"/>
      <c r="B821" s="34" t="s"/>
      <c r="C821" s="34" t="s"/>
      <c r="D821" s="35" t="s"/>
      <c r="E821" s="35" t="s"/>
      <c r="F821" s="36" t="s"/>
      <c r="G821" s="34" t="s"/>
      <c r="H821" s="34" t="s"/>
      <c r="I821" s="34" t="s"/>
      <c r="J821" s="34" t="s"/>
    </row>
    <row r="822" spans="1:10">
      <c r="A822" s="33" t="s"/>
      <c r="B822" s="34" t="s"/>
      <c r="C822" s="34" t="s"/>
      <c r="D822" s="35" t="s"/>
      <c r="E822" s="35" t="s"/>
      <c r="F822" s="36" t="s"/>
      <c r="G822" s="34" t="s"/>
      <c r="H822" s="34" t="s"/>
      <c r="I822" s="34" t="s"/>
      <c r="J822" s="34" t="s"/>
    </row>
    <row r="823" spans="1:10">
      <c r="A823" s="33" t="s"/>
      <c r="B823" s="34" t="s"/>
      <c r="C823" s="34" t="s"/>
      <c r="D823" s="35" t="s"/>
      <c r="E823" s="35" t="s"/>
      <c r="F823" s="36" t="s"/>
      <c r="G823" s="34" t="s"/>
      <c r="H823" s="34" t="s"/>
      <c r="I823" s="34" t="s"/>
      <c r="J823" s="34" t="s"/>
    </row>
    <row r="824" spans="1:10">
      <c r="A824" s="33" t="s"/>
      <c r="B824" s="34" t="s"/>
      <c r="C824" s="34" t="s"/>
      <c r="D824" s="35" t="s"/>
      <c r="E824" s="35" t="s"/>
      <c r="F824" s="36" t="s"/>
      <c r="G824" s="34" t="s"/>
      <c r="H824" s="34" t="s"/>
      <c r="I824" s="34" t="s"/>
      <c r="J824" s="34" t="s"/>
    </row>
    <row r="825" spans="1:10">
      <c r="A825" s="33" t="s"/>
      <c r="B825" s="34" t="s"/>
      <c r="C825" s="34" t="s"/>
      <c r="D825" s="35" t="s"/>
      <c r="E825" s="35" t="s"/>
      <c r="F825" s="36" t="s"/>
      <c r="G825" s="34" t="s"/>
      <c r="H825" s="34" t="s"/>
      <c r="I825" s="34" t="s"/>
      <c r="J825" s="34" t="s"/>
    </row>
    <row r="826" spans="1:10">
      <c r="A826" s="33" t="s"/>
      <c r="B826" s="34" t="s"/>
      <c r="C826" s="34" t="s"/>
      <c r="D826" s="35" t="s"/>
      <c r="E826" s="35" t="s"/>
      <c r="F826" s="36" t="s"/>
      <c r="G826" s="34" t="s"/>
      <c r="H826" s="34" t="s"/>
      <c r="I826" s="34" t="s"/>
      <c r="J826" s="34" t="s"/>
    </row>
    <row r="827" spans="1:10">
      <c r="A827" s="33" t="s"/>
      <c r="B827" s="34" t="s"/>
      <c r="C827" s="34" t="s"/>
      <c r="D827" s="35" t="s"/>
      <c r="E827" s="35" t="s"/>
      <c r="F827" s="36" t="s"/>
      <c r="G827" s="34" t="s"/>
      <c r="H827" s="34" t="s"/>
      <c r="I827" s="34" t="s"/>
      <c r="J827" s="34" t="s"/>
    </row>
    <row r="828" spans="1:10">
      <c r="A828" s="33" t="s"/>
      <c r="B828" s="34" t="s"/>
      <c r="C828" s="34" t="s"/>
      <c r="D828" s="35" t="s"/>
      <c r="E828" s="35" t="s"/>
      <c r="F828" s="36" t="s"/>
      <c r="G828" s="34" t="s"/>
      <c r="H828" s="34" t="s"/>
      <c r="I828" s="34" t="s"/>
      <c r="J828" s="34" t="s"/>
    </row>
    <row r="829" spans="1:10">
      <c r="A829" s="33" t="s"/>
      <c r="B829" s="34" t="s"/>
      <c r="C829" s="34" t="s"/>
      <c r="D829" s="35" t="s"/>
      <c r="E829" s="35" t="s"/>
      <c r="F829" s="36" t="s"/>
      <c r="G829" s="34" t="s"/>
      <c r="H829" s="34" t="s"/>
      <c r="I829" s="34" t="s"/>
      <c r="J829" s="34" t="s"/>
    </row>
    <row r="830" spans="1:10">
      <c r="A830" s="33" t="s"/>
      <c r="B830" s="34" t="s"/>
      <c r="C830" s="34" t="s"/>
      <c r="D830" s="35" t="s"/>
      <c r="E830" s="35" t="s"/>
      <c r="F830" s="36" t="s"/>
      <c r="G830" s="34" t="s"/>
      <c r="H830" s="34" t="s"/>
      <c r="I830" s="34" t="s"/>
      <c r="J830" s="34" t="s"/>
    </row>
    <row r="831" spans="1:10">
      <c r="A831" s="33" t="s"/>
      <c r="B831" s="34" t="s"/>
      <c r="C831" s="34" t="s"/>
      <c r="D831" s="35" t="s"/>
      <c r="E831" s="35" t="s"/>
      <c r="F831" s="36" t="s"/>
      <c r="G831" s="34" t="s"/>
      <c r="H831" s="34" t="s"/>
      <c r="I831" s="34" t="s"/>
      <c r="J831" s="34" t="s"/>
    </row>
    <row r="832" spans="1:10">
      <c r="A832" s="33" t="s"/>
      <c r="B832" s="34" t="s"/>
      <c r="C832" s="34" t="s"/>
      <c r="D832" s="35" t="s"/>
      <c r="E832" s="35" t="s"/>
      <c r="F832" s="36" t="s"/>
      <c r="G832" s="34" t="s"/>
      <c r="H832" s="34" t="s"/>
      <c r="I832" s="34" t="s"/>
      <c r="J832" s="34" t="s"/>
    </row>
    <row r="833" spans="1:10">
      <c r="A833" s="33" t="s"/>
      <c r="B833" s="34" t="s"/>
      <c r="C833" s="34" t="s"/>
      <c r="D833" s="35" t="s"/>
      <c r="E833" s="35" t="s"/>
      <c r="F833" s="36" t="s"/>
      <c r="G833" s="34" t="s"/>
      <c r="H833" s="34" t="s"/>
      <c r="I833" s="34" t="s"/>
      <c r="J833" s="34" t="s"/>
    </row>
    <row r="834" spans="1:10">
      <c r="A834" s="33" t="s"/>
      <c r="B834" s="34" t="s"/>
      <c r="C834" s="34" t="s"/>
      <c r="D834" s="35" t="s"/>
      <c r="E834" s="35" t="s"/>
      <c r="F834" s="36" t="s"/>
      <c r="G834" s="34" t="s"/>
      <c r="H834" s="34" t="s"/>
      <c r="I834" s="34" t="s"/>
      <c r="J834" s="34" t="s"/>
    </row>
    <row r="835" spans="1:10">
      <c r="A835" s="33" t="s"/>
      <c r="B835" s="34" t="s"/>
      <c r="C835" s="34" t="s"/>
      <c r="D835" s="35" t="s"/>
      <c r="E835" s="35" t="s"/>
      <c r="F835" s="36" t="s"/>
      <c r="G835" s="34" t="s"/>
      <c r="H835" s="34" t="s"/>
      <c r="I835" s="34" t="s"/>
      <c r="J835" s="34" t="s"/>
    </row>
    <row r="836" spans="1:10">
      <c r="A836" s="33" t="s"/>
      <c r="B836" s="34" t="s"/>
      <c r="C836" s="34" t="s"/>
      <c r="D836" s="35" t="s"/>
      <c r="E836" s="35" t="s"/>
      <c r="F836" s="36" t="s"/>
      <c r="G836" s="34" t="s"/>
      <c r="H836" s="34" t="s"/>
      <c r="I836" s="34" t="s"/>
      <c r="J836" s="34" t="s"/>
    </row>
    <row r="837" spans="1:10">
      <c r="A837" s="33" t="s"/>
      <c r="B837" s="34" t="s"/>
      <c r="C837" s="34" t="s"/>
      <c r="D837" s="35" t="s"/>
      <c r="E837" s="35" t="s"/>
      <c r="F837" s="36" t="s"/>
      <c r="G837" s="34" t="s"/>
      <c r="H837" s="34" t="s"/>
      <c r="I837" s="34" t="s"/>
      <c r="J837" s="34" t="s"/>
    </row>
    <row r="838" spans="1:10">
      <c r="A838" s="33" t="s"/>
      <c r="B838" s="34" t="s"/>
      <c r="C838" s="34" t="s"/>
      <c r="D838" s="35" t="s"/>
      <c r="E838" s="35" t="s"/>
      <c r="F838" s="36" t="s"/>
      <c r="G838" s="34" t="s"/>
      <c r="H838" s="34" t="s"/>
      <c r="I838" s="34" t="s"/>
      <c r="J838" s="34" t="s"/>
    </row>
    <row r="839" spans="1:10">
      <c r="A839" s="33" t="s"/>
      <c r="B839" s="34" t="s"/>
      <c r="C839" s="34" t="s"/>
      <c r="D839" s="35" t="s"/>
      <c r="E839" s="35" t="s"/>
      <c r="F839" s="36" t="s"/>
      <c r="G839" s="34" t="s"/>
      <c r="H839" s="34" t="s"/>
      <c r="I839" s="34" t="s"/>
      <c r="J839" s="34" t="s"/>
    </row>
    <row r="840" spans="1:10">
      <c r="A840" s="33" t="s"/>
      <c r="B840" s="34" t="s"/>
      <c r="C840" s="34" t="s"/>
      <c r="D840" s="35" t="s"/>
      <c r="E840" s="35" t="s"/>
      <c r="F840" s="36" t="s"/>
      <c r="G840" s="34" t="s"/>
      <c r="H840" s="34" t="s"/>
      <c r="I840" s="34" t="s"/>
      <c r="J840" s="34" t="s"/>
    </row>
    <row r="841" spans="1:10">
      <c r="A841" s="33" t="s"/>
      <c r="B841" s="34" t="s"/>
      <c r="C841" s="34" t="s"/>
      <c r="D841" s="35" t="s"/>
      <c r="E841" s="35" t="s"/>
      <c r="F841" s="36" t="s"/>
      <c r="G841" s="34" t="s"/>
      <c r="H841" s="34" t="s"/>
      <c r="I841" s="34" t="s"/>
      <c r="J841" s="34" t="s"/>
    </row>
    <row r="842" spans="1:10">
      <c r="A842" s="33" t="s"/>
      <c r="B842" s="34" t="s"/>
      <c r="C842" s="34" t="s"/>
      <c r="D842" s="35" t="s"/>
      <c r="E842" s="35" t="s"/>
      <c r="F842" s="36" t="s"/>
      <c r="G842" s="34" t="s"/>
      <c r="H842" s="34" t="s"/>
      <c r="I842" s="34" t="s"/>
      <c r="J842" s="34" t="s"/>
    </row>
    <row r="843" spans="1:10">
      <c r="A843" s="33" t="s"/>
      <c r="B843" s="34" t="s"/>
      <c r="C843" s="34" t="s"/>
      <c r="D843" s="35" t="s"/>
      <c r="E843" s="35" t="s"/>
      <c r="F843" s="36" t="s"/>
      <c r="G843" s="34" t="s"/>
      <c r="H843" s="34" t="s"/>
      <c r="I843" s="34" t="s"/>
      <c r="J843" s="34" t="s"/>
    </row>
    <row r="844" spans="1:10">
      <c r="A844" s="33" t="s"/>
      <c r="B844" s="34" t="s"/>
      <c r="C844" s="34" t="s"/>
      <c r="D844" s="35" t="s"/>
      <c r="E844" s="35" t="s"/>
      <c r="F844" s="36" t="s"/>
      <c r="G844" s="34" t="s"/>
      <c r="H844" s="34" t="s"/>
      <c r="I844" s="34" t="s"/>
      <c r="J844" s="34" t="s"/>
    </row>
    <row r="845" spans="1:10">
      <c r="A845" s="33" t="s"/>
      <c r="B845" s="34" t="s"/>
      <c r="C845" s="34" t="s"/>
      <c r="D845" s="35" t="s"/>
      <c r="E845" s="35" t="s"/>
      <c r="F845" s="36" t="s"/>
      <c r="G845" s="34" t="s"/>
      <c r="H845" s="34" t="s"/>
      <c r="I845" s="34" t="s"/>
      <c r="J845" s="34" t="s"/>
    </row>
    <row r="846" spans="1:10">
      <c r="A846" s="33" t="s"/>
      <c r="B846" s="34" t="s"/>
      <c r="C846" s="34" t="s"/>
      <c r="D846" s="35" t="s"/>
      <c r="E846" s="35" t="s"/>
      <c r="F846" s="36" t="s"/>
      <c r="G846" s="34" t="s"/>
      <c r="H846" s="34" t="s"/>
      <c r="I846" s="34" t="s"/>
      <c r="J846" s="34" t="s"/>
    </row>
    <row r="847" spans="1:10">
      <c r="A847" s="33" t="s"/>
      <c r="B847" s="34" t="s"/>
      <c r="C847" s="34" t="s"/>
      <c r="D847" s="35" t="s"/>
      <c r="E847" s="35" t="s"/>
      <c r="F847" s="36" t="s"/>
      <c r="G847" s="34" t="s"/>
      <c r="H847" s="34" t="s"/>
      <c r="I847" s="34" t="s"/>
      <c r="J847" s="34" t="s"/>
    </row>
    <row r="848" spans="1:10">
      <c r="A848" s="33" t="s"/>
      <c r="B848" s="34" t="s"/>
      <c r="C848" s="34" t="s"/>
      <c r="D848" s="35" t="s"/>
      <c r="E848" s="35" t="s"/>
      <c r="F848" s="36" t="s"/>
      <c r="G848" s="34" t="s"/>
      <c r="H848" s="34" t="s"/>
      <c r="I848" s="34" t="s"/>
      <c r="J848" s="34" t="s"/>
    </row>
    <row r="849" spans="1:10">
      <c r="A849" s="33" t="s"/>
      <c r="B849" s="34" t="s"/>
      <c r="C849" s="34" t="s"/>
      <c r="D849" s="35" t="s"/>
      <c r="E849" s="35" t="s"/>
      <c r="F849" s="36" t="s"/>
      <c r="G849" s="34" t="s"/>
      <c r="H849" s="34" t="s"/>
      <c r="I849" s="34" t="s"/>
      <c r="J849" s="34" t="s"/>
    </row>
    <row r="850" spans="1:10">
      <c r="A850" s="33" t="s"/>
      <c r="B850" s="34" t="s"/>
      <c r="C850" s="34" t="s"/>
      <c r="D850" s="35" t="s"/>
      <c r="E850" s="35" t="s"/>
      <c r="F850" s="36" t="s"/>
      <c r="G850" s="34" t="s"/>
      <c r="H850" s="34" t="s"/>
      <c r="I850" s="34" t="s"/>
      <c r="J850" s="34" t="s"/>
    </row>
    <row r="851" spans="1:10">
      <c r="A851" s="33" t="s"/>
      <c r="B851" s="34" t="s"/>
      <c r="C851" s="34" t="s"/>
      <c r="D851" s="35" t="s"/>
      <c r="E851" s="35" t="s"/>
      <c r="F851" s="36" t="s"/>
      <c r="G851" s="34" t="s"/>
      <c r="H851" s="34" t="s"/>
      <c r="I851" s="34" t="s"/>
      <c r="J851" s="34" t="s"/>
    </row>
    <row r="852" spans="1:10">
      <c r="A852" s="33" t="s"/>
      <c r="B852" s="34" t="s"/>
      <c r="C852" s="34" t="s"/>
      <c r="D852" s="35" t="s"/>
      <c r="E852" s="35" t="s"/>
      <c r="F852" s="36" t="s"/>
      <c r="G852" s="34" t="s"/>
      <c r="H852" s="34" t="s"/>
      <c r="I852" s="34" t="s"/>
      <c r="J852" s="34" t="s"/>
    </row>
    <row r="853" spans="1:10">
      <c r="A853" s="33" t="s"/>
      <c r="B853" s="34" t="s"/>
      <c r="C853" s="34" t="s"/>
      <c r="D853" s="35" t="s"/>
      <c r="E853" s="35" t="s"/>
      <c r="F853" s="36" t="s"/>
      <c r="G853" s="34" t="s"/>
      <c r="H853" s="34" t="s"/>
      <c r="I853" s="34" t="s"/>
      <c r="J853" s="34" t="s"/>
    </row>
    <row r="854" spans="1:10">
      <c r="A854" s="33" t="s"/>
      <c r="B854" s="34" t="s"/>
      <c r="C854" s="34" t="s"/>
      <c r="D854" s="35" t="s"/>
      <c r="E854" s="35" t="s"/>
      <c r="F854" s="36" t="s"/>
      <c r="G854" s="34" t="s"/>
      <c r="H854" s="34" t="s"/>
      <c r="I854" s="34" t="s"/>
      <c r="J854" s="34" t="s"/>
    </row>
    <row r="855" spans="1:10">
      <c r="A855" s="33" t="s"/>
      <c r="B855" s="34" t="s"/>
      <c r="C855" s="34" t="s"/>
      <c r="D855" s="35" t="s"/>
      <c r="E855" s="35" t="s"/>
      <c r="F855" s="36" t="s"/>
      <c r="G855" s="34" t="s"/>
      <c r="H855" s="34" t="s"/>
      <c r="I855" s="34" t="s"/>
      <c r="J855" s="34" t="s"/>
    </row>
    <row r="856" spans="1:10">
      <c r="A856" s="33" t="s"/>
      <c r="B856" s="34" t="s"/>
      <c r="C856" s="34" t="s"/>
      <c r="D856" s="35" t="s"/>
      <c r="E856" s="35" t="s"/>
      <c r="F856" s="36" t="s"/>
      <c r="G856" s="34" t="s"/>
      <c r="H856" s="34" t="s"/>
      <c r="I856" s="34" t="s"/>
      <c r="J856" s="34" t="s"/>
    </row>
    <row r="857" spans="1:10">
      <c r="A857" s="33" t="s"/>
      <c r="B857" s="34" t="s"/>
      <c r="C857" s="34" t="s"/>
      <c r="D857" s="35" t="s"/>
      <c r="E857" s="35" t="s"/>
      <c r="F857" s="36" t="s"/>
      <c r="G857" s="34" t="s"/>
      <c r="H857" s="34" t="s"/>
      <c r="I857" s="34" t="s"/>
      <c r="J857" s="34" t="s"/>
    </row>
    <row r="858" spans="1:10">
      <c r="A858" s="33" t="s"/>
      <c r="B858" s="34" t="s"/>
      <c r="C858" s="34" t="s"/>
      <c r="D858" s="35" t="s"/>
      <c r="E858" s="35" t="s"/>
      <c r="F858" s="36" t="s"/>
      <c r="G858" s="34" t="s"/>
      <c r="H858" s="34" t="s"/>
      <c r="I858" s="34" t="s"/>
      <c r="J858" s="34" t="s"/>
    </row>
    <row r="859" spans="1:10">
      <c r="A859" s="33" t="s"/>
      <c r="B859" s="34" t="s"/>
      <c r="C859" s="34" t="s"/>
      <c r="D859" s="35" t="s"/>
      <c r="E859" s="35" t="s"/>
      <c r="F859" s="36" t="s"/>
      <c r="G859" s="34" t="s"/>
      <c r="H859" s="34" t="s"/>
      <c r="I859" s="34" t="s"/>
      <c r="J859" s="34" t="s"/>
    </row>
    <row r="860" spans="1:10">
      <c r="A860" s="33" t="s"/>
      <c r="B860" s="34" t="s"/>
      <c r="C860" s="34" t="s"/>
      <c r="D860" s="35" t="s"/>
      <c r="E860" s="35" t="s"/>
      <c r="F860" s="36" t="s"/>
      <c r="G860" s="34" t="s"/>
      <c r="H860" s="34" t="s"/>
      <c r="I860" s="34" t="s"/>
      <c r="J860" s="34" t="s"/>
    </row>
    <row r="861" spans="1:10">
      <c r="A861" s="33" t="s"/>
      <c r="B861" s="34" t="s"/>
      <c r="C861" s="34" t="s"/>
      <c r="D861" s="35" t="s"/>
      <c r="E861" s="35" t="s"/>
      <c r="F861" s="36" t="s"/>
      <c r="G861" s="34" t="s"/>
      <c r="H861" s="34" t="s"/>
      <c r="I861" s="34" t="s"/>
      <c r="J861" s="34" t="s"/>
    </row>
    <row r="862" spans="1:10">
      <c r="A862" s="33" t="s"/>
      <c r="B862" s="34" t="s"/>
      <c r="C862" s="34" t="s"/>
      <c r="D862" s="35" t="s"/>
      <c r="E862" s="35" t="s"/>
      <c r="F862" s="36" t="s"/>
      <c r="G862" s="34" t="s"/>
      <c r="H862" s="34" t="s"/>
      <c r="I862" s="34" t="s"/>
      <c r="J862" s="34" t="s"/>
    </row>
    <row r="863" spans="1:10">
      <c r="A863" s="33" t="s"/>
      <c r="B863" s="34" t="s"/>
      <c r="C863" s="34" t="s"/>
      <c r="D863" s="35" t="s"/>
      <c r="E863" s="35" t="s"/>
      <c r="F863" s="36" t="s"/>
      <c r="G863" s="34" t="s"/>
      <c r="H863" s="34" t="s"/>
      <c r="I863" s="34" t="s"/>
      <c r="J863" s="34" t="s"/>
    </row>
    <row r="864" spans="1:10">
      <c r="A864" s="33" t="s"/>
      <c r="B864" s="34" t="s"/>
      <c r="C864" s="34" t="s"/>
      <c r="D864" s="35" t="s"/>
      <c r="E864" s="35" t="s"/>
      <c r="F864" s="36" t="s"/>
      <c r="G864" s="34" t="s"/>
      <c r="H864" s="34" t="s"/>
      <c r="I864" s="34" t="s"/>
      <c r="J864" s="34" t="s"/>
    </row>
  </sheetData>
  <mergeCells count="1">
    <mergeCell ref="A1:J1"/>
  </mergeCells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AA2355"/>
  <sheetViews>
    <sheetView showGridLines="true" topLeftCell="D1" workbookViewId="0">
      <pane ySplit="3" topLeftCell="A4" activePane="bottomLeft" state="frozen"/>
    </sheetView>
  </sheetViews>
  <sheetFormatPr defaultColWidth="9" defaultRowHeight="13.5" outlineLevelRow="6"/>
  <cols>
    <col min="1" max="1" width="10.375"/>
    <col min="2" max="2" width="9.71094" customWidth="true"/>
    <col min="3" max="3" width="9.71094" customWidth="true"/>
    <col min="4" max="4" width="13.7109" customWidth="true"/>
    <col min="5" max="6" width="12" customWidth="true"/>
    <col min="7" max="7" width="29.625" customWidth="true"/>
    <col min="8" max="8" width="32.6211" customWidth="true"/>
    <col min="9" max="9" width="8.83203" style="137" customWidth="true"/>
    <col min="10" max="10" width="10.0508" customWidth="true"/>
    <col min="11" max="11" width="14.8398" customWidth="true"/>
    <col min="12" max="12" width="11.5"/>
    <col min="13" max="13" width="13.3711" customWidth="true"/>
    <col min="14" max="14" width="12.7109" customWidth="true"/>
    <col min="15" max="15" width="12.6328" customWidth="true"/>
    <col min="16" max="16" width="11.7695" customWidth="true"/>
    <col min="17" max="17" width="12.7109" customWidth="true"/>
    <col min="18" max="18" width="11.5" customWidth="true"/>
    <col min="19" max="19" width="9.71094" customWidth="true"/>
    <col min="20" max="20" width="9.92969" customWidth="true"/>
    <col min="21" max="21" width="9.71094" customWidth="true"/>
    <col min="22" max="23" width="11.7109" customWidth="true"/>
    <col min="24" max="24" width="11.7109" customWidth="true"/>
    <col min="25" max="25" width="11.7109" customWidth="true"/>
    <col min="26" max="26" width="9.71094" customWidth="true"/>
    <col min="27" max="27" width="11.8906" customWidth="true"/>
    <col min="28" max="28" width="12.0195" customWidth="true"/>
    <col min="29" max="29" width="23.0625" customWidth="true"/>
  </cols>
  <sheetData>
    <row r="1" spans="1:29" s="575" customFormat="true" ht="16.5" customHeight="true">
      <c r="A1" s="37" t="s"/>
      <c r="B1" s="38" t="s"/>
      <c r="C1" s="38" t="s"/>
      <c r="D1" s="38" t="s"/>
      <c r="E1" s="38" t="s"/>
      <c r="F1" s="38" t="s"/>
      <c r="G1" s="38" t="s"/>
      <c r="H1" s="39" t="s">
        <v>14</v>
      </c>
      <c r="I1" s="40" t="s"/>
      <c r="J1" s="39" t="s"/>
      <c r="K1" s="39" t="s">
        <v>15</v>
      </c>
      <c r="L1" s="39" t="s"/>
      <c r="M1" s="39" t="s"/>
      <c r="N1" s="39" t="s"/>
      <c r="O1" s="41" t="s"/>
      <c r="P1" s="41" t="s"/>
      <c r="Q1" s="39" t="s"/>
      <c r="R1" s="42">
        <f>=R2/K2</f>
        <v>0.0381334689673425</v>
      </c>
      <c r="S1" s="39" t="s"/>
      <c r="T1" s="39" t="s"/>
      <c r="U1" s="43" t="s"/>
      <c r="V1" s="44" t="s"/>
      <c r="W1" s="44" t="s"/>
      <c r="X1" s="45" t="s"/>
      <c r="Y1" s="39" t="s"/>
      <c r="Z1" s="39" t="s"/>
      <c r="AA1" s="46" t="s"/>
      <c r="AB1" s="47" t="s"/>
      <c r="AC1" s="48" t="s"/>
    </row>
    <row r="2" spans="1:29" s="575" customFormat="true" ht="16.5" customHeight="true">
      <c r="A2" s="37" t="s"/>
      <c r="B2" s="38" t="s"/>
      <c r="C2" s="38" t="s"/>
      <c r="D2" s="38" t="s"/>
      <c r="E2" s="38" t="s"/>
      <c r="F2" s="38" t="s"/>
      <c r="G2" s="38" t="s"/>
      <c r="H2" s="39">
        <f>=M2-L2-Q2</f>
        <v>51573021.22</v>
      </c>
      <c r="I2" s="40" t="s"/>
      <c r="J2" s="39" t="s"/>
      <c r="K2" s="45">
        <f>=M2-P2+N2+S2</f>
        <v>58325588</v>
      </c>
      <c r="L2" s="39">
        <f>=ROUND(SUBTOTAL(9,L4:L11879),2)</f>
        <v>9964148.65</v>
      </c>
      <c r="M2" s="39">
        <f>=ROUND(SUBTOTAL(9,M4:M11879),2)</f>
        <v>320577565.46</v>
      </c>
      <c r="N2" s="39">
        <f>=ROUND(SUBTOTAL(9,N3:N11879),2)</f>
        <v>0</v>
      </c>
      <c r="O2" s="39">
        <f>=ROUND(SUBTOTAL(9,O4:O11879),2)</f>
        <v>265503227.19</v>
      </c>
      <c r="P2" s="39">
        <f>=ROUND(SUBTOTAL(9,P4:P11879),2)</f>
        <v>262251977.46</v>
      </c>
      <c r="Q2" s="39">
        <f>=ROUND(SUBTOTAL(9,Q4:Q11879),2)</f>
        <v>259040395.59</v>
      </c>
      <c r="R2" s="39">
        <f>=ROUND(SUBTOTAL(9,R4:R11879),2)</f>
        <v>2224157</v>
      </c>
      <c r="S2" s="39">
        <f>=ROUND(SUBTOTAL(9,S4:S11879),2)</f>
        <v>0</v>
      </c>
      <c r="T2" s="39">
        <f>=ROUND(SUBTOTAL(9,T4:T11879),2)</f>
        <v>2285198.84</v>
      </c>
      <c r="U2" s="43">
        <f>=ROUND(SUBTOTAL(9,U4:U999996),2)</f>
        <v>166519</v>
      </c>
      <c r="V2" s="43">
        <f>=ROUND(SUBTOTAL(9,V4:V999996),2)</f>
        <v>30296.9</v>
      </c>
      <c r="W2" s="43">
        <f>=ROUND(SUBTOTAL(9,W4:W999996),2)</f>
        <v>42670.87</v>
      </c>
      <c r="X2" s="45">
        <f>=ROUND(SUBTOTAL(9,X4:X11879),2)</f>
        <v>3251249.73</v>
      </c>
      <c r="Y2" s="39">
        <f>=ROUND(SUBTOTAL(9,Y4:Y11879),2)</f>
        <v>731682.19</v>
      </c>
      <c r="Z2" s="47">
        <f>=AB2/Q2</f>
        <v>46.6423548183325</v>
      </c>
      <c r="AA2" s="46">
        <f>=ROUND(SUBTOTAL(9,AA4:AA11879),2)</f>
        <v>3085355.13</v>
      </c>
      <c r="AB2" s="39">
        <f>=ROUND(SUBTOTAL(9,AB4:AB11879),2)</f>
        <v>12082254043.39</v>
      </c>
      <c r="AC2" s="48" t="s"/>
    </row>
    <row r="3" spans="1:29" s="575" customFormat="true" ht="17.85" customHeight="true">
      <c r="A3" s="49" t="s">
        <v>16</v>
      </c>
      <c r="B3" s="50" t="s">
        <v>17</v>
      </c>
      <c r="C3" s="50" t="s">
        <v>18</v>
      </c>
      <c r="D3" s="51" t="s">
        <v>19</v>
      </c>
      <c r="E3" s="52" t="s">
        <v>20</v>
      </c>
      <c r="F3" s="51" t="s">
        <v>21</v>
      </c>
      <c r="G3" s="53" t="s">
        <v>22</v>
      </c>
      <c r="H3" s="53" t="s">
        <v>23</v>
      </c>
      <c r="I3" s="54" t="s">
        <v>24</v>
      </c>
      <c r="J3" s="50" t="s">
        <v>25</v>
      </c>
      <c r="K3" s="50" t="s">
        <v>26</v>
      </c>
      <c r="L3" s="55" t="s">
        <v>3758</v>
      </c>
      <c r="M3" s="55" t="s">
        <v>3759</v>
      </c>
      <c r="N3" s="54" t="s">
        <v>27</v>
      </c>
      <c r="O3" s="51" t="s">
        <v>3760</v>
      </c>
      <c r="P3" s="51" t="s">
        <v>3761</v>
      </c>
      <c r="Q3" s="51" t="s">
        <v>3762</v>
      </c>
      <c r="R3" s="51" t="s">
        <v>3763</v>
      </c>
      <c r="S3" s="51" t="s">
        <v>28</v>
      </c>
      <c r="T3" s="56" t="s">
        <v>12</v>
      </c>
      <c r="U3" s="57" t="s">
        <v>29</v>
      </c>
      <c r="V3" s="58" t="s">
        <v>30</v>
      </c>
      <c r="W3" s="58" t="s">
        <v>31</v>
      </c>
      <c r="X3" s="53" t="s">
        <v>32</v>
      </c>
      <c r="Y3" s="50" t="s">
        <v>33</v>
      </c>
      <c r="Z3" s="50" t="s">
        <v>34</v>
      </c>
      <c r="AA3" s="59" t="s">
        <v>3764</v>
      </c>
      <c r="AB3" s="60" t="s">
        <v>35</v>
      </c>
      <c r="AC3" s="48" t="s">
        <v>36</v>
      </c>
    </row>
    <row r="4" spans="1:29">
      <c r="A4" s="61">
        <v>45670</v>
      </c>
      <c r="B4" s="62" t="s">
        <v>37</v>
      </c>
      <c r="C4" s="62" t="s"/>
      <c r="D4" s="63" t="s">
        <v>38</v>
      </c>
      <c r="E4" s="62" t="s">
        <v>39</v>
      </c>
      <c r="F4" s="62" t="s">
        <v>40</v>
      </c>
      <c r="G4" s="64" t="s">
        <v>41</v>
      </c>
      <c r="H4" s="62" t="s">
        <v>42</v>
      </c>
      <c r="I4" s="65" t="s">
        <v>43</v>
      </c>
      <c r="J4" s="62">
        <v>2</v>
      </c>
      <c r="K4" s="62">
        <v>2.5</v>
      </c>
      <c r="L4" s="62" t="s"/>
      <c r="M4" s="66">
        <v>1431000</v>
      </c>
      <c r="N4" s="62" t="s"/>
      <c r="O4" s="62" t="s"/>
      <c r="P4" s="62" t="s"/>
      <c r="Q4" s="62" t="s"/>
      <c r="R4" s="62" t="s"/>
      <c r="S4" s="62" t="s"/>
      <c r="T4" s="62" t="s"/>
      <c r="U4" s="62" t="s"/>
      <c r="V4" s="62" t="s"/>
      <c r="W4" s="62" t="s"/>
      <c r="X4" s="62" t="s"/>
      <c r="Y4" s="62" t="s"/>
      <c r="Z4" s="62" t="s"/>
      <c r="AA4" s="62" t="s"/>
      <c r="AB4" s="62" t="s"/>
      <c r="AC4" t="s">
        <v>44</v>
      </c>
    </row>
    <row r="5" spans="1:29">
      <c r="A5" s="61">
        <v>45671</v>
      </c>
      <c r="B5" s="62" t="s">
        <v>37</v>
      </c>
      <c r="C5" s="62" t="s"/>
      <c r="D5" s="63" t="s">
        <v>38</v>
      </c>
      <c r="E5" s="62" t="s">
        <v>39</v>
      </c>
      <c r="F5" s="62" t="s">
        <v>40</v>
      </c>
      <c r="G5" s="64" t="s">
        <v>41</v>
      </c>
      <c r="H5" s="62" t="s">
        <v>45</v>
      </c>
      <c r="I5" s="65" t="s">
        <v>43</v>
      </c>
      <c r="J5" s="62">
        <v>2</v>
      </c>
      <c r="K5" s="62">
        <v>2.5</v>
      </c>
      <c r="L5" s="62" t="s"/>
      <c r="M5" s="66">
        <v>2778507</v>
      </c>
      <c r="N5" s="62" t="s"/>
      <c r="O5" s="62" t="s"/>
      <c r="P5" s="62" t="s"/>
      <c r="Q5" s="62" t="s"/>
      <c r="R5" s="62" t="s"/>
      <c r="S5" s="62" t="s"/>
      <c r="T5" s="62" t="s"/>
      <c r="U5" s="62" t="s"/>
      <c r="V5" s="62" t="s"/>
      <c r="W5" s="62" t="s"/>
      <c r="X5" s="62" t="s"/>
      <c r="Y5" s="62" t="s"/>
      <c r="Z5" s="62" t="s"/>
      <c r="AA5" s="62" t="s"/>
      <c r="AB5" s="62" t="s"/>
      <c r="AC5" t="s">
        <v>44</v>
      </c>
    </row>
    <row r="6" spans="1:29">
      <c r="A6" s="67">
        <v>45680</v>
      </c>
      <c r="B6" s="62" t="s">
        <v>37</v>
      </c>
      <c r="C6" s="62" t="s"/>
      <c r="D6" s="63" t="s">
        <v>38</v>
      </c>
      <c r="E6" s="62" t="s">
        <v>39</v>
      </c>
      <c r="F6" s="62" t="s">
        <v>40</v>
      </c>
      <c r="G6" s="64" t="s">
        <v>46</v>
      </c>
      <c r="H6" s="62" t="s">
        <v>45</v>
      </c>
      <c r="I6" s="65" t="s">
        <v>47</v>
      </c>
      <c r="J6" s="62">
        <v>2</v>
      </c>
      <c r="K6" s="62">
        <v>2.5</v>
      </c>
      <c r="L6" s="62" t="s"/>
      <c r="M6" s="62" t="s"/>
      <c r="N6" s="62" t="s"/>
      <c r="O6" s="62">
        <v>999600</v>
      </c>
      <c r="P6" s="62">
        <v>996660</v>
      </c>
      <c r="Q6" s="62">
        <v>999600</v>
      </c>
      <c r="R6" s="62" t="s"/>
      <c r="S6" s="62" t="s"/>
      <c r="T6" s="68">
        <f>=P6/10000*J6*Z6</f>
        <v>1993.32</v>
      </c>
      <c r="U6" s="62" t="s"/>
      <c r="V6" s="68" t="s"/>
      <c r="W6" s="68" t="s"/>
      <c r="X6" s="68">
        <f>=O6-P6</f>
        <v>2940</v>
      </c>
      <c r="Y6" s="68">
        <f>=X6-T6-U6-V6</f>
        <v>946.68</v>
      </c>
      <c r="Z6" s="62">
        <f>=A6-$A$5+1</f>
        <v>10</v>
      </c>
      <c r="AA6" s="68">
        <f>=P6/10000*K6*Z6</f>
        <v>2491.65</v>
      </c>
      <c r="AB6" s="62">
        <f>=Q6*Z6</f>
        <v>9996000</v>
      </c>
      <c r="AC6" t="s">
        <v>44</v>
      </c>
    </row>
    <row r="7" spans="1:29">
      <c r="A7" s="61">
        <v>45680</v>
      </c>
      <c r="B7" s="62" t="s">
        <v>37</v>
      </c>
      <c r="C7" s="62" t="s"/>
      <c r="D7" s="63" t="s">
        <v>38</v>
      </c>
      <c r="E7" s="62" t="s">
        <v>39</v>
      </c>
      <c r="F7" s="62" t="s">
        <v>40</v>
      </c>
      <c r="G7" s="64" t="s">
        <v>41</v>
      </c>
      <c r="H7" s="62" t="s">
        <v>42</v>
      </c>
      <c r="I7" s="65" t="s">
        <v>47</v>
      </c>
      <c r="J7" s="62">
        <v>2</v>
      </c>
      <c r="K7" s="62">
        <v>2.5</v>
      </c>
      <c r="L7" s="62" t="s"/>
      <c r="M7" s="62" t="s"/>
      <c r="N7" s="62" t="s"/>
      <c r="O7" s="62">
        <v>1435400</v>
      </c>
      <c r="P7" s="62">
        <v>1431000</v>
      </c>
      <c r="Q7" s="62">
        <v>1435400</v>
      </c>
      <c r="R7" s="62" t="s"/>
      <c r="S7" s="62" t="s"/>
      <c r="T7" s="68">
        <f>=P7/10000*J7*Z7</f>
        <v>3148.2</v>
      </c>
      <c r="U7" s="62" t="s"/>
      <c r="V7" s="68" t="s"/>
      <c r="W7" s="68" t="s"/>
      <c r="X7" s="68">
        <f>=O7-P7</f>
        <v>4400</v>
      </c>
      <c r="Y7" s="68">
        <f>=X7-T7-U7-V7</f>
        <v>1251.8</v>
      </c>
      <c r="Z7" s="62">
        <f>=A7-$A$4+1</f>
        <v>11</v>
      </c>
      <c r="AA7" s="68">
        <f>=P7/10000*K7*Z7</f>
        <v>3935.25</v>
      </c>
      <c r="AB7" s="62">
        <f>=Q7*Z7</f>
        <v>15789400</v>
      </c>
      <c r="AC7" t="s">
        <v>44</v>
      </c>
    </row>
    <row r="8" spans="1:29">
      <c r="A8" s="67">
        <v>45682</v>
      </c>
      <c r="B8" s="62" t="s">
        <v>37</v>
      </c>
      <c r="C8" s="62" t="s"/>
      <c r="D8" s="63" t="s">
        <v>38</v>
      </c>
      <c r="E8" s="62" t="s">
        <v>39</v>
      </c>
      <c r="F8" s="62" t="s">
        <v>40</v>
      </c>
      <c r="G8" s="64" t="s">
        <v>46</v>
      </c>
      <c r="H8" s="62" t="s">
        <v>45</v>
      </c>
      <c r="I8" s="65" t="s">
        <v>47</v>
      </c>
      <c r="J8" s="62">
        <v>2</v>
      </c>
      <c r="K8" s="62">
        <v>2.5</v>
      </c>
      <c r="L8" s="62" t="s"/>
      <c r="M8" s="62" t="s"/>
      <c r="N8" s="62" t="s"/>
      <c r="O8" s="62">
        <v>1128594</v>
      </c>
      <c r="P8" s="62">
        <v>1124802</v>
      </c>
      <c r="Q8" s="62">
        <v>1128594</v>
      </c>
      <c r="R8" s="62" t="s"/>
      <c r="S8" s="62" t="s"/>
      <c r="T8" s="68">
        <f>=P8/10000*J8*Z8</f>
        <v>2699.5248</v>
      </c>
      <c r="U8" s="62" t="s"/>
      <c r="V8" s="68" t="s"/>
      <c r="W8" s="68" t="s"/>
      <c r="X8" s="68">
        <f>=O8-P8</f>
        <v>3792</v>
      </c>
      <c r="Y8" s="68">
        <f>=X8-T8-U8-V8</f>
        <v>1092.4752</v>
      </c>
      <c r="Z8" s="62">
        <f>=A8-$A$5+1</f>
        <v>12</v>
      </c>
      <c r="AA8" s="68">
        <f>=P8/10000*K8*Z8</f>
        <v>3374.406</v>
      </c>
      <c r="AB8" s="62">
        <f>=Q8*Z8</f>
        <v>13543128</v>
      </c>
      <c r="AC8" t="s">
        <v>44</v>
      </c>
    </row>
    <row r="9" spans="1:29">
      <c r="A9" s="67">
        <v>45684</v>
      </c>
      <c r="B9" s="62" t="s">
        <v>37</v>
      </c>
      <c r="C9" s="62" t="s"/>
      <c r="D9" s="63" t="s">
        <v>38</v>
      </c>
      <c r="E9" s="62" t="s">
        <v>39</v>
      </c>
      <c r="F9" s="62" t="s">
        <v>40</v>
      </c>
      <c r="G9" s="64" t="s">
        <v>46</v>
      </c>
      <c r="H9" s="62" t="s">
        <v>45</v>
      </c>
      <c r="I9" s="65" t="s">
        <v>47</v>
      </c>
      <c r="J9" s="62">
        <v>2</v>
      </c>
      <c r="K9" s="62">
        <v>2.5</v>
      </c>
      <c r="L9" s="62" t="s"/>
      <c r="M9" s="62" t="s"/>
      <c r="N9" s="62" t="s"/>
      <c r="O9" s="62">
        <v>659463</v>
      </c>
      <c r="P9" s="62">
        <v>657045</v>
      </c>
      <c r="Q9" s="62">
        <v>659463</v>
      </c>
      <c r="R9" s="62" t="s"/>
      <c r="S9" s="62" t="s"/>
      <c r="T9" s="68">
        <f>=P9/10000*J9*Z9</f>
        <v>1839.726</v>
      </c>
      <c r="U9" s="62" t="s"/>
      <c r="V9" s="68" t="s"/>
      <c r="W9" s="68" t="s"/>
      <c r="X9" s="68">
        <f>=O9-P9</f>
        <v>2418</v>
      </c>
      <c r="Y9" s="68">
        <f>=X9-T9-U9-V9</f>
        <v>578.274</v>
      </c>
      <c r="Z9" s="62">
        <f>=A9-$A$5+1</f>
        <v>14</v>
      </c>
      <c r="AA9" s="68">
        <f>=P9/10000*K9*Z9</f>
        <v>2299.6575</v>
      </c>
      <c r="AB9" s="62">
        <f>=Q9*Z9</f>
        <v>9232482</v>
      </c>
      <c r="AC9" t="s">
        <v>44</v>
      </c>
    </row>
    <row r="10" spans="1:29">
      <c r="A10" s="63">
        <v>45737</v>
      </c>
      <c r="B10" s="62" t="s"/>
      <c r="C10" s="62">
        <f>=TODAY()-A10+1</f>
        <v>493</v>
      </c>
      <c r="D10" s="62" t="s">
        <v>38</v>
      </c>
      <c r="E10" s="62" t="s">
        <v>48</v>
      </c>
      <c r="F10" s="62" t="s">
        <v>49</v>
      </c>
      <c r="G10" s="64" t="s">
        <v>50</v>
      </c>
      <c r="H10" s="62" t="s">
        <v>51</v>
      </c>
      <c r="I10" s="69" t="s">
        <v>43</v>
      </c>
      <c r="J10" s="62">
        <v>2</v>
      </c>
      <c r="K10" s="62">
        <v>2.5</v>
      </c>
      <c r="L10" s="62" t="s"/>
      <c r="M10" s="62">
        <v>1673924</v>
      </c>
      <c r="N10" s="62" t="s"/>
      <c r="O10" s="62" t="s"/>
      <c r="P10" s="62" t="s"/>
      <c r="Q10" s="62" t="s"/>
      <c r="R10" s="62" t="s"/>
      <c r="S10" s="62" t="s"/>
      <c r="T10" s="62" t="s"/>
      <c r="U10" s="62" t="s"/>
      <c r="V10" s="62" t="s"/>
      <c r="W10" s="62" t="s"/>
      <c r="X10" s="62" t="s"/>
      <c r="Y10" s="62" t="s"/>
      <c r="Z10" s="62" t="s"/>
      <c r="AA10" s="62" t="s"/>
      <c r="AB10" s="62" t="s"/>
      <c r="AC10" t="s">
        <v>44</v>
      </c>
    </row>
    <row r="11" spans="1:29">
      <c r="A11" s="63">
        <v>45737</v>
      </c>
      <c r="B11" s="62" t="s">
        <v>37</v>
      </c>
      <c r="C11" s="62" t="s"/>
      <c r="D11" s="62" t="s">
        <v>38</v>
      </c>
      <c r="E11" s="62" t="s">
        <v>48</v>
      </c>
      <c r="F11" s="62" t="s">
        <v>49</v>
      </c>
      <c r="G11" s="64" t="s">
        <v>52</v>
      </c>
      <c r="H11" s="62" t="s">
        <v>53</v>
      </c>
      <c r="I11" s="69" t="s">
        <v>43</v>
      </c>
      <c r="J11" s="62">
        <v>2</v>
      </c>
      <c r="K11" s="62">
        <v>3</v>
      </c>
      <c r="L11" s="62" t="s"/>
      <c r="M11" s="62">
        <v>607142</v>
      </c>
      <c r="N11" s="62" t="s"/>
      <c r="O11" s="62" t="s"/>
      <c r="P11" s="62" t="s"/>
      <c r="Q11" s="62" t="s"/>
      <c r="R11" s="62" t="s"/>
      <c r="S11" s="62" t="s"/>
      <c r="T11" s="62" t="s"/>
      <c r="U11" s="62" t="s"/>
      <c r="V11" s="62" t="s"/>
      <c r="W11" s="62" t="s"/>
      <c r="X11" s="62" t="s"/>
      <c r="Y11" s="62" t="s"/>
      <c r="Z11" s="62" t="s"/>
      <c r="AA11" s="62" t="s"/>
      <c r="AB11" s="62" t="s"/>
      <c r="AC11" t="s">
        <v>44</v>
      </c>
    </row>
    <row r="12" spans="1:29">
      <c r="A12" s="63">
        <v>45749</v>
      </c>
      <c r="B12" s="62" t="s">
        <v>37</v>
      </c>
      <c r="C12" s="62" t="s"/>
      <c r="D12" s="62" t="s">
        <v>38</v>
      </c>
      <c r="E12" s="70" t="s">
        <v>54</v>
      </c>
      <c r="F12" s="62" t="s">
        <v>55</v>
      </c>
      <c r="G12" s="64" t="s">
        <v>56</v>
      </c>
      <c r="H12" s="71" t="s">
        <v>57</v>
      </c>
      <c r="I12" s="72" t="s">
        <v>43</v>
      </c>
      <c r="J12" s="62">
        <v>2</v>
      </c>
      <c r="K12" s="62">
        <v>2.5</v>
      </c>
      <c r="L12" s="62" t="s"/>
      <c r="M12" s="62">
        <v>764400</v>
      </c>
      <c r="N12" s="62" t="s"/>
      <c r="O12" s="62" t="s"/>
      <c r="P12" s="62" t="s"/>
      <c r="Q12" s="62" t="s"/>
      <c r="R12" s="62" t="s"/>
      <c r="S12" s="62" t="s"/>
      <c r="T12" s="68" t="s"/>
      <c r="U12" s="62" t="s"/>
      <c r="V12" s="68" t="s"/>
      <c r="W12" s="68" t="s"/>
      <c r="X12" s="68" t="s"/>
      <c r="Y12" s="68" t="s"/>
      <c r="Z12" s="62" t="s"/>
      <c r="AA12" s="62" t="s"/>
      <c r="AB12" s="62" t="s"/>
      <c r="AC12" t="s">
        <v>58</v>
      </c>
    </row>
    <row r="13" spans="1:29">
      <c r="A13" s="63">
        <v>45761</v>
      </c>
      <c r="B13" s="62" t="s">
        <v>37</v>
      </c>
      <c r="C13" s="62" t="s"/>
      <c r="D13" s="62" t="s">
        <v>38</v>
      </c>
      <c r="E13" s="62" t="s">
        <v>48</v>
      </c>
      <c r="F13" s="62" t="s">
        <v>49</v>
      </c>
      <c r="G13" s="64" t="s">
        <v>52</v>
      </c>
      <c r="H13" s="62" t="s">
        <v>53</v>
      </c>
      <c r="I13" s="73" t="s">
        <v>47</v>
      </c>
      <c r="J13" s="62">
        <v>2</v>
      </c>
      <c r="K13" s="62">
        <v>3</v>
      </c>
      <c r="L13" s="62" t="s"/>
      <c r="M13" s="62" t="s"/>
      <c r="N13" s="62" t="s"/>
      <c r="O13" s="62">
        <v>611742</v>
      </c>
      <c r="P13" s="62">
        <v>607142</v>
      </c>
      <c r="Q13" s="62">
        <v>611742</v>
      </c>
      <c r="R13" s="62" t="s"/>
      <c r="S13" s="62" t="s"/>
      <c r="T13" s="68">
        <f>=P13/10000*J13*Z13</f>
        <v>3035.71</v>
      </c>
      <c r="U13" s="62" t="s"/>
      <c r="V13" s="68" t="s"/>
      <c r="W13" s="68" t="s"/>
      <c r="X13" s="68">
        <f>=O13-P13</f>
        <v>4600</v>
      </c>
      <c r="Y13" s="68">
        <f>=X13-T13-U13-V13</f>
        <v>1564.29</v>
      </c>
      <c r="Z13" s="62">
        <f>=A13-$A$11+1</f>
        <v>25</v>
      </c>
      <c r="AA13" s="68">
        <f>=P13/10000*K13*Z13</f>
        <v>4553.565</v>
      </c>
      <c r="AB13" s="62">
        <f>=Q13*Z13</f>
        <v>15293550</v>
      </c>
      <c r="AC13" t="s">
        <v>44</v>
      </c>
    </row>
    <row r="14" spans="1:29">
      <c r="A14" s="63">
        <v>45763</v>
      </c>
      <c r="B14" s="62" t="s"/>
      <c r="C14" s="62" t="s"/>
      <c r="D14" s="62" t="s">
        <v>38</v>
      </c>
      <c r="E14" s="62" t="s">
        <v>48</v>
      </c>
      <c r="F14" s="62" t="s">
        <v>49</v>
      </c>
      <c r="G14" s="64" t="s">
        <v>50</v>
      </c>
      <c r="H14" s="62" t="s">
        <v>51</v>
      </c>
      <c r="I14" s="73" t="s">
        <v>47</v>
      </c>
      <c r="J14" s="62">
        <v>2</v>
      </c>
      <c r="K14" s="62">
        <v>2.5</v>
      </c>
      <c r="L14" s="62" t="s"/>
      <c r="M14" s="74" t="s"/>
      <c r="N14" s="62" t="s"/>
      <c r="O14">
        <v>228851</v>
      </c>
      <c r="P14">
        <v>226985.5</v>
      </c>
      <c r="Q14">
        <v>228851</v>
      </c>
      <c r="R14" s="62" t="s"/>
      <c r="S14" s="62" t="s"/>
      <c r="T14" s="68">
        <f>=P14/10000*J14*Z14</f>
        <v>1225.7217</v>
      </c>
      <c r="U14" s="62" t="s"/>
      <c r="V14" s="68" t="s"/>
      <c r="W14" s="68" t="s"/>
      <c r="X14" s="68">
        <f>=O14-P14</f>
        <v>1865.5</v>
      </c>
      <c r="Y14" s="68">
        <f>=X14-T14-U14-V14</f>
        <v>639.7783</v>
      </c>
      <c r="Z14" s="62">
        <f>=A14-$A$10+1</f>
        <v>27</v>
      </c>
      <c r="AA14" s="68">
        <f>=P14/10000*K14*Z14</f>
        <v>1532.152125</v>
      </c>
      <c r="AB14" s="62">
        <f>=Q14*Z14</f>
        <v>6178977</v>
      </c>
      <c r="AC14" t="s">
        <v>44</v>
      </c>
    </row>
    <row r="15" spans="1:29">
      <c r="A15" s="63">
        <v>45776</v>
      </c>
      <c r="B15" s="62" t="s"/>
      <c r="C15" s="62" t="s"/>
      <c r="D15" s="62" t="s">
        <v>38</v>
      </c>
      <c r="E15" s="62" t="s">
        <v>48</v>
      </c>
      <c r="F15" s="62" t="s">
        <v>49</v>
      </c>
      <c r="G15" s="64" t="s">
        <v>50</v>
      </c>
      <c r="H15" s="62" t="s">
        <v>51</v>
      </c>
      <c r="I15" s="73" t="s">
        <v>47</v>
      </c>
      <c r="J15" s="62">
        <v>2</v>
      </c>
      <c r="K15" s="62">
        <v>2.5</v>
      </c>
      <c r="L15" s="62" t="s"/>
      <c r="M15" s="62" t="s"/>
      <c r="N15" s="62" t="s"/>
      <c r="O15" s="64">
        <v>277449</v>
      </c>
      <c r="P15" s="64">
        <v>274190</v>
      </c>
      <c r="Q15" s="64">
        <v>277449</v>
      </c>
      <c r="R15" s="62" t="s"/>
      <c r="S15" s="62" t="s"/>
      <c r="T15" s="68">
        <f>=P15/10000*J15*Z15</f>
        <v>2193.52</v>
      </c>
      <c r="U15" s="62" t="s"/>
      <c r="V15" s="68" t="s"/>
      <c r="W15" s="68" t="s"/>
      <c r="X15" s="68">
        <f>=O15-P15</f>
        <v>3259</v>
      </c>
      <c r="Y15" s="68">
        <f>=X15-T15-U15-V15</f>
        <v>1065.48</v>
      </c>
      <c r="Z15" s="62">
        <f>=A15-$A$10+1</f>
        <v>40</v>
      </c>
      <c r="AA15" s="68">
        <f>=P15/10000*K15*Z15</f>
        <v>2741.9</v>
      </c>
      <c r="AB15" s="62">
        <f>=Q15*Z15</f>
        <v>11097960</v>
      </c>
      <c r="AC15" t="s">
        <v>44</v>
      </c>
    </row>
    <row r="16" spans="1:29">
      <c r="A16" s="63">
        <v>45797</v>
      </c>
      <c r="B16" s="62" t="s"/>
      <c r="C16" s="62" t="s"/>
      <c r="D16" s="62" t="s">
        <v>38</v>
      </c>
      <c r="E16" s="62" t="s">
        <v>48</v>
      </c>
      <c r="F16" s="62" t="s">
        <v>49</v>
      </c>
      <c r="G16" s="64" t="s">
        <v>50</v>
      </c>
      <c r="H16" s="62" t="s">
        <v>51</v>
      </c>
      <c r="I16" s="73" t="s">
        <v>47</v>
      </c>
      <c r="J16" s="62">
        <v>2</v>
      </c>
      <c r="K16" s="62">
        <v>2.5</v>
      </c>
      <c r="L16" s="62" t="s"/>
      <c r="M16" s="62" t="s"/>
      <c r="N16" s="62" t="s"/>
      <c r="O16" s="62">
        <v>155920</v>
      </c>
      <c r="P16" s="62">
        <v>153128.5</v>
      </c>
      <c r="Q16" s="62">
        <v>155920</v>
      </c>
      <c r="R16" s="62" t="s"/>
      <c r="S16" s="62" t="s"/>
      <c r="T16" s="68">
        <f>=P16/10000*J16*Z16</f>
        <v>1868.1677</v>
      </c>
      <c r="U16" s="62" t="s"/>
      <c r="V16" s="68" t="s"/>
      <c r="W16" s="68" t="s"/>
      <c r="X16" s="68">
        <f>=O16-P16</f>
        <v>2791.5</v>
      </c>
      <c r="Y16" s="68">
        <f>=X16-T16-U16-V16</f>
        <v>923.3323</v>
      </c>
      <c r="Z16" s="62">
        <f>=A16-$A$10+1</f>
        <v>61</v>
      </c>
      <c r="AA16" s="68">
        <f>=P16/10000*K16*Z16</f>
        <v>2335.209625</v>
      </c>
      <c r="AB16" s="62">
        <f>=Q16*Z16</f>
        <v>9511120</v>
      </c>
      <c r="AC16" t="s">
        <v>44</v>
      </c>
    </row>
    <row r="17" spans="1:28">
      <c r="A17" s="63">
        <v>45840</v>
      </c>
      <c r="B17" s="62" t="s"/>
      <c r="C17" s="62" t="s"/>
      <c r="D17" s="62" t="s">
        <v>38</v>
      </c>
      <c r="E17" s="62" t="s">
        <v>48</v>
      </c>
      <c r="F17" s="62" t="s">
        <v>49</v>
      </c>
      <c r="G17" s="64" t="s">
        <v>50</v>
      </c>
      <c r="H17" s="64" t="s">
        <v>59</v>
      </c>
      <c r="I17" s="73" t="s">
        <v>43</v>
      </c>
      <c r="J17" s="62">
        <v>2</v>
      </c>
      <c r="K17" s="62">
        <v>3</v>
      </c>
      <c r="L17" s="62" t="s"/>
      <c r="M17" s="62">
        <v>347392</v>
      </c>
      <c r="N17" s="62" t="s"/>
      <c r="O17" s="62" t="s"/>
      <c r="P17" s="62" t="s"/>
      <c r="Q17" s="62" t="s"/>
      <c r="R17" s="62" t="s"/>
      <c r="S17" s="62" t="s"/>
      <c r="T17" s="68" t="s"/>
      <c r="U17" s="62" t="s"/>
      <c r="V17" s="68" t="s"/>
      <c r="W17" s="68" t="s"/>
      <c r="X17" s="68" t="s"/>
      <c r="Y17" s="68" t="s"/>
      <c r="Z17" s="62" t="s"/>
      <c r="AA17" s="68" t="s"/>
      <c r="AB17" s="62" t="s"/>
    </row>
    <row r="18" spans="1:29">
      <c r="A18" s="63">
        <v>45840</v>
      </c>
      <c r="B18" s="62" t="s"/>
      <c r="C18" s="62" t="s"/>
      <c r="D18" s="62" t="s">
        <v>38</v>
      </c>
      <c r="E18" s="62" t="s">
        <v>48</v>
      </c>
      <c r="F18" s="62" t="s">
        <v>49</v>
      </c>
      <c r="G18" s="64" t="s">
        <v>50</v>
      </c>
      <c r="H18" s="62" t="s">
        <v>51</v>
      </c>
      <c r="I18" s="73" t="s">
        <v>47</v>
      </c>
      <c r="J18" s="62">
        <v>2</v>
      </c>
      <c r="K18" s="62">
        <v>2.5</v>
      </c>
      <c r="L18" s="62" t="s"/>
      <c r="M18" s="62" t="s"/>
      <c r="N18" s="62" t="s"/>
      <c r="O18" s="62">
        <v>504258</v>
      </c>
      <c r="P18" s="62">
        <v>488950</v>
      </c>
      <c r="Q18" s="62">
        <v>504258</v>
      </c>
      <c r="R18" s="62" t="s"/>
      <c r="S18" s="62" t="s"/>
      <c r="T18" s="68">
        <f>=P18/10000*J18*Z18</f>
        <v>10170.16</v>
      </c>
      <c r="U18" s="62" t="s"/>
      <c r="V18" s="68" t="s"/>
      <c r="W18" s="68" t="s"/>
      <c r="X18" s="68">
        <f>=O18-P18</f>
        <v>15308</v>
      </c>
      <c r="Y18" s="68">
        <f>=X18-T18-U18-V18</f>
        <v>5137.84</v>
      </c>
      <c r="Z18" s="62">
        <f>=A18-$A$10+1</f>
        <v>104</v>
      </c>
      <c r="AA18" s="68">
        <f>=P18/10000*K18*Z18</f>
        <v>12712.7</v>
      </c>
      <c r="AB18" s="62">
        <f>=Q18*Z18</f>
        <v>52442832</v>
      </c>
      <c r="AC18" t="s">
        <v>44</v>
      </c>
    </row>
    <row r="19" spans="1:29">
      <c r="A19" s="63">
        <v>45854</v>
      </c>
      <c r="B19" s="62" t="s">
        <v>37</v>
      </c>
      <c r="C19" s="62" t="s"/>
      <c r="D19" s="62" t="s">
        <v>38</v>
      </c>
      <c r="E19" s="62" t="s">
        <v>48</v>
      </c>
      <c r="F19" s="62" t="s">
        <v>49</v>
      </c>
      <c r="G19" s="71" t="s">
        <v>60</v>
      </c>
      <c r="H19" s="75" t="s">
        <v>61</v>
      </c>
      <c r="I19" s="69" t="s">
        <v>43</v>
      </c>
      <c r="J19" s="62">
        <v>2</v>
      </c>
      <c r="K19" s="62">
        <v>3</v>
      </c>
      <c r="L19" s="62" t="s"/>
      <c r="M19" s="62">
        <v>1951110</v>
      </c>
      <c r="N19" s="62" t="s"/>
      <c r="O19" s="62" t="s"/>
      <c r="P19" s="62" t="s"/>
      <c r="Q19" s="62" t="s"/>
      <c r="R19" s="62" t="s"/>
      <c r="S19" s="62" t="s"/>
      <c r="T19" s="62" t="s"/>
      <c r="U19" s="62" t="s"/>
      <c r="V19" s="62" t="s"/>
      <c r="W19" s="62" t="s"/>
      <c r="X19" s="62" t="s"/>
      <c r="Y19" s="62" t="s"/>
      <c r="Z19" s="62" t="s"/>
      <c r="AA19" s="62" t="s"/>
      <c r="AB19" s="62" t="s"/>
      <c r="AC19" t="s">
        <v>58</v>
      </c>
    </row>
    <row r="20" spans="1:29">
      <c r="A20" s="76">
        <v>45855</v>
      </c>
      <c r="B20" s="62" t="s">
        <v>37</v>
      </c>
      <c r="C20" s="62" t="s"/>
      <c r="D20" s="62" t="s">
        <v>38</v>
      </c>
      <c r="E20" s="62" t="s">
        <v>48</v>
      </c>
      <c r="F20" s="62" t="s">
        <v>49</v>
      </c>
      <c r="G20" s="71" t="s">
        <v>60</v>
      </c>
      <c r="H20" s="75" t="s">
        <v>62</v>
      </c>
      <c r="I20" s="69" t="s">
        <v>43</v>
      </c>
      <c r="J20" s="62">
        <v>2</v>
      </c>
      <c r="K20" s="62">
        <v>3</v>
      </c>
      <c r="L20" s="62" t="s"/>
      <c r="M20" s="62">
        <v>995904</v>
      </c>
      <c r="N20" s="62" t="s"/>
      <c r="O20" s="62" t="s"/>
      <c r="P20" s="62" t="s"/>
      <c r="Q20" s="62" t="s"/>
      <c r="R20" s="62" t="s"/>
      <c r="S20" s="62" t="s"/>
      <c r="T20" s="62" t="s"/>
      <c r="U20" s="62" t="s"/>
      <c r="V20" s="62" t="s"/>
      <c r="W20" s="62" t="s"/>
      <c r="X20" s="62" t="s"/>
      <c r="Y20" s="62" t="s"/>
      <c r="Z20" s="62" t="s"/>
      <c r="AA20" s="62" t="s"/>
      <c r="AB20" s="62" t="s"/>
      <c r="AC20" t="s">
        <v>58</v>
      </c>
    </row>
    <row r="21" spans="1:29">
      <c r="A21" s="76">
        <v>45855</v>
      </c>
      <c r="B21" s="62" t="s">
        <v>37</v>
      </c>
      <c r="C21" s="62" t="s"/>
      <c r="D21" s="63" t="s">
        <v>38</v>
      </c>
      <c r="E21" s="62" t="s">
        <v>63</v>
      </c>
      <c r="F21" s="62" t="s">
        <v>64</v>
      </c>
      <c r="G21" s="64" t="s">
        <v>65</v>
      </c>
      <c r="H21" s="62" t="s">
        <v>66</v>
      </c>
      <c r="I21" s="69" t="s">
        <v>43</v>
      </c>
      <c r="J21" s="62">
        <v>2</v>
      </c>
      <c r="K21" s="62">
        <v>2.5</v>
      </c>
      <c r="L21" s="62" t="s"/>
      <c r="M21" s="62">
        <v>2476000</v>
      </c>
      <c r="N21" s="62" t="s"/>
      <c r="O21" s="62" t="s"/>
      <c r="P21" s="62" t="s"/>
      <c r="Q21" s="62" t="s"/>
      <c r="R21" s="62" t="s"/>
      <c r="S21" s="62" t="s"/>
      <c r="T21" s="62" t="s"/>
      <c r="U21" s="62" t="s"/>
      <c r="V21" s="62" t="s"/>
      <c r="W21" s="62" t="s"/>
      <c r="X21" s="62" t="s"/>
      <c r="Y21" s="62" t="s"/>
      <c r="Z21" s="62" t="s"/>
      <c r="AA21" s="62" t="s"/>
      <c r="AB21" s="62" t="s"/>
      <c r="AC21" t="s">
        <v>44</v>
      </c>
    </row>
    <row r="22" spans="1:29">
      <c r="A22" s="76">
        <v>45860</v>
      </c>
      <c r="B22" s="62" t="s">
        <v>37</v>
      </c>
      <c r="C22" s="62" t="s"/>
      <c r="D22" s="63" t="s">
        <v>38</v>
      </c>
      <c r="E22" s="62" t="s">
        <v>63</v>
      </c>
      <c r="F22" s="62" t="s">
        <v>64</v>
      </c>
      <c r="G22" s="64" t="s">
        <v>65</v>
      </c>
      <c r="H22" s="62" t="s">
        <v>67</v>
      </c>
      <c r="I22" s="72" t="s">
        <v>43</v>
      </c>
      <c r="J22" s="62">
        <v>2</v>
      </c>
      <c r="K22" s="62">
        <v>2.5</v>
      </c>
      <c r="L22" s="62" t="s"/>
      <c r="M22" s="74">
        <v>2165800</v>
      </c>
      <c r="N22" s="62" t="s"/>
      <c r="O22" s="62" t="s"/>
      <c r="P22" s="62" t="s"/>
      <c r="Q22" s="62" t="s"/>
      <c r="R22" s="62" t="s"/>
      <c r="S22" s="62" t="s"/>
      <c r="T22" s="62" t="s"/>
      <c r="U22" s="62" t="s"/>
      <c r="V22" s="62" t="s"/>
      <c r="W22" s="62" t="s"/>
      <c r="X22" s="62" t="s"/>
      <c r="Y22" s="62" t="s"/>
      <c r="Z22" s="62" t="s"/>
      <c r="AA22" s="62" t="s"/>
      <c r="AB22" s="62" t="s"/>
      <c r="AC22" t="s">
        <v>44</v>
      </c>
    </row>
    <row r="23" spans="1:29">
      <c r="A23" s="76">
        <v>45862</v>
      </c>
      <c r="B23" s="62" t="s">
        <v>37</v>
      </c>
      <c r="C23" s="62" t="s"/>
      <c r="D23" s="63" t="s">
        <v>38</v>
      </c>
      <c r="E23" s="62" t="s">
        <v>63</v>
      </c>
      <c r="F23" s="62" t="s">
        <v>64</v>
      </c>
      <c r="G23" s="64" t="s">
        <v>65</v>
      </c>
      <c r="H23" s="62" t="s">
        <v>68</v>
      </c>
      <c r="I23" s="69" t="s">
        <v>43</v>
      </c>
      <c r="J23" s="62">
        <v>2</v>
      </c>
      <c r="K23" s="62">
        <v>2.5</v>
      </c>
      <c r="L23" s="62" t="s"/>
      <c r="M23" s="62">
        <v>3059055</v>
      </c>
      <c r="N23" s="62" t="s"/>
      <c r="O23" s="62" t="s"/>
      <c r="P23" s="62" t="s"/>
      <c r="Q23" s="62" t="s"/>
      <c r="R23" s="62" t="s"/>
      <c r="S23" s="62" t="s"/>
      <c r="T23" s="62" t="s"/>
      <c r="U23" s="62" t="s"/>
      <c r="V23" s="62" t="s"/>
      <c r="W23" s="62" t="s"/>
      <c r="X23" s="62" t="s"/>
      <c r="Y23" s="62" t="s"/>
      <c r="Z23" s="62" t="s"/>
      <c r="AA23" s="62" t="s"/>
      <c r="AB23" s="62" t="s"/>
      <c r="AC23" t="s">
        <v>44</v>
      </c>
    </row>
    <row r="24" spans="1:29">
      <c r="A24" s="63">
        <v>45865</v>
      </c>
      <c r="B24" s="62" t="s">
        <v>37</v>
      </c>
      <c r="C24" s="62" t="s"/>
      <c r="D24" s="62" t="s">
        <v>38</v>
      </c>
      <c r="E24" s="62" t="s">
        <v>48</v>
      </c>
      <c r="F24" s="62" t="s">
        <v>49</v>
      </c>
      <c r="G24" s="64" t="s">
        <v>52</v>
      </c>
      <c r="H24" s="62" t="s">
        <v>69</v>
      </c>
      <c r="I24" s="69" t="s">
        <v>43</v>
      </c>
      <c r="J24" s="62">
        <v>2</v>
      </c>
      <c r="K24" s="62">
        <v>3</v>
      </c>
      <c r="L24" s="62" t="s"/>
      <c r="M24" s="62">
        <v>317518</v>
      </c>
      <c r="N24" s="62" t="s"/>
      <c r="O24" s="62" t="s"/>
      <c r="P24" s="62" t="s"/>
      <c r="Q24" s="62" t="s"/>
      <c r="R24" s="62" t="s"/>
      <c r="S24" s="62" t="s"/>
      <c r="T24" s="62" t="s"/>
      <c r="U24" s="62" t="s"/>
      <c r="V24" s="62" t="s"/>
      <c r="W24" s="62" t="s"/>
      <c r="X24" s="62" t="s"/>
      <c r="Y24" s="62" t="s"/>
      <c r="Z24" s="62" t="s"/>
      <c r="AA24" s="62" t="s"/>
      <c r="AB24" s="62" t="s"/>
      <c r="AC24" t="s">
        <v>44</v>
      </c>
    </row>
    <row r="25" spans="1:29">
      <c r="A25" s="63">
        <v>45868</v>
      </c>
      <c r="B25" s="62" t="s">
        <v>37</v>
      </c>
      <c r="C25" s="62" t="s"/>
      <c r="D25" s="63" t="s">
        <v>38</v>
      </c>
      <c r="E25" s="62" t="s">
        <v>63</v>
      </c>
      <c r="F25" s="62" t="s">
        <v>64</v>
      </c>
      <c r="G25" s="64" t="s">
        <v>65</v>
      </c>
      <c r="H25" s="62" t="s">
        <v>70</v>
      </c>
      <c r="I25" s="69" t="s">
        <v>43</v>
      </c>
      <c r="J25" s="62">
        <v>2</v>
      </c>
      <c r="K25" s="62">
        <v>2.5</v>
      </c>
      <c r="L25" s="62" t="s"/>
      <c r="M25" s="62">
        <v>1521150</v>
      </c>
      <c r="N25" s="62" t="s"/>
      <c r="O25" s="62" t="s"/>
      <c r="P25" s="62" t="s"/>
      <c r="Q25" s="62" t="s"/>
      <c r="R25" s="62" t="s"/>
      <c r="S25" s="62" t="s"/>
      <c r="T25" s="62" t="s"/>
      <c r="U25" s="62" t="s"/>
      <c r="V25" s="62" t="s"/>
      <c r="W25" s="62" t="s"/>
      <c r="X25" s="62" t="s"/>
      <c r="Y25" s="62" t="s"/>
      <c r="Z25" s="62" t="s"/>
      <c r="AA25" s="62" t="s"/>
      <c r="AB25" s="62" t="s"/>
      <c r="AC25" t="s">
        <v>44</v>
      </c>
    </row>
    <row r="26" spans="1:29">
      <c r="A26" s="63">
        <v>45881</v>
      </c>
      <c r="B26" s="62" t="s"/>
      <c r="C26" s="62">
        <f>=TODAY()-A26+1</f>
        <v>349</v>
      </c>
      <c r="D26" s="62" t="s">
        <v>38</v>
      </c>
      <c r="E26" s="62" t="s">
        <v>48</v>
      </c>
      <c r="F26" s="62" t="s">
        <v>49</v>
      </c>
      <c r="G26" s="64" t="s">
        <v>50</v>
      </c>
      <c r="H26" s="62" t="s">
        <v>71</v>
      </c>
      <c r="I26" s="72" t="s">
        <v>43</v>
      </c>
      <c r="J26" s="62">
        <v>2</v>
      </c>
      <c r="K26" s="62">
        <v>2.5</v>
      </c>
      <c r="L26" s="62" t="s"/>
      <c r="M26" s="62">
        <v>930216</v>
      </c>
      <c r="N26" s="62" t="s"/>
      <c r="O26" s="62" t="s"/>
      <c r="P26" s="62" t="s"/>
      <c r="Q26" s="62" t="s"/>
      <c r="R26" s="62" t="s"/>
      <c r="S26" s="62" t="s"/>
      <c r="T26" s="62" t="s"/>
      <c r="U26" s="62" t="s"/>
      <c r="V26" s="62" t="s"/>
      <c r="W26" s="62" t="s"/>
      <c r="X26" s="62" t="s"/>
      <c r="Y26" s="62" t="s"/>
      <c r="Z26" s="62" t="s"/>
      <c r="AA26" s="62" t="s"/>
      <c r="AB26" s="62" t="s"/>
      <c r="AC26" t="s">
        <v>44</v>
      </c>
    </row>
    <row r="27" spans="1:29">
      <c r="A27" s="63">
        <v>45883</v>
      </c>
      <c r="B27" s="62" t="s"/>
      <c r="C27" s="62" t="s"/>
      <c r="D27" s="62" t="s">
        <v>38</v>
      </c>
      <c r="E27" s="62" t="s">
        <v>48</v>
      </c>
      <c r="F27" s="62" t="s">
        <v>49</v>
      </c>
      <c r="G27" s="64" t="s">
        <v>50</v>
      </c>
      <c r="H27" s="62" t="s">
        <v>51</v>
      </c>
      <c r="I27" s="65" t="s">
        <v>47</v>
      </c>
      <c r="J27" s="62">
        <v>2</v>
      </c>
      <c r="K27" s="62">
        <v>2.5</v>
      </c>
      <c r="L27" s="62" t="s"/>
      <c r="M27" s="62" t="s"/>
      <c r="N27" s="62" t="s"/>
      <c r="O27" s="62">
        <v>85209</v>
      </c>
      <c r="P27" s="62">
        <v>81588.5</v>
      </c>
      <c r="Q27" s="62">
        <v>85209</v>
      </c>
      <c r="R27" s="62" t="s"/>
      <c r="S27" s="62" t="s"/>
      <c r="T27" s="68">
        <f>=P27/10000*J27*Z27</f>
        <v>2398.7019</v>
      </c>
      <c r="U27" s="62" t="s"/>
      <c r="V27" s="68" t="s"/>
      <c r="W27" s="68" t="s"/>
      <c r="X27" s="68">
        <f>=O27-P27</f>
        <v>3620.5</v>
      </c>
      <c r="Y27" s="68">
        <f>=X27-T27-U27-V27</f>
        <v>1221.7981</v>
      </c>
      <c r="Z27" s="62">
        <f>=A27-$A$10+1</f>
        <v>147</v>
      </c>
      <c r="AA27" s="68">
        <f>=P27/10000*K27*Z27</f>
        <v>2998.377375</v>
      </c>
      <c r="AB27" s="62">
        <f>=Q27*Z27</f>
        <v>12525723</v>
      </c>
      <c r="AC27" t="s">
        <v>44</v>
      </c>
    </row>
    <row r="28" spans="1:29">
      <c r="A28" s="63">
        <v>45896</v>
      </c>
      <c r="B28" s="62" t="s">
        <v>37</v>
      </c>
      <c r="C28" s="62" t="s"/>
      <c r="D28" s="63" t="s">
        <v>38</v>
      </c>
      <c r="E28" s="62" t="s">
        <v>63</v>
      </c>
      <c r="F28" s="62" t="s">
        <v>64</v>
      </c>
      <c r="G28" s="64" t="s">
        <v>72</v>
      </c>
      <c r="H28" s="62" t="s">
        <v>67</v>
      </c>
      <c r="I28" s="69" t="s">
        <v>47</v>
      </c>
      <c r="J28" s="62">
        <v>2</v>
      </c>
      <c r="K28" s="62">
        <v>2.5</v>
      </c>
      <c r="L28" s="62" t="s"/>
      <c r="M28" s="62" t="s"/>
      <c r="N28" s="62" t="s"/>
      <c r="O28" s="62">
        <v>1185000</v>
      </c>
      <c r="P28" s="62">
        <v>1175500</v>
      </c>
      <c r="Q28" s="62">
        <v>1185000</v>
      </c>
      <c r="R28" s="62" t="s"/>
      <c r="S28" s="62" t="s"/>
      <c r="T28" s="68">
        <f>=P28/10000*J28*Z28</f>
        <v>8698.7</v>
      </c>
      <c r="U28" s="62" t="s"/>
      <c r="V28" s="68" t="s"/>
      <c r="W28" s="68" t="s"/>
      <c r="X28" s="68">
        <f>=O28-P28</f>
        <v>9500</v>
      </c>
      <c r="Y28" s="68">
        <f>=X28-T28-U28-V28</f>
        <v>801.300000000001</v>
      </c>
      <c r="Z28" s="62">
        <f>=A28-$A$22+1</f>
        <v>37</v>
      </c>
      <c r="AA28" s="68">
        <f>=P28/10000*K28*Z28</f>
        <v>10873.375</v>
      </c>
      <c r="AB28" s="62">
        <f>=Q28*Z28</f>
        <v>43845000</v>
      </c>
      <c r="AC28" t="s">
        <v>44</v>
      </c>
    </row>
    <row r="29" spans="1:29">
      <c r="A29" s="63">
        <v>45897</v>
      </c>
      <c r="B29" s="62" t="s">
        <v>37</v>
      </c>
      <c r="C29" s="62" t="s"/>
      <c r="D29" s="63" t="s">
        <v>38</v>
      </c>
      <c r="E29" s="62" t="s">
        <v>63</v>
      </c>
      <c r="F29" s="62" t="s">
        <v>64</v>
      </c>
      <c r="G29" s="64" t="s">
        <v>72</v>
      </c>
      <c r="H29" s="62" t="s">
        <v>67</v>
      </c>
      <c r="I29" s="69" t="s">
        <v>47</v>
      </c>
      <c r="J29" s="62">
        <v>2</v>
      </c>
      <c r="K29" s="62">
        <v>2.5</v>
      </c>
      <c r="L29" s="62" t="s"/>
      <c r="M29" s="62" t="s"/>
      <c r="N29" s="62" t="s"/>
      <c r="O29" s="62">
        <v>998535</v>
      </c>
      <c r="P29" s="62">
        <v>990300</v>
      </c>
      <c r="Q29" s="62">
        <v>998535</v>
      </c>
      <c r="R29" s="62" t="s"/>
      <c r="S29" s="62" t="s"/>
      <c r="T29" s="68">
        <f>=P29/10000*J29*Z29</f>
        <v>7526.28</v>
      </c>
      <c r="U29" s="62" t="s"/>
      <c r="V29" s="68" t="s"/>
      <c r="W29" s="68" t="s"/>
      <c r="X29" s="68">
        <f>=O29-P29</f>
        <v>8235</v>
      </c>
      <c r="Y29" s="68">
        <f>=X29-T29-U29-V29</f>
        <v>708.72</v>
      </c>
      <c r="Z29" s="62">
        <f>=A29-$A$22+1</f>
        <v>38</v>
      </c>
      <c r="AA29" s="68">
        <f>=P29/10000*K29*Z29</f>
        <v>9407.85</v>
      </c>
      <c r="AB29" s="62">
        <f>=Q29*Z29</f>
        <v>37944330</v>
      </c>
      <c r="AC29" t="s">
        <v>44</v>
      </c>
    </row>
    <row r="30" spans="1:29">
      <c r="A30" s="63">
        <v>45897</v>
      </c>
      <c r="B30" s="62" t="s">
        <v>37</v>
      </c>
      <c r="C30" s="62" t="s"/>
      <c r="D30" s="63" t="s">
        <v>38</v>
      </c>
      <c r="E30" s="62" t="s">
        <v>63</v>
      </c>
      <c r="F30" s="62" t="s">
        <v>64</v>
      </c>
      <c r="G30" s="64" t="s">
        <v>72</v>
      </c>
      <c r="H30" s="62" t="s">
        <v>70</v>
      </c>
      <c r="I30" s="69" t="s">
        <v>47</v>
      </c>
      <c r="J30" s="62">
        <v>2</v>
      </c>
      <c r="K30" s="62">
        <v>2.5</v>
      </c>
      <c r="L30" s="62" t="s"/>
      <c r="M30" s="62" t="s"/>
      <c r="N30" s="62" t="s"/>
      <c r="O30" s="62">
        <v>534185</v>
      </c>
      <c r="P30" s="62">
        <v>530700</v>
      </c>
      <c r="Q30" s="62">
        <v>534185</v>
      </c>
      <c r="R30" s="62" t="s"/>
      <c r="S30" s="62" t="s"/>
      <c r="T30" s="68">
        <f>=P30/10000*J30*Z30</f>
        <v>3184.2</v>
      </c>
      <c r="U30" s="62" t="s"/>
      <c r="V30" s="68" t="s"/>
      <c r="W30" s="68" t="s"/>
      <c r="X30" s="68">
        <f>=O30-P30</f>
        <v>3485</v>
      </c>
      <c r="Y30" s="68">
        <f>=X30-T30-U30-V30</f>
        <v>300.8</v>
      </c>
      <c r="Z30" s="62">
        <f>=A30-$A$25+1</f>
        <v>30</v>
      </c>
      <c r="AA30" s="68">
        <f>=P30/10000*K30*Z30</f>
        <v>3980.25</v>
      </c>
      <c r="AB30" s="62">
        <f>=Q30*Z30</f>
        <v>16025550</v>
      </c>
      <c r="AC30" t="s">
        <v>44</v>
      </c>
    </row>
    <row r="31" spans="1:29">
      <c r="A31" s="63">
        <v>45897</v>
      </c>
      <c r="B31" s="62" t="s">
        <v>37</v>
      </c>
      <c r="C31" s="62" t="s"/>
      <c r="D31" s="63" t="s">
        <v>38</v>
      </c>
      <c r="E31" s="62" t="s">
        <v>63</v>
      </c>
      <c r="F31" s="62" t="s">
        <v>64</v>
      </c>
      <c r="G31" s="64" t="s">
        <v>72</v>
      </c>
      <c r="H31" s="62" t="s">
        <v>68</v>
      </c>
      <c r="I31" s="69" t="s">
        <v>47</v>
      </c>
      <c r="J31" s="62">
        <v>2</v>
      </c>
      <c r="K31" s="62">
        <v>2.5</v>
      </c>
      <c r="L31" s="62" t="s"/>
      <c r="M31" s="62" t="s"/>
      <c r="N31" s="62" t="s"/>
      <c r="O31" s="62">
        <v>625400</v>
      </c>
      <c r="P31" s="62">
        <v>620500</v>
      </c>
      <c r="Q31" s="62">
        <v>625400</v>
      </c>
      <c r="R31" s="62" t="s"/>
      <c r="S31" s="62" t="s"/>
      <c r="T31" s="68">
        <f>=P31/10000*J31*Z31</f>
        <v>4467.6</v>
      </c>
      <c r="U31" s="62" t="s"/>
      <c r="V31" s="68" t="s"/>
      <c r="W31" s="68" t="s"/>
      <c r="X31" s="68">
        <f>=O31-P31</f>
        <v>4900</v>
      </c>
      <c r="Y31" s="68">
        <f>=X31-T31-U31-V31</f>
        <v>432.400000000001</v>
      </c>
      <c r="Z31" s="62">
        <f>=A31-$A$23+1</f>
        <v>36</v>
      </c>
      <c r="AA31" s="68">
        <f>=P31/10000*K31*Z31</f>
        <v>5584.5</v>
      </c>
      <c r="AB31" s="62">
        <f>=Q31*Z31</f>
        <v>22514400</v>
      </c>
      <c r="AC31" t="s">
        <v>44</v>
      </c>
    </row>
    <row r="32" spans="1:29" ht="15.75" customHeight="true">
      <c r="A32" s="63">
        <v>45897</v>
      </c>
      <c r="B32" s="62" t="s">
        <v>37</v>
      </c>
      <c r="C32" s="62" t="s"/>
      <c r="D32" s="63" t="s">
        <v>38</v>
      </c>
      <c r="E32" s="62" t="s">
        <v>63</v>
      </c>
      <c r="F32" s="62" t="s">
        <v>64</v>
      </c>
      <c r="G32" s="64" t="s">
        <v>72</v>
      </c>
      <c r="H32" s="62" t="s">
        <v>66</v>
      </c>
      <c r="I32" s="72" t="s">
        <v>47</v>
      </c>
      <c r="J32" s="62">
        <v>2</v>
      </c>
      <c r="K32" s="62">
        <v>2.5</v>
      </c>
      <c r="L32" s="62" t="s"/>
      <c r="M32" s="62" t="s"/>
      <c r="N32" s="62" t="s"/>
      <c r="O32" s="62">
        <v>2030600</v>
      </c>
      <c r="P32" s="62">
        <v>2011750</v>
      </c>
      <c r="Q32" s="62">
        <v>2030600</v>
      </c>
      <c r="R32" s="62" t="s"/>
      <c r="S32" s="62" t="s"/>
      <c r="T32" s="68">
        <f>=P32/10000*J32*Z32</f>
        <v>17301.05</v>
      </c>
      <c r="U32" s="62" t="s"/>
      <c r="V32" s="68" t="s"/>
      <c r="W32" s="68" t="s"/>
      <c r="X32" s="68">
        <f>=O32-P32</f>
        <v>18850</v>
      </c>
      <c r="Y32" s="68">
        <f>=X32-T32-U32-V32</f>
        <v>1548.95</v>
      </c>
      <c r="Z32" s="62">
        <f>=A32-$A$21+1</f>
        <v>43</v>
      </c>
      <c r="AA32" s="68">
        <f>=P32/10000*K32*Z32</f>
        <v>21626.3125</v>
      </c>
      <c r="AB32" s="62">
        <f>=Q32*Z32</f>
        <v>87315800</v>
      </c>
      <c r="AC32" t="s">
        <v>44</v>
      </c>
    </row>
    <row r="33" spans="1:29" ht="15.75" customHeight="true">
      <c r="A33" s="63">
        <v>45898</v>
      </c>
      <c r="B33" s="62" t="s">
        <v>37</v>
      </c>
      <c r="C33" s="62" t="s"/>
      <c r="D33" s="63" t="s">
        <v>38</v>
      </c>
      <c r="E33" s="62" t="s">
        <v>63</v>
      </c>
      <c r="F33" s="62" t="s">
        <v>64</v>
      </c>
      <c r="G33" s="64" t="s">
        <v>72</v>
      </c>
      <c r="H33" s="62" t="s">
        <v>66</v>
      </c>
      <c r="I33" s="72" t="s">
        <v>47</v>
      </c>
      <c r="J33" s="62">
        <v>2</v>
      </c>
      <c r="K33" s="62">
        <v>2.5</v>
      </c>
      <c r="L33" s="62" t="s"/>
      <c r="M33" s="62" t="s"/>
      <c r="N33" s="62" t="s"/>
      <c r="O33" s="62">
        <v>468750</v>
      </c>
      <c r="P33" s="62">
        <v>464250</v>
      </c>
      <c r="Q33" s="62">
        <v>468750</v>
      </c>
      <c r="R33" s="62" t="s"/>
      <c r="S33" s="62" t="s"/>
      <c r="T33" s="68">
        <f>=P33/10000*J33*Z33</f>
        <v>4085.4</v>
      </c>
      <c r="U33" s="62" t="s"/>
      <c r="V33" s="68" t="s"/>
      <c r="W33" s="68" t="s"/>
      <c r="X33" s="68">
        <f>=O33-P33</f>
        <v>4500</v>
      </c>
      <c r="Y33" s="68">
        <f>=X33-T33-U33-V33</f>
        <v>414.6</v>
      </c>
      <c r="Z33" s="62">
        <f>=A33-$A$21+1</f>
        <v>44</v>
      </c>
      <c r="AA33" s="68">
        <f>=P33/10000*K33*Z33</f>
        <v>5106.75</v>
      </c>
      <c r="AB33" s="62">
        <f>=Q33*Z33</f>
        <v>20625000</v>
      </c>
      <c r="AC33" t="s">
        <v>44</v>
      </c>
    </row>
    <row r="34" spans="1:29" ht="15.75" customHeight="true">
      <c r="A34" s="63">
        <v>45898</v>
      </c>
      <c r="B34" s="62" t="s">
        <v>37</v>
      </c>
      <c r="C34" s="62" t="s"/>
      <c r="D34" s="63" t="s">
        <v>38</v>
      </c>
      <c r="E34" s="62" t="s">
        <v>63</v>
      </c>
      <c r="F34" s="62" t="s">
        <v>64</v>
      </c>
      <c r="G34" s="64" t="s">
        <v>72</v>
      </c>
      <c r="H34" s="62" t="s">
        <v>70</v>
      </c>
      <c r="I34" s="77" t="s">
        <v>47</v>
      </c>
      <c r="J34" s="62">
        <v>2</v>
      </c>
      <c r="K34" s="62">
        <v>2.5</v>
      </c>
      <c r="L34" s="62" t="s"/>
      <c r="M34" s="62" t="s"/>
      <c r="N34" s="62" t="s"/>
      <c r="O34" s="78">
        <v>997128</v>
      </c>
      <c r="P34" s="78">
        <v>990450</v>
      </c>
      <c r="Q34" s="62">
        <v>997128</v>
      </c>
      <c r="R34" s="62" t="s"/>
      <c r="S34" s="62" t="s"/>
      <c r="T34" s="68">
        <f>=P34/10000*J34*Z34</f>
        <v>6140.79</v>
      </c>
      <c r="U34" s="62" t="s"/>
      <c r="V34" s="68" t="s"/>
      <c r="W34" s="68" t="s"/>
      <c r="X34" s="68">
        <f>=O34-P34</f>
        <v>6678</v>
      </c>
      <c r="Y34" s="68">
        <f>=X34-T34-U34-V34</f>
        <v>537.21</v>
      </c>
      <c r="Z34" s="62">
        <f>=A34-$A$25+1</f>
        <v>31</v>
      </c>
      <c r="AA34" s="68">
        <f>=P34/10000*K34*Z34</f>
        <v>7675.9875</v>
      </c>
      <c r="AB34" s="62">
        <f>=Q34*Z34</f>
        <v>30910968</v>
      </c>
      <c r="AC34" t="s">
        <v>44</v>
      </c>
    </row>
    <row r="35" spans="1:29" ht="15.75" customHeight="true">
      <c r="A35" s="63">
        <v>45898</v>
      </c>
      <c r="B35" s="62" t="s">
        <v>37</v>
      </c>
      <c r="C35" s="62" t="s"/>
      <c r="D35" s="63" t="s">
        <v>38</v>
      </c>
      <c r="E35" s="62" t="s">
        <v>63</v>
      </c>
      <c r="F35" s="62" t="s">
        <v>64</v>
      </c>
      <c r="G35" s="64" t="s">
        <v>72</v>
      </c>
      <c r="H35" s="62" t="s">
        <v>68</v>
      </c>
      <c r="I35" s="77" t="s">
        <v>47</v>
      </c>
      <c r="J35" s="62">
        <v>2</v>
      </c>
      <c r="K35" s="62">
        <v>2.5</v>
      </c>
      <c r="L35" s="62" t="s"/>
      <c r="M35" s="62" t="s"/>
      <c r="N35" s="62" t="s"/>
      <c r="O35" s="78">
        <v>313480</v>
      </c>
      <c r="P35" s="78">
        <v>310950</v>
      </c>
      <c r="Q35" s="62">
        <v>313480</v>
      </c>
      <c r="R35" s="62" t="s"/>
      <c r="S35" s="62" t="s"/>
      <c r="T35" s="68">
        <f>=P35/10000*J35*Z35</f>
        <v>2301.03</v>
      </c>
      <c r="U35" s="62" t="s"/>
      <c r="V35" s="68" t="s"/>
      <c r="W35" s="68" t="s"/>
      <c r="X35" s="68">
        <f>=O35-P35</f>
        <v>2530</v>
      </c>
      <c r="Y35" s="68">
        <f>=X35-T35-U35-V35</f>
        <v>228.97</v>
      </c>
      <c r="Z35" s="62">
        <f>=A35-$A$23+1</f>
        <v>37</v>
      </c>
      <c r="AA35" s="68">
        <f>=P35/10000*K35*Z35</f>
        <v>2876.2875</v>
      </c>
      <c r="AB35" s="62">
        <f>=Q35*Z35</f>
        <v>11598760</v>
      </c>
      <c r="AC35" t="s">
        <v>44</v>
      </c>
    </row>
    <row r="36" spans="1:29" ht="15.75" customHeight="true">
      <c r="A36" s="63">
        <v>45899</v>
      </c>
      <c r="B36" s="62" t="s"/>
      <c r="C36" s="62" t="s"/>
      <c r="D36" s="62" t="s">
        <v>38</v>
      </c>
      <c r="E36" s="62" t="s">
        <v>48</v>
      </c>
      <c r="F36" s="62" t="s">
        <v>49</v>
      </c>
      <c r="G36" s="71" t="s">
        <v>60</v>
      </c>
      <c r="H36" s="75" t="s">
        <v>62</v>
      </c>
      <c r="I36" s="77" t="s">
        <v>47</v>
      </c>
      <c r="J36" s="62">
        <v>2</v>
      </c>
      <c r="K36" s="62">
        <v>3</v>
      </c>
      <c r="L36" s="62" t="s"/>
      <c r="M36" s="62" t="s"/>
      <c r="N36" s="62" t="s"/>
      <c r="O36" s="78">
        <v>121400</v>
      </c>
      <c r="P36" s="78">
        <v>119700</v>
      </c>
      <c r="Q36" s="62">
        <v>121400</v>
      </c>
      <c r="R36" s="62" t="s"/>
      <c r="S36" s="62" t="s"/>
      <c r="T36" s="68">
        <f>=P36/10000*J36*Z36</f>
        <v>1077.3</v>
      </c>
      <c r="U36" s="62" t="s"/>
      <c r="V36" s="68" t="s"/>
      <c r="W36" s="68" t="s"/>
      <c r="X36" s="68">
        <f>=O36-P36</f>
        <v>1700</v>
      </c>
      <c r="Y36" s="68">
        <f>=X36-T36-U36-V36</f>
        <v>622.7</v>
      </c>
      <c r="Z36" s="62">
        <f>=A36-$A$20+1</f>
        <v>45</v>
      </c>
      <c r="AA36" s="68">
        <f>=P36/10000*K36*Z36</f>
        <v>1615.95</v>
      </c>
      <c r="AB36" s="62">
        <f>=Q36*Z36</f>
        <v>5463000</v>
      </c>
      <c r="AC36" t="s">
        <v>58</v>
      </c>
    </row>
    <row r="37" spans="1:29" ht="15.75" customHeight="true">
      <c r="A37" s="63">
        <v>45901</v>
      </c>
      <c r="B37" s="62" t="s">
        <v>37</v>
      </c>
      <c r="C37" s="62" t="s"/>
      <c r="D37" s="63" t="s">
        <v>38</v>
      </c>
      <c r="E37" s="62" t="s">
        <v>63</v>
      </c>
      <c r="F37" s="62" t="s">
        <v>64</v>
      </c>
      <c r="G37" s="64" t="s">
        <v>72</v>
      </c>
      <c r="H37" s="62" t="s">
        <v>68</v>
      </c>
      <c r="I37" s="77" t="s">
        <v>47</v>
      </c>
      <c r="J37" s="62">
        <v>2</v>
      </c>
      <c r="K37" s="62">
        <v>2.5</v>
      </c>
      <c r="L37" s="62" t="s"/>
      <c r="M37" s="62" t="s"/>
      <c r="N37" s="62" t="s"/>
      <c r="O37" s="78">
        <v>312450</v>
      </c>
      <c r="P37" s="78">
        <v>309750</v>
      </c>
      <c r="Q37" s="62">
        <v>312450</v>
      </c>
      <c r="R37" s="62" t="s"/>
      <c r="S37" s="62" t="s"/>
      <c r="T37" s="68">
        <f>=P37/10000*J37*Z37</f>
        <v>2478</v>
      </c>
      <c r="U37" s="62" t="s"/>
      <c r="V37" s="68" t="s"/>
      <c r="W37" s="68" t="s"/>
      <c r="X37" s="68">
        <f>=O37-P37</f>
        <v>2700</v>
      </c>
      <c r="Y37" s="68">
        <f>=X37-T37-U37-V37</f>
        <v>222</v>
      </c>
      <c r="Z37" s="62">
        <f>=A37-$A$23+1</f>
        <v>40</v>
      </c>
      <c r="AA37" s="68">
        <f>=P37/10000*K37*Z37</f>
        <v>3097.5</v>
      </c>
      <c r="AB37" s="62">
        <f>=Q37*Z37</f>
        <v>12498000</v>
      </c>
      <c r="AC37" t="s">
        <v>44</v>
      </c>
    </row>
    <row r="38" spans="1:29">
      <c r="A38" s="63">
        <v>45901</v>
      </c>
      <c r="B38" s="62" t="s"/>
      <c r="C38" s="62" t="s"/>
      <c r="D38" s="62" t="s">
        <v>38</v>
      </c>
      <c r="E38" s="62" t="s">
        <v>48</v>
      </c>
      <c r="F38" s="62" t="s">
        <v>49</v>
      </c>
      <c r="G38" s="64" t="s">
        <v>50</v>
      </c>
      <c r="H38" s="62" t="s">
        <v>51</v>
      </c>
      <c r="I38" s="79" t="s">
        <v>47</v>
      </c>
      <c r="J38" s="62">
        <v>2</v>
      </c>
      <c r="K38" s="62">
        <v>2.5</v>
      </c>
      <c r="L38" s="62" t="s"/>
      <c r="M38" s="62" t="s"/>
      <c r="N38" s="62" t="s"/>
      <c r="O38" s="78">
        <v>17640</v>
      </c>
      <c r="P38" s="78">
        <v>16800</v>
      </c>
      <c r="Q38" s="62">
        <v>17640</v>
      </c>
      <c r="R38" s="62" t="s"/>
      <c r="S38" s="62" t="s"/>
      <c r="T38" s="68">
        <f>=P38/10000*J38*Z38</f>
        <v>554.4</v>
      </c>
      <c r="U38" s="62" t="s"/>
      <c r="V38" s="68" t="s"/>
      <c r="W38" s="68" t="s"/>
      <c r="X38" s="68">
        <f>=O38-P38</f>
        <v>840</v>
      </c>
      <c r="Y38" s="68">
        <f>=X38-T38-U38-V38</f>
        <v>285.6</v>
      </c>
      <c r="Z38" s="62">
        <f>=A38-$A$10+1</f>
        <v>165</v>
      </c>
      <c r="AA38" s="68">
        <f>=P38/10000*K38*Z38</f>
        <v>693</v>
      </c>
      <c r="AB38" s="62">
        <f>=Q38*Z38</f>
        <v>2910600</v>
      </c>
      <c r="AC38" t="s">
        <v>44</v>
      </c>
    </row>
    <row r="39" spans="1:29">
      <c r="A39" s="63">
        <v>45901</v>
      </c>
      <c r="B39" s="62" t="s"/>
      <c r="C39" s="62" t="s"/>
      <c r="D39" s="62" t="s">
        <v>38</v>
      </c>
      <c r="E39" s="62" t="s">
        <v>48</v>
      </c>
      <c r="F39" s="62" t="s">
        <v>49</v>
      </c>
      <c r="G39" s="64" t="s">
        <v>50</v>
      </c>
      <c r="H39" s="62" t="s">
        <v>71</v>
      </c>
      <c r="I39" s="79" t="s">
        <v>47</v>
      </c>
      <c r="J39" s="62">
        <v>2</v>
      </c>
      <c r="K39" s="62">
        <v>2.5</v>
      </c>
      <c r="L39" s="62" t="s"/>
      <c r="M39" s="62" t="s"/>
      <c r="N39" s="62" t="s"/>
      <c r="O39" s="78">
        <v>116574</v>
      </c>
      <c r="P39" s="78">
        <v>115872</v>
      </c>
      <c r="Q39" s="62">
        <v>116574</v>
      </c>
      <c r="R39" s="62" t="s"/>
      <c r="S39" s="62" t="s"/>
      <c r="T39" s="68">
        <f>=P39/10000*J39*Z39</f>
        <v>486.6624</v>
      </c>
      <c r="U39" s="62" t="s"/>
      <c r="V39" s="68" t="s"/>
      <c r="W39" s="68" t="s"/>
      <c r="X39" s="68">
        <f>=O39-P39</f>
        <v>702</v>
      </c>
      <c r="Y39" s="68">
        <f>=X39-T39-U39-V39</f>
        <v>215.3376</v>
      </c>
      <c r="Z39" s="62">
        <f>=A39-$A$26+1</f>
        <v>21</v>
      </c>
      <c r="AA39" s="68">
        <f>=P39/10000*K39*Z39</f>
        <v>608.328</v>
      </c>
      <c r="AB39" s="62">
        <f>=Q39*Z39</f>
        <v>2448054</v>
      </c>
      <c r="AC39" t="s">
        <v>44</v>
      </c>
    </row>
    <row r="40" spans="1:29">
      <c r="A40" s="63">
        <v>45902</v>
      </c>
      <c r="B40" s="62" t="s">
        <v>37</v>
      </c>
      <c r="C40" s="62" t="s"/>
      <c r="D40" s="62" t="s">
        <v>38</v>
      </c>
      <c r="E40" s="62" t="s">
        <v>48</v>
      </c>
      <c r="F40" s="62" t="s">
        <v>49</v>
      </c>
      <c r="G40" s="64" t="s">
        <v>52</v>
      </c>
      <c r="H40" s="62" t="s">
        <v>69</v>
      </c>
      <c r="I40" s="79" t="s">
        <v>47</v>
      </c>
      <c r="J40" s="62">
        <v>2</v>
      </c>
      <c r="K40" s="62">
        <v>3</v>
      </c>
      <c r="L40" s="62" t="s"/>
      <c r="M40" s="62" t="s"/>
      <c r="N40" s="62" t="s"/>
      <c r="O40" s="78">
        <v>9332</v>
      </c>
      <c r="P40" s="78">
        <v>9228</v>
      </c>
      <c r="Q40" s="62">
        <v>9332</v>
      </c>
      <c r="R40" s="62" t="s"/>
      <c r="S40" s="62" t="s"/>
      <c r="T40" s="68">
        <f>=P40/10000*J40*Z40</f>
        <v>70.1328</v>
      </c>
      <c r="U40" s="62" t="s"/>
      <c r="V40" s="68" t="s"/>
      <c r="W40" s="68" t="s"/>
      <c r="X40" s="68">
        <f>=O40-P40</f>
        <v>104</v>
      </c>
      <c r="Y40" s="68">
        <f>=X40-T40-U40-V40</f>
        <v>33.8672</v>
      </c>
      <c r="Z40" s="62">
        <f>=A40-$A$24+1</f>
        <v>38</v>
      </c>
      <c r="AA40" s="68">
        <f>=P40/10000*K40*Z40</f>
        <v>105.1992</v>
      </c>
      <c r="AB40" s="62">
        <f>=Q40*Z40</f>
        <v>354616</v>
      </c>
      <c r="AC40" t="s">
        <v>44</v>
      </c>
    </row>
    <row r="41" spans="1:29" s="270" customFormat="true">
      <c r="A41" s="80">
        <v>45903</v>
      </c>
      <c r="B41" s="64" t="s">
        <v>37</v>
      </c>
      <c r="C41" s="64" t="s"/>
      <c r="D41" s="80" t="s">
        <v>38</v>
      </c>
      <c r="E41" s="64" t="s">
        <v>63</v>
      </c>
      <c r="F41" s="64" t="s">
        <v>64</v>
      </c>
      <c r="G41" s="64" t="s">
        <v>72</v>
      </c>
      <c r="H41" s="64" t="s">
        <v>68</v>
      </c>
      <c r="I41" s="81" t="s">
        <v>47</v>
      </c>
      <c r="J41" s="64">
        <v>2</v>
      </c>
      <c r="K41" s="64">
        <v>2.5</v>
      </c>
      <c r="L41" s="64" t="s"/>
      <c r="M41" s="64" t="s"/>
      <c r="N41" s="64" t="s"/>
      <c r="O41" s="64">
        <v>1834624</v>
      </c>
      <c r="P41" s="64">
        <v>1817855</v>
      </c>
      <c r="Q41" s="64">
        <v>1834624</v>
      </c>
      <c r="R41" s="64" t="s"/>
      <c r="S41" s="64" t="s"/>
      <c r="T41" s="82">
        <f>=P41/10000*J41*Z41</f>
        <v>15269.982</v>
      </c>
      <c r="U41" s="83" t="s"/>
      <c r="V41" s="84" t="s"/>
      <c r="W41" s="85" t="s"/>
      <c r="X41" s="85">
        <f>=O41-P41</f>
        <v>16769</v>
      </c>
      <c r="Y41" s="86">
        <f>=X41-T41-U41-V41</f>
        <v>1499.018</v>
      </c>
      <c r="Z41" s="64">
        <f>=A41-$A$23+1</f>
        <v>42</v>
      </c>
      <c r="AA41" s="82">
        <f>=P41/10000*K41*Z41</f>
        <v>19087.4775</v>
      </c>
      <c r="AB41" s="64">
        <f>=Q41*Z41</f>
        <v>77054208</v>
      </c>
      <c r="AC41" s="87" t="s">
        <v>44</v>
      </c>
    </row>
    <row r="42" spans="1:29">
      <c r="A42" s="63">
        <v>45909</v>
      </c>
      <c r="B42" s="62" t="s"/>
      <c r="C42" s="62" t="s"/>
      <c r="D42" s="62" t="s">
        <v>38</v>
      </c>
      <c r="E42" s="62" t="s">
        <v>48</v>
      </c>
      <c r="F42" s="62" t="s">
        <v>49</v>
      </c>
      <c r="G42" s="64" t="s">
        <v>50</v>
      </c>
      <c r="H42" s="62" t="s">
        <v>51</v>
      </c>
      <c r="I42" s="79" t="s">
        <v>47</v>
      </c>
      <c r="J42" s="62">
        <v>2</v>
      </c>
      <c r="K42" s="62">
        <v>2.5</v>
      </c>
      <c r="L42" s="62" t="s"/>
      <c r="M42" s="62" t="s"/>
      <c r="N42" s="62" t="s"/>
      <c r="O42" s="78">
        <v>67095</v>
      </c>
      <c r="P42" s="78">
        <v>63770</v>
      </c>
      <c r="Q42" s="78">
        <v>67095</v>
      </c>
      <c r="R42" s="62" t="s"/>
      <c r="S42" s="62" t="s"/>
      <c r="T42" s="68">
        <f>=P42/10000*J42*Z42</f>
        <v>2206.442</v>
      </c>
      <c r="U42" s="62" t="s"/>
      <c r="V42" s="68" t="s"/>
      <c r="W42" s="68" t="s"/>
      <c r="X42" s="68">
        <f>=O42-P42</f>
        <v>3325</v>
      </c>
      <c r="Y42" s="68">
        <f>=X42-T42-U42-V42</f>
        <v>1118.558</v>
      </c>
      <c r="Z42" s="62">
        <f>=A42-$A$10+1</f>
        <v>173</v>
      </c>
      <c r="AA42" s="68">
        <f>=P42/10000*K42*Z42</f>
        <v>2758.0525</v>
      </c>
      <c r="AB42" s="62">
        <f>=Q42*Z42</f>
        <v>11607435</v>
      </c>
      <c r="AC42" t="s">
        <v>44</v>
      </c>
    </row>
    <row r="43" spans="1:29">
      <c r="A43" s="63">
        <v>45909</v>
      </c>
      <c r="B43" s="62" t="s"/>
      <c r="C43" s="62" t="s"/>
      <c r="D43" s="62" t="s">
        <v>38</v>
      </c>
      <c r="E43" s="62" t="s">
        <v>48</v>
      </c>
      <c r="F43" s="62" t="s">
        <v>49</v>
      </c>
      <c r="G43" s="64" t="s">
        <v>50</v>
      </c>
      <c r="H43" s="62" t="s">
        <v>71</v>
      </c>
      <c r="I43" s="79" t="s">
        <v>47</v>
      </c>
      <c r="J43" s="62">
        <v>2</v>
      </c>
      <c r="K43" s="62">
        <v>2.5</v>
      </c>
      <c r="L43" s="62" t="s"/>
      <c r="M43" s="62" t="s"/>
      <c r="N43" s="62" t="s"/>
      <c r="O43" s="78">
        <v>121404</v>
      </c>
      <c r="P43" s="78">
        <v>120384</v>
      </c>
      <c r="Q43" s="62">
        <v>121404</v>
      </c>
      <c r="R43" s="62" t="s"/>
      <c r="S43" s="62" t="s"/>
      <c r="T43" s="68">
        <f>=P43/10000*J43*Z43</f>
        <v>698.2272</v>
      </c>
      <c r="U43" s="62" t="s"/>
      <c r="V43" s="68" t="s"/>
      <c r="W43" s="68" t="s"/>
      <c r="X43" s="68">
        <f>=O43-P43</f>
        <v>1020</v>
      </c>
      <c r="Y43" s="68">
        <f>=X43-T43-U43-V43</f>
        <v>321.7728</v>
      </c>
      <c r="Z43" s="62">
        <f>=A43-$A$26+1</f>
        <v>29</v>
      </c>
      <c r="AA43" s="68">
        <f>=P43/10000*K43*Z43</f>
        <v>872.784</v>
      </c>
      <c r="AB43" s="62">
        <f>=Q43*Z43</f>
        <v>3520716</v>
      </c>
      <c r="AC43" t="s">
        <v>44</v>
      </c>
    </row>
    <row r="44" spans="1:29">
      <c r="A44" s="63">
        <v>45919</v>
      </c>
      <c r="B44" s="62" t="s"/>
      <c r="C44" s="62" t="s"/>
      <c r="D44" s="62" t="s">
        <v>38</v>
      </c>
      <c r="E44" s="62" t="s">
        <v>48</v>
      </c>
      <c r="F44" s="62" t="s">
        <v>49</v>
      </c>
      <c r="G44" s="64" t="s">
        <v>50</v>
      </c>
      <c r="H44" s="62" t="s">
        <v>51</v>
      </c>
      <c r="I44" s="65" t="s">
        <v>47</v>
      </c>
      <c r="J44" s="62">
        <v>2</v>
      </c>
      <c r="K44" s="62">
        <v>2.5</v>
      </c>
      <c r="L44" s="62" t="s"/>
      <c r="M44" s="62" t="s"/>
      <c r="N44" s="62" t="s"/>
      <c r="O44" s="62">
        <v>214447</v>
      </c>
      <c r="P44" s="62">
        <v>203248.5</v>
      </c>
      <c r="Q44" s="62">
        <v>214447</v>
      </c>
      <c r="R44" s="62" t="s"/>
      <c r="S44" s="62" t="s"/>
      <c r="T44" s="68">
        <f>=P44/10000*J44*Z44</f>
        <v>7438.8951</v>
      </c>
      <c r="U44" s="62" t="s"/>
      <c r="V44" s="68" t="s"/>
      <c r="W44" s="68" t="s"/>
      <c r="X44" s="68">
        <f>=O44-P44</f>
        <v>11198.5</v>
      </c>
      <c r="Y44" s="68">
        <f>=X44-T44-U44-V44</f>
        <v>3759.6049</v>
      </c>
      <c r="Z44" s="62">
        <f>=A44-$A$10+1</f>
        <v>183</v>
      </c>
      <c r="AA44" s="68">
        <f>=P44/10000*K44*Z44</f>
        <v>9298.618875</v>
      </c>
      <c r="AB44" s="62">
        <f>=Q44*Z44</f>
        <v>39243801</v>
      </c>
      <c r="AC44" t="s">
        <v>44</v>
      </c>
    </row>
    <row r="45" spans="1:29">
      <c r="A45" s="63">
        <v>45919</v>
      </c>
      <c r="B45" s="62" t="s"/>
      <c r="C45" s="62" t="s"/>
      <c r="D45" s="62" t="s">
        <v>38</v>
      </c>
      <c r="E45" s="62" t="s">
        <v>48</v>
      </c>
      <c r="F45" s="62" t="s">
        <v>49</v>
      </c>
      <c r="G45" s="64" t="s">
        <v>50</v>
      </c>
      <c r="H45" s="62" t="s">
        <v>71</v>
      </c>
      <c r="I45" s="65" t="s">
        <v>47</v>
      </c>
      <c r="J45" s="62">
        <v>2</v>
      </c>
      <c r="K45" s="62">
        <v>2.5</v>
      </c>
      <c r="L45" s="62" t="s"/>
      <c r="M45" s="62" t="s"/>
      <c r="N45" s="62" t="s"/>
      <c r="O45" s="62">
        <v>162996</v>
      </c>
      <c r="P45" s="62">
        <v>161168</v>
      </c>
      <c r="Q45" s="62">
        <v>162996</v>
      </c>
      <c r="R45" s="62" t="s"/>
      <c r="S45" s="62" t="s"/>
      <c r="T45" s="68">
        <f>=P45/10000*J45*Z45</f>
        <v>1257.1104</v>
      </c>
      <c r="U45" s="62" t="s"/>
      <c r="V45" s="68" t="s"/>
      <c r="W45" s="68" t="s"/>
      <c r="X45" s="68">
        <f>=O45-P45</f>
        <v>1828</v>
      </c>
      <c r="Y45" s="68">
        <f>=X45-T45-U45-V45</f>
        <v>570.8896</v>
      </c>
      <c r="Z45" s="62">
        <f>=A45-$A$26+1</f>
        <v>39</v>
      </c>
      <c r="AA45" s="68">
        <f>=P45/10000*K45*Z45</f>
        <v>1571.388</v>
      </c>
      <c r="AB45" s="62">
        <f>=Q45*Z45</f>
        <v>6356844</v>
      </c>
      <c r="AC45" t="s">
        <v>44</v>
      </c>
    </row>
    <row r="46" spans="1:29">
      <c r="A46" s="63">
        <v>45924</v>
      </c>
      <c r="B46" s="62" t="s">
        <v>37</v>
      </c>
      <c r="C46" s="62" t="s"/>
      <c r="D46" s="62" t="s">
        <v>38</v>
      </c>
      <c r="E46" s="62" t="s">
        <v>48</v>
      </c>
      <c r="F46" s="62" t="s">
        <v>73</v>
      </c>
      <c r="G46" s="64" t="s">
        <v>74</v>
      </c>
      <c r="H46" s="62" t="s">
        <v>75</v>
      </c>
      <c r="I46" s="72" t="s">
        <v>43</v>
      </c>
      <c r="J46" s="62">
        <v>2</v>
      </c>
      <c r="K46" s="62">
        <v>2.8</v>
      </c>
      <c r="L46" s="62" t="s"/>
      <c r="M46" s="62">
        <v>2103894</v>
      </c>
      <c r="N46" s="62" t="s"/>
      <c r="O46" s="62" t="s"/>
      <c r="P46" s="62" t="s"/>
      <c r="Q46" s="62" t="s"/>
      <c r="R46" s="62" t="s"/>
      <c r="S46" s="62" t="s"/>
      <c r="T46" s="62" t="s"/>
      <c r="U46" s="62" t="s"/>
      <c r="V46" s="62" t="s"/>
      <c r="W46" s="62" t="s"/>
      <c r="X46" s="62" t="s"/>
      <c r="Y46" s="62" t="s"/>
      <c r="Z46" s="62" t="s"/>
      <c r="AA46" s="62" t="s"/>
      <c r="AB46" s="62" t="s"/>
      <c r="AC46" t="s">
        <v>44</v>
      </c>
    </row>
    <row r="47" spans="1:29">
      <c r="A47" s="63">
        <v>45929</v>
      </c>
      <c r="B47" s="62" t="s">
        <v>37</v>
      </c>
      <c r="C47" s="62" t="s"/>
      <c r="D47" s="62" t="s">
        <v>38</v>
      </c>
      <c r="E47" s="62" t="s">
        <v>48</v>
      </c>
      <c r="F47" s="62" t="s">
        <v>49</v>
      </c>
      <c r="G47" s="64" t="s">
        <v>52</v>
      </c>
      <c r="H47" s="71" t="s">
        <v>76</v>
      </c>
      <c r="I47" s="72" t="s">
        <v>43</v>
      </c>
      <c r="J47" s="62">
        <v>2</v>
      </c>
      <c r="K47" s="62">
        <v>3</v>
      </c>
      <c r="L47" s="62" t="s"/>
      <c r="M47" s="62">
        <v>326480</v>
      </c>
      <c r="N47" s="62" t="s"/>
      <c r="O47" s="62" t="s"/>
      <c r="P47" s="62" t="s"/>
      <c r="Q47" s="62" t="s"/>
      <c r="R47" s="62" t="s"/>
      <c r="S47" s="62" t="s"/>
      <c r="T47" s="62" t="s"/>
      <c r="U47" s="62" t="s"/>
      <c r="V47" s="62" t="s"/>
      <c r="W47" s="62" t="s"/>
      <c r="X47" s="62" t="s"/>
      <c r="Y47" s="62" t="s"/>
      <c r="Z47" s="62" t="s"/>
      <c r="AA47" s="62" t="s"/>
      <c r="AB47" s="62" t="s"/>
      <c r="AC47" t="s">
        <v>44</v>
      </c>
    </row>
    <row r="48" spans="1:29">
      <c r="A48" s="63">
        <v>45932</v>
      </c>
      <c r="B48" s="62" t="s"/>
      <c r="C48" s="62" t="s"/>
      <c r="D48" s="62" t="s">
        <v>38</v>
      </c>
      <c r="E48" s="62" t="s">
        <v>48</v>
      </c>
      <c r="F48" s="62" t="s">
        <v>49</v>
      </c>
      <c r="G48" s="64" t="s">
        <v>50</v>
      </c>
      <c r="H48" s="62" t="s">
        <v>51</v>
      </c>
      <c r="I48" s="65" t="s">
        <v>47</v>
      </c>
      <c r="J48" s="62">
        <v>2</v>
      </c>
      <c r="K48" s="62">
        <v>2.5</v>
      </c>
      <c r="L48" s="62" t="s"/>
      <c r="M48" s="62" t="s"/>
      <c r="N48" s="62" t="s"/>
      <c r="O48" s="62">
        <v>37580</v>
      </c>
      <c r="P48" s="62">
        <v>35532</v>
      </c>
      <c r="Q48" s="62">
        <v>37580</v>
      </c>
      <c r="R48" s="62" t="s"/>
      <c r="S48" s="62" t="s"/>
      <c r="T48" s="68">
        <f>=P48/10000*J48*Z48</f>
        <v>1392.8544</v>
      </c>
      <c r="U48" s="62" t="s"/>
      <c r="V48" s="68" t="s"/>
      <c r="W48" s="68" t="s"/>
      <c r="X48" s="68">
        <f>=O48-P48</f>
        <v>2048</v>
      </c>
      <c r="Y48" s="68">
        <f>=X48-T48-U48-V48</f>
        <v>655.1456</v>
      </c>
      <c r="Z48" s="62">
        <f>=A48-$A$10+1</f>
        <v>196</v>
      </c>
      <c r="AA48" s="68">
        <f>=P48/10000*K48*Z48</f>
        <v>1741.068</v>
      </c>
      <c r="AB48" s="62">
        <f>=Q48*Z48</f>
        <v>7365680</v>
      </c>
      <c r="AC48" t="s">
        <v>44</v>
      </c>
    </row>
    <row r="49" spans="1:29">
      <c r="A49" s="61">
        <v>45943</v>
      </c>
      <c r="B49" s="62" t="s">
        <v>37</v>
      </c>
      <c r="C49" s="62" t="s"/>
      <c r="D49" s="63" t="s">
        <v>38</v>
      </c>
      <c r="E49" s="62" t="s">
        <v>39</v>
      </c>
      <c r="F49" s="62" t="s">
        <v>40</v>
      </c>
      <c r="G49" s="64" t="s">
        <v>77</v>
      </c>
      <c r="H49" s="62" t="s">
        <v>78</v>
      </c>
      <c r="I49" s="65" t="s">
        <v>43</v>
      </c>
      <c r="J49" s="62">
        <v>2</v>
      </c>
      <c r="K49" s="62">
        <v>2.5</v>
      </c>
      <c r="L49" s="62" t="s"/>
      <c r="M49" s="66">
        <v>1540200</v>
      </c>
      <c r="N49" s="62" t="s"/>
      <c r="O49" s="62" t="s"/>
      <c r="P49" s="62" t="s"/>
      <c r="Q49" s="62" t="s"/>
      <c r="R49" s="62" t="s"/>
      <c r="S49" s="62" t="s"/>
      <c r="T49" s="62" t="s"/>
      <c r="U49" s="62" t="s"/>
      <c r="V49" s="62" t="s"/>
      <c r="W49" s="62" t="s"/>
      <c r="X49" s="62" t="s"/>
      <c r="Y49" s="62" t="s"/>
      <c r="Z49" s="62" t="s"/>
      <c r="AA49" s="62" t="s"/>
      <c r="AB49" s="62" t="s"/>
      <c r="AC49" t="s">
        <v>44</v>
      </c>
    </row>
    <row r="50" spans="1:29">
      <c r="A50" s="61">
        <v>45951</v>
      </c>
      <c r="B50" s="62" t="s">
        <v>37</v>
      </c>
      <c r="C50" s="62" t="s"/>
      <c r="D50" s="63" t="s">
        <v>38</v>
      </c>
      <c r="E50" s="62" t="s">
        <v>39</v>
      </c>
      <c r="F50" s="62" t="s">
        <v>40</v>
      </c>
      <c r="G50" s="64" t="s">
        <v>77</v>
      </c>
      <c r="H50" s="62" t="s">
        <v>79</v>
      </c>
      <c r="I50" s="65" t="s">
        <v>43</v>
      </c>
      <c r="J50" s="62">
        <v>2</v>
      </c>
      <c r="K50" s="62">
        <v>2.5</v>
      </c>
      <c r="L50" s="62" t="s"/>
      <c r="M50" s="66">
        <v>499860</v>
      </c>
      <c r="N50" s="62" t="s"/>
      <c r="O50" s="62" t="s"/>
      <c r="P50" s="62" t="s"/>
      <c r="Q50" s="62" t="s"/>
      <c r="R50" s="62" t="s"/>
      <c r="S50" s="62" t="s"/>
      <c r="T50" s="62" t="s"/>
      <c r="U50" s="62" t="s"/>
      <c r="V50" s="62" t="s"/>
      <c r="W50" s="62" t="s"/>
      <c r="X50" s="62" t="s"/>
      <c r="Y50" s="62" t="s"/>
      <c r="Z50" s="62" t="s"/>
      <c r="AA50" s="62" t="s"/>
      <c r="AB50" s="62" t="s"/>
      <c r="AC50" t="s">
        <v>44</v>
      </c>
    </row>
    <row r="51" spans="1:29">
      <c r="A51" s="67">
        <v>45955</v>
      </c>
      <c r="B51" s="62" t="s">
        <v>37</v>
      </c>
      <c r="C51" s="62" t="s"/>
      <c r="D51" s="63" t="s">
        <v>38</v>
      </c>
      <c r="E51" s="62" t="s">
        <v>39</v>
      </c>
      <c r="F51" s="62" t="s">
        <v>40</v>
      </c>
      <c r="G51" s="64" t="s">
        <v>80</v>
      </c>
      <c r="H51" s="62" t="s">
        <v>79</v>
      </c>
      <c r="I51" s="65" t="s">
        <v>47</v>
      </c>
      <c r="J51" s="62">
        <v>2</v>
      </c>
      <c r="K51" s="62">
        <v>2.5</v>
      </c>
      <c r="L51" s="62" t="s"/>
      <c r="M51" s="62" t="s"/>
      <c r="N51" s="62" t="s"/>
      <c r="O51" s="62">
        <v>136268.04</v>
      </c>
      <c r="P51" s="62">
        <v>136080</v>
      </c>
      <c r="Q51" s="62">
        <v>136268.04</v>
      </c>
      <c r="R51" s="62" t="s"/>
      <c r="S51" s="62" t="s"/>
      <c r="T51" s="68">
        <f>=P51/10000*J51*Z51</f>
        <v>136.08</v>
      </c>
      <c r="U51" s="62" t="s"/>
      <c r="V51" s="68" t="s"/>
      <c r="W51" s="68" t="s"/>
      <c r="X51" s="68">
        <f>=O51-P51</f>
        <v>188.040000000008</v>
      </c>
      <c r="Y51" s="68">
        <f>=X51-T51-U51-V51</f>
        <v>51.9600000000081</v>
      </c>
      <c r="Z51" s="62">
        <f>=A51-$A$50+1</f>
        <v>5</v>
      </c>
      <c r="AA51" s="68">
        <f>=P51/10000*K51*Z51</f>
        <v>170.1</v>
      </c>
      <c r="AB51" s="62">
        <f>=Q51*Z51</f>
        <v>681340.2</v>
      </c>
      <c r="AC51" t="s">
        <v>44</v>
      </c>
    </row>
    <row r="52" spans="1:29">
      <c r="A52" s="63">
        <v>45958</v>
      </c>
      <c r="B52" s="62" t="s">
        <v>37</v>
      </c>
      <c r="C52" s="62" t="s"/>
      <c r="D52" s="62" t="s">
        <v>38</v>
      </c>
      <c r="E52" s="62" t="s">
        <v>48</v>
      </c>
      <c r="F52" s="62" t="s">
        <v>49</v>
      </c>
      <c r="G52" s="64" t="s">
        <v>52</v>
      </c>
      <c r="H52" s="71" t="s">
        <v>76</v>
      </c>
      <c r="I52" s="65" t="s">
        <v>47</v>
      </c>
      <c r="J52" s="62">
        <v>2</v>
      </c>
      <c r="K52" s="62">
        <v>3</v>
      </c>
      <c r="L52" s="62" t="s"/>
      <c r="M52" s="62" t="s"/>
      <c r="N52" s="62" t="s"/>
      <c r="O52" s="62">
        <v>219965</v>
      </c>
      <c r="P52" s="62">
        <v>218080</v>
      </c>
      <c r="Q52" s="62">
        <v>219965</v>
      </c>
      <c r="R52" s="62" t="s"/>
      <c r="S52" s="62" t="s"/>
      <c r="T52" s="68">
        <f>=P52/10000*J52*Z52</f>
        <v>1308.48</v>
      </c>
      <c r="U52" s="62" t="s"/>
      <c r="V52" s="68" t="s"/>
      <c r="W52" s="68" t="s"/>
      <c r="X52" s="68">
        <f>=O52-P52</f>
        <v>1885</v>
      </c>
      <c r="Y52" s="68">
        <f>=X52-T52-U52-V52</f>
        <v>576.52</v>
      </c>
      <c r="Z52" s="62">
        <f>=A52-$A$47+1</f>
        <v>30</v>
      </c>
      <c r="AA52" s="68">
        <f>=P52/10000*K52*Z52</f>
        <v>1962.72</v>
      </c>
      <c r="AB52" s="62">
        <f>=Q52*Z52</f>
        <v>6598950</v>
      </c>
      <c r="AC52" t="s">
        <v>44</v>
      </c>
    </row>
    <row r="53" spans="1:29">
      <c r="A53" s="63">
        <v>45961</v>
      </c>
      <c r="B53" s="62" t="s">
        <v>37</v>
      </c>
      <c r="C53" s="62" t="s"/>
      <c r="D53" s="63" t="s">
        <v>38</v>
      </c>
      <c r="E53" s="62" t="s">
        <v>48</v>
      </c>
      <c r="F53" s="62" t="s">
        <v>81</v>
      </c>
      <c r="G53" s="64" t="s">
        <v>82</v>
      </c>
      <c r="H53" s="62" t="s">
        <v>83</v>
      </c>
      <c r="I53" s="77" t="s">
        <v>43</v>
      </c>
      <c r="J53" s="62">
        <v>1.46</v>
      </c>
      <c r="K53" s="62">
        <v>2.5</v>
      </c>
      <c r="L53" s="62" t="s"/>
      <c r="M53" s="62">
        <v>2862720</v>
      </c>
      <c r="N53" s="62" t="s"/>
      <c r="O53" s="78" t="s"/>
      <c r="P53" s="78" t="s"/>
      <c r="Q53" s="62" t="s"/>
      <c r="R53" s="62" t="s"/>
      <c r="S53" s="62" t="s"/>
      <c r="T53" s="62" t="s"/>
      <c r="U53" s="62" t="s"/>
      <c r="V53" s="62" t="s"/>
      <c r="W53" s="62" t="s"/>
      <c r="X53" s="62" t="s"/>
      <c r="Y53" s="62" t="s"/>
      <c r="Z53" s="62" t="s"/>
      <c r="AA53" s="62" t="s"/>
      <c r="AB53" s="62" t="s"/>
      <c r="AC53" t="s">
        <v>44</v>
      </c>
    </row>
    <row r="54" spans="1:29">
      <c r="A54" s="67">
        <v>45965</v>
      </c>
      <c r="B54" s="62" t="s">
        <v>37</v>
      </c>
      <c r="C54" s="62" t="s"/>
      <c r="D54" s="63" t="s">
        <v>38</v>
      </c>
      <c r="E54" s="62" t="s">
        <v>39</v>
      </c>
      <c r="F54" s="62" t="s">
        <v>40</v>
      </c>
      <c r="G54" s="64" t="s">
        <v>80</v>
      </c>
      <c r="H54" s="62" t="s">
        <v>79</v>
      </c>
      <c r="I54" s="65" t="s">
        <v>47</v>
      </c>
      <c r="J54" s="62">
        <v>2</v>
      </c>
      <c r="K54" s="62">
        <v>2.5</v>
      </c>
      <c r="L54" s="62" t="s"/>
      <c r="M54" s="62" t="s"/>
      <c r="N54" s="62" t="s"/>
      <c r="O54" s="62">
        <v>365237</v>
      </c>
      <c r="P54" s="62">
        <v>363780</v>
      </c>
      <c r="Q54" s="62">
        <v>365237</v>
      </c>
      <c r="R54" s="62" t="s"/>
      <c r="S54" s="62" t="s"/>
      <c r="T54" s="68">
        <f>=P54/10000*J54*Z54</f>
        <v>1091.34</v>
      </c>
      <c r="U54" s="62" t="s"/>
      <c r="V54" s="68" t="s"/>
      <c r="W54" s="68" t="s"/>
      <c r="X54" s="68">
        <f>=O54-P54</f>
        <v>1457</v>
      </c>
      <c r="Y54" s="68">
        <f>=X54-T54-U54-V54</f>
        <v>365.66</v>
      </c>
      <c r="Z54" s="62">
        <f>=A54-$A$50+1</f>
        <v>15</v>
      </c>
      <c r="AA54" s="68">
        <f>=P54/10000*K54*Z54</f>
        <v>1364.175</v>
      </c>
      <c r="AB54" s="62">
        <f>=Q54*Z54</f>
        <v>5478555</v>
      </c>
      <c r="AC54" t="s">
        <v>44</v>
      </c>
    </row>
    <row r="55" spans="1:29">
      <c r="A55" s="63">
        <v>45967</v>
      </c>
      <c r="B55" s="62" t="s">
        <v>37</v>
      </c>
      <c r="C55" s="62" t="s"/>
      <c r="D55" s="63" t="s">
        <v>38</v>
      </c>
      <c r="E55" s="62" t="s">
        <v>48</v>
      </c>
      <c r="F55" s="62" t="s">
        <v>81</v>
      </c>
      <c r="G55" s="64" t="s">
        <v>84</v>
      </c>
      <c r="H55" s="62" t="s">
        <v>83</v>
      </c>
      <c r="I55" s="72" t="s">
        <v>47</v>
      </c>
      <c r="J55" s="62">
        <v>1.46</v>
      </c>
      <c r="K55" s="62">
        <v>2.5</v>
      </c>
      <c r="L55" s="62" t="s"/>
      <c r="M55" s="62" t="s"/>
      <c r="N55" s="62" t="s"/>
      <c r="O55" s="62">
        <v>716754</v>
      </c>
      <c r="P55" s="62">
        <v>715680</v>
      </c>
      <c r="Q55" s="62">
        <v>716754</v>
      </c>
      <c r="R55" s="62" t="s"/>
      <c r="S55" s="62" t="s"/>
      <c r="T55" s="68">
        <f>=P55/10000*J55*Z55</f>
        <v>731.42496</v>
      </c>
      <c r="U55" s="62" t="s"/>
      <c r="V55" s="68" t="s"/>
      <c r="W55" s="68" t="s"/>
      <c r="X55" s="68">
        <f>=O55-P55</f>
        <v>1074</v>
      </c>
      <c r="Y55" s="68">
        <f>=X55-T55-U55-V55</f>
        <v>342.57504</v>
      </c>
      <c r="Z55" s="62">
        <f>=A55-$A$53+1</f>
        <v>7</v>
      </c>
      <c r="AA55" s="68">
        <f>=P55/10000*K55*Z55</f>
        <v>1252.44</v>
      </c>
      <c r="AB55" s="62">
        <f>=Q55*Z55</f>
        <v>5017278</v>
      </c>
      <c r="AC55" t="s">
        <v>44</v>
      </c>
    </row>
    <row r="56" spans="1:29">
      <c r="A56" s="63">
        <v>45974</v>
      </c>
      <c r="B56" s="62" t="s"/>
      <c r="C56" s="62" t="s"/>
      <c r="D56" s="62" t="s">
        <v>38</v>
      </c>
      <c r="E56" s="62" t="s">
        <v>48</v>
      </c>
      <c r="F56" s="62" t="s">
        <v>49</v>
      </c>
      <c r="G56" s="64" t="s">
        <v>50</v>
      </c>
      <c r="H56" s="62" t="s">
        <v>71</v>
      </c>
      <c r="I56" s="65" t="s">
        <v>47</v>
      </c>
      <c r="J56" s="62">
        <v>2</v>
      </c>
      <c r="K56" s="62">
        <v>2.5</v>
      </c>
      <c r="L56" s="62" t="s"/>
      <c r="M56" s="62" t="s"/>
      <c r="N56" s="62" t="s"/>
      <c r="O56" s="62">
        <v>60876</v>
      </c>
      <c r="P56" s="62">
        <v>59200</v>
      </c>
      <c r="Q56" s="62">
        <v>60876</v>
      </c>
      <c r="R56" s="62" t="s"/>
      <c r="S56" s="62" t="s"/>
      <c r="T56" s="68">
        <f>=P56/10000*J56*Z56</f>
        <v>1112.96</v>
      </c>
      <c r="U56" s="62" t="s"/>
      <c r="V56" s="68" t="s"/>
      <c r="W56" s="68" t="s"/>
      <c r="X56" s="68">
        <f>=O56-P56</f>
        <v>1676</v>
      </c>
      <c r="Y56" s="68">
        <f>=X56-T56-U56-V56</f>
        <v>563.04</v>
      </c>
      <c r="Z56" s="62">
        <f>=A56-$A$26+1</f>
        <v>94</v>
      </c>
      <c r="AA56" s="68">
        <f>=P56/10000*K56*Z56</f>
        <v>1391.2</v>
      </c>
      <c r="AB56" s="62">
        <f>=Q56*Z56</f>
        <v>5722344</v>
      </c>
      <c r="AC56" t="s">
        <v>44</v>
      </c>
    </row>
    <row r="57" spans="1:29">
      <c r="A57" s="63">
        <v>45975</v>
      </c>
      <c r="B57" s="62" t="s">
        <v>37</v>
      </c>
      <c r="C57" s="62" t="s"/>
      <c r="D57" s="63" t="s">
        <v>38</v>
      </c>
      <c r="E57" s="62" t="s">
        <v>48</v>
      </c>
      <c r="F57" s="62" t="s">
        <v>81</v>
      </c>
      <c r="G57" s="64" t="s">
        <v>84</v>
      </c>
      <c r="H57" s="62" t="s">
        <v>83</v>
      </c>
      <c r="I57" s="72" t="s">
        <v>47</v>
      </c>
      <c r="J57" s="62">
        <v>1.46</v>
      </c>
      <c r="K57" s="62">
        <v>2.5</v>
      </c>
      <c r="L57" s="62" t="s"/>
      <c r="M57" s="62" t="s"/>
      <c r="N57" s="62" t="s"/>
      <c r="O57" s="78">
        <v>718185</v>
      </c>
      <c r="P57" s="78">
        <v>715680</v>
      </c>
      <c r="Q57" s="78">
        <v>718185</v>
      </c>
      <c r="R57" s="62" t="s"/>
      <c r="S57" s="62" t="s"/>
      <c r="T57" s="68">
        <f>=P57/10000*J57*Z57</f>
        <v>1567.3392</v>
      </c>
      <c r="U57" s="62" t="s"/>
      <c r="V57" s="68" t="s"/>
      <c r="W57" s="68" t="s"/>
      <c r="X57" s="68">
        <f>=O57-P57</f>
        <v>2505</v>
      </c>
      <c r="Y57" s="68">
        <f>=X57-T57-U57-V57</f>
        <v>937.6608</v>
      </c>
      <c r="Z57" s="62">
        <f>=A57-$A$53+1</f>
        <v>15</v>
      </c>
      <c r="AA57" s="68">
        <f>=P57/10000*K57*Z57</f>
        <v>2683.8</v>
      </c>
      <c r="AB57" s="62">
        <f>=Q57*Z57</f>
        <v>10772775</v>
      </c>
      <c r="AC57" t="s">
        <v>44</v>
      </c>
    </row>
    <row r="58" spans="1:29">
      <c r="A58" s="63">
        <v>45980</v>
      </c>
      <c r="B58" s="62" t="s">
        <v>37</v>
      </c>
      <c r="C58" s="62" t="s"/>
      <c r="D58" s="62" t="s">
        <v>38</v>
      </c>
      <c r="E58" s="62" t="s">
        <v>85</v>
      </c>
      <c r="F58" s="62" t="s">
        <v>86</v>
      </c>
      <c r="G58" s="64" t="s">
        <v>87</v>
      </c>
      <c r="H58" s="62" t="s">
        <v>88</v>
      </c>
      <c r="I58" s="72" t="s">
        <v>43</v>
      </c>
      <c r="J58" s="62">
        <v>1.46</v>
      </c>
      <c r="K58" s="62">
        <v>2</v>
      </c>
      <c r="L58" s="62" t="s"/>
      <c r="M58" s="62">
        <v>2112046.2</v>
      </c>
      <c r="N58" s="62" t="s"/>
      <c r="O58" s="62" t="s"/>
      <c r="P58" s="62" t="s"/>
      <c r="Q58" s="62" t="s"/>
      <c r="R58" s="62" t="s"/>
      <c r="S58" s="62" t="s"/>
      <c r="T58" s="62" t="s"/>
      <c r="U58" s="62" t="s"/>
      <c r="V58" s="62" t="s"/>
      <c r="W58" s="62" t="s"/>
      <c r="X58" s="62" t="s"/>
      <c r="Y58" s="62" t="s"/>
      <c r="Z58" s="62" t="s"/>
      <c r="AA58" s="62" t="s"/>
      <c r="AB58" s="62" t="s"/>
      <c r="AC58" t="s">
        <v>44</v>
      </c>
    </row>
    <row r="59" spans="1:29">
      <c r="A59" s="63">
        <v>45982</v>
      </c>
      <c r="B59" s="62" t="s">
        <v>37</v>
      </c>
      <c r="C59" s="62" t="s"/>
      <c r="D59" s="62" t="s">
        <v>38</v>
      </c>
      <c r="E59" s="62" t="s">
        <v>85</v>
      </c>
      <c r="F59" s="62" t="s">
        <v>86</v>
      </c>
      <c r="G59" s="64" t="s">
        <v>87</v>
      </c>
      <c r="H59" s="62" t="s">
        <v>89</v>
      </c>
      <c r="I59" s="72" t="s">
        <v>43</v>
      </c>
      <c r="J59" s="62">
        <v>1.46</v>
      </c>
      <c r="K59" s="62">
        <v>2</v>
      </c>
      <c r="L59" s="62" t="s"/>
      <c r="M59" s="62">
        <v>806302.8</v>
      </c>
      <c r="N59" s="62" t="s"/>
      <c r="O59" s="62" t="s"/>
      <c r="P59" s="62" t="s"/>
      <c r="Q59" s="62" t="s"/>
      <c r="R59" s="62" t="s"/>
      <c r="S59" s="62" t="s"/>
      <c r="T59" s="62" t="s"/>
      <c r="U59" s="62" t="s"/>
      <c r="V59" s="62" t="s"/>
      <c r="W59" s="62" t="s"/>
      <c r="X59" s="62" t="s"/>
      <c r="Y59" s="62" t="s"/>
      <c r="Z59" s="62" t="s"/>
      <c r="AA59" s="62" t="s"/>
      <c r="AB59" s="62" t="s"/>
      <c r="AC59" t="s">
        <v>44</v>
      </c>
    </row>
    <row r="60" spans="1:29">
      <c r="A60" s="63">
        <v>45986</v>
      </c>
      <c r="B60" s="62" t="s"/>
      <c r="C60" s="62" t="s"/>
      <c r="D60" s="62" t="s">
        <v>38</v>
      </c>
      <c r="E60" s="62" t="s">
        <v>48</v>
      </c>
      <c r="F60" s="62" t="s">
        <v>49</v>
      </c>
      <c r="G60" s="64" t="s">
        <v>50</v>
      </c>
      <c r="H60" s="62" t="s">
        <v>51</v>
      </c>
      <c r="I60" s="65" t="s">
        <v>47</v>
      </c>
      <c r="J60" s="62">
        <v>2</v>
      </c>
      <c r="K60" s="62">
        <v>2.5</v>
      </c>
      <c r="L60" s="62" t="s"/>
      <c r="M60" s="62" t="s"/>
      <c r="N60" s="62" t="s"/>
      <c r="O60" s="62">
        <v>18560</v>
      </c>
      <c r="P60" s="62">
        <v>17255</v>
      </c>
      <c r="Q60" s="62">
        <v>18560</v>
      </c>
      <c r="R60" s="62" t="s"/>
      <c r="S60" s="62" t="s"/>
      <c r="T60" s="68">
        <f>=P60/10000*J60*Z60</f>
        <v>862.75</v>
      </c>
      <c r="U60" s="62" t="s"/>
      <c r="V60" s="68" t="s"/>
      <c r="W60" s="68" t="s"/>
      <c r="X60" s="68">
        <f>=O60-P60</f>
        <v>1305</v>
      </c>
      <c r="Y60" s="68">
        <f>=X60-T60-U60-V60</f>
        <v>442.25</v>
      </c>
      <c r="Z60" s="62">
        <f>=A60-$A$10+1</f>
        <v>250</v>
      </c>
      <c r="AA60" s="68">
        <f>=P60/10000*K60*Z60</f>
        <v>1078.4375</v>
      </c>
      <c r="AB60" s="62">
        <f>=Q60*Z60</f>
        <v>4640000</v>
      </c>
      <c r="AC60" t="s">
        <v>44</v>
      </c>
    </row>
    <row r="61" spans="1:29">
      <c r="A61" s="63">
        <v>45986</v>
      </c>
      <c r="B61" s="62" t="s"/>
      <c r="C61" s="62" t="s"/>
      <c r="D61" s="62" t="s">
        <v>38</v>
      </c>
      <c r="E61" s="62" t="s">
        <v>48</v>
      </c>
      <c r="F61" s="62" t="s">
        <v>49</v>
      </c>
      <c r="G61" s="64" t="s">
        <v>50</v>
      </c>
      <c r="H61" s="62" t="s">
        <v>71</v>
      </c>
      <c r="I61" s="65" t="s">
        <v>47</v>
      </c>
      <c r="J61" s="62">
        <v>2</v>
      </c>
      <c r="K61" s="62">
        <v>2.5</v>
      </c>
      <c r="L61" s="62" t="s"/>
      <c r="M61" s="62" t="s"/>
      <c r="N61" s="62" t="s"/>
      <c r="O61" s="62">
        <v>36655</v>
      </c>
      <c r="P61" s="62">
        <v>35520</v>
      </c>
      <c r="Q61" s="62">
        <v>36655</v>
      </c>
      <c r="R61" s="62" t="s"/>
      <c r="S61" s="62" t="s"/>
      <c r="T61" s="68">
        <f>=P61/10000*J61*Z61</f>
        <v>753.024</v>
      </c>
      <c r="U61" s="62" t="s"/>
      <c r="V61" s="68" t="s"/>
      <c r="W61" s="68" t="s"/>
      <c r="X61" s="68">
        <f>=O61-P61</f>
        <v>1135</v>
      </c>
      <c r="Y61" s="68">
        <f>=X61-T61-U61-V61</f>
        <v>381.976</v>
      </c>
      <c r="Z61" s="62">
        <f>=A61-$A$26+1</f>
        <v>106</v>
      </c>
      <c r="AA61" s="68">
        <f>=P61/10000*K61*Z61</f>
        <v>941.28</v>
      </c>
      <c r="AB61" s="62">
        <f>=Q61*Z61</f>
        <v>3885430</v>
      </c>
      <c r="AC61" t="s">
        <v>44</v>
      </c>
    </row>
    <row r="62" spans="1:29">
      <c r="A62" s="63">
        <v>45987</v>
      </c>
      <c r="B62" s="62" t="s">
        <v>37</v>
      </c>
      <c r="C62" s="62" t="s"/>
      <c r="D62" s="63" t="s">
        <v>38</v>
      </c>
      <c r="E62" s="62" t="s">
        <v>48</v>
      </c>
      <c r="F62" s="62" t="s">
        <v>81</v>
      </c>
      <c r="G62" s="64" t="s">
        <v>84</v>
      </c>
      <c r="H62" s="62" t="s">
        <v>83</v>
      </c>
      <c r="I62" s="72" t="s">
        <v>47</v>
      </c>
      <c r="J62" s="62">
        <v>1.46</v>
      </c>
      <c r="K62" s="62">
        <v>2.5</v>
      </c>
      <c r="L62" s="62" t="s"/>
      <c r="M62" s="62" t="s"/>
      <c r="N62" s="62" t="s"/>
      <c r="O62" s="62">
        <v>720332</v>
      </c>
      <c r="P62" s="62">
        <v>715680</v>
      </c>
      <c r="Q62" s="62">
        <v>720332</v>
      </c>
      <c r="R62" s="62" t="s"/>
      <c r="S62" s="62" t="s"/>
      <c r="T62" s="68">
        <f>=P62/10000*J62*Z62</f>
        <v>2821.21056</v>
      </c>
      <c r="U62" s="62" t="s"/>
      <c r="V62" s="68" t="s"/>
      <c r="W62" s="68" t="s"/>
      <c r="X62" s="68">
        <f>=O62-P62</f>
        <v>4652</v>
      </c>
      <c r="Y62" s="68">
        <f>=X62-T62-U62-V62</f>
        <v>1830.78944</v>
      </c>
      <c r="Z62" s="62">
        <f>=A62-$A$53+1</f>
        <v>27</v>
      </c>
      <c r="AA62" s="68">
        <f>=P62/10000*K62*Z62</f>
        <v>4830.84</v>
      </c>
      <c r="AB62" s="62">
        <f>=Q62*Z62</f>
        <v>19448964</v>
      </c>
      <c r="AC62" t="s">
        <v>44</v>
      </c>
    </row>
    <row r="63" spans="1:29">
      <c r="A63" s="63">
        <v>45989</v>
      </c>
      <c r="B63" s="62" t="s">
        <v>37</v>
      </c>
      <c r="C63" s="62" t="s"/>
      <c r="D63" s="62" t="s">
        <v>38</v>
      </c>
      <c r="E63" s="62" t="s">
        <v>48</v>
      </c>
      <c r="F63" s="62" t="s">
        <v>73</v>
      </c>
      <c r="G63" s="64" t="s">
        <v>74</v>
      </c>
      <c r="H63" s="62" t="s">
        <v>90</v>
      </c>
      <c r="I63" s="72" t="s">
        <v>43</v>
      </c>
      <c r="J63" s="62">
        <v>2</v>
      </c>
      <c r="K63" s="62">
        <v>2.5</v>
      </c>
      <c r="L63" s="62" t="s"/>
      <c r="M63" s="62">
        <v>2345000</v>
      </c>
      <c r="N63" s="62" t="s"/>
      <c r="O63" s="62" t="s"/>
      <c r="P63" s="62" t="s"/>
      <c r="Q63" s="62" t="s"/>
      <c r="R63" s="62" t="s"/>
      <c r="S63" s="62" t="s"/>
      <c r="T63" s="62" t="s"/>
      <c r="U63" s="62" t="s"/>
      <c r="V63" s="62" t="s"/>
      <c r="W63" s="62" t="s"/>
      <c r="X63" s="62" t="s"/>
      <c r="Y63" s="62" t="s"/>
      <c r="Z63" s="62" t="s"/>
      <c r="AA63" s="62" t="s"/>
      <c r="AB63" s="62" t="s"/>
      <c r="AC63" t="s">
        <v>44</v>
      </c>
    </row>
    <row r="64" spans="1:29">
      <c r="A64" s="63">
        <v>45990</v>
      </c>
      <c r="B64" s="62" t="s">
        <v>37</v>
      </c>
      <c r="C64" s="62" t="s"/>
      <c r="D64" s="63" t="s">
        <v>38</v>
      </c>
      <c r="E64" s="62" t="s">
        <v>48</v>
      </c>
      <c r="F64" s="62" t="s">
        <v>81</v>
      </c>
      <c r="G64" s="64" t="s">
        <v>84</v>
      </c>
      <c r="H64" s="62" t="s">
        <v>83</v>
      </c>
      <c r="I64" s="72" t="s">
        <v>47</v>
      </c>
      <c r="J64" s="62">
        <v>1.46</v>
      </c>
      <c r="K64" s="62">
        <v>2.5</v>
      </c>
      <c r="L64" s="62" t="s"/>
      <c r="M64" s="62" t="s"/>
      <c r="N64" s="62" t="s"/>
      <c r="O64" s="62">
        <v>720869</v>
      </c>
      <c r="P64" s="62">
        <v>715680</v>
      </c>
      <c r="Q64" s="62">
        <v>720869</v>
      </c>
      <c r="R64" s="62" t="s"/>
      <c r="S64" s="62" t="s"/>
      <c r="T64" s="68">
        <f>=P64/10000*J64*Z64</f>
        <v>3134.6784</v>
      </c>
      <c r="U64" s="62" t="s"/>
      <c r="V64" s="68" t="s"/>
      <c r="W64" s="68" t="s"/>
      <c r="X64" s="68">
        <f>=O64-P64</f>
        <v>5189</v>
      </c>
      <c r="Y64" s="68">
        <f>=X64-T64-U64-V64</f>
        <v>2054.3216</v>
      </c>
      <c r="Z64" s="62">
        <f>=A64-$A$53+1</f>
        <v>30</v>
      </c>
      <c r="AA64" s="68">
        <f>=P64/10000*K64*Z64</f>
        <v>5367.6</v>
      </c>
      <c r="AB64" s="62">
        <f>=Q64*Z64</f>
        <v>21626070</v>
      </c>
      <c r="AC64" t="s">
        <v>44</v>
      </c>
    </row>
    <row r="65" spans="1:29">
      <c r="A65" s="63">
        <v>45994</v>
      </c>
      <c r="B65" s="62" t="s">
        <v>37</v>
      </c>
      <c r="C65" s="62" t="s"/>
      <c r="D65" s="63" t="s">
        <v>38</v>
      </c>
      <c r="E65" s="62" t="s">
        <v>48</v>
      </c>
      <c r="F65" s="62" t="s">
        <v>81</v>
      </c>
      <c r="G65" s="64" t="s">
        <v>91</v>
      </c>
      <c r="H65" s="62" t="s">
        <v>92</v>
      </c>
      <c r="I65" s="72" t="s">
        <v>43</v>
      </c>
      <c r="J65" s="62">
        <v>2</v>
      </c>
      <c r="K65" s="62">
        <v>2.5</v>
      </c>
      <c r="L65" s="62" t="s"/>
      <c r="M65" s="62">
        <v>5407120</v>
      </c>
      <c r="N65" s="62" t="s"/>
      <c r="O65" s="62" t="s"/>
      <c r="P65" s="62" t="s"/>
      <c r="Q65" s="62" t="s"/>
      <c r="R65" s="62" t="s"/>
      <c r="S65" s="62" t="s"/>
      <c r="T65" s="62" t="s"/>
      <c r="U65" s="62" t="s"/>
      <c r="V65" s="62" t="s"/>
      <c r="W65" s="62" t="s"/>
      <c r="X65" s="62" t="s"/>
      <c r="Y65" s="62" t="s"/>
      <c r="Z65" s="62" t="s"/>
      <c r="AA65" s="62" t="s"/>
      <c r="AB65" s="62" t="s"/>
      <c r="AC65" t="s">
        <v>44</v>
      </c>
    </row>
    <row r="66" spans="1:29">
      <c r="A66" s="63">
        <v>45995</v>
      </c>
      <c r="B66" s="62" t="s">
        <v>37</v>
      </c>
      <c r="C66" s="62" t="s"/>
      <c r="D66" s="62" t="s">
        <v>38</v>
      </c>
      <c r="E66" s="62" t="s">
        <v>48</v>
      </c>
      <c r="F66" s="62" t="s">
        <v>49</v>
      </c>
      <c r="G66" s="64" t="s">
        <v>52</v>
      </c>
      <c r="H66" s="62" t="s">
        <v>69</v>
      </c>
      <c r="I66" s="73" t="s">
        <v>47</v>
      </c>
      <c r="J66" s="62">
        <v>2</v>
      </c>
      <c r="K66" s="62">
        <v>3</v>
      </c>
      <c r="L66" s="62" t="s"/>
      <c r="M66" s="62" t="s"/>
      <c r="N66" s="62" t="s"/>
      <c r="O66" s="62">
        <v>41190</v>
      </c>
      <c r="P66" s="62">
        <v>39634</v>
      </c>
      <c r="Q66" s="62">
        <v>41190</v>
      </c>
      <c r="R66" s="62" t="s"/>
      <c r="S66" s="62" t="s"/>
      <c r="T66" s="68">
        <f>=P66/10000*J66*Z66</f>
        <v>1038.4108</v>
      </c>
      <c r="U66" s="62" t="s"/>
      <c r="V66" s="68" t="s"/>
      <c r="W66" s="68" t="s"/>
      <c r="X66" s="68">
        <f>=O66-P66</f>
        <v>1556</v>
      </c>
      <c r="Y66" s="68">
        <f>=X66-T66-U66-V66</f>
        <v>517.5892</v>
      </c>
      <c r="Z66" s="62">
        <f>=A66-$A$24+1</f>
        <v>131</v>
      </c>
      <c r="AA66" s="68">
        <f>=P66/10000*K66*Z66</f>
        <v>1557.6162</v>
      </c>
      <c r="AB66" s="62">
        <f>=Q66*Z66</f>
        <v>5395890</v>
      </c>
      <c r="AC66" t="s">
        <v>44</v>
      </c>
    </row>
    <row r="67" spans="1:29">
      <c r="A67" s="63">
        <v>45996</v>
      </c>
      <c r="B67" s="62" t="s">
        <v>37</v>
      </c>
      <c r="C67" s="62" t="s"/>
      <c r="D67" s="62" t="s">
        <v>38</v>
      </c>
      <c r="E67" s="62" t="s">
        <v>48</v>
      </c>
      <c r="F67" s="62" t="s">
        <v>81</v>
      </c>
      <c r="G67" s="64" t="s">
        <v>84</v>
      </c>
      <c r="H67" s="62" t="s">
        <v>92</v>
      </c>
      <c r="I67" s="72" t="s">
        <v>47</v>
      </c>
      <c r="J67" s="62">
        <v>2</v>
      </c>
      <c r="K67" s="62">
        <v>2.5</v>
      </c>
      <c r="L67" s="62" t="s"/>
      <c r="M67" s="62" t="s"/>
      <c r="N67" s="62" t="s"/>
      <c r="O67" s="68">
        <v>584292</v>
      </c>
      <c r="P67" s="62">
        <v>584000</v>
      </c>
      <c r="Q67" s="62">
        <v>584292</v>
      </c>
      <c r="R67" s="62" t="s"/>
      <c r="S67" s="62" t="s"/>
      <c r="T67" s="68">
        <f>=P67/10000*J67*Z67</f>
        <v>350.4</v>
      </c>
      <c r="U67" s="62" t="s"/>
      <c r="V67" s="68" t="s"/>
      <c r="W67" s="68" t="s"/>
      <c r="X67" s="68">
        <f>=O67-P67</f>
        <v>292</v>
      </c>
      <c r="Y67" s="68">
        <f>=X67-T67-U67-V67</f>
        <v>-58.4</v>
      </c>
      <c r="Z67" s="62">
        <f>=A67-$A$65+1</f>
        <v>3</v>
      </c>
      <c r="AA67" s="68">
        <f>=P67/10000*K67*Z67</f>
        <v>438</v>
      </c>
      <c r="AB67" s="62">
        <f>=Q67*Z67</f>
        <v>1752876</v>
      </c>
      <c r="AC67" t="s">
        <v>44</v>
      </c>
    </row>
    <row r="68" spans="1:29">
      <c r="A68" s="63">
        <v>45997</v>
      </c>
      <c r="B68" s="62" t="s">
        <v>37</v>
      </c>
      <c r="C68" s="62" t="s"/>
      <c r="D68" s="62" t="s">
        <v>38</v>
      </c>
      <c r="E68" s="70" t="s">
        <v>54</v>
      </c>
      <c r="F68" s="62" t="s">
        <v>55</v>
      </c>
      <c r="G68" s="64" t="s">
        <v>93</v>
      </c>
      <c r="H68" s="62" t="s">
        <v>94</v>
      </c>
      <c r="I68" s="72" t="s">
        <v>43</v>
      </c>
      <c r="J68" s="62">
        <v>2</v>
      </c>
      <c r="K68" s="62">
        <v>2.5</v>
      </c>
      <c r="L68" s="62" t="s"/>
      <c r="M68" s="62">
        <v>1417500</v>
      </c>
      <c r="N68" s="62" t="s"/>
      <c r="O68" s="62" t="s"/>
      <c r="P68" s="62" t="s"/>
      <c r="Q68" s="62" t="s"/>
      <c r="R68" s="62" t="s"/>
      <c r="S68" s="62" t="s"/>
      <c r="T68" s="62" t="s"/>
      <c r="U68" s="62" t="s"/>
      <c r="V68" s="62" t="s"/>
      <c r="W68" s="62" t="s"/>
      <c r="X68" s="62" t="s"/>
      <c r="Y68" s="62" t="s"/>
      <c r="Z68" s="62" t="s"/>
      <c r="AA68" s="62" t="s"/>
      <c r="AB68" s="62" t="s"/>
      <c r="AC68" t="s">
        <v>44</v>
      </c>
    </row>
    <row r="69" spans="1:29">
      <c r="A69" s="63">
        <v>45998</v>
      </c>
      <c r="B69" s="62" t="s"/>
      <c r="C69" s="62" t="s"/>
      <c r="D69" s="62" t="s">
        <v>38</v>
      </c>
      <c r="E69" s="62" t="s">
        <v>48</v>
      </c>
      <c r="F69" s="62" t="s">
        <v>49</v>
      </c>
      <c r="G69" s="64" t="s">
        <v>50</v>
      </c>
      <c r="H69" s="62" t="s">
        <v>51</v>
      </c>
      <c r="I69" s="65" t="s">
        <v>47</v>
      </c>
      <c r="J69" s="62">
        <v>2</v>
      </c>
      <c r="K69" s="62">
        <v>2.5</v>
      </c>
      <c r="L69" s="62" t="s"/>
      <c r="M69" s="62" t="s"/>
      <c r="N69" s="62" t="s"/>
      <c r="O69" s="62">
        <v>9520</v>
      </c>
      <c r="P69" s="62">
        <v>8820</v>
      </c>
      <c r="Q69" s="62">
        <v>9520</v>
      </c>
      <c r="R69" s="62" t="s"/>
      <c r="S69" s="62" t="s"/>
      <c r="T69" s="68">
        <f>=P69/10000*J69*Z69</f>
        <v>462.168</v>
      </c>
      <c r="U69" s="62" t="s"/>
      <c r="V69" s="68" t="s"/>
      <c r="W69" s="68" t="s"/>
      <c r="X69" s="68">
        <f>=O69-P69</f>
        <v>700</v>
      </c>
      <c r="Y69" s="68">
        <f>=X69-T69-U69-V69</f>
        <v>237.832</v>
      </c>
      <c r="Z69" s="62">
        <f>=A69-$A$10+1</f>
        <v>262</v>
      </c>
      <c r="AA69" s="68">
        <f>=P69/10000*K69*Z69</f>
        <v>577.71</v>
      </c>
      <c r="AB69" s="62">
        <f>=Q69*Z69</f>
        <v>2494240</v>
      </c>
      <c r="AC69" t="s">
        <v>44</v>
      </c>
    </row>
    <row r="70" spans="1:29">
      <c r="A70" s="63">
        <v>45998</v>
      </c>
      <c r="B70" s="62" t="s">
        <v>37</v>
      </c>
      <c r="C70" s="62" t="s"/>
      <c r="D70" s="62" t="s">
        <v>38</v>
      </c>
      <c r="E70" s="62" t="s">
        <v>48</v>
      </c>
      <c r="F70" s="62" t="s">
        <v>49</v>
      </c>
      <c r="G70" s="64" t="s">
        <v>52</v>
      </c>
      <c r="H70" s="62" t="s">
        <v>69</v>
      </c>
      <c r="I70" s="65" t="s">
        <v>47</v>
      </c>
      <c r="J70" s="62">
        <v>2</v>
      </c>
      <c r="K70" s="62">
        <v>3</v>
      </c>
      <c r="L70" s="62" t="s"/>
      <c r="M70" s="62" t="s"/>
      <c r="N70" s="62" t="s"/>
      <c r="O70" s="62">
        <v>54558</v>
      </c>
      <c r="P70" s="62">
        <v>52434</v>
      </c>
      <c r="Q70" s="62">
        <v>54558</v>
      </c>
      <c r="R70" s="62" t="s"/>
      <c r="S70" s="62" t="s"/>
      <c r="T70" s="68">
        <f>=P70/10000*J70*Z70</f>
        <v>1405.2312</v>
      </c>
      <c r="U70" s="62" t="s"/>
      <c r="V70" s="68" t="s"/>
      <c r="W70" s="68" t="s"/>
      <c r="X70" s="68">
        <f>=O70-P70</f>
        <v>2124</v>
      </c>
      <c r="Y70" s="68">
        <f>=X70-T70-U70-V70</f>
        <v>718.7688</v>
      </c>
      <c r="Z70" s="62">
        <f>=A70-$A$24+1</f>
        <v>134</v>
      </c>
      <c r="AA70" s="68">
        <f>=P70/10000*K70*Z70</f>
        <v>2107.8468</v>
      </c>
      <c r="AB70" s="62">
        <f>=Q70*Z70</f>
        <v>7310772</v>
      </c>
      <c r="AC70" t="s">
        <v>44</v>
      </c>
    </row>
    <row r="71" spans="1:29">
      <c r="A71" s="63">
        <v>45998</v>
      </c>
      <c r="B71" s="62" t="s"/>
      <c r="C71" s="62" t="s"/>
      <c r="D71" s="62" t="s">
        <v>38</v>
      </c>
      <c r="E71" s="62" t="s">
        <v>48</v>
      </c>
      <c r="F71" s="62" t="s">
        <v>49</v>
      </c>
      <c r="G71" s="64" t="s">
        <v>50</v>
      </c>
      <c r="H71" s="62" t="s">
        <v>71</v>
      </c>
      <c r="I71" s="73" t="s">
        <v>47</v>
      </c>
      <c r="J71" s="62">
        <v>2</v>
      </c>
      <c r="K71" s="62">
        <v>2.5</v>
      </c>
      <c r="L71" s="62" t="s"/>
      <c r="M71" s="62" t="s"/>
      <c r="N71" s="62" t="s"/>
      <c r="O71" s="62">
        <v>163412</v>
      </c>
      <c r="P71" s="62">
        <v>157800</v>
      </c>
      <c r="Q71" s="62">
        <v>163412</v>
      </c>
      <c r="R71" s="62" t="s"/>
      <c r="S71" s="62" t="s"/>
      <c r="T71" s="68">
        <f>=P71/10000*J71*Z71</f>
        <v>3724.08</v>
      </c>
      <c r="U71" s="62" t="s"/>
      <c r="V71" s="68" t="s"/>
      <c r="W71" s="68" t="s"/>
      <c r="X71" s="68">
        <f>=O71-P71</f>
        <v>5612</v>
      </c>
      <c r="Y71" s="68">
        <f>=X71-T71-U71-V71</f>
        <v>1887.92</v>
      </c>
      <c r="Z71" s="62">
        <f>=A71-$A$26+1</f>
        <v>118</v>
      </c>
      <c r="AA71" s="68">
        <f>=P71/10000*K71*Z71</f>
        <v>4655.1</v>
      </c>
      <c r="AB71" s="62">
        <f>=Q71*Z71</f>
        <v>19282616</v>
      </c>
      <c r="AC71" t="s">
        <v>44</v>
      </c>
    </row>
    <row r="72" spans="1:29">
      <c r="A72" s="67">
        <v>46000</v>
      </c>
      <c r="B72" s="62" t="s">
        <v>37</v>
      </c>
      <c r="C72" s="62" t="s"/>
      <c r="D72" s="63" t="s">
        <v>38</v>
      </c>
      <c r="E72" s="62" t="s">
        <v>39</v>
      </c>
      <c r="F72" s="62" t="s">
        <v>40</v>
      </c>
      <c r="G72" s="64" t="s">
        <v>80</v>
      </c>
      <c r="H72" s="62" t="s">
        <v>78</v>
      </c>
      <c r="I72" s="65" t="s">
        <v>47</v>
      </c>
      <c r="J72" s="62">
        <v>2</v>
      </c>
      <c r="K72" s="62">
        <v>2.5</v>
      </c>
      <c r="L72" s="62" t="s"/>
      <c r="M72" s="62" t="s"/>
      <c r="N72" s="62" t="s"/>
      <c r="O72" s="62">
        <v>180999</v>
      </c>
      <c r="P72" s="62">
        <v>178500</v>
      </c>
      <c r="Q72" s="62">
        <v>180999</v>
      </c>
      <c r="R72" s="62" t="s"/>
      <c r="S72" s="62" t="s"/>
      <c r="T72" s="68">
        <f>=P72/10000*J72*Z72</f>
        <v>2070.6</v>
      </c>
      <c r="U72" s="62" t="s"/>
      <c r="V72" s="68" t="s"/>
      <c r="W72" s="68" t="s"/>
      <c r="X72" s="68">
        <f>=O72-P72</f>
        <v>2499</v>
      </c>
      <c r="Y72" s="68">
        <f>=X72-T72-U72-V72</f>
        <v>428.4</v>
      </c>
      <c r="Z72" s="62">
        <f>=A72-$A$49+1</f>
        <v>58</v>
      </c>
      <c r="AA72" s="68">
        <f>=P72/10000*K72*Z72</f>
        <v>2588.25</v>
      </c>
      <c r="AB72" s="62">
        <f>=Q72*Z72</f>
        <v>10497942</v>
      </c>
      <c r="AC72" t="s">
        <v>44</v>
      </c>
    </row>
    <row r="73" spans="1:29">
      <c r="A73" s="67">
        <v>46001</v>
      </c>
      <c r="B73" s="62" t="s">
        <v>37</v>
      </c>
      <c r="C73" s="62" t="s"/>
      <c r="D73" s="63" t="s">
        <v>38</v>
      </c>
      <c r="E73" s="62" t="s">
        <v>39</v>
      </c>
      <c r="F73" s="62" t="s">
        <v>40</v>
      </c>
      <c r="G73" s="64" t="s">
        <v>80</v>
      </c>
      <c r="H73" s="62" t="s">
        <v>78</v>
      </c>
      <c r="I73" s="65" t="s">
        <v>47</v>
      </c>
      <c r="J73" s="62">
        <v>2</v>
      </c>
      <c r="K73" s="62">
        <v>2.5</v>
      </c>
      <c r="L73" s="62" t="s"/>
      <c r="M73" s="62" t="s"/>
      <c r="N73" s="62" t="s"/>
      <c r="O73" s="62">
        <v>103460</v>
      </c>
      <c r="P73" s="62">
        <v>102000</v>
      </c>
      <c r="Q73" s="62">
        <v>103460</v>
      </c>
      <c r="R73" s="62" t="s"/>
      <c r="S73" s="62" t="s"/>
      <c r="T73" s="68">
        <f>=P73/10000*J73*Z73</f>
        <v>1203.6</v>
      </c>
      <c r="U73" s="62" t="s"/>
      <c r="V73" s="68" t="s"/>
      <c r="W73" s="68" t="s"/>
      <c r="X73" s="68">
        <f>=O73-P73</f>
        <v>1460</v>
      </c>
      <c r="Y73" s="68">
        <f>=X73-T73-U73-V73</f>
        <v>256.4</v>
      </c>
      <c r="Z73" s="62">
        <f>=A73-$A$49+1</f>
        <v>59</v>
      </c>
      <c r="AA73" s="68">
        <f>=P73/10000*K73*Z73</f>
        <v>1504.5</v>
      </c>
      <c r="AB73" s="62">
        <f>=Q73*Z73</f>
        <v>6104140</v>
      </c>
      <c r="AC73" t="s">
        <v>44</v>
      </c>
    </row>
    <row r="74" spans="1:29">
      <c r="A74" s="67">
        <v>46001</v>
      </c>
      <c r="B74" s="62" t="s">
        <v>37</v>
      </c>
      <c r="C74" s="62" t="s"/>
      <c r="D74" s="62" t="s">
        <v>38</v>
      </c>
      <c r="E74" s="62" t="s">
        <v>85</v>
      </c>
      <c r="F74" s="62" t="s">
        <v>86</v>
      </c>
      <c r="G74" s="64" t="s">
        <v>65</v>
      </c>
      <c r="H74" s="62" t="s">
        <v>88</v>
      </c>
      <c r="I74" s="72" t="s">
        <v>47</v>
      </c>
      <c r="J74" s="62">
        <v>1.46</v>
      </c>
      <c r="K74" s="62">
        <v>2</v>
      </c>
      <c r="L74" s="62" t="s"/>
      <c r="M74" s="62" t="s"/>
      <c r="N74" s="62" t="s"/>
      <c r="O74" s="62">
        <v>295713</v>
      </c>
      <c r="P74" s="62">
        <v>275109.46</v>
      </c>
      <c r="Q74" s="62">
        <v>295713</v>
      </c>
      <c r="R74" s="62" t="s"/>
      <c r="S74" s="62" t="s"/>
      <c r="T74" s="68">
        <f>=P74/10000*J74*Z74</f>
        <v>883.65158552</v>
      </c>
      <c r="U74" s="62" t="s"/>
      <c r="V74" s="68" t="s"/>
      <c r="W74" s="68" t="s"/>
      <c r="X74" s="68">
        <f>=O74-P74</f>
        <v>20603.54</v>
      </c>
      <c r="Y74" s="68">
        <f>=X74-T74-U74-V74</f>
        <v>19719.88841448</v>
      </c>
      <c r="Z74" s="62">
        <f>=A74-$A$58+1</f>
        <v>22</v>
      </c>
      <c r="AA74" s="68">
        <f>=P74/10000*K74*Z74</f>
        <v>1210.481624</v>
      </c>
      <c r="AB74" s="62">
        <f>=Q74*Z74</f>
        <v>6505686</v>
      </c>
      <c r="AC74" t="s">
        <v>44</v>
      </c>
    </row>
    <row r="75" spans="1:29">
      <c r="A75" s="67">
        <v>46001</v>
      </c>
      <c r="B75" s="62" t="s">
        <v>37</v>
      </c>
      <c r="C75" s="62" t="s"/>
      <c r="D75" s="62" t="s">
        <v>38</v>
      </c>
      <c r="E75" s="62" t="s">
        <v>85</v>
      </c>
      <c r="F75" s="62" t="s">
        <v>86</v>
      </c>
      <c r="G75" s="83" t="s">
        <v>65</v>
      </c>
      <c r="H75" s="62" t="s">
        <v>89</v>
      </c>
      <c r="I75" s="77" t="s">
        <v>47</v>
      </c>
      <c r="J75" s="62">
        <v>1.46</v>
      </c>
      <c r="K75" s="62">
        <v>2</v>
      </c>
      <c r="L75" s="62" t="s"/>
      <c r="M75" s="62" t="s"/>
      <c r="N75" s="62" t="s"/>
      <c r="O75" s="62">
        <v>56700</v>
      </c>
      <c r="P75" s="62">
        <v>55440</v>
      </c>
      <c r="Q75" s="62">
        <v>56700</v>
      </c>
      <c r="R75" s="62" t="s"/>
      <c r="S75" s="62" t="s"/>
      <c r="T75" s="68">
        <f>=P75/10000*J75*Z75</f>
        <v>161.8848</v>
      </c>
      <c r="U75" s="62" t="s"/>
      <c r="V75" s="68" t="s"/>
      <c r="W75" s="68" t="s"/>
      <c r="X75" s="68">
        <f>=O75-P75</f>
        <v>1260</v>
      </c>
      <c r="Y75" s="68">
        <f>=X75-T75-U75-V75</f>
        <v>1098.1152</v>
      </c>
      <c r="Z75" s="62">
        <f>=A75-$A$59+1</f>
        <v>20</v>
      </c>
      <c r="AA75" s="68">
        <f>=P75/10000*K75*Z75</f>
        <v>221.76</v>
      </c>
      <c r="AB75" s="62">
        <f>=Q75*Z75</f>
        <v>1134000</v>
      </c>
      <c r="AC75" t="s">
        <v>44</v>
      </c>
    </row>
    <row r="76" spans="1:29">
      <c r="A76" s="63">
        <v>46003</v>
      </c>
      <c r="B76" s="62" t="s">
        <v>37</v>
      </c>
      <c r="C76" s="62" t="s"/>
      <c r="D76" s="62" t="s">
        <v>38</v>
      </c>
      <c r="E76" s="62" t="s">
        <v>48</v>
      </c>
      <c r="F76" s="62" t="s">
        <v>81</v>
      </c>
      <c r="G76" s="64" t="s">
        <v>84</v>
      </c>
      <c r="H76" s="62" t="s">
        <v>92</v>
      </c>
      <c r="I76" s="72" t="s">
        <v>47</v>
      </c>
      <c r="J76" s="62">
        <v>2</v>
      </c>
      <c r="K76" s="62">
        <v>2.5</v>
      </c>
      <c r="L76" s="62" t="s"/>
      <c r="M76" s="62" t="s"/>
      <c r="N76" s="62" t="s"/>
      <c r="O76" s="68">
        <v>259783.2</v>
      </c>
      <c r="P76" s="78">
        <v>259200</v>
      </c>
      <c r="Q76" s="62">
        <v>259783.2</v>
      </c>
      <c r="R76" s="62" t="s"/>
      <c r="S76" s="62" t="s"/>
      <c r="T76" s="68">
        <f>=P76/10000*J76*Z76</f>
        <v>518.4</v>
      </c>
      <c r="U76" s="62" t="s"/>
      <c r="V76" s="68" t="s"/>
      <c r="W76" s="68" t="s"/>
      <c r="X76" s="68">
        <f>=O76-P76</f>
        <v>583.200000000012</v>
      </c>
      <c r="Y76" s="68">
        <f>=X76-T76-U76-V76</f>
        <v>64.8000000000116</v>
      </c>
      <c r="Z76" s="62">
        <f>=A76-$A$65+1</f>
        <v>10</v>
      </c>
      <c r="AA76" s="68">
        <f>=P76/10000*K76*Z76</f>
        <v>648</v>
      </c>
      <c r="AB76" s="62">
        <f>=Q76*Z76</f>
        <v>2597832</v>
      </c>
      <c r="AC76" t="s">
        <v>44</v>
      </c>
    </row>
    <row r="77" spans="1:29">
      <c r="A77" s="63">
        <v>46003</v>
      </c>
      <c r="B77" s="62" t="s">
        <v>37</v>
      </c>
      <c r="C77" s="62" t="s"/>
      <c r="D77" s="62" t="s">
        <v>38</v>
      </c>
      <c r="E77" s="62" t="s">
        <v>48</v>
      </c>
      <c r="F77" s="62" t="s">
        <v>81</v>
      </c>
      <c r="G77" s="64" t="s">
        <v>84</v>
      </c>
      <c r="H77" s="62" t="s">
        <v>92</v>
      </c>
      <c r="I77" s="72" t="s">
        <v>47</v>
      </c>
      <c r="J77" s="62">
        <v>2</v>
      </c>
      <c r="K77" s="62">
        <v>2.5</v>
      </c>
      <c r="L77" s="62" t="s"/>
      <c r="M77" s="62" t="s"/>
      <c r="N77" s="62" t="s"/>
      <c r="O77" s="68">
        <v>585314</v>
      </c>
      <c r="P77" s="78">
        <v>584000</v>
      </c>
      <c r="Q77" s="62">
        <v>585314</v>
      </c>
      <c r="R77" s="62" t="s"/>
      <c r="S77" s="62" t="s"/>
      <c r="T77" s="68">
        <f>=P77/10000*J77*Z77</f>
        <v>1168</v>
      </c>
      <c r="U77" s="62" t="s"/>
      <c r="V77" s="68" t="s"/>
      <c r="W77" s="68" t="s"/>
      <c r="X77" s="68">
        <f>=O77-P77</f>
        <v>1314</v>
      </c>
      <c r="Y77" s="68">
        <f>=X77-T77-U77-V77</f>
        <v>146</v>
      </c>
      <c r="Z77" s="62">
        <f>=A77-$A$65+1</f>
        <v>10</v>
      </c>
      <c r="AA77" s="68">
        <f>=P77/10000*K77*Z77</f>
        <v>1460</v>
      </c>
      <c r="AB77" s="62">
        <f>=Q77*Z77</f>
        <v>5853140</v>
      </c>
      <c r="AC77" t="s">
        <v>44</v>
      </c>
    </row>
    <row r="78" spans="1:29">
      <c r="A78" s="63">
        <v>46006</v>
      </c>
      <c r="B78" s="62" t="s">
        <v>37</v>
      </c>
      <c r="C78" s="62" t="s"/>
      <c r="D78" s="62" t="s">
        <v>38</v>
      </c>
      <c r="E78" s="62" t="s">
        <v>48</v>
      </c>
      <c r="F78" s="62" t="s">
        <v>49</v>
      </c>
      <c r="G78" s="64" t="s">
        <v>52</v>
      </c>
      <c r="H78" s="62" t="s">
        <v>69</v>
      </c>
      <c r="I78" s="65" t="s">
        <v>47</v>
      </c>
      <c r="J78" s="62">
        <v>2</v>
      </c>
      <c r="K78" s="62">
        <v>3</v>
      </c>
      <c r="L78" s="62" t="s"/>
      <c r="M78" s="62" t="s"/>
      <c r="N78" s="62" t="s"/>
      <c r="O78" s="62">
        <v>7906</v>
      </c>
      <c r="P78" s="78">
        <v>7580</v>
      </c>
      <c r="Q78" s="62">
        <v>7906</v>
      </c>
      <c r="R78" s="62" t="s"/>
      <c r="S78" s="62" t="s"/>
      <c r="T78" s="68">
        <f>=P78/10000*J78*Z78</f>
        <v>215.272</v>
      </c>
      <c r="U78" s="62" t="s"/>
      <c r="V78" s="68" t="s"/>
      <c r="W78" s="68" t="s"/>
      <c r="X78" s="68">
        <f>=O78-P78</f>
        <v>326</v>
      </c>
      <c r="Y78" s="68">
        <f>=X78-T78-U78-V78</f>
        <v>110.728</v>
      </c>
      <c r="Z78" s="62">
        <f>=A78-$A$24+1</f>
        <v>142</v>
      </c>
      <c r="AA78" s="68">
        <f>=P78/10000*K78*Z78</f>
        <v>322.908</v>
      </c>
      <c r="AB78" s="62">
        <f>=Q78*Z78</f>
        <v>1122652</v>
      </c>
      <c r="AC78" t="s">
        <v>44</v>
      </c>
    </row>
    <row r="79" spans="1:29">
      <c r="A79" s="63">
        <v>46008</v>
      </c>
      <c r="B79" s="62" t="s">
        <v>37</v>
      </c>
      <c r="C79" s="62" t="s"/>
      <c r="D79" s="62" t="s">
        <v>38</v>
      </c>
      <c r="E79" s="62" t="s">
        <v>48</v>
      </c>
      <c r="F79" s="62" t="s">
        <v>81</v>
      </c>
      <c r="G79" s="64" t="s">
        <v>84</v>
      </c>
      <c r="H79" s="62" t="s">
        <v>92</v>
      </c>
      <c r="I79" s="69" t="s">
        <v>47</v>
      </c>
      <c r="J79" s="62">
        <v>2</v>
      </c>
      <c r="K79" s="62">
        <v>2.5</v>
      </c>
      <c r="L79" s="62" t="s"/>
      <c r="M79" s="62" t="s"/>
      <c r="N79" s="62" t="s"/>
      <c r="O79" s="68">
        <v>586044</v>
      </c>
      <c r="P79" s="62">
        <v>584000</v>
      </c>
      <c r="Q79" s="62">
        <v>586044</v>
      </c>
      <c r="R79" s="62" t="s"/>
      <c r="S79" s="62" t="s"/>
      <c r="T79" s="68">
        <f>=P79/10000*J79*Z79</f>
        <v>1752</v>
      </c>
      <c r="U79" s="62" t="s"/>
      <c r="V79" s="68" t="s"/>
      <c r="W79" s="68" t="s"/>
      <c r="X79" s="68">
        <f>=O79-P79</f>
        <v>2044</v>
      </c>
      <c r="Y79" s="68">
        <f>=X79-T79-U79-V79</f>
        <v>292</v>
      </c>
      <c r="Z79" s="62">
        <f>=A79-$A$65+1</f>
        <v>15</v>
      </c>
      <c r="AA79" s="68">
        <f>=P79/10000*K79*Z79</f>
        <v>2190</v>
      </c>
      <c r="AB79" s="62">
        <f>=Q79*Z79</f>
        <v>8790660</v>
      </c>
      <c r="AC79" t="s">
        <v>44</v>
      </c>
    </row>
    <row r="80" spans="1:29">
      <c r="A80" s="63">
        <v>46013</v>
      </c>
      <c r="B80" s="62" t="s">
        <v>37</v>
      </c>
      <c r="C80" s="62" t="s"/>
      <c r="D80" s="62" t="s">
        <v>38</v>
      </c>
      <c r="E80" s="62" t="s">
        <v>48</v>
      </c>
      <c r="F80" s="62" t="s">
        <v>81</v>
      </c>
      <c r="G80" s="64" t="s">
        <v>84</v>
      </c>
      <c r="H80" s="62" t="s">
        <v>95</v>
      </c>
      <c r="I80" s="69" t="s">
        <v>43</v>
      </c>
      <c r="J80" s="62">
        <v>2</v>
      </c>
      <c r="K80" s="62">
        <v>2.5</v>
      </c>
      <c r="L80" s="62" t="s"/>
      <c r="M80" s="62">
        <v>1340000</v>
      </c>
      <c r="N80" s="62" t="s"/>
      <c r="O80" s="62" t="s"/>
      <c r="P80" s="62" t="s"/>
      <c r="Q80" s="62" t="s"/>
      <c r="R80" s="62" t="s"/>
      <c r="S80" s="62" t="s"/>
      <c r="T80" s="62" t="s"/>
      <c r="U80" s="62" t="s"/>
      <c r="V80" s="62" t="s"/>
      <c r="W80" s="62" t="s"/>
      <c r="X80" s="62" t="s"/>
      <c r="Y80" s="62" t="s"/>
      <c r="Z80" s="62" t="s"/>
      <c r="AA80" s="62" t="s"/>
      <c r="AB80" s="62" t="s"/>
      <c r="AC80" t="s">
        <v>44</v>
      </c>
    </row>
    <row r="81" spans="1:29" ht="15.75" customHeight="true">
      <c r="A81" s="63">
        <v>46013</v>
      </c>
      <c r="B81" s="62" t="s"/>
      <c r="C81" s="62" t="s"/>
      <c r="D81" s="62" t="s">
        <v>38</v>
      </c>
      <c r="E81" s="62" t="s">
        <v>48</v>
      </c>
      <c r="F81" s="62" t="s">
        <v>49</v>
      </c>
      <c r="G81" s="71" t="s">
        <v>60</v>
      </c>
      <c r="H81" s="75" t="s">
        <v>61</v>
      </c>
      <c r="I81" s="72" t="s">
        <v>47</v>
      </c>
      <c r="J81" s="62">
        <v>2</v>
      </c>
      <c r="K81" s="62">
        <v>3</v>
      </c>
      <c r="L81" s="62" t="s"/>
      <c r="M81" s="62" t="s"/>
      <c r="N81" s="62" t="s"/>
      <c r="O81" s="62">
        <v>391404</v>
      </c>
      <c r="P81" s="62">
        <v>373464</v>
      </c>
      <c r="Q81" s="62">
        <v>391404</v>
      </c>
      <c r="R81" s="62" t="s"/>
      <c r="S81" s="62" t="s"/>
      <c r="T81" s="68">
        <f>=P81/10000*J81*Z81</f>
        <v>11950.848</v>
      </c>
      <c r="U81" s="62" t="s"/>
      <c r="V81" s="68" t="s"/>
      <c r="W81" s="68" t="s"/>
      <c r="X81" s="68">
        <f>=O81-P81</f>
        <v>17940</v>
      </c>
      <c r="Y81" s="68">
        <f>=X81-T81-U81-V81</f>
        <v>5989.152</v>
      </c>
      <c r="Z81" s="62">
        <f>=A81-$A$19+1</f>
        <v>160</v>
      </c>
      <c r="AA81" s="68">
        <f>=P81/10000*K81*Z81</f>
        <v>17926.272</v>
      </c>
      <c r="AB81" s="62">
        <f>=Q81*Z81</f>
        <v>62624640</v>
      </c>
      <c r="AC81" t="s">
        <v>58</v>
      </c>
    </row>
    <row r="82" spans="1:29" ht="15.75" customHeight="true">
      <c r="A82" s="63">
        <v>46017</v>
      </c>
      <c r="B82" s="62" t="s">
        <v>37</v>
      </c>
      <c r="C82" s="62" t="s"/>
      <c r="D82" s="62" t="s">
        <v>38</v>
      </c>
      <c r="E82" s="62" t="s">
        <v>48</v>
      </c>
      <c r="F82" s="62" t="s">
        <v>81</v>
      </c>
      <c r="G82" s="64" t="s">
        <v>84</v>
      </c>
      <c r="H82" s="78" t="s">
        <v>92</v>
      </c>
      <c r="I82" s="72" t="s">
        <v>47</v>
      </c>
      <c r="J82" s="62">
        <v>2</v>
      </c>
      <c r="K82" s="62">
        <v>2.5</v>
      </c>
      <c r="L82" s="62" t="s"/>
      <c r="M82" s="62" t="s"/>
      <c r="N82" s="62" t="s"/>
      <c r="O82" s="68">
        <v>663714.54</v>
      </c>
      <c r="P82" s="62">
        <v>659920</v>
      </c>
      <c r="Q82" s="62">
        <v>663714.54</v>
      </c>
      <c r="R82" s="62" t="s"/>
      <c r="S82" s="62" t="s"/>
      <c r="T82" s="68">
        <f>=P82/10000*J82*Z82</f>
        <v>3167.616</v>
      </c>
      <c r="U82" s="62" t="s"/>
      <c r="V82" s="68" t="s"/>
      <c r="W82" s="68" t="s"/>
      <c r="X82" s="68">
        <f>=O82-P82</f>
        <v>3794.54000000004</v>
      </c>
      <c r="Y82" s="68">
        <f>=X82-T82-U82-V82</f>
        <v>626.924000000037</v>
      </c>
      <c r="Z82" s="62">
        <f>=A82-$A$65+1</f>
        <v>24</v>
      </c>
      <c r="AA82" s="68">
        <f>=P82/10000*K82*Z82</f>
        <v>3959.52</v>
      </c>
      <c r="AB82" s="62">
        <f>=Q82*Z82</f>
        <v>15929148.96</v>
      </c>
      <c r="AC82" t="s">
        <v>44</v>
      </c>
    </row>
    <row r="83" spans="1:29" ht="15.75" customHeight="true">
      <c r="A83" s="88">
        <v>46000</v>
      </c>
      <c r="B83" s="62" t="s">
        <v>37</v>
      </c>
      <c r="D83" s="62" t="s">
        <v>38</v>
      </c>
      <c r="E83" s="70" t="s">
        <v>54</v>
      </c>
      <c r="F83" s="62" t="s">
        <v>55</v>
      </c>
      <c r="G83" s="71" t="s">
        <v>93</v>
      </c>
      <c r="H83" s="71" t="s">
        <v>94</v>
      </c>
      <c r="I83" s="72" t="s">
        <v>47</v>
      </c>
      <c r="J83" s="62">
        <v>2</v>
      </c>
      <c r="K83" s="62">
        <v>2.5</v>
      </c>
      <c r="O83">
        <v>315396</v>
      </c>
      <c r="P83">
        <v>315000</v>
      </c>
      <c r="Q83">
        <v>315396</v>
      </c>
      <c r="T83" s="68">
        <f>=P83/10000*J83*Z83</f>
        <v>252</v>
      </c>
      <c r="V83" s="68" t="s"/>
      <c r="W83" s="68" t="s"/>
      <c r="X83" s="68">
        <f>=O83-P83</f>
        <v>396</v>
      </c>
      <c r="Y83" s="68">
        <f>=X83-T83-U83-V83</f>
        <v>144</v>
      </c>
      <c r="Z83" s="62">
        <f>=A83-$A$68+1</f>
        <v>4</v>
      </c>
      <c r="AA83" s="68">
        <f>=P83/10000*K83*Z83</f>
        <v>315</v>
      </c>
      <c r="AB83" s="62">
        <f>=Q83*Z83</f>
        <v>1261584</v>
      </c>
      <c r="AC83" t="s">
        <v>44</v>
      </c>
    </row>
    <row r="84" spans="1:29" ht="15.75" customHeight="true">
      <c r="A84" s="88">
        <v>46006</v>
      </c>
      <c r="B84" s="62" t="s">
        <v>37</v>
      </c>
      <c r="C84" s="89" t="s"/>
      <c r="D84" s="62" t="s">
        <v>38</v>
      </c>
      <c r="E84" s="70" t="s">
        <v>54</v>
      </c>
      <c r="F84" s="62" t="s">
        <v>55</v>
      </c>
      <c r="G84" s="71" t="s">
        <v>93</v>
      </c>
      <c r="H84" s="71" t="s">
        <v>94</v>
      </c>
      <c r="I84" s="72" t="s">
        <v>47</v>
      </c>
      <c r="J84" s="62">
        <v>2</v>
      </c>
      <c r="K84" s="62">
        <v>2.5</v>
      </c>
      <c r="O84">
        <v>105289</v>
      </c>
      <c r="P84">
        <v>105000</v>
      </c>
      <c r="Q84">
        <v>105289</v>
      </c>
      <c r="T84" s="68">
        <f>=P84/10000*J84*Z84</f>
        <v>210</v>
      </c>
      <c r="V84" s="68" t="s"/>
      <c r="W84" s="68" t="s"/>
      <c r="X84" s="68">
        <f>=O84-P84</f>
        <v>289.000000000015</v>
      </c>
      <c r="Y84" s="68">
        <f>=X84-T84-U84-V84</f>
        <v>79.0000000000146</v>
      </c>
      <c r="Z84" s="62">
        <f>=A84-$A$68+1</f>
        <v>10</v>
      </c>
      <c r="AA84" s="68">
        <f>=P84/10000*K84*Z84</f>
        <v>262.5</v>
      </c>
      <c r="AB84" s="62">
        <f>=Q84*Z84</f>
        <v>1052890</v>
      </c>
      <c r="AC84" t="s">
        <v>44</v>
      </c>
    </row>
    <row r="85" spans="1:29" ht="15.75" customHeight="true">
      <c r="A85" s="88">
        <v>46007</v>
      </c>
      <c r="B85" s="62" t="s">
        <v>37</v>
      </c>
      <c r="C85" s="89" t="s"/>
      <c r="D85" s="62" t="s">
        <v>38</v>
      </c>
      <c r="E85" s="70" t="s">
        <v>54</v>
      </c>
      <c r="F85" s="62" t="s">
        <v>55</v>
      </c>
      <c r="G85" s="71" t="s">
        <v>93</v>
      </c>
      <c r="H85" s="71" t="s">
        <v>94</v>
      </c>
      <c r="I85" s="72" t="s">
        <v>47</v>
      </c>
      <c r="J85" s="62">
        <v>2</v>
      </c>
      <c r="K85" s="62">
        <v>2.5</v>
      </c>
      <c r="O85">
        <v>126378</v>
      </c>
      <c r="P85">
        <v>126000</v>
      </c>
      <c r="Q85">
        <v>126378</v>
      </c>
      <c r="T85" s="68">
        <f>=P85/10000*J85*Z85</f>
        <v>277.2</v>
      </c>
      <c r="V85" s="68" t="s"/>
      <c r="W85" s="68" t="s"/>
      <c r="X85" s="68">
        <f>=O85-P85</f>
        <v>378.000000000015</v>
      </c>
      <c r="Y85" s="68">
        <f>=X85-T85-U85-V85</f>
        <v>100.800000000015</v>
      </c>
      <c r="Z85" s="62">
        <f>=A85-$A$68+1</f>
        <v>11</v>
      </c>
      <c r="AA85" s="68">
        <f>=P85/10000*K85*Z85</f>
        <v>346.5</v>
      </c>
      <c r="AB85" s="62">
        <f>=Q85*Z85</f>
        <v>1390158</v>
      </c>
      <c r="AC85" t="s">
        <v>44</v>
      </c>
    </row>
    <row r="86" spans="1:29" ht="15.75" customHeight="true">
      <c r="A86" s="88">
        <v>46016</v>
      </c>
      <c r="B86" s="62" t="s">
        <v>37</v>
      </c>
      <c r="C86" s="89" t="s"/>
      <c r="D86" s="62" t="s">
        <v>38</v>
      </c>
      <c r="E86" s="70" t="s">
        <v>54</v>
      </c>
      <c r="F86" s="62" t="s">
        <v>55</v>
      </c>
      <c r="G86" s="71" t="s">
        <v>93</v>
      </c>
      <c r="H86" s="71" t="s">
        <v>94</v>
      </c>
      <c r="I86" s="72" t="s">
        <v>47</v>
      </c>
      <c r="J86" s="62">
        <v>2</v>
      </c>
      <c r="K86" s="62">
        <v>2.5</v>
      </c>
      <c r="O86">
        <v>401097.6</v>
      </c>
      <c r="P86">
        <v>399000</v>
      </c>
      <c r="Q86">
        <v>401097.6</v>
      </c>
      <c r="T86" s="68">
        <f>=P86/10000*J86*Z86</f>
        <v>1596</v>
      </c>
      <c r="V86" s="68" t="s"/>
      <c r="W86" s="68" t="s"/>
      <c r="X86" s="68">
        <f>=O86-P86</f>
        <v>2097.59999999998</v>
      </c>
      <c r="Y86" s="68">
        <f>=X86-T86-U86-V86</f>
        <v>501.599999999977</v>
      </c>
      <c r="Z86" s="62">
        <f>=A86-$A$68+1</f>
        <v>20</v>
      </c>
      <c r="AA86" s="68">
        <f>=P86/10000*K86*Z86</f>
        <v>1995</v>
      </c>
      <c r="AB86" s="62">
        <f>=Q86*Z86</f>
        <v>8021952</v>
      </c>
      <c r="AC86" t="s">
        <v>44</v>
      </c>
    </row>
    <row r="87" spans="1:29" ht="15.75" customHeight="true">
      <c r="A87" s="88">
        <v>46017</v>
      </c>
      <c r="B87" s="62" t="s">
        <v>37</v>
      </c>
      <c r="C87" s="89" t="s"/>
      <c r="D87" s="62" t="s">
        <v>38</v>
      </c>
      <c r="E87" s="70" t="s">
        <v>54</v>
      </c>
      <c r="F87" s="62" t="s">
        <v>55</v>
      </c>
      <c r="G87" s="71" t="s">
        <v>93</v>
      </c>
      <c r="H87" s="71" t="s">
        <v>94</v>
      </c>
      <c r="I87" s="72" t="s">
        <v>47</v>
      </c>
      <c r="J87" s="62">
        <v>2</v>
      </c>
      <c r="K87" s="62">
        <v>2.5</v>
      </c>
      <c r="O87">
        <v>310399.32</v>
      </c>
      <c r="P87">
        <v>308700</v>
      </c>
      <c r="Q87">
        <v>310399.32</v>
      </c>
      <c r="T87" s="68">
        <f>=P87/10000*J87*Z87</f>
        <v>1296.54</v>
      </c>
      <c r="V87" s="68" t="s"/>
      <c r="W87" s="68" t="s"/>
      <c r="X87" s="68">
        <f>=O87-P87</f>
        <v>1699.32000000001</v>
      </c>
      <c r="Y87" s="68">
        <f>=X87-T87-U87-V87</f>
        <v>402.780000000007</v>
      </c>
      <c r="Z87" s="62">
        <f>=A87-$A$68+1</f>
        <v>21</v>
      </c>
      <c r="AA87" s="68">
        <f>=P87/10000*K87*Z87</f>
        <v>1620.675</v>
      </c>
      <c r="AB87" s="62">
        <f>=Q87*Z87</f>
        <v>6518385.72</v>
      </c>
      <c r="AC87" t="s">
        <v>44</v>
      </c>
    </row>
    <row r="88" spans="1:29" ht="15.75" customHeight="true">
      <c r="A88" s="88">
        <v>46020</v>
      </c>
      <c r="B88" s="62" t="s">
        <v>37</v>
      </c>
      <c r="C88" s="89" t="s"/>
      <c r="D88" s="62" t="s">
        <v>38</v>
      </c>
      <c r="E88" s="70" t="s">
        <v>54</v>
      </c>
      <c r="F88" s="62" t="s">
        <v>55</v>
      </c>
      <c r="G88" s="71" t="s">
        <v>93</v>
      </c>
      <c r="H88" s="71" t="s">
        <v>94</v>
      </c>
      <c r="I88" s="72" t="s">
        <v>47</v>
      </c>
      <c r="J88" s="62">
        <v>2</v>
      </c>
      <c r="K88" s="62">
        <v>2.5</v>
      </c>
      <c r="O88">
        <v>164824.92</v>
      </c>
      <c r="P88">
        <v>163800</v>
      </c>
      <c r="Q88">
        <v>164824.92</v>
      </c>
      <c r="T88" s="68">
        <f>=P88/10000*J88*Z88</f>
        <v>786.24</v>
      </c>
      <c r="V88" s="68" t="s"/>
      <c r="W88" s="68" t="s"/>
      <c r="X88" s="68">
        <f>=O88-P88</f>
        <v>1024.92000000001</v>
      </c>
      <c r="Y88" s="68">
        <f>=X88-T88-U88-V88</f>
        <v>238.680000000013</v>
      </c>
      <c r="Z88" s="62">
        <f>=A88-$A$68+1</f>
        <v>24</v>
      </c>
      <c r="AA88" s="68">
        <f>=P88/10000*K88*Z88</f>
        <v>982.8</v>
      </c>
      <c r="AB88" s="62">
        <f>=Q88*Z88</f>
        <v>3955798.08</v>
      </c>
      <c r="AC88" t="s">
        <v>44</v>
      </c>
    </row>
    <row r="89" spans="1:29" ht="15.75" customHeight="true">
      <c r="A89" s="63">
        <v>46014</v>
      </c>
      <c r="B89" s="62" t="s"/>
      <c r="C89" s="62" t="s"/>
      <c r="D89" s="62" t="s">
        <v>38</v>
      </c>
      <c r="E89" s="62" t="s">
        <v>48</v>
      </c>
      <c r="F89" s="62" t="s">
        <v>49</v>
      </c>
      <c r="G89" s="71" t="s">
        <v>60</v>
      </c>
      <c r="H89" s="75" t="s">
        <v>61</v>
      </c>
      <c r="I89" s="72" t="s">
        <v>47</v>
      </c>
      <c r="J89" s="62">
        <v>2</v>
      </c>
      <c r="K89" s="62">
        <v>3</v>
      </c>
      <c r="L89" s="62" t="s"/>
      <c r="M89" s="62" t="s"/>
      <c r="N89" s="62" t="s"/>
      <c r="O89" s="62">
        <v>200720</v>
      </c>
      <c r="P89" s="62">
        <v>191520</v>
      </c>
      <c r="Q89" s="62">
        <v>200720</v>
      </c>
      <c r="R89" s="62" t="s"/>
      <c r="S89" s="62" t="s"/>
      <c r="T89" s="68">
        <f>=P89/10000*J89*Z89</f>
        <v>6166.944</v>
      </c>
      <c r="U89" s="62" t="s"/>
      <c r="V89" s="68" t="s"/>
      <c r="W89" s="68" t="s"/>
      <c r="X89" s="68">
        <f>=O89-P89</f>
        <v>9200</v>
      </c>
      <c r="Y89" s="68">
        <f>=X89-T89-U89-V89</f>
        <v>3033.056</v>
      </c>
      <c r="Z89" s="62">
        <f>=A89-$A$19+1</f>
        <v>161</v>
      </c>
      <c r="AA89" s="68">
        <f>=P89/10000*K89*Z89</f>
        <v>9250.416</v>
      </c>
      <c r="AB89" s="62">
        <f>=Q89*Z89</f>
        <v>32315920</v>
      </c>
      <c r="AC89" t="s">
        <v>58</v>
      </c>
    </row>
    <row r="90" spans="1:29" ht="15.75" customHeight="true">
      <c r="A90" s="63">
        <v>46020</v>
      </c>
      <c r="B90" s="62" t="s"/>
      <c r="C90" s="62">
        <f>=TODAY()-A90+1</f>
        <v>210</v>
      </c>
      <c r="D90" s="62" t="s">
        <v>38</v>
      </c>
      <c r="E90" s="62" t="s">
        <v>48</v>
      </c>
      <c r="F90" s="62" t="s">
        <v>73</v>
      </c>
      <c r="G90" s="64" t="s">
        <v>74</v>
      </c>
      <c r="H90" s="78" t="s">
        <v>96</v>
      </c>
      <c r="I90" s="77" t="s">
        <v>6</v>
      </c>
      <c r="J90" s="62">
        <v>2</v>
      </c>
      <c r="K90" s="62">
        <v>2.8</v>
      </c>
      <c r="L90" s="62">
        <v>421200</v>
      </c>
      <c r="M90" s="62" t="s"/>
      <c r="N90" s="62" t="s"/>
      <c r="O90" s="62" t="s"/>
      <c r="P90" s="62" t="s"/>
      <c r="Q90" s="62" t="s"/>
      <c r="R90" s="62">
        <v>421200</v>
      </c>
      <c r="S90" s="62" t="s"/>
      <c r="T90" s="62" t="s"/>
      <c r="U90" s="62" t="s"/>
      <c r="V90" s="62" t="s"/>
      <c r="W90" s="62" t="s"/>
      <c r="X90" s="62" t="s"/>
      <c r="Y90" s="62" t="s"/>
      <c r="Z90" s="62" t="s"/>
      <c r="AA90" s="62" t="s"/>
      <c r="AB90" s="62" t="s"/>
      <c r="AC90" t="s">
        <v>44</v>
      </c>
    </row>
    <row r="91" spans="1:29" ht="15.75" customHeight="true">
      <c r="A91" s="63">
        <v>46021</v>
      </c>
      <c r="B91" s="62" t="s"/>
      <c r="C91" s="62" t="s"/>
      <c r="D91" s="62" t="s">
        <v>38</v>
      </c>
      <c r="E91" s="62" t="s">
        <v>48</v>
      </c>
      <c r="F91" s="62" t="s">
        <v>49</v>
      </c>
      <c r="G91" s="71" t="s">
        <v>60</v>
      </c>
      <c r="H91" s="75" t="s">
        <v>61</v>
      </c>
      <c r="I91" s="77" t="s">
        <v>47</v>
      </c>
      <c r="J91" s="62">
        <v>2</v>
      </c>
      <c r="K91" s="62">
        <v>3</v>
      </c>
      <c r="L91" s="62" t="s"/>
      <c r="M91" s="62" t="s"/>
      <c r="N91" s="62" t="s"/>
      <c r="O91" s="62">
        <v>113175</v>
      </c>
      <c r="P91" s="62">
        <v>107730</v>
      </c>
      <c r="Q91" s="62">
        <v>113175</v>
      </c>
      <c r="R91" s="62" t="s"/>
      <c r="S91" s="62" t="s"/>
      <c r="T91" s="68">
        <f>=P91/10000*J91*Z91</f>
        <v>3619.728</v>
      </c>
      <c r="U91" s="62" t="s"/>
      <c r="V91" s="68" t="s"/>
      <c r="W91" s="68" t="s"/>
      <c r="X91" s="68">
        <f>=O91-P91</f>
        <v>5445</v>
      </c>
      <c r="Y91" s="68">
        <f>=X91-T91-U91-V91</f>
        <v>1825.272</v>
      </c>
      <c r="Z91" s="62">
        <f>=A91-$A$19+1</f>
        <v>168</v>
      </c>
      <c r="AA91" s="68">
        <f>=P91/10000*K91*Z91</f>
        <v>5429.592</v>
      </c>
      <c r="AB91" s="62">
        <f>=Q91*Z91</f>
        <v>19013400</v>
      </c>
      <c r="AC91" t="s">
        <v>58</v>
      </c>
    </row>
    <row r="92" spans="1:29">
      <c r="A92" s="63">
        <v>46022</v>
      </c>
      <c r="B92" s="62" t="s">
        <v>37</v>
      </c>
      <c r="C92" s="62" t="s"/>
      <c r="D92" s="62" t="s">
        <v>38</v>
      </c>
      <c r="E92" s="62" t="s">
        <v>48</v>
      </c>
      <c r="F92" s="62" t="s">
        <v>73</v>
      </c>
      <c r="G92" s="64" t="s">
        <v>74</v>
      </c>
      <c r="H92" s="62" t="s">
        <v>96</v>
      </c>
      <c r="I92" s="77" t="s">
        <v>43</v>
      </c>
      <c r="J92" s="62">
        <v>2</v>
      </c>
      <c r="K92" s="62">
        <v>2.8</v>
      </c>
      <c r="L92" s="62" t="s"/>
      <c r="M92" s="62">
        <v>2106000</v>
      </c>
      <c r="N92" s="62" t="s"/>
      <c r="O92" s="62" t="s"/>
      <c r="P92" s="62" t="s"/>
      <c r="Q92" s="62" t="s"/>
      <c r="R92" s="62" t="s"/>
      <c r="S92" s="62" t="s"/>
      <c r="T92" s="62" t="s"/>
      <c r="U92" s="62" t="s"/>
      <c r="V92" s="62" t="s"/>
      <c r="W92" s="62" t="s"/>
      <c r="X92" s="62" t="s"/>
      <c r="Y92" s="62" t="s"/>
      <c r="Z92" s="62" t="s"/>
      <c r="AA92" s="62" t="s"/>
      <c r="AB92" s="62" t="s"/>
      <c r="AC92" t="s">
        <v>44</v>
      </c>
    </row>
    <row r="93" spans="1:29">
      <c r="A93" s="63">
        <v>46025</v>
      </c>
      <c r="B93" s="62" t="s">
        <v>37</v>
      </c>
      <c r="C93" s="62" t="s"/>
      <c r="D93" s="62" t="s">
        <v>38</v>
      </c>
      <c r="E93" s="70" t="s">
        <v>54</v>
      </c>
      <c r="F93" s="62" t="s">
        <v>97</v>
      </c>
      <c r="G93" s="64" t="s">
        <v>98</v>
      </c>
      <c r="H93" s="62" t="s">
        <v>99</v>
      </c>
      <c r="I93" s="72" t="s">
        <v>43</v>
      </c>
      <c r="J93" s="62">
        <v>2</v>
      </c>
      <c r="K93" s="62">
        <v>2.6</v>
      </c>
      <c r="L93" s="62" t="s"/>
      <c r="M93" s="62">
        <v>8083411</v>
      </c>
      <c r="N93" s="62" t="s"/>
      <c r="O93" s="62" t="s"/>
      <c r="P93" s="62" t="s"/>
      <c r="Q93" s="62" t="s"/>
      <c r="R93" s="62" t="s"/>
      <c r="S93" s="62" t="s"/>
      <c r="T93" s="62" t="s"/>
      <c r="U93" s="62" t="s"/>
      <c r="V93" s="62" t="s"/>
      <c r="W93" s="62" t="s"/>
      <c r="X93" s="62" t="s"/>
      <c r="Y93" s="62" t="s"/>
      <c r="Z93" s="62" t="s"/>
      <c r="AA93" s="62" t="s"/>
      <c r="AB93" s="62" t="s"/>
      <c r="AC93" t="s">
        <v>44</v>
      </c>
    </row>
    <row r="94" spans="1:29">
      <c r="A94" s="63">
        <v>46025</v>
      </c>
      <c r="B94" s="62" t="s">
        <v>37</v>
      </c>
      <c r="C94" s="62" t="s"/>
      <c r="D94" s="62" t="s">
        <v>38</v>
      </c>
      <c r="E94" s="70" t="s">
        <v>54</v>
      </c>
      <c r="F94" s="62" t="s">
        <v>55</v>
      </c>
      <c r="G94" s="64" t="s">
        <v>100</v>
      </c>
      <c r="H94" s="62" t="s">
        <v>99</v>
      </c>
      <c r="I94" s="72" t="s">
        <v>6</v>
      </c>
      <c r="J94" s="62">
        <v>2</v>
      </c>
      <c r="K94" s="62">
        <v>2.6</v>
      </c>
      <c r="L94" s="62">
        <v>1212511.65</v>
      </c>
      <c r="M94" s="62" t="s"/>
      <c r="N94" s="62" t="s"/>
      <c r="O94" s="62" t="s"/>
      <c r="P94" s="62" t="s"/>
      <c r="Q94" s="62" t="s"/>
      <c r="R94" s="62">
        <v>1212511.65</v>
      </c>
      <c r="S94" s="62" t="s"/>
      <c r="T94" s="62" t="s"/>
      <c r="U94" s="62" t="s"/>
      <c r="V94" s="62" t="s"/>
      <c r="W94" s="62" t="s"/>
      <c r="X94" s="62" t="s"/>
      <c r="Y94" s="62" t="s"/>
      <c r="Z94" s="62" t="s"/>
      <c r="AA94" s="62" t="s"/>
      <c r="AB94" s="62" t="s"/>
      <c r="AC94" t="s">
        <v>44</v>
      </c>
    </row>
    <row r="95" spans="1:29">
      <c r="A95" s="63">
        <v>46026</v>
      </c>
      <c r="B95" s="62" t="s">
        <v>37</v>
      </c>
      <c r="C95" s="62" t="s"/>
      <c r="D95" s="62" t="s">
        <v>38</v>
      </c>
      <c r="E95" s="62" t="s">
        <v>48</v>
      </c>
      <c r="F95" s="62" t="s">
        <v>73</v>
      </c>
      <c r="G95" s="64" t="s">
        <v>74</v>
      </c>
      <c r="H95" s="64" t="s">
        <v>90</v>
      </c>
      <c r="I95" s="79" t="s">
        <v>47</v>
      </c>
      <c r="J95" s="62">
        <v>2</v>
      </c>
      <c r="K95" s="62">
        <v>2.5</v>
      </c>
      <c r="L95" s="62" t="s"/>
      <c r="M95" s="62" t="s"/>
      <c r="N95" s="62" t="s"/>
      <c r="O95" s="62">
        <v>474000</v>
      </c>
      <c r="P95" s="62">
        <v>469000</v>
      </c>
      <c r="Q95" s="62">
        <v>474000</v>
      </c>
      <c r="R95" s="62" t="s"/>
      <c r="S95" s="62" t="s"/>
      <c r="T95" s="68">
        <f>=P95/10000*J95*Z95</f>
        <v>3564.4</v>
      </c>
      <c r="U95" s="62">
        <v>0</v>
      </c>
      <c r="V95" s="68" t="s"/>
      <c r="W95" s="68" t="s"/>
      <c r="X95" s="68">
        <f>=O95-P95</f>
        <v>5000</v>
      </c>
      <c r="Y95" s="68">
        <f>=X95-T95-U95-V95</f>
        <v>1435.6</v>
      </c>
      <c r="Z95" s="62">
        <f>=A95-$A$63+1</f>
        <v>38</v>
      </c>
      <c r="AA95" s="68">
        <f>=P95/10000*K95*Z95</f>
        <v>4455.5</v>
      </c>
      <c r="AB95" s="62">
        <f>=Q95*Z95</f>
        <v>18012000</v>
      </c>
      <c r="AC95" t="s">
        <v>44</v>
      </c>
    </row>
    <row r="96" spans="1:29">
      <c r="A96" s="63">
        <v>46028</v>
      </c>
      <c r="B96" s="62" t="s"/>
      <c r="C96" s="62" t="s"/>
      <c r="D96" s="62" t="s">
        <v>38</v>
      </c>
      <c r="E96" s="62" t="s">
        <v>48</v>
      </c>
      <c r="F96" s="62" t="s">
        <v>49</v>
      </c>
      <c r="G96" s="64" t="s">
        <v>50</v>
      </c>
      <c r="H96" s="64" t="s">
        <v>71</v>
      </c>
      <c r="I96" s="65" t="s">
        <v>47</v>
      </c>
      <c r="J96" s="62">
        <v>2</v>
      </c>
      <c r="K96" s="62">
        <v>2.5</v>
      </c>
      <c r="L96" s="62" t="s"/>
      <c r="M96" s="62" t="s"/>
      <c r="N96" s="62" t="s"/>
      <c r="O96" s="62">
        <v>4530</v>
      </c>
      <c r="P96" s="62">
        <v>4336</v>
      </c>
      <c r="Q96" s="62">
        <v>4530</v>
      </c>
      <c r="R96" s="62" t="s"/>
      <c r="S96" s="62" t="s"/>
      <c r="T96" s="68">
        <f>=P96/10000*J96*Z96</f>
        <v>128.3456</v>
      </c>
      <c r="U96" s="62">
        <v>0</v>
      </c>
      <c r="V96" s="68" t="s"/>
      <c r="W96" s="68" t="s"/>
      <c r="X96" s="68">
        <f>=O96-P96</f>
        <v>194</v>
      </c>
      <c r="Y96" s="68">
        <f>=X96-T96-U96-V96</f>
        <v>65.6544</v>
      </c>
      <c r="Z96" s="62">
        <f>=A96-$A$26+1</f>
        <v>148</v>
      </c>
      <c r="AA96" s="68">
        <f>=P96/10000*K96*Z96</f>
        <v>160.432</v>
      </c>
      <c r="AB96" s="62">
        <f>=Q96*Z96</f>
        <v>670440</v>
      </c>
      <c r="AC96" t="s">
        <v>44</v>
      </c>
    </row>
    <row r="97" spans="1:29">
      <c r="A97" s="63">
        <v>46029</v>
      </c>
      <c r="B97" s="62" t="s">
        <v>37</v>
      </c>
      <c r="C97" s="62" t="s"/>
      <c r="D97" s="62" t="s">
        <v>38</v>
      </c>
      <c r="E97" s="62" t="s">
        <v>48</v>
      </c>
      <c r="F97" s="62" t="s">
        <v>81</v>
      </c>
      <c r="G97" s="64" t="s">
        <v>84</v>
      </c>
      <c r="H97" s="64" t="s">
        <v>92</v>
      </c>
      <c r="I97" s="72" t="s">
        <v>47</v>
      </c>
      <c r="J97" s="62">
        <v>2</v>
      </c>
      <c r="K97" s="62">
        <v>2.5</v>
      </c>
      <c r="L97" s="62" t="s"/>
      <c r="M97" s="62" t="s"/>
      <c r="N97" s="62" t="s"/>
      <c r="O97" s="68">
        <v>871560</v>
      </c>
      <c r="P97" s="62">
        <v>864000</v>
      </c>
      <c r="Q97" s="62">
        <v>871560</v>
      </c>
      <c r="R97" s="62" t="s"/>
      <c r="S97" s="62" t="s"/>
      <c r="T97" s="68">
        <f>=P97/10000*J97*Z97</f>
        <v>6220.8</v>
      </c>
      <c r="U97" s="62">
        <v>0</v>
      </c>
      <c r="V97" s="68" t="s"/>
      <c r="W97" s="68" t="s"/>
      <c r="X97" s="68">
        <f>=O97-P97</f>
        <v>7560</v>
      </c>
      <c r="Y97" s="68">
        <f>=X97-T97-U97-V97</f>
        <v>1339.2</v>
      </c>
      <c r="Z97" s="62">
        <f>=A97-$A$65+1</f>
        <v>36</v>
      </c>
      <c r="AA97" s="68">
        <f>=P97/10000*K97*Z97</f>
        <v>7776</v>
      </c>
      <c r="AB97" s="62">
        <f>=Q97*Z97</f>
        <v>31376160</v>
      </c>
      <c r="AC97" t="s">
        <v>44</v>
      </c>
    </row>
    <row r="98" spans="1:29">
      <c r="A98" s="61">
        <v>46029</v>
      </c>
      <c r="B98" s="62" t="s">
        <v>37</v>
      </c>
      <c r="C98" s="62" t="s"/>
      <c r="D98" s="63" t="s">
        <v>38</v>
      </c>
      <c r="E98" s="62" t="s">
        <v>39</v>
      </c>
      <c r="F98" s="62" t="s">
        <v>40</v>
      </c>
      <c r="G98" s="64" t="s">
        <v>77</v>
      </c>
      <c r="H98" s="62" t="s">
        <v>101</v>
      </c>
      <c r="I98" s="65" t="s">
        <v>43</v>
      </c>
      <c r="J98" s="62">
        <v>2</v>
      </c>
      <c r="K98" s="62">
        <v>2.5</v>
      </c>
      <c r="L98" s="62" t="s"/>
      <c r="M98" s="66">
        <v>489600</v>
      </c>
      <c r="N98" s="62" t="s"/>
      <c r="O98" s="62" t="s"/>
      <c r="P98" s="62" t="s"/>
      <c r="Q98" s="62" t="s"/>
      <c r="R98" s="62" t="s"/>
      <c r="S98" s="62" t="s"/>
      <c r="T98" s="62" t="s"/>
      <c r="U98" s="62" t="s"/>
      <c r="V98" s="62" t="s"/>
      <c r="W98" s="62" t="s"/>
      <c r="X98" s="62" t="s"/>
      <c r="Y98" s="62" t="s"/>
      <c r="Z98" s="62" t="s"/>
      <c r="AA98" s="62" t="s"/>
      <c r="AB98" s="62" t="s"/>
      <c r="AC98" t="s">
        <v>44</v>
      </c>
    </row>
    <row r="99" spans="1:29">
      <c r="A99" s="63">
        <v>46031</v>
      </c>
      <c r="B99" s="62" t="s">
        <v>37</v>
      </c>
      <c r="C99" s="62" t="s"/>
      <c r="D99" s="62" t="s">
        <v>38</v>
      </c>
      <c r="E99" s="62" t="s">
        <v>48</v>
      </c>
      <c r="F99" s="62" t="s">
        <v>81</v>
      </c>
      <c r="G99" s="64" t="s">
        <v>84</v>
      </c>
      <c r="H99" s="64" t="s">
        <v>92</v>
      </c>
      <c r="I99" s="72" t="s">
        <v>47</v>
      </c>
      <c r="J99" s="62">
        <v>2</v>
      </c>
      <c r="K99" s="62">
        <v>2.5</v>
      </c>
      <c r="L99" s="62" t="s"/>
      <c r="M99" s="62" t="s"/>
      <c r="N99" s="62" t="s"/>
      <c r="O99" s="68">
        <v>122724.8</v>
      </c>
      <c r="P99" s="62">
        <v>121600</v>
      </c>
      <c r="Q99" s="62">
        <v>122724.8</v>
      </c>
      <c r="R99" s="62" t="s"/>
      <c r="S99" s="62" t="s"/>
      <c r="T99" s="68">
        <f>=P99/10000*J99*Z99</f>
        <v>924.16</v>
      </c>
      <c r="U99" s="62">
        <v>0</v>
      </c>
      <c r="V99" s="68" t="s"/>
      <c r="W99" s="68" t="s"/>
      <c r="X99" s="68">
        <f>=O99-P99</f>
        <v>1124.8</v>
      </c>
      <c r="Y99" s="68">
        <f>=X99-T99-U99-V99</f>
        <v>200.640000000003</v>
      </c>
      <c r="Z99" s="62">
        <f>=A99-$A$65+1</f>
        <v>38</v>
      </c>
      <c r="AA99" s="68">
        <f>=P99/10000*K99*Z99</f>
        <v>1155.2</v>
      </c>
      <c r="AB99" s="62">
        <f>=Q99*Z99</f>
        <v>4663542.4</v>
      </c>
      <c r="AC99" t="s">
        <v>44</v>
      </c>
    </row>
    <row r="100" spans="1:29">
      <c r="A100" s="61">
        <v>46031</v>
      </c>
      <c r="B100" s="62" t="s">
        <v>37</v>
      </c>
      <c r="C100" s="62" t="s"/>
      <c r="D100" s="63" t="s">
        <v>38</v>
      </c>
      <c r="E100" s="62" t="s">
        <v>39</v>
      </c>
      <c r="F100" s="62" t="s">
        <v>40</v>
      </c>
      <c r="G100" s="64" t="s">
        <v>77</v>
      </c>
      <c r="H100" s="62" t="s">
        <v>102</v>
      </c>
      <c r="I100" s="65" t="s">
        <v>43</v>
      </c>
      <c r="J100" s="62">
        <v>2</v>
      </c>
      <c r="K100" s="62">
        <v>2.5</v>
      </c>
      <c r="L100" s="62" t="s"/>
      <c r="M100" s="66">
        <v>1356028</v>
      </c>
      <c r="N100" s="62" t="s"/>
      <c r="O100" s="62" t="s"/>
      <c r="P100" s="62" t="s"/>
      <c r="Q100" s="62" t="s"/>
      <c r="R100" s="62" t="s"/>
      <c r="S100" s="62" t="s"/>
      <c r="T100" s="62" t="s"/>
      <c r="U100" s="62" t="s"/>
      <c r="V100" s="62" t="s"/>
      <c r="W100" s="62" t="s"/>
      <c r="X100" s="62" t="s"/>
      <c r="Y100" s="62" t="s"/>
      <c r="Z100" s="62" t="s"/>
      <c r="AA100" s="62" t="s"/>
      <c r="AB100" s="62" t="s"/>
      <c r="AC100" t="s">
        <v>44</v>
      </c>
    </row>
    <row r="101" spans="1:29">
      <c r="A101" s="67">
        <v>46032</v>
      </c>
      <c r="B101" s="62" t="s">
        <v>37</v>
      </c>
      <c r="C101" s="62" t="s"/>
      <c r="D101" s="63" t="s">
        <v>38</v>
      </c>
      <c r="E101" s="62" t="s">
        <v>39</v>
      </c>
      <c r="F101" s="62" t="s">
        <v>40</v>
      </c>
      <c r="G101" s="64" t="s">
        <v>80</v>
      </c>
      <c r="H101" s="64" t="s">
        <v>102</v>
      </c>
      <c r="I101" s="65" t="s">
        <v>47</v>
      </c>
      <c r="J101" s="62">
        <v>2</v>
      </c>
      <c r="K101" s="62">
        <v>2.5</v>
      </c>
      <c r="L101" s="62" t="s"/>
      <c r="M101" s="62" t="s"/>
      <c r="N101" s="62" t="s"/>
      <c r="O101" s="62">
        <v>379200</v>
      </c>
      <c r="P101" s="62">
        <v>379008</v>
      </c>
      <c r="Q101" s="62">
        <v>379200</v>
      </c>
      <c r="R101" s="62" t="s"/>
      <c r="S101" s="62" t="s"/>
      <c r="T101" s="68">
        <f>=P101/10000*J101*Z101</f>
        <v>151.6032</v>
      </c>
      <c r="U101" s="62">
        <v>0</v>
      </c>
      <c r="V101" s="68" t="s"/>
      <c r="W101" s="68" t="s"/>
      <c r="X101" s="68">
        <f>=O101-P101</f>
        <v>192</v>
      </c>
      <c r="Y101" s="68">
        <f>=X101-T101-U101-V101</f>
        <v>40.3968</v>
      </c>
      <c r="Z101" s="62">
        <f>=A101-$A$100+1</f>
        <v>2</v>
      </c>
      <c r="AA101" s="68">
        <f>=P101/10000*K101*Z101</f>
        <v>189.504</v>
      </c>
      <c r="AB101" s="62">
        <f>=Q101*Z101</f>
        <v>758400</v>
      </c>
      <c r="AC101" t="s">
        <v>44</v>
      </c>
    </row>
    <row r="102" spans="1:29">
      <c r="A102" s="63">
        <v>46033</v>
      </c>
      <c r="B102" s="62" t="s">
        <v>37</v>
      </c>
      <c r="C102" s="62" t="s"/>
      <c r="D102" s="62" t="s">
        <v>38</v>
      </c>
      <c r="E102" s="62" t="s">
        <v>48</v>
      </c>
      <c r="F102" s="62" t="s">
        <v>49</v>
      </c>
      <c r="G102" s="64" t="s">
        <v>52</v>
      </c>
      <c r="H102" s="64" t="s">
        <v>69</v>
      </c>
      <c r="I102" s="65" t="s">
        <v>47</v>
      </c>
      <c r="J102" s="62">
        <v>2</v>
      </c>
      <c r="K102" s="62">
        <v>3</v>
      </c>
      <c r="L102" s="62" t="s"/>
      <c r="M102" s="62" t="s"/>
      <c r="N102" s="62" t="s"/>
      <c r="O102" s="62">
        <v>44222</v>
      </c>
      <c r="P102" s="62">
        <v>42107</v>
      </c>
      <c r="Q102" s="62">
        <v>44222</v>
      </c>
      <c r="R102" s="62" t="s"/>
      <c r="S102" s="62" t="s"/>
      <c r="T102" s="68">
        <f>=P102/10000*J102*Z102</f>
        <v>1423.2166</v>
      </c>
      <c r="U102" s="62">
        <v>0</v>
      </c>
      <c r="V102" s="68" t="s"/>
      <c r="W102" s="68" t="s"/>
      <c r="X102" s="68">
        <f>=O102-P102</f>
        <v>2115</v>
      </c>
      <c r="Y102" s="68">
        <f>=X102-T102-U102-V102</f>
        <v>691.7834</v>
      </c>
      <c r="Z102" s="62">
        <f>=A102-$A$24+1</f>
        <v>169</v>
      </c>
      <c r="AA102" s="68">
        <f>=P102/10000*K102*Z102</f>
        <v>2134.8249</v>
      </c>
      <c r="AB102" s="62">
        <f>=Q102*Z102</f>
        <v>7473518</v>
      </c>
      <c r="AC102" t="s">
        <v>44</v>
      </c>
    </row>
    <row r="103" spans="1:29">
      <c r="A103" s="67">
        <v>46033</v>
      </c>
      <c r="B103" s="62" t="s">
        <v>37</v>
      </c>
      <c r="C103" s="62" t="s"/>
      <c r="D103" s="63" t="s">
        <v>38</v>
      </c>
      <c r="E103" s="62" t="s">
        <v>39</v>
      </c>
      <c r="F103" s="62" t="s">
        <v>40</v>
      </c>
      <c r="G103" s="64" t="s">
        <v>80</v>
      </c>
      <c r="H103" s="64" t="s">
        <v>102</v>
      </c>
      <c r="I103" s="65" t="s">
        <v>47</v>
      </c>
      <c r="J103" s="62">
        <v>2</v>
      </c>
      <c r="K103" s="62">
        <v>2.5</v>
      </c>
      <c r="L103" s="62" t="s"/>
      <c r="M103" s="62" t="s"/>
      <c r="N103" s="62" t="s"/>
      <c r="O103" s="62">
        <v>158810</v>
      </c>
      <c r="P103" s="62">
        <v>158700</v>
      </c>
      <c r="Q103" s="62">
        <v>158810</v>
      </c>
      <c r="R103" s="62" t="s"/>
      <c r="S103" s="90" t="s"/>
      <c r="T103" s="68">
        <f>=P103/10000*J103*Z103</f>
        <v>95.22</v>
      </c>
      <c r="U103" s="62">
        <v>0</v>
      </c>
      <c r="V103" s="68" t="s"/>
      <c r="W103" s="68" t="s"/>
      <c r="X103" s="68">
        <f>=O103-P103</f>
        <v>110</v>
      </c>
      <c r="Y103" s="68">
        <f>=X103-T103-U103-V103</f>
        <v>14.78</v>
      </c>
      <c r="Z103" s="62">
        <f>=A103-$A$100+1</f>
        <v>3</v>
      </c>
      <c r="AA103" s="68">
        <f>=P103/10000*K103*Z103</f>
        <v>119.025</v>
      </c>
      <c r="AB103" s="62">
        <f>=Q103*Z103</f>
        <v>476430</v>
      </c>
      <c r="AC103" t="s">
        <v>44</v>
      </c>
    </row>
    <row r="104" spans="1:29">
      <c r="A104" s="67">
        <v>46033</v>
      </c>
      <c r="B104" s="62" t="s">
        <v>37</v>
      </c>
      <c r="C104" s="62" t="s"/>
      <c r="D104" s="63" t="s">
        <v>38</v>
      </c>
      <c r="E104" s="62" t="s">
        <v>39</v>
      </c>
      <c r="F104" s="62" t="s">
        <v>40</v>
      </c>
      <c r="G104" s="64" t="s">
        <v>80</v>
      </c>
      <c r="H104" s="64" t="s">
        <v>101</v>
      </c>
      <c r="I104" s="65" t="s">
        <v>47</v>
      </c>
      <c r="J104" s="62">
        <v>2</v>
      </c>
      <c r="K104" s="62">
        <v>2.5</v>
      </c>
      <c r="L104" s="62" t="s"/>
      <c r="M104" s="62" t="s"/>
      <c r="N104" s="62" t="s"/>
      <c r="O104" s="62">
        <v>147790</v>
      </c>
      <c r="P104" s="62">
        <v>147600</v>
      </c>
      <c r="Q104" s="62">
        <v>147790</v>
      </c>
      <c r="R104" s="62" t="s"/>
      <c r="S104" s="62" t="s"/>
      <c r="T104" s="68">
        <f>=P104/10000*J104*Z104</f>
        <v>147.6</v>
      </c>
      <c r="U104" s="62">
        <v>0</v>
      </c>
      <c r="V104" s="68" t="s"/>
      <c r="W104" s="68" t="s"/>
      <c r="X104" s="68">
        <f>=O104-P104</f>
        <v>190</v>
      </c>
      <c r="Y104" s="68">
        <f>=X104-T104-U104-V104</f>
        <v>42.4</v>
      </c>
      <c r="Z104" s="62">
        <f>=A104-$A$98+1</f>
        <v>5</v>
      </c>
      <c r="AA104" s="68">
        <f>=P104/10000*K104*Z104</f>
        <v>184.5</v>
      </c>
      <c r="AB104" s="62">
        <f>=Q104*Z104</f>
        <v>738950</v>
      </c>
      <c r="AC104" t="s">
        <v>44</v>
      </c>
    </row>
    <row r="105" spans="1:29">
      <c r="A105" s="67">
        <v>46033</v>
      </c>
      <c r="B105" s="62" t="s">
        <v>37</v>
      </c>
      <c r="C105" s="62" t="s"/>
      <c r="D105" s="63" t="s">
        <v>38</v>
      </c>
      <c r="E105" s="62" t="s">
        <v>39</v>
      </c>
      <c r="F105" s="62" t="s">
        <v>40</v>
      </c>
      <c r="G105" s="64" t="s">
        <v>80</v>
      </c>
      <c r="H105" s="64" t="s">
        <v>78</v>
      </c>
      <c r="I105" s="65" t="s">
        <v>47</v>
      </c>
      <c r="J105" s="62">
        <v>2</v>
      </c>
      <c r="K105" s="62">
        <v>2.5</v>
      </c>
      <c r="L105" s="62" t="s"/>
      <c r="M105" s="62" t="s"/>
      <c r="N105" s="62" t="s"/>
      <c r="O105" s="62">
        <v>260737.5</v>
      </c>
      <c r="P105" s="62">
        <v>255000</v>
      </c>
      <c r="Q105" s="62">
        <v>260737.5</v>
      </c>
      <c r="R105" s="62" t="s"/>
      <c r="S105" s="62" t="s"/>
      <c r="T105" s="68">
        <f>=P105/10000*J105*Z105</f>
        <v>4641</v>
      </c>
      <c r="U105" s="62">
        <v>0</v>
      </c>
      <c r="V105" s="68" t="s"/>
      <c r="W105" s="68" t="s"/>
      <c r="X105" s="68">
        <f>=O105-P105</f>
        <v>5737.5</v>
      </c>
      <c r="Y105" s="68">
        <f>=X105-T105-U105-V105</f>
        <v>1096.5</v>
      </c>
      <c r="Z105" s="62">
        <f>=A105-$A$49+1</f>
        <v>91</v>
      </c>
      <c r="AA105" s="68">
        <f>=P105/10000*K105*Z105</f>
        <v>5801.25</v>
      </c>
      <c r="AB105" s="62">
        <f>=Q105*Z105</f>
        <v>23727112.5</v>
      </c>
      <c r="AC105" t="s">
        <v>44</v>
      </c>
    </row>
    <row r="106" spans="1:29">
      <c r="A106" s="67">
        <v>46034</v>
      </c>
      <c r="B106" s="62" t="s">
        <v>37</v>
      </c>
      <c r="C106" s="62" t="s"/>
      <c r="D106" s="63" t="s">
        <v>38</v>
      </c>
      <c r="E106" s="62" t="s">
        <v>39</v>
      </c>
      <c r="F106" s="62" t="s">
        <v>40</v>
      </c>
      <c r="G106" s="64" t="s">
        <v>80</v>
      </c>
      <c r="H106" s="64" t="s">
        <v>102</v>
      </c>
      <c r="I106" s="65" t="s">
        <v>47</v>
      </c>
      <c r="J106" s="62">
        <v>2</v>
      </c>
      <c r="K106" s="62">
        <v>2.5</v>
      </c>
      <c r="L106" s="62" t="s"/>
      <c r="M106" s="62" t="s"/>
      <c r="N106" s="62" t="s"/>
      <c r="O106" s="62">
        <v>273988</v>
      </c>
      <c r="P106" s="62">
        <v>273740</v>
      </c>
      <c r="Q106" s="62">
        <v>273988</v>
      </c>
      <c r="R106" s="62" t="s"/>
      <c r="S106" s="62" t="s"/>
      <c r="T106" s="68">
        <f>=P106/10000*J106*Z106</f>
        <v>218.992</v>
      </c>
      <c r="U106" s="62">
        <v>0</v>
      </c>
      <c r="V106" s="68" t="s"/>
      <c r="W106" s="68" t="s"/>
      <c r="X106" s="68">
        <f>=O106-P106</f>
        <v>248</v>
      </c>
      <c r="Y106" s="68">
        <f>=X106-T106-U106-V106</f>
        <v>29.008</v>
      </c>
      <c r="Z106" s="62">
        <f>=A106-$A$100+1</f>
        <v>4</v>
      </c>
      <c r="AA106" s="68">
        <f>=P106/10000*K106*Z106</f>
        <v>273.74</v>
      </c>
      <c r="AB106" s="62">
        <f>=Q106*Z106</f>
        <v>1095952</v>
      </c>
      <c r="AC106" t="s">
        <v>44</v>
      </c>
    </row>
    <row r="107" spans="1:29">
      <c r="A107" s="61">
        <v>46036</v>
      </c>
      <c r="B107" s="62" t="s">
        <v>37</v>
      </c>
      <c r="C107" s="62" t="s"/>
      <c r="D107" s="63" t="s">
        <v>38</v>
      </c>
      <c r="E107" s="62" t="s">
        <v>39</v>
      </c>
      <c r="F107" s="62" t="s">
        <v>40</v>
      </c>
      <c r="G107" s="64" t="s">
        <v>77</v>
      </c>
      <c r="H107" s="62" t="s">
        <v>103</v>
      </c>
      <c r="I107" s="65" t="s">
        <v>43</v>
      </c>
      <c r="J107" s="62">
        <v>2</v>
      </c>
      <c r="K107" s="62">
        <v>2.5</v>
      </c>
      <c r="L107" s="62" t="s"/>
      <c r="M107" s="66">
        <v>891000</v>
      </c>
      <c r="N107" s="62" t="s"/>
      <c r="O107" s="62" t="s"/>
      <c r="P107" s="62" t="s"/>
      <c r="Q107" s="62" t="s"/>
      <c r="R107" s="62" t="s"/>
      <c r="S107" s="62" t="s"/>
      <c r="T107" s="62" t="s"/>
      <c r="U107" s="62" t="s"/>
      <c r="V107" s="62" t="s"/>
      <c r="W107" s="62" t="s"/>
      <c r="X107" s="62" t="s"/>
      <c r="Y107" s="62" t="s"/>
      <c r="Z107" s="62" t="s"/>
      <c r="AA107" s="62" t="s"/>
      <c r="AB107" s="62" t="s"/>
      <c r="AC107" t="s">
        <v>44</v>
      </c>
    </row>
    <row r="108" spans="1:29">
      <c r="A108" s="63">
        <v>46037</v>
      </c>
      <c r="B108" s="62" t="s">
        <v>37</v>
      </c>
      <c r="C108" s="62" t="s"/>
      <c r="D108" s="62" t="s">
        <v>38</v>
      </c>
      <c r="E108" s="62" t="s">
        <v>48</v>
      </c>
      <c r="F108" s="62" t="s">
        <v>49</v>
      </c>
      <c r="G108" s="64" t="s">
        <v>52</v>
      </c>
      <c r="H108" s="64" t="s">
        <v>69</v>
      </c>
      <c r="I108" s="65" t="s">
        <v>47</v>
      </c>
      <c r="J108" s="62">
        <v>2</v>
      </c>
      <c r="K108" s="62">
        <v>3</v>
      </c>
      <c r="L108" s="62" t="s"/>
      <c r="M108" s="62" t="s"/>
      <c r="N108" s="62" t="s"/>
      <c r="O108" s="62">
        <v>28262</v>
      </c>
      <c r="P108" s="62">
        <v>26864</v>
      </c>
      <c r="Q108" s="62">
        <v>28262</v>
      </c>
      <c r="R108" s="62" t="s"/>
      <c r="S108" s="62" t="s"/>
      <c r="T108" s="68">
        <f>=P108/10000*J108*Z108</f>
        <v>929.4944</v>
      </c>
      <c r="U108" s="62">
        <v>0</v>
      </c>
      <c r="V108" s="68" t="s"/>
      <c r="W108" s="68" t="s"/>
      <c r="X108" s="68">
        <f>=O108-P108</f>
        <v>1398</v>
      </c>
      <c r="Y108" s="68">
        <f>=X108-T108-U108-V108</f>
        <v>468.5056</v>
      </c>
      <c r="Z108" s="62">
        <f>=A108-$A$24+1</f>
        <v>173</v>
      </c>
      <c r="AA108" s="68">
        <f>=P108/10000*K108*Z108</f>
        <v>1394.2416</v>
      </c>
      <c r="AB108" s="62">
        <f>=Q108*Z108</f>
        <v>4889326</v>
      </c>
      <c r="AC108" t="s">
        <v>44</v>
      </c>
    </row>
    <row r="109" spans="1:29">
      <c r="A109" s="63">
        <v>46037</v>
      </c>
      <c r="B109" s="62" t="s">
        <v>37</v>
      </c>
      <c r="C109" s="62" t="s"/>
      <c r="D109" s="62" t="s">
        <v>38</v>
      </c>
      <c r="E109" s="70" t="s">
        <v>54</v>
      </c>
      <c r="F109" s="62" t="s">
        <v>55</v>
      </c>
      <c r="G109" s="64" t="s">
        <v>93</v>
      </c>
      <c r="H109" s="63" t="s">
        <v>104</v>
      </c>
      <c r="I109" s="65" t="s">
        <v>43</v>
      </c>
      <c r="J109" s="62">
        <v>2</v>
      </c>
      <c r="K109" s="62">
        <v>2.5</v>
      </c>
      <c r="L109" s="62" t="s"/>
      <c r="M109" s="62">
        <v>2714000</v>
      </c>
      <c r="N109" s="62" t="s"/>
      <c r="O109" s="62" t="s"/>
      <c r="P109" s="62" t="s"/>
      <c r="Q109" s="62" t="s"/>
      <c r="R109" s="62" t="s"/>
      <c r="S109" s="62" t="s"/>
      <c r="T109" s="62" t="s"/>
      <c r="U109" s="62" t="s"/>
      <c r="V109" s="62" t="s"/>
      <c r="W109" s="62" t="s"/>
      <c r="X109" s="62" t="s"/>
      <c r="Y109" s="62" t="s"/>
      <c r="Z109" s="62" t="s"/>
      <c r="AA109" s="62" t="s"/>
      <c r="AB109" s="62" t="s"/>
      <c r="AC109" t="s">
        <v>44</v>
      </c>
    </row>
    <row r="110" spans="1:29">
      <c r="A110" s="61">
        <v>46037</v>
      </c>
      <c r="B110" s="62" t="s">
        <v>37</v>
      </c>
      <c r="C110" s="62" t="s"/>
      <c r="D110" s="63" t="s">
        <v>38</v>
      </c>
      <c r="E110" s="62" t="s">
        <v>39</v>
      </c>
      <c r="F110" s="62" t="s">
        <v>40</v>
      </c>
      <c r="G110" s="64" t="s">
        <v>77</v>
      </c>
      <c r="H110" s="62" t="s">
        <v>105</v>
      </c>
      <c r="I110" s="65" t="s">
        <v>43</v>
      </c>
      <c r="J110" s="62">
        <v>2</v>
      </c>
      <c r="K110" s="62">
        <v>2.5</v>
      </c>
      <c r="L110" s="62" t="s"/>
      <c r="M110" s="66">
        <v>558675</v>
      </c>
      <c r="N110" s="62" t="s"/>
      <c r="O110" s="62" t="s"/>
      <c r="P110" s="62" t="s"/>
      <c r="Q110" s="62" t="s"/>
      <c r="R110" s="62" t="s"/>
      <c r="S110" s="62" t="s"/>
      <c r="T110" s="62" t="s"/>
      <c r="U110" s="62" t="s"/>
      <c r="V110" s="62" t="s"/>
      <c r="W110" s="62" t="s"/>
      <c r="X110" s="62" t="s"/>
      <c r="Y110" s="62" t="s"/>
      <c r="Z110" s="62" t="s"/>
      <c r="AA110" s="62" t="s"/>
      <c r="AB110" s="62" t="s"/>
      <c r="AC110" t="s">
        <v>44</v>
      </c>
    </row>
    <row r="111" spans="1:29">
      <c r="A111" s="63">
        <v>46038</v>
      </c>
      <c r="B111" s="62" t="s">
        <v>37</v>
      </c>
      <c r="C111" s="62" t="s"/>
      <c r="D111" s="62" t="s">
        <v>38</v>
      </c>
      <c r="E111" s="62" t="s">
        <v>48</v>
      </c>
      <c r="F111" s="62" t="s">
        <v>73</v>
      </c>
      <c r="G111" s="64" t="s">
        <v>74</v>
      </c>
      <c r="H111" s="64" t="s">
        <v>90</v>
      </c>
      <c r="I111" s="65" t="s">
        <v>47</v>
      </c>
      <c r="J111" s="62">
        <v>2</v>
      </c>
      <c r="K111" s="62">
        <v>2.5</v>
      </c>
      <c r="L111" s="62" t="s"/>
      <c r="M111" s="62" t="s"/>
      <c r="N111" s="62" t="s"/>
      <c r="O111" s="62">
        <v>475500</v>
      </c>
      <c r="P111" s="62">
        <v>469000</v>
      </c>
      <c r="Q111" s="62">
        <v>475500</v>
      </c>
      <c r="R111" s="62" t="s"/>
      <c r="S111" s="62" t="s"/>
      <c r="T111" s="68">
        <f>=P111/10000*J111*Z111</f>
        <v>4690</v>
      </c>
      <c r="U111" s="62">
        <v>0</v>
      </c>
      <c r="V111" s="68" t="s"/>
      <c r="W111" s="68" t="s"/>
      <c r="X111" s="68">
        <f>=O111-P111</f>
        <v>6500</v>
      </c>
      <c r="Y111" s="68">
        <f>=X111-T111-U111-V111</f>
        <v>1810</v>
      </c>
      <c r="Z111" s="62">
        <f>=A111-$A$63+1</f>
        <v>50</v>
      </c>
      <c r="AA111" s="68">
        <f>=P111/10000*K111*Z111</f>
        <v>5862.5</v>
      </c>
      <c r="AB111" s="62">
        <f>=Q111*Z111</f>
        <v>23775000</v>
      </c>
      <c r="AC111" t="s">
        <v>44</v>
      </c>
    </row>
    <row r="112" spans="1:29">
      <c r="A112" s="63">
        <v>46041</v>
      </c>
      <c r="B112" s="62" t="s">
        <v>37</v>
      </c>
      <c r="C112" s="62" t="s"/>
      <c r="D112" s="62" t="s">
        <v>38</v>
      </c>
      <c r="E112" s="62" t="s">
        <v>48</v>
      </c>
      <c r="F112" s="62" t="s">
        <v>81</v>
      </c>
      <c r="G112" s="64" t="s">
        <v>84</v>
      </c>
      <c r="H112" s="64" t="s">
        <v>92</v>
      </c>
      <c r="I112" s="72" t="s">
        <v>47</v>
      </c>
      <c r="J112" s="62">
        <v>2</v>
      </c>
      <c r="K112" s="62">
        <v>2.5</v>
      </c>
      <c r="L112" s="62" t="s"/>
      <c r="M112" s="62" t="s"/>
      <c r="N112" s="62" t="s"/>
      <c r="O112" s="68">
        <v>123028.8</v>
      </c>
      <c r="P112" s="62">
        <v>121600</v>
      </c>
      <c r="Q112" s="62">
        <v>123028.8</v>
      </c>
      <c r="R112" s="62" t="s"/>
      <c r="S112" s="62" t="s"/>
      <c r="T112" s="68">
        <f>=P112/10000*J112*Z112</f>
        <v>1167.36</v>
      </c>
      <c r="U112" s="62">
        <v>0</v>
      </c>
      <c r="V112" s="68" t="s"/>
      <c r="W112" s="68" t="s"/>
      <c r="X112" s="68">
        <f>=O112-P112</f>
        <v>1428.8</v>
      </c>
      <c r="Y112" s="68">
        <f>=X112-T112-U112-V112</f>
        <v>261.440000000003</v>
      </c>
      <c r="Z112" s="62">
        <f>=A112-$A$65+1</f>
        <v>48</v>
      </c>
      <c r="AA112" s="68">
        <f>=P112/10000*K112*Z112</f>
        <v>1459.2</v>
      </c>
      <c r="AB112" s="62">
        <f>=Q112*Z112</f>
        <v>5905382.4</v>
      </c>
      <c r="AC112" t="s">
        <v>44</v>
      </c>
    </row>
    <row r="113" spans="1:29">
      <c r="A113" s="67">
        <v>46041</v>
      </c>
      <c r="B113" s="62" t="s">
        <v>37</v>
      </c>
      <c r="C113" s="62" t="s"/>
      <c r="D113" s="63" t="s">
        <v>38</v>
      </c>
      <c r="E113" s="62" t="s">
        <v>39</v>
      </c>
      <c r="F113" s="62" t="s">
        <v>40</v>
      </c>
      <c r="G113" s="64" t="s">
        <v>80</v>
      </c>
      <c r="H113" s="64" t="s">
        <v>105</v>
      </c>
      <c r="I113" s="65" t="s">
        <v>47</v>
      </c>
      <c r="J113" s="62">
        <v>2</v>
      </c>
      <c r="K113" s="62">
        <v>2.5</v>
      </c>
      <c r="L113" s="62" t="s"/>
      <c r="M113" s="62" t="s"/>
      <c r="N113" s="62" t="s"/>
      <c r="O113" s="62">
        <v>17796</v>
      </c>
      <c r="P113" s="62">
        <v>17750</v>
      </c>
      <c r="Q113" s="62">
        <v>17796</v>
      </c>
      <c r="R113" s="62" t="s"/>
      <c r="S113" s="62" t="s"/>
      <c r="T113" s="68">
        <f>=P113/10000*J113*Z113</f>
        <v>17.75</v>
      </c>
      <c r="U113" s="62">
        <v>0</v>
      </c>
      <c r="V113" s="68" t="s"/>
      <c r="W113" s="68" t="s"/>
      <c r="X113" s="68">
        <f>=O113-P113</f>
        <v>46</v>
      </c>
      <c r="Y113" s="68">
        <f>=X113-T113-U113-V113</f>
        <v>28.25</v>
      </c>
      <c r="Z113" s="62">
        <f>=A113-$A$110+1</f>
        <v>5</v>
      </c>
      <c r="AA113" s="68">
        <f>=P113/10000*K113*Z113</f>
        <v>22.1875</v>
      </c>
      <c r="AB113" s="62">
        <f>=Q113*Z113</f>
        <v>88980</v>
      </c>
      <c r="AC113" t="s">
        <v>44</v>
      </c>
    </row>
    <row r="114" spans="1:29">
      <c r="A114" s="67">
        <v>46041</v>
      </c>
      <c r="B114" s="62" t="s">
        <v>37</v>
      </c>
      <c r="C114" s="62" t="s"/>
      <c r="D114" s="63" t="s">
        <v>38</v>
      </c>
      <c r="E114" s="62" t="s">
        <v>39</v>
      </c>
      <c r="F114" s="62" t="s">
        <v>40</v>
      </c>
      <c r="G114" s="64" t="s">
        <v>80</v>
      </c>
      <c r="H114" s="64" t="s">
        <v>102</v>
      </c>
      <c r="I114" s="65" t="s">
        <v>47</v>
      </c>
      <c r="J114" s="62">
        <v>2</v>
      </c>
      <c r="K114" s="62">
        <v>2.5</v>
      </c>
      <c r="L114" s="62" t="s"/>
      <c r="M114" s="62" t="s"/>
      <c r="N114" s="62" t="s"/>
      <c r="O114" s="62">
        <v>63680</v>
      </c>
      <c r="P114" s="62">
        <v>63520</v>
      </c>
      <c r="Q114" s="62">
        <v>63680</v>
      </c>
      <c r="R114" s="62" t="s"/>
      <c r="S114" s="62" t="s"/>
      <c r="T114" s="68">
        <f>=P114/10000*J114*Z114</f>
        <v>139.744</v>
      </c>
      <c r="U114" s="62">
        <v>0</v>
      </c>
      <c r="V114" s="68" t="s"/>
      <c r="W114" s="68" t="s"/>
      <c r="X114" s="68">
        <f>=O114-P114</f>
        <v>160</v>
      </c>
      <c r="Y114" s="68">
        <f>=X114-T114-U114-V114</f>
        <v>20.256</v>
      </c>
      <c r="Z114" s="62">
        <f>=A114-$A$100+1</f>
        <v>11</v>
      </c>
      <c r="AA114" s="68">
        <f>=P114/10000*K114*Z114</f>
        <v>174.68</v>
      </c>
      <c r="AB114" s="62">
        <f>=Q114*Z114</f>
        <v>700480</v>
      </c>
      <c r="AC114" t="s">
        <v>44</v>
      </c>
    </row>
    <row r="115" spans="1:29">
      <c r="A115" s="67">
        <v>46041</v>
      </c>
      <c r="B115" s="62" t="s">
        <v>37</v>
      </c>
      <c r="C115" s="62" t="s"/>
      <c r="D115" s="63" t="s">
        <v>38</v>
      </c>
      <c r="E115" s="62" t="s">
        <v>39</v>
      </c>
      <c r="F115" s="62" t="s">
        <v>40</v>
      </c>
      <c r="G115" s="64" t="s">
        <v>80</v>
      </c>
      <c r="H115" s="64" t="s">
        <v>78</v>
      </c>
      <c r="I115" s="65" t="s">
        <v>47</v>
      </c>
      <c r="J115" s="62">
        <v>2</v>
      </c>
      <c r="K115" s="62">
        <v>2.5</v>
      </c>
      <c r="L115" s="62" t="s"/>
      <c r="M115" s="62" t="s"/>
      <c r="N115" s="62" t="s"/>
      <c r="O115" s="62">
        <v>522300</v>
      </c>
      <c r="P115" s="66">
        <v>510000</v>
      </c>
      <c r="Q115" s="62">
        <v>522300</v>
      </c>
      <c r="R115" s="62" t="s"/>
      <c r="S115" s="62" t="s"/>
      <c r="T115" s="68">
        <f>=P115/10000*J115*Z115</f>
        <v>10098</v>
      </c>
      <c r="U115" s="62">
        <v>0</v>
      </c>
      <c r="V115" s="68" t="s"/>
      <c r="W115" s="68" t="s"/>
      <c r="X115" s="68">
        <f>=O115-P115</f>
        <v>12300</v>
      </c>
      <c r="Y115" s="68">
        <f>=X115-T115-U115-V115</f>
        <v>2202</v>
      </c>
      <c r="Z115" s="62">
        <f>=A115-$A$49+1</f>
        <v>99</v>
      </c>
      <c r="AA115" s="68">
        <f>=P115/10000*K115*Z115</f>
        <v>12622.5</v>
      </c>
      <c r="AB115" s="62">
        <f>=Q115*Z115</f>
        <v>51707700</v>
      </c>
      <c r="AC115" t="s">
        <v>44</v>
      </c>
    </row>
    <row r="116" spans="1:29">
      <c r="A116" s="63">
        <v>46042</v>
      </c>
      <c r="B116" s="62" t="s">
        <v>37</v>
      </c>
      <c r="C116" s="62" t="s"/>
      <c r="D116" s="62" t="s">
        <v>38</v>
      </c>
      <c r="E116" s="70" t="s">
        <v>54</v>
      </c>
      <c r="F116" s="62" t="s">
        <v>55</v>
      </c>
      <c r="G116" s="64" t="s">
        <v>93</v>
      </c>
      <c r="H116" s="63" t="s">
        <v>106</v>
      </c>
      <c r="I116" s="65" t="s">
        <v>43</v>
      </c>
      <c r="J116" s="62">
        <v>2</v>
      </c>
      <c r="K116" s="62">
        <v>2.5</v>
      </c>
      <c r="L116" s="62" t="s"/>
      <c r="M116" s="62">
        <v>2817200</v>
      </c>
      <c r="N116" s="62" t="s"/>
      <c r="O116" s="91" t="s"/>
      <c r="P116" s="62" t="s"/>
      <c r="Q116" s="62" t="s"/>
      <c r="R116" s="62" t="s"/>
      <c r="S116" s="62" t="s"/>
      <c r="T116" s="62" t="s"/>
      <c r="U116" s="62" t="s"/>
      <c r="V116" s="62" t="s"/>
      <c r="W116" s="62" t="s"/>
      <c r="X116" s="62" t="s"/>
      <c r="Y116" s="62" t="s"/>
      <c r="Z116" s="62" t="s"/>
      <c r="AA116" s="62" t="s"/>
      <c r="AB116" s="62" t="s"/>
      <c r="AC116" t="s">
        <v>44</v>
      </c>
    </row>
    <row r="117" spans="1:29">
      <c r="A117" s="63">
        <v>46042</v>
      </c>
      <c r="B117" s="62" t="s">
        <v>37</v>
      </c>
      <c r="C117" s="62" t="s"/>
      <c r="D117" s="62" t="s">
        <v>38</v>
      </c>
      <c r="E117" s="70" t="s">
        <v>54</v>
      </c>
      <c r="F117" s="62" t="s">
        <v>55</v>
      </c>
      <c r="G117" s="64" t="s">
        <v>100</v>
      </c>
      <c r="H117" s="64" t="s">
        <v>99</v>
      </c>
      <c r="I117" s="72" t="s">
        <v>47</v>
      </c>
      <c r="J117" s="62">
        <v>2</v>
      </c>
      <c r="K117" s="62">
        <v>2.6</v>
      </c>
      <c r="L117" s="62" t="s"/>
      <c r="M117" s="62" t="s"/>
      <c r="N117" s="62" t="s"/>
      <c r="O117" s="91">
        <v>331500</v>
      </c>
      <c r="P117" s="62">
        <v>329900</v>
      </c>
      <c r="Q117" s="91">
        <v>331500</v>
      </c>
      <c r="R117" s="62" t="s"/>
      <c r="S117" s="62" t="s"/>
      <c r="T117" s="68">
        <f>=P117/10000*J117*Z117</f>
        <v>1187.64</v>
      </c>
      <c r="U117" s="62">
        <v>150</v>
      </c>
      <c r="V117" s="68" t="s"/>
      <c r="W117" s="68" t="s"/>
      <c r="X117" s="68">
        <f>=O117-P117</f>
        <v>1600</v>
      </c>
      <c r="Y117" s="68">
        <f>=X117-T117-U117-V117</f>
        <v>262.36</v>
      </c>
      <c r="Z117" s="62">
        <f>=A117-$A$93+1</f>
        <v>18</v>
      </c>
      <c r="AA117" s="68">
        <f>=P117/10000*K117*Z117</f>
        <v>1543.932</v>
      </c>
      <c r="AB117" s="62">
        <f>=Q117*Z117</f>
        <v>5967000</v>
      </c>
      <c r="AC117" t="s">
        <v>44</v>
      </c>
    </row>
    <row r="118" spans="1:29">
      <c r="A118" s="63">
        <v>46043</v>
      </c>
      <c r="B118" s="62" t="s">
        <v>37</v>
      </c>
      <c r="C118" s="62" t="s"/>
      <c r="D118" s="62" t="s">
        <v>38</v>
      </c>
      <c r="E118" s="62" t="s">
        <v>48</v>
      </c>
      <c r="F118" s="62" t="s">
        <v>81</v>
      </c>
      <c r="G118" s="64" t="s">
        <v>84</v>
      </c>
      <c r="H118" s="64" t="s">
        <v>92</v>
      </c>
      <c r="I118" s="72" t="s">
        <v>47</v>
      </c>
      <c r="J118" s="62">
        <v>2</v>
      </c>
      <c r="K118" s="62">
        <v>2.5</v>
      </c>
      <c r="L118" s="62" t="s"/>
      <c r="M118" s="62" t="s"/>
      <c r="N118" s="62" t="s"/>
      <c r="O118" s="68">
        <v>262375.2</v>
      </c>
      <c r="P118" s="62">
        <v>259200</v>
      </c>
      <c r="Q118" s="62">
        <v>262375.2</v>
      </c>
      <c r="R118" s="62" t="s"/>
      <c r="S118" s="62" t="s"/>
      <c r="T118" s="68">
        <f>=P118/10000*J118*Z118</f>
        <v>2592</v>
      </c>
      <c r="U118" s="62">
        <v>0</v>
      </c>
      <c r="V118" s="68" t="s"/>
      <c r="W118" s="68" t="s"/>
      <c r="X118" s="68">
        <f>=O118-P118</f>
        <v>3175.20000000001</v>
      </c>
      <c r="Y118" s="68">
        <f>=X118-T118-U118-V118</f>
        <v>583.200000000012</v>
      </c>
      <c r="Z118" s="62">
        <f>=A118-$A$65+1</f>
        <v>50</v>
      </c>
      <c r="AA118" s="68">
        <f>=P118/10000*K118*Z118</f>
        <v>3240</v>
      </c>
      <c r="AB118" s="62">
        <f>=Q118*Z118</f>
        <v>13118760</v>
      </c>
      <c r="AC118" t="s">
        <v>44</v>
      </c>
    </row>
    <row r="119" spans="1:29">
      <c r="A119" s="63">
        <v>46043</v>
      </c>
      <c r="B119" s="62" t="s">
        <v>37</v>
      </c>
      <c r="C119" s="62" t="s"/>
      <c r="D119" s="62" t="s">
        <v>38</v>
      </c>
      <c r="E119" s="62" t="s">
        <v>48</v>
      </c>
      <c r="F119" s="62" t="s">
        <v>73</v>
      </c>
      <c r="G119" s="64" t="s">
        <v>74</v>
      </c>
      <c r="H119" s="64" t="s">
        <v>90</v>
      </c>
      <c r="I119" s="65" t="s">
        <v>47</v>
      </c>
      <c r="J119" s="62">
        <v>2</v>
      </c>
      <c r="K119" s="62">
        <v>2.5</v>
      </c>
      <c r="L119" s="62" t="s"/>
      <c r="M119" s="62" t="s"/>
      <c r="N119" s="62" t="s"/>
      <c r="O119" s="62">
        <v>476000</v>
      </c>
      <c r="P119" s="62">
        <v>469000</v>
      </c>
      <c r="Q119" s="62">
        <v>476000</v>
      </c>
      <c r="R119" s="62" t="s"/>
      <c r="S119" s="62" t="s"/>
      <c r="T119" s="68">
        <f>=P119/10000*J119*Z119</f>
        <v>5159</v>
      </c>
      <c r="U119" s="62">
        <v>0</v>
      </c>
      <c r="V119" s="68" t="s"/>
      <c r="W119" s="68" t="s"/>
      <c r="X119" s="68">
        <f>=O119-P119</f>
        <v>7000</v>
      </c>
      <c r="Y119" s="68">
        <f>=X119-T119-U119-V119</f>
        <v>1841</v>
      </c>
      <c r="Z119" s="62">
        <f>=A119-$A$63+1</f>
        <v>55</v>
      </c>
      <c r="AA119" s="68">
        <f>=P119/10000*K119*Z119</f>
        <v>6448.75</v>
      </c>
      <c r="AB119" s="62">
        <f>=Q119*Z119</f>
        <v>26180000</v>
      </c>
      <c r="AC119" t="s">
        <v>44</v>
      </c>
    </row>
    <row r="120" spans="1:29" ht="15.75" customHeight="true">
      <c r="A120" s="63">
        <v>46047</v>
      </c>
      <c r="B120" s="62" t="s"/>
      <c r="C120" s="62" t="s"/>
      <c r="D120" s="62" t="s">
        <v>38</v>
      </c>
      <c r="E120" s="62" t="s">
        <v>48</v>
      </c>
      <c r="F120" s="62" t="s">
        <v>49</v>
      </c>
      <c r="G120" s="71" t="s">
        <v>107</v>
      </c>
      <c r="H120" s="92" t="s">
        <v>62</v>
      </c>
      <c r="I120" s="72" t="s">
        <v>47</v>
      </c>
      <c r="J120" s="62">
        <v>2</v>
      </c>
      <c r="K120" s="62">
        <v>3</v>
      </c>
      <c r="L120" s="62" t="s"/>
      <c r="M120" s="62" t="s"/>
      <c r="N120" s="62" t="s"/>
      <c r="O120" s="62">
        <v>506800</v>
      </c>
      <c r="P120" s="62">
        <v>478800</v>
      </c>
      <c r="Q120" s="62">
        <v>506800</v>
      </c>
      <c r="R120" s="62" t="s"/>
      <c r="S120" s="62" t="s"/>
      <c r="T120" s="68">
        <f>=P120/10000*J120*Z120</f>
        <v>18481.68</v>
      </c>
      <c r="U120" s="62">
        <v>0</v>
      </c>
      <c r="V120" s="68" t="s"/>
      <c r="W120" s="68" t="s"/>
      <c r="X120" s="68">
        <f>=O120-P120</f>
        <v>28000</v>
      </c>
      <c r="Y120" s="68">
        <f>=X120-T120-U120-V120</f>
        <v>9518.32</v>
      </c>
      <c r="Z120" s="62">
        <f>=A120-$A$20+1</f>
        <v>193</v>
      </c>
      <c r="AA120" s="68">
        <f>=P120/10000*K120*Z120</f>
        <v>27722.52</v>
      </c>
      <c r="AB120" s="62">
        <f>=Q120*Z120</f>
        <v>97812400</v>
      </c>
      <c r="AC120" t="s">
        <v>58</v>
      </c>
    </row>
    <row r="121" spans="1:29">
      <c r="A121" s="63">
        <v>46048</v>
      </c>
      <c r="B121" s="62" t="s">
        <v>37</v>
      </c>
      <c r="C121" s="62" t="s"/>
      <c r="D121" s="62" t="s">
        <v>38</v>
      </c>
      <c r="E121" s="62" t="s">
        <v>48</v>
      </c>
      <c r="F121" s="62" t="s">
        <v>81</v>
      </c>
      <c r="G121" s="64" t="s">
        <v>84</v>
      </c>
      <c r="H121" s="64" t="s">
        <v>92</v>
      </c>
      <c r="I121" s="72" t="s">
        <v>47</v>
      </c>
      <c r="J121" s="62">
        <v>2</v>
      </c>
      <c r="K121" s="62">
        <v>2.5</v>
      </c>
      <c r="L121" s="62" t="s"/>
      <c r="M121" s="62" t="s"/>
      <c r="N121" s="62" t="s"/>
      <c r="O121" s="68">
        <v>123242</v>
      </c>
      <c r="P121" s="62">
        <v>121600</v>
      </c>
      <c r="Q121" s="62">
        <v>123242</v>
      </c>
      <c r="R121" s="62" t="s"/>
      <c r="S121" s="62" t="s"/>
      <c r="T121" s="68">
        <f>=P121/10000*J121*Z121</f>
        <v>1337.6</v>
      </c>
      <c r="U121" s="62">
        <v>0</v>
      </c>
      <c r="V121" s="68" t="s"/>
      <c r="W121" s="68" t="s"/>
      <c r="X121" s="68">
        <f>=O121-P121</f>
        <v>1642</v>
      </c>
      <c r="Y121" s="68">
        <f>=X121-T121-U121-V121</f>
        <v>304.4</v>
      </c>
      <c r="Z121" s="62">
        <f>=A121-$A$65+1</f>
        <v>55</v>
      </c>
      <c r="AA121" s="68">
        <f>=P121/10000*K121*Z121</f>
        <v>1672</v>
      </c>
      <c r="AB121" s="62">
        <f>=Q121*Z121</f>
        <v>6778310</v>
      </c>
      <c r="AC121" t="s">
        <v>44</v>
      </c>
    </row>
    <row r="122" spans="1:29">
      <c r="A122" s="63">
        <v>46048</v>
      </c>
      <c r="B122" s="62" t="s">
        <v>37</v>
      </c>
      <c r="C122" s="62" t="s"/>
      <c r="D122" s="62" t="s">
        <v>38</v>
      </c>
      <c r="E122" s="62" t="s">
        <v>48</v>
      </c>
      <c r="F122" s="62" t="s">
        <v>81</v>
      </c>
      <c r="G122" s="64" t="s">
        <v>84</v>
      </c>
      <c r="H122" s="64" t="s">
        <v>95</v>
      </c>
      <c r="I122" s="72" t="s">
        <v>47</v>
      </c>
      <c r="J122" s="62">
        <v>2</v>
      </c>
      <c r="K122" s="62">
        <v>2.5</v>
      </c>
      <c r="L122" s="62" t="s"/>
      <c r="M122" s="62" t="s"/>
      <c r="N122" s="62" t="s"/>
      <c r="O122" s="62">
        <v>270350</v>
      </c>
      <c r="P122" s="62">
        <v>268000</v>
      </c>
      <c r="Q122" s="62">
        <v>270350</v>
      </c>
      <c r="R122" s="62" t="s"/>
      <c r="S122" s="62" t="s"/>
      <c r="T122" s="68">
        <f>=P122/10000*J122*Z122</f>
        <v>1929.6</v>
      </c>
      <c r="U122" s="62">
        <v>0</v>
      </c>
      <c r="V122" s="68" t="s"/>
      <c r="W122" s="68" t="s"/>
      <c r="X122" s="68">
        <f>=O122-P122</f>
        <v>2350</v>
      </c>
      <c r="Y122" s="68">
        <f>=X122-T122-U122-V122</f>
        <v>420.4</v>
      </c>
      <c r="Z122" s="62">
        <f>=A122-$A$80+1</f>
        <v>36</v>
      </c>
      <c r="AA122" s="68">
        <f>=P122/10000*K122*Z122</f>
        <v>2412</v>
      </c>
      <c r="AB122" s="62">
        <f>=Q122*Z122</f>
        <v>9732600</v>
      </c>
      <c r="AC122" t="s">
        <v>44</v>
      </c>
    </row>
    <row r="123" spans="1:29">
      <c r="A123" s="67">
        <v>46048</v>
      </c>
      <c r="B123" s="62" t="s">
        <v>37</v>
      </c>
      <c r="C123" s="62" t="s"/>
      <c r="D123" s="63" t="s">
        <v>38</v>
      </c>
      <c r="E123" s="62" t="s">
        <v>39</v>
      </c>
      <c r="F123" s="62" t="s">
        <v>40</v>
      </c>
      <c r="G123" s="64" t="s">
        <v>80</v>
      </c>
      <c r="H123" s="64" t="s">
        <v>102</v>
      </c>
      <c r="I123" s="65" t="s">
        <v>47</v>
      </c>
      <c r="J123" s="62">
        <v>2</v>
      </c>
      <c r="K123" s="62">
        <v>2.5</v>
      </c>
      <c r="L123" s="62" t="s"/>
      <c r="M123" s="62" t="s"/>
      <c r="N123" s="62" t="s"/>
      <c r="O123" s="62">
        <v>65784</v>
      </c>
      <c r="P123" s="62">
        <v>65520</v>
      </c>
      <c r="Q123" s="62">
        <v>65784</v>
      </c>
      <c r="R123" s="62" t="s"/>
      <c r="S123" s="62" t="s"/>
      <c r="T123" s="68">
        <f>=P123/10000*J123*Z123</f>
        <v>235.872</v>
      </c>
      <c r="U123" s="62">
        <v>0</v>
      </c>
      <c r="V123" s="68" t="s"/>
      <c r="W123" s="68" t="s"/>
      <c r="X123" s="68">
        <f>=O123-P123</f>
        <v>264</v>
      </c>
      <c r="Y123" s="68">
        <f>=X123-T123-U123-V123</f>
        <v>28.128</v>
      </c>
      <c r="Z123" s="62">
        <f>=A123-$A$100+1</f>
        <v>18</v>
      </c>
      <c r="AA123" s="68">
        <f>=P123/10000*K123*Z123</f>
        <v>294.84</v>
      </c>
      <c r="AB123" s="62">
        <f>=Q123*Z123</f>
        <v>1184112</v>
      </c>
      <c r="AC123" t="s">
        <v>44</v>
      </c>
    </row>
    <row r="124" spans="1:29">
      <c r="A124" s="67">
        <v>46048</v>
      </c>
      <c r="B124" s="62" t="s">
        <v>37</v>
      </c>
      <c r="C124" s="62" t="s"/>
      <c r="D124" s="63" t="s">
        <v>38</v>
      </c>
      <c r="E124" s="62" t="s">
        <v>39</v>
      </c>
      <c r="F124" s="62" t="s">
        <v>40</v>
      </c>
      <c r="G124" s="64" t="s">
        <v>80</v>
      </c>
      <c r="H124" s="64" t="s">
        <v>78</v>
      </c>
      <c r="I124" s="65" t="s">
        <v>47</v>
      </c>
      <c r="J124" s="62">
        <v>2</v>
      </c>
      <c r="K124" s="62">
        <v>2.5</v>
      </c>
      <c r="L124" s="62" t="s"/>
      <c r="M124" s="62" t="s"/>
      <c r="N124" s="62" t="s"/>
      <c r="O124" s="62">
        <v>507562.2</v>
      </c>
      <c r="P124" s="66">
        <v>494700</v>
      </c>
      <c r="Q124" s="62">
        <v>507562.2</v>
      </c>
      <c r="R124" s="62" t="s"/>
      <c r="S124" s="62" t="s"/>
      <c r="T124" s="68">
        <f>=P124/10000*J124*Z124</f>
        <v>10487.64</v>
      </c>
      <c r="U124" s="62">
        <v>0</v>
      </c>
      <c r="V124" s="68" t="s"/>
      <c r="W124" s="68" t="s"/>
      <c r="X124" s="68">
        <f>=O124-P124</f>
        <v>12862.2</v>
      </c>
      <c r="Y124" s="68">
        <f>=X124-T124-U124-V124</f>
        <v>2374.56000000001</v>
      </c>
      <c r="Z124" s="62">
        <f>=A124-$A$49+1</f>
        <v>106</v>
      </c>
      <c r="AA124" s="68">
        <f>=P124/10000*K124*Z124</f>
        <v>13109.55</v>
      </c>
      <c r="AB124" s="62">
        <f>=Q124*Z124</f>
        <v>53801593.2</v>
      </c>
      <c r="AC124" t="s">
        <v>44</v>
      </c>
    </row>
    <row r="125" spans="1:29">
      <c r="A125" s="67">
        <v>46049</v>
      </c>
      <c r="B125" s="62" t="s">
        <v>37</v>
      </c>
      <c r="C125" s="62" t="s"/>
      <c r="D125" s="63" t="s">
        <v>38</v>
      </c>
      <c r="E125" s="62" t="s">
        <v>39</v>
      </c>
      <c r="F125" s="62" t="s">
        <v>40</v>
      </c>
      <c r="G125" s="64" t="s">
        <v>80</v>
      </c>
      <c r="H125" s="64" t="s">
        <v>102</v>
      </c>
      <c r="I125" s="65" t="s">
        <v>47</v>
      </c>
      <c r="J125" s="62">
        <v>2</v>
      </c>
      <c r="K125" s="62">
        <v>2.5</v>
      </c>
      <c r="L125" s="62" t="s"/>
      <c r="M125" s="62" t="s"/>
      <c r="N125" s="62" t="s"/>
      <c r="O125" s="62">
        <v>133200</v>
      </c>
      <c r="P125" s="62">
        <v>132600</v>
      </c>
      <c r="Q125" s="62">
        <v>133200</v>
      </c>
      <c r="R125" s="62" t="s"/>
      <c r="S125" s="62" t="s"/>
      <c r="T125" s="68">
        <f>=P125/10000*J125*Z125</f>
        <v>503.88</v>
      </c>
      <c r="U125" s="62">
        <v>0</v>
      </c>
      <c r="V125" s="68" t="s"/>
      <c r="W125" s="68" t="s"/>
      <c r="X125" s="68">
        <f>=O125-P125</f>
        <v>600</v>
      </c>
      <c r="Y125" s="68">
        <f>=X125-T125-U125-V125</f>
        <v>96.12</v>
      </c>
      <c r="Z125" s="62">
        <f>=A125-$A$100+1</f>
        <v>19</v>
      </c>
      <c r="AA125" s="68">
        <f>=P125/10000*K125*Z125</f>
        <v>629.85</v>
      </c>
      <c r="AB125" s="62">
        <f>=Q125*Z125</f>
        <v>2530800</v>
      </c>
      <c r="AC125" t="s">
        <v>44</v>
      </c>
    </row>
    <row r="126" spans="1:29">
      <c r="A126" s="67">
        <v>46049</v>
      </c>
      <c r="B126" s="62" t="s">
        <v>37</v>
      </c>
      <c r="C126" s="62" t="s"/>
      <c r="D126" s="63" t="s">
        <v>38</v>
      </c>
      <c r="E126" s="62" t="s">
        <v>39</v>
      </c>
      <c r="F126" s="62" t="s">
        <v>40</v>
      </c>
      <c r="G126" s="64" t="s">
        <v>80</v>
      </c>
      <c r="H126" s="64" t="s">
        <v>101</v>
      </c>
      <c r="I126" s="65" t="s">
        <v>47</v>
      </c>
      <c r="J126" s="62">
        <v>2</v>
      </c>
      <c r="K126" s="62">
        <v>2.5</v>
      </c>
      <c r="L126" s="62" t="s"/>
      <c r="M126" s="62" t="s"/>
      <c r="N126" s="62" t="s"/>
      <c r="O126" s="62">
        <v>157380</v>
      </c>
      <c r="P126" s="62">
        <v>156600</v>
      </c>
      <c r="Q126" s="62">
        <v>157380</v>
      </c>
      <c r="R126" s="62" t="s"/>
      <c r="S126" s="62" t="s"/>
      <c r="T126" s="68">
        <f>=P126/10000*J126*Z126</f>
        <v>657.72</v>
      </c>
      <c r="U126" s="62">
        <v>0</v>
      </c>
      <c r="V126" s="68" t="s"/>
      <c r="W126" s="68" t="s"/>
      <c r="X126" s="68">
        <f>=O126-P126</f>
        <v>780</v>
      </c>
      <c r="Y126" s="68">
        <f>=X126-T126-U126-V126</f>
        <v>122.28</v>
      </c>
      <c r="Z126" s="62">
        <f>=A126-$A$98+1</f>
        <v>21</v>
      </c>
      <c r="AA126" s="68">
        <f>=P126/10000*K126*Z126</f>
        <v>822.15</v>
      </c>
      <c r="AB126" s="62">
        <f>=Q126*Z126</f>
        <v>3304980</v>
      </c>
      <c r="AC126" t="s">
        <v>44</v>
      </c>
    </row>
    <row r="127" spans="1:29">
      <c r="A127" s="63">
        <v>46050</v>
      </c>
      <c r="B127" s="62" t="s">
        <v>37</v>
      </c>
      <c r="C127" s="62" t="s"/>
      <c r="D127" s="62" t="s">
        <v>38</v>
      </c>
      <c r="E127" s="62" t="s">
        <v>85</v>
      </c>
      <c r="F127" s="62" t="s">
        <v>86</v>
      </c>
      <c r="G127" s="64" t="s">
        <v>65</v>
      </c>
      <c r="H127" s="64" t="s">
        <v>89</v>
      </c>
      <c r="I127" s="72" t="s">
        <v>47</v>
      </c>
      <c r="J127" s="62">
        <v>1.46</v>
      </c>
      <c r="K127" s="62">
        <v>2</v>
      </c>
      <c r="L127" s="62" t="s"/>
      <c r="M127" s="62" t="s"/>
      <c r="N127" s="62" t="s"/>
      <c r="O127" s="68">
        <v>661977</v>
      </c>
      <c r="P127" s="62">
        <v>649577.7</v>
      </c>
      <c r="Q127" s="91">
        <v>661977</v>
      </c>
      <c r="R127" s="62" t="s"/>
      <c r="S127" s="62" t="s"/>
      <c r="T127" s="68">
        <f>=P127/10000*J127*Z127</f>
        <v>6543.8457498</v>
      </c>
      <c r="U127" s="62">
        <v>0</v>
      </c>
      <c r="V127" s="68" t="s"/>
      <c r="W127" s="68" t="s"/>
      <c r="X127" s="68">
        <f>=O127-P127</f>
        <v>12399.3</v>
      </c>
      <c r="Y127" s="68">
        <f>=X127-T127-U127-V127</f>
        <v>5855.45425020005</v>
      </c>
      <c r="Z127" s="62">
        <f>=A127-$A$59+1</f>
        <v>69</v>
      </c>
      <c r="AA127" s="68">
        <f>=P127/10000*K127*Z127</f>
        <v>8964.17226</v>
      </c>
      <c r="AB127" s="62">
        <f>=Q127*Z127</f>
        <v>45676413</v>
      </c>
      <c r="AC127" t="s">
        <v>44</v>
      </c>
    </row>
    <row r="128" spans="1:29">
      <c r="A128" s="63">
        <v>46051</v>
      </c>
      <c r="B128" s="62" t="s">
        <v>37</v>
      </c>
      <c r="C128" s="62" t="s"/>
      <c r="D128" s="62" t="s">
        <v>38</v>
      </c>
      <c r="E128" s="62" t="s">
        <v>48</v>
      </c>
      <c r="F128" s="62" t="s">
        <v>73</v>
      </c>
      <c r="G128" s="64" t="s">
        <v>74</v>
      </c>
      <c r="H128" s="64" t="s">
        <v>90</v>
      </c>
      <c r="I128" s="65" t="s">
        <v>47</v>
      </c>
      <c r="J128" s="62">
        <v>2</v>
      </c>
      <c r="K128" s="62">
        <v>2.5</v>
      </c>
      <c r="L128" s="62" t="s"/>
      <c r="M128" s="62" t="s"/>
      <c r="N128" s="62" t="s"/>
      <c r="O128" s="62">
        <v>477000</v>
      </c>
      <c r="P128" s="62">
        <v>469000</v>
      </c>
      <c r="Q128" s="62">
        <v>477000</v>
      </c>
      <c r="R128" s="62" t="s"/>
      <c r="S128" s="62" t="s"/>
      <c r="T128" s="68">
        <f>=P128/10000*J128*Z128</f>
        <v>5909.4</v>
      </c>
      <c r="U128" s="62">
        <v>0</v>
      </c>
      <c r="V128" s="68" t="s"/>
      <c r="W128" s="68" t="s"/>
      <c r="X128" s="68">
        <f>=O128-P128</f>
        <v>8000</v>
      </c>
      <c r="Y128" s="68">
        <f>=X128-T128-U128-V128</f>
        <v>2090.6</v>
      </c>
      <c r="Z128" s="62">
        <f>=A128-$A$63+1</f>
        <v>63</v>
      </c>
      <c r="AA128" s="68">
        <f>=P128/10000*K128*Z128</f>
        <v>7386.75</v>
      </c>
      <c r="AB128" s="62">
        <f>=Q128*Z128</f>
        <v>30051000</v>
      </c>
      <c r="AC128" t="s">
        <v>44</v>
      </c>
    </row>
    <row r="129" spans="1:29">
      <c r="A129" s="61">
        <v>46051</v>
      </c>
      <c r="B129" s="62" t="s">
        <v>37</v>
      </c>
      <c r="C129" s="89" t="s"/>
      <c r="D129" s="62" t="s">
        <v>38</v>
      </c>
      <c r="E129" s="70" t="s">
        <v>54</v>
      </c>
      <c r="F129" s="62" t="s">
        <v>55</v>
      </c>
      <c r="G129" s="71" t="s">
        <v>93</v>
      </c>
      <c r="H129" s="64" t="s">
        <v>106</v>
      </c>
      <c r="I129" s="72" t="s">
        <v>47</v>
      </c>
      <c r="J129" s="62">
        <v>2</v>
      </c>
      <c r="K129" s="62">
        <v>2.5</v>
      </c>
      <c r="O129">
        <v>1207010</v>
      </c>
      <c r="P129">
        <v>1204000</v>
      </c>
      <c r="Q129">
        <v>1207010</v>
      </c>
      <c r="T129" s="68">
        <f>=P129/10000*J129*Z129</f>
        <v>2408</v>
      </c>
      <c r="U129" s="62">
        <v>0</v>
      </c>
      <c r="V129" s="68" t="s"/>
      <c r="W129" s="68" t="s"/>
      <c r="X129" s="68">
        <f>=O129-P129</f>
        <v>3010</v>
      </c>
      <c r="Y129" s="68">
        <f>=X129-T129-U129-V129</f>
        <v>602</v>
      </c>
      <c r="Z129" s="62">
        <f>=A129-$A$116+1</f>
        <v>10</v>
      </c>
      <c r="AA129" s="68">
        <f>=P129/10000*K129*Z129</f>
        <v>3010</v>
      </c>
      <c r="AB129" s="62">
        <f>=Q129*Z129</f>
        <v>12070100</v>
      </c>
      <c r="AC129" t="s">
        <v>44</v>
      </c>
    </row>
    <row r="130" spans="1:29">
      <c r="A130" s="61">
        <v>46052</v>
      </c>
      <c r="B130" s="62" t="s">
        <v>37</v>
      </c>
      <c r="C130" s="89" t="s"/>
      <c r="D130" s="62" t="s">
        <v>38</v>
      </c>
      <c r="E130" s="70" t="s">
        <v>54</v>
      </c>
      <c r="F130" s="62" t="s">
        <v>55</v>
      </c>
      <c r="G130" s="93" t="s">
        <v>93</v>
      </c>
      <c r="H130" s="83" t="s">
        <v>106</v>
      </c>
      <c r="I130" s="72" t="s">
        <v>47</v>
      </c>
      <c r="J130" s="62">
        <v>2</v>
      </c>
      <c r="K130" s="62">
        <v>2.5</v>
      </c>
      <c r="O130">
        <v>534666.3</v>
      </c>
      <c r="P130">
        <v>533200</v>
      </c>
      <c r="Q130">
        <v>534666.3</v>
      </c>
      <c r="T130" s="68">
        <f>=P130/10000*J130*Z130</f>
        <v>1173.04</v>
      </c>
      <c r="U130" s="62">
        <v>0</v>
      </c>
      <c r="V130" s="68" t="s"/>
      <c r="W130" s="68" t="s"/>
      <c r="X130" s="68">
        <f>=O130-P130</f>
        <v>1466.30000000005</v>
      </c>
      <c r="Y130" s="68">
        <f>=X130-T130-U130-V130</f>
        <v>293.260000000047</v>
      </c>
      <c r="Z130" s="62">
        <f>=A130-$A$116+1</f>
        <v>11</v>
      </c>
      <c r="AA130" s="68">
        <f>=P130/10000*K130*Z130</f>
        <v>1466.3</v>
      </c>
      <c r="AB130" s="62">
        <f>=Q130*Z130</f>
        <v>5881329.3</v>
      </c>
      <c r="AC130" t="s">
        <v>44</v>
      </c>
    </row>
    <row r="131" spans="1:29">
      <c r="A131" s="63">
        <v>46052</v>
      </c>
      <c r="B131" s="62" t="s">
        <v>37</v>
      </c>
      <c r="C131" s="62" t="s"/>
      <c r="D131" s="62" t="s">
        <v>38</v>
      </c>
      <c r="E131" s="70" t="s">
        <v>54</v>
      </c>
      <c r="F131" s="62" t="s">
        <v>55</v>
      </c>
      <c r="G131" s="64" t="s">
        <v>100</v>
      </c>
      <c r="H131" s="64" t="s">
        <v>99</v>
      </c>
      <c r="I131" s="72" t="s">
        <v>47</v>
      </c>
      <c r="J131" s="62">
        <v>2</v>
      </c>
      <c r="K131" s="62">
        <v>2.6</v>
      </c>
      <c r="L131" s="62" t="s"/>
      <c r="M131" s="62" t="s"/>
      <c r="N131" s="62" t="s"/>
      <c r="O131" s="91">
        <v>906300</v>
      </c>
      <c r="P131" s="62">
        <v>899700</v>
      </c>
      <c r="Q131" s="91">
        <v>906300</v>
      </c>
      <c r="R131" s="62" t="s"/>
      <c r="S131" s="62" t="s"/>
      <c r="T131" s="68">
        <f>=P131/10000*J131*Z131</f>
        <v>5038.32</v>
      </c>
      <c r="U131" s="62">
        <v>450</v>
      </c>
      <c r="V131" s="68" t="s"/>
      <c r="W131" s="68" t="s"/>
      <c r="X131" s="68">
        <f>=O131-P131</f>
        <v>6600</v>
      </c>
      <c r="Y131" s="68">
        <f>=X131-T131-U131-V131</f>
        <v>1111.68</v>
      </c>
      <c r="Z131" s="62">
        <f>=A131-$A$93+1</f>
        <v>28</v>
      </c>
      <c r="AA131" s="68">
        <f>=P131/10000*K131*Z131</f>
        <v>6549.816</v>
      </c>
      <c r="AB131" s="62">
        <f>=Q131*Z131</f>
        <v>25376400</v>
      </c>
      <c r="AC131" t="s">
        <v>44</v>
      </c>
    </row>
    <row r="132" spans="1:29">
      <c r="A132" s="63">
        <v>46052</v>
      </c>
      <c r="B132" s="62" t="s">
        <v>37</v>
      </c>
      <c r="C132" s="62" t="s"/>
      <c r="D132" s="62" t="s">
        <v>38</v>
      </c>
      <c r="E132" s="70" t="s">
        <v>54</v>
      </c>
      <c r="F132" s="62" t="s">
        <v>55</v>
      </c>
      <c r="G132" s="64" t="s">
        <v>100</v>
      </c>
      <c r="H132" s="64" t="s">
        <v>99</v>
      </c>
      <c r="I132" s="72" t="s">
        <v>47</v>
      </c>
      <c r="J132" s="62">
        <v>2</v>
      </c>
      <c r="K132" s="62">
        <v>2.6</v>
      </c>
      <c r="L132" s="62" t="s"/>
      <c r="M132" s="62" t="s"/>
      <c r="N132" s="62" t="s"/>
      <c r="O132" s="91">
        <v>590058</v>
      </c>
      <c r="P132" s="62">
        <v>585711</v>
      </c>
      <c r="Q132" s="91">
        <v>590058</v>
      </c>
      <c r="R132" s="62" t="s"/>
      <c r="S132" s="90" t="s"/>
      <c r="T132" s="68">
        <f>=P132/10000*J132*Z132</f>
        <v>3279.9816</v>
      </c>
      <c r="U132" s="62">
        <v>283.5</v>
      </c>
      <c r="V132" s="68" t="s"/>
      <c r="W132" s="68" t="s"/>
      <c r="X132" s="68">
        <f>=O132-P132</f>
        <v>4347</v>
      </c>
      <c r="Y132" s="68">
        <f>=X132-T132-U132-V132</f>
        <v>783.5184</v>
      </c>
      <c r="Z132" s="62">
        <f>=A132-$A$93+1</f>
        <v>28</v>
      </c>
      <c r="AA132" s="68">
        <f>=P132/10000*K132*Z132</f>
        <v>4263.97608</v>
      </c>
      <c r="AB132" s="62">
        <f>=Q132*Z132</f>
        <v>16521624</v>
      </c>
      <c r="AC132" t="s">
        <v>44</v>
      </c>
    </row>
    <row r="133" spans="1:29">
      <c r="A133" s="63">
        <v>46052</v>
      </c>
      <c r="B133" s="62" t="s">
        <v>37</v>
      </c>
      <c r="C133" s="62" t="s"/>
      <c r="D133" s="62" t="s">
        <v>38</v>
      </c>
      <c r="E133" s="70" t="s">
        <v>54</v>
      </c>
      <c r="F133" s="62" t="s">
        <v>55</v>
      </c>
      <c r="G133" s="64" t="s">
        <v>100</v>
      </c>
      <c r="H133" s="64" t="s">
        <v>99</v>
      </c>
      <c r="I133" s="72" t="s">
        <v>47</v>
      </c>
      <c r="J133" s="62">
        <v>2</v>
      </c>
      <c r="K133" s="62">
        <v>2.6</v>
      </c>
      <c r="L133" s="62" t="s"/>
      <c r="M133" s="62" t="s"/>
      <c r="N133" s="62" t="s"/>
      <c r="O133" s="91">
        <v>6313700</v>
      </c>
      <c r="P133" s="62">
        <v>6268100</v>
      </c>
      <c r="Q133" s="91">
        <v>5101188.4</v>
      </c>
      <c r="R133" s="62">
        <v>-1212511.65</v>
      </c>
      <c r="S133" s="62" t="s"/>
      <c r="T133" s="68">
        <f>=(P133+R133)/10000*J133*Z133</f>
        <v>28311.29476</v>
      </c>
      <c r="U133" s="62">
        <v>2850</v>
      </c>
      <c r="V133" s="68" t="s"/>
      <c r="W133" s="68" t="s"/>
      <c r="X133" s="68">
        <f>=O133-P133</f>
        <v>45600</v>
      </c>
      <c r="Y133" s="68">
        <f>=X133-T133-U133-V133</f>
        <v>14438.70524</v>
      </c>
      <c r="Z133" s="62">
        <f>=A133-$A$93+1</f>
        <v>28</v>
      </c>
      <c r="AA133" s="68">
        <f>=P133/10000*K133*Z133</f>
        <v>45631.768</v>
      </c>
      <c r="AB133" s="62">
        <f>=Q133*Z133</f>
        <v>142833275.2</v>
      </c>
      <c r="AC133" t="s">
        <v>44</v>
      </c>
    </row>
    <row r="134" spans="1:29">
      <c r="A134" s="63">
        <v>46053</v>
      </c>
      <c r="B134" s="62" t="s">
        <v>37</v>
      </c>
      <c r="C134" s="62" t="s"/>
      <c r="D134" s="62" t="s">
        <v>38</v>
      </c>
      <c r="E134" s="62" t="s">
        <v>48</v>
      </c>
      <c r="F134" s="62" t="s">
        <v>73</v>
      </c>
      <c r="G134" s="64" t="s">
        <v>74</v>
      </c>
      <c r="H134" s="62" t="s">
        <v>108</v>
      </c>
      <c r="I134" s="72" t="s">
        <v>43</v>
      </c>
      <c r="J134" s="62">
        <v>1.46</v>
      </c>
      <c r="K134" s="62">
        <v>2.5</v>
      </c>
      <c r="L134" s="62" t="s"/>
      <c r="M134" s="62">
        <v>1876000</v>
      </c>
      <c r="N134" s="62" t="s"/>
      <c r="O134" s="62" t="s"/>
      <c r="P134" s="62" t="s"/>
      <c r="Q134" s="62" t="s"/>
      <c r="R134" s="62" t="s"/>
      <c r="S134" s="62" t="s"/>
      <c r="T134" s="62" t="s"/>
      <c r="U134" s="62" t="s"/>
      <c r="V134" s="62" t="s"/>
      <c r="W134" s="62" t="s"/>
      <c r="X134" s="62" t="s"/>
      <c r="Y134" s="62" t="s"/>
      <c r="Z134" s="62" t="s"/>
      <c r="AA134" s="62" t="s"/>
      <c r="AB134" s="62" t="s"/>
      <c r="AC134" t="s">
        <v>44</v>
      </c>
    </row>
    <row r="135" spans="1:29">
      <c r="A135" s="67">
        <v>46055</v>
      </c>
      <c r="B135" s="62" t="s">
        <v>37</v>
      </c>
      <c r="C135" s="62" t="s"/>
      <c r="D135" s="63" t="s">
        <v>38</v>
      </c>
      <c r="E135" s="62" t="s">
        <v>39</v>
      </c>
      <c r="F135" s="62" t="s">
        <v>40</v>
      </c>
      <c r="G135" s="64" t="s">
        <v>80</v>
      </c>
      <c r="H135" s="64" t="s">
        <v>105</v>
      </c>
      <c r="I135" s="65" t="s">
        <v>47</v>
      </c>
      <c r="J135" s="62">
        <v>2</v>
      </c>
      <c r="K135" s="62">
        <v>2.5</v>
      </c>
      <c r="L135" s="62" t="s"/>
      <c r="M135" s="62" t="s"/>
      <c r="N135" s="62" t="s"/>
      <c r="O135" s="62">
        <v>160020</v>
      </c>
      <c r="P135" s="62">
        <v>159300</v>
      </c>
      <c r="Q135" s="62">
        <v>160020</v>
      </c>
      <c r="R135" s="62" t="s"/>
      <c r="S135" s="62" t="s"/>
      <c r="T135" s="68">
        <f>=P135/10000*J135*Z135</f>
        <v>605.34</v>
      </c>
      <c r="U135" s="62">
        <v>0</v>
      </c>
      <c r="V135" s="68" t="s"/>
      <c r="W135" s="68" t="s"/>
      <c r="X135" s="68">
        <f>=O135-P135</f>
        <v>720</v>
      </c>
      <c r="Y135" s="68">
        <f>=X135-T135-U135-V135</f>
        <v>114.66</v>
      </c>
      <c r="Z135" s="62">
        <f>=A135-$A$110+1</f>
        <v>19</v>
      </c>
      <c r="AA135" s="68">
        <f>=P135/10000*K135*Z135</f>
        <v>756.675</v>
      </c>
      <c r="AB135" s="62">
        <f>=Q135*Z135</f>
        <v>3040380</v>
      </c>
      <c r="AC135" t="s">
        <v>44</v>
      </c>
    </row>
    <row r="136" spans="1:29">
      <c r="A136" s="63">
        <v>46075</v>
      </c>
      <c r="B136" s="62" t="s">
        <v>37</v>
      </c>
      <c r="C136" s="62" t="s"/>
      <c r="D136" s="62" t="s">
        <v>38</v>
      </c>
      <c r="E136" s="62" t="s">
        <v>85</v>
      </c>
      <c r="F136" s="62" t="s">
        <v>86</v>
      </c>
      <c r="G136" s="64" t="s">
        <v>65</v>
      </c>
      <c r="H136" s="64" t="s">
        <v>89</v>
      </c>
      <c r="I136" s="72" t="s">
        <v>47</v>
      </c>
      <c r="J136" s="62">
        <v>1.46</v>
      </c>
      <c r="K136" s="62">
        <v>2</v>
      </c>
      <c r="L136" s="62" t="s"/>
      <c r="M136" s="62" t="s"/>
      <c r="N136" s="62" t="s"/>
      <c r="O136" s="68">
        <v>93711.41</v>
      </c>
      <c r="P136" s="62">
        <v>101285.1</v>
      </c>
      <c r="Q136" s="91">
        <v>93711.41</v>
      </c>
      <c r="R136" s="62" t="s"/>
      <c r="S136" s="62" t="s"/>
      <c r="T136" s="68">
        <f>=P136/10000*J136*Z136</f>
        <v>1390.0367124</v>
      </c>
      <c r="U136" s="62">
        <v>0</v>
      </c>
      <c r="V136" s="68" t="s"/>
      <c r="W136" s="68" t="s"/>
      <c r="X136" s="68">
        <f>=O136-P136</f>
        <v>-7573.69</v>
      </c>
      <c r="Y136" s="68">
        <f>=X136-T136-U136-V136</f>
        <v>-8963.72671240001</v>
      </c>
      <c r="Z136" s="62">
        <f>=A136-$A$59+1</f>
        <v>94</v>
      </c>
      <c r="AA136" s="68">
        <f>=P136/10000*K136*Z136</f>
        <v>1904.15988</v>
      </c>
      <c r="AB136" s="62">
        <f>=Q136*Z136</f>
        <v>8808872.54</v>
      </c>
      <c r="AC136" t="s">
        <v>44</v>
      </c>
    </row>
    <row r="137" spans="1:29">
      <c r="A137" s="61">
        <v>46055</v>
      </c>
      <c r="B137" s="62" t="s">
        <v>37</v>
      </c>
      <c r="C137" s="89" t="s"/>
      <c r="D137" s="62" t="s">
        <v>38</v>
      </c>
      <c r="E137" s="70" t="s">
        <v>54</v>
      </c>
      <c r="F137" s="62" t="s">
        <v>55</v>
      </c>
      <c r="G137" s="71" t="s">
        <v>93</v>
      </c>
      <c r="H137" s="64" t="s">
        <v>104</v>
      </c>
      <c r="I137" s="72" t="s">
        <v>47</v>
      </c>
      <c r="J137" s="62">
        <v>2</v>
      </c>
      <c r="K137" s="62">
        <v>2.5</v>
      </c>
      <c r="O137">
        <v>502375</v>
      </c>
      <c r="P137">
        <v>500000</v>
      </c>
      <c r="Q137">
        <v>502375</v>
      </c>
      <c r="T137" s="68">
        <f>=P137/10000*J137*Z137</f>
        <v>1900</v>
      </c>
      <c r="U137" s="62">
        <v>0</v>
      </c>
      <c r="V137" s="68" t="s"/>
      <c r="W137" s="68" t="s"/>
      <c r="X137" s="68">
        <f>=O137-P137</f>
        <v>2375</v>
      </c>
      <c r="Y137" s="68">
        <f>=X137-T137-U137-V137</f>
        <v>475</v>
      </c>
      <c r="Z137" s="62">
        <f>=A137-$A$109+1</f>
        <v>19</v>
      </c>
      <c r="AA137" s="68">
        <f>=P137/10000*K137*Z137</f>
        <v>2375</v>
      </c>
      <c r="AB137" s="62">
        <f>=Q137*Z137</f>
        <v>9545125</v>
      </c>
      <c r="AC137" t="s">
        <v>44</v>
      </c>
    </row>
    <row r="138" spans="1:29">
      <c r="A138" s="61">
        <v>46055</v>
      </c>
      <c r="B138" s="62" t="s">
        <v>37</v>
      </c>
      <c r="C138" s="89" t="s"/>
      <c r="D138" s="62" t="s">
        <v>38</v>
      </c>
      <c r="E138" s="70" t="s">
        <v>54</v>
      </c>
      <c r="F138" s="62" t="s">
        <v>55</v>
      </c>
      <c r="G138" s="71" t="s">
        <v>93</v>
      </c>
      <c r="H138" s="64" t="s">
        <v>106</v>
      </c>
      <c r="I138" s="72" t="s">
        <v>47</v>
      </c>
      <c r="J138" s="62">
        <v>2</v>
      </c>
      <c r="K138" s="62">
        <v>2.5</v>
      </c>
      <c r="O138">
        <v>517806</v>
      </c>
      <c r="P138">
        <v>516000</v>
      </c>
      <c r="Q138">
        <v>517806</v>
      </c>
      <c r="T138" s="68">
        <f>=P138/10000*J138*Z138</f>
        <v>1444.8</v>
      </c>
      <c r="U138" s="62">
        <v>0</v>
      </c>
      <c r="V138" s="68" t="s"/>
      <c r="W138" s="68" t="s"/>
      <c r="X138" s="68">
        <f>=O138-P138</f>
        <v>1806</v>
      </c>
      <c r="Y138" s="68">
        <f>=X138-T138-U138-V138</f>
        <v>361.2</v>
      </c>
      <c r="Z138" s="62">
        <f>=A138-$A$116+1</f>
        <v>14</v>
      </c>
      <c r="AA138" s="68">
        <f>=P138/10000*K138*Z138</f>
        <v>1806</v>
      </c>
      <c r="AB138" s="62">
        <f>=Q138*Z138</f>
        <v>7249284</v>
      </c>
      <c r="AC138" t="s">
        <v>44</v>
      </c>
    </row>
    <row r="139" spans="1:29">
      <c r="A139" s="61">
        <v>46056</v>
      </c>
      <c r="B139" s="62" t="s">
        <v>37</v>
      </c>
      <c r="C139" s="89" t="s"/>
      <c r="D139" s="62" t="s">
        <v>38</v>
      </c>
      <c r="E139" s="70" t="s">
        <v>54</v>
      </c>
      <c r="F139" s="62" t="s">
        <v>55</v>
      </c>
      <c r="G139" s="71" t="s">
        <v>93</v>
      </c>
      <c r="H139" s="64" t="s">
        <v>104</v>
      </c>
      <c r="I139" s="72" t="s">
        <v>47</v>
      </c>
      <c r="J139" s="62">
        <v>2</v>
      </c>
      <c r="K139" s="62">
        <v>2.5</v>
      </c>
      <c r="O139">
        <v>1507500</v>
      </c>
      <c r="P139">
        <v>1500000</v>
      </c>
      <c r="Q139">
        <v>1507500</v>
      </c>
      <c r="T139" s="68">
        <f>=P139/10000*J139*Z139</f>
        <v>6000</v>
      </c>
      <c r="U139" s="62">
        <v>0</v>
      </c>
      <c r="V139" s="68" t="s"/>
      <c r="W139" s="68" t="s"/>
      <c r="X139" s="68">
        <f>=O139-P139</f>
        <v>7500</v>
      </c>
      <c r="Y139" s="68">
        <f>=X139-T139-U139-V139</f>
        <v>1500</v>
      </c>
      <c r="Z139" s="62">
        <f>=A139-$A$109+1</f>
        <v>20</v>
      </c>
      <c r="AA139" s="68">
        <f>=P139/10000*K139*Z139</f>
        <v>7500</v>
      </c>
      <c r="AB139" s="62">
        <f>=Q139*Z139</f>
        <v>30150000</v>
      </c>
      <c r="AC139" t="s">
        <v>44</v>
      </c>
    </row>
    <row r="140" spans="1:29">
      <c r="A140" s="63">
        <v>46056</v>
      </c>
      <c r="B140" s="62" t="s">
        <v>37</v>
      </c>
      <c r="C140" s="62" t="s"/>
      <c r="D140" s="62" t="s">
        <v>38</v>
      </c>
      <c r="E140" s="70" t="s">
        <v>54</v>
      </c>
      <c r="F140" s="62" t="s">
        <v>55</v>
      </c>
      <c r="G140" s="64" t="s">
        <v>109</v>
      </c>
      <c r="H140" s="71" t="s">
        <v>110</v>
      </c>
      <c r="I140" s="72" t="s">
        <v>43</v>
      </c>
      <c r="J140" s="62">
        <v>2</v>
      </c>
      <c r="K140" s="62">
        <v>2.5</v>
      </c>
      <c r="L140" s="62" t="s"/>
      <c r="M140" s="62">
        <v>654100</v>
      </c>
      <c r="N140" s="62" t="s"/>
      <c r="O140" s="62" t="s"/>
      <c r="P140" s="62" t="s"/>
      <c r="Q140" s="62" t="s"/>
      <c r="R140" s="62" t="s"/>
      <c r="S140" s="62" t="s"/>
      <c r="T140" s="68" t="s"/>
      <c r="U140" s="62" t="s"/>
      <c r="V140" s="68" t="s"/>
      <c r="W140" s="68" t="s"/>
      <c r="X140" s="68" t="s"/>
      <c r="Y140" s="68" t="s"/>
      <c r="Z140" s="62" t="s"/>
      <c r="AA140" s="62" t="s"/>
      <c r="AB140" s="62" t="s"/>
      <c r="AC140" t="s">
        <v>44</v>
      </c>
    </row>
    <row r="141" spans="1:29">
      <c r="A141" s="63">
        <v>46056</v>
      </c>
      <c r="B141" s="62" t="s">
        <v>37</v>
      </c>
      <c r="C141" s="62" t="s"/>
      <c r="D141" s="62" t="s">
        <v>38</v>
      </c>
      <c r="E141" s="62" t="s">
        <v>48</v>
      </c>
      <c r="F141" s="62" t="s">
        <v>49</v>
      </c>
      <c r="G141" s="64" t="s">
        <v>52</v>
      </c>
      <c r="H141" s="64" t="s">
        <v>76</v>
      </c>
      <c r="I141" s="65" t="s">
        <v>47</v>
      </c>
      <c r="J141" s="62">
        <v>2</v>
      </c>
      <c r="K141" s="62">
        <v>3</v>
      </c>
      <c r="L141" s="62" t="s"/>
      <c r="M141" s="62" t="s"/>
      <c r="N141" s="62" t="s"/>
      <c r="O141" s="62">
        <v>112575</v>
      </c>
      <c r="P141" s="62">
        <v>108400</v>
      </c>
      <c r="Q141" s="62">
        <v>112575</v>
      </c>
      <c r="R141" s="62" t="s"/>
      <c r="S141" s="62" t="s"/>
      <c r="T141" s="68">
        <f>=P141/10000*J141*Z141</f>
        <v>2775.04</v>
      </c>
      <c r="U141" s="62">
        <v>0</v>
      </c>
      <c r="V141" s="68" t="s"/>
      <c r="W141" s="68" t="s"/>
      <c r="X141" s="68">
        <f>=O141-P141</f>
        <v>4175</v>
      </c>
      <c r="Y141" s="68">
        <f>=X141-T141-U141-V141</f>
        <v>1399.96</v>
      </c>
      <c r="Z141" s="62">
        <f>=A141-$A$47+1</f>
        <v>128</v>
      </c>
      <c r="AA141" s="68">
        <f>=P141/10000*K141*Z141</f>
        <v>4162.56</v>
      </c>
      <c r="AB141" s="62">
        <f>=Q141*Z141</f>
        <v>14409600</v>
      </c>
      <c r="AC141" t="s">
        <v>44</v>
      </c>
    </row>
    <row r="142" spans="1:29">
      <c r="A142" s="63">
        <v>46057</v>
      </c>
      <c r="B142" s="62" t="s">
        <v>37</v>
      </c>
      <c r="C142" s="62" t="s"/>
      <c r="D142" s="62" t="s">
        <v>38</v>
      </c>
      <c r="E142" s="62" t="s">
        <v>63</v>
      </c>
      <c r="F142" s="62" t="s">
        <v>111</v>
      </c>
      <c r="G142" s="94" t="s">
        <v>112</v>
      </c>
      <c r="H142" s="62" t="s">
        <v>113</v>
      </c>
      <c r="I142" s="72" t="s">
        <v>43</v>
      </c>
      <c r="J142" s="62">
        <v>2</v>
      </c>
      <c r="K142" s="62">
        <v>3</v>
      </c>
      <c r="L142" s="62" t="s"/>
      <c r="M142" s="62">
        <v>200000</v>
      </c>
      <c r="N142" s="62" t="s"/>
      <c r="O142" s="62" t="s"/>
      <c r="P142" s="62" t="s"/>
      <c r="Q142" s="62" t="s"/>
      <c r="R142" s="62" t="s"/>
      <c r="S142" s="62" t="s"/>
      <c r="T142" s="62" t="s"/>
      <c r="U142" s="62" t="s"/>
      <c r="V142" s="62" t="s"/>
      <c r="W142" s="62" t="s"/>
      <c r="X142" s="62" t="s"/>
      <c r="Y142" s="62" t="s"/>
      <c r="Z142" s="62" t="s"/>
      <c r="AA142" s="62" t="s"/>
      <c r="AB142" s="62" t="s"/>
      <c r="AC142" t="s">
        <v>58</v>
      </c>
    </row>
    <row r="143" spans="1:29">
      <c r="A143" s="63">
        <v>46057</v>
      </c>
      <c r="B143" s="62" t="s">
        <v>37</v>
      </c>
      <c r="C143" s="62" t="s"/>
      <c r="D143" s="62" t="s">
        <v>114</v>
      </c>
      <c r="E143" s="62" t="s">
        <v>114</v>
      </c>
      <c r="F143" s="62" t="s">
        <v>115</v>
      </c>
      <c r="G143" s="64" t="s">
        <v>116</v>
      </c>
      <c r="H143" s="62" t="s">
        <v>117</v>
      </c>
      <c r="I143" s="72" t="s">
        <v>43</v>
      </c>
      <c r="J143" s="62">
        <v>2</v>
      </c>
      <c r="K143" s="62">
        <v>2.6</v>
      </c>
      <c r="L143" s="62" t="s"/>
      <c r="M143" s="62">
        <v>132000</v>
      </c>
      <c r="N143" s="62" t="s"/>
      <c r="O143" s="62" t="s"/>
      <c r="P143" s="62" t="s"/>
      <c r="Q143" s="62" t="s"/>
      <c r="R143" s="62" t="s"/>
      <c r="S143" s="62" t="s"/>
      <c r="T143" s="62" t="s"/>
      <c r="U143" s="62" t="s"/>
      <c r="V143" s="62" t="s"/>
      <c r="W143" s="62" t="s"/>
      <c r="X143" s="62" t="s"/>
      <c r="Y143" s="62" t="s"/>
      <c r="Z143" s="62" t="s"/>
      <c r="AA143" s="62" t="s"/>
      <c r="AB143" s="62" t="s"/>
      <c r="AC143" t="s">
        <v>58</v>
      </c>
    </row>
    <row r="144" spans="1:29">
      <c r="A144" s="63">
        <v>46058</v>
      </c>
      <c r="B144" s="62" t="s">
        <v>37</v>
      </c>
      <c r="C144" s="62" t="s"/>
      <c r="D144" s="62" t="s">
        <v>114</v>
      </c>
      <c r="E144" s="62" t="s">
        <v>114</v>
      </c>
      <c r="F144" s="62" t="s">
        <v>115</v>
      </c>
      <c r="G144" s="64" t="s">
        <v>116</v>
      </c>
      <c r="H144" s="62" t="s">
        <v>118</v>
      </c>
      <c r="I144" s="72" t="s">
        <v>43</v>
      </c>
      <c r="J144" s="62">
        <v>2</v>
      </c>
      <c r="K144" s="62">
        <v>2.6</v>
      </c>
      <c r="L144" s="62" t="s"/>
      <c r="M144" s="62">
        <v>1848667.2</v>
      </c>
      <c r="N144" s="62" t="s"/>
      <c r="O144" s="62" t="s"/>
      <c r="P144" s="62" t="s"/>
      <c r="Q144" s="62" t="s"/>
      <c r="R144" s="62" t="s"/>
      <c r="S144" s="62" t="s"/>
      <c r="T144" s="62" t="s"/>
      <c r="U144" s="62" t="s"/>
      <c r="V144" s="62" t="s"/>
      <c r="W144" s="62" t="s"/>
      <c r="X144" s="62" t="s"/>
      <c r="Y144" s="62" t="s"/>
      <c r="Z144" s="62" t="s"/>
      <c r="AA144" s="62" t="s"/>
      <c r="AB144" s="62" t="s"/>
      <c r="AC144" t="s">
        <v>58</v>
      </c>
    </row>
    <row r="145" spans="1:29">
      <c r="A145" s="63">
        <v>46059</v>
      </c>
      <c r="B145" s="62" t="s">
        <v>37</v>
      </c>
      <c r="C145" s="62" t="s"/>
      <c r="D145" s="62" t="s">
        <v>114</v>
      </c>
      <c r="E145" s="62" t="s">
        <v>114</v>
      </c>
      <c r="F145" s="62" t="s">
        <v>115</v>
      </c>
      <c r="G145" s="64" t="s">
        <v>116</v>
      </c>
      <c r="H145" s="62" t="s">
        <v>119</v>
      </c>
      <c r="I145" s="72" t="s">
        <v>43</v>
      </c>
      <c r="J145" s="62">
        <v>2</v>
      </c>
      <c r="K145" s="62">
        <v>2.6</v>
      </c>
      <c r="L145" s="62" t="s"/>
      <c r="M145" s="62">
        <v>256443</v>
      </c>
      <c r="N145" s="62" t="s"/>
      <c r="O145" s="62" t="s"/>
      <c r="P145" s="62" t="s"/>
      <c r="Q145" s="62" t="s"/>
      <c r="R145" s="62" t="s"/>
      <c r="S145" s="62" t="s"/>
      <c r="T145" s="62" t="s"/>
      <c r="U145" s="62" t="s"/>
      <c r="V145" s="62" t="s"/>
      <c r="W145" s="62" t="s"/>
      <c r="X145" s="62" t="s"/>
      <c r="Y145" s="62" t="s"/>
      <c r="Z145" s="62" t="s"/>
      <c r="AA145" s="62" t="s"/>
      <c r="AB145" s="62" t="s"/>
      <c r="AC145" t="s">
        <v>58</v>
      </c>
    </row>
    <row r="146" spans="1:29">
      <c r="A146" s="63">
        <v>46059</v>
      </c>
      <c r="B146" s="62" t="s">
        <v>37</v>
      </c>
      <c r="C146" s="62" t="s"/>
      <c r="D146" s="62" t="s">
        <v>38</v>
      </c>
      <c r="E146" s="62" t="s">
        <v>85</v>
      </c>
      <c r="F146" s="62" t="s">
        <v>120</v>
      </c>
      <c r="G146" s="64" t="s">
        <v>121</v>
      </c>
      <c r="H146" s="62" t="s">
        <v>122</v>
      </c>
      <c r="I146" s="72" t="s">
        <v>43</v>
      </c>
      <c r="J146" s="62">
        <v>2</v>
      </c>
      <c r="K146" s="62">
        <v>2.6</v>
      </c>
      <c r="L146" s="62" t="s"/>
      <c r="M146" s="62">
        <v>7158600</v>
      </c>
      <c r="N146" s="62" t="s"/>
      <c r="O146" s="62" t="s"/>
      <c r="P146" s="62" t="s"/>
      <c r="Q146" s="62" t="s"/>
      <c r="R146" s="95" t="s"/>
      <c r="S146" s="62" t="s"/>
      <c r="T146" s="62" t="s"/>
      <c r="U146" s="62" t="s"/>
      <c r="V146" s="62" t="s"/>
      <c r="W146" s="62" t="s"/>
      <c r="X146" s="62" t="s"/>
      <c r="Y146" s="62" t="s"/>
      <c r="Z146" s="62" t="s"/>
      <c r="AA146" s="62" t="s"/>
      <c r="AB146" s="62" t="s"/>
      <c r="AC146" t="s">
        <v>44</v>
      </c>
    </row>
    <row r="147" spans="1:29">
      <c r="A147" s="63">
        <v>46059</v>
      </c>
      <c r="B147" s="62" t="s">
        <v>37</v>
      </c>
      <c r="C147" s="62" t="s"/>
      <c r="D147" s="62" t="s">
        <v>38</v>
      </c>
      <c r="E147" s="62" t="s">
        <v>85</v>
      </c>
      <c r="F147" s="62" t="s">
        <v>120</v>
      </c>
      <c r="G147" s="64" t="s">
        <v>123</v>
      </c>
      <c r="H147" s="62" t="s">
        <v>122</v>
      </c>
      <c r="I147" s="72" t="s">
        <v>6</v>
      </c>
      <c r="J147" s="62">
        <v>2</v>
      </c>
      <c r="K147" s="62">
        <v>2.6</v>
      </c>
      <c r="L147" s="62">
        <v>1577000</v>
      </c>
      <c r="M147" s="62" t="s"/>
      <c r="N147" s="62" t="s"/>
      <c r="O147" s="62" t="s"/>
      <c r="P147" s="62" t="s"/>
      <c r="Q147" s="62" t="s"/>
      <c r="R147" s="62">
        <v>1577000</v>
      </c>
      <c r="S147" s="62" t="s"/>
      <c r="T147" s="62" t="s"/>
      <c r="U147" s="62" t="s"/>
      <c r="V147" s="62" t="s"/>
      <c r="W147" s="62" t="s"/>
      <c r="X147" s="62" t="s"/>
      <c r="Y147" s="62" t="s"/>
      <c r="Z147" s="62" t="s"/>
      <c r="AA147" s="62" t="s"/>
      <c r="AB147" s="62" t="s"/>
      <c r="AC147" t="s">
        <v>44</v>
      </c>
    </row>
    <row r="148" spans="1:29">
      <c r="A148" s="63">
        <v>46061</v>
      </c>
      <c r="B148" s="62" t="s">
        <v>37</v>
      </c>
      <c r="C148" s="62" t="s"/>
      <c r="D148" s="62" t="s">
        <v>38</v>
      </c>
      <c r="E148" s="62" t="s">
        <v>48</v>
      </c>
      <c r="F148" s="62" t="s">
        <v>73</v>
      </c>
      <c r="G148" s="64" t="s">
        <v>74</v>
      </c>
      <c r="H148" s="64" t="s">
        <v>90</v>
      </c>
      <c r="I148" s="65" t="s">
        <v>47</v>
      </c>
      <c r="J148" s="62">
        <v>2</v>
      </c>
      <c r="K148" s="62">
        <v>2.5</v>
      </c>
      <c r="L148" s="62" t="s"/>
      <c r="M148" s="62" t="s"/>
      <c r="N148" s="62" t="s"/>
      <c r="O148" s="62">
        <v>478500</v>
      </c>
      <c r="P148" s="62">
        <v>469000</v>
      </c>
      <c r="Q148" s="62">
        <v>478500</v>
      </c>
      <c r="R148" s="62" t="s"/>
      <c r="S148" s="62" t="s"/>
      <c r="T148" s="68">
        <f>=P148/10000*J148*Z148</f>
        <v>6847.4</v>
      </c>
      <c r="U148" s="62">
        <v>0</v>
      </c>
      <c r="V148" s="68" t="s"/>
      <c r="W148" s="68" t="s"/>
      <c r="X148" s="68">
        <f>=O148-P148</f>
        <v>9500</v>
      </c>
      <c r="Y148" s="68">
        <f>=X148-T148-U148-V148</f>
        <v>2652.6</v>
      </c>
      <c r="Z148" s="62">
        <f>=A148-$A$63+1</f>
        <v>73</v>
      </c>
      <c r="AA148" s="68">
        <f>=P148/10000*K148*Z148</f>
        <v>8559.25</v>
      </c>
      <c r="AB148" s="62">
        <f>=Q148*Z148</f>
        <v>34930500</v>
      </c>
      <c r="AC148" t="s">
        <v>44</v>
      </c>
    </row>
    <row r="149" spans="1:29">
      <c r="A149" s="63">
        <v>46061</v>
      </c>
      <c r="B149" s="62" t="s">
        <v>37</v>
      </c>
      <c r="C149" s="62" t="s"/>
      <c r="D149" s="62" t="s">
        <v>114</v>
      </c>
      <c r="E149" s="62" t="s">
        <v>114</v>
      </c>
      <c r="F149" s="62" t="s">
        <v>115</v>
      </c>
      <c r="G149" s="64" t="s">
        <v>116</v>
      </c>
      <c r="H149" s="62" t="s">
        <v>124</v>
      </c>
      <c r="I149" s="72" t="s">
        <v>43</v>
      </c>
      <c r="J149" s="62">
        <v>2</v>
      </c>
      <c r="K149" s="62">
        <v>2.6</v>
      </c>
      <c r="L149" s="62" t="s"/>
      <c r="M149" s="62">
        <v>80256</v>
      </c>
      <c r="N149" s="62" t="s"/>
      <c r="O149" s="62" t="s"/>
      <c r="P149" s="62" t="s"/>
      <c r="Q149" s="62" t="s"/>
      <c r="R149" s="62" t="s"/>
      <c r="S149" s="62" t="s"/>
      <c r="T149" s="62" t="s"/>
      <c r="U149" s="62" t="s"/>
      <c r="V149" s="62" t="s"/>
      <c r="W149" s="62" t="s"/>
      <c r="X149" s="62" t="s"/>
      <c r="Y149" s="62" t="s"/>
      <c r="Z149" s="62" t="s"/>
      <c r="AA149" s="62" t="s"/>
      <c r="AB149" s="62" t="s"/>
      <c r="AC149" t="s">
        <v>58</v>
      </c>
    </row>
    <row r="150" spans="1:29">
      <c r="A150" s="76">
        <v>46061</v>
      </c>
      <c r="B150" s="62" t="s">
        <v>37</v>
      </c>
      <c r="C150" s="62" t="s"/>
      <c r="D150" s="63" t="s">
        <v>38</v>
      </c>
      <c r="E150" s="62" t="s">
        <v>39</v>
      </c>
      <c r="F150" s="62" t="s">
        <v>40</v>
      </c>
      <c r="G150" s="64" t="s">
        <v>46</v>
      </c>
      <c r="H150" s="62" t="s">
        <v>125</v>
      </c>
      <c r="I150" s="65" t="s">
        <v>43</v>
      </c>
      <c r="J150" s="62">
        <v>2</v>
      </c>
      <c r="K150" s="62">
        <v>2.5</v>
      </c>
      <c r="L150" s="62" t="s"/>
      <c r="M150" s="62">
        <v>3148794</v>
      </c>
      <c r="N150" s="62" t="s"/>
      <c r="O150" s="62" t="s"/>
      <c r="P150" s="62" t="s"/>
      <c r="Q150" s="62" t="s"/>
      <c r="R150" s="62" t="s"/>
      <c r="S150" s="62" t="s"/>
      <c r="T150" s="62" t="s"/>
      <c r="U150" s="62" t="s"/>
      <c r="V150" s="62" t="s"/>
      <c r="W150" s="62" t="s"/>
      <c r="X150" s="62" t="s"/>
      <c r="Y150" s="62" t="s"/>
      <c r="Z150" s="62" t="s"/>
      <c r="AA150" s="62" t="s"/>
      <c r="AB150" s="62" t="s"/>
      <c r="AC150" t="s">
        <v>58</v>
      </c>
    </row>
    <row r="151" spans="1:29">
      <c r="A151" s="63">
        <v>46062</v>
      </c>
      <c r="B151" s="62" t="s">
        <v>37</v>
      </c>
      <c r="C151" s="62" t="s"/>
      <c r="D151" s="62" t="s">
        <v>38</v>
      </c>
      <c r="E151" s="62" t="s">
        <v>48</v>
      </c>
      <c r="F151" s="62" t="s">
        <v>73</v>
      </c>
      <c r="G151" s="64" t="s">
        <v>74</v>
      </c>
      <c r="H151" s="64" t="s">
        <v>108</v>
      </c>
      <c r="I151" s="72" t="s">
        <v>47</v>
      </c>
      <c r="J151" s="62">
        <v>1.46</v>
      </c>
      <c r="K151" s="62">
        <v>2.5</v>
      </c>
      <c r="L151" s="62" t="s"/>
      <c r="M151" s="62" t="s"/>
      <c r="N151" s="62" t="s"/>
      <c r="O151" s="62">
        <v>282000</v>
      </c>
      <c r="P151" s="62">
        <v>281400</v>
      </c>
      <c r="Q151" s="62">
        <v>282000</v>
      </c>
      <c r="R151" s="62" t="s"/>
      <c r="S151" s="62" t="s"/>
      <c r="T151" s="68">
        <f>=P151/10000*J151*Z151</f>
        <v>410.844</v>
      </c>
      <c r="U151" s="62">
        <v>0</v>
      </c>
      <c r="V151" s="68" t="s"/>
      <c r="W151" s="68" t="s"/>
      <c r="X151" s="68">
        <f>=O151-P151</f>
        <v>600</v>
      </c>
      <c r="Y151" s="68">
        <f>=X151-T151-U151-V151</f>
        <v>189.156</v>
      </c>
      <c r="Z151" s="62">
        <f>=A151-$A$134+1</f>
        <v>10</v>
      </c>
      <c r="AA151" s="68">
        <f>=P151/10000*K151*Z151</f>
        <v>703.5</v>
      </c>
      <c r="AB151" s="62">
        <f>=Q151*Z151</f>
        <v>2820000</v>
      </c>
      <c r="AC151" t="s">
        <v>44</v>
      </c>
    </row>
    <row r="152" spans="1:29">
      <c r="A152" s="76">
        <v>46062</v>
      </c>
      <c r="B152" s="62" t="s">
        <v>37</v>
      </c>
      <c r="C152" s="62" t="s"/>
      <c r="D152" s="63" t="s">
        <v>38</v>
      </c>
      <c r="E152" s="62" t="s">
        <v>39</v>
      </c>
      <c r="F152" s="62" t="s">
        <v>40</v>
      </c>
      <c r="G152" s="64" t="s">
        <v>46</v>
      </c>
      <c r="H152" s="62" t="s">
        <v>126</v>
      </c>
      <c r="I152" s="65" t="s">
        <v>43</v>
      </c>
      <c r="J152" s="62">
        <v>2</v>
      </c>
      <c r="K152" s="62">
        <v>2.5</v>
      </c>
      <c r="L152" s="62" t="s"/>
      <c r="M152" s="62">
        <v>14328360</v>
      </c>
      <c r="N152" s="62" t="s"/>
      <c r="O152" s="62" t="s"/>
      <c r="P152" s="62" t="s"/>
      <c r="Q152" s="62" t="s"/>
      <c r="R152" s="62" t="s"/>
      <c r="S152" s="62" t="s"/>
      <c r="T152" s="68" t="s"/>
      <c r="U152" s="62" t="s"/>
      <c r="V152" s="68" t="s"/>
      <c r="W152" s="68" t="s"/>
      <c r="X152" s="68" t="s"/>
      <c r="Y152" s="68" t="s"/>
      <c r="Z152" s="62" t="s"/>
      <c r="AA152" s="62" t="s"/>
      <c r="AB152" s="62" t="s"/>
      <c r="AC152" t="s">
        <v>58</v>
      </c>
    </row>
    <row r="153" spans="1:29">
      <c r="A153" s="63">
        <v>46062</v>
      </c>
      <c r="B153" s="62" t="s">
        <v>37</v>
      </c>
      <c r="C153" s="62" t="s"/>
      <c r="D153" s="62" t="s">
        <v>114</v>
      </c>
      <c r="E153" s="62" t="s">
        <v>114</v>
      </c>
      <c r="F153" s="62" t="s">
        <v>115</v>
      </c>
      <c r="G153" s="64" t="s">
        <v>116</v>
      </c>
      <c r="H153" s="64" t="s">
        <v>118</v>
      </c>
      <c r="I153" s="72" t="s">
        <v>47</v>
      </c>
      <c r="J153" s="62">
        <v>2</v>
      </c>
      <c r="K153" s="62">
        <v>2.6</v>
      </c>
      <c r="L153" s="62" t="s"/>
      <c r="M153" s="62" t="s"/>
      <c r="N153" s="62" t="s"/>
      <c r="O153" s="62">
        <v>132365</v>
      </c>
      <c r="P153" s="62">
        <v>132100</v>
      </c>
      <c r="Q153" s="62">
        <v>132365</v>
      </c>
      <c r="R153" s="62" t="s"/>
      <c r="S153" s="62" t="s"/>
      <c r="T153" s="68">
        <f>=P153/10000*J153*Z153</f>
        <v>132.1</v>
      </c>
      <c r="U153" s="62">
        <v>0</v>
      </c>
      <c r="V153" s="68" t="s"/>
      <c r="W153" s="68" t="s"/>
      <c r="X153" s="68">
        <f>=O153-P153</f>
        <v>265</v>
      </c>
      <c r="Y153" s="68">
        <f>=X153-T153-U153-V153</f>
        <v>132.9</v>
      </c>
      <c r="Z153" s="62">
        <f>=A153-$A$144+1</f>
        <v>5</v>
      </c>
      <c r="AA153" s="68">
        <f>=P153/10000*K153*Z153</f>
        <v>171.73</v>
      </c>
      <c r="AB153" s="62">
        <f>=Q153*Z153</f>
        <v>661825</v>
      </c>
      <c r="AC153" t="s">
        <v>58</v>
      </c>
    </row>
    <row r="154" spans="1:29">
      <c r="A154" s="63">
        <v>46062</v>
      </c>
      <c r="B154" s="62" t="s">
        <v>37</v>
      </c>
      <c r="C154" s="62" t="s"/>
      <c r="D154" s="62" t="s">
        <v>114</v>
      </c>
      <c r="E154" s="62" t="s">
        <v>114</v>
      </c>
      <c r="F154" s="62" t="s">
        <v>115</v>
      </c>
      <c r="G154" s="64" t="s">
        <v>116</v>
      </c>
      <c r="H154" s="64" t="s">
        <v>119</v>
      </c>
      <c r="I154" s="72" t="s">
        <v>47</v>
      </c>
      <c r="J154" s="62">
        <v>2</v>
      </c>
      <c r="K154" s="62">
        <v>2.6</v>
      </c>
      <c r="L154" s="62" t="s"/>
      <c r="M154" s="62" t="s"/>
      <c r="N154" s="62" t="s"/>
      <c r="O154" s="62">
        <v>17133</v>
      </c>
      <c r="P154" s="62">
        <v>17100</v>
      </c>
      <c r="Q154" s="62">
        <v>17133</v>
      </c>
      <c r="R154" s="62" t="s"/>
      <c r="S154" s="62" t="s"/>
      <c r="T154" s="68">
        <f>=P154/10000*J154*Z154</f>
        <v>13.68</v>
      </c>
      <c r="U154" s="62">
        <v>0</v>
      </c>
      <c r="V154" s="68" t="s"/>
      <c r="W154" s="68" t="s"/>
      <c r="X154" s="68">
        <f>=O154-P154</f>
        <v>33</v>
      </c>
      <c r="Y154" s="68">
        <f>=X154-T154-U154-V154</f>
        <v>19.32</v>
      </c>
      <c r="Z154" s="62">
        <f>=A154-$A$145+1</f>
        <v>4</v>
      </c>
      <c r="AA154" s="68">
        <f>=P154/10000*K154*Z154</f>
        <v>17.784</v>
      </c>
      <c r="AB154" s="62">
        <f>=Q154*Z154</f>
        <v>68532</v>
      </c>
      <c r="AC154" t="s">
        <v>58</v>
      </c>
    </row>
    <row r="155" spans="1:29">
      <c r="A155" s="63">
        <v>46063</v>
      </c>
      <c r="B155" s="62" t="s">
        <v>37</v>
      </c>
      <c r="C155" s="62" t="s"/>
      <c r="D155" s="63" t="s">
        <v>38</v>
      </c>
      <c r="E155" s="62" t="s">
        <v>39</v>
      </c>
      <c r="F155" s="62" t="s">
        <v>40</v>
      </c>
      <c r="G155" s="83" t="s">
        <v>46</v>
      </c>
      <c r="H155" s="64" t="s">
        <v>125</v>
      </c>
      <c r="I155" s="77" t="s">
        <v>47</v>
      </c>
      <c r="J155" s="62">
        <v>2</v>
      </c>
      <c r="K155" s="62">
        <v>2.5</v>
      </c>
      <c r="L155" s="62" t="s"/>
      <c r="M155" s="62" t="s"/>
      <c r="N155" s="62" t="s"/>
      <c r="O155" s="62">
        <v>5026.77</v>
      </c>
      <c r="P155" s="62">
        <v>5022</v>
      </c>
      <c r="Q155" s="62">
        <v>5026.77</v>
      </c>
      <c r="R155" s="62" t="s"/>
      <c r="S155" s="62" t="s"/>
      <c r="T155" s="68">
        <f>=P155/10000*J155*Z155</f>
        <v>3.0132</v>
      </c>
      <c r="U155" s="62">
        <v>1</v>
      </c>
      <c r="V155" s="68" t="s"/>
      <c r="W155" s="68" t="s"/>
      <c r="X155" s="68">
        <f>=O155-P155</f>
        <v>4.77000000000044</v>
      </c>
      <c r="Y155" s="68">
        <f>=X155-T155-U155-V155</f>
        <v>0.756800000000437</v>
      </c>
      <c r="Z155" s="62">
        <f>=A155-$A$150+1</f>
        <v>3</v>
      </c>
      <c r="AA155" s="68">
        <f>=P155/10000*K155*Z155</f>
        <v>3.7665</v>
      </c>
      <c r="AB155" s="62">
        <f>=Q155*Z155</f>
        <v>15080.31</v>
      </c>
      <c r="AC155" t="s">
        <v>58</v>
      </c>
    </row>
    <row r="156" spans="1:29">
      <c r="A156" s="63">
        <v>46064</v>
      </c>
      <c r="B156" s="62" t="s">
        <v>37</v>
      </c>
      <c r="C156" s="62" t="s"/>
      <c r="D156" s="63" t="s">
        <v>38</v>
      </c>
      <c r="E156" s="62" t="s">
        <v>39</v>
      </c>
      <c r="F156" s="62" t="s">
        <v>40</v>
      </c>
      <c r="G156" s="83" t="s">
        <v>46</v>
      </c>
      <c r="H156" s="64" t="s">
        <v>125</v>
      </c>
      <c r="I156" s="77" t="s">
        <v>47</v>
      </c>
      <c r="J156" s="62">
        <v>2</v>
      </c>
      <c r="K156" s="62">
        <v>2.5</v>
      </c>
      <c r="L156" s="62" t="s"/>
      <c r="M156" s="62" t="s"/>
      <c r="N156" s="62" t="s"/>
      <c r="O156" s="62">
        <v>3147540.52</v>
      </c>
      <c r="P156" s="62">
        <v>3143772</v>
      </c>
      <c r="Q156" s="62">
        <v>3147540.52</v>
      </c>
      <c r="R156" s="62" t="s"/>
      <c r="S156" s="62" t="s"/>
      <c r="T156" s="68">
        <f>=P156/10000*J156*Z156</f>
        <v>2515.0176</v>
      </c>
      <c r="U156" s="62">
        <v>626</v>
      </c>
      <c r="V156" s="68" t="s"/>
      <c r="W156" s="68" t="s"/>
      <c r="X156" s="68">
        <f>=O156-P156</f>
        <v>3768.52000000002</v>
      </c>
      <c r="Y156" s="68">
        <f>=X156-T156-U156-V156</f>
        <v>627.502400000019</v>
      </c>
      <c r="Z156" s="62">
        <f>=A156-$A$150+1</f>
        <v>4</v>
      </c>
      <c r="AA156" s="68">
        <f>=P156/10000*K156*Z156</f>
        <v>3143.772</v>
      </c>
      <c r="AB156" s="62">
        <f>=Q156*Z156</f>
        <v>12590162.08</v>
      </c>
      <c r="AC156" t="s">
        <v>58</v>
      </c>
    </row>
    <row r="157" spans="1:29">
      <c r="A157" s="63">
        <v>46064</v>
      </c>
      <c r="B157" s="62" t="s">
        <v>37</v>
      </c>
      <c r="C157" s="62" t="s"/>
      <c r="D157" s="63" t="s">
        <v>38</v>
      </c>
      <c r="E157" s="62" t="s">
        <v>39</v>
      </c>
      <c r="F157" s="62" t="s">
        <v>40</v>
      </c>
      <c r="G157" s="64" t="s">
        <v>46</v>
      </c>
      <c r="H157" s="64" t="s">
        <v>126</v>
      </c>
      <c r="I157" s="72" t="s">
        <v>47</v>
      </c>
      <c r="J157" s="62">
        <v>2</v>
      </c>
      <c r="K157" s="62">
        <v>2.5</v>
      </c>
      <c r="L157" s="62" t="s"/>
      <c r="M157" s="62" t="s"/>
      <c r="N157" s="62" t="s"/>
      <c r="O157" s="62">
        <v>2558625.93</v>
      </c>
      <c r="P157" s="62">
        <v>2556198</v>
      </c>
      <c r="Q157" s="62">
        <v>2558625.93</v>
      </c>
      <c r="R157" s="62" t="s"/>
      <c r="S157" s="62" t="s"/>
      <c r="T157" s="68">
        <f>=P157/10000*J157*Z157</f>
        <v>1533.7188</v>
      </c>
      <c r="U157" s="62">
        <v>509</v>
      </c>
      <c r="V157" s="68" t="s"/>
      <c r="W157" s="68" t="s"/>
      <c r="X157" s="68">
        <f>=O157-P157</f>
        <v>2427.93000000017</v>
      </c>
      <c r="Y157" s="68">
        <f>=X157-T157-U157-V157</f>
        <v>385.211200000168</v>
      </c>
      <c r="Z157" s="62">
        <f>=A157-$A$152+1</f>
        <v>3</v>
      </c>
      <c r="AA157" s="68">
        <f>=P157/10000*K157*Z157</f>
        <v>1917.1485</v>
      </c>
      <c r="AB157" s="62">
        <f>=Q157*Z157</f>
        <v>7675877.79</v>
      </c>
      <c r="AC157" t="s">
        <v>58</v>
      </c>
    </row>
    <row r="158" spans="1:29">
      <c r="A158" s="63">
        <v>46064</v>
      </c>
      <c r="B158" s="62" t="s">
        <v>37</v>
      </c>
      <c r="C158" s="62" t="s"/>
      <c r="D158" s="63" t="s">
        <v>38</v>
      </c>
      <c r="E158" s="62" t="s">
        <v>39</v>
      </c>
      <c r="F158" s="62" t="s">
        <v>40</v>
      </c>
      <c r="G158" s="64" t="s">
        <v>46</v>
      </c>
      <c r="H158" s="71" t="s">
        <v>127</v>
      </c>
      <c r="I158" s="65" t="s">
        <v>43</v>
      </c>
      <c r="J158" s="62">
        <v>2</v>
      </c>
      <c r="K158" s="62">
        <v>2.5</v>
      </c>
      <c r="L158" s="62" t="s"/>
      <c r="M158" s="62">
        <v>3411900</v>
      </c>
      <c r="N158" s="62" t="s"/>
      <c r="O158" s="62" t="s"/>
      <c r="P158" s="62" t="s"/>
      <c r="Q158" s="62" t="s"/>
      <c r="R158" s="62" t="s"/>
      <c r="S158" s="62" t="s"/>
      <c r="T158" s="68" t="s"/>
      <c r="U158" s="62" t="s"/>
      <c r="V158" s="68" t="s"/>
      <c r="W158" s="68" t="s"/>
      <c r="X158" s="68" t="s"/>
      <c r="Y158" s="68" t="s"/>
      <c r="Z158" s="62" t="s"/>
      <c r="AA158" s="62" t="s"/>
      <c r="AB158" s="62" t="s"/>
      <c r="AC158" t="s">
        <v>58</v>
      </c>
    </row>
    <row r="159" spans="1:29" ht="15.75" customHeight="true">
      <c r="A159" s="63">
        <v>46065</v>
      </c>
      <c r="B159" s="62" t="s"/>
      <c r="C159" s="62" t="s"/>
      <c r="D159" s="62" t="s">
        <v>38</v>
      </c>
      <c r="E159" s="62" t="s">
        <v>48</v>
      </c>
      <c r="F159" s="62" t="s">
        <v>49</v>
      </c>
      <c r="G159" s="93" t="s">
        <v>107</v>
      </c>
      <c r="H159" s="96" t="s">
        <v>61</v>
      </c>
      <c r="I159" s="77" t="s">
        <v>47</v>
      </c>
      <c r="J159" s="62">
        <v>2</v>
      </c>
      <c r="K159" s="62">
        <v>3</v>
      </c>
      <c r="L159" s="62" t="s"/>
      <c r="M159" s="62" t="s"/>
      <c r="N159" s="62" t="s"/>
      <c r="O159" s="62">
        <v>509400</v>
      </c>
      <c r="P159" s="62">
        <v>478800</v>
      </c>
      <c r="Q159" s="62">
        <v>509400</v>
      </c>
      <c r="R159" s="62" t="s"/>
      <c r="S159" s="62" t="s"/>
      <c r="T159" s="68">
        <f>=P159/10000*J159*Z159</f>
        <v>20301.12</v>
      </c>
      <c r="U159" s="62">
        <v>0</v>
      </c>
      <c r="V159" s="68" t="s"/>
      <c r="W159" s="68" t="s"/>
      <c r="X159" s="68">
        <f>=O159-P159</f>
        <v>30600</v>
      </c>
      <c r="Y159" s="68">
        <f>=X159-T159-U159-V159</f>
        <v>10298.88</v>
      </c>
      <c r="Z159" s="62">
        <f>=A159-$A$19+1</f>
        <v>212</v>
      </c>
      <c r="AA159" s="68">
        <f>=P159/10000*K159*Z159</f>
        <v>30451.68</v>
      </c>
      <c r="AB159" s="62">
        <f>=Q159*Z159</f>
        <v>107992800</v>
      </c>
      <c r="AC159" t="s">
        <v>58</v>
      </c>
    </row>
    <row r="160" spans="1:29">
      <c r="A160" s="63">
        <v>46065</v>
      </c>
      <c r="B160" s="62" t="s">
        <v>37</v>
      </c>
      <c r="C160" s="62" t="s"/>
      <c r="D160" s="63" t="s">
        <v>38</v>
      </c>
      <c r="E160" s="62" t="s">
        <v>39</v>
      </c>
      <c r="F160" s="62" t="s">
        <v>40</v>
      </c>
      <c r="G160" s="83" t="s">
        <v>46</v>
      </c>
      <c r="H160" s="83" t="s">
        <v>126</v>
      </c>
      <c r="I160" s="77" t="s">
        <v>47</v>
      </c>
      <c r="J160" s="62">
        <v>2</v>
      </c>
      <c r="K160" s="62">
        <v>2.5</v>
      </c>
      <c r="L160" s="62" t="s"/>
      <c r="M160" s="62" t="s"/>
      <c r="N160" s="62" t="s"/>
      <c r="O160" s="62">
        <v>1236892.92</v>
      </c>
      <c r="P160" s="66">
        <v>1235412</v>
      </c>
      <c r="Q160" s="62">
        <v>1236892.92</v>
      </c>
      <c r="R160" s="62" t="s"/>
      <c r="S160" s="62" t="s"/>
      <c r="T160" s="68">
        <f>=P160/10000*J160*Z160</f>
        <v>988.3296</v>
      </c>
      <c r="U160" s="62">
        <v>246</v>
      </c>
      <c r="V160" s="68" t="s"/>
      <c r="W160" s="68" t="s"/>
      <c r="X160" s="68">
        <f>=O160-P160</f>
        <v>1480.92000000016</v>
      </c>
      <c r="Y160" s="68">
        <f>=X160-T160-U160-V160</f>
        <v>246.590400000158</v>
      </c>
      <c r="Z160" s="62">
        <f>=A160-$A$152+1</f>
        <v>4</v>
      </c>
      <c r="AA160" s="68">
        <f>=P160/10000*K160*Z160</f>
        <v>1235.412</v>
      </c>
      <c r="AB160" s="62">
        <f>=Q160*Z160</f>
        <v>4947571.68</v>
      </c>
      <c r="AC160" t="s">
        <v>58</v>
      </c>
    </row>
    <row r="161" spans="1:29">
      <c r="A161" s="76">
        <v>46065</v>
      </c>
      <c r="B161" s="62" t="s">
        <v>37</v>
      </c>
      <c r="C161" s="62" t="s"/>
      <c r="D161" s="63" t="s">
        <v>38</v>
      </c>
      <c r="E161" s="62" t="s">
        <v>39</v>
      </c>
      <c r="F161" s="62" t="s">
        <v>40</v>
      </c>
      <c r="G161" s="83" t="s">
        <v>80</v>
      </c>
      <c r="H161" s="83" t="s">
        <v>101</v>
      </c>
      <c r="I161" s="77" t="s">
        <v>47</v>
      </c>
      <c r="J161" s="62">
        <v>2</v>
      </c>
      <c r="K161" s="62">
        <v>2.5</v>
      </c>
      <c r="O161">
        <v>81729</v>
      </c>
      <c r="P161">
        <v>81000</v>
      </c>
      <c r="Q161">
        <v>81729</v>
      </c>
      <c r="T161" s="68">
        <f>=P161/10000*J161*Z161</f>
        <v>599.4</v>
      </c>
      <c r="U161" s="62">
        <v>0</v>
      </c>
      <c r="V161" s="68" t="s"/>
      <c r="W161" s="68" t="s"/>
      <c r="X161" s="68">
        <f>=O161-P161</f>
        <v>729</v>
      </c>
      <c r="Y161" s="68">
        <f>=X161-T161-U161-V161</f>
        <v>129.6</v>
      </c>
      <c r="Z161" s="62">
        <f>=A161-$A$98+1</f>
        <v>37</v>
      </c>
      <c r="AA161" s="68">
        <f>=P161/10000*K161*Z161</f>
        <v>749.25</v>
      </c>
      <c r="AB161" s="62">
        <f>=Q161*Z161</f>
        <v>3023973</v>
      </c>
      <c r="AC161" t="s">
        <v>44</v>
      </c>
    </row>
    <row r="162" spans="1:29">
      <c r="A162" s="76">
        <v>46065</v>
      </c>
      <c r="B162" s="62" t="s">
        <v>37</v>
      </c>
      <c r="C162" s="62" t="s"/>
      <c r="D162" s="63" t="s">
        <v>38</v>
      </c>
      <c r="E162" s="62" t="s">
        <v>39</v>
      </c>
      <c r="F162" s="62" t="s">
        <v>40</v>
      </c>
      <c r="G162" s="83" t="s">
        <v>80</v>
      </c>
      <c r="H162" s="83" t="s">
        <v>103</v>
      </c>
      <c r="I162" s="77" t="s">
        <v>47</v>
      </c>
      <c r="J162" s="62">
        <v>2</v>
      </c>
      <c r="K162" s="62">
        <v>2.5</v>
      </c>
      <c r="O162">
        <v>179492</v>
      </c>
      <c r="P162">
        <v>178200</v>
      </c>
      <c r="Q162">
        <v>179492</v>
      </c>
      <c r="T162" s="68">
        <f>=P162/10000*J162*Z162</f>
        <v>1069.2</v>
      </c>
      <c r="U162" s="62">
        <v>0</v>
      </c>
      <c r="V162" s="68" t="s"/>
      <c r="W162" s="68" t="s"/>
      <c r="X162" s="68">
        <f>=O162-P162</f>
        <v>1292</v>
      </c>
      <c r="Y162" s="68">
        <f>=X162-T162-U162-V162</f>
        <v>222.8</v>
      </c>
      <c r="Z162" s="62">
        <f>=A162-$A$107+1</f>
        <v>30</v>
      </c>
      <c r="AA162" s="68">
        <f>=P162/10000*K162*Z162</f>
        <v>1336.5</v>
      </c>
      <c r="AB162" s="62">
        <f>=Q162*Z162</f>
        <v>5384760</v>
      </c>
      <c r="AC162" t="s">
        <v>44</v>
      </c>
    </row>
    <row r="163" spans="1:29">
      <c r="A163" s="76">
        <v>46066</v>
      </c>
      <c r="B163" s="62" t="s">
        <v>37</v>
      </c>
      <c r="C163" s="62" t="s"/>
      <c r="D163" s="63" t="s">
        <v>38</v>
      </c>
      <c r="E163" s="62" t="s">
        <v>39</v>
      </c>
      <c r="F163" s="62" t="s">
        <v>40</v>
      </c>
      <c r="G163" s="83" t="s">
        <v>80</v>
      </c>
      <c r="H163" s="83" t="s">
        <v>103</v>
      </c>
      <c r="I163" s="77" t="s">
        <v>47</v>
      </c>
      <c r="J163" s="62">
        <v>2</v>
      </c>
      <c r="K163" s="62">
        <v>2.5</v>
      </c>
      <c r="O163">
        <v>89778.2</v>
      </c>
      <c r="P163">
        <v>89100</v>
      </c>
      <c r="Q163">
        <v>89778.2</v>
      </c>
      <c r="T163" s="68">
        <f>=P163/10000*J163*Z163</f>
        <v>552.42</v>
      </c>
      <c r="U163" s="62">
        <v>0</v>
      </c>
      <c r="V163" s="68" t="s"/>
      <c r="W163" s="68" t="s"/>
      <c r="X163" s="68">
        <f>=O163-P163</f>
        <v>678.199999999997</v>
      </c>
      <c r="Y163" s="68">
        <f>=X163-T163-U163-V163</f>
        <v>125.779999999997</v>
      </c>
      <c r="Z163" s="62">
        <f>=A163-$A$107+1</f>
        <v>31</v>
      </c>
      <c r="AA163" s="68">
        <f>=P163/10000*K163*Z163</f>
        <v>690.525</v>
      </c>
      <c r="AB163" s="62">
        <f>=Q163*Z163</f>
        <v>2783124.2</v>
      </c>
      <c r="AC163" t="s">
        <v>44</v>
      </c>
    </row>
    <row r="164" spans="1:29">
      <c r="A164" s="63">
        <v>46066</v>
      </c>
      <c r="B164" s="62" t="s">
        <v>37</v>
      </c>
      <c r="C164" s="62" t="s"/>
      <c r="D164" s="63" t="s">
        <v>38</v>
      </c>
      <c r="E164" s="62" t="s">
        <v>39</v>
      </c>
      <c r="F164" s="62" t="s">
        <v>40</v>
      </c>
      <c r="G164" s="83" t="s">
        <v>46</v>
      </c>
      <c r="H164" s="83" t="s">
        <v>126</v>
      </c>
      <c r="I164" s="77" t="s">
        <v>47</v>
      </c>
      <c r="J164" s="62">
        <v>2</v>
      </c>
      <c r="K164" s="62">
        <v>2.5</v>
      </c>
      <c r="L164" s="62" t="s"/>
      <c r="M164" s="62" t="s"/>
      <c r="N164" s="62" t="s"/>
      <c r="O164" s="62">
        <v>4019315.6</v>
      </c>
      <c r="P164" s="66">
        <v>4014000</v>
      </c>
      <c r="Q164" s="62">
        <v>4019315.6</v>
      </c>
      <c r="R164" s="62" t="s"/>
      <c r="S164" s="62" t="s"/>
      <c r="T164" s="68">
        <f>=P164/10000*J164*Z164</f>
        <v>4014</v>
      </c>
      <c r="U164" s="62">
        <v>380</v>
      </c>
      <c r="V164" s="68" t="s"/>
      <c r="W164" s="68" t="s"/>
      <c r="X164" s="68">
        <f>=O164-P164</f>
        <v>5315.60000000009</v>
      </c>
      <c r="Y164" s="68">
        <f>=X164-T164-U164-V164</f>
        <v>921.600000000093</v>
      </c>
      <c r="Z164" s="62">
        <f>=A164-$A$152+1</f>
        <v>5</v>
      </c>
      <c r="AA164" s="68">
        <f>=P164/10000*K164*Z164</f>
        <v>5017.5</v>
      </c>
      <c r="AB164" s="62">
        <f>=Q164*Z164</f>
        <v>20096578</v>
      </c>
      <c r="AC164" t="s">
        <v>58</v>
      </c>
    </row>
    <row r="165" spans="1:29">
      <c r="A165" s="63">
        <v>46066</v>
      </c>
      <c r="B165" s="62" t="s">
        <v>37</v>
      </c>
      <c r="C165" s="62" t="s"/>
      <c r="D165" s="63" t="s">
        <v>38</v>
      </c>
      <c r="E165" s="62" t="s">
        <v>39</v>
      </c>
      <c r="F165" s="62" t="s">
        <v>40</v>
      </c>
      <c r="G165" s="83" t="s">
        <v>46</v>
      </c>
      <c r="H165" s="83" t="s">
        <v>127</v>
      </c>
      <c r="I165" s="77" t="s">
        <v>47</v>
      </c>
      <c r="J165" s="62">
        <v>2</v>
      </c>
      <c r="K165" s="62">
        <v>2.5</v>
      </c>
      <c r="L165" s="62" t="s"/>
      <c r="M165" s="62" t="s"/>
      <c r="N165" s="62" t="s"/>
      <c r="O165" s="62">
        <v>3213929.6</v>
      </c>
      <c r="P165" s="66">
        <v>3211200</v>
      </c>
      <c r="Q165" s="62">
        <v>3213929.6</v>
      </c>
      <c r="R165" s="62" t="s"/>
      <c r="S165" s="62" t="s"/>
      <c r="T165" s="68">
        <f>=P165/10000*J165*Z165</f>
        <v>1926.72</v>
      </c>
      <c r="U165" s="62">
        <v>340</v>
      </c>
      <c r="V165" s="68" t="s"/>
      <c r="W165" s="68" t="s"/>
      <c r="X165" s="68">
        <f>=O165-P165</f>
        <v>2729.60000000009</v>
      </c>
      <c r="Y165" s="68">
        <f>=X165-T165-U165-V165</f>
        <v>462.880000000093</v>
      </c>
      <c r="Z165" s="62">
        <f>=A165-$A$158+1</f>
        <v>3</v>
      </c>
      <c r="AA165" s="68">
        <f>=P165/10000*K165*Z165</f>
        <v>2408.4</v>
      </c>
      <c r="AB165" s="62">
        <f>=Q165*Z165</f>
        <v>9641788.8</v>
      </c>
      <c r="AC165" t="s">
        <v>58</v>
      </c>
    </row>
    <row r="166" spans="1:29">
      <c r="A166" s="63">
        <v>46066</v>
      </c>
      <c r="B166" s="62" t="s">
        <v>37</v>
      </c>
      <c r="C166" s="62" t="s"/>
      <c r="D166" s="62" t="s">
        <v>38</v>
      </c>
      <c r="E166" s="62" t="s">
        <v>48</v>
      </c>
      <c r="F166" s="62" t="s">
        <v>73</v>
      </c>
      <c r="G166" s="83" t="s">
        <v>74</v>
      </c>
      <c r="H166" s="83" t="s">
        <v>108</v>
      </c>
      <c r="I166" s="77" t="s">
        <v>47</v>
      </c>
      <c r="J166" s="62">
        <v>1.46</v>
      </c>
      <c r="K166" s="62">
        <v>2.5</v>
      </c>
      <c r="L166" s="62" t="s"/>
      <c r="M166" s="62" t="s"/>
      <c r="N166" s="62" t="s"/>
      <c r="O166" s="62">
        <v>282300</v>
      </c>
      <c r="P166" s="62">
        <v>281400</v>
      </c>
      <c r="Q166" s="62">
        <v>282300</v>
      </c>
      <c r="R166" s="62" t="s"/>
      <c r="S166" s="62" t="s"/>
      <c r="T166" s="68">
        <f>=P166/10000*J166*Z166</f>
        <v>575.1816</v>
      </c>
      <c r="U166" s="62">
        <v>0</v>
      </c>
      <c r="V166" s="68" t="s"/>
      <c r="W166" s="68" t="s"/>
      <c r="X166" s="68">
        <f>=O166-P166</f>
        <v>900</v>
      </c>
      <c r="Y166" s="68">
        <f>=X166-T166-U166-V166</f>
        <v>324.8184</v>
      </c>
      <c r="Z166" s="62">
        <f>=A166-$A$134+1</f>
        <v>14</v>
      </c>
      <c r="AA166" s="68">
        <f>=P166/10000*K166*Z166</f>
        <v>984.9</v>
      </c>
      <c r="AB166" s="62">
        <f>=Q166*Z166</f>
        <v>3952200</v>
      </c>
      <c r="AC166" t="s">
        <v>44</v>
      </c>
    </row>
    <row r="167" spans="1:29">
      <c r="A167" s="63">
        <v>46068</v>
      </c>
      <c r="B167" s="62" t="s">
        <v>37</v>
      </c>
      <c r="C167" s="62" t="s"/>
      <c r="D167" s="63" t="s">
        <v>38</v>
      </c>
      <c r="E167" s="62" t="s">
        <v>39</v>
      </c>
      <c r="F167" s="62" t="s">
        <v>40</v>
      </c>
      <c r="G167" s="83" t="s">
        <v>46</v>
      </c>
      <c r="H167" s="83" t="s">
        <v>126</v>
      </c>
      <c r="I167" s="77" t="s">
        <v>47</v>
      </c>
      <c r="J167" s="62">
        <v>2</v>
      </c>
      <c r="K167" s="62">
        <v>2.5</v>
      </c>
      <c r="L167" s="62" t="s"/>
      <c r="M167" s="62" t="s"/>
      <c r="N167" s="62" t="s"/>
      <c r="O167" s="62">
        <v>3718712.8</v>
      </c>
      <c r="P167" s="66">
        <v>3712950</v>
      </c>
      <c r="Q167" s="62">
        <v>3718712.8</v>
      </c>
      <c r="R167" s="62" t="s"/>
      <c r="S167" s="62" t="s"/>
      <c r="T167" s="68">
        <f>=P167/10000*J167*Z167</f>
        <v>5198.13</v>
      </c>
      <c r="U167" s="62">
        <v>370</v>
      </c>
      <c r="V167" s="68" t="s"/>
      <c r="W167" s="68" t="s"/>
      <c r="X167" s="68">
        <f>=O167-P167</f>
        <v>5762.79999999982</v>
      </c>
      <c r="Y167" s="68">
        <f>=X167-T167-U167-V167</f>
        <v>194.669999999814</v>
      </c>
      <c r="Z167" s="62">
        <f>=A167-$A$152+1</f>
        <v>7</v>
      </c>
      <c r="AA167" s="68">
        <f>=P167/10000*K167*Z167</f>
        <v>6497.6625</v>
      </c>
      <c r="AB167" s="62">
        <f>=Q167*Z167</f>
        <v>26030989.6</v>
      </c>
      <c r="AC167" t="s">
        <v>58</v>
      </c>
    </row>
    <row r="168" spans="1:29">
      <c r="A168" s="63">
        <v>46069</v>
      </c>
      <c r="B168" s="62" t="s">
        <v>37</v>
      </c>
      <c r="C168" s="62" t="s"/>
      <c r="D168" s="63" t="s">
        <v>38</v>
      </c>
      <c r="E168" s="62" t="s">
        <v>39</v>
      </c>
      <c r="F168" s="62" t="s">
        <v>40</v>
      </c>
      <c r="G168" s="83" t="s">
        <v>46</v>
      </c>
      <c r="H168" s="83" t="s">
        <v>126</v>
      </c>
      <c r="I168" s="77" t="s">
        <v>47</v>
      </c>
      <c r="J168" s="62">
        <v>2</v>
      </c>
      <c r="K168" s="62">
        <v>2.5</v>
      </c>
      <c r="L168" s="62" t="s"/>
      <c r="M168" s="62" t="s"/>
      <c r="N168" s="62" t="s"/>
      <c r="O168" s="62">
        <v>1005356</v>
      </c>
      <c r="P168" s="66">
        <v>1003500</v>
      </c>
      <c r="Q168" s="62">
        <v>1005356</v>
      </c>
      <c r="R168" s="62" t="s"/>
      <c r="S168" s="62" t="s"/>
      <c r="T168" s="68">
        <f>=P168/10000*J168*Z168</f>
        <v>1605.6</v>
      </c>
      <c r="U168" s="62">
        <v>100</v>
      </c>
      <c r="V168" s="68" t="s"/>
      <c r="W168" s="68" t="s"/>
      <c r="X168" s="68">
        <f>=O168-P168</f>
        <v>1856</v>
      </c>
      <c r="Y168" s="68">
        <f>=X168-T168-U168-V168</f>
        <v>150.4</v>
      </c>
      <c r="Z168" s="62">
        <f>=A168-$A$152+1</f>
        <v>8</v>
      </c>
      <c r="AA168" s="68">
        <f>=P168/10000*K168*Z168</f>
        <v>2007</v>
      </c>
      <c r="AB168" s="62">
        <f>=Q168*Z168</f>
        <v>8042848</v>
      </c>
      <c r="AC168" t="s">
        <v>58</v>
      </c>
    </row>
    <row r="169" spans="1:29">
      <c r="A169" s="63">
        <v>46076</v>
      </c>
      <c r="B169" s="62" t="s">
        <v>37</v>
      </c>
      <c r="C169" s="62" t="s"/>
      <c r="D169" s="63" t="s">
        <v>38</v>
      </c>
      <c r="E169" s="62" t="s">
        <v>39</v>
      </c>
      <c r="F169" s="62" t="s">
        <v>40</v>
      </c>
      <c r="G169" s="83" t="s">
        <v>46</v>
      </c>
      <c r="H169" s="83" t="s">
        <v>126</v>
      </c>
      <c r="I169" s="77" t="s">
        <v>47</v>
      </c>
      <c r="J169" s="62">
        <v>2</v>
      </c>
      <c r="K169" s="62">
        <v>2.5</v>
      </c>
      <c r="L169" s="62" t="s"/>
      <c r="M169" s="62" t="s"/>
      <c r="N169" s="62" t="s"/>
      <c r="O169" s="62">
        <v>2013522</v>
      </c>
      <c r="P169" s="66">
        <v>2007000</v>
      </c>
      <c r="Q169" s="62">
        <v>2013522</v>
      </c>
      <c r="R169" s="62" t="s"/>
      <c r="S169" s="62" t="s"/>
      <c r="T169" s="68">
        <f>=P169/10000*J169*Z169</f>
        <v>6021</v>
      </c>
      <c r="U169" s="62">
        <v>200</v>
      </c>
      <c r="V169" s="68" t="s"/>
      <c r="W169" s="68" t="s"/>
      <c r="X169" s="68">
        <f>=O169-P169</f>
        <v>6522</v>
      </c>
      <c r="Y169" s="68">
        <f>=X169-T169-U169-V169</f>
        <v>301</v>
      </c>
      <c r="Z169" s="62">
        <f>=A169-$A$152+1</f>
        <v>15</v>
      </c>
      <c r="AA169" s="68">
        <f>=P169/10000*K169*Z169</f>
        <v>7526.25</v>
      </c>
      <c r="AB169" s="62">
        <f>=Q169*Z169</f>
        <v>30202830</v>
      </c>
      <c r="AC169" t="s">
        <v>58</v>
      </c>
    </row>
    <row r="170" spans="1:29">
      <c r="A170" s="63">
        <v>46077</v>
      </c>
      <c r="B170" s="62" t="s">
        <v>37</v>
      </c>
      <c r="C170" s="62" t="s"/>
      <c r="D170" s="62" t="s">
        <v>38</v>
      </c>
      <c r="E170" s="62" t="s">
        <v>63</v>
      </c>
      <c r="F170" s="62" t="s">
        <v>111</v>
      </c>
      <c r="G170" s="94" t="s">
        <v>112</v>
      </c>
      <c r="H170" s="64" t="s">
        <v>113</v>
      </c>
      <c r="I170" s="72" t="s">
        <v>47</v>
      </c>
      <c r="J170" s="62">
        <v>2</v>
      </c>
      <c r="K170" s="62">
        <v>3</v>
      </c>
      <c r="L170" s="62" t="s"/>
      <c r="M170" s="62" t="s"/>
      <c r="N170" s="62" t="s"/>
      <c r="O170" s="62">
        <v>60378</v>
      </c>
      <c r="P170" s="62">
        <v>60000</v>
      </c>
      <c r="Q170" s="62">
        <v>60378</v>
      </c>
      <c r="R170" s="62" t="s"/>
      <c r="S170" s="62" t="s"/>
      <c r="T170" s="68">
        <f>=P170/10000*J170*Z170</f>
        <v>252</v>
      </c>
      <c r="U170" s="62">
        <v>30</v>
      </c>
      <c r="V170" s="68" t="s"/>
      <c r="W170" s="68" t="s"/>
      <c r="X170" s="68">
        <f>=O170-P170</f>
        <v>378</v>
      </c>
      <c r="Y170" s="68">
        <f>=X170-T170-U170-V170</f>
        <v>96</v>
      </c>
      <c r="Z170" s="62">
        <f>=A170-$A$142+1</f>
        <v>21</v>
      </c>
      <c r="AA170" s="68">
        <f>=P170/10000*K170*Z170</f>
        <v>378</v>
      </c>
      <c r="AB170" s="62">
        <f>=Q170*Z170</f>
        <v>1267938</v>
      </c>
      <c r="AC170" t="s">
        <v>58</v>
      </c>
    </row>
    <row r="171" spans="1:29">
      <c r="A171" s="63">
        <v>46077</v>
      </c>
      <c r="B171" s="62" t="s">
        <v>37</v>
      </c>
      <c r="C171" s="62" t="s"/>
      <c r="D171" s="62" t="s">
        <v>114</v>
      </c>
      <c r="E171" s="62" t="s">
        <v>114</v>
      </c>
      <c r="F171" s="62" t="s">
        <v>115</v>
      </c>
      <c r="G171" s="64" t="s">
        <v>116</v>
      </c>
      <c r="H171" s="64" t="s">
        <v>118</v>
      </c>
      <c r="I171" s="72" t="s">
        <v>47</v>
      </c>
      <c r="J171" s="62">
        <v>2</v>
      </c>
      <c r="K171" s="62">
        <v>2.6</v>
      </c>
      <c r="L171" s="62" t="s"/>
      <c r="M171" s="62" t="s"/>
      <c r="N171" s="62" t="s"/>
      <c r="O171" s="62">
        <v>166323.8</v>
      </c>
      <c r="P171" s="62">
        <v>165460</v>
      </c>
      <c r="Q171" s="62">
        <v>166323.8</v>
      </c>
      <c r="R171" s="62" t="s"/>
      <c r="S171" s="62" t="s"/>
      <c r="T171" s="68">
        <f>=P171/10000*J171*Z171</f>
        <v>661.84</v>
      </c>
      <c r="U171" s="62">
        <v>0</v>
      </c>
      <c r="V171" s="68" t="s"/>
      <c r="W171" s="68" t="s"/>
      <c r="X171" s="68">
        <f>=O171-P171</f>
        <v>863.799999999989</v>
      </c>
      <c r="Y171" s="68">
        <f>=X171-T171-U171-V171</f>
        <v>201.959999999988</v>
      </c>
      <c r="Z171" s="62">
        <f>=A171-$A$144+1</f>
        <v>20</v>
      </c>
      <c r="AA171" s="68">
        <f>=P171/10000*K171*Z171</f>
        <v>860.392</v>
      </c>
      <c r="AB171" s="62">
        <f>=Q171*Z171</f>
        <v>3326476</v>
      </c>
      <c r="AC171" t="s">
        <v>58</v>
      </c>
    </row>
    <row r="172" spans="1:29">
      <c r="A172" s="63">
        <v>46078</v>
      </c>
      <c r="B172" s="62" t="s">
        <v>37</v>
      </c>
      <c r="C172" s="62" t="s"/>
      <c r="D172" s="62" t="s">
        <v>38</v>
      </c>
      <c r="E172" s="62" t="s">
        <v>48</v>
      </c>
      <c r="F172" s="62" t="s">
        <v>81</v>
      </c>
      <c r="G172" s="64" t="s">
        <v>84</v>
      </c>
      <c r="H172" s="64" t="s">
        <v>92</v>
      </c>
      <c r="I172" s="72" t="s">
        <v>47</v>
      </c>
      <c r="J172" s="62">
        <v>2</v>
      </c>
      <c r="K172" s="62">
        <v>2.5</v>
      </c>
      <c r="L172" s="62" t="s"/>
      <c r="M172" s="62" t="s"/>
      <c r="N172" s="62" t="s"/>
      <c r="O172" s="68">
        <v>66177</v>
      </c>
      <c r="P172" s="62">
        <v>64800</v>
      </c>
      <c r="Q172" s="62">
        <v>66177</v>
      </c>
      <c r="R172" s="62" t="s"/>
      <c r="S172" s="62" t="s"/>
      <c r="T172" s="68">
        <f>=P172/10000*J172*Z172</f>
        <v>1101.6</v>
      </c>
      <c r="U172" s="62">
        <v>0</v>
      </c>
      <c r="V172" s="68" t="s"/>
      <c r="W172" s="68" t="s"/>
      <c r="X172" s="68">
        <f>=O172-P172</f>
        <v>1377</v>
      </c>
      <c r="Y172" s="68">
        <f>=X172-T172-U172-V172</f>
        <v>275.4</v>
      </c>
      <c r="Z172" s="62">
        <f>=A172-$A$65+1</f>
        <v>85</v>
      </c>
      <c r="AA172" s="68">
        <f>=P172/10000*K172*Z172</f>
        <v>1377</v>
      </c>
      <c r="AB172" s="62">
        <f>=Q172*Z172</f>
        <v>5625045</v>
      </c>
      <c r="AC172" t="s">
        <v>44</v>
      </c>
    </row>
    <row r="173" spans="1:29">
      <c r="A173" s="63">
        <v>46078</v>
      </c>
      <c r="B173" s="62" t="s">
        <v>37</v>
      </c>
      <c r="C173" s="62" t="s"/>
      <c r="D173" s="62" t="s">
        <v>38</v>
      </c>
      <c r="E173" s="62" t="s">
        <v>48</v>
      </c>
      <c r="F173" s="62" t="s">
        <v>81</v>
      </c>
      <c r="G173" s="64" t="s">
        <v>84</v>
      </c>
      <c r="H173" s="64" t="s">
        <v>95</v>
      </c>
      <c r="I173" s="72" t="s">
        <v>47</v>
      </c>
      <c r="J173" s="62">
        <v>2</v>
      </c>
      <c r="K173" s="62">
        <v>2.5</v>
      </c>
      <c r="L173" s="62" t="s"/>
      <c r="M173" s="62" t="s"/>
      <c r="N173" s="62" t="s"/>
      <c r="O173" s="62">
        <v>54490</v>
      </c>
      <c r="P173" s="62">
        <v>53600</v>
      </c>
      <c r="Q173" s="62">
        <v>54490</v>
      </c>
      <c r="R173" s="62" t="s"/>
      <c r="S173" s="62" t="s"/>
      <c r="T173" s="68">
        <f>=P173/10000*J173*Z173</f>
        <v>707.52</v>
      </c>
      <c r="U173" s="62">
        <v>0</v>
      </c>
      <c r="V173" s="68" t="s"/>
      <c r="W173" s="68" t="s"/>
      <c r="X173" s="68">
        <f>=O173-P173</f>
        <v>890</v>
      </c>
      <c r="Y173" s="68">
        <f>=X173-T173-U173-V173</f>
        <v>182.48</v>
      </c>
      <c r="Z173" s="62">
        <f>=A173-$A$80+1</f>
        <v>66</v>
      </c>
      <c r="AA173" s="68">
        <f>=P173/10000*K173*Z173</f>
        <v>884.4</v>
      </c>
      <c r="AB173" s="62">
        <f>=Q173*Z173</f>
        <v>3596340</v>
      </c>
      <c r="AC173" t="s">
        <v>44</v>
      </c>
    </row>
    <row r="174" spans="1:29">
      <c r="A174" s="63">
        <v>46079</v>
      </c>
      <c r="B174" s="62" t="s">
        <v>37</v>
      </c>
      <c r="C174" s="62" t="s"/>
      <c r="D174" s="62" t="s">
        <v>38</v>
      </c>
      <c r="E174" s="62" t="s">
        <v>48</v>
      </c>
      <c r="F174" s="62" t="s">
        <v>73</v>
      </c>
      <c r="G174" s="83" t="s">
        <v>74</v>
      </c>
      <c r="H174" s="64" t="s">
        <v>108</v>
      </c>
      <c r="I174" s="77" t="s">
        <v>47</v>
      </c>
      <c r="J174" s="62">
        <v>1.46</v>
      </c>
      <c r="K174" s="62">
        <v>2.5</v>
      </c>
      <c r="L174" s="62" t="s"/>
      <c r="M174" s="62" t="s"/>
      <c r="N174" s="62" t="s"/>
      <c r="O174" s="62">
        <v>472000</v>
      </c>
      <c r="P174" s="62">
        <v>469000</v>
      </c>
      <c r="Q174" s="62">
        <v>472000</v>
      </c>
      <c r="R174" s="62" t="s"/>
      <c r="S174" s="62" t="s"/>
      <c r="T174" s="68">
        <f>=P174/10000*J174*Z174</f>
        <v>1848.798</v>
      </c>
      <c r="U174" s="62">
        <v>0</v>
      </c>
      <c r="V174" s="68" t="s"/>
      <c r="W174" s="68" t="s"/>
      <c r="X174" s="68">
        <f>=O174-P174</f>
        <v>3000</v>
      </c>
      <c r="Y174" s="68">
        <f>=X174-T174-U174-V174</f>
        <v>1151.202</v>
      </c>
      <c r="Z174" s="62">
        <f>=A174-$A$134+1</f>
        <v>27</v>
      </c>
      <c r="AA174" s="68">
        <f>=P174/10000*K174*Z174</f>
        <v>3165.75</v>
      </c>
      <c r="AB174" s="62">
        <f>=Q174*Z174</f>
        <v>12744000</v>
      </c>
      <c r="AC174" t="s">
        <v>44</v>
      </c>
    </row>
    <row r="175" spans="1:29">
      <c r="A175" s="76">
        <v>46079</v>
      </c>
      <c r="B175" s="62" t="s">
        <v>37</v>
      </c>
      <c r="C175" s="62" t="s"/>
      <c r="D175" s="63" t="s">
        <v>38</v>
      </c>
      <c r="E175" s="62" t="s">
        <v>39</v>
      </c>
      <c r="F175" s="62" t="s">
        <v>40</v>
      </c>
      <c r="G175" s="64" t="s">
        <v>80</v>
      </c>
      <c r="H175" s="64" t="s">
        <v>103</v>
      </c>
      <c r="I175" s="72" t="s">
        <v>47</v>
      </c>
      <c r="J175" s="62">
        <v>2</v>
      </c>
      <c r="K175" s="62">
        <v>2.5</v>
      </c>
      <c r="O175">
        <v>630319.2</v>
      </c>
      <c r="P175">
        <v>623700</v>
      </c>
      <c r="Q175">
        <v>630319.2</v>
      </c>
      <c r="T175" s="68">
        <f>=P175/10000*J175*Z175</f>
        <v>5488.56</v>
      </c>
      <c r="U175" s="62">
        <v>0</v>
      </c>
      <c r="V175" s="68" t="s"/>
      <c r="W175" s="68" t="s"/>
      <c r="X175" s="68">
        <f>=O175-P175</f>
        <v>6619.19999999995</v>
      </c>
      <c r="Y175" s="68">
        <f>=X175-T175-U175-V175</f>
        <v>1130.63999999995</v>
      </c>
      <c r="Z175" s="62">
        <f>=A175-$A$107+1</f>
        <v>44</v>
      </c>
      <c r="AA175" s="68">
        <f>=P175/10000*K175*Z175</f>
        <v>6860.7</v>
      </c>
      <c r="AB175" s="62">
        <f>=Q175*Z175</f>
        <v>27734044.8</v>
      </c>
      <c r="AC175" t="s">
        <v>44</v>
      </c>
    </row>
    <row r="176" spans="1:29">
      <c r="A176" s="76">
        <v>46079</v>
      </c>
      <c r="B176" s="62" t="s">
        <v>37</v>
      </c>
      <c r="C176" s="62" t="s"/>
      <c r="D176" s="63" t="s">
        <v>38</v>
      </c>
      <c r="E176" s="62" t="s">
        <v>39</v>
      </c>
      <c r="F176" s="62" t="s">
        <v>40</v>
      </c>
      <c r="G176" s="64" t="s">
        <v>80</v>
      </c>
      <c r="H176" s="64" t="s">
        <v>105</v>
      </c>
      <c r="I176" s="72" t="s">
        <v>47</v>
      </c>
      <c r="J176" s="62">
        <v>2</v>
      </c>
      <c r="K176" s="62">
        <v>2.5</v>
      </c>
      <c r="O176">
        <v>161405.46</v>
      </c>
      <c r="P176">
        <v>159750</v>
      </c>
      <c r="Q176">
        <v>161405.46</v>
      </c>
      <c r="T176" s="68">
        <f>=P176/10000*J176*Z176</f>
        <v>1373.85</v>
      </c>
      <c r="U176" s="62">
        <v>0</v>
      </c>
      <c r="V176" s="68" t="s"/>
      <c r="W176" s="68" t="s"/>
      <c r="X176" s="68">
        <f>=O176-P176</f>
        <v>1655.45999999999</v>
      </c>
      <c r="Y176" s="68">
        <f>=X176-T176-U176-V176</f>
        <v>281.609999999992</v>
      </c>
      <c r="Z176" s="62">
        <f>=A176-$A$110+1</f>
        <v>43</v>
      </c>
      <c r="AA176" s="68">
        <f>=P176/10000*K176*Z176</f>
        <v>1717.3125</v>
      </c>
      <c r="AB176" s="62">
        <f>=Q176*Z176</f>
        <v>6940434.78</v>
      </c>
      <c r="AC176" t="s">
        <v>44</v>
      </c>
    </row>
    <row r="177" spans="1:29">
      <c r="A177" s="76">
        <v>46080</v>
      </c>
      <c r="B177" s="62" t="s">
        <v>37</v>
      </c>
      <c r="C177" s="62" t="s"/>
      <c r="D177" s="63" t="s">
        <v>38</v>
      </c>
      <c r="E177" s="62" t="s">
        <v>39</v>
      </c>
      <c r="F177" s="62" t="s">
        <v>40</v>
      </c>
      <c r="G177" s="64" t="s">
        <v>80</v>
      </c>
      <c r="H177" s="64" t="s">
        <v>101</v>
      </c>
      <c r="I177" s="72" t="s">
        <v>47</v>
      </c>
      <c r="J177" s="62">
        <v>2</v>
      </c>
      <c r="K177" s="62">
        <v>2.5</v>
      </c>
      <c r="O177">
        <v>105699</v>
      </c>
      <c r="P177">
        <v>104400</v>
      </c>
      <c r="Q177">
        <v>105699</v>
      </c>
      <c r="T177" s="68">
        <f>=P177/10000*J177*Z177</f>
        <v>1085.76</v>
      </c>
      <c r="U177" s="62">
        <v>0</v>
      </c>
      <c r="V177" s="68" t="s"/>
      <c r="W177" s="68" t="s"/>
      <c r="X177" s="68">
        <f>=O177-P177</f>
        <v>1299</v>
      </c>
      <c r="Y177" s="68">
        <f>=X177-T177-U177-V177</f>
        <v>213.24</v>
      </c>
      <c r="Z177" s="62">
        <f>=A177-$A$98+1</f>
        <v>52</v>
      </c>
      <c r="AA177" s="68">
        <f>=P177/10000*K177*Z177</f>
        <v>1357.2</v>
      </c>
      <c r="AB177" s="62">
        <f>=Q177*Z177</f>
        <v>5496348</v>
      </c>
      <c r="AC177" t="s">
        <v>44</v>
      </c>
    </row>
    <row r="178" spans="1:29">
      <c r="A178" s="76">
        <v>46080</v>
      </c>
      <c r="B178" s="62" t="s">
        <v>37</v>
      </c>
      <c r="C178" s="62" t="s"/>
      <c r="D178" s="63" t="s">
        <v>38</v>
      </c>
      <c r="E178" s="62" t="s">
        <v>39</v>
      </c>
      <c r="F178" s="62" t="s">
        <v>40</v>
      </c>
      <c r="G178" s="64" t="s">
        <v>80</v>
      </c>
      <c r="H178" s="64" t="s">
        <v>102</v>
      </c>
      <c r="I178" s="72" t="s">
        <v>47</v>
      </c>
      <c r="J178" s="62">
        <v>2</v>
      </c>
      <c r="K178" s="62">
        <v>2.5</v>
      </c>
      <c r="O178">
        <v>191750.2</v>
      </c>
      <c r="P178">
        <v>189400</v>
      </c>
      <c r="Q178">
        <v>191750.2</v>
      </c>
      <c r="T178" s="68">
        <f>=P178/10000*J178*Z178</f>
        <v>1894</v>
      </c>
      <c r="U178" s="62">
        <v>0</v>
      </c>
      <c r="V178" s="68" t="s"/>
      <c r="W178" s="68" t="s"/>
      <c r="X178" s="68">
        <f>=O178-P178</f>
        <v>2350.20000000001</v>
      </c>
      <c r="Y178" s="68">
        <f>=X178-T178-U178-V178</f>
        <v>456.200000000012</v>
      </c>
      <c r="Z178" s="62">
        <f>=A178-$A$100+1</f>
        <v>50</v>
      </c>
      <c r="AA178" s="68">
        <f>=P178/10000*K178*Z178</f>
        <v>2367.5</v>
      </c>
      <c r="AB178" s="62">
        <f>=Q178*Z178</f>
        <v>9587510</v>
      </c>
      <c r="AC178" t="s">
        <v>44</v>
      </c>
    </row>
    <row r="179" spans="1:29">
      <c r="A179" s="63">
        <v>46080</v>
      </c>
      <c r="B179" s="62" t="s">
        <v>37</v>
      </c>
      <c r="C179" s="62" t="s"/>
      <c r="D179" s="62" t="s">
        <v>38</v>
      </c>
      <c r="E179" s="62" t="s">
        <v>48</v>
      </c>
      <c r="F179" s="62" t="s">
        <v>81</v>
      </c>
      <c r="G179" s="64" t="s">
        <v>84</v>
      </c>
      <c r="H179" s="64" t="s">
        <v>95</v>
      </c>
      <c r="I179" s="72" t="s">
        <v>47</v>
      </c>
      <c r="J179" s="62">
        <v>2</v>
      </c>
      <c r="K179" s="62">
        <v>2.5</v>
      </c>
      <c r="L179" s="62" t="s"/>
      <c r="M179" s="62" t="s"/>
      <c r="N179" s="62" t="s"/>
      <c r="O179" s="62">
        <v>163560</v>
      </c>
      <c r="P179" s="62">
        <v>160800</v>
      </c>
      <c r="Q179" s="62">
        <v>163560</v>
      </c>
      <c r="R179" s="62" t="s"/>
      <c r="S179" s="62" t="s"/>
      <c r="T179" s="68">
        <f>=P179/10000*J179*Z179</f>
        <v>2186.88</v>
      </c>
      <c r="U179" s="62">
        <v>0</v>
      </c>
      <c r="V179" s="68" t="s"/>
      <c r="W179" s="68" t="s"/>
      <c r="X179" s="68">
        <f>=O179-P179</f>
        <v>2760</v>
      </c>
      <c r="Y179" s="68">
        <f>=X179-T179-U179-V179</f>
        <v>573.120000000001</v>
      </c>
      <c r="Z179" s="62">
        <f>=A179-$A$80+1</f>
        <v>68</v>
      </c>
      <c r="AA179" s="68">
        <f>=P179/10000*K179*Z179</f>
        <v>2733.6</v>
      </c>
      <c r="AB179" s="62">
        <f>=Q179*Z179</f>
        <v>11122080</v>
      </c>
      <c r="AC179" t="s">
        <v>44</v>
      </c>
    </row>
    <row r="180" spans="1:29">
      <c r="A180" s="63">
        <v>46081</v>
      </c>
      <c r="B180" s="62" t="s">
        <v>37</v>
      </c>
      <c r="C180" s="62" t="s"/>
      <c r="D180" s="62" t="s">
        <v>38</v>
      </c>
      <c r="E180" s="62" t="s">
        <v>48</v>
      </c>
      <c r="F180" s="62" t="s">
        <v>81</v>
      </c>
      <c r="G180" s="64" t="s">
        <v>84</v>
      </c>
      <c r="H180" s="64" t="s">
        <v>95</v>
      </c>
      <c r="I180" s="72" t="s">
        <v>47</v>
      </c>
      <c r="J180" s="62">
        <v>2</v>
      </c>
      <c r="K180" s="62">
        <v>2.5</v>
      </c>
      <c r="L180" s="62" t="s"/>
      <c r="M180" s="62" t="s"/>
      <c r="N180" s="62" t="s"/>
      <c r="O180" s="62">
        <v>272650</v>
      </c>
      <c r="P180" s="62">
        <v>268000</v>
      </c>
      <c r="Q180" s="62">
        <v>272650</v>
      </c>
      <c r="R180" s="62" t="s"/>
      <c r="S180" s="62" t="s"/>
      <c r="T180" s="68">
        <f>=P180/10000*J180*Z180</f>
        <v>3698.4</v>
      </c>
      <c r="U180" s="62">
        <v>0</v>
      </c>
      <c r="V180" s="68" t="s"/>
      <c r="W180" s="68" t="s"/>
      <c r="X180" s="68">
        <f>=O180-P180</f>
        <v>4650</v>
      </c>
      <c r="Y180" s="68">
        <f>=X180-T180-U180-V180</f>
        <v>951.6</v>
      </c>
      <c r="Z180" s="62">
        <f>=A180-$A$80+1</f>
        <v>69</v>
      </c>
      <c r="AA180" s="68">
        <f>=P180/10000*K180*Z180</f>
        <v>4623</v>
      </c>
      <c r="AB180" s="62">
        <f>=Q180*Z180</f>
        <v>18812850</v>
      </c>
      <c r="AC180" t="s">
        <v>44</v>
      </c>
    </row>
    <row r="181" spans="1:29">
      <c r="A181" s="63">
        <v>46081</v>
      </c>
      <c r="B181" s="62" t="s">
        <v>37</v>
      </c>
      <c r="C181" s="62" t="s"/>
      <c r="D181" s="62" t="s">
        <v>38</v>
      </c>
      <c r="E181" s="62" t="s">
        <v>48</v>
      </c>
      <c r="F181" s="62" t="s">
        <v>73</v>
      </c>
      <c r="G181" s="64" t="s">
        <v>74</v>
      </c>
      <c r="H181" s="64" t="s">
        <v>108</v>
      </c>
      <c r="I181" s="72" t="s">
        <v>47</v>
      </c>
      <c r="J181" s="62">
        <v>1.46</v>
      </c>
      <c r="K181" s="62">
        <v>2.5</v>
      </c>
      <c r="L181" s="62" t="s"/>
      <c r="M181" s="62" t="s"/>
      <c r="N181" s="62" t="s"/>
      <c r="O181" s="62">
        <v>472500</v>
      </c>
      <c r="P181" s="62">
        <v>469000</v>
      </c>
      <c r="Q181" s="62">
        <v>472500</v>
      </c>
      <c r="R181" s="62" t="s"/>
      <c r="S181" s="62" t="s"/>
      <c r="T181" s="68">
        <f>=P181/10000*J181*Z181</f>
        <v>1985.746</v>
      </c>
      <c r="U181" s="62">
        <v>0</v>
      </c>
      <c r="V181" s="68" t="s"/>
      <c r="W181" s="68" t="s"/>
      <c r="X181" s="68">
        <f>=O181-P181</f>
        <v>3500</v>
      </c>
      <c r="Y181" s="68">
        <f>=X181-T181-U181-V181</f>
        <v>1514.254</v>
      </c>
      <c r="Z181" s="62">
        <f>=A181-$A$134+1</f>
        <v>29</v>
      </c>
      <c r="AA181" s="68">
        <f>=P181/10000*K181*Z181</f>
        <v>3400.25</v>
      </c>
      <c r="AB181" s="62">
        <f>=Q181*Z181</f>
        <v>13702500</v>
      </c>
      <c r="AC181" t="s">
        <v>44</v>
      </c>
    </row>
    <row r="182" spans="1:29">
      <c r="A182" s="63">
        <v>46081</v>
      </c>
      <c r="B182" s="62" t="s">
        <v>37</v>
      </c>
      <c r="C182" s="62" t="s"/>
      <c r="D182" s="62" t="s">
        <v>38</v>
      </c>
      <c r="E182" s="62" t="s">
        <v>128</v>
      </c>
      <c r="F182" s="62" t="s">
        <v>129</v>
      </c>
      <c r="G182" s="97" t="s">
        <v>130</v>
      </c>
      <c r="H182" s="71" t="s">
        <v>131</v>
      </c>
      <c r="I182" s="72" t="s">
        <v>43</v>
      </c>
      <c r="J182" s="62">
        <v>2</v>
      </c>
      <c r="K182" s="62">
        <v>3</v>
      </c>
      <c r="L182" s="62" t="s"/>
      <c r="M182" s="62">
        <v>608000</v>
      </c>
      <c r="N182" s="62" t="s"/>
      <c r="O182" s="62" t="s"/>
      <c r="P182" s="62" t="s"/>
      <c r="Q182" s="62" t="s"/>
      <c r="R182" s="62" t="s"/>
      <c r="S182" s="62" t="s"/>
      <c r="T182" s="68" t="s"/>
      <c r="U182" s="62" t="s"/>
      <c r="V182" s="68" t="s"/>
      <c r="W182" s="68" t="s"/>
      <c r="X182" s="68" t="s"/>
      <c r="Y182" s="68" t="s"/>
      <c r="Z182" s="62" t="s"/>
      <c r="AA182" s="62" t="s"/>
      <c r="AB182" s="62" t="s"/>
      <c r="AC182" t="s">
        <v>58</v>
      </c>
    </row>
    <row r="183" spans="1:29">
      <c r="A183" s="63">
        <v>46083</v>
      </c>
      <c r="B183" s="62" t="s">
        <v>37</v>
      </c>
      <c r="C183" s="62" t="s"/>
      <c r="D183" s="62" t="s">
        <v>114</v>
      </c>
      <c r="E183" s="62" t="s">
        <v>114</v>
      </c>
      <c r="F183" s="62" t="s">
        <v>115</v>
      </c>
      <c r="G183" s="64" t="s">
        <v>116</v>
      </c>
      <c r="H183" s="64" t="s">
        <v>118</v>
      </c>
      <c r="I183" s="72" t="s">
        <v>47</v>
      </c>
      <c r="J183" s="62">
        <v>2</v>
      </c>
      <c r="K183" s="62">
        <v>2.6</v>
      </c>
      <c r="L183" s="62" t="s"/>
      <c r="M183" s="62" t="s"/>
      <c r="N183" s="62" t="s"/>
      <c r="O183" s="62">
        <v>104261.2</v>
      </c>
      <c r="P183" s="62">
        <v>103560</v>
      </c>
      <c r="Q183" s="62">
        <v>104261.2</v>
      </c>
      <c r="R183" s="62" t="s"/>
      <c r="S183" s="62" t="s"/>
      <c r="T183" s="68">
        <f>=P183/10000*J183*Z183</f>
        <v>538.512</v>
      </c>
      <c r="U183" s="62">
        <v>0</v>
      </c>
      <c r="V183" s="68" t="s"/>
      <c r="W183" s="68" t="s"/>
      <c r="X183" s="68">
        <f>=O183-P183</f>
        <v>701.199999999997</v>
      </c>
      <c r="Y183" s="68">
        <f>=X183-T183-U183-V183</f>
        <v>162.687999999997</v>
      </c>
      <c r="Z183" s="62">
        <f>=A183-$A$144+1</f>
        <v>26</v>
      </c>
      <c r="AA183" s="68">
        <f>=P183/10000*K183*Z183</f>
        <v>700.0656</v>
      </c>
      <c r="AB183" s="62">
        <f>=Q183*Z183</f>
        <v>2710791.2</v>
      </c>
      <c r="AC183" t="s">
        <v>58</v>
      </c>
    </row>
    <row r="184" spans="1:29">
      <c r="A184" s="63">
        <v>46083</v>
      </c>
      <c r="B184" s="62" t="s">
        <v>37</v>
      </c>
      <c r="C184" s="62" t="s"/>
      <c r="D184" s="62" t="s">
        <v>38</v>
      </c>
      <c r="E184" s="70" t="s">
        <v>54</v>
      </c>
      <c r="F184" s="62" t="s">
        <v>55</v>
      </c>
      <c r="G184" s="64" t="s">
        <v>93</v>
      </c>
      <c r="H184" s="80" t="s">
        <v>104</v>
      </c>
      <c r="I184" s="72" t="s">
        <v>47</v>
      </c>
      <c r="J184" s="62">
        <v>2</v>
      </c>
      <c r="K184" s="62">
        <v>2.5</v>
      </c>
      <c r="L184" s="62" t="s"/>
      <c r="M184" s="62" t="s"/>
      <c r="N184" s="62" t="s"/>
      <c r="O184" s="62">
        <v>722389.5</v>
      </c>
      <c r="P184" s="62">
        <v>714000</v>
      </c>
      <c r="Q184" s="62">
        <v>722389.5</v>
      </c>
      <c r="R184" s="62" t="s"/>
      <c r="S184" s="62" t="s"/>
      <c r="T184" s="68">
        <f>=P184/10000*J184*Z184</f>
        <v>6711.6</v>
      </c>
      <c r="U184" s="62">
        <v>0</v>
      </c>
      <c r="V184" s="68" t="s"/>
      <c r="W184" s="68" t="s"/>
      <c r="X184" s="68">
        <f>=O184-P184</f>
        <v>8389.5</v>
      </c>
      <c r="Y184" s="68">
        <f>=X184-T184-U184-V184</f>
        <v>1677.9</v>
      </c>
      <c r="Z184" s="62">
        <f>=A184-$A$109+1</f>
        <v>47</v>
      </c>
      <c r="AA184" s="68">
        <f>=P184/10000*K184*Z184</f>
        <v>8389.5</v>
      </c>
      <c r="AB184" s="62">
        <f>=Q184*Z184</f>
        <v>33952306.5</v>
      </c>
      <c r="AC184" t="s">
        <v>44</v>
      </c>
    </row>
    <row r="185" spans="1:29">
      <c r="A185" s="63">
        <v>46083</v>
      </c>
      <c r="B185" s="62" t="s">
        <v>37</v>
      </c>
      <c r="C185" s="62" t="s"/>
      <c r="D185" s="62" t="s">
        <v>38</v>
      </c>
      <c r="E185" s="70" t="s">
        <v>54</v>
      </c>
      <c r="F185" s="62" t="s">
        <v>55</v>
      </c>
      <c r="G185" s="64" t="s">
        <v>93</v>
      </c>
      <c r="H185" s="64" t="s">
        <v>106</v>
      </c>
      <c r="I185" s="72" t="s">
        <v>47</v>
      </c>
      <c r="J185" s="62">
        <v>2</v>
      </c>
      <c r="K185" s="62">
        <v>2.5</v>
      </c>
      <c r="L185" s="62" t="s"/>
      <c r="M185" s="62" t="s"/>
      <c r="N185" s="62" t="s"/>
      <c r="O185" s="62">
        <v>569922</v>
      </c>
      <c r="P185" s="62">
        <v>564000</v>
      </c>
      <c r="Q185" s="62">
        <v>569922</v>
      </c>
      <c r="R185" s="62" t="s"/>
      <c r="S185" s="62" t="s"/>
      <c r="T185" s="68">
        <f>=P185/10000*J185*Z185</f>
        <v>4737.6</v>
      </c>
      <c r="U185" s="62">
        <v>0</v>
      </c>
      <c r="V185" s="68" t="s"/>
      <c r="W185" s="68" t="s"/>
      <c r="X185" s="68">
        <f>=O185-P185</f>
        <v>5922</v>
      </c>
      <c r="Y185" s="68">
        <f>=X185-T185-U185-V185</f>
        <v>1184.4</v>
      </c>
      <c r="Z185" s="62">
        <f>=A185-$A$116+1</f>
        <v>42</v>
      </c>
      <c r="AA185" s="68">
        <f>=P185/10000*K185*Z185</f>
        <v>5922</v>
      </c>
      <c r="AB185" s="62">
        <f>=Q185*Z185</f>
        <v>23936724</v>
      </c>
      <c r="AC185" t="s">
        <v>44</v>
      </c>
    </row>
    <row r="186" spans="1:29">
      <c r="A186" s="63">
        <v>46083</v>
      </c>
      <c r="B186" s="62" t="s">
        <v>37</v>
      </c>
      <c r="C186" s="62" t="s"/>
      <c r="D186" s="62" t="s">
        <v>38</v>
      </c>
      <c r="E186" s="62" t="s">
        <v>85</v>
      </c>
      <c r="F186" s="62" t="s">
        <v>86</v>
      </c>
      <c r="G186" s="64" t="s">
        <v>65</v>
      </c>
      <c r="H186" s="64" t="s">
        <v>88</v>
      </c>
      <c r="I186" s="72" t="s">
        <v>47</v>
      </c>
      <c r="J186" s="62">
        <v>1.46</v>
      </c>
      <c r="K186" s="62">
        <v>2</v>
      </c>
      <c r="L186" s="62" t="s"/>
      <c r="M186" s="62" t="s"/>
      <c r="N186" s="62" t="s"/>
      <c r="O186" s="62">
        <v>1838347.04</v>
      </c>
      <c r="P186" s="62">
        <v>1836936.74</v>
      </c>
      <c r="Q186" s="62">
        <v>1838347.04</v>
      </c>
      <c r="R186" s="62" t="s"/>
      <c r="S186" s="62" t="s"/>
      <c r="T186" s="68">
        <f>=P186/10000*J186*Z186</f>
        <v>27892.04746016</v>
      </c>
      <c r="U186" s="62">
        <v>0</v>
      </c>
      <c r="V186" s="68" t="s"/>
      <c r="W186" s="68" t="s"/>
      <c r="X186" s="68">
        <f>=O186-P186</f>
        <v>1410.30000000005</v>
      </c>
      <c r="Y186" s="68">
        <f>=X186-T186-U186-V186</f>
        <v>-26481.74746016</v>
      </c>
      <c r="Z186" s="62">
        <f>=A186-$A$58+1</f>
        <v>104</v>
      </c>
      <c r="AA186" s="68">
        <f>=P186/10000*K186*Z186</f>
        <v>38208.284192</v>
      </c>
      <c r="AB186" s="62">
        <f>=Q186*Z186</f>
        <v>191188092.16</v>
      </c>
      <c r="AC186" t="s">
        <v>44</v>
      </c>
    </row>
    <row r="187" spans="1:29">
      <c r="A187" s="63">
        <v>46083</v>
      </c>
      <c r="B187" s="62" t="s">
        <v>37</v>
      </c>
      <c r="C187" s="62" t="s"/>
      <c r="D187" s="62" t="s">
        <v>38</v>
      </c>
      <c r="E187" s="62" t="s">
        <v>85</v>
      </c>
      <c r="F187" s="62" t="s">
        <v>86</v>
      </c>
      <c r="G187" s="64" t="s">
        <v>65</v>
      </c>
      <c r="H187" s="98" t="s">
        <v>132</v>
      </c>
      <c r="I187" s="65" t="s">
        <v>43</v>
      </c>
      <c r="J187" s="62">
        <v>1.46</v>
      </c>
      <c r="K187" s="62">
        <v>2</v>
      </c>
      <c r="L187" s="62" t="s"/>
      <c r="M187" s="62">
        <v>2232468</v>
      </c>
      <c r="N187" s="62" t="s"/>
      <c r="O187" s="62" t="s"/>
      <c r="P187" s="62" t="s"/>
      <c r="Q187" s="62" t="s"/>
      <c r="R187" s="62" t="s"/>
      <c r="S187" s="62" t="s"/>
      <c r="T187" s="68" t="s"/>
      <c r="U187" s="62" t="s"/>
      <c r="V187" s="68" t="s"/>
      <c r="W187" s="68" t="s"/>
      <c r="X187" s="68" t="s"/>
      <c r="Y187" s="68" t="s"/>
      <c r="Z187" s="62" t="s"/>
      <c r="AA187" s="62" t="s"/>
      <c r="AB187" s="62" t="s"/>
      <c r="AC187" t="s">
        <v>44</v>
      </c>
    </row>
    <row r="188" spans="1:29">
      <c r="A188" s="63">
        <v>46084</v>
      </c>
      <c r="B188" s="62" t="s">
        <v>37</v>
      </c>
      <c r="C188" s="62" t="s"/>
      <c r="D188" s="62" t="s">
        <v>114</v>
      </c>
      <c r="E188" s="62" t="s">
        <v>114</v>
      </c>
      <c r="F188" s="62" t="s">
        <v>115</v>
      </c>
      <c r="G188" s="64" t="s">
        <v>116</v>
      </c>
      <c r="H188" s="64" t="s">
        <v>118</v>
      </c>
      <c r="I188" s="72" t="s">
        <v>47</v>
      </c>
      <c r="J188" s="62">
        <v>2</v>
      </c>
      <c r="K188" s="62">
        <v>2.6</v>
      </c>
      <c r="L188" s="62" t="s"/>
      <c r="M188" s="62" t="s"/>
      <c r="N188" s="62" t="s"/>
      <c r="O188" s="62">
        <v>55390</v>
      </c>
      <c r="P188" s="62">
        <v>55000</v>
      </c>
      <c r="Q188" s="62">
        <v>55390</v>
      </c>
      <c r="R188" s="62" t="s"/>
      <c r="S188" s="62" t="s"/>
      <c r="T188" s="68">
        <f>=P188/10000*J188*Z188</f>
        <v>297</v>
      </c>
      <c r="U188" s="62">
        <v>0</v>
      </c>
      <c r="V188" s="68" t="s"/>
      <c r="W188" s="68" t="s"/>
      <c r="X188" s="68">
        <f>=O188-P188</f>
        <v>390</v>
      </c>
      <c r="Y188" s="68">
        <f>=X188-T188-U188-V188</f>
        <v>93</v>
      </c>
      <c r="Z188" s="62">
        <f>=A188-$A$144+1</f>
        <v>27</v>
      </c>
      <c r="AA188" s="68">
        <f>=P188/10000*K188*Z188</f>
        <v>386.1</v>
      </c>
      <c r="AB188" s="62">
        <f>=Q188*Z188</f>
        <v>1495530</v>
      </c>
      <c r="AC188" t="s">
        <v>58</v>
      </c>
    </row>
    <row r="189" spans="1:29">
      <c r="A189" s="63">
        <v>46085</v>
      </c>
      <c r="B189" s="62" t="s">
        <v>37</v>
      </c>
      <c r="C189" s="62" t="s"/>
      <c r="D189" s="62" t="s">
        <v>38</v>
      </c>
      <c r="E189" s="62" t="s">
        <v>48</v>
      </c>
      <c r="F189" s="62" t="s">
        <v>49</v>
      </c>
      <c r="G189" s="64" t="s">
        <v>52</v>
      </c>
      <c r="H189" s="64" t="s">
        <v>69</v>
      </c>
      <c r="I189" s="72" t="s">
        <v>47</v>
      </c>
      <c r="J189" s="62">
        <v>2</v>
      </c>
      <c r="K189" s="62">
        <v>3</v>
      </c>
      <c r="L189" s="62" t="s"/>
      <c r="M189" s="62" t="s"/>
      <c r="N189" s="62" t="s"/>
      <c r="O189" s="62">
        <v>148972</v>
      </c>
      <c r="P189" s="62">
        <v>139671</v>
      </c>
      <c r="Q189" s="62">
        <v>148972</v>
      </c>
      <c r="R189" s="62" t="s"/>
      <c r="S189" s="62" t="s"/>
      <c r="T189" s="68">
        <f>=P189/10000*J189*Z189</f>
        <v>6173.4582</v>
      </c>
      <c r="U189" s="62">
        <v>0</v>
      </c>
      <c r="V189" s="68" t="s"/>
      <c r="W189" s="68" t="s"/>
      <c r="X189" s="68">
        <f>=O189-P189</f>
        <v>9301</v>
      </c>
      <c r="Y189" s="68">
        <f>=X189-T189-U189-V189</f>
        <v>3127.5418</v>
      </c>
      <c r="Z189" s="62">
        <f>=A189-$A$24+1</f>
        <v>221</v>
      </c>
      <c r="AA189" s="68">
        <f>=P189/10000*K189*Z189</f>
        <v>9260.1873</v>
      </c>
      <c r="AB189" s="62">
        <f>=Q189*Z189</f>
        <v>32922812</v>
      </c>
      <c r="AC189" t="s">
        <v>44</v>
      </c>
    </row>
    <row r="190" spans="1:29">
      <c r="A190" s="63">
        <v>46086</v>
      </c>
      <c r="B190" s="62" t="s">
        <v>37</v>
      </c>
      <c r="C190" s="62" t="s"/>
      <c r="D190" s="62" t="s">
        <v>38</v>
      </c>
      <c r="E190" s="62" t="s">
        <v>48</v>
      </c>
      <c r="F190" s="62" t="s">
        <v>81</v>
      </c>
      <c r="G190" s="64" t="s">
        <v>84</v>
      </c>
      <c r="H190" s="64" t="s">
        <v>95</v>
      </c>
      <c r="I190" s="72" t="s">
        <v>47</v>
      </c>
      <c r="J190" s="62">
        <v>2</v>
      </c>
      <c r="K190" s="62">
        <v>2.5</v>
      </c>
      <c r="L190" s="62" t="s"/>
      <c r="M190" s="62" t="s"/>
      <c r="N190" s="62" t="s"/>
      <c r="O190" s="62">
        <v>109200</v>
      </c>
      <c r="P190" s="66">
        <v>107200</v>
      </c>
      <c r="Q190" s="62">
        <v>109200</v>
      </c>
      <c r="R190" s="62" t="s"/>
      <c r="S190" s="62" t="s"/>
      <c r="T190" s="68">
        <f>=P190/10000*J190*Z190</f>
        <v>1586.56</v>
      </c>
      <c r="U190" s="62">
        <v>0</v>
      </c>
      <c r="V190" s="68" t="s"/>
      <c r="W190" s="68" t="s"/>
      <c r="X190" s="68">
        <f>=O190-P190</f>
        <v>2000</v>
      </c>
      <c r="Y190" s="68">
        <f>=X190-T190-U190-V190</f>
        <v>413.44</v>
      </c>
      <c r="Z190" s="62">
        <f>=A190-$A$80+1</f>
        <v>74</v>
      </c>
      <c r="AA190" s="68">
        <f>=P190/10000*K190*Z190</f>
        <v>1983.2</v>
      </c>
      <c r="AB190" s="62">
        <f>=Q190*Z190</f>
        <v>8080800</v>
      </c>
      <c r="AC190" t="s">
        <v>44</v>
      </c>
    </row>
    <row r="191" spans="1:29">
      <c r="A191" s="63">
        <v>46086</v>
      </c>
      <c r="B191" s="62" t="s">
        <v>37</v>
      </c>
      <c r="C191" s="62" t="s"/>
      <c r="D191" s="62" t="s">
        <v>38</v>
      </c>
      <c r="E191" s="62" t="s">
        <v>48</v>
      </c>
      <c r="F191" s="62" t="s">
        <v>81</v>
      </c>
      <c r="G191" s="64" t="s">
        <v>84</v>
      </c>
      <c r="H191" s="64" t="s">
        <v>92</v>
      </c>
      <c r="I191" s="72" t="s">
        <v>47</v>
      </c>
      <c r="J191" s="62">
        <v>2</v>
      </c>
      <c r="K191" s="62">
        <v>2.5</v>
      </c>
      <c r="L191" s="62" t="s"/>
      <c r="M191" s="62" t="s"/>
      <c r="N191" s="62" t="s"/>
      <c r="O191" s="99">
        <v>132613.2</v>
      </c>
      <c r="P191" s="66">
        <v>129600</v>
      </c>
      <c r="Q191" s="99">
        <v>132613.2</v>
      </c>
      <c r="R191" s="62" t="s"/>
      <c r="S191" s="62" t="s"/>
      <c r="T191" s="68">
        <f>=P191/10000*J191*Z191</f>
        <v>2410.56</v>
      </c>
      <c r="U191" s="62">
        <v>0</v>
      </c>
      <c r="V191" s="68" t="s"/>
      <c r="W191" s="68" t="s"/>
      <c r="X191" s="68">
        <f>=O191-P191</f>
        <v>3013.20000000001</v>
      </c>
      <c r="Y191" s="68">
        <f>=X191-T191-U191-V191</f>
        <v>602.640000000012</v>
      </c>
      <c r="Z191" s="62">
        <f>=A191-$A$65+1</f>
        <v>93</v>
      </c>
      <c r="AA191" s="68">
        <f>=P191/10000*K191*Z191</f>
        <v>3013.2</v>
      </c>
      <c r="AB191" s="62">
        <f>=Q191*Z191</f>
        <v>12333027.6</v>
      </c>
      <c r="AC191" t="s">
        <v>44</v>
      </c>
    </row>
    <row r="192" spans="1:29">
      <c r="A192" s="63">
        <v>46086</v>
      </c>
      <c r="B192" s="62" t="s">
        <v>37</v>
      </c>
      <c r="C192" s="62" t="s"/>
      <c r="D192" s="62" t="s">
        <v>38</v>
      </c>
      <c r="E192" s="62" t="s">
        <v>48</v>
      </c>
      <c r="F192" s="62" t="s">
        <v>73</v>
      </c>
      <c r="G192" s="64" t="s">
        <v>74</v>
      </c>
      <c r="H192" s="64" t="s">
        <v>75</v>
      </c>
      <c r="I192" s="72" t="s">
        <v>47</v>
      </c>
      <c r="J192" s="62">
        <v>2</v>
      </c>
      <c r="K192" s="62">
        <v>2.8</v>
      </c>
      <c r="L192" s="62" t="s"/>
      <c r="M192" s="62" t="s"/>
      <c r="N192" s="62" t="s"/>
      <c r="O192" s="62">
        <v>110100</v>
      </c>
      <c r="P192" s="62">
        <v>105300</v>
      </c>
      <c r="Q192" s="62">
        <v>110100</v>
      </c>
      <c r="R192" s="62" t="s"/>
      <c r="S192" s="62" t="s"/>
      <c r="T192" s="68">
        <f>=P192/10000*J192*Z192</f>
        <v>3432.78</v>
      </c>
      <c r="U192" s="62">
        <v>0</v>
      </c>
      <c r="V192" s="68" t="s"/>
      <c r="W192" s="68" t="s"/>
      <c r="X192" s="68">
        <f>=O192-P192</f>
        <v>4800</v>
      </c>
      <c r="Y192" s="68">
        <f>=X192-T192-U192-V192</f>
        <v>1367.22</v>
      </c>
      <c r="Z192" s="62">
        <f>=A192-$A$46+1</f>
        <v>163</v>
      </c>
      <c r="AA192" s="68">
        <f>=P192/10000*K192*Z192</f>
        <v>4805.892</v>
      </c>
      <c r="AB192" s="62">
        <f>=Q192*Z192</f>
        <v>17946300</v>
      </c>
      <c r="AC192" t="s">
        <v>44</v>
      </c>
    </row>
    <row r="193" spans="1:29">
      <c r="A193" s="76">
        <v>46086</v>
      </c>
      <c r="B193" s="62" t="s">
        <v>37</v>
      </c>
      <c r="C193" s="62" t="s"/>
      <c r="D193" s="63" t="s">
        <v>38</v>
      </c>
      <c r="E193" s="62" t="s">
        <v>39</v>
      </c>
      <c r="F193" s="62" t="s">
        <v>40</v>
      </c>
      <c r="G193" s="64" t="s">
        <v>80</v>
      </c>
      <c r="H193" s="64" t="s">
        <v>105</v>
      </c>
      <c r="I193" s="72" t="s">
        <v>47</v>
      </c>
      <c r="J193" s="62">
        <v>2</v>
      </c>
      <c r="K193" s="62">
        <v>2.5</v>
      </c>
      <c r="O193">
        <v>224562.5</v>
      </c>
      <c r="P193">
        <v>221875</v>
      </c>
      <c r="Q193">
        <v>224562.5</v>
      </c>
      <c r="T193" s="68">
        <f>=P193/10000*J193*Z193</f>
        <v>2218.75</v>
      </c>
      <c r="U193" s="62">
        <v>0</v>
      </c>
      <c r="V193" s="68" t="s"/>
      <c r="W193" s="68" t="s"/>
      <c r="X193" s="68">
        <f>=O193-P193</f>
        <v>2687.5</v>
      </c>
      <c r="Y193" s="68">
        <f>=X193-T193-U193-V193</f>
        <v>468.75</v>
      </c>
      <c r="Z193" s="62">
        <f>=A193-$A$110+1</f>
        <v>50</v>
      </c>
      <c r="AA193" s="68">
        <f>=P193/10000*K193*Z193</f>
        <v>2773.4375</v>
      </c>
      <c r="AB193" s="62">
        <f>=Q193*Z193</f>
        <v>11228125</v>
      </c>
      <c r="AC193" t="s">
        <v>44</v>
      </c>
    </row>
    <row r="194" spans="1:29">
      <c r="A194" s="63">
        <v>46087</v>
      </c>
      <c r="B194" s="62" t="s"/>
      <c r="C194" s="62" t="s"/>
      <c r="D194" s="62" t="s">
        <v>38</v>
      </c>
      <c r="E194" s="62" t="s">
        <v>48</v>
      </c>
      <c r="F194" s="62" t="s">
        <v>49</v>
      </c>
      <c r="G194" s="71" t="s">
        <v>50</v>
      </c>
      <c r="H194" s="64" t="s">
        <v>71</v>
      </c>
      <c r="I194" s="72" t="s">
        <v>47</v>
      </c>
      <c r="J194" s="62">
        <v>2</v>
      </c>
      <c r="K194" s="62">
        <v>2.5</v>
      </c>
      <c r="L194" s="62" t="s"/>
      <c r="M194" s="62" t="s"/>
      <c r="N194" s="62" t="s"/>
      <c r="O194" s="62">
        <v>121193</v>
      </c>
      <c r="P194" s="62">
        <v>114104</v>
      </c>
      <c r="Q194" s="62">
        <v>121193</v>
      </c>
      <c r="R194" s="62" t="s"/>
      <c r="S194" s="62" t="s"/>
      <c r="T194" s="68">
        <f>=P194/10000*J194*Z194</f>
        <v>4723.9056</v>
      </c>
      <c r="U194" s="62">
        <v>0</v>
      </c>
      <c r="V194" s="68" t="s"/>
      <c r="W194" s="68" t="s"/>
      <c r="X194" s="68">
        <f>=O194-P194</f>
        <v>7089</v>
      </c>
      <c r="Y194" s="68">
        <f>=X194-T194-U194-V194</f>
        <v>2365.0944</v>
      </c>
      <c r="Z194" s="62">
        <f>=A194-$A$26+1</f>
        <v>207</v>
      </c>
      <c r="AA194" s="68">
        <f>=P194/10000*K194*Z194</f>
        <v>5904.882</v>
      </c>
      <c r="AB194" s="62">
        <f>=Q194*Z194</f>
        <v>25086951</v>
      </c>
      <c r="AC194" t="s">
        <v>44</v>
      </c>
    </row>
    <row r="195" spans="1:29">
      <c r="A195" s="63">
        <v>46089</v>
      </c>
      <c r="B195" s="62" t="s"/>
      <c r="C195" s="62">
        <f>=TODAY()-A195+1</f>
        <v>141</v>
      </c>
      <c r="D195" s="63" t="s">
        <v>38</v>
      </c>
      <c r="E195" s="62" t="s">
        <v>133</v>
      </c>
      <c r="F195" s="62" t="s">
        <v>134</v>
      </c>
      <c r="G195" s="100" t="s">
        <v>135</v>
      </c>
      <c r="H195" s="98" t="s">
        <v>136</v>
      </c>
      <c r="I195" s="65" t="s">
        <v>43</v>
      </c>
      <c r="J195" s="62">
        <v>2</v>
      </c>
      <c r="K195" s="62">
        <v>2.3</v>
      </c>
      <c r="L195" s="62" t="s"/>
      <c r="M195" s="62">
        <v>812000</v>
      </c>
      <c r="N195" s="62" t="s"/>
      <c r="O195" s="62" t="s"/>
      <c r="P195" s="62" t="s"/>
      <c r="Q195" s="62" t="s"/>
      <c r="R195" s="62" t="s"/>
      <c r="S195" s="62" t="s"/>
      <c r="T195" s="68" t="s"/>
      <c r="U195" s="62" t="s"/>
      <c r="V195" s="68" t="s"/>
      <c r="W195" s="68" t="s"/>
      <c r="X195" s="68" t="s"/>
      <c r="Y195" s="68" t="s"/>
      <c r="Z195" s="62" t="s"/>
      <c r="AA195" s="62" t="s"/>
      <c r="AB195" s="62" t="s"/>
      <c r="AC195" t="s">
        <v>58</v>
      </c>
    </row>
    <row r="196" spans="1:29">
      <c r="A196" s="63">
        <v>46090</v>
      </c>
      <c r="B196" s="62" t="s"/>
      <c r="C196" s="62" t="s"/>
      <c r="D196" s="63" t="s">
        <v>38</v>
      </c>
      <c r="E196" s="62" t="s">
        <v>133</v>
      </c>
      <c r="F196" s="62" t="s">
        <v>134</v>
      </c>
      <c r="G196" s="100" t="s">
        <v>135</v>
      </c>
      <c r="H196" s="80" t="s">
        <v>136</v>
      </c>
      <c r="I196" s="65" t="s">
        <v>47</v>
      </c>
      <c r="J196" s="62">
        <v>2</v>
      </c>
      <c r="K196" s="62">
        <v>2.3</v>
      </c>
      <c r="L196" s="62" t="s"/>
      <c r="M196" s="62" t="s"/>
      <c r="N196" s="62" t="s"/>
      <c r="O196" s="62">
        <v>232464</v>
      </c>
      <c r="P196" s="62">
        <v>232000</v>
      </c>
      <c r="Q196" s="62">
        <v>232464</v>
      </c>
      <c r="R196" s="62" t="s"/>
      <c r="S196" s="62" t="s"/>
      <c r="T196" s="68">
        <f>=P196/10000*J196*Z196</f>
        <v>92.8</v>
      </c>
      <c r="U196" s="62">
        <v>200</v>
      </c>
      <c r="V196" s="68" t="s"/>
      <c r="W196" s="68" t="s"/>
      <c r="X196" s="68">
        <f>=O196-P196</f>
        <v>464</v>
      </c>
      <c r="Y196" s="68">
        <f>=X196-T196-U196-V196</f>
        <v>171.2</v>
      </c>
      <c r="Z196" s="62">
        <f>=A196-$A$195+1</f>
        <v>2</v>
      </c>
      <c r="AA196" s="68">
        <f>=P196/10000*K196*Z196</f>
        <v>106.72</v>
      </c>
      <c r="AB196" s="62">
        <f>=Q196*Z196</f>
        <v>464928</v>
      </c>
      <c r="AC196" t="s">
        <v>58</v>
      </c>
    </row>
    <row r="197" spans="1:29">
      <c r="A197" s="63">
        <v>46090</v>
      </c>
      <c r="B197" s="62" t="s">
        <v>37</v>
      </c>
      <c r="C197" s="62" t="s"/>
      <c r="D197" s="62" t="s">
        <v>38</v>
      </c>
      <c r="E197" s="62" t="s">
        <v>63</v>
      </c>
      <c r="F197" s="62" t="s">
        <v>111</v>
      </c>
      <c r="G197" s="94" t="s">
        <v>112</v>
      </c>
      <c r="H197" s="64" t="s">
        <v>113</v>
      </c>
      <c r="I197" s="72" t="s">
        <v>47</v>
      </c>
      <c r="J197" s="62">
        <v>2</v>
      </c>
      <c r="K197" s="62">
        <v>3</v>
      </c>
      <c r="L197" s="62" t="s"/>
      <c r="M197" s="62" t="s"/>
      <c r="N197" s="62" t="s"/>
      <c r="O197" s="62">
        <v>141568</v>
      </c>
      <c r="P197" s="62">
        <v>140000</v>
      </c>
      <c r="Q197" s="62">
        <v>141568</v>
      </c>
      <c r="R197" s="62" t="s"/>
      <c r="S197" s="62" t="s"/>
      <c r="T197" s="68">
        <f>=P197/10000*J197*Z197</f>
        <v>952</v>
      </c>
      <c r="U197" s="62">
        <v>140</v>
      </c>
      <c r="V197" s="68" t="s"/>
      <c r="W197" s="68" t="s"/>
      <c r="X197" s="68">
        <f>=O197-P197</f>
        <v>1568</v>
      </c>
      <c r="Y197" s="68">
        <f>=X197-T197-U197-V197</f>
        <v>476</v>
      </c>
      <c r="Z197" s="62">
        <f>=A197-$A$142+1</f>
        <v>34</v>
      </c>
      <c r="AA197" s="68">
        <f>=P197/10000*K197*Z197</f>
        <v>1428</v>
      </c>
      <c r="AB197" s="62">
        <f>=Q197*Z197</f>
        <v>4813312</v>
      </c>
      <c r="AC197" t="s">
        <v>58</v>
      </c>
    </row>
    <row r="198" spans="1:29">
      <c r="A198" s="63">
        <v>46090</v>
      </c>
      <c r="B198" s="62" t="s">
        <v>37</v>
      </c>
      <c r="C198" s="62" t="s"/>
      <c r="D198" s="63" t="s">
        <v>38</v>
      </c>
      <c r="E198" s="62" t="s">
        <v>39</v>
      </c>
      <c r="F198" s="62" t="s">
        <v>137</v>
      </c>
      <c r="G198" s="64" t="s">
        <v>138</v>
      </c>
      <c r="H198" s="98" t="s">
        <v>139</v>
      </c>
      <c r="I198" s="65" t="s">
        <v>43</v>
      </c>
      <c r="J198" s="62">
        <v>2</v>
      </c>
      <c r="K198" s="62">
        <v>3</v>
      </c>
      <c r="L198" s="62" t="s"/>
      <c r="M198" s="62">
        <v>6118400</v>
      </c>
      <c r="N198" s="62" t="s"/>
      <c r="O198" s="62" t="s"/>
      <c r="P198" s="62" t="s"/>
      <c r="Q198" s="62" t="s"/>
      <c r="R198" s="62" t="s"/>
      <c r="S198" s="62" t="s"/>
      <c r="T198" s="68" t="s"/>
      <c r="U198" s="62" t="s"/>
      <c r="V198" s="68" t="s"/>
      <c r="W198" s="68" t="s"/>
      <c r="X198" s="68" t="s"/>
      <c r="Y198" s="68" t="s"/>
      <c r="Z198" s="62" t="s"/>
      <c r="AA198" s="62" t="s"/>
      <c r="AB198" s="62" t="s"/>
      <c r="AC198" t="s">
        <v>58</v>
      </c>
    </row>
    <row r="199" spans="1:29">
      <c r="A199" s="63">
        <v>46091</v>
      </c>
      <c r="B199" s="62" t="s">
        <v>37</v>
      </c>
      <c r="C199" s="62" t="s"/>
      <c r="D199" s="62" t="s">
        <v>38</v>
      </c>
      <c r="E199" s="62" t="s">
        <v>48</v>
      </c>
      <c r="F199" s="62" t="s">
        <v>73</v>
      </c>
      <c r="G199" s="64" t="s">
        <v>74</v>
      </c>
      <c r="H199" s="64" t="s">
        <v>75</v>
      </c>
      <c r="I199" s="72" t="s">
        <v>47</v>
      </c>
      <c r="J199" s="62">
        <v>2</v>
      </c>
      <c r="K199" s="62">
        <v>2.8</v>
      </c>
      <c r="O199" s="62">
        <v>328396</v>
      </c>
      <c r="P199" s="66">
        <v>313794</v>
      </c>
      <c r="Q199" s="62">
        <v>328396</v>
      </c>
      <c r="T199" s="68">
        <f>=P199/10000*J199*Z199</f>
        <v>10543.4784</v>
      </c>
      <c r="U199" s="62">
        <v>0</v>
      </c>
      <c r="V199" s="68" t="s"/>
      <c r="W199" s="68" t="s"/>
      <c r="X199" s="68">
        <f>=O199-P199</f>
        <v>14602</v>
      </c>
      <c r="Y199" s="68">
        <f>=X199-T199-U199-V199</f>
        <v>4058.5216</v>
      </c>
      <c r="Z199" s="62">
        <f>=A199-$A$46+1</f>
        <v>168</v>
      </c>
      <c r="AA199" s="68">
        <f>=P199/10000*K199*Z199</f>
        <v>14760.86976</v>
      </c>
      <c r="AB199" s="62">
        <f>=Q199*Z199</f>
        <v>55170528</v>
      </c>
      <c r="AC199" t="s">
        <v>44</v>
      </c>
    </row>
    <row r="200" spans="1:29">
      <c r="A200" s="63">
        <v>46091</v>
      </c>
      <c r="B200" s="62" t="s">
        <v>37</v>
      </c>
      <c r="C200" s="62" t="s"/>
      <c r="D200" s="63" t="s">
        <v>38</v>
      </c>
      <c r="E200" s="62" t="s">
        <v>39</v>
      </c>
      <c r="F200" s="62" t="s">
        <v>137</v>
      </c>
      <c r="G200" s="64" t="s">
        <v>138</v>
      </c>
      <c r="H200" s="98" t="s">
        <v>140</v>
      </c>
      <c r="I200" s="65" t="s">
        <v>43</v>
      </c>
      <c r="J200" s="62">
        <v>2</v>
      </c>
      <c r="K200" s="62">
        <v>3</v>
      </c>
      <c r="L200" s="62" t="s"/>
      <c r="M200" s="62">
        <v>3441600</v>
      </c>
      <c r="N200" s="62" t="s"/>
      <c r="O200" s="62" t="s"/>
      <c r="P200" s="62" t="s"/>
      <c r="Q200" s="62" t="s"/>
      <c r="R200" s="62" t="s"/>
      <c r="S200" s="62" t="s"/>
      <c r="T200" s="68" t="s"/>
      <c r="U200" s="62" t="s"/>
      <c r="V200" s="68" t="s"/>
      <c r="W200" s="68" t="s"/>
      <c r="X200" s="68" t="s"/>
      <c r="Y200" s="68" t="s"/>
      <c r="Z200" s="62" t="s"/>
      <c r="AA200" s="62" t="s"/>
      <c r="AB200" s="62" t="s"/>
      <c r="AC200" t="s">
        <v>58</v>
      </c>
    </row>
    <row r="201" spans="1:29">
      <c r="A201" s="63">
        <v>46092</v>
      </c>
      <c r="B201" s="62" t="s">
        <v>37</v>
      </c>
      <c r="C201" s="62" t="s"/>
      <c r="D201" s="63" t="s">
        <v>38</v>
      </c>
      <c r="E201" s="62" t="s">
        <v>133</v>
      </c>
      <c r="F201" s="62" t="s">
        <v>134</v>
      </c>
      <c r="G201" s="101" t="s">
        <v>135</v>
      </c>
      <c r="H201" s="102" t="s">
        <v>141</v>
      </c>
      <c r="I201" s="79" t="s">
        <v>43</v>
      </c>
      <c r="J201" s="62">
        <v>2</v>
      </c>
      <c r="K201" s="62">
        <v>2.5</v>
      </c>
      <c r="L201" s="62" t="s"/>
      <c r="M201" s="62">
        <v>550000</v>
      </c>
      <c r="N201" s="62" t="s"/>
      <c r="O201" s="62" t="s"/>
      <c r="P201" s="62" t="s"/>
      <c r="Q201" s="62" t="s"/>
      <c r="R201" s="62" t="s"/>
      <c r="S201" s="62" t="s"/>
      <c r="T201" s="68" t="s"/>
      <c r="U201" s="62" t="s"/>
      <c r="V201" s="68" t="s"/>
      <c r="W201" s="68" t="s"/>
      <c r="X201" s="68" t="s"/>
      <c r="Y201" s="68" t="s"/>
      <c r="Z201" s="62" t="s"/>
      <c r="AA201" s="62" t="s"/>
      <c r="AB201" s="62" t="s"/>
      <c r="AC201" t="s">
        <v>58</v>
      </c>
    </row>
    <row r="202" spans="1:29">
      <c r="A202" s="63">
        <v>46092</v>
      </c>
      <c r="B202" s="62" t="s">
        <v>37</v>
      </c>
      <c r="C202" s="62" t="s"/>
      <c r="D202" s="62" t="s">
        <v>114</v>
      </c>
      <c r="E202" s="62" t="s">
        <v>114</v>
      </c>
      <c r="F202" s="62" t="s">
        <v>115</v>
      </c>
      <c r="G202" s="64" t="s">
        <v>116</v>
      </c>
      <c r="H202" s="64" t="s">
        <v>118</v>
      </c>
      <c r="I202" s="72" t="s">
        <v>47</v>
      </c>
      <c r="J202" s="62">
        <v>2</v>
      </c>
      <c r="K202" s="62">
        <v>2.6</v>
      </c>
      <c r="L202" s="62" t="s"/>
      <c r="M202" s="62" t="s"/>
      <c r="N202" s="62" t="s"/>
      <c r="O202" s="62">
        <v>136635.6</v>
      </c>
      <c r="P202" s="62">
        <v>135400</v>
      </c>
      <c r="Q202" s="62">
        <v>136635.6</v>
      </c>
      <c r="R202" s="62" t="s"/>
      <c r="S202" s="62" t="s"/>
      <c r="T202" s="68">
        <f>=P202/10000*J202*Z202</f>
        <v>947.8</v>
      </c>
      <c r="U202" s="62">
        <v>0</v>
      </c>
      <c r="V202" s="68" t="s"/>
      <c r="W202" s="68" t="s"/>
      <c r="X202" s="68">
        <f>=O202-P202</f>
        <v>1235.60000000001</v>
      </c>
      <c r="Y202" s="68">
        <f>=X202-T202-U202-V202</f>
        <v>287.800000000006</v>
      </c>
      <c r="Z202" s="62">
        <f>=A202-$A$144+1</f>
        <v>35</v>
      </c>
      <c r="AA202" s="68">
        <f>=P202/10000*K202*Z202</f>
        <v>1232.14</v>
      </c>
      <c r="AB202" s="62">
        <f>=Q202*Z202</f>
        <v>4782246</v>
      </c>
      <c r="AC202" t="s">
        <v>58</v>
      </c>
    </row>
    <row r="203" spans="1:29">
      <c r="A203" s="63">
        <v>46093</v>
      </c>
      <c r="B203" s="62" t="s">
        <v>37</v>
      </c>
      <c r="C203" s="62" t="s"/>
      <c r="D203" s="63" t="s">
        <v>38</v>
      </c>
      <c r="E203" s="62" t="s">
        <v>39</v>
      </c>
      <c r="F203" s="62" t="s">
        <v>40</v>
      </c>
      <c r="G203" s="100" t="s">
        <v>142</v>
      </c>
      <c r="H203" s="71" t="s">
        <v>143</v>
      </c>
      <c r="I203" s="73" t="s">
        <v>43</v>
      </c>
      <c r="J203" s="62">
        <v>2</v>
      </c>
      <c r="K203" s="62">
        <v>2.5</v>
      </c>
      <c r="L203" s="62" t="s"/>
      <c r="M203" s="62">
        <v>195000</v>
      </c>
      <c r="N203" s="62" t="s"/>
      <c r="O203" s="62" t="s"/>
      <c r="P203" s="62" t="s"/>
      <c r="Q203" s="62" t="s"/>
      <c r="R203" s="62" t="s"/>
      <c r="S203" s="62" t="s"/>
      <c r="T203" s="68" t="s"/>
      <c r="U203" s="62" t="s"/>
      <c r="V203" s="68" t="s"/>
      <c r="W203" s="68" t="s"/>
      <c r="X203" s="68" t="s"/>
      <c r="Y203" s="68" t="s"/>
      <c r="Z203" s="62" t="s"/>
      <c r="AA203" s="62" t="s"/>
      <c r="AB203" s="62" t="s"/>
      <c r="AC203" t="s">
        <v>58</v>
      </c>
    </row>
    <row r="204" spans="1:29">
      <c r="A204" s="63">
        <v>46093</v>
      </c>
      <c r="B204" s="62" t="s">
        <v>37</v>
      </c>
      <c r="C204" s="62" t="s"/>
      <c r="D204" s="62" t="s">
        <v>38</v>
      </c>
      <c r="E204" s="62" t="s">
        <v>48</v>
      </c>
      <c r="F204" s="62" t="s">
        <v>73</v>
      </c>
      <c r="G204" s="64" t="s">
        <v>74</v>
      </c>
      <c r="H204" s="64" t="s">
        <v>75</v>
      </c>
      <c r="I204" s="72" t="s">
        <v>47</v>
      </c>
      <c r="J204" s="62">
        <v>2</v>
      </c>
      <c r="K204" s="62">
        <v>2.8</v>
      </c>
      <c r="O204" s="62">
        <v>661800</v>
      </c>
      <c r="P204" s="62">
        <v>631800</v>
      </c>
      <c r="Q204" s="62">
        <v>661800</v>
      </c>
      <c r="T204" s="68">
        <f>=P204/10000*J204*Z204</f>
        <v>21481.2</v>
      </c>
      <c r="U204" s="62">
        <v>0</v>
      </c>
      <c r="V204" s="68" t="s"/>
      <c r="W204" s="68" t="s"/>
      <c r="X204" s="68">
        <f>=O204-P204</f>
        <v>30000</v>
      </c>
      <c r="Y204" s="68">
        <f>=X204-T204-U204-V204</f>
        <v>8518.8</v>
      </c>
      <c r="Z204" s="62">
        <f>=A204-$A$46+1</f>
        <v>170</v>
      </c>
      <c r="AA204" s="68">
        <f>=P204/10000*K204*Z204</f>
        <v>30073.68</v>
      </c>
      <c r="AB204" s="62">
        <f>=Q204*Z204</f>
        <v>112506000</v>
      </c>
      <c r="AC204" t="s">
        <v>44</v>
      </c>
    </row>
    <row r="205" spans="1:29">
      <c r="A205" s="63">
        <v>46094</v>
      </c>
      <c r="B205" s="62" t="s">
        <v>37</v>
      </c>
      <c r="C205" s="62" t="s"/>
      <c r="D205" s="62" t="s">
        <v>38</v>
      </c>
      <c r="E205" s="62" t="s">
        <v>48</v>
      </c>
      <c r="F205" s="62" t="s">
        <v>73</v>
      </c>
      <c r="G205" s="64" t="s">
        <v>74</v>
      </c>
      <c r="H205" s="64" t="s">
        <v>75</v>
      </c>
      <c r="I205" s="72" t="s">
        <v>47</v>
      </c>
      <c r="J205" s="62">
        <v>2</v>
      </c>
      <c r="K205" s="62">
        <v>2.8</v>
      </c>
      <c r="O205" s="62">
        <v>110300</v>
      </c>
      <c r="P205" s="62">
        <v>105300</v>
      </c>
      <c r="Q205" s="62">
        <v>110300</v>
      </c>
      <c r="T205" s="68">
        <f>=P205/10000*J205*Z205</f>
        <v>3601.26</v>
      </c>
      <c r="U205" s="62">
        <v>0</v>
      </c>
      <c r="V205" s="68" t="s"/>
      <c r="W205" s="68" t="s"/>
      <c r="X205" s="68">
        <f>=O205-P205</f>
        <v>5000</v>
      </c>
      <c r="Y205" s="68">
        <f>=X205-T205-U205-V205</f>
        <v>1398.74</v>
      </c>
      <c r="Z205" s="62">
        <f>=A205-$A$46+1</f>
        <v>171</v>
      </c>
      <c r="AA205" s="68">
        <f>=P205/10000*K205*Z205</f>
        <v>5041.764</v>
      </c>
      <c r="AB205" s="62">
        <f>=Q205*Z205</f>
        <v>18861300</v>
      </c>
      <c r="AC205" t="s">
        <v>44</v>
      </c>
    </row>
    <row r="206" spans="1:29">
      <c r="A206" s="63">
        <v>46094</v>
      </c>
      <c r="B206" s="62" t="s">
        <v>37</v>
      </c>
      <c r="C206" s="62" t="s"/>
      <c r="D206" s="62" t="s">
        <v>38</v>
      </c>
      <c r="E206" s="62" t="s">
        <v>48</v>
      </c>
      <c r="F206" s="62" t="s">
        <v>81</v>
      </c>
      <c r="G206" s="64" t="s">
        <v>84</v>
      </c>
      <c r="H206" s="64" t="s">
        <v>92</v>
      </c>
      <c r="I206" s="72" t="s">
        <v>47</v>
      </c>
      <c r="J206" s="62">
        <v>2</v>
      </c>
      <c r="K206" s="62">
        <v>2.5</v>
      </c>
      <c r="O206" s="62">
        <v>132872.4</v>
      </c>
      <c r="P206" s="62">
        <v>129600</v>
      </c>
      <c r="Q206" s="62">
        <v>132872.4</v>
      </c>
      <c r="T206" s="68">
        <f>=P206/10000*J206*Z206</f>
        <v>2617.92</v>
      </c>
      <c r="U206" s="62">
        <v>0</v>
      </c>
      <c r="V206" s="68" t="s"/>
      <c r="W206" s="68" t="s"/>
      <c r="X206" s="68">
        <f>=O206-P206</f>
        <v>3272.39999999999</v>
      </c>
      <c r="Y206" s="68">
        <f>=X206-T206-U206-V206</f>
        <v>654.479999999994</v>
      </c>
      <c r="Z206" s="62">
        <f>=A206-$A$65+1</f>
        <v>101</v>
      </c>
      <c r="AA206" s="68">
        <f>=P206/10000*K206*Z206</f>
        <v>3272.4</v>
      </c>
      <c r="AB206" s="62">
        <f>=Q206*Z206</f>
        <v>13420112.4</v>
      </c>
      <c r="AC206" t="s">
        <v>44</v>
      </c>
    </row>
    <row r="207" spans="1:29">
      <c r="A207" s="63">
        <v>46094</v>
      </c>
      <c r="B207" s="62" t="s">
        <v>37</v>
      </c>
      <c r="C207" s="62" t="s"/>
      <c r="D207" s="62" t="s">
        <v>38</v>
      </c>
      <c r="E207" s="62" t="s">
        <v>48</v>
      </c>
      <c r="F207" s="62" t="s">
        <v>81</v>
      </c>
      <c r="G207" s="64" t="s">
        <v>84</v>
      </c>
      <c r="H207" s="64" t="s">
        <v>92</v>
      </c>
      <c r="I207" s="72" t="s">
        <v>47</v>
      </c>
      <c r="J207" s="62">
        <v>2</v>
      </c>
      <c r="K207" s="62">
        <v>2.5</v>
      </c>
      <c r="O207" s="62">
        <v>249340.8</v>
      </c>
      <c r="P207" s="62">
        <v>243200</v>
      </c>
      <c r="Q207" s="62">
        <v>249340.8</v>
      </c>
      <c r="T207" s="68">
        <f>=P207/10000*J207*Z207</f>
        <v>4912.64</v>
      </c>
      <c r="U207" s="62">
        <v>0</v>
      </c>
      <c r="V207" s="68" t="s"/>
      <c r="W207" s="68" t="s"/>
      <c r="X207" s="68">
        <f>=O207-P207</f>
        <v>6140.79999999999</v>
      </c>
      <c r="Y207" s="68">
        <f>=X207-T207-U207-V207</f>
        <v>1228.15999999999</v>
      </c>
      <c r="Z207" s="62">
        <f>=A207-$A$65+1</f>
        <v>101</v>
      </c>
      <c r="AA207" s="68">
        <f>=P207/10000*K207*Z207</f>
        <v>6140.8</v>
      </c>
      <c r="AB207" s="62">
        <f>=Q207*Z207</f>
        <v>25183420.8</v>
      </c>
      <c r="AC207" t="s">
        <v>44</v>
      </c>
    </row>
    <row r="208" spans="1:29">
      <c r="A208" s="63">
        <v>46094</v>
      </c>
      <c r="B208" s="62" t="s">
        <v>37</v>
      </c>
      <c r="C208" s="62" t="s"/>
      <c r="D208" s="62" t="s">
        <v>38</v>
      </c>
      <c r="E208" s="62" t="s">
        <v>48</v>
      </c>
      <c r="F208" s="62" t="s">
        <v>73</v>
      </c>
      <c r="G208" s="64" t="s">
        <v>74</v>
      </c>
      <c r="H208" s="64" t="s">
        <v>75</v>
      </c>
      <c r="I208" s="72" t="s">
        <v>47</v>
      </c>
      <c r="J208" s="62">
        <v>2</v>
      </c>
      <c r="K208" s="62">
        <v>2.8</v>
      </c>
      <c r="O208" s="62">
        <v>220600</v>
      </c>
      <c r="P208" s="62">
        <v>210600</v>
      </c>
      <c r="Q208" s="62">
        <v>220600</v>
      </c>
      <c r="T208" s="68">
        <f>=P208/10000*J208*Z208</f>
        <v>7202.52</v>
      </c>
      <c r="U208" s="62">
        <v>0</v>
      </c>
      <c r="V208" s="68" t="s"/>
      <c r="W208" s="68" t="s"/>
      <c r="X208" s="68">
        <f>=O208-P208</f>
        <v>10000</v>
      </c>
      <c r="Y208" s="68">
        <f>=X208-T208-U208-V208</f>
        <v>2797.48</v>
      </c>
      <c r="Z208" s="62">
        <f>=A208-$A$46+1</f>
        <v>171</v>
      </c>
      <c r="AA208" s="68">
        <f>=P208/10000*K208*Z208</f>
        <v>10083.528</v>
      </c>
      <c r="AB208" s="62">
        <f>=Q208*Z208</f>
        <v>37722600</v>
      </c>
      <c r="AC208" t="s">
        <v>44</v>
      </c>
    </row>
    <row r="209" spans="1:29">
      <c r="A209" s="63">
        <v>46094</v>
      </c>
      <c r="B209" s="62" t="s">
        <v>37</v>
      </c>
      <c r="C209" s="62" t="s"/>
      <c r="D209" s="62" t="s">
        <v>38</v>
      </c>
      <c r="E209" s="62" t="s">
        <v>85</v>
      </c>
      <c r="F209" s="62" t="s">
        <v>86</v>
      </c>
      <c r="G209" s="64" t="s">
        <v>65</v>
      </c>
      <c r="H209" s="80" t="s">
        <v>132</v>
      </c>
      <c r="I209" s="72" t="s">
        <v>47</v>
      </c>
      <c r="J209" s="62">
        <v>1.46</v>
      </c>
      <c r="K209" s="62">
        <v>2</v>
      </c>
      <c r="O209" s="62">
        <v>194913</v>
      </c>
      <c r="P209" s="62">
        <v>194832</v>
      </c>
      <c r="Q209" s="62">
        <v>194913</v>
      </c>
      <c r="T209" s="68">
        <f>=P209/10000*J209*Z209</f>
        <v>341.345664</v>
      </c>
      <c r="U209">
        <v>0</v>
      </c>
      <c r="V209" s="68" t="s"/>
      <c r="W209" s="68" t="s"/>
      <c r="X209" s="68">
        <f>=O209-P209</f>
        <v>81</v>
      </c>
      <c r="Y209" s="68">
        <f>=X209-T209-U209-V209</f>
        <v>-260.345664</v>
      </c>
      <c r="Z209" s="62">
        <f>=A209-$A$187+1</f>
        <v>12</v>
      </c>
      <c r="AA209" s="68">
        <f>=P209/10000*K209*Z209</f>
        <v>467.5968</v>
      </c>
      <c r="AB209" s="62">
        <f>=Q209*Z209</f>
        <v>2338956</v>
      </c>
      <c r="AC209" t="s">
        <v>44</v>
      </c>
    </row>
    <row r="210" spans="1:29">
      <c r="A210" s="63">
        <v>46095</v>
      </c>
      <c r="B210" s="62" t="s">
        <v>37</v>
      </c>
      <c r="C210" s="62" t="s"/>
      <c r="D210" s="63" t="s">
        <v>38</v>
      </c>
      <c r="E210" s="62" t="s">
        <v>133</v>
      </c>
      <c r="F210" s="62" t="s">
        <v>134</v>
      </c>
      <c r="G210" s="100" t="s">
        <v>135</v>
      </c>
      <c r="H210" s="80" t="s">
        <v>141</v>
      </c>
      <c r="I210" s="72" t="s">
        <v>47</v>
      </c>
      <c r="J210" s="62">
        <v>2</v>
      </c>
      <c r="K210" s="62">
        <v>2.5</v>
      </c>
      <c r="M210" s="62" t="s"/>
      <c r="O210" s="62">
        <v>220740</v>
      </c>
      <c r="P210" s="62">
        <v>220000</v>
      </c>
      <c r="Q210" s="62">
        <v>220740</v>
      </c>
      <c r="T210" s="68">
        <f>=P210/10000*J210*Z210</f>
        <v>176</v>
      </c>
      <c r="U210">
        <v>200</v>
      </c>
      <c r="V210" s="68" t="s"/>
      <c r="W210" s="68" t="s"/>
      <c r="X210" s="68">
        <f>=O210-P210</f>
        <v>740</v>
      </c>
      <c r="Y210" s="68">
        <f>=X210-T210-U210-V210</f>
        <v>364</v>
      </c>
      <c r="Z210" s="62">
        <f>=A210-$A$201+1</f>
        <v>4</v>
      </c>
      <c r="AA210" s="68">
        <f>=P210/10000*K210*Z210</f>
        <v>220</v>
      </c>
      <c r="AB210" s="62">
        <f>=Q210*Z210</f>
        <v>882960</v>
      </c>
      <c r="AC210" t="s">
        <v>58</v>
      </c>
    </row>
    <row r="211" spans="1:29">
      <c r="A211" s="63">
        <v>46095</v>
      </c>
      <c r="C211" s="62">
        <f>=TODAY()-A211+1</f>
        <v>135</v>
      </c>
      <c r="D211" s="63" t="s">
        <v>38</v>
      </c>
      <c r="E211" s="62" t="s">
        <v>133</v>
      </c>
      <c r="F211" s="62" t="s">
        <v>134</v>
      </c>
      <c r="G211" s="71" t="s">
        <v>135</v>
      </c>
      <c r="H211" s="98" t="s">
        <v>144</v>
      </c>
      <c r="I211" s="65" t="s">
        <v>43</v>
      </c>
      <c r="J211" s="62">
        <v>2</v>
      </c>
      <c r="K211" s="62">
        <v>2.5</v>
      </c>
      <c r="M211" s="62">
        <v>930000</v>
      </c>
      <c r="O211" s="62" t="s"/>
      <c r="P211" s="62" t="s"/>
      <c r="Q211" s="62" t="s"/>
      <c r="T211" s="68" t="s"/>
      <c r="V211" s="68" t="s"/>
      <c r="W211" s="68" t="s"/>
      <c r="X211" s="68" t="s"/>
      <c r="Y211" s="68" t="s"/>
      <c r="Z211" s="62" t="s"/>
      <c r="AA211" s="62" t="s"/>
      <c r="AB211" s="62" t="s"/>
      <c r="AC211" t="s">
        <v>58</v>
      </c>
    </row>
    <row r="212" spans="1:29">
      <c r="A212" s="63">
        <v>46096</v>
      </c>
      <c r="B212" s="62" t="s">
        <v>37</v>
      </c>
      <c r="C212" s="62" t="s"/>
      <c r="D212" s="62" t="s">
        <v>38</v>
      </c>
      <c r="E212" s="62" t="s">
        <v>48</v>
      </c>
      <c r="F212" s="62" t="s">
        <v>81</v>
      </c>
      <c r="G212" s="64" t="s">
        <v>84</v>
      </c>
      <c r="H212" s="64" t="s">
        <v>92</v>
      </c>
      <c r="I212" s="72" t="s">
        <v>47</v>
      </c>
      <c r="J212" s="62">
        <v>2</v>
      </c>
      <c r="K212" s="62">
        <v>2.5</v>
      </c>
      <c r="M212" s="62" t="s"/>
      <c r="O212" s="62">
        <v>124731.2</v>
      </c>
      <c r="P212" s="62">
        <v>121600</v>
      </c>
      <c r="Q212" s="62">
        <v>124731.2</v>
      </c>
      <c r="T212" s="68">
        <f>=P212/10000*J212*Z212</f>
        <v>2504.96</v>
      </c>
      <c r="U212" s="62">
        <v>0</v>
      </c>
      <c r="V212" s="68" t="s"/>
      <c r="W212" s="68" t="s"/>
      <c r="X212" s="68">
        <f>=O212-P212</f>
        <v>3131.2</v>
      </c>
      <c r="Y212" s="68">
        <f>=X212-T212-U212-V212</f>
        <v>626.239999999997</v>
      </c>
      <c r="Z212" s="62">
        <f>=A212-$A$65+1</f>
        <v>103</v>
      </c>
      <c r="AA212" s="68">
        <f>=P212/10000*K212*Z212</f>
        <v>3131.2</v>
      </c>
      <c r="AB212" s="62">
        <f>=Q212*Z212</f>
        <v>12847313.6</v>
      </c>
      <c r="AC212" t="s">
        <v>44</v>
      </c>
    </row>
    <row r="213" spans="1:29">
      <c r="A213" s="63">
        <v>46096</v>
      </c>
      <c r="B213" t="s">
        <v>37</v>
      </c>
      <c r="C213" s="62" t="s"/>
      <c r="D213" s="62" t="s">
        <v>38</v>
      </c>
      <c r="E213" s="62" t="s">
        <v>128</v>
      </c>
      <c r="F213" s="62" t="s">
        <v>129</v>
      </c>
      <c r="G213" s="94" t="s">
        <v>145</v>
      </c>
      <c r="H213" s="71" t="s">
        <v>146</v>
      </c>
      <c r="I213" s="65" t="s">
        <v>43</v>
      </c>
      <c r="J213" s="62">
        <v>2</v>
      </c>
      <c r="K213" s="62">
        <v>2.5</v>
      </c>
      <c r="M213" s="62">
        <v>728980</v>
      </c>
      <c r="O213" s="62" t="s"/>
      <c r="P213" s="62" t="s"/>
      <c r="Q213" s="62" t="s"/>
      <c r="T213" s="68" t="s"/>
      <c r="V213" s="68" t="s"/>
      <c r="W213" s="68" t="s"/>
      <c r="X213" s="68" t="s"/>
      <c r="Y213" s="68" t="s"/>
      <c r="Z213" s="62" t="s"/>
      <c r="AA213" s="62" t="s"/>
      <c r="AB213" s="62" t="s"/>
      <c r="AC213" t="s">
        <v>58</v>
      </c>
    </row>
    <row r="214" spans="1:29">
      <c r="A214" s="63">
        <v>46097</v>
      </c>
      <c r="B214" s="62" t="s">
        <v>37</v>
      </c>
      <c r="C214" s="62" t="s"/>
      <c r="D214" s="62" t="s">
        <v>38</v>
      </c>
      <c r="E214" s="62" t="s">
        <v>48</v>
      </c>
      <c r="F214" s="62" t="s">
        <v>81</v>
      </c>
      <c r="G214" s="64" t="s">
        <v>84</v>
      </c>
      <c r="H214" s="64" t="s">
        <v>95</v>
      </c>
      <c r="I214" s="72" t="s">
        <v>47</v>
      </c>
      <c r="J214" s="62">
        <v>2</v>
      </c>
      <c r="K214" s="62">
        <v>2.5</v>
      </c>
      <c r="O214" s="62">
        <v>109480</v>
      </c>
      <c r="P214" s="66">
        <v>107200</v>
      </c>
      <c r="Q214" s="62">
        <v>109480</v>
      </c>
      <c r="T214" s="68">
        <f>=P214/10000*J214*Z214</f>
        <v>1822.4</v>
      </c>
      <c r="U214" s="62">
        <v>0</v>
      </c>
      <c r="V214" s="68" t="s"/>
      <c r="W214" s="68" t="s"/>
      <c r="X214" s="68">
        <f>=O214-P214</f>
        <v>2280</v>
      </c>
      <c r="Y214" s="68">
        <f>=X214-T214-U214-V214</f>
        <v>457.6</v>
      </c>
      <c r="Z214" s="62">
        <f>=A214-$A$80+1</f>
        <v>85</v>
      </c>
      <c r="AA214" s="68">
        <f>=P214/10000*K214*Z214</f>
        <v>2278</v>
      </c>
      <c r="AB214" s="62">
        <f>=Q214*Z214</f>
        <v>9305800</v>
      </c>
      <c r="AC214" t="s">
        <v>44</v>
      </c>
    </row>
    <row r="215" spans="1:29">
      <c r="A215" s="63">
        <v>46098</v>
      </c>
      <c r="C215" s="62">
        <f>=TODAY()-A215+1</f>
        <v>85</v>
      </c>
      <c r="D215" s="62" t="s">
        <v>38</v>
      </c>
      <c r="E215" s="62" t="s">
        <v>133</v>
      </c>
      <c r="F215" s="62" t="s">
        <v>134</v>
      </c>
      <c r="G215" s="71" t="s">
        <v>135</v>
      </c>
      <c r="H215" s="98" t="s">
        <v>147</v>
      </c>
      <c r="I215" s="65" t="s">
        <v>43</v>
      </c>
      <c r="J215" s="62">
        <v>2</v>
      </c>
      <c r="K215" s="62">
        <v>2.5</v>
      </c>
      <c r="M215" s="62">
        <v>752000</v>
      </c>
      <c r="O215" s="62" t="s"/>
      <c r="P215" s="62" t="s"/>
      <c r="Q215" s="62" t="s"/>
      <c r="T215" s="68" t="s"/>
      <c r="V215" s="68" t="s"/>
      <c r="W215" s="68" t="s"/>
      <c r="X215" s="68" t="s"/>
      <c r="Y215" s="68" t="s"/>
      <c r="Z215" s="62" t="s"/>
      <c r="AA215" s="62" t="s"/>
      <c r="AB215" s="62" t="s"/>
      <c r="AC215" t="s">
        <v>58</v>
      </c>
    </row>
    <row r="216" spans="1:29">
      <c r="A216" s="98">
        <v>46098</v>
      </c>
      <c r="C216" s="62">
        <f>=TODAY()-A216+1</f>
        <v>85</v>
      </c>
      <c r="D216" s="62" t="s">
        <v>38</v>
      </c>
      <c r="E216" s="62" t="s">
        <v>148</v>
      </c>
      <c r="F216" s="62" t="s">
        <v>149</v>
      </c>
      <c r="G216" s="64" t="s">
        <v>150</v>
      </c>
      <c r="H216" s="98" t="s">
        <v>151</v>
      </c>
      <c r="I216" s="65" t="s">
        <v>43</v>
      </c>
      <c r="J216" s="62">
        <v>2</v>
      </c>
      <c r="K216" s="62">
        <v>2.5</v>
      </c>
      <c r="M216" s="62">
        <v>1785600</v>
      </c>
      <c r="O216" s="62" t="s"/>
      <c r="P216" s="62" t="s"/>
      <c r="Q216" s="62" t="s"/>
      <c r="T216" s="68" t="s"/>
      <c r="V216" s="68" t="s"/>
      <c r="W216" s="68" t="s"/>
      <c r="X216" s="68" t="s"/>
      <c r="Y216" s="68" t="s"/>
      <c r="Z216" s="62" t="s"/>
      <c r="AA216" s="62" t="s"/>
      <c r="AB216" s="62" t="s"/>
      <c r="AC216" t="s">
        <v>58</v>
      </c>
    </row>
    <row r="217" spans="1:29">
      <c r="A217" s="63">
        <v>46098</v>
      </c>
      <c r="B217" s="62" t="s">
        <v>37</v>
      </c>
      <c r="C217" s="62" t="s"/>
      <c r="D217" s="62" t="s">
        <v>38</v>
      </c>
      <c r="E217" s="62" t="s">
        <v>48</v>
      </c>
      <c r="F217" s="62" t="s">
        <v>73</v>
      </c>
      <c r="G217" s="64" t="s">
        <v>74</v>
      </c>
      <c r="H217" s="64" t="s">
        <v>75</v>
      </c>
      <c r="I217" s="72" t="s">
        <v>47</v>
      </c>
      <c r="J217" s="62">
        <v>2</v>
      </c>
      <c r="K217" s="62">
        <v>2.8</v>
      </c>
      <c r="O217" s="62">
        <v>331200</v>
      </c>
      <c r="P217" s="66">
        <v>315900</v>
      </c>
      <c r="Q217" s="62">
        <v>331200</v>
      </c>
      <c r="T217" s="68">
        <f>=P217/10000*J217*Z217</f>
        <v>11056.5</v>
      </c>
      <c r="U217" s="62">
        <v>0</v>
      </c>
      <c r="V217" s="68" t="s"/>
      <c r="W217" s="68" t="s"/>
      <c r="X217" s="68">
        <f>=O217-P217</f>
        <v>15300</v>
      </c>
      <c r="Y217" s="68">
        <f>=X217-T217-U217-V217</f>
        <v>4243.5</v>
      </c>
      <c r="Z217" s="62">
        <f>=A217-$A$46+1</f>
        <v>175</v>
      </c>
      <c r="AA217" s="68">
        <f>=P217/10000*K217*Z217</f>
        <v>15479.1</v>
      </c>
      <c r="AB217" s="62">
        <f>=Q217*Z217</f>
        <v>57960000</v>
      </c>
      <c r="AC217" t="s">
        <v>44</v>
      </c>
    </row>
    <row r="218" spans="1:29">
      <c r="A218" s="80">
        <v>46099</v>
      </c>
      <c r="B218" s="62" t="s">
        <v>37</v>
      </c>
      <c r="C218" s="62" t="s"/>
      <c r="D218" s="63" t="s">
        <v>38</v>
      </c>
      <c r="E218" s="62" t="s">
        <v>133</v>
      </c>
      <c r="F218" s="62" t="s">
        <v>134</v>
      </c>
      <c r="G218" s="71" t="s">
        <v>135</v>
      </c>
      <c r="H218" s="80" t="s">
        <v>141</v>
      </c>
      <c r="I218" s="72" t="s">
        <v>47</v>
      </c>
      <c r="J218" s="62">
        <v>2</v>
      </c>
      <c r="K218" s="62">
        <v>2.5</v>
      </c>
      <c r="O218" s="62">
        <v>331110</v>
      </c>
      <c r="P218" s="66">
        <v>330000</v>
      </c>
      <c r="Q218" s="62">
        <v>331110</v>
      </c>
      <c r="T218" s="68">
        <f>=P218/10000*J218*Z218</f>
        <v>528</v>
      </c>
      <c r="U218">
        <v>300</v>
      </c>
      <c r="V218" s="68" t="s"/>
      <c r="W218" s="68" t="s"/>
      <c r="X218" s="68">
        <f>=O218-P218</f>
        <v>1110</v>
      </c>
      <c r="Y218" s="68">
        <f>=X218-T218-U218-V218</f>
        <v>282</v>
      </c>
      <c r="Z218" s="62">
        <f>=A218-$A$201+1</f>
        <v>8</v>
      </c>
      <c r="AA218" s="68">
        <f>=P218/10000*K218*Z218</f>
        <v>660</v>
      </c>
      <c r="AB218" s="62">
        <f>=Q218*Z218</f>
        <v>2648880</v>
      </c>
      <c r="AC218" t="s">
        <v>58</v>
      </c>
    </row>
    <row r="219" spans="1:29">
      <c r="A219" s="98">
        <v>46099</v>
      </c>
      <c r="B219" s="103" t="s"/>
      <c r="C219" s="62">
        <f>=TODAY()-A219+1</f>
        <v>131</v>
      </c>
      <c r="D219" s="62" t="s">
        <v>38</v>
      </c>
      <c r="E219" s="62" t="s">
        <v>133</v>
      </c>
      <c r="F219" s="62" t="s">
        <v>134</v>
      </c>
      <c r="G219" s="71" t="s">
        <v>135</v>
      </c>
      <c r="H219" s="98" t="s">
        <v>152</v>
      </c>
      <c r="I219" s="65" t="s">
        <v>43</v>
      </c>
      <c r="J219" s="62">
        <v>2</v>
      </c>
      <c r="K219" s="62">
        <v>2.5</v>
      </c>
      <c r="M219" s="62">
        <v>552720</v>
      </c>
      <c r="T219" s="68" t="s"/>
      <c r="V219" s="68" t="s"/>
      <c r="W219" s="68" t="s"/>
      <c r="X219" s="68" t="s"/>
      <c r="Y219" s="68" t="s"/>
      <c r="Z219" s="62" t="s"/>
      <c r="AA219" s="62" t="s"/>
      <c r="AB219" s="62" t="s"/>
      <c r="AC219" t="s">
        <v>58</v>
      </c>
    </row>
    <row r="220" spans="1:29">
      <c r="A220" s="80">
        <v>46099</v>
      </c>
      <c r="B220" s="103" t="s"/>
      <c r="C220" s="62" t="s"/>
      <c r="D220" s="62" t="s">
        <v>38</v>
      </c>
      <c r="E220" s="62" t="s">
        <v>133</v>
      </c>
      <c r="F220" s="62" t="s">
        <v>134</v>
      </c>
      <c r="G220" s="71" t="s">
        <v>135</v>
      </c>
      <c r="H220" s="80" t="s">
        <v>152</v>
      </c>
      <c r="I220" s="72" t="s">
        <v>47</v>
      </c>
      <c r="J220" s="62">
        <v>2</v>
      </c>
      <c r="K220" s="62">
        <v>2.5</v>
      </c>
      <c r="M220" s="62" t="s"/>
      <c r="O220" s="62">
        <v>200700</v>
      </c>
      <c r="P220" s="66">
        <v>200000</v>
      </c>
      <c r="Q220" s="62">
        <v>200700</v>
      </c>
      <c r="T220" s="68">
        <f>=P220/10000*J220*Z220</f>
        <v>80</v>
      </c>
      <c r="U220">
        <v>200</v>
      </c>
      <c r="V220" s="68" t="s"/>
      <c r="W220" s="68" t="s"/>
      <c r="X220" s="68">
        <f>=O220-P220</f>
        <v>700</v>
      </c>
      <c r="Y220" s="68">
        <f>=X220-T220-U220-V220</f>
        <v>420</v>
      </c>
      <c r="Z220" s="62">
        <f>=A220-$A$215+1</f>
        <v>2</v>
      </c>
      <c r="AA220" s="68">
        <f>=P220/10000*K220*Z220</f>
        <v>100</v>
      </c>
      <c r="AB220" s="62">
        <f>=Q220*Z220</f>
        <v>401400</v>
      </c>
      <c r="AC220" t="s">
        <v>58</v>
      </c>
    </row>
    <row r="221" spans="1:29">
      <c r="A221" s="104">
        <v>46099</v>
      </c>
      <c r="B221" s="62" t="s">
        <v>37</v>
      </c>
      <c r="C221" s="62" t="s"/>
      <c r="D221" s="63" t="s">
        <v>38</v>
      </c>
      <c r="E221" s="62" t="s">
        <v>39</v>
      </c>
      <c r="F221" s="62" t="s">
        <v>40</v>
      </c>
      <c r="G221" s="64" t="s">
        <v>80</v>
      </c>
      <c r="H221" s="64" t="s">
        <v>102</v>
      </c>
      <c r="I221" s="72" t="s">
        <v>47</v>
      </c>
      <c r="J221" s="62">
        <v>2</v>
      </c>
      <c r="K221" s="62">
        <v>2.5</v>
      </c>
      <c r="O221" s="105">
        <v>95175.51</v>
      </c>
      <c r="P221">
        <v>93540</v>
      </c>
      <c r="Q221" s="105">
        <v>95175.51</v>
      </c>
      <c r="T221" s="68">
        <f>=P221/10000*J221*Z221</f>
        <v>1290.852</v>
      </c>
      <c r="U221" s="62">
        <v>0</v>
      </c>
      <c r="V221" s="68" t="s"/>
      <c r="W221" s="68" t="s"/>
      <c r="X221" s="68">
        <f>=O221-P221</f>
        <v>1635.51</v>
      </c>
      <c r="Y221" s="68">
        <f>=X221-T221-U221-V221</f>
        <v>344.657999999995</v>
      </c>
      <c r="Z221" s="62">
        <f>=A221-$A$100+1</f>
        <v>69</v>
      </c>
      <c r="AA221" s="68">
        <f>=P221/10000*K221*Z221</f>
        <v>1613.565</v>
      </c>
      <c r="AB221" s="62">
        <f>=Q221*Z221</f>
        <v>6567110.19</v>
      </c>
      <c r="AC221" t="s">
        <v>44</v>
      </c>
    </row>
    <row r="222" spans="1:29">
      <c r="A222" s="80">
        <v>46100</v>
      </c>
      <c r="B222" s="106" t="s">
        <v>37</v>
      </c>
      <c r="C222" s="62" t="s"/>
      <c r="D222" s="62" t="s">
        <v>38</v>
      </c>
      <c r="E222" s="62" t="s">
        <v>148</v>
      </c>
      <c r="F222" s="62" t="s">
        <v>153</v>
      </c>
      <c r="G222" s="71" t="s">
        <v>154</v>
      </c>
      <c r="H222" s="80" t="s">
        <v>155</v>
      </c>
      <c r="I222" s="65" t="s">
        <v>43</v>
      </c>
      <c r="J222" s="62">
        <v>2</v>
      </c>
      <c r="K222" s="62">
        <v>2.5</v>
      </c>
      <c r="M222" s="62">
        <v>2504950</v>
      </c>
      <c r="T222" s="68" t="s"/>
      <c r="V222" s="68" t="s"/>
      <c r="W222" s="68" t="s"/>
      <c r="X222" s="68" t="s"/>
      <c r="Y222" s="68" t="s"/>
      <c r="Z222" s="62" t="s"/>
      <c r="AA222" s="62" t="s"/>
      <c r="AB222" s="62" t="s"/>
      <c r="AC222" t="s">
        <v>58</v>
      </c>
    </row>
    <row r="223" spans="1:29">
      <c r="A223" s="80">
        <v>46100</v>
      </c>
      <c r="B223" s="106" t="s">
        <v>37</v>
      </c>
      <c r="C223" s="62" t="s"/>
      <c r="D223" s="62" t="s">
        <v>38</v>
      </c>
      <c r="E223" s="62" t="s">
        <v>148</v>
      </c>
      <c r="F223" s="62" t="s">
        <v>153</v>
      </c>
      <c r="G223" s="71" t="s">
        <v>156</v>
      </c>
      <c r="H223" s="80" t="s">
        <v>157</v>
      </c>
      <c r="I223" s="65" t="s">
        <v>43</v>
      </c>
      <c r="J223" s="62">
        <v>2</v>
      </c>
      <c r="K223" s="62">
        <v>2.5</v>
      </c>
      <c r="M223" s="62">
        <v>727600</v>
      </c>
      <c r="T223" s="68" t="s"/>
      <c r="V223" s="68" t="s"/>
      <c r="W223" s="68" t="s"/>
      <c r="X223" s="68" t="s"/>
      <c r="Y223" s="68" t="s"/>
      <c r="Z223" s="62" t="s"/>
      <c r="AA223" s="62" t="s"/>
      <c r="AB223" s="62" t="s"/>
      <c r="AC223" t="s">
        <v>58</v>
      </c>
    </row>
    <row r="224" spans="1:29">
      <c r="A224" s="80">
        <v>46100</v>
      </c>
      <c r="B224" s="103" t="s"/>
      <c r="C224" s="62">
        <f>=TODAY()-A224+1</f>
        <v>130</v>
      </c>
      <c r="D224" s="62" t="s">
        <v>38</v>
      </c>
      <c r="E224" s="62" t="s">
        <v>48</v>
      </c>
      <c r="F224" s="62" t="s">
        <v>49</v>
      </c>
      <c r="G224" s="71" t="s">
        <v>52</v>
      </c>
      <c r="H224" s="71" t="s">
        <v>158</v>
      </c>
      <c r="I224" s="65" t="s">
        <v>43</v>
      </c>
      <c r="J224" s="62">
        <v>2</v>
      </c>
      <c r="K224" s="62">
        <v>3</v>
      </c>
      <c r="M224" s="62">
        <v>512754</v>
      </c>
      <c r="T224" s="68" t="s"/>
      <c r="V224" s="68" t="s"/>
      <c r="W224" s="68" t="s"/>
      <c r="X224" s="68" t="s"/>
      <c r="Y224" s="68" t="s"/>
      <c r="Z224" s="62" t="s"/>
      <c r="AA224" s="62" t="s"/>
      <c r="AB224" s="62" t="s"/>
      <c r="AC224" t="s">
        <v>44</v>
      </c>
    </row>
    <row r="225" spans="1:29">
      <c r="A225" s="107">
        <v>46100</v>
      </c>
      <c r="B225" t="s">
        <v>37</v>
      </c>
      <c r="C225" s="62" t="s"/>
      <c r="D225" s="62" t="s">
        <v>38</v>
      </c>
      <c r="E225" s="62" t="s">
        <v>128</v>
      </c>
      <c r="F225" s="62" t="s">
        <v>129</v>
      </c>
      <c r="G225" s="94" t="s">
        <v>145</v>
      </c>
      <c r="H225" s="64" t="s">
        <v>146</v>
      </c>
      <c r="I225" s="72" t="s">
        <v>47</v>
      </c>
      <c r="J225" s="62">
        <v>2</v>
      </c>
      <c r="K225" s="62">
        <v>2.5</v>
      </c>
      <c r="O225" s="62">
        <v>396942</v>
      </c>
      <c r="P225" s="66">
        <v>396000</v>
      </c>
      <c r="Q225" s="62">
        <v>396942</v>
      </c>
      <c r="T225" s="68">
        <f>=P225/10000*J225*Z225</f>
        <v>396</v>
      </c>
      <c r="U225">
        <v>100</v>
      </c>
      <c r="V225" s="68" t="s"/>
      <c r="W225" s="68" t="s"/>
      <c r="X225" s="68">
        <f>=O225-P225</f>
        <v>942</v>
      </c>
      <c r="Y225" s="68">
        <f>=X225-T225-U225-V225</f>
        <v>446</v>
      </c>
      <c r="Z225" s="62">
        <f>=A225-$A$213+1</f>
        <v>5</v>
      </c>
      <c r="AA225" s="68">
        <f>=P225/10000*K225*Z225</f>
        <v>495</v>
      </c>
      <c r="AB225" s="62">
        <f>=Q225*Z225</f>
        <v>1984710</v>
      </c>
      <c r="AC225" t="s">
        <v>58</v>
      </c>
    </row>
    <row r="226" spans="1:29">
      <c r="A226" s="63">
        <v>46100</v>
      </c>
      <c r="B226" s="62" t="s">
        <v>37</v>
      </c>
      <c r="C226" s="62" t="s"/>
      <c r="D226" s="62" t="s">
        <v>114</v>
      </c>
      <c r="E226" s="62" t="s">
        <v>114</v>
      </c>
      <c r="F226" s="62" t="s">
        <v>115</v>
      </c>
      <c r="G226" s="64" t="s">
        <v>116</v>
      </c>
      <c r="H226" s="64" t="s">
        <v>118</v>
      </c>
      <c r="I226" s="72" t="s">
        <v>47</v>
      </c>
      <c r="J226" s="62">
        <v>2</v>
      </c>
      <c r="K226" s="62">
        <v>2.6</v>
      </c>
      <c r="L226" s="62" t="s"/>
      <c r="M226" s="62" t="s"/>
      <c r="N226" s="62" t="s"/>
      <c r="O226" s="62">
        <v>55016.14</v>
      </c>
      <c r="P226" s="62">
        <v>54410</v>
      </c>
      <c r="Q226" s="62">
        <v>55016.14</v>
      </c>
      <c r="R226" s="62" t="s"/>
      <c r="S226" s="62" t="s"/>
      <c r="T226" s="68">
        <f>=P226/10000*J226*Z226</f>
        <v>467.926</v>
      </c>
      <c r="U226" s="62">
        <v>0</v>
      </c>
      <c r="V226" s="68" t="s"/>
      <c r="W226" s="68" t="s"/>
      <c r="X226" s="68">
        <f>=O226-P226</f>
        <v>606.14</v>
      </c>
      <c r="Y226" s="68">
        <f>=X226-T226-U226-V226</f>
        <v>138.213999999999</v>
      </c>
      <c r="Z226" s="62">
        <f>=A226-$A$144+1</f>
        <v>43</v>
      </c>
      <c r="AA226" s="68">
        <f>=P226/10000*K226*Z226</f>
        <v>608.3038</v>
      </c>
      <c r="AB226" s="62">
        <f>=Q226*Z226</f>
        <v>2365694.02</v>
      </c>
      <c r="AC226" t="s">
        <v>58</v>
      </c>
    </row>
    <row r="227" spans="1:29">
      <c r="A227" s="80">
        <v>46104</v>
      </c>
      <c r="B227" s="106" t="s">
        <v>37</v>
      </c>
      <c r="C227" s="62" t="s"/>
      <c r="D227" s="62" t="s">
        <v>38</v>
      </c>
      <c r="E227" s="70" t="s">
        <v>54</v>
      </c>
      <c r="F227" s="62" t="s">
        <v>55</v>
      </c>
      <c r="G227" s="62" t="s">
        <v>159</v>
      </c>
      <c r="H227" s="71" t="s">
        <v>160</v>
      </c>
      <c r="I227" s="65" t="s">
        <v>43</v>
      </c>
      <c r="J227" s="62">
        <v>2</v>
      </c>
      <c r="K227" s="62">
        <v>2.5</v>
      </c>
      <c r="M227" s="62">
        <v>1320000</v>
      </c>
      <c r="O227" s="62" t="s"/>
      <c r="P227" s="66" t="s"/>
      <c r="T227" s="68" t="s"/>
      <c r="V227" s="68" t="s"/>
      <c r="W227" s="68" t="s"/>
      <c r="X227" s="68" t="s"/>
      <c r="Y227" s="68" t="s"/>
      <c r="Z227" s="62" t="s"/>
      <c r="AA227" s="62" t="s"/>
      <c r="AB227" s="62" t="s"/>
      <c r="AC227" t="s">
        <v>44</v>
      </c>
    </row>
    <row r="228" spans="1:29">
      <c r="A228" s="98">
        <v>46100</v>
      </c>
      <c r="B228" s="103" t="s"/>
      <c r="C228" s="62">
        <f>=TODAY()-A228+1</f>
        <v>83</v>
      </c>
      <c r="D228" s="62" t="s">
        <v>38</v>
      </c>
      <c r="E228" s="62" t="s">
        <v>148</v>
      </c>
      <c r="F228" s="62" t="s">
        <v>149</v>
      </c>
      <c r="G228" s="64" t="s">
        <v>150</v>
      </c>
      <c r="H228" s="71" t="s">
        <v>161</v>
      </c>
      <c r="I228" s="65" t="s">
        <v>43</v>
      </c>
      <c r="J228" s="62">
        <v>2</v>
      </c>
      <c r="K228" s="62">
        <v>2.5</v>
      </c>
      <c r="M228" s="62">
        <v>436400</v>
      </c>
      <c r="T228" s="68" t="s"/>
      <c r="V228" s="68" t="s"/>
      <c r="W228" s="68" t="s"/>
      <c r="X228" s="68" t="s"/>
      <c r="Y228" s="68" t="s"/>
      <c r="Z228" s="62" t="s"/>
      <c r="AA228" s="62" t="s"/>
      <c r="AB228" s="62" t="s"/>
      <c r="AC228" t="s">
        <v>58</v>
      </c>
    </row>
    <row r="229" spans="1:29">
      <c r="A229" s="80">
        <v>46101</v>
      </c>
      <c r="B229" s="103" t="s"/>
      <c r="C229" s="62">
        <f>=TODAY()-A229+1</f>
        <v>82</v>
      </c>
      <c r="D229" s="62" t="s">
        <v>38</v>
      </c>
      <c r="E229" s="62" t="s">
        <v>148</v>
      </c>
      <c r="F229" s="62" t="s">
        <v>149</v>
      </c>
      <c r="G229" s="71" t="s">
        <v>150</v>
      </c>
      <c r="H229" s="98" t="s">
        <v>162</v>
      </c>
      <c r="I229" s="65" t="s">
        <v>43</v>
      </c>
      <c r="J229" s="62">
        <v>2</v>
      </c>
      <c r="K229" s="62">
        <v>2.5</v>
      </c>
      <c r="M229" s="62">
        <v>345600</v>
      </c>
      <c r="T229" s="68" t="s"/>
      <c r="V229" s="68" t="s"/>
      <c r="W229" s="68" t="s"/>
      <c r="X229" s="68" t="s"/>
      <c r="Y229" s="68" t="s"/>
      <c r="Z229" s="62" t="s"/>
      <c r="AA229" s="62" t="s"/>
      <c r="AB229" s="62" t="s"/>
      <c r="AC229" t="s">
        <v>58</v>
      </c>
    </row>
    <row r="230" spans="1:29">
      <c r="A230" s="80">
        <v>46101</v>
      </c>
      <c r="B230" s="106" t="s">
        <v>37</v>
      </c>
      <c r="C230" s="62" t="s"/>
      <c r="D230" s="62" t="s">
        <v>38</v>
      </c>
      <c r="E230" s="62" t="s">
        <v>163</v>
      </c>
      <c r="F230" s="62" t="s">
        <v>164</v>
      </c>
      <c r="G230" s="108" t="s">
        <v>165</v>
      </c>
      <c r="H230" s="98" t="s">
        <v>166</v>
      </c>
      <c r="I230" s="65" t="s">
        <v>43</v>
      </c>
      <c r="J230" s="62">
        <v>2</v>
      </c>
      <c r="K230" s="62">
        <v>3</v>
      </c>
      <c r="M230" s="62">
        <v>330600</v>
      </c>
      <c r="T230" s="68" t="s"/>
      <c r="V230" s="68" t="s"/>
      <c r="W230" s="68" t="s"/>
      <c r="X230" s="68" t="s"/>
      <c r="Y230" s="68" t="s"/>
      <c r="Z230" s="62" t="s"/>
      <c r="AA230" s="62" t="s"/>
      <c r="AB230" s="62" t="s"/>
      <c r="AC230" t="s">
        <v>58</v>
      </c>
    </row>
    <row r="231" spans="1:29">
      <c r="A231" s="80">
        <v>46101</v>
      </c>
      <c r="B231" s="103" t="s"/>
      <c r="C231" s="62">
        <f>=TODAY()-A231+1</f>
        <v>129</v>
      </c>
      <c r="D231" s="62" t="s">
        <v>38</v>
      </c>
      <c r="E231" s="98" t="s">
        <v>167</v>
      </c>
      <c r="F231" s="98" t="s">
        <v>168</v>
      </c>
      <c r="G231" s="98" t="s">
        <v>169</v>
      </c>
      <c r="H231" s="98" t="s">
        <v>170</v>
      </c>
      <c r="I231" s="65" t="s">
        <v>43</v>
      </c>
      <c r="J231" s="78">
        <v>2</v>
      </c>
      <c r="K231" s="78">
        <v>2.5</v>
      </c>
      <c r="L231" s="98" t="s"/>
      <c r="M231" s="78">
        <v>845987</v>
      </c>
      <c r="AC231" t="s">
        <v>58</v>
      </c>
    </row>
    <row r="232" spans="1:29">
      <c r="A232" s="109">
        <v>46101</v>
      </c>
      <c r="B232" s="106" t="s">
        <v>37</v>
      </c>
      <c r="C232" s="62" t="s"/>
      <c r="D232" s="62" t="s">
        <v>38</v>
      </c>
      <c r="E232" s="78" t="s">
        <v>39</v>
      </c>
      <c r="F232" s="98" t="s">
        <v>171</v>
      </c>
      <c r="G232" s="71" t="s">
        <v>172</v>
      </c>
      <c r="H232" s="71" t="s">
        <v>173</v>
      </c>
      <c r="I232" s="65" t="s">
        <v>43</v>
      </c>
      <c r="J232" s="62">
        <v>2</v>
      </c>
      <c r="K232" s="62">
        <v>2.5</v>
      </c>
      <c r="M232" s="62">
        <v>1170000</v>
      </c>
      <c r="AC232" t="s">
        <v>58</v>
      </c>
    </row>
    <row r="233" spans="1:29">
      <c r="A233" s="80">
        <v>46101</v>
      </c>
      <c r="B233" s="103" t="s"/>
      <c r="C233" s="62">
        <f>=TODAY()-A233+1</f>
        <v>82</v>
      </c>
      <c r="D233" s="62" t="s">
        <v>38</v>
      </c>
      <c r="E233" s="62" t="s">
        <v>133</v>
      </c>
      <c r="F233" s="62" t="s">
        <v>134</v>
      </c>
      <c r="G233" s="71" t="s">
        <v>135</v>
      </c>
      <c r="H233" s="98" t="s">
        <v>174</v>
      </c>
      <c r="I233" s="65" t="s">
        <v>43</v>
      </c>
      <c r="J233" s="62">
        <v>2</v>
      </c>
      <c r="K233" s="62">
        <v>2.5</v>
      </c>
      <c r="M233" s="62">
        <v>840000</v>
      </c>
      <c r="AC233" t="s">
        <v>58</v>
      </c>
    </row>
    <row r="234" spans="1:29">
      <c r="A234" s="80">
        <v>46102</v>
      </c>
      <c r="B234" s="103" t="s"/>
      <c r="C234" s="62">
        <f>=TODAY()-A234+1</f>
        <v>81</v>
      </c>
      <c r="D234" s="62" t="s">
        <v>38</v>
      </c>
      <c r="E234" s="62" t="s">
        <v>148</v>
      </c>
      <c r="F234" s="62" t="s">
        <v>153</v>
      </c>
      <c r="G234" s="71" t="s">
        <v>156</v>
      </c>
      <c r="H234" s="98" t="s">
        <v>175</v>
      </c>
      <c r="I234" s="65" t="s">
        <v>43</v>
      </c>
      <c r="J234" s="62">
        <v>2</v>
      </c>
      <c r="K234" s="62">
        <v>2.3</v>
      </c>
      <c r="M234" s="62">
        <v>68000</v>
      </c>
      <c r="AC234" t="s">
        <v>58</v>
      </c>
    </row>
    <row r="235" spans="1:29">
      <c r="A235" s="110">
        <v>46103</v>
      </c>
      <c r="B235" s="106" t="s">
        <v>37</v>
      </c>
      <c r="C235" s="62" t="s"/>
      <c r="D235" s="63" t="s">
        <v>38</v>
      </c>
      <c r="E235" s="62" t="s">
        <v>39</v>
      </c>
      <c r="F235" s="62" t="s">
        <v>40</v>
      </c>
      <c r="G235" s="93" t="s">
        <v>142</v>
      </c>
      <c r="H235" s="102" t="s">
        <v>176</v>
      </c>
      <c r="I235" s="79" t="s">
        <v>43</v>
      </c>
      <c r="J235" s="62">
        <v>2</v>
      </c>
      <c r="K235" s="62">
        <v>2.5</v>
      </c>
      <c r="M235" s="62">
        <v>94840</v>
      </c>
      <c r="AC235" t="s">
        <v>58</v>
      </c>
    </row>
    <row r="236" spans="1:29">
      <c r="A236" s="110">
        <v>46104</v>
      </c>
      <c r="B236" s="71" t="s">
        <v>37</v>
      </c>
      <c r="C236" s="111" t="s"/>
      <c r="D236" s="62" t="s">
        <v>38</v>
      </c>
      <c r="E236" s="62" t="s">
        <v>133</v>
      </c>
      <c r="F236" s="62" t="s">
        <v>134</v>
      </c>
      <c r="G236" s="93" t="s">
        <v>135</v>
      </c>
      <c r="H236" s="102" t="s">
        <v>177</v>
      </c>
      <c r="I236" s="79" t="s">
        <v>43</v>
      </c>
      <c r="J236" s="62">
        <v>2</v>
      </c>
      <c r="K236" s="62">
        <v>2.5</v>
      </c>
      <c r="M236" s="62">
        <v>1125000</v>
      </c>
      <c r="AC236" t="s">
        <v>58</v>
      </c>
    </row>
    <row r="237" spans="1:29">
      <c r="A237" s="80">
        <v>46104</v>
      </c>
      <c r="B237" s="106" t="s">
        <v>37</v>
      </c>
      <c r="C237" s="62" t="s"/>
      <c r="D237" s="63" t="s">
        <v>38</v>
      </c>
      <c r="E237" s="62" t="s">
        <v>39</v>
      </c>
      <c r="F237" s="62" t="s">
        <v>40</v>
      </c>
      <c r="G237" s="71" t="s">
        <v>142</v>
      </c>
      <c r="H237" s="98" t="s">
        <v>178</v>
      </c>
      <c r="I237" s="65" t="s">
        <v>43</v>
      </c>
      <c r="J237" s="62">
        <v>2</v>
      </c>
      <c r="K237" s="62">
        <v>2.5</v>
      </c>
      <c r="M237" s="62">
        <v>379360</v>
      </c>
      <c r="AC237" t="s">
        <v>58</v>
      </c>
    </row>
    <row r="238" spans="1:29">
      <c r="A238" s="80">
        <v>46104</v>
      </c>
      <c r="B238" s="103" t="s"/>
      <c r="C238" s="62" t="s"/>
      <c r="D238" s="62" t="s">
        <v>38</v>
      </c>
      <c r="E238" s="62" t="s">
        <v>148</v>
      </c>
      <c r="F238" s="62" t="s">
        <v>149</v>
      </c>
      <c r="G238" s="71" t="s">
        <v>150</v>
      </c>
      <c r="H238" s="80" t="s">
        <v>162</v>
      </c>
      <c r="I238" s="72" t="s">
        <v>47</v>
      </c>
      <c r="J238" s="62">
        <v>2</v>
      </c>
      <c r="K238" s="62">
        <v>2.5</v>
      </c>
      <c r="O238" s="62">
        <v>216732</v>
      </c>
      <c r="P238" s="62">
        <v>216000</v>
      </c>
      <c r="Q238" s="62">
        <v>216732</v>
      </c>
      <c r="T238" s="68">
        <f>=P238/10000*J238*Z238</f>
        <v>172.8</v>
      </c>
      <c r="U238">
        <v>200</v>
      </c>
      <c r="V238" s="68" t="s"/>
      <c r="W238" s="68" t="s"/>
      <c r="X238" s="68">
        <f>=O238-P238</f>
        <v>732</v>
      </c>
      <c r="Y238" s="68">
        <f>=X238-T238-U238-V238</f>
        <v>359.2</v>
      </c>
      <c r="Z238" s="62">
        <f>=A238-$A$229+1</f>
        <v>4</v>
      </c>
      <c r="AA238" s="68">
        <f>=P238/10000*K238*Z238</f>
        <v>216</v>
      </c>
      <c r="AB238" s="62">
        <f>=Q238*Z238</f>
        <v>866928</v>
      </c>
      <c r="AC238" t="s">
        <v>58</v>
      </c>
    </row>
    <row r="239" spans="1:29">
      <c r="A239" s="80">
        <v>46104</v>
      </c>
      <c r="B239" s="103" t="s"/>
      <c r="C239" s="62" t="s"/>
      <c r="D239" s="62" t="s">
        <v>38</v>
      </c>
      <c r="E239" s="62" t="s">
        <v>148</v>
      </c>
      <c r="F239" s="62" t="s">
        <v>149</v>
      </c>
      <c r="G239" s="71" t="s">
        <v>150</v>
      </c>
      <c r="H239" s="80" t="s">
        <v>151</v>
      </c>
      <c r="I239" s="72" t="s">
        <v>47</v>
      </c>
      <c r="J239" s="62">
        <v>2</v>
      </c>
      <c r="K239" s="62">
        <v>2.5</v>
      </c>
      <c r="O239" s="62">
        <v>133366</v>
      </c>
      <c r="P239" s="62">
        <v>132800</v>
      </c>
      <c r="Q239" s="62">
        <v>133366</v>
      </c>
      <c r="T239" s="68">
        <f>=P239/10000*J239*Z239</f>
        <v>185.92</v>
      </c>
      <c r="U239">
        <v>200</v>
      </c>
      <c r="V239" s="68" t="s"/>
      <c r="W239" s="68" t="s"/>
      <c r="X239" s="68">
        <f>=O239-P239</f>
        <v>566</v>
      </c>
      <c r="Y239" s="68">
        <f>=X239-T239-U239-V239</f>
        <v>180.08</v>
      </c>
      <c r="Z239" s="62">
        <f>=A239-$A$216+1</f>
        <v>7</v>
      </c>
      <c r="AA239" s="68">
        <f>=P239/10000*K239*Z239</f>
        <v>232.4</v>
      </c>
      <c r="AB239" s="62">
        <f>=Q239*Z239</f>
        <v>933562</v>
      </c>
      <c r="AC239" t="s">
        <v>58</v>
      </c>
    </row>
    <row r="240" spans="1:29">
      <c r="A240" s="80">
        <v>46104</v>
      </c>
      <c r="B240" s="106" t="s">
        <v>37</v>
      </c>
      <c r="C240" s="62" t="s"/>
      <c r="D240" s="62" t="s">
        <v>38</v>
      </c>
      <c r="E240" s="78" t="s">
        <v>148</v>
      </c>
      <c r="F240" s="78" t="s">
        <v>153</v>
      </c>
      <c r="G240" s="71" t="s">
        <v>154</v>
      </c>
      <c r="H240" s="80" t="s">
        <v>155</v>
      </c>
      <c r="I240" s="72" t="s">
        <v>47</v>
      </c>
      <c r="J240" s="78">
        <v>2</v>
      </c>
      <c r="K240" s="78">
        <v>2.5</v>
      </c>
      <c r="M240" s="71" t="s"/>
      <c r="N240" s="112" t="s"/>
      <c r="O240" s="62">
        <v>697776.3</v>
      </c>
      <c r="P240" s="62">
        <v>696150</v>
      </c>
      <c r="Q240" s="62">
        <v>697776.3</v>
      </c>
      <c r="T240" s="68">
        <f>=P240/10000*J240*Z240</f>
        <v>696.15</v>
      </c>
      <c r="U240">
        <v>175.5</v>
      </c>
      <c r="V240" s="68" t="s"/>
      <c r="W240" s="68" t="s"/>
      <c r="X240" s="68">
        <f>=O240-P240</f>
        <v>1626.30000000005</v>
      </c>
      <c r="Y240" s="68">
        <f>=X240-T240-U240-V240</f>
        <v>754.650000000047</v>
      </c>
      <c r="Z240" s="62">
        <f>=A240-$A$222+1</f>
        <v>5</v>
      </c>
      <c r="AA240" s="68">
        <f>=P240/10000*K240*Z240</f>
        <v>870.1875</v>
      </c>
      <c r="AB240" s="62">
        <f>=Q240*Z240</f>
        <v>3488881.5</v>
      </c>
      <c r="AC240" t="s">
        <v>58</v>
      </c>
    </row>
    <row r="241" spans="1:29">
      <c r="A241" s="63">
        <v>46104</v>
      </c>
      <c r="B241" s="62" t="s">
        <v>37</v>
      </c>
      <c r="C241" s="62" t="s"/>
      <c r="D241" s="62" t="s">
        <v>38</v>
      </c>
      <c r="E241" s="62" t="s">
        <v>48</v>
      </c>
      <c r="F241" s="62" t="s">
        <v>81</v>
      </c>
      <c r="G241" s="64" t="s">
        <v>84</v>
      </c>
      <c r="H241" s="64" t="s">
        <v>95</v>
      </c>
      <c r="I241" s="113" t="s">
        <v>47</v>
      </c>
      <c r="J241" s="78">
        <v>2</v>
      </c>
      <c r="K241" s="78">
        <v>2.5</v>
      </c>
      <c r="O241" s="62">
        <v>109680</v>
      </c>
      <c r="P241" s="66">
        <v>107200</v>
      </c>
      <c r="Q241" s="62">
        <v>109480</v>
      </c>
      <c r="T241" s="68">
        <f>=P241/10000*J241*Z241</f>
        <v>1972.48</v>
      </c>
      <c r="U241" s="62">
        <v>0</v>
      </c>
      <c r="V241" s="68" t="s"/>
      <c r="W241" s="68" t="s"/>
      <c r="X241" s="68">
        <f>=O241-P241</f>
        <v>2480</v>
      </c>
      <c r="Y241" s="68">
        <f>=X241-T241-U241-V241</f>
        <v>507.52</v>
      </c>
      <c r="Z241" s="62">
        <f>=A241-$A$80+1</f>
        <v>92</v>
      </c>
      <c r="AA241" s="68">
        <f>=P241/10000*K241*Z241</f>
        <v>2465.6</v>
      </c>
      <c r="AB241" s="62">
        <f>=Q241*Z241</f>
        <v>10072160</v>
      </c>
      <c r="AC241" t="s">
        <v>44</v>
      </c>
    </row>
    <row r="242" spans="1:29">
      <c r="A242" s="80">
        <v>46104</v>
      </c>
      <c r="B242" s="103" t="s"/>
      <c r="C242" s="62">
        <f>=TODAY()-A242+1</f>
        <v>126</v>
      </c>
      <c r="D242" s="62" t="s">
        <v>38</v>
      </c>
      <c r="E242" s="62" t="s">
        <v>48</v>
      </c>
      <c r="F242" s="62" t="s">
        <v>49</v>
      </c>
      <c r="G242" s="71" t="s">
        <v>52</v>
      </c>
      <c r="H242" s="71" t="s">
        <v>179</v>
      </c>
      <c r="I242" s="114" t="s">
        <v>43</v>
      </c>
      <c r="J242" s="78">
        <v>2</v>
      </c>
      <c r="K242" s="78">
        <v>3</v>
      </c>
      <c r="M242" s="71">
        <v>370090</v>
      </c>
      <c r="N242" s="112" t="s"/>
      <c r="AC242" t="s">
        <v>44</v>
      </c>
    </row>
    <row r="243" spans="1:29">
      <c r="A243" s="80">
        <v>46104</v>
      </c>
      <c r="B243" s="62" t="s">
        <v>37</v>
      </c>
      <c r="C243" s="62" t="s"/>
      <c r="D243" s="62" t="s">
        <v>38</v>
      </c>
      <c r="E243" s="62" t="s">
        <v>48</v>
      </c>
      <c r="F243" s="62" t="s">
        <v>73</v>
      </c>
      <c r="G243" s="64" t="s">
        <v>74</v>
      </c>
      <c r="H243" s="64" t="s">
        <v>75</v>
      </c>
      <c r="I243" s="113" t="s">
        <v>47</v>
      </c>
      <c r="J243" s="78">
        <v>2</v>
      </c>
      <c r="K243" s="78">
        <v>2.8</v>
      </c>
      <c r="M243" s="71" t="s"/>
      <c r="N243" s="112" t="s"/>
      <c r="O243" s="62">
        <v>442400</v>
      </c>
      <c r="P243" s="66">
        <v>421200</v>
      </c>
      <c r="Q243" s="62">
        <v>442400</v>
      </c>
      <c r="T243" s="68">
        <f>=P243/10000*J243*Z243</f>
        <v>15247.44</v>
      </c>
      <c r="U243" s="62">
        <v>0</v>
      </c>
      <c r="V243" s="68" t="s"/>
      <c r="W243" s="68" t="s"/>
      <c r="X243" s="68">
        <f>=O243-P243</f>
        <v>21200</v>
      </c>
      <c r="Y243" s="68">
        <f>=X243-T243-U243-V243</f>
        <v>5952.56</v>
      </c>
      <c r="Z243" s="62">
        <f>=A243-$A$46+1</f>
        <v>181</v>
      </c>
      <c r="AA243" s="68">
        <f>=P243/10000*K243*Z243</f>
        <v>21346.416</v>
      </c>
      <c r="AB243" s="62">
        <f>=Q243*Z243</f>
        <v>80074400</v>
      </c>
      <c r="AC243" t="s">
        <v>44</v>
      </c>
    </row>
    <row r="244" spans="1:29">
      <c r="A244" s="110">
        <v>46104</v>
      </c>
      <c r="B244" s="106" t="s">
        <v>37</v>
      </c>
      <c r="C244" s="62">
        <f>=TODAY()-A244+1</f>
        <v>79</v>
      </c>
      <c r="D244" s="62" t="s">
        <v>38</v>
      </c>
      <c r="E244" s="62" t="s">
        <v>148</v>
      </c>
      <c r="F244" s="62" t="s">
        <v>153</v>
      </c>
      <c r="G244" s="71" t="s">
        <v>156</v>
      </c>
      <c r="H244" s="102" t="s">
        <v>180</v>
      </c>
      <c r="I244" s="114" t="s">
        <v>43</v>
      </c>
      <c r="J244" s="78">
        <v>2</v>
      </c>
      <c r="K244" s="78">
        <v>2.3</v>
      </c>
      <c r="M244" s="64">
        <v>1588000</v>
      </c>
      <c r="T244" s="68" t="s"/>
      <c r="V244" s="68" t="s"/>
      <c r="W244" s="68" t="s"/>
      <c r="X244" s="68" t="s"/>
      <c r="Y244" s="68" t="s"/>
      <c r="AC244" t="s">
        <v>58</v>
      </c>
    </row>
    <row r="245" spans="1:29" s="270" customFormat="true" ht="15.75" customHeight="true">
      <c r="A245" s="80">
        <v>46105</v>
      </c>
      <c r="B245" s="64" t="s"/>
      <c r="C245" s="64">
        <f>=TODAY()-A245+1</f>
        <v>78</v>
      </c>
      <c r="D245" s="64" t="s">
        <v>38</v>
      </c>
      <c r="E245" s="64" t="s">
        <v>48</v>
      </c>
      <c r="F245" s="64" t="s">
        <v>73</v>
      </c>
      <c r="G245" s="64" t="s">
        <v>181</v>
      </c>
      <c r="H245" s="64" t="s">
        <v>182</v>
      </c>
      <c r="I245" s="115" t="s">
        <v>6</v>
      </c>
      <c r="J245" s="64">
        <v>2</v>
      </c>
      <c r="K245" s="64">
        <v>2.5</v>
      </c>
      <c r="L245" s="64">
        <v>884520</v>
      </c>
      <c r="M245" s="64" t="s"/>
      <c r="N245" s="64" t="s"/>
      <c r="O245" s="64" t="s"/>
      <c r="P245" s="64" t="s"/>
      <c r="Q245" s="116" t="s"/>
      <c r="R245" s="64">
        <v>884520</v>
      </c>
      <c r="S245" s="64" t="s"/>
      <c r="T245" s="64" t="s"/>
      <c r="U245" s="83" t="s"/>
      <c r="V245" s="83" t="s"/>
      <c r="W245" s="116" t="s"/>
      <c r="X245" s="116" t="s"/>
      <c r="Y245" s="64" t="s"/>
      <c r="Z245" s="64" t="s"/>
      <c r="AA245" s="64" t="s"/>
      <c r="AB245" s="64" t="s"/>
      <c r="AC245" s="117" t="s">
        <v>44</v>
      </c>
    </row>
    <row r="246" spans="1:29" ht="15.75" customHeight="true">
      <c r="A246" s="118">
        <v>46105</v>
      </c>
      <c r="B246" s="62" t="s"/>
      <c r="C246" s="62">
        <f>=TODAY()-A246+1</f>
        <v>78</v>
      </c>
      <c r="D246" s="62" t="s">
        <v>38</v>
      </c>
      <c r="E246" s="62" t="s">
        <v>48</v>
      </c>
      <c r="F246" s="62" t="s">
        <v>73</v>
      </c>
      <c r="G246" s="83" t="s">
        <v>181</v>
      </c>
      <c r="H246" s="83" t="s">
        <v>182</v>
      </c>
      <c r="I246" s="114" t="s">
        <v>43</v>
      </c>
      <c r="J246" s="78">
        <v>2</v>
      </c>
      <c r="K246" s="78">
        <v>2.5</v>
      </c>
      <c r="L246" s="62" t="s"/>
      <c r="M246" s="111">
        <v>4212000</v>
      </c>
      <c r="N246" s="111" t="s"/>
      <c r="O246" s="62" t="s"/>
      <c r="P246" s="62" t="s"/>
      <c r="Q246" s="62" t="s"/>
      <c r="R246" s="62" t="s"/>
      <c r="S246" s="62" t="s"/>
      <c r="T246" s="62" t="s"/>
      <c r="U246" s="62" t="s"/>
      <c r="V246" s="62" t="s"/>
      <c r="W246" s="62" t="s"/>
      <c r="X246" s="62" t="s"/>
      <c r="Y246" s="62" t="s"/>
      <c r="Z246" s="62" t="s"/>
      <c r="AA246" s="62" t="s"/>
      <c r="AB246" s="62" t="s"/>
      <c r="AC246" t="s">
        <v>44</v>
      </c>
    </row>
    <row r="247" spans="1:29">
      <c r="A247" s="80">
        <v>46105</v>
      </c>
      <c r="B247" s="106" t="s">
        <v>37</v>
      </c>
      <c r="C247" s="62" t="s"/>
      <c r="D247" s="62" t="s">
        <v>38</v>
      </c>
      <c r="E247" s="62" t="s">
        <v>148</v>
      </c>
      <c r="F247" s="62" t="s">
        <v>153</v>
      </c>
      <c r="G247" s="71" t="s">
        <v>154</v>
      </c>
      <c r="H247" s="80" t="s">
        <v>183</v>
      </c>
      <c r="I247" s="114" t="s">
        <v>43</v>
      </c>
      <c r="J247" s="78">
        <v>2</v>
      </c>
      <c r="K247" s="78">
        <v>2.5</v>
      </c>
      <c r="M247" s="71">
        <v>350000</v>
      </c>
      <c r="N247" s="112" t="s"/>
      <c r="T247" s="68" t="s"/>
      <c r="V247" s="68" t="s"/>
      <c r="W247" s="68" t="s"/>
      <c r="X247" s="68" t="s"/>
      <c r="Y247" s="68" t="s"/>
      <c r="AC247" t="s">
        <v>58</v>
      </c>
    </row>
    <row r="248" spans="1:29">
      <c r="A248" s="80">
        <v>46105</v>
      </c>
      <c r="B248" s="62" t="s">
        <v>37</v>
      </c>
      <c r="C248" s="62" t="s"/>
      <c r="D248" s="63" t="s">
        <v>38</v>
      </c>
      <c r="E248" s="98" t="s">
        <v>167</v>
      </c>
      <c r="F248" s="98" t="s">
        <v>168</v>
      </c>
      <c r="G248" s="71" t="s">
        <v>138</v>
      </c>
      <c r="H248" s="98" t="s">
        <v>184</v>
      </c>
      <c r="I248" s="65" t="s">
        <v>43</v>
      </c>
      <c r="J248" s="62">
        <v>2</v>
      </c>
      <c r="K248" s="62">
        <v>2.5</v>
      </c>
      <c r="M248" s="62">
        <v>1798200</v>
      </c>
      <c r="O248" s="62" t="s"/>
      <c r="P248" s="62" t="s"/>
      <c r="Q248" s="62" t="s"/>
      <c r="T248" s="68" t="s"/>
      <c r="V248" s="68" t="s"/>
      <c r="W248" s="68" t="s"/>
      <c r="X248" s="68" t="s"/>
      <c r="Y248" s="68" t="s"/>
      <c r="AC248" t="s">
        <v>58</v>
      </c>
    </row>
    <row r="249" spans="1:29">
      <c r="A249" s="80">
        <v>46105</v>
      </c>
      <c r="B249" s="103" t="s"/>
      <c r="C249" s="62">
        <f>=TODAY()-A249+1</f>
        <v>78</v>
      </c>
      <c r="D249" s="62" t="s">
        <v>38</v>
      </c>
      <c r="E249" s="62" t="s">
        <v>148</v>
      </c>
      <c r="F249" s="62" t="s">
        <v>153</v>
      </c>
      <c r="G249" s="71" t="s">
        <v>156</v>
      </c>
      <c r="H249" s="98" t="s">
        <v>185</v>
      </c>
      <c r="I249" s="114" t="s">
        <v>43</v>
      </c>
      <c r="J249" s="78">
        <v>2</v>
      </c>
      <c r="K249" s="78">
        <v>2.5</v>
      </c>
      <c r="M249" s="71">
        <v>2708000</v>
      </c>
      <c r="T249" s="68" t="s"/>
      <c r="V249" s="68" t="s"/>
      <c r="W249" s="68" t="s"/>
      <c r="X249" s="68" t="s"/>
      <c r="Y249" s="68" t="s"/>
      <c r="AC249" t="s">
        <v>58</v>
      </c>
    </row>
    <row r="250" spans="1:29">
      <c r="A250" s="107">
        <v>46105</v>
      </c>
      <c r="B250" s="106" t="s">
        <v>37</v>
      </c>
      <c r="C250" s="62" t="s"/>
      <c r="D250" s="62" t="s">
        <v>38</v>
      </c>
      <c r="E250" s="62" t="s">
        <v>148</v>
      </c>
      <c r="F250" s="62" t="s">
        <v>153</v>
      </c>
      <c r="G250" s="71" t="s">
        <v>154</v>
      </c>
      <c r="H250" s="80" t="s">
        <v>155</v>
      </c>
      <c r="I250" s="113" t="s">
        <v>47</v>
      </c>
      <c r="J250" s="78">
        <v>2</v>
      </c>
      <c r="K250" s="78">
        <v>2.5</v>
      </c>
      <c r="O250" s="62">
        <v>995971.3</v>
      </c>
      <c r="P250" s="66">
        <v>993650</v>
      </c>
      <c r="Q250" s="62">
        <v>995971.3</v>
      </c>
      <c r="T250" s="68">
        <f>=P250/10000*J250*Z250</f>
        <v>1192.38</v>
      </c>
      <c r="U250">
        <v>250.5</v>
      </c>
      <c r="V250" s="68" t="s"/>
      <c r="W250" s="68" t="s"/>
      <c r="X250" s="68">
        <f>=O250-P250</f>
        <v>2321.30000000005</v>
      </c>
      <c r="Y250" s="68">
        <f>=X250-T250-U250-V250</f>
        <v>878.420000000047</v>
      </c>
      <c r="Z250" s="62">
        <f>=A250-$A$222+1</f>
        <v>6</v>
      </c>
      <c r="AA250" s="68">
        <f>=P250/10000*K250*Z250</f>
        <v>1490.475</v>
      </c>
      <c r="AB250" s="62">
        <f>=Q250*Z250</f>
        <v>5975827.8</v>
      </c>
      <c r="AC250" t="s">
        <v>58</v>
      </c>
    </row>
    <row r="251" spans="1:29">
      <c r="A251" s="80">
        <v>46105</v>
      </c>
      <c r="B251" s="62" t="s">
        <v>37</v>
      </c>
      <c r="C251" s="62" t="s"/>
      <c r="D251" s="62" t="s">
        <v>38</v>
      </c>
      <c r="E251" s="62" t="s">
        <v>48</v>
      </c>
      <c r="F251" s="62" t="s">
        <v>81</v>
      </c>
      <c r="G251" s="119" t="s">
        <v>84</v>
      </c>
      <c r="H251" s="119" t="s">
        <v>92</v>
      </c>
      <c r="I251" s="72" t="s">
        <v>47</v>
      </c>
      <c r="J251" s="62">
        <v>2</v>
      </c>
      <c r="K251" s="62">
        <v>2.5</v>
      </c>
      <c r="O251" s="62">
        <v>125004.8</v>
      </c>
      <c r="P251" s="66">
        <v>121600</v>
      </c>
      <c r="Q251" s="62">
        <v>125004.8</v>
      </c>
      <c r="T251" s="68">
        <f>=P251/10000*J251*Z251</f>
        <v>2723.84</v>
      </c>
      <c r="U251" s="62">
        <v>0</v>
      </c>
      <c r="V251" s="68" t="s"/>
      <c r="W251" s="68" t="s"/>
      <c r="X251" s="68">
        <f>=O251-P251</f>
        <v>3404.79999999999</v>
      </c>
      <c r="Y251" s="68">
        <f>=X251-T251-U251-V251</f>
        <v>680.959999999988</v>
      </c>
      <c r="Z251" s="62">
        <f>=A251-$A$65+1</f>
        <v>112</v>
      </c>
      <c r="AA251" s="68">
        <f>=P251/10000*K251*Z251</f>
        <v>3404.8</v>
      </c>
      <c r="AB251" s="62">
        <f>=Q251*Z251</f>
        <v>14000537.6</v>
      </c>
      <c r="AC251" t="s">
        <v>44</v>
      </c>
    </row>
    <row r="252" spans="1:29">
      <c r="A252" s="107">
        <v>46105</v>
      </c>
      <c r="B252" s="62" t="s">
        <v>37</v>
      </c>
      <c r="C252" s="62" t="s"/>
      <c r="D252" s="62" t="s">
        <v>38</v>
      </c>
      <c r="E252" s="62" t="s">
        <v>48</v>
      </c>
      <c r="F252" s="62" t="s">
        <v>81</v>
      </c>
      <c r="G252" s="119" t="s">
        <v>84</v>
      </c>
      <c r="H252" s="119" t="s">
        <v>95</v>
      </c>
      <c r="I252" s="72" t="s">
        <v>47</v>
      </c>
      <c r="J252" s="62">
        <v>2</v>
      </c>
      <c r="K252" s="62">
        <v>2.5</v>
      </c>
      <c r="O252" s="62">
        <v>164550</v>
      </c>
      <c r="P252" s="62">
        <v>160800</v>
      </c>
      <c r="Q252" s="62">
        <v>164550</v>
      </c>
      <c r="R252" s="62" t="s"/>
      <c r="T252" s="68">
        <f>=P252/10000*J252*Z252</f>
        <v>2990.88</v>
      </c>
      <c r="U252" s="62">
        <v>0</v>
      </c>
      <c r="V252" s="68" t="s"/>
      <c r="W252" s="68" t="s"/>
      <c r="X252" s="68">
        <f>=O252-P252</f>
        <v>3750</v>
      </c>
      <c r="Y252" s="68">
        <f>=X252-T252-U252-V252</f>
        <v>759.120000000001</v>
      </c>
      <c r="Z252" s="62">
        <f>=A252-$A$80+1</f>
        <v>93</v>
      </c>
      <c r="AA252" s="68">
        <f>=P252/10000*K252*Z252</f>
        <v>3738.6</v>
      </c>
      <c r="AB252" s="62">
        <f>=Q252*Z252</f>
        <v>15303150</v>
      </c>
      <c r="AC252" t="s">
        <v>44</v>
      </c>
    </row>
    <row r="253" spans="1:29">
      <c r="A253" s="107">
        <v>46105</v>
      </c>
      <c r="B253" s="62" t="s">
        <v>37</v>
      </c>
      <c r="C253" s="62" t="s"/>
      <c r="D253" s="62" t="s">
        <v>38</v>
      </c>
      <c r="E253" s="62" t="s">
        <v>48</v>
      </c>
      <c r="F253" s="62" t="s">
        <v>73</v>
      </c>
      <c r="G253" s="93" t="s">
        <v>74</v>
      </c>
      <c r="H253" s="83" t="s">
        <v>96</v>
      </c>
      <c r="I253" s="77" t="s">
        <v>47</v>
      </c>
      <c r="J253" s="62">
        <v>1.46</v>
      </c>
      <c r="K253" s="62">
        <v>2.5</v>
      </c>
      <c r="M253" s="71" t="s"/>
      <c r="O253" s="62">
        <v>430400</v>
      </c>
      <c r="P253" s="62">
        <v>421200</v>
      </c>
      <c r="Q253" s="62">
        <v>346160</v>
      </c>
      <c r="R253" s="62">
        <v>-84240</v>
      </c>
      <c r="T253" s="68">
        <f>=P253/10000*J253*Z253</f>
        <v>5165.5968</v>
      </c>
      <c r="U253">
        <v>0</v>
      </c>
      <c r="V253" s="68" t="s"/>
      <c r="W253" s="68" t="s"/>
      <c r="X253" s="68">
        <f>=O253-P253</f>
        <v>9200</v>
      </c>
      <c r="Y253" s="68">
        <f>=X253-T253-U253-V253</f>
        <v>4034.4032</v>
      </c>
      <c r="Z253" s="62">
        <f>=A253-$A$92+1</f>
        <v>84</v>
      </c>
      <c r="AA253" s="68">
        <f>=P253/10000*K253*Z253</f>
        <v>8845.2</v>
      </c>
      <c r="AB253" s="62">
        <f>=Q253*Z253</f>
        <v>29077440</v>
      </c>
      <c r="AC253" t="s">
        <v>44</v>
      </c>
    </row>
    <row r="254" spans="1:29">
      <c r="A254" s="63">
        <v>46105</v>
      </c>
      <c r="B254" s="62" t="s">
        <v>37</v>
      </c>
      <c r="C254" s="62" t="s"/>
      <c r="D254" s="62" t="s">
        <v>38</v>
      </c>
      <c r="E254" s="62" t="s">
        <v>85</v>
      </c>
      <c r="F254" s="62" t="s">
        <v>86</v>
      </c>
      <c r="G254" s="64" t="s">
        <v>65</v>
      </c>
      <c r="H254" s="80" t="s">
        <v>132</v>
      </c>
      <c r="I254" s="72" t="s">
        <v>47</v>
      </c>
      <c r="J254" s="62">
        <v>1.46</v>
      </c>
      <c r="K254" s="62">
        <v>2</v>
      </c>
      <c r="O254" s="62">
        <v>64062</v>
      </c>
      <c r="P254" s="62">
        <v>64062</v>
      </c>
      <c r="Q254" s="62">
        <v>64062</v>
      </c>
      <c r="T254" s="68">
        <f>=P254/10000*J254*Z254</f>
        <v>215.120196</v>
      </c>
      <c r="U254">
        <v>0</v>
      </c>
      <c r="V254" s="68" t="s"/>
      <c r="W254" s="68" t="s"/>
      <c r="X254" s="68">
        <f>=O254-P254</f>
        <v>0</v>
      </c>
      <c r="Y254" s="68">
        <f>=X254-T254-U254-V254</f>
        <v>-215.120196</v>
      </c>
      <c r="Z254" s="62">
        <f>=A254-$A$187+1</f>
        <v>23</v>
      </c>
      <c r="AA254" s="68">
        <f>=P254/10000*K254*Z254</f>
        <v>294.6852</v>
      </c>
      <c r="AB254" s="62">
        <f>=Q254*Z254</f>
        <v>1473426</v>
      </c>
      <c r="AC254" t="s">
        <v>44</v>
      </c>
    </row>
    <row r="255" spans="1:29">
      <c r="A255" s="63">
        <v>46105</v>
      </c>
      <c r="C255" s="62">
        <f>=TODAY()-A255+1</f>
        <v>78</v>
      </c>
      <c r="D255" s="62" t="s">
        <v>38</v>
      </c>
      <c r="E255" s="62" t="s">
        <v>133</v>
      </c>
      <c r="F255" s="62" t="s">
        <v>134</v>
      </c>
      <c r="G255" s="71" t="s">
        <v>135</v>
      </c>
      <c r="H255" s="98" t="s">
        <v>186</v>
      </c>
      <c r="I255" s="120" t="s">
        <v>43</v>
      </c>
      <c r="J255" s="62">
        <v>2</v>
      </c>
      <c r="K255" s="62">
        <v>2.5</v>
      </c>
      <c r="M255" s="71">
        <v>845250</v>
      </c>
      <c r="AC255" t="s">
        <v>58</v>
      </c>
    </row>
    <row r="256" spans="1:29">
      <c r="A256" s="63">
        <v>46106</v>
      </c>
      <c r="C256" s="62">
        <f>=TODAY()-A256+1</f>
        <v>77</v>
      </c>
      <c r="D256" s="62" t="s">
        <v>38</v>
      </c>
      <c r="E256" s="62" t="s">
        <v>133</v>
      </c>
      <c r="F256" s="62" t="s">
        <v>134</v>
      </c>
      <c r="G256" s="71" t="s">
        <v>135</v>
      </c>
      <c r="H256" s="98" t="s">
        <v>187</v>
      </c>
      <c r="I256" s="114" t="s">
        <v>43</v>
      </c>
      <c r="J256" s="62">
        <v>2</v>
      </c>
      <c r="K256" s="62">
        <v>2.5</v>
      </c>
      <c r="M256" s="71">
        <v>886200</v>
      </c>
      <c r="AC256" t="s">
        <v>58</v>
      </c>
    </row>
    <row r="257" spans="1:29">
      <c r="A257" s="80">
        <v>46106</v>
      </c>
      <c r="B257" s="62" t="s">
        <v>37</v>
      </c>
      <c r="C257" s="62" t="s"/>
      <c r="D257" s="63" t="s">
        <v>38</v>
      </c>
      <c r="E257" s="98" t="s">
        <v>167</v>
      </c>
      <c r="F257" s="98" t="s">
        <v>168</v>
      </c>
      <c r="G257" s="71" t="s">
        <v>138</v>
      </c>
      <c r="H257" s="98" t="s">
        <v>188</v>
      </c>
      <c r="I257" s="114" t="s">
        <v>43</v>
      </c>
      <c r="J257" s="62">
        <v>2</v>
      </c>
      <c r="K257" s="62">
        <v>2.5</v>
      </c>
      <c r="M257" s="71">
        <v>360000</v>
      </c>
      <c r="AC257" t="s">
        <v>58</v>
      </c>
    </row>
    <row r="258" spans="1:29">
      <c r="A258" s="80">
        <v>46106</v>
      </c>
      <c r="B258" s="106" t="s">
        <v>37</v>
      </c>
      <c r="C258" s="62" t="s"/>
      <c r="D258" s="62" t="s">
        <v>38</v>
      </c>
      <c r="E258" s="62" t="s">
        <v>163</v>
      </c>
      <c r="F258" s="62" t="s">
        <v>164</v>
      </c>
      <c r="G258" s="71" t="s">
        <v>189</v>
      </c>
      <c r="H258" s="98" t="s">
        <v>190</v>
      </c>
      <c r="I258" s="114" t="s">
        <v>43</v>
      </c>
      <c r="J258" s="62">
        <v>2</v>
      </c>
      <c r="K258" s="62">
        <v>3</v>
      </c>
      <c r="M258" s="71">
        <v>587850</v>
      </c>
      <c r="AC258" t="s">
        <v>58</v>
      </c>
    </row>
    <row r="259" spans="1:29">
      <c r="A259" s="63">
        <v>46106</v>
      </c>
      <c r="B259" s="106" t="s">
        <v>37</v>
      </c>
      <c r="C259" s="62" t="s"/>
      <c r="D259" s="62" t="s">
        <v>38</v>
      </c>
      <c r="E259" s="62" t="s">
        <v>148</v>
      </c>
      <c r="F259" s="62" t="s">
        <v>153</v>
      </c>
      <c r="G259" s="71" t="s">
        <v>154</v>
      </c>
      <c r="H259" s="80" t="s">
        <v>155</v>
      </c>
      <c r="I259" s="113" t="s">
        <v>47</v>
      </c>
      <c r="J259" s="78">
        <v>2</v>
      </c>
      <c r="K259" s="78">
        <v>2.5</v>
      </c>
      <c r="O259" s="62">
        <v>417473</v>
      </c>
      <c r="P259" s="62">
        <v>416500</v>
      </c>
      <c r="Q259" s="62">
        <v>417473</v>
      </c>
      <c r="T259" s="68">
        <f>=P259/10000*J259*Z259</f>
        <v>583.1</v>
      </c>
      <c r="U259">
        <v>105</v>
      </c>
      <c r="V259" s="68" t="s"/>
      <c r="W259" s="68" t="s"/>
      <c r="X259" s="68">
        <f>=O259-P259</f>
        <v>973</v>
      </c>
      <c r="Y259" s="68">
        <f>=X259-T259-U259-V259</f>
        <v>284.9</v>
      </c>
      <c r="Z259" s="62">
        <f>=A259-$A$222+1</f>
        <v>7</v>
      </c>
      <c r="AA259" s="68">
        <f>=P259/10000*K259*Z259</f>
        <v>728.875</v>
      </c>
      <c r="AB259" s="62">
        <f>=Q259*Z259</f>
        <v>2922311</v>
      </c>
      <c r="AC259" t="s">
        <v>58</v>
      </c>
    </row>
    <row r="260" spans="1:29">
      <c r="A260" s="80">
        <v>46106</v>
      </c>
      <c r="B260" s="103" t="s"/>
      <c r="C260" s="62">
        <f>=TODAY()-A260+1</f>
        <v>124</v>
      </c>
      <c r="D260" s="62" t="s">
        <v>38</v>
      </c>
      <c r="E260" s="70" t="s">
        <v>54</v>
      </c>
      <c r="F260" s="62" t="s">
        <v>55</v>
      </c>
      <c r="G260" s="71" t="s">
        <v>191</v>
      </c>
      <c r="H260" s="98" t="s">
        <v>192</v>
      </c>
      <c r="I260" s="114" t="s">
        <v>43</v>
      </c>
      <c r="J260" s="62">
        <v>2</v>
      </c>
      <c r="K260" s="62">
        <v>2.5</v>
      </c>
      <c r="M260" s="71">
        <v>833140</v>
      </c>
      <c r="T260" s="68" t="s"/>
      <c r="V260" s="68" t="s"/>
      <c r="W260" s="68" t="s"/>
      <c r="X260" s="68" t="s"/>
      <c r="Y260" s="68" t="s"/>
      <c r="Z260" s="62" t="s"/>
      <c r="AA260" s="62" t="s"/>
      <c r="AB260" s="62" t="s"/>
      <c r="AC260" t="s">
        <v>58</v>
      </c>
    </row>
    <row r="261" spans="1:29">
      <c r="A261" s="80">
        <v>46107</v>
      </c>
      <c r="B261" s="103" t="s"/>
      <c r="C261" s="62" t="s"/>
      <c r="D261" s="62" t="s">
        <v>38</v>
      </c>
      <c r="E261" s="98" t="s">
        <v>167</v>
      </c>
      <c r="F261" s="98" t="s">
        <v>168</v>
      </c>
      <c r="G261" s="98" t="s">
        <v>169</v>
      </c>
      <c r="H261" s="80" t="s">
        <v>170</v>
      </c>
      <c r="I261" s="72" t="s">
        <v>47</v>
      </c>
      <c r="J261" s="62">
        <v>2</v>
      </c>
      <c r="K261" s="62">
        <v>2.5</v>
      </c>
      <c r="O261" s="62">
        <v>39465.74</v>
      </c>
      <c r="P261" s="62">
        <v>39378</v>
      </c>
      <c r="Q261" s="62">
        <v>39465.74</v>
      </c>
      <c r="T261" s="68">
        <f>=P261/10000*J261*Z261</f>
        <v>55.1292</v>
      </c>
      <c r="U261">
        <v>6</v>
      </c>
      <c r="V261" s="68" t="s"/>
      <c r="W261" s="68" t="s"/>
      <c r="X261" s="68">
        <f>=O261-P261</f>
        <v>87.739999999998</v>
      </c>
      <c r="Y261" s="68">
        <f>=X261-T261-U261-V261</f>
        <v>26.610799999998</v>
      </c>
      <c r="Z261" s="62">
        <f>=A261-$A$231+1</f>
        <v>7</v>
      </c>
      <c r="AA261" s="68">
        <f>=P261/10000*K261*Z261</f>
        <v>68.9115</v>
      </c>
      <c r="AB261" s="62">
        <f>=Q261*Z261</f>
        <v>276260.18</v>
      </c>
      <c r="AC261" t="s">
        <v>58</v>
      </c>
    </row>
    <row r="262" spans="1:29">
      <c r="A262" s="80">
        <v>46107</v>
      </c>
      <c r="B262" s="62" t="s">
        <v>37</v>
      </c>
      <c r="C262" s="62" t="s"/>
      <c r="D262" s="63" t="s">
        <v>38</v>
      </c>
      <c r="E262" s="98" t="s">
        <v>167</v>
      </c>
      <c r="F262" s="98" t="s">
        <v>168</v>
      </c>
      <c r="G262" s="71" t="s">
        <v>138</v>
      </c>
      <c r="H262" s="98" t="s">
        <v>193</v>
      </c>
      <c r="I262" s="65" t="s">
        <v>43</v>
      </c>
      <c r="J262" s="62">
        <v>2</v>
      </c>
      <c r="K262" s="62">
        <v>2.5</v>
      </c>
      <c r="M262" s="71">
        <v>1440000</v>
      </c>
      <c r="T262" s="68" t="s"/>
      <c r="V262" s="68" t="s"/>
      <c r="W262" s="68" t="s"/>
      <c r="X262" s="68" t="s"/>
      <c r="Y262" s="68" t="s"/>
      <c r="AC262" t="s">
        <v>58</v>
      </c>
    </row>
    <row r="263" spans="1:29">
      <c r="A263" s="80">
        <v>46107</v>
      </c>
      <c r="B263" s="106" t="s">
        <v>37</v>
      </c>
      <c r="C263" s="62" t="s"/>
      <c r="D263" s="62" t="s">
        <v>38</v>
      </c>
      <c r="E263" s="62" t="s">
        <v>163</v>
      </c>
      <c r="F263" s="62" t="s">
        <v>164</v>
      </c>
      <c r="G263" s="71" t="s">
        <v>189</v>
      </c>
      <c r="H263" s="98" t="s">
        <v>194</v>
      </c>
      <c r="I263" s="65" t="s">
        <v>43</v>
      </c>
      <c r="J263" s="62">
        <v>2</v>
      </c>
      <c r="K263" s="62">
        <v>3</v>
      </c>
      <c r="M263" s="71">
        <v>358935</v>
      </c>
      <c r="T263" s="68" t="s"/>
      <c r="V263" s="68" t="s"/>
      <c r="W263" s="68" t="s"/>
      <c r="X263" s="68" t="s"/>
      <c r="Y263" s="68" t="s"/>
      <c r="AC263" t="s">
        <v>58</v>
      </c>
    </row>
    <row r="264" spans="1:29">
      <c r="A264" s="80">
        <v>46107</v>
      </c>
      <c r="B264" s="106" t="s">
        <v>37</v>
      </c>
      <c r="C264" s="62" t="s"/>
      <c r="D264" s="63" t="s">
        <v>38</v>
      </c>
      <c r="E264" s="62" t="s">
        <v>39</v>
      </c>
      <c r="F264" s="62" t="s">
        <v>40</v>
      </c>
      <c r="G264" s="71" t="s">
        <v>195</v>
      </c>
      <c r="H264" s="98" t="s">
        <v>196</v>
      </c>
      <c r="I264" s="65" t="s">
        <v>43</v>
      </c>
      <c r="J264" s="62">
        <v>2</v>
      </c>
      <c r="K264" s="62">
        <v>2.5</v>
      </c>
      <c r="M264">
        <v>2522520</v>
      </c>
      <c r="T264" s="68" t="s"/>
      <c r="V264" s="68" t="s"/>
      <c r="W264" s="68" t="s"/>
      <c r="X264" s="68" t="s"/>
      <c r="Y264" s="68" t="s"/>
      <c r="AC264" t="s">
        <v>58</v>
      </c>
    </row>
    <row r="265" spans="1:29">
      <c r="A265" s="80">
        <v>46107</v>
      </c>
      <c r="B265" s="103" t="s"/>
      <c r="C265" s="62">
        <f>=TODAY()-A265+1</f>
        <v>76</v>
      </c>
      <c r="D265" s="62" t="s">
        <v>38</v>
      </c>
      <c r="E265" s="70" t="s">
        <v>54</v>
      </c>
      <c r="F265" s="62" t="s">
        <v>55</v>
      </c>
      <c r="G265" s="71" t="s">
        <v>191</v>
      </c>
      <c r="H265" s="98" t="s">
        <v>197</v>
      </c>
      <c r="I265" s="73" t="s">
        <v>43</v>
      </c>
      <c r="J265" s="62">
        <v>2</v>
      </c>
      <c r="K265" s="62">
        <v>2.5</v>
      </c>
      <c r="M265">
        <v>88550</v>
      </c>
      <c r="T265" s="68" t="s"/>
      <c r="V265" s="68" t="s"/>
      <c r="W265" s="68" t="s"/>
      <c r="X265" s="68" t="s"/>
      <c r="Y265" s="68" t="s"/>
      <c r="Z265" s="62" t="s"/>
      <c r="AA265" s="62" t="s"/>
      <c r="AB265" s="62" t="s"/>
      <c r="AC265" t="s">
        <v>58</v>
      </c>
    </row>
    <row r="266" spans="1:29">
      <c r="A266" s="80">
        <v>46107</v>
      </c>
      <c r="B266" t="s">
        <v>37</v>
      </c>
      <c r="C266" s="62" t="s"/>
      <c r="D266" s="62" t="s">
        <v>38</v>
      </c>
      <c r="E266" s="62" t="s">
        <v>128</v>
      </c>
      <c r="F266" s="62" t="s">
        <v>129</v>
      </c>
      <c r="G266" s="94" t="s">
        <v>145</v>
      </c>
      <c r="H266" s="71" t="s">
        <v>198</v>
      </c>
      <c r="I266" s="65" t="s">
        <v>43</v>
      </c>
      <c r="J266" s="62">
        <v>2</v>
      </c>
      <c r="K266" s="62">
        <v>2.5</v>
      </c>
      <c r="M266">
        <v>700485</v>
      </c>
      <c r="T266" s="68" t="s"/>
      <c r="V266" s="68" t="s"/>
      <c r="W266" s="68" t="s"/>
      <c r="X266" s="68" t="s"/>
      <c r="Y266" s="68" t="s"/>
      <c r="AC266" t="s">
        <v>58</v>
      </c>
    </row>
    <row r="267" spans="1:29">
      <c r="A267" s="110">
        <v>46107</v>
      </c>
      <c r="B267" s="106" t="s">
        <v>37</v>
      </c>
      <c r="C267" s="62" t="s"/>
      <c r="D267" s="62" t="s">
        <v>38</v>
      </c>
      <c r="E267" s="62" t="s">
        <v>199</v>
      </c>
      <c r="F267" s="111" t="s">
        <v>200</v>
      </c>
      <c r="G267" s="121" t="s">
        <v>201</v>
      </c>
      <c r="H267" s="93" t="s">
        <v>202</v>
      </c>
      <c r="I267" s="73" t="s">
        <v>6</v>
      </c>
      <c r="J267">
        <v>2</v>
      </c>
      <c r="K267">
        <v>2.3</v>
      </c>
      <c r="L267">
        <v>2870400</v>
      </c>
      <c r="N267" s="122" t="s"/>
      <c r="R267">
        <v>2870400</v>
      </c>
      <c r="T267" s="68" t="s"/>
      <c r="V267" s="68" t="s"/>
      <c r="W267" s="68" t="s"/>
      <c r="X267" s="68" t="s"/>
      <c r="Y267" s="68" t="s"/>
      <c r="AC267" t="s">
        <v>44</v>
      </c>
    </row>
    <row r="268" spans="1:29">
      <c r="A268" s="110">
        <v>46107</v>
      </c>
      <c r="B268" s="123" t="s">
        <v>37</v>
      </c>
      <c r="C268" s="62" t="s"/>
      <c r="D268" s="62" t="s">
        <v>38</v>
      </c>
      <c r="E268" s="62" t="s">
        <v>199</v>
      </c>
      <c r="F268" s="78" t="s">
        <v>200</v>
      </c>
      <c r="G268" s="121" t="s">
        <v>201</v>
      </c>
      <c r="H268" s="93" t="s">
        <v>202</v>
      </c>
      <c r="I268" s="73" t="s">
        <v>43</v>
      </c>
      <c r="J268">
        <v>2</v>
      </c>
      <c r="K268">
        <v>2.3</v>
      </c>
      <c r="M268">
        <v>28704000</v>
      </c>
      <c r="T268" s="68" t="s"/>
      <c r="V268" s="68" t="s"/>
      <c r="W268" s="68" t="s"/>
      <c r="X268" s="68" t="s"/>
      <c r="Y268" s="68" t="s"/>
      <c r="AC268" t="s">
        <v>44</v>
      </c>
    </row>
    <row r="269" spans="1:29">
      <c r="A269" s="80">
        <v>46108</v>
      </c>
      <c r="B269" t="s">
        <v>37</v>
      </c>
      <c r="C269" s="62" t="s"/>
      <c r="D269" s="62" t="s">
        <v>38</v>
      </c>
      <c r="E269" s="62" t="s">
        <v>128</v>
      </c>
      <c r="F269" s="62" t="s">
        <v>129</v>
      </c>
      <c r="G269" s="94" t="s">
        <v>145</v>
      </c>
      <c r="H269" s="71" t="s">
        <v>203</v>
      </c>
      <c r="I269" s="73" t="s">
        <v>43</v>
      </c>
      <c r="J269" s="62">
        <v>2</v>
      </c>
      <c r="K269" s="62">
        <v>2.5</v>
      </c>
      <c r="M269">
        <v>475150</v>
      </c>
      <c r="T269" s="68" t="s"/>
      <c r="V269" s="68" t="s"/>
      <c r="W269" s="68" t="s"/>
      <c r="X269" s="68" t="s"/>
      <c r="Y269" s="68" t="s"/>
      <c r="AC269" t="s">
        <v>58</v>
      </c>
    </row>
    <row r="270" spans="1:29">
      <c r="A270" s="124">
        <v>46107</v>
      </c>
      <c r="B270" s="106" t="s">
        <v>37</v>
      </c>
      <c r="C270" s="89" t="s"/>
      <c r="D270" s="62" t="s">
        <v>38</v>
      </c>
      <c r="E270" s="62" t="s">
        <v>148</v>
      </c>
      <c r="F270" s="62" t="s">
        <v>153</v>
      </c>
      <c r="G270" s="71" t="s">
        <v>154</v>
      </c>
      <c r="H270" s="80" t="s">
        <v>155</v>
      </c>
      <c r="I270" s="69" t="s">
        <v>47</v>
      </c>
      <c r="J270" s="62">
        <v>2</v>
      </c>
      <c r="K270" s="62">
        <v>2.5</v>
      </c>
      <c r="O270">
        <v>399547.8</v>
      </c>
      <c r="P270">
        <v>398650</v>
      </c>
      <c r="Q270">
        <v>399547.8</v>
      </c>
      <c r="T270" s="68">
        <f>=P270/10000*J270*Z270</f>
        <v>637.84</v>
      </c>
      <c r="U270">
        <v>100.5</v>
      </c>
      <c r="V270" s="68" t="s"/>
      <c r="W270" s="68" t="s"/>
      <c r="X270" s="68">
        <f>=O270-P270</f>
        <v>897.799999999989</v>
      </c>
      <c r="Y270" s="68">
        <f>=X270-T270-U270-V270</f>
        <v>159.459999999988</v>
      </c>
      <c r="Z270" s="62">
        <f>=A270-$A$222+1</f>
        <v>8</v>
      </c>
      <c r="AA270" s="68">
        <f>=P270/10000*K270*Z270</f>
        <v>797.3</v>
      </c>
      <c r="AB270" s="62">
        <f>=Q270*Z270</f>
        <v>3196382.4</v>
      </c>
      <c r="AC270" t="s">
        <v>58</v>
      </c>
    </row>
    <row r="271" spans="1:29">
      <c r="A271" s="80">
        <v>46108</v>
      </c>
      <c r="B271" s="103" t="s"/>
      <c r="C271" s="62">
        <f>=TODAY()-A271+1</f>
        <v>122</v>
      </c>
      <c r="D271" s="62" t="s">
        <v>38</v>
      </c>
      <c r="E271" s="70" t="s">
        <v>54</v>
      </c>
      <c r="F271" s="62" t="s">
        <v>55</v>
      </c>
      <c r="G271" s="71" t="s">
        <v>191</v>
      </c>
      <c r="H271" s="98" t="s">
        <v>204</v>
      </c>
      <c r="I271" s="73" t="s">
        <v>43</v>
      </c>
      <c r="J271" s="62">
        <v>2</v>
      </c>
      <c r="K271" s="62">
        <v>2.5</v>
      </c>
      <c r="M271">
        <v>554645</v>
      </c>
      <c r="T271" s="68" t="s"/>
      <c r="V271" s="68" t="s"/>
      <c r="W271" s="68" t="s"/>
      <c r="X271" s="68" t="s"/>
      <c r="Y271" s="68" t="s"/>
      <c r="Z271" s="62" t="s"/>
      <c r="AA271" s="62" t="s"/>
      <c r="AB271" s="62" t="s"/>
      <c r="AC271" t="s">
        <v>58</v>
      </c>
    </row>
    <row r="272" spans="1:29">
      <c r="A272" s="107">
        <v>46108</v>
      </c>
      <c r="B272" s="62" t="s">
        <v>37</v>
      </c>
      <c r="C272" s="62" t="s"/>
      <c r="D272" s="62" t="s">
        <v>38</v>
      </c>
      <c r="E272" s="62" t="s">
        <v>48</v>
      </c>
      <c r="F272" s="62" t="s">
        <v>81</v>
      </c>
      <c r="G272" s="125" t="s">
        <v>84</v>
      </c>
      <c r="H272" s="64" t="s">
        <v>95</v>
      </c>
      <c r="I272" s="72" t="s">
        <v>47</v>
      </c>
      <c r="J272" s="62">
        <v>2</v>
      </c>
      <c r="K272" s="62">
        <v>2.5</v>
      </c>
      <c r="O272">
        <v>109780</v>
      </c>
      <c r="P272">
        <v>107200</v>
      </c>
      <c r="Q272">
        <v>109780</v>
      </c>
      <c r="T272" s="68">
        <f>=P272/10000*J272*Z272</f>
        <v>2058.24</v>
      </c>
      <c r="U272" s="62">
        <v>0</v>
      </c>
      <c r="V272" s="68" t="s"/>
      <c r="W272" s="68" t="s"/>
      <c r="X272" s="68">
        <f>=O272-P272</f>
        <v>2580</v>
      </c>
      <c r="Y272" s="68">
        <f>=X272-T272-U272-V272</f>
        <v>521.76</v>
      </c>
      <c r="Z272" s="62">
        <f>=A272-$A$80+1</f>
        <v>96</v>
      </c>
      <c r="AA272" s="68">
        <f>=P272/10000*K272*Z272</f>
        <v>2572.8</v>
      </c>
      <c r="AB272" s="62">
        <f>=Q272*Z272</f>
        <v>10538880</v>
      </c>
      <c r="AC272" t="s">
        <v>44</v>
      </c>
    </row>
    <row r="273" spans="1:29">
      <c r="A273" s="107">
        <v>46108</v>
      </c>
      <c r="B273" s="103" t="s"/>
      <c r="C273" s="62">
        <f>=TODAY()-A273+1</f>
        <v>122</v>
      </c>
      <c r="D273" s="62" t="s">
        <v>38</v>
      </c>
      <c r="E273" s="62" t="s">
        <v>48</v>
      </c>
      <c r="F273" s="62" t="s">
        <v>49</v>
      </c>
      <c r="G273" s="64" t="s">
        <v>52</v>
      </c>
      <c r="H273" s="71" t="s">
        <v>205</v>
      </c>
      <c r="I273" s="73" t="s">
        <v>43</v>
      </c>
      <c r="J273" s="62">
        <v>2</v>
      </c>
      <c r="K273" s="62">
        <v>3</v>
      </c>
      <c r="M273">
        <v>645295</v>
      </c>
      <c r="AC273" t="s">
        <v>44</v>
      </c>
    </row>
    <row r="274" spans="1:29">
      <c r="A274" s="107">
        <v>46109</v>
      </c>
      <c r="B274" s="123" t="s">
        <v>37</v>
      </c>
      <c r="C274" s="62" t="s"/>
      <c r="D274" s="62" t="s">
        <v>38</v>
      </c>
      <c r="E274" s="62" t="s">
        <v>163</v>
      </c>
      <c r="F274" s="62" t="s">
        <v>164</v>
      </c>
      <c r="G274" s="94" t="s">
        <v>189</v>
      </c>
      <c r="H274" s="98" t="s">
        <v>206</v>
      </c>
      <c r="I274" s="65" t="s">
        <v>43</v>
      </c>
      <c r="J274" s="62">
        <v>2</v>
      </c>
      <c r="K274" s="62">
        <v>3</v>
      </c>
      <c r="M274">
        <v>316275</v>
      </c>
      <c r="AC274" t="s">
        <v>58</v>
      </c>
    </row>
    <row r="275" spans="1:29">
      <c r="A275" s="107">
        <v>46109</v>
      </c>
      <c r="B275" s="103" t="s"/>
      <c r="C275" s="62">
        <f>=TODAY()-A275+1</f>
        <v>121</v>
      </c>
      <c r="D275" s="62" t="s">
        <v>38</v>
      </c>
      <c r="E275" s="62" t="s">
        <v>133</v>
      </c>
      <c r="F275" s="62" t="s">
        <v>134</v>
      </c>
      <c r="G275" s="94" t="s">
        <v>135</v>
      </c>
      <c r="H275" s="102" t="s">
        <v>207</v>
      </c>
      <c r="I275" s="79" t="s">
        <v>43</v>
      </c>
      <c r="J275" s="62">
        <v>2</v>
      </c>
      <c r="K275" s="62">
        <v>2.5</v>
      </c>
      <c r="M275">
        <v>343000</v>
      </c>
      <c r="AC275" t="s">
        <v>58</v>
      </c>
    </row>
    <row r="276" spans="1:29" s="270" customFormat="true">
      <c r="A276" s="126">
        <v>46111</v>
      </c>
      <c r="B276" s="127" t="s">
        <v>37</v>
      </c>
      <c r="C276" s="78" t="s"/>
      <c r="D276" s="64" t="s">
        <v>38</v>
      </c>
      <c r="E276" s="64" t="s">
        <v>163</v>
      </c>
      <c r="F276" s="64" t="s">
        <v>164</v>
      </c>
      <c r="G276" s="94" t="s">
        <v>189</v>
      </c>
      <c r="H276" s="98" t="s">
        <v>208</v>
      </c>
      <c r="I276" s="128" t="s">
        <v>43</v>
      </c>
      <c r="J276" s="64">
        <v>2</v>
      </c>
      <c r="K276" s="64">
        <v>3</v>
      </c>
      <c r="M276" s="87">
        <v>152995</v>
      </c>
      <c r="U276" s="129" t="s"/>
      <c r="AC276" s="117" t="s">
        <v>58</v>
      </c>
    </row>
    <row r="277" spans="1:29" s="270" customFormat="true">
      <c r="A277" s="126">
        <v>46111</v>
      </c>
      <c r="B277" s="130" t="s"/>
      <c r="C277" s="78">
        <f>=TODAY()-A277+1</f>
        <v>72</v>
      </c>
      <c r="D277" s="64" t="s">
        <v>38</v>
      </c>
      <c r="E277" s="64" t="s">
        <v>133</v>
      </c>
      <c r="F277" s="64" t="s">
        <v>134</v>
      </c>
      <c r="G277" s="94" t="s">
        <v>135</v>
      </c>
      <c r="H277" s="80" t="s">
        <v>209</v>
      </c>
      <c r="I277" s="128" t="s">
        <v>43</v>
      </c>
      <c r="J277" s="64">
        <v>2</v>
      </c>
      <c r="K277" s="64">
        <v>2.5</v>
      </c>
      <c r="M277" s="87">
        <v>1434300</v>
      </c>
      <c r="U277" s="129" t="s"/>
      <c r="AC277" s="117" t="s">
        <v>58</v>
      </c>
    </row>
    <row r="278" spans="1:29" s="270" customFormat="true">
      <c r="A278" s="126">
        <v>46111</v>
      </c>
      <c r="B278" s="130" t="s"/>
      <c r="C278" s="78">
        <f>=TODAY()-A278+1</f>
        <v>72</v>
      </c>
      <c r="D278" s="64" t="s">
        <v>38</v>
      </c>
      <c r="E278" s="131" t="s">
        <v>54</v>
      </c>
      <c r="F278" s="64" t="s">
        <v>55</v>
      </c>
      <c r="G278" s="64" t="s">
        <v>191</v>
      </c>
      <c r="H278" s="80" t="s">
        <v>210</v>
      </c>
      <c r="I278" s="128" t="s">
        <v>43</v>
      </c>
      <c r="J278" s="64">
        <v>2</v>
      </c>
      <c r="K278" s="64">
        <v>2.5</v>
      </c>
      <c r="M278" s="87">
        <v>721000</v>
      </c>
      <c r="T278" s="68" t="s"/>
      <c r="U278" s="132" t="s"/>
      <c r="V278" s="68" t="s"/>
      <c r="W278" s="68" t="s"/>
      <c r="X278" s="68" t="s"/>
      <c r="Y278" s="68" t="s"/>
      <c r="Z278" s="62" t="s"/>
      <c r="AA278" s="62" t="s"/>
      <c r="AB278" s="62" t="s"/>
      <c r="AC278" s="117" t="s">
        <v>58</v>
      </c>
    </row>
    <row r="279" spans="1:29" s="270" customFormat="true">
      <c r="A279" s="126">
        <v>46111</v>
      </c>
      <c r="B279" s="130" t="s"/>
      <c r="C279" s="78">
        <f>=TODAY()-A279+1</f>
        <v>72</v>
      </c>
      <c r="D279" s="64" t="s">
        <v>38</v>
      </c>
      <c r="E279" s="64" t="s">
        <v>148</v>
      </c>
      <c r="F279" s="64" t="s">
        <v>153</v>
      </c>
      <c r="G279" s="64" t="s">
        <v>211</v>
      </c>
      <c r="H279" s="80" t="s">
        <v>212</v>
      </c>
      <c r="I279" s="128" t="s">
        <v>43</v>
      </c>
      <c r="J279" s="64">
        <v>2</v>
      </c>
      <c r="K279" s="64">
        <v>2.5</v>
      </c>
      <c r="M279" s="87">
        <v>865760</v>
      </c>
      <c r="U279" s="129" t="s"/>
      <c r="AC279" s="117" t="s">
        <v>58</v>
      </c>
    </row>
    <row r="280" spans="1:29">
      <c r="A280" s="107">
        <v>46112</v>
      </c>
      <c r="B280" s="103" t="s"/>
      <c r="C280" s="62">
        <f>=TODAY()-A280+1</f>
        <v>71</v>
      </c>
      <c r="D280" s="62" t="s">
        <v>38</v>
      </c>
      <c r="E280" s="62" t="s">
        <v>148</v>
      </c>
      <c r="F280" s="62" t="s">
        <v>153</v>
      </c>
      <c r="G280" s="71" t="s">
        <v>156</v>
      </c>
      <c r="H280" s="98" t="s">
        <v>213</v>
      </c>
      <c r="I280" s="73" t="s">
        <v>43</v>
      </c>
      <c r="J280" s="62">
        <v>2</v>
      </c>
      <c r="K280" s="62">
        <v>2.5</v>
      </c>
      <c r="M280">
        <v>1293600</v>
      </c>
      <c r="AC280" t="s">
        <v>58</v>
      </c>
    </row>
    <row r="281" spans="1:29">
      <c r="A281" s="107">
        <v>46111</v>
      </c>
      <c r="B281" s="62" t="s">
        <v>37</v>
      </c>
      <c r="C281" s="62" t="s"/>
      <c r="D281" s="62" t="s">
        <v>38</v>
      </c>
      <c r="E281" s="62" t="s">
        <v>48</v>
      </c>
      <c r="F281" s="62" t="s">
        <v>73</v>
      </c>
      <c r="G281" s="71" t="s">
        <v>74</v>
      </c>
      <c r="H281" s="64" t="s">
        <v>96</v>
      </c>
      <c r="I281" s="72" t="s">
        <v>47</v>
      </c>
      <c r="J281" s="62">
        <v>1.46</v>
      </c>
      <c r="K281" s="62">
        <v>2.5</v>
      </c>
      <c r="O281" s="62">
        <v>215800</v>
      </c>
      <c r="P281" s="62">
        <v>210600</v>
      </c>
      <c r="Q281" s="62">
        <v>173680</v>
      </c>
      <c r="R281" s="62">
        <v>-42120</v>
      </c>
      <c r="T281" s="68">
        <f>=P281/10000*J281*Z281</f>
        <v>2767.284</v>
      </c>
      <c r="U281">
        <v>0</v>
      </c>
      <c r="V281" s="68" t="s"/>
      <c r="W281" s="68" t="s"/>
      <c r="X281" s="68">
        <f>=O281-P281</f>
        <v>5200</v>
      </c>
      <c r="Y281" s="68">
        <f>=X281-T281-U281-V281</f>
        <v>2432.716</v>
      </c>
      <c r="Z281" s="62">
        <f>=A281-$A$92+1</f>
        <v>90</v>
      </c>
      <c r="AA281" s="68">
        <f>=P281/10000*K281*Z281</f>
        <v>4738.5</v>
      </c>
      <c r="AB281" s="62">
        <f>=Q281*Z281</f>
        <v>15631200</v>
      </c>
      <c r="AC281" t="s">
        <v>44</v>
      </c>
    </row>
    <row r="282" spans="1:29">
      <c r="A282" s="133">
        <v>46111</v>
      </c>
      <c r="B282" s="123" t="s">
        <v>37</v>
      </c>
      <c r="C282" s="62" t="s"/>
      <c r="D282" s="62" t="s">
        <v>38</v>
      </c>
      <c r="E282" s="62" t="s">
        <v>199</v>
      </c>
      <c r="F282" s="78" t="s">
        <v>200</v>
      </c>
      <c r="G282" s="121" t="s">
        <v>201</v>
      </c>
      <c r="H282" s="93" t="s">
        <v>214</v>
      </c>
      <c r="I282" s="65" t="s">
        <v>43</v>
      </c>
      <c r="J282">
        <v>2</v>
      </c>
      <c r="K282">
        <v>2.3</v>
      </c>
      <c r="M282">
        <v>21060000</v>
      </c>
      <c r="T282" s="68" t="s"/>
      <c r="V282" s="68" t="s"/>
      <c r="W282" s="68" t="s"/>
      <c r="X282" s="68" t="s"/>
      <c r="Y282" s="68" t="s"/>
      <c r="AC282" t="s">
        <v>44</v>
      </c>
    </row>
    <row r="283" spans="1:29">
      <c r="A283" s="80">
        <v>46111</v>
      </c>
      <c r="B283" s="123" t="s">
        <v>37</v>
      </c>
      <c r="C283" s="62" t="s"/>
      <c r="D283" s="62" t="s">
        <v>38</v>
      </c>
      <c r="E283" s="62" t="s">
        <v>199</v>
      </c>
      <c r="F283" s="62" t="s">
        <v>200</v>
      </c>
      <c r="G283" s="94" t="s">
        <v>201</v>
      </c>
      <c r="H283" s="71" t="s">
        <v>214</v>
      </c>
      <c r="I283" s="65" t="s">
        <v>6</v>
      </c>
      <c r="J283">
        <v>2</v>
      </c>
      <c r="K283">
        <v>2.3</v>
      </c>
      <c r="L283">
        <v>2106000</v>
      </c>
      <c r="N283" s="122" t="s"/>
      <c r="R283">
        <v>2106000</v>
      </c>
      <c r="T283" s="68" t="s"/>
      <c r="V283" s="68" t="s"/>
      <c r="W283" s="68" t="s"/>
      <c r="X283" s="68" t="s"/>
      <c r="Y283" s="68" t="s"/>
      <c r="AC283" t="s">
        <v>44</v>
      </c>
    </row>
    <row r="284" spans="1:29">
      <c r="A284" s="107">
        <v>46112</v>
      </c>
      <c r="C284" s="62" t="s"/>
      <c r="D284" s="62" t="s">
        <v>38</v>
      </c>
      <c r="E284" s="62" t="s">
        <v>133</v>
      </c>
      <c r="F284" s="62" t="s">
        <v>134</v>
      </c>
      <c r="G284" s="94" t="s">
        <v>135</v>
      </c>
      <c r="H284" s="80" t="s">
        <v>186</v>
      </c>
      <c r="I284" s="72" t="s">
        <v>47</v>
      </c>
      <c r="J284" s="62">
        <v>2</v>
      </c>
      <c r="K284" s="62">
        <v>2.5</v>
      </c>
      <c r="O284" s="62">
        <v>168561</v>
      </c>
      <c r="P284" s="62">
        <v>168000</v>
      </c>
      <c r="Q284" s="62">
        <v>168561</v>
      </c>
      <c r="R284" s="62" t="s"/>
      <c r="T284" s="68">
        <f>=P284/10000*J284*Z284</f>
        <v>268.8</v>
      </c>
      <c r="U284">
        <v>150</v>
      </c>
      <c r="V284" s="68" t="s"/>
      <c r="W284" s="68" t="s"/>
      <c r="X284" s="68">
        <f>=O284-P284</f>
        <v>561</v>
      </c>
      <c r="Y284" s="68">
        <f>=X284-T284-U284-V284</f>
        <v>142.2</v>
      </c>
      <c r="Z284" s="62">
        <f>=A284-$A$255+1</f>
        <v>8</v>
      </c>
      <c r="AA284" s="68">
        <f>=P284/10000*K284*Z284</f>
        <v>336</v>
      </c>
      <c r="AB284" s="62">
        <f>=Q284*Z284</f>
        <v>1348488</v>
      </c>
      <c r="AC284" t="s">
        <v>58</v>
      </c>
    </row>
    <row r="285" spans="1:29">
      <c r="A285" s="107">
        <v>46112</v>
      </c>
      <c r="B285" s="106" t="s">
        <v>37</v>
      </c>
      <c r="C285" s="62" t="s"/>
      <c r="D285" s="62" t="s">
        <v>38</v>
      </c>
      <c r="E285" s="62" t="s">
        <v>148</v>
      </c>
      <c r="F285" s="62" t="s">
        <v>153</v>
      </c>
      <c r="G285" s="93" t="s">
        <v>156</v>
      </c>
      <c r="H285" s="110" t="s">
        <v>157</v>
      </c>
      <c r="I285" s="77" t="s">
        <v>47</v>
      </c>
      <c r="J285" s="62">
        <v>2</v>
      </c>
      <c r="K285" s="62">
        <v>2.5</v>
      </c>
      <c r="O285" s="62">
        <v>136482</v>
      </c>
      <c r="P285" s="62">
        <v>136000</v>
      </c>
      <c r="Q285" s="62">
        <v>136482</v>
      </c>
      <c r="R285" s="62" t="s"/>
      <c r="T285" s="68">
        <f>=P285/10000*J285*Z285</f>
        <v>353.6</v>
      </c>
      <c r="U285">
        <v>30</v>
      </c>
      <c r="V285" s="68" t="s"/>
      <c r="W285" s="68" t="s"/>
      <c r="X285" s="68">
        <f>=O285-P285</f>
        <v>482</v>
      </c>
      <c r="Y285" s="68">
        <f>=X285-T285-U285-V285</f>
        <v>98.4000000000001</v>
      </c>
      <c r="Z285" s="62">
        <f>=A285-$A$223+1</f>
        <v>13</v>
      </c>
      <c r="AA285" s="68">
        <f>=P285/10000*K285*Z285</f>
        <v>442</v>
      </c>
      <c r="AB285" s="62">
        <f>=Q285*Z285</f>
        <v>1774266</v>
      </c>
      <c r="AC285" t="s">
        <v>58</v>
      </c>
    </row>
    <row r="286" spans="1:29">
      <c r="A286" s="107">
        <v>46112</v>
      </c>
      <c r="C286" s="62" t="s"/>
      <c r="D286" s="62" t="s">
        <v>38</v>
      </c>
      <c r="E286" s="62" t="s">
        <v>148</v>
      </c>
      <c r="F286" s="62" t="s">
        <v>153</v>
      </c>
      <c r="G286" s="93" t="s">
        <v>156</v>
      </c>
      <c r="H286" s="110" t="s">
        <v>175</v>
      </c>
      <c r="I286" s="77" t="s">
        <v>47</v>
      </c>
      <c r="J286" s="62">
        <v>2</v>
      </c>
      <c r="K286" s="62">
        <v>2.3</v>
      </c>
      <c r="O286" s="62">
        <v>68192</v>
      </c>
      <c r="P286" s="62">
        <v>68000</v>
      </c>
      <c r="Q286" s="62">
        <v>68192</v>
      </c>
      <c r="R286" s="62" t="s"/>
      <c r="T286" s="68">
        <f>=P286/10000*J286*Z286</f>
        <v>149.6</v>
      </c>
      <c r="U286">
        <v>15</v>
      </c>
      <c r="V286" s="68" t="s"/>
      <c r="W286" s="68" t="s"/>
      <c r="X286" s="68">
        <f>=O286-P286</f>
        <v>192</v>
      </c>
      <c r="Y286" s="68">
        <f>=X286-T286-U286-V286</f>
        <v>27.4</v>
      </c>
      <c r="Z286" s="62">
        <f>=A286-$A$234+1</f>
        <v>11</v>
      </c>
      <c r="AA286" s="68">
        <f>=P286/10000*K286*Z286</f>
        <v>172.04</v>
      </c>
      <c r="AB286" s="62">
        <f>=Q286*Z286</f>
        <v>750112</v>
      </c>
      <c r="AC286" t="s">
        <v>58</v>
      </c>
    </row>
    <row r="287" spans="1:29">
      <c r="A287" s="63">
        <v>46111</v>
      </c>
      <c r="B287" s="103" t="s"/>
      <c r="C287" s="62">
        <f>=TODAY()-A287+1</f>
        <v>119</v>
      </c>
      <c r="D287" s="62" t="s">
        <v>38</v>
      </c>
      <c r="E287" s="62" t="s">
        <v>148</v>
      </c>
      <c r="F287" s="62" t="s">
        <v>153</v>
      </c>
      <c r="G287" s="71" t="s">
        <v>215</v>
      </c>
      <c r="H287" s="98" t="s">
        <v>216</v>
      </c>
      <c r="I287" s="79" t="s">
        <v>43</v>
      </c>
      <c r="J287" s="62">
        <v>2</v>
      </c>
      <c r="K287" s="62">
        <v>2.5</v>
      </c>
      <c r="M287">
        <v>1022000</v>
      </c>
      <c r="AC287" t="s">
        <v>58</v>
      </c>
    </row>
    <row r="288" spans="1:29">
      <c r="A288" s="63">
        <v>46111</v>
      </c>
      <c r="B288" s="106" t="s">
        <v>37</v>
      </c>
      <c r="C288" s="62" t="s"/>
      <c r="D288" s="62" t="s">
        <v>38</v>
      </c>
      <c r="E288" s="62" t="s">
        <v>48</v>
      </c>
      <c r="F288" s="62" t="s">
        <v>49</v>
      </c>
      <c r="G288" t="s">
        <v>217</v>
      </c>
      <c r="H288" t="s">
        <v>218</v>
      </c>
      <c r="I288" s="65" t="s">
        <v>43</v>
      </c>
      <c r="J288" s="62">
        <v>2</v>
      </c>
      <c r="K288" s="62">
        <v>2.5</v>
      </c>
      <c r="M288">
        <v>4725</v>
      </c>
      <c r="AC288" t="s">
        <v>58</v>
      </c>
    </row>
    <row r="289" spans="1:29">
      <c r="A289" s="63">
        <v>46112</v>
      </c>
      <c r="B289" s="103" t="s"/>
      <c r="C289" s="62">
        <f>=TODAY()-A289+1</f>
        <v>118</v>
      </c>
      <c r="D289" s="62" t="s">
        <v>38</v>
      </c>
      <c r="E289" s="62" t="s">
        <v>48</v>
      </c>
      <c r="F289" s="62" t="s">
        <v>49</v>
      </c>
      <c r="G289" t="s">
        <v>217</v>
      </c>
      <c r="H289" s="98" t="s">
        <v>219</v>
      </c>
      <c r="I289" s="65" t="s">
        <v>43</v>
      </c>
      <c r="J289" s="62">
        <v>2</v>
      </c>
      <c r="K289" s="62">
        <v>2.5</v>
      </c>
      <c r="M289">
        <v>1191020</v>
      </c>
      <c r="AC289" t="s">
        <v>58</v>
      </c>
    </row>
    <row r="290" spans="1:29">
      <c r="A290" s="63">
        <v>46112</v>
      </c>
      <c r="B290" s="106" t="s">
        <v>37</v>
      </c>
      <c r="C290" s="62" t="s"/>
      <c r="D290" s="62" t="s">
        <v>38</v>
      </c>
      <c r="E290" s="62" t="s">
        <v>48</v>
      </c>
      <c r="F290" s="62" t="s">
        <v>49</v>
      </c>
      <c r="G290" t="s">
        <v>220</v>
      </c>
      <c r="H290" s="98" t="s">
        <v>221</v>
      </c>
      <c r="I290" s="65" t="s">
        <v>43</v>
      </c>
      <c r="J290" s="62">
        <v>2</v>
      </c>
      <c r="K290" s="62">
        <v>3</v>
      </c>
      <c r="M290">
        <v>369390</v>
      </c>
      <c r="AC290" t="s">
        <v>58</v>
      </c>
    </row>
    <row r="291" spans="1:29">
      <c r="A291" s="107">
        <v>46112</v>
      </c>
      <c r="B291" s="103" t="s"/>
      <c r="C291" s="62">
        <f>=TODAY()-A291+1</f>
        <v>71</v>
      </c>
      <c r="D291" s="62" t="s">
        <v>38</v>
      </c>
      <c r="E291" s="62" t="s">
        <v>48</v>
      </c>
      <c r="F291" s="62" t="s">
        <v>222</v>
      </c>
      <c r="G291" t="s">
        <v>223</v>
      </c>
      <c r="H291" s="98" t="s">
        <v>224</v>
      </c>
      <c r="I291" s="65" t="s">
        <v>43</v>
      </c>
      <c r="J291" s="62">
        <v>2</v>
      </c>
      <c r="K291" s="62">
        <v>2.5</v>
      </c>
      <c r="M291">
        <v>3337000</v>
      </c>
      <c r="AC291" t="s">
        <v>58</v>
      </c>
    </row>
    <row r="292" spans="1:29">
      <c r="A292" s="63">
        <v>46112</v>
      </c>
      <c r="B292" s="103" t="s"/>
      <c r="C292" s="62">
        <f>=TODAY()-A292+1</f>
        <v>71</v>
      </c>
      <c r="D292" s="64" t="s">
        <v>38</v>
      </c>
      <c r="E292" s="131" t="s">
        <v>54</v>
      </c>
      <c r="F292" s="64" t="s">
        <v>55</v>
      </c>
      <c r="G292" s="71" t="s">
        <v>191</v>
      </c>
      <c r="H292" s="98" t="s">
        <v>225</v>
      </c>
      <c r="I292" s="73" t="s">
        <v>43</v>
      </c>
      <c r="J292" s="64">
        <v>2</v>
      </c>
      <c r="K292" s="64">
        <v>2.5</v>
      </c>
      <c r="M292">
        <v>518000</v>
      </c>
      <c r="T292" s="68" t="s"/>
      <c r="V292" s="68" t="s"/>
      <c r="W292" s="68" t="s"/>
      <c r="X292" s="68" t="s"/>
      <c r="Y292" s="68" t="s"/>
      <c r="Z292" s="62" t="s"/>
      <c r="AA292" s="62" t="s"/>
      <c r="AB292" s="62" t="s"/>
      <c r="AC292" t="s">
        <v>58</v>
      </c>
    </row>
    <row r="293" spans="1:29">
      <c r="A293" s="107">
        <v>46112</v>
      </c>
      <c r="B293" s="106" t="s">
        <v>37</v>
      </c>
      <c r="C293" s="62" t="s"/>
      <c r="D293" s="64" t="s">
        <v>38</v>
      </c>
      <c r="E293" t="s">
        <v>63</v>
      </c>
      <c r="F293" t="s">
        <v>226</v>
      </c>
      <c r="G293" s="97" t="s">
        <v>227</v>
      </c>
      <c r="H293" t="s">
        <v>228</v>
      </c>
      <c r="I293" s="73" t="s">
        <v>43</v>
      </c>
      <c r="J293" s="64">
        <v>2</v>
      </c>
      <c r="K293" s="64">
        <v>2.5</v>
      </c>
      <c r="M293">
        <v>981810</v>
      </c>
      <c r="AC293" t="s">
        <v>58</v>
      </c>
    </row>
    <row r="294" spans="1:29" ht="15.75" customHeight="true">
      <c r="A294" s="63">
        <v>46112</v>
      </c>
      <c r="B294" s="62" t="s"/>
      <c r="C294" s="62" t="s"/>
      <c r="D294" s="78" t="s">
        <v>38</v>
      </c>
      <c r="E294" s="62" t="s">
        <v>48</v>
      </c>
      <c r="F294" s="62" t="s">
        <v>49</v>
      </c>
      <c r="G294" s="71" t="s">
        <v>107</v>
      </c>
      <c r="H294" s="92" t="s">
        <v>61</v>
      </c>
      <c r="I294" s="69" t="s">
        <v>47</v>
      </c>
      <c r="J294" s="78">
        <v>2</v>
      </c>
      <c r="K294" s="78">
        <v>3</v>
      </c>
      <c r="L294" s="62" t="s"/>
      <c r="M294" s="62" t="s"/>
      <c r="N294" s="62" t="s"/>
      <c r="O294" s="62">
        <v>671060</v>
      </c>
      <c r="P294" s="62">
        <v>622440</v>
      </c>
      <c r="Q294" s="62">
        <v>671060</v>
      </c>
      <c r="R294" s="62" t="s"/>
      <c r="S294" s="62" t="s"/>
      <c r="T294" s="68">
        <f>=P294/10000*J294*Z294</f>
        <v>32242.392</v>
      </c>
      <c r="U294" s="62">
        <v>0</v>
      </c>
      <c r="V294" s="68" t="s"/>
      <c r="W294" s="68" t="s"/>
      <c r="X294" s="68">
        <f>=O294-P294</f>
        <v>48620</v>
      </c>
      <c r="Y294" s="68">
        <f>=X294-T294-U294-V294</f>
        <v>16377.608</v>
      </c>
      <c r="Z294" s="62">
        <f>=A294-$A$19+1</f>
        <v>259</v>
      </c>
      <c r="AA294" s="68">
        <f>=P294/10000*K294*Z294</f>
        <v>48363.588</v>
      </c>
      <c r="AB294" s="62">
        <f>=Q294*Z294</f>
        <v>173804540</v>
      </c>
      <c r="AC294" t="s">
        <v>58</v>
      </c>
    </row>
    <row r="295" spans="1:29" ht="15.75" customHeight="true">
      <c r="A295" s="63">
        <v>46113</v>
      </c>
      <c r="B295" s="62" t="s"/>
      <c r="C295" s="62" t="s"/>
      <c r="D295" s="78" t="s">
        <v>38</v>
      </c>
      <c r="E295" s="62" t="s">
        <v>48</v>
      </c>
      <c r="F295" s="62" t="s">
        <v>49</v>
      </c>
      <c r="G295" s="71" t="s">
        <v>107</v>
      </c>
      <c r="H295" s="92" t="s">
        <v>62</v>
      </c>
      <c r="I295" s="72" t="s">
        <v>47</v>
      </c>
      <c r="J295" s="78">
        <v>2</v>
      </c>
      <c r="K295" s="78">
        <v>3</v>
      </c>
      <c r="L295" s="62" t="s"/>
      <c r="M295" s="62" t="s"/>
      <c r="N295" s="62" t="s"/>
      <c r="O295" s="62">
        <v>361480</v>
      </c>
      <c r="P295" s="62">
        <v>335160</v>
      </c>
      <c r="Q295" s="62">
        <v>361480</v>
      </c>
      <c r="R295" s="62" t="s"/>
      <c r="S295" s="62" t="s"/>
      <c r="T295" s="68">
        <f>=P295/10000*J295*Z295</f>
        <v>17361.288</v>
      </c>
      <c r="U295" s="62">
        <v>0</v>
      </c>
      <c r="V295" s="68" t="s"/>
      <c r="W295" s="68" t="s"/>
      <c r="X295" s="68">
        <f>=O295-P295</f>
        <v>26320</v>
      </c>
      <c r="Y295" s="68">
        <f>=X295-T295-U295-V295</f>
        <v>8958.712</v>
      </c>
      <c r="Z295" s="62">
        <f>=A295-$A$20+1</f>
        <v>259</v>
      </c>
      <c r="AA295" s="68">
        <f>=P295/10000*K295*Z295</f>
        <v>26041.932</v>
      </c>
      <c r="AB295" s="62">
        <f>=Q295*Z295</f>
        <v>93623320</v>
      </c>
      <c r="AC295" t="s">
        <v>58</v>
      </c>
    </row>
    <row r="296" spans="1:29">
      <c r="A296" s="80">
        <v>46113</v>
      </c>
      <c r="B296" s="103" t="s"/>
      <c r="C296" s="62">
        <f>=TODAY()-A296+1</f>
        <v>70</v>
      </c>
      <c r="D296" s="62" t="s">
        <v>38</v>
      </c>
      <c r="E296" s="62" t="s">
        <v>48</v>
      </c>
      <c r="F296" s="62" t="s">
        <v>49</v>
      </c>
      <c r="G296" s="71" t="s">
        <v>50</v>
      </c>
      <c r="H296" t="s">
        <v>229</v>
      </c>
      <c r="I296" s="73" t="s">
        <v>43</v>
      </c>
      <c r="J296" s="62">
        <v>2</v>
      </c>
      <c r="K296" s="62">
        <v>2.5</v>
      </c>
      <c r="M296">
        <v>578515</v>
      </c>
      <c r="AC296" t="s">
        <v>58</v>
      </c>
    </row>
    <row r="297" spans="1:29">
      <c r="A297" s="80">
        <v>46114</v>
      </c>
      <c r="B297" s="103" t="s"/>
      <c r="C297" s="62">
        <f>=TODAY()-A297+1</f>
        <v>69</v>
      </c>
      <c r="D297" s="62" t="s">
        <v>38</v>
      </c>
      <c r="E297" s="62" t="s">
        <v>48</v>
      </c>
      <c r="F297" s="62" t="s">
        <v>49</v>
      </c>
      <c r="G297" s="71" t="s">
        <v>50</v>
      </c>
      <c r="H297" t="s">
        <v>230</v>
      </c>
      <c r="I297" s="73" t="s">
        <v>43</v>
      </c>
      <c r="J297" s="62">
        <v>2</v>
      </c>
      <c r="K297" s="62">
        <v>2.5</v>
      </c>
      <c r="M297">
        <v>636300</v>
      </c>
      <c r="AC297" t="s">
        <v>58</v>
      </c>
    </row>
    <row r="298" spans="1:29">
      <c r="A298" s="80">
        <v>46113</v>
      </c>
      <c r="B298" s="103" t="s"/>
      <c r="C298" s="62">
        <f>=TODAY()-A298+1</f>
        <v>70</v>
      </c>
      <c r="D298" s="64" t="s">
        <v>38</v>
      </c>
      <c r="E298" s="64" t="s">
        <v>148</v>
      </c>
      <c r="F298" s="64" t="s">
        <v>153</v>
      </c>
      <c r="G298" s="64" t="s">
        <v>211</v>
      </c>
      <c r="H298" s="98" t="s">
        <v>231</v>
      </c>
      <c r="I298" s="65" t="s">
        <v>43</v>
      </c>
      <c r="J298" s="62">
        <v>2</v>
      </c>
      <c r="K298" s="62">
        <v>2.5</v>
      </c>
      <c r="M298">
        <v>690480</v>
      </c>
      <c r="AC298" t="s">
        <v>58</v>
      </c>
    </row>
    <row r="299" spans="1:29">
      <c r="A299" s="124">
        <v>46115</v>
      </c>
      <c r="B299" s="103" t="s"/>
      <c r="C299" s="62">
        <f>=TODAY()-A299+1</f>
        <v>68</v>
      </c>
      <c r="D299" s="62" t="s">
        <v>38</v>
      </c>
      <c r="E299" s="62" t="s">
        <v>48</v>
      </c>
      <c r="F299" s="62" t="s">
        <v>49</v>
      </c>
      <c r="G299" s="64" t="s">
        <v>52</v>
      </c>
      <c r="H299" s="71" t="s">
        <v>232</v>
      </c>
      <c r="I299" s="65" t="s">
        <v>43</v>
      </c>
      <c r="J299" s="62">
        <v>2</v>
      </c>
      <c r="K299" s="62">
        <v>3</v>
      </c>
      <c r="M299">
        <v>199395</v>
      </c>
      <c r="AC299" t="s">
        <v>44</v>
      </c>
    </row>
    <row r="300" spans="1:29">
      <c r="A300" s="80">
        <v>46120</v>
      </c>
      <c r="B300" s="103" t="s"/>
      <c r="C300" s="62">
        <f>=TODAY()-A300+1</f>
        <v>63</v>
      </c>
      <c r="D300" s="62" t="s">
        <v>38</v>
      </c>
      <c r="E300" s="62" t="s">
        <v>48</v>
      </c>
      <c r="F300" s="62" t="s">
        <v>49</v>
      </c>
      <c r="G300" s="64" t="s">
        <v>52</v>
      </c>
      <c r="H300" s="71" t="s">
        <v>233</v>
      </c>
      <c r="I300" s="65" t="s">
        <v>43</v>
      </c>
      <c r="J300" s="62">
        <v>2</v>
      </c>
      <c r="K300" s="62">
        <v>3</v>
      </c>
      <c r="M300" s="87">
        <v>6300</v>
      </c>
      <c r="AC300" t="s">
        <v>44</v>
      </c>
    </row>
    <row r="301" spans="1:29">
      <c r="A301" s="80">
        <v>46114</v>
      </c>
      <c r="B301" s="62" t="s">
        <v>37</v>
      </c>
      <c r="C301" s="62" t="s"/>
      <c r="D301" s="64" t="s">
        <v>38</v>
      </c>
      <c r="E301" s="131" t="s">
        <v>54</v>
      </c>
      <c r="F301" s="64" t="s">
        <v>55</v>
      </c>
      <c r="G301" s="71" t="s">
        <v>56</v>
      </c>
      <c r="H301" s="64" t="s">
        <v>57</v>
      </c>
      <c r="I301" s="72" t="s">
        <v>47</v>
      </c>
      <c r="J301" s="64">
        <v>2</v>
      </c>
      <c r="K301" s="64">
        <v>2.5</v>
      </c>
      <c r="O301">
        <v>274932</v>
      </c>
      <c r="P301">
        <v>252000</v>
      </c>
      <c r="Q301">
        <v>274932</v>
      </c>
      <c r="T301" s="68">
        <f>=P301/10000*J301*Z301</f>
        <v>18446.4</v>
      </c>
      <c r="U301" s="62">
        <v>0</v>
      </c>
      <c r="V301" s="68" t="s"/>
      <c r="W301" s="68" t="s"/>
      <c r="X301" s="68">
        <f>=O301-P301</f>
        <v>22932</v>
      </c>
      <c r="Y301" s="68">
        <f>=X301-T301-U301-V301</f>
        <v>4485.6</v>
      </c>
      <c r="Z301" s="62">
        <f>=A301-$A$12+1</f>
        <v>366</v>
      </c>
      <c r="AA301" s="68">
        <f>=P301/10000*K301*Z301</f>
        <v>23058</v>
      </c>
      <c r="AB301" s="62">
        <f>=Q301*Z301</f>
        <v>100625112</v>
      </c>
      <c r="AC301" t="s">
        <v>58</v>
      </c>
    </row>
    <row r="302" spans="1:29">
      <c r="A302" s="63">
        <v>46113</v>
      </c>
      <c r="B302" s="106" t="s">
        <v>37</v>
      </c>
      <c r="C302" s="62" t="s"/>
      <c r="D302" s="62" t="s">
        <v>38</v>
      </c>
      <c r="E302" s="62" t="s">
        <v>148</v>
      </c>
      <c r="F302" s="62" t="s">
        <v>153</v>
      </c>
      <c r="G302" s="71" t="s">
        <v>156</v>
      </c>
      <c r="H302" s="80" t="s">
        <v>157</v>
      </c>
      <c r="I302" s="72" t="s">
        <v>47</v>
      </c>
      <c r="J302" s="64">
        <v>2</v>
      </c>
      <c r="K302" s="64">
        <v>2.5</v>
      </c>
      <c r="O302">
        <v>298641.5</v>
      </c>
      <c r="P302">
        <v>297500</v>
      </c>
      <c r="Q302">
        <v>298641.5</v>
      </c>
      <c r="T302" s="68">
        <f>=P302/10000*J302*Z302</f>
        <v>833</v>
      </c>
      <c r="U302">
        <v>75</v>
      </c>
      <c r="V302" s="68" t="s"/>
      <c r="W302" s="68" t="s"/>
      <c r="X302" s="68">
        <f>=O302-P302</f>
        <v>1141.5</v>
      </c>
      <c r="Y302" s="68">
        <f>=X302-T302-U302-V302</f>
        <v>233.5</v>
      </c>
      <c r="Z302" s="62">
        <f>=A302-$A$223+1</f>
        <v>14</v>
      </c>
      <c r="AA302" s="68">
        <f>=P302/10000*K302*Z302</f>
        <v>1041.25</v>
      </c>
      <c r="AB302" s="62">
        <f>=Q302*Z302</f>
        <v>4180981</v>
      </c>
      <c r="AC302" t="s">
        <v>58</v>
      </c>
    </row>
    <row r="303" spans="1:29">
      <c r="A303" s="63">
        <v>46113</v>
      </c>
      <c r="B303" s="134" t="s">
        <v>37</v>
      </c>
      <c r="C303" s="62" t="s"/>
      <c r="D303" s="62" t="s">
        <v>38</v>
      </c>
      <c r="E303" s="62" t="s">
        <v>148</v>
      </c>
      <c r="F303" s="62" t="s">
        <v>153</v>
      </c>
      <c r="G303" s="71" t="s">
        <v>156</v>
      </c>
      <c r="H303" s="80" t="s">
        <v>180</v>
      </c>
      <c r="I303" s="72" t="s">
        <v>47</v>
      </c>
      <c r="J303" s="64">
        <v>2</v>
      </c>
      <c r="K303" s="64">
        <v>2.3</v>
      </c>
      <c r="O303" s="95">
        <v>354934.2</v>
      </c>
      <c r="P303">
        <v>354000</v>
      </c>
      <c r="Q303" s="95">
        <v>354934.2</v>
      </c>
      <c r="T303" s="68">
        <f>=P303/10000*J303*Z303</f>
        <v>708</v>
      </c>
      <c r="U303">
        <v>90</v>
      </c>
      <c r="V303" s="68" t="s"/>
      <c r="W303" s="68" t="s"/>
      <c r="X303" s="68">
        <f>=O303-P303</f>
        <v>934.199999999954</v>
      </c>
      <c r="Y303" s="68">
        <f>=X303-T303-U303-V303</f>
        <v>136.199999999953</v>
      </c>
      <c r="Z303" s="62">
        <f>=A303-$A$244+1</f>
        <v>10</v>
      </c>
      <c r="AA303" s="68">
        <f>=P303/10000*K303*Z303</f>
        <v>814.2</v>
      </c>
      <c r="AB303" s="62">
        <f>=Q303*Z303</f>
        <v>3549342</v>
      </c>
      <c r="AC303" t="s">
        <v>58</v>
      </c>
    </row>
    <row r="304" spans="1:29">
      <c r="A304" s="80">
        <v>46114</v>
      </c>
      <c r="B304" s="103" t="s"/>
      <c r="C304" s="62">
        <f>=TODAY()-A304+1</f>
        <v>69</v>
      </c>
      <c r="D304" s="62" t="s">
        <v>38</v>
      </c>
      <c r="E304" s="62" t="s">
        <v>148</v>
      </c>
      <c r="F304" s="62" t="s">
        <v>153</v>
      </c>
      <c r="G304" s="71" t="s">
        <v>215</v>
      </c>
      <c r="H304" s="98" t="s">
        <v>234</v>
      </c>
      <c r="I304" s="65" t="s">
        <v>43</v>
      </c>
      <c r="J304" s="64">
        <v>2</v>
      </c>
      <c r="K304" s="64">
        <v>2.5</v>
      </c>
      <c r="M304">
        <v>2492050</v>
      </c>
      <c r="T304" s="68" t="s"/>
      <c r="V304" s="68" t="s"/>
      <c r="W304" s="68" t="s"/>
      <c r="X304" s="68" t="s"/>
      <c r="Y304" s="68" t="s"/>
      <c r="Z304" s="62" t="s"/>
      <c r="AA304" s="62" t="s"/>
      <c r="AB304" s="62" t="s"/>
      <c r="AC304" t="s">
        <v>58</v>
      </c>
    </row>
    <row r="305" spans="1:29">
      <c r="A305" s="80">
        <v>46113</v>
      </c>
      <c r="B305" s="103" t="s"/>
      <c r="C305" s="62">
        <f>=TODAY()-A305+1</f>
        <v>70</v>
      </c>
      <c r="D305" s="64" t="s">
        <v>38</v>
      </c>
      <c r="E305" s="131" t="s">
        <v>54</v>
      </c>
      <c r="F305" s="64" t="s">
        <v>55</v>
      </c>
      <c r="G305" s="71" t="s">
        <v>191</v>
      </c>
      <c r="H305" s="98" t="s">
        <v>235</v>
      </c>
      <c r="I305" s="73" t="s">
        <v>43</v>
      </c>
      <c r="J305" s="64">
        <v>2</v>
      </c>
      <c r="K305" s="64">
        <v>2.5</v>
      </c>
      <c r="M305">
        <v>898000</v>
      </c>
      <c r="T305" s="68" t="s"/>
      <c r="V305" s="68" t="s"/>
      <c r="W305" s="68" t="s"/>
      <c r="X305" s="68" t="s"/>
      <c r="Y305" s="68" t="s"/>
      <c r="Z305" s="62" t="s"/>
      <c r="AA305" s="62" t="s"/>
      <c r="AB305" s="62" t="s"/>
      <c r="AC305" t="s">
        <v>58</v>
      </c>
    </row>
    <row r="306" spans="1:29">
      <c r="A306" s="80">
        <v>46113</v>
      </c>
      <c r="B306" s="106" t="s">
        <v>37</v>
      </c>
      <c r="C306" s="103" t="s"/>
      <c r="D306" s="63" t="s">
        <v>38</v>
      </c>
      <c r="E306" s="62" t="s">
        <v>39</v>
      </c>
      <c r="F306" s="62" t="s">
        <v>40</v>
      </c>
      <c r="G306" s="71" t="s">
        <v>142</v>
      </c>
      <c r="H306" s="80" t="s">
        <v>176</v>
      </c>
      <c r="I306" s="72" t="s">
        <v>47</v>
      </c>
      <c r="J306" s="62">
        <v>2</v>
      </c>
      <c r="K306" s="62">
        <v>2.5</v>
      </c>
      <c r="O306">
        <v>95130.8</v>
      </c>
      <c r="P306">
        <v>94840</v>
      </c>
      <c r="Q306">
        <v>95130.8</v>
      </c>
      <c r="T306" s="68">
        <f>=P306/10000*J306*Z306</f>
        <v>208.648</v>
      </c>
      <c r="U306">
        <v>20</v>
      </c>
      <c r="V306" s="68" t="s"/>
      <c r="W306" s="68" t="s"/>
      <c r="X306" s="68">
        <f>=O306-P306</f>
        <v>290.800000000003</v>
      </c>
      <c r="Y306" s="68">
        <f>=X306-T306-U306-V306</f>
        <v>62.1520000000029</v>
      </c>
      <c r="Z306" s="62">
        <f>=A306-$A$235+1</f>
        <v>11</v>
      </c>
      <c r="AA306" s="68">
        <f>=P306/10000*K306*Z306</f>
        <v>260.81</v>
      </c>
      <c r="AB306" s="62">
        <f>=Q306*Z306</f>
        <v>1046438.8</v>
      </c>
      <c r="AC306" t="s">
        <v>58</v>
      </c>
    </row>
    <row r="307" spans="1:29">
      <c r="A307" s="80">
        <v>46113</v>
      </c>
      <c r="B307" s="106" t="s">
        <v>37</v>
      </c>
      <c r="C307" s="103" t="s"/>
      <c r="D307" s="63" t="s">
        <v>38</v>
      </c>
      <c r="E307" s="62" t="s">
        <v>39</v>
      </c>
      <c r="F307" s="62" t="s">
        <v>40</v>
      </c>
      <c r="G307" s="71" t="s">
        <v>142</v>
      </c>
      <c r="H307" s="80" t="s">
        <v>178</v>
      </c>
      <c r="I307" s="72" t="s">
        <v>47</v>
      </c>
      <c r="J307" s="62">
        <v>2</v>
      </c>
      <c r="K307" s="62">
        <v>2.5</v>
      </c>
      <c r="O307">
        <v>380428.8</v>
      </c>
      <c r="P307" s="66">
        <v>379360</v>
      </c>
      <c r="Q307">
        <v>380428.8</v>
      </c>
      <c r="T307" s="68">
        <f>=P307/10000*J307*Z307</f>
        <v>758.72</v>
      </c>
      <c r="U307">
        <v>80</v>
      </c>
      <c r="V307" s="68" t="s"/>
      <c r="W307" s="68" t="s"/>
      <c r="X307" s="68">
        <f>=O307-P307</f>
        <v>1068.79999999999</v>
      </c>
      <c r="Y307" s="68">
        <f>=X307-T307-U307-V307</f>
        <v>230.079999999988</v>
      </c>
      <c r="Z307" s="62">
        <f>=A307-$A$237+1</f>
        <v>10</v>
      </c>
      <c r="AA307" s="68">
        <f>=P307/10000*K307*Z307</f>
        <v>948.4</v>
      </c>
      <c r="AB307" s="62">
        <f>=Q307*Z307</f>
        <v>3804288</v>
      </c>
      <c r="AC307" t="s">
        <v>58</v>
      </c>
    </row>
    <row r="308" spans="1:29">
      <c r="A308" s="80">
        <v>46113</v>
      </c>
      <c r="B308" s="62" t="s">
        <v>37</v>
      </c>
      <c r="C308" s="62" t="s"/>
      <c r="D308" s="62" t="s">
        <v>38</v>
      </c>
      <c r="E308" s="62" t="s">
        <v>48</v>
      </c>
      <c r="F308" s="62" t="s">
        <v>73</v>
      </c>
      <c r="G308" s="71" t="s">
        <v>74</v>
      </c>
      <c r="H308" s="64" t="s">
        <v>96</v>
      </c>
      <c r="I308" s="72" t="s">
        <v>47</v>
      </c>
      <c r="J308" s="62">
        <v>1.46</v>
      </c>
      <c r="K308" s="62">
        <v>2.5</v>
      </c>
      <c r="O308" s="62">
        <v>324000</v>
      </c>
      <c r="P308" s="62">
        <v>315900</v>
      </c>
      <c r="Q308" s="62">
        <v>260820</v>
      </c>
      <c r="R308" s="62">
        <v>-63180</v>
      </c>
      <c r="T308" s="68">
        <f>=P308/10000*J308*Z308</f>
        <v>4243.1688</v>
      </c>
      <c r="U308">
        <v>0</v>
      </c>
      <c r="V308" s="68" t="s"/>
      <c r="W308" s="68" t="s"/>
      <c r="X308" s="68">
        <f>=O308-P308</f>
        <v>8100</v>
      </c>
      <c r="Y308" s="68">
        <f>=X308-T308-U308-V308</f>
        <v>3856.8312</v>
      </c>
      <c r="Z308" s="62">
        <f>=A308-$A$92+1</f>
        <v>92</v>
      </c>
      <c r="AA308" s="68">
        <f>=P308/10000*K308*Z308</f>
        <v>7265.7</v>
      </c>
      <c r="AB308" s="62">
        <f>=Q308*Z308</f>
        <v>23995440</v>
      </c>
      <c r="AC308" t="s">
        <v>44</v>
      </c>
    </row>
    <row r="309" spans="1:29">
      <c r="A309" s="63">
        <v>46113</v>
      </c>
      <c r="B309" s="62" t="s">
        <v>37</v>
      </c>
      <c r="C309" s="62" t="s"/>
      <c r="D309" s="62" t="s">
        <v>114</v>
      </c>
      <c r="E309" s="62" t="s">
        <v>114</v>
      </c>
      <c r="F309" s="62" t="s">
        <v>115</v>
      </c>
      <c r="G309" s="64" t="s">
        <v>116</v>
      </c>
      <c r="H309" s="64" t="s">
        <v>118</v>
      </c>
      <c r="I309" s="69" t="s">
        <v>47</v>
      </c>
      <c r="J309" s="78">
        <v>2</v>
      </c>
      <c r="K309" s="62">
        <v>2.6</v>
      </c>
      <c r="M309" s="71" t="s"/>
      <c r="O309">
        <v>13392</v>
      </c>
      <c r="P309" s="99">
        <v>13200</v>
      </c>
      <c r="Q309">
        <v>13392</v>
      </c>
      <c r="T309" s="68">
        <f>=P309/10000*J309*Z309</f>
        <v>147.84</v>
      </c>
      <c r="U309" s="62">
        <v>0</v>
      </c>
      <c r="V309" s="68" t="s"/>
      <c r="W309" s="68" t="s"/>
      <c r="X309" s="68">
        <f>=O309-P309</f>
        <v>192</v>
      </c>
      <c r="Y309" s="68">
        <f>=X309-T309-U309-V309</f>
        <v>44.16</v>
      </c>
      <c r="Z309" s="62">
        <f>=A309-$A$144+1</f>
        <v>56</v>
      </c>
      <c r="AA309" s="68">
        <f>=P309/10000*K309*Z309</f>
        <v>192.192</v>
      </c>
      <c r="AB309" s="62">
        <f>=Q309*Z309</f>
        <v>749952</v>
      </c>
      <c r="AC309" t="s">
        <v>58</v>
      </c>
    </row>
    <row r="310" spans="1:29">
      <c r="A310" s="124">
        <v>46113</v>
      </c>
      <c r="B310" s="103" t="s"/>
      <c r="C310" s="89" t="s"/>
      <c r="D310" s="78" t="s">
        <v>38</v>
      </c>
      <c r="E310" s="78" t="s">
        <v>133</v>
      </c>
      <c r="F310" s="78" t="s">
        <v>134</v>
      </c>
      <c r="G310" s="71" t="s">
        <v>135</v>
      </c>
      <c r="H310" s="80" t="s">
        <v>177</v>
      </c>
      <c r="I310" s="69" t="s">
        <v>47</v>
      </c>
      <c r="J310" s="64">
        <v>2</v>
      </c>
      <c r="K310" s="64">
        <v>2.5</v>
      </c>
      <c r="L310" s="71" t="s"/>
      <c r="O310">
        <v>301200</v>
      </c>
      <c r="P310">
        <v>300000</v>
      </c>
      <c r="Q310">
        <v>301200</v>
      </c>
      <c r="T310" s="68">
        <f>=P310/10000*J310*Z310</f>
        <v>600</v>
      </c>
      <c r="U310">
        <v>300</v>
      </c>
      <c r="V310" s="68" t="s"/>
      <c r="W310" s="68" t="s"/>
      <c r="X310" s="68">
        <f>=O310-P310</f>
        <v>1200</v>
      </c>
      <c r="Y310" s="68">
        <f>=X310-T310-U310-V310</f>
        <v>300</v>
      </c>
      <c r="Z310" s="62">
        <f>=A310-$A$236+1</f>
        <v>10</v>
      </c>
      <c r="AA310" s="68">
        <f>=P310/10000*K310*Z310</f>
        <v>750</v>
      </c>
      <c r="AB310" s="62">
        <f>=Q310*Z310</f>
        <v>3012000</v>
      </c>
      <c r="AC310" t="s">
        <v>58</v>
      </c>
    </row>
    <row r="311" spans="1:29">
      <c r="A311" s="80">
        <v>46114</v>
      </c>
      <c r="B311" s="103" t="s"/>
      <c r="C311" s="62">
        <f>=TODAY()-A311+1</f>
        <v>69</v>
      </c>
      <c r="D311" s="64" t="s">
        <v>38</v>
      </c>
      <c r="E311" s="131" t="s">
        <v>54</v>
      </c>
      <c r="F311" s="64" t="s">
        <v>55</v>
      </c>
      <c r="G311" s="71" t="s">
        <v>191</v>
      </c>
      <c r="H311" s="98" t="s">
        <v>236</v>
      </c>
      <c r="I311" s="73" t="s">
        <v>43</v>
      </c>
      <c r="J311" s="64">
        <v>2</v>
      </c>
      <c r="K311" s="64">
        <v>2.5</v>
      </c>
      <c r="M311">
        <v>189000</v>
      </c>
      <c r="T311" s="68" t="s"/>
      <c r="V311" s="68" t="s"/>
      <c r="W311" s="68" t="s"/>
      <c r="X311" s="68" t="s"/>
      <c r="Y311" s="68" t="s"/>
      <c r="Z311" s="62" t="s"/>
      <c r="AA311" s="62" t="s"/>
      <c r="AB311" s="62" t="s"/>
      <c r="AC311" t="s">
        <v>58</v>
      </c>
    </row>
    <row r="312" spans="1:29">
      <c r="A312" s="63">
        <v>46114</v>
      </c>
      <c r="B312" s="103" t="s"/>
      <c r="C312" s="62">
        <f>=TODAY()-A312+1</f>
        <v>69</v>
      </c>
      <c r="D312" s="62" t="s">
        <v>38</v>
      </c>
      <c r="E312" s="62" t="s">
        <v>133</v>
      </c>
      <c r="F312" s="62" t="s">
        <v>134</v>
      </c>
      <c r="G312" s="71" t="s">
        <v>135</v>
      </c>
      <c r="H312" s="98" t="s">
        <v>237</v>
      </c>
      <c r="I312" s="73" t="s">
        <v>43</v>
      </c>
      <c r="J312" s="64">
        <v>2</v>
      </c>
      <c r="K312" s="64">
        <v>2.5</v>
      </c>
      <c r="M312">
        <v>1167250</v>
      </c>
      <c r="T312" s="68" t="s"/>
      <c r="V312" s="68" t="s"/>
      <c r="W312" s="68" t="s"/>
      <c r="X312" s="68" t="s"/>
      <c r="Y312" s="68" t="s"/>
      <c r="Z312" s="62" t="s"/>
      <c r="AA312" s="62" t="s"/>
      <c r="AB312" s="62" t="s"/>
      <c r="AC312" t="s">
        <v>58</v>
      </c>
    </row>
    <row r="313" spans="1:29">
      <c r="A313" s="63">
        <v>46114</v>
      </c>
      <c r="B313" s="106" t="s">
        <v>37</v>
      </c>
      <c r="C313" s="103" t="s"/>
      <c r="D313" s="64" t="s">
        <v>38</v>
      </c>
      <c r="E313" s="64" t="s">
        <v>163</v>
      </c>
      <c r="F313" s="64" t="s">
        <v>164</v>
      </c>
      <c r="G313" s="64" t="s">
        <v>189</v>
      </c>
      <c r="H313" s="80" t="s">
        <v>190</v>
      </c>
      <c r="I313" s="72" t="s">
        <v>47</v>
      </c>
      <c r="J313" s="64">
        <v>2</v>
      </c>
      <c r="K313" s="64">
        <v>3</v>
      </c>
      <c r="O313">
        <v>85442.04</v>
      </c>
      <c r="P313">
        <v>85200</v>
      </c>
      <c r="Q313">
        <v>85442.04</v>
      </c>
      <c r="T313" s="68">
        <f>=P313/10000*J313*Z313</f>
        <v>153.36</v>
      </c>
      <c r="U313">
        <v>8</v>
      </c>
      <c r="V313" s="68" t="s"/>
      <c r="W313" s="68" t="s"/>
      <c r="X313" s="68">
        <f>=O313-P313</f>
        <v>242.039999999994</v>
      </c>
      <c r="Y313" s="68">
        <f>=X313-T313-U313-V313</f>
        <v>80.6799999999936</v>
      </c>
      <c r="Z313" s="62">
        <f>=A313-$A$258+1</f>
        <v>9</v>
      </c>
      <c r="AA313" s="68">
        <f>=P313/10000*K313*Z313</f>
        <v>230.04</v>
      </c>
      <c r="AB313" s="62">
        <f>=Q313*Z313</f>
        <v>768978.36</v>
      </c>
      <c r="AC313" t="s">
        <v>58</v>
      </c>
    </row>
    <row r="314" spans="1:29">
      <c r="A314" s="63">
        <v>46114</v>
      </c>
      <c r="B314" s="106" t="s">
        <v>37</v>
      </c>
      <c r="C314" s="103" t="s"/>
      <c r="D314" s="64" t="s">
        <v>38</v>
      </c>
      <c r="E314" s="64" t="s">
        <v>163</v>
      </c>
      <c r="F314" s="64" t="s">
        <v>164</v>
      </c>
      <c r="G314" s="64" t="s">
        <v>189</v>
      </c>
      <c r="H314" s="80" t="s">
        <v>194</v>
      </c>
      <c r="I314" s="69" t="s">
        <v>47</v>
      </c>
      <c r="J314" s="64">
        <v>2</v>
      </c>
      <c r="K314" s="64">
        <v>3</v>
      </c>
      <c r="O314">
        <v>112191.59</v>
      </c>
      <c r="P314">
        <v>111905</v>
      </c>
      <c r="Q314">
        <v>112191.59</v>
      </c>
      <c r="T314" s="68">
        <f>=P314/10000*J314*Z314</f>
        <v>179.048</v>
      </c>
      <c r="U314">
        <v>12</v>
      </c>
      <c r="V314" s="68" t="s"/>
      <c r="W314" s="68" t="s"/>
      <c r="X314" s="68">
        <f>=O314-P314</f>
        <v>286.589999999997</v>
      </c>
      <c r="Y314" s="68">
        <f>=X314-T314-U314-V314</f>
        <v>95.5419999999965</v>
      </c>
      <c r="Z314" s="62">
        <f>=A314-$A$263+1</f>
        <v>8</v>
      </c>
      <c r="AA314" s="68">
        <f>=P314/10000*K314*Z314</f>
        <v>268.572</v>
      </c>
      <c r="AB314" s="62">
        <f>=Q314*Z314</f>
        <v>897532.72</v>
      </c>
      <c r="AC314" t="s">
        <v>58</v>
      </c>
    </row>
    <row r="315" spans="1:29">
      <c r="A315" s="80">
        <v>46114</v>
      </c>
      <c r="B315" s="103" t="s"/>
      <c r="C315" s="62">
        <f>=TODAY()-A315+1</f>
        <v>116</v>
      </c>
      <c r="D315" s="64" t="s">
        <v>38</v>
      </c>
      <c r="E315" s="64" t="s">
        <v>148</v>
      </c>
      <c r="F315" s="64" t="s">
        <v>153</v>
      </c>
      <c r="G315" s="64" t="s">
        <v>211</v>
      </c>
      <c r="H315" s="135" t="s">
        <v>238</v>
      </c>
      <c r="I315" s="65" t="s">
        <v>43</v>
      </c>
      <c r="J315" s="62">
        <v>2</v>
      </c>
      <c r="K315" s="62">
        <v>2.5</v>
      </c>
      <c r="M315">
        <v>1954540</v>
      </c>
      <c r="T315" s="68" t="s"/>
      <c r="V315" s="68" t="s"/>
      <c r="W315" s="68" t="s"/>
      <c r="X315" s="68" t="s"/>
      <c r="Y315" s="68" t="s"/>
      <c r="Z315" s="62" t="s"/>
      <c r="AA315" s="62" t="s"/>
      <c r="AB315" s="62" t="s"/>
      <c r="AC315" t="s">
        <v>58</v>
      </c>
    </row>
    <row r="316" spans="1:29">
      <c r="A316" s="63">
        <v>46114</v>
      </c>
      <c r="B316" s="103" t="s"/>
      <c r="C316" s="103" t="s"/>
      <c r="D316" s="64" t="s">
        <v>38</v>
      </c>
      <c r="E316" s="64" t="s">
        <v>148</v>
      </c>
      <c r="F316" s="64" t="s">
        <v>153</v>
      </c>
      <c r="G316" s="71" t="s">
        <v>156</v>
      </c>
      <c r="H316" s="80" t="s">
        <v>185</v>
      </c>
      <c r="I316" s="69" t="s">
        <v>47</v>
      </c>
      <c r="J316" s="78">
        <v>2</v>
      </c>
      <c r="K316" s="78">
        <v>2.5</v>
      </c>
      <c r="O316">
        <v>361080</v>
      </c>
      <c r="P316">
        <v>360000</v>
      </c>
      <c r="Q316">
        <v>361080</v>
      </c>
      <c r="T316" s="68">
        <f>=P316/10000*J316*Z316</f>
        <v>720</v>
      </c>
      <c r="U316">
        <v>135</v>
      </c>
      <c r="V316" s="68" t="s"/>
      <c r="W316" s="68" t="s"/>
      <c r="X316" s="68">
        <f>=O316-P316</f>
        <v>1080</v>
      </c>
      <c r="Y316" s="68">
        <f>=X316-T316-U316-V316</f>
        <v>225</v>
      </c>
      <c r="Z316" s="62">
        <f>=A316-$A$249+1</f>
        <v>10</v>
      </c>
      <c r="AA316" s="68">
        <f>=P316/10000*K316*Z316</f>
        <v>900</v>
      </c>
      <c r="AB316" s="62">
        <f>=Q316*Z316</f>
        <v>3610800</v>
      </c>
      <c r="AC316" t="s">
        <v>58</v>
      </c>
    </row>
    <row r="317" spans="1:29">
      <c r="A317" s="63">
        <v>46114</v>
      </c>
      <c r="B317" s="103" t="s"/>
      <c r="C317" s="103" t="s"/>
      <c r="D317" s="64" t="s">
        <v>38</v>
      </c>
      <c r="E317" s="64" t="s">
        <v>148</v>
      </c>
      <c r="F317" s="64" t="s">
        <v>153</v>
      </c>
      <c r="G317" s="71" t="s">
        <v>156</v>
      </c>
      <c r="H317" s="80" t="s">
        <v>213</v>
      </c>
      <c r="I317" s="69" t="s">
        <v>47</v>
      </c>
      <c r="J317" s="62">
        <v>2</v>
      </c>
      <c r="K317" s="62">
        <v>2.5</v>
      </c>
      <c r="O317">
        <v>129137.6</v>
      </c>
      <c r="P317">
        <v>128800</v>
      </c>
      <c r="Q317">
        <v>129137.6</v>
      </c>
      <c r="T317" s="68">
        <f>=P317/10000*J317*Z317</f>
        <v>77.28</v>
      </c>
      <c r="U317">
        <v>60</v>
      </c>
      <c r="V317" s="68" t="s"/>
      <c r="W317" s="68" t="s"/>
      <c r="X317" s="68">
        <f>=O317-P317</f>
        <v>337.600000000006</v>
      </c>
      <c r="Y317" s="68">
        <f>=X317-T317-U317-V317</f>
        <v>200.320000000006</v>
      </c>
      <c r="Z317" s="62">
        <f>=A317-$A$280+1</f>
        <v>3</v>
      </c>
      <c r="AA317" s="68">
        <f>=P317/10000*K317*Z317</f>
        <v>96.6</v>
      </c>
      <c r="AB317" s="62">
        <f>=Q317*Z317</f>
        <v>387412.8</v>
      </c>
      <c r="AC317" t="s">
        <v>58</v>
      </c>
    </row>
    <row r="318" spans="1:29">
      <c r="A318" s="80">
        <v>46121</v>
      </c>
      <c r="B318" s="106" t="s">
        <v>37</v>
      </c>
      <c r="C318" s="62" t="s"/>
      <c r="D318" s="64" t="s">
        <v>38</v>
      </c>
      <c r="E318" s="62" t="s">
        <v>85</v>
      </c>
      <c r="F318" t="s">
        <v>120</v>
      </c>
      <c r="G318" s="136" t="s">
        <v>239</v>
      </c>
      <c r="H318" s="71" t="s">
        <v>240</v>
      </c>
      <c r="I318" s="65" t="s">
        <v>43</v>
      </c>
      <c r="J318" s="64">
        <v>2</v>
      </c>
      <c r="K318" s="78">
        <v>2.5</v>
      </c>
      <c r="L318">
        <v>214200</v>
      </c>
      <c r="M318">
        <v>714000</v>
      </c>
      <c r="N318" s="122" t="s"/>
      <c r="T318" s="68" t="s"/>
      <c r="V318" s="68" t="s"/>
      <c r="W318" s="68" t="s"/>
      <c r="X318" s="68" t="s"/>
      <c r="Y318" s="68" t="s"/>
      <c r="Z318" s="62" t="s"/>
      <c r="AA318" s="62" t="s"/>
      <c r="AB318" s="62" t="s"/>
      <c r="AC318" t="s">
        <v>44</v>
      </c>
    </row>
    <row r="319" spans="1:29">
      <c r="A319" s="63">
        <v>46115</v>
      </c>
      <c r="B319" s="103" t="s"/>
      <c r="C319" s="62">
        <f>=TODAY()-A319+1</f>
        <v>68</v>
      </c>
      <c r="D319" s="64" t="s">
        <v>38</v>
      </c>
      <c r="E319" s="131" t="s">
        <v>54</v>
      </c>
      <c r="F319" s="64" t="s">
        <v>55</v>
      </c>
      <c r="G319" s="71" t="s">
        <v>191</v>
      </c>
      <c r="H319" s="98" t="s">
        <v>241</v>
      </c>
      <c r="I319" s="65" t="s">
        <v>43</v>
      </c>
      <c r="J319" s="64">
        <v>2</v>
      </c>
      <c r="K319" s="78">
        <v>2.5</v>
      </c>
      <c r="M319">
        <v>453730</v>
      </c>
      <c r="T319" s="68" t="s"/>
      <c r="V319" s="68" t="s"/>
      <c r="W319" s="68" t="s"/>
      <c r="X319" s="68" t="s"/>
      <c r="Y319" s="68" t="s"/>
      <c r="Z319" s="62" t="s"/>
      <c r="AA319" s="62" t="s"/>
      <c r="AB319" s="62" t="s"/>
      <c r="AC319" t="s">
        <v>58</v>
      </c>
    </row>
    <row r="320" spans="1:29">
      <c r="A320" s="63">
        <v>46115</v>
      </c>
      <c r="B320" s="103" t="s"/>
      <c r="C320" s="62" t="s"/>
      <c r="D320" s="64" t="s">
        <v>38</v>
      </c>
      <c r="E320" s="64" t="s">
        <v>148</v>
      </c>
      <c r="F320" s="64" t="s">
        <v>153</v>
      </c>
      <c r="G320" s="71" t="s">
        <v>156</v>
      </c>
      <c r="H320" s="80" t="s">
        <v>213</v>
      </c>
      <c r="I320" s="72" t="s">
        <v>47</v>
      </c>
      <c r="J320" s="62">
        <v>2</v>
      </c>
      <c r="K320" s="62">
        <v>2.5</v>
      </c>
      <c r="O320">
        <v>489917.2</v>
      </c>
      <c r="P320">
        <v>488600</v>
      </c>
      <c r="Q320">
        <v>489917.2</v>
      </c>
      <c r="T320" s="68">
        <f>=P320/10000*J320*Z320</f>
        <v>390.88</v>
      </c>
      <c r="U320">
        <v>255</v>
      </c>
      <c r="V320" s="68" t="s"/>
      <c r="W320" s="68" t="s"/>
      <c r="X320" s="68">
        <f>=O320-P320</f>
        <v>1317.20000000001</v>
      </c>
      <c r="Y320" s="68">
        <f>=X320-T320-U320-V320</f>
        <v>671.320000000012</v>
      </c>
      <c r="Z320" s="62">
        <f>=A320-$A$280+1</f>
        <v>4</v>
      </c>
      <c r="AA320" s="68">
        <f>=P320/10000*K320*Z320</f>
        <v>488.6</v>
      </c>
      <c r="AB320" s="62">
        <f>=Q320*Z320</f>
        <v>1959668.8</v>
      </c>
      <c r="AC320" t="s">
        <v>58</v>
      </c>
    </row>
    <row r="321" spans="1:29">
      <c r="A321" s="63">
        <v>46115</v>
      </c>
      <c r="B321" s="103" t="s"/>
      <c r="C321" s="62" t="s"/>
      <c r="D321" s="62" t="s">
        <v>38</v>
      </c>
      <c r="E321" s="62" t="s">
        <v>133</v>
      </c>
      <c r="F321" s="62" t="s">
        <v>134</v>
      </c>
      <c r="G321" s="71" t="s">
        <v>135</v>
      </c>
      <c r="H321" s="80" t="s">
        <v>177</v>
      </c>
      <c r="I321" s="72" t="s">
        <v>47</v>
      </c>
      <c r="J321" s="116">
        <v>2</v>
      </c>
      <c r="K321" s="116">
        <v>2.5</v>
      </c>
      <c r="L321" s="100" t="s"/>
      <c r="O321">
        <v>602550</v>
      </c>
      <c r="P321">
        <v>600000</v>
      </c>
      <c r="Q321">
        <v>602550</v>
      </c>
      <c r="T321" s="68">
        <f>=P321/10000*J321*Z321</f>
        <v>1440</v>
      </c>
      <c r="U321">
        <v>500</v>
      </c>
      <c r="V321" s="68" t="s"/>
      <c r="W321" s="68" t="s"/>
      <c r="X321" s="68">
        <f>=O321-P321</f>
        <v>2550</v>
      </c>
      <c r="Y321" s="68">
        <f>=X321-T321-U321-V321</f>
        <v>610</v>
      </c>
      <c r="Z321" s="62">
        <f>=A321-$A$236+1</f>
        <v>12</v>
      </c>
      <c r="AA321" s="68">
        <f>=P321/10000*K321*Z321</f>
        <v>1800</v>
      </c>
      <c r="AB321" s="62">
        <f>=Q321*Z321</f>
        <v>7230600</v>
      </c>
      <c r="AC321" t="s">
        <v>58</v>
      </c>
    </row>
    <row r="322" spans="1:29">
      <c r="A322" s="80">
        <v>46120</v>
      </c>
      <c r="B322" s="103" t="s"/>
      <c r="C322" s="62">
        <f>=TODAY()-A322+1</f>
        <v>110</v>
      </c>
      <c r="D322" s="62" t="s">
        <v>114</v>
      </c>
      <c r="E322" s="62" t="s">
        <v>114</v>
      </c>
      <c r="F322" s="62" t="s">
        <v>115</v>
      </c>
      <c r="G322" s="64" t="s">
        <v>116</v>
      </c>
      <c r="H322" s="71" t="s">
        <v>242</v>
      </c>
      <c r="I322" s="137" t="s">
        <v>43</v>
      </c>
      <c r="J322" s="78">
        <v>2</v>
      </c>
      <c r="K322" s="62">
        <v>2.6</v>
      </c>
      <c r="M322" s="87">
        <v>833084</v>
      </c>
      <c r="T322" s="68" t="s"/>
      <c r="V322" s="68" t="s"/>
      <c r="W322" s="68" t="s"/>
      <c r="X322" s="68" t="s"/>
      <c r="Y322" s="68" t="s"/>
      <c r="AC322" t="s">
        <v>58</v>
      </c>
    </row>
    <row r="323" spans="1:29">
      <c r="A323" s="63">
        <v>46115</v>
      </c>
      <c r="B323" s="62" t="s">
        <v>37</v>
      </c>
      <c r="D323" s="62" t="s">
        <v>38</v>
      </c>
      <c r="E323" s="62" t="s">
        <v>48</v>
      </c>
      <c r="F323" s="62" t="s">
        <v>73</v>
      </c>
      <c r="G323" s="71" t="s">
        <v>74</v>
      </c>
      <c r="H323" s="64" t="s">
        <v>108</v>
      </c>
      <c r="I323" s="72" t="s">
        <v>47</v>
      </c>
      <c r="J323" s="62">
        <v>1.46</v>
      </c>
      <c r="K323" s="62">
        <v>2.5</v>
      </c>
      <c r="O323">
        <v>381200</v>
      </c>
      <c r="P323">
        <v>375200</v>
      </c>
      <c r="Q323">
        <v>381200</v>
      </c>
      <c r="T323" s="68">
        <f>=P323/10000*J323*Z323</f>
        <v>3451.0896</v>
      </c>
      <c r="U323" s="62">
        <v>0</v>
      </c>
      <c r="V323" s="68" t="s"/>
      <c r="W323" s="68" t="s"/>
      <c r="X323" s="68">
        <f>=O323-P323</f>
        <v>6000</v>
      </c>
      <c r="Y323" s="68">
        <f>=X323-T323-U323-V323</f>
        <v>2548.9104</v>
      </c>
      <c r="Z323" s="62">
        <f>=A323-$A$134+1</f>
        <v>63</v>
      </c>
      <c r="AA323" s="68">
        <f>=P323/10000*K323*Z323</f>
        <v>5909.4</v>
      </c>
      <c r="AB323" s="62">
        <f>=Q323*Z323</f>
        <v>24015600</v>
      </c>
      <c r="AC323" t="s">
        <v>44</v>
      </c>
    </row>
    <row r="324" spans="1:29">
      <c r="A324" s="63">
        <v>46119</v>
      </c>
      <c r="B324" s="103" t="s"/>
      <c r="C324" s="138" t="s"/>
      <c r="D324" s="64" t="s">
        <v>38</v>
      </c>
      <c r="E324" s="64" t="s">
        <v>148</v>
      </c>
      <c r="F324" s="64" t="s">
        <v>153</v>
      </c>
      <c r="G324" s="71" t="s">
        <v>156</v>
      </c>
      <c r="H324" s="80" t="s">
        <v>185</v>
      </c>
      <c r="I324" s="72" t="s">
        <v>47</v>
      </c>
      <c r="J324" s="64">
        <v>2</v>
      </c>
      <c r="K324" s="64">
        <v>2.5</v>
      </c>
      <c r="O324">
        <v>401700</v>
      </c>
      <c r="P324">
        <v>400000</v>
      </c>
      <c r="Q324">
        <v>401700</v>
      </c>
      <c r="T324" s="68">
        <f>=P324/10000*J324*Z324</f>
        <v>1200</v>
      </c>
      <c r="U324">
        <v>150</v>
      </c>
      <c r="V324" s="68" t="s"/>
      <c r="W324" s="68" t="s"/>
      <c r="X324" s="68">
        <f>=O324-P324</f>
        <v>1700</v>
      </c>
      <c r="Y324" s="68">
        <f>=X324-T324-U324-V324</f>
        <v>350</v>
      </c>
      <c r="Z324" s="62">
        <f>=A324-$A$249+1</f>
        <v>15</v>
      </c>
      <c r="AA324" s="68">
        <f>=P324/10000*K324*Z324</f>
        <v>1500</v>
      </c>
      <c r="AB324" s="62">
        <f>=Q324*Z324</f>
        <v>6025500</v>
      </c>
      <c r="AC324" t="s">
        <v>58</v>
      </c>
    </row>
    <row r="325" spans="1:29">
      <c r="A325" s="63">
        <v>46119</v>
      </c>
      <c r="B325" s="106" t="s">
        <v>37</v>
      </c>
      <c r="D325" s="64" t="s">
        <v>38</v>
      </c>
      <c r="E325" s="64" t="s">
        <v>148</v>
      </c>
      <c r="F325" s="64" t="s">
        <v>153</v>
      </c>
      <c r="G325" s="71" t="s">
        <v>156</v>
      </c>
      <c r="H325" s="80" t="s">
        <v>157</v>
      </c>
      <c r="I325" s="72" t="s">
        <v>47</v>
      </c>
      <c r="J325" s="64">
        <v>2</v>
      </c>
      <c r="K325" s="64">
        <v>2.5</v>
      </c>
      <c r="O325">
        <v>179452.5</v>
      </c>
      <c r="P325">
        <v>178500</v>
      </c>
      <c r="Q325">
        <v>179452.5</v>
      </c>
      <c r="T325" s="68">
        <f>=P325/10000*J325*Z325</f>
        <v>714</v>
      </c>
      <c r="U325">
        <v>45</v>
      </c>
      <c r="V325" s="68" t="s"/>
      <c r="W325" s="68" t="s"/>
      <c r="X325" s="68">
        <f>=O325-P325</f>
        <v>952.5</v>
      </c>
      <c r="Y325" s="68">
        <f>=X325-T325-U325-V325</f>
        <v>193.5</v>
      </c>
      <c r="Z325" s="62">
        <f>=A325-$A$223+1</f>
        <v>20</v>
      </c>
      <c r="AA325" s="68">
        <f>=P325/10000*K325*Z325</f>
        <v>892.5</v>
      </c>
      <c r="AB325" s="62">
        <f>=Q325*Z325</f>
        <v>3589050</v>
      </c>
      <c r="AC325" t="s">
        <v>58</v>
      </c>
    </row>
    <row r="326" spans="1:29">
      <c r="A326" s="63">
        <v>46119</v>
      </c>
      <c r="B326" s="62" t="s">
        <v>37</v>
      </c>
      <c r="D326" s="64" t="s">
        <v>38</v>
      </c>
      <c r="E326" s="131" t="s">
        <v>54</v>
      </c>
      <c r="F326" s="64" t="s">
        <v>55</v>
      </c>
      <c r="G326" s="71" t="s">
        <v>56</v>
      </c>
      <c r="H326" s="64" t="s">
        <v>57</v>
      </c>
      <c r="I326" s="72" t="s">
        <v>47</v>
      </c>
      <c r="J326" s="64">
        <v>2</v>
      </c>
      <c r="K326" s="64">
        <v>2.5</v>
      </c>
      <c r="O326">
        <v>559925.1</v>
      </c>
      <c r="P326">
        <v>512400</v>
      </c>
      <c r="Q326">
        <v>559925.1</v>
      </c>
      <c r="T326" s="68">
        <f>=P326/10000*J326*Z326</f>
        <v>38020.08</v>
      </c>
      <c r="U326" s="62">
        <v>0</v>
      </c>
      <c r="V326" s="68" t="s"/>
      <c r="W326" s="68" t="s"/>
      <c r="X326" s="68">
        <f>=O326-P326</f>
        <v>47525.1</v>
      </c>
      <c r="Y326" s="68">
        <f>=X326-T326-U326-V326</f>
        <v>9505.01999999998</v>
      </c>
      <c r="Z326" s="62">
        <f>=A326-$A$12+1</f>
        <v>371</v>
      </c>
      <c r="AA326" s="68">
        <f>=P326/10000*K326*Z326</f>
        <v>47525.1</v>
      </c>
      <c r="AB326" s="62">
        <f>=Q326*Z326</f>
        <v>207732212.1</v>
      </c>
      <c r="AC326" t="s">
        <v>58</v>
      </c>
    </row>
    <row r="327" spans="1:29">
      <c r="A327" s="63">
        <v>46119</v>
      </c>
      <c r="B327" s="123" t="s">
        <v>37</v>
      </c>
      <c r="C327" s="138" t="s"/>
      <c r="D327" s="64" t="s">
        <v>38</v>
      </c>
      <c r="E327" s="131" t="s">
        <v>54</v>
      </c>
      <c r="F327" s="64" t="s">
        <v>55</v>
      </c>
      <c r="G327" s="62" t="s">
        <v>159</v>
      </c>
      <c r="H327" s="64" t="s">
        <v>160</v>
      </c>
      <c r="I327" s="69" t="s">
        <v>47</v>
      </c>
      <c r="J327" s="62">
        <v>2</v>
      </c>
      <c r="K327" s="62">
        <v>2.5</v>
      </c>
      <c r="O327">
        <v>12063</v>
      </c>
      <c r="P327">
        <v>12000</v>
      </c>
      <c r="Q327">
        <v>12063</v>
      </c>
      <c r="T327" s="68">
        <f>=P327/10000*J327*Z327</f>
        <v>38.4</v>
      </c>
      <c r="U327">
        <v>10</v>
      </c>
      <c r="V327" s="68" t="s"/>
      <c r="W327" s="68" t="s"/>
      <c r="X327" s="68">
        <f>=O327-P327</f>
        <v>63</v>
      </c>
      <c r="Y327" s="68">
        <f>=X327-T327-U327-V327</f>
        <v>14.6</v>
      </c>
      <c r="Z327" s="62">
        <f>=A327-$A$227+1</f>
        <v>16</v>
      </c>
      <c r="AA327" s="68">
        <f>=P327/10000*K327*Z327</f>
        <v>48</v>
      </c>
      <c r="AB327" s="62">
        <f>=Q327*Z327</f>
        <v>193008</v>
      </c>
      <c r="AC327" t="s">
        <v>44</v>
      </c>
    </row>
    <row r="328" spans="1:29">
      <c r="A328" s="63">
        <v>46115</v>
      </c>
      <c r="B328" s="62" t="s">
        <v>37</v>
      </c>
      <c r="D328" s="62" t="s">
        <v>38</v>
      </c>
      <c r="E328" s="70" t="s">
        <v>54</v>
      </c>
      <c r="F328" s="62" t="s">
        <v>55</v>
      </c>
      <c r="G328" s="64" t="s">
        <v>109</v>
      </c>
      <c r="H328" s="64" t="s">
        <v>110</v>
      </c>
      <c r="I328" s="69" t="s">
        <v>47</v>
      </c>
      <c r="J328" s="62">
        <v>2</v>
      </c>
      <c r="K328" s="62">
        <v>2.5</v>
      </c>
      <c r="O328">
        <v>664087</v>
      </c>
      <c r="P328">
        <v>654100</v>
      </c>
      <c r="Q328">
        <v>664087</v>
      </c>
      <c r="T328" s="68">
        <f>=P328/10000*J328*Z328</f>
        <v>7849.2</v>
      </c>
      <c r="U328" s="62">
        <v>0</v>
      </c>
      <c r="V328" s="68" t="s"/>
      <c r="W328" s="68" t="s"/>
      <c r="X328" s="68">
        <f>=O328-P328</f>
        <v>9987</v>
      </c>
      <c r="Y328" s="68">
        <f>=X328-T328-U328-V328</f>
        <v>2137.8</v>
      </c>
      <c r="Z328" s="62">
        <f>=A328-$A$140+1</f>
        <v>60</v>
      </c>
      <c r="AA328" s="68">
        <f>=P328/10000*K328*Z328</f>
        <v>9811.5</v>
      </c>
      <c r="AB328" s="62">
        <f>=Q328*Z328</f>
        <v>39845220</v>
      </c>
      <c r="AC328" t="s">
        <v>44</v>
      </c>
    </row>
    <row r="329" spans="1:29">
      <c r="A329" s="63">
        <v>46120</v>
      </c>
      <c r="B329" s="106" t="s">
        <v>37</v>
      </c>
      <c r="D329" s="62" t="s">
        <v>38</v>
      </c>
      <c r="E329" s="78" t="s">
        <v>39</v>
      </c>
      <c r="F329" s="98" t="s">
        <v>171</v>
      </c>
      <c r="G329" s="71" t="s">
        <v>172</v>
      </c>
      <c r="H329" s="64" t="s">
        <v>173</v>
      </c>
      <c r="I329" s="69" t="s">
        <v>47</v>
      </c>
      <c r="J329" s="62">
        <v>2</v>
      </c>
      <c r="K329" s="62">
        <v>2.5</v>
      </c>
      <c r="O329">
        <v>588375</v>
      </c>
      <c r="P329">
        <v>585000</v>
      </c>
      <c r="Q329">
        <v>588375</v>
      </c>
      <c r="T329" s="68">
        <f>=P329/10000*J329*Z329</f>
        <v>2340</v>
      </c>
      <c r="U329">
        <v>300</v>
      </c>
      <c r="V329" s="68" t="s"/>
      <c r="W329" s="68" t="s"/>
      <c r="X329" s="68">
        <f>=O329-P329</f>
        <v>3375</v>
      </c>
      <c r="Y329" s="68">
        <f>=X329-T329-U329-V329</f>
        <v>735</v>
      </c>
      <c r="Z329" s="62">
        <f>=A329-$A$232+1</f>
        <v>20</v>
      </c>
      <c r="AA329" s="68">
        <f>=P329/10000*K329*Z329</f>
        <v>2925</v>
      </c>
      <c r="AB329" s="62">
        <f>=Q329*Z329</f>
        <v>11767500</v>
      </c>
      <c r="AC329" t="s">
        <v>58</v>
      </c>
    </row>
    <row r="330" spans="1:29">
      <c r="A330" s="63">
        <v>46120</v>
      </c>
      <c r="B330" s="62" t="s">
        <v>37</v>
      </c>
      <c r="D330" s="62" t="s">
        <v>114</v>
      </c>
      <c r="E330" s="62" t="s">
        <v>114</v>
      </c>
      <c r="F330" s="62" t="s">
        <v>115</v>
      </c>
      <c r="G330" s="64" t="s">
        <v>116</v>
      </c>
      <c r="H330" s="64" t="s">
        <v>118</v>
      </c>
      <c r="I330" s="72" t="s">
        <v>47</v>
      </c>
      <c r="J330" s="62">
        <v>2</v>
      </c>
      <c r="K330" s="62">
        <v>2.6</v>
      </c>
      <c r="O330">
        <v>83607</v>
      </c>
      <c r="P330">
        <v>82260</v>
      </c>
      <c r="Q330">
        <v>83607</v>
      </c>
      <c r="T330" s="68">
        <f>=P330/10000*J330*Z330</f>
        <v>1036.476</v>
      </c>
      <c r="U330" s="62">
        <v>0</v>
      </c>
      <c r="V330" s="68" t="s"/>
      <c r="W330" s="68" t="s"/>
      <c r="X330" s="68">
        <f>=O330-P330</f>
        <v>1347</v>
      </c>
      <c r="Y330" s="68">
        <f>=X330-T330-U330-V330</f>
        <v>310.524</v>
      </c>
      <c r="Z330" s="62">
        <f>=A330-$A$144+1</f>
        <v>63</v>
      </c>
      <c r="AA330" s="68">
        <f>=P330/10000*K330*Z330</f>
        <v>1347.4188</v>
      </c>
      <c r="AB330" s="62">
        <f>=Q330*Z330</f>
        <v>5267241</v>
      </c>
      <c r="AC330" t="s">
        <v>58</v>
      </c>
    </row>
    <row r="331" spans="1:29">
      <c r="A331" s="63">
        <v>46120</v>
      </c>
      <c r="B331" s="62" t="s">
        <v>37</v>
      </c>
      <c r="D331" s="62" t="s">
        <v>114</v>
      </c>
      <c r="E331" s="62" t="s">
        <v>114</v>
      </c>
      <c r="F331" s="62" t="s">
        <v>115</v>
      </c>
      <c r="G331" s="64" t="s">
        <v>116</v>
      </c>
      <c r="H331" s="64" t="s">
        <v>124</v>
      </c>
      <c r="I331" s="72" t="s">
        <v>47</v>
      </c>
      <c r="J331" s="62">
        <v>2</v>
      </c>
      <c r="K331" s="62">
        <v>2.6</v>
      </c>
      <c r="O331">
        <v>11578</v>
      </c>
      <c r="P331">
        <v>11400</v>
      </c>
      <c r="Q331">
        <v>11578</v>
      </c>
      <c r="T331" s="68">
        <f>=P331/10000*J331*Z331</f>
        <v>136.8</v>
      </c>
      <c r="U331" s="62">
        <v>0</v>
      </c>
      <c r="V331" s="68" t="s"/>
      <c r="W331" s="68" t="s"/>
      <c r="X331" s="68">
        <f>=O331-P331</f>
        <v>178</v>
      </c>
      <c r="Y331" s="68">
        <f>=X331-T331-U331-V331</f>
        <v>41.2</v>
      </c>
      <c r="Z331" s="62">
        <f>=A331-$A$149+1</f>
        <v>60</v>
      </c>
      <c r="AA331" s="68">
        <f>=P331/10000*K331*Z331</f>
        <v>177.84</v>
      </c>
      <c r="AB331" s="62">
        <f>=Q331*Z331</f>
        <v>694680</v>
      </c>
      <c r="AC331" t="s">
        <v>58</v>
      </c>
    </row>
    <row r="332" spans="1:29">
      <c r="A332" s="63">
        <v>46120</v>
      </c>
      <c r="B332" s="106" t="s">
        <v>37</v>
      </c>
      <c r="D332" s="64" t="s">
        <v>38</v>
      </c>
      <c r="E332" s="64" t="s">
        <v>163</v>
      </c>
      <c r="F332" s="64" t="s">
        <v>164</v>
      </c>
      <c r="G332" s="71" t="s">
        <v>189</v>
      </c>
      <c r="H332" s="80" t="s">
        <v>190</v>
      </c>
      <c r="I332" s="72" t="s">
        <v>47</v>
      </c>
      <c r="J332" s="64">
        <v>2</v>
      </c>
      <c r="K332" s="64">
        <v>3</v>
      </c>
      <c r="O332">
        <v>264852.3</v>
      </c>
      <c r="P332">
        <v>263250</v>
      </c>
      <c r="Q332">
        <v>264852.3</v>
      </c>
      <c r="T332" s="68">
        <f>=P332/10000*J332*Z332</f>
        <v>789.75</v>
      </c>
      <c r="U332">
        <v>278</v>
      </c>
      <c r="V332" s="68" t="s"/>
      <c r="W332" s="68" t="s"/>
      <c r="X332" s="68">
        <f>=O332-P332</f>
        <v>1602.29999999999</v>
      </c>
      <c r="Y332" s="68">
        <f>=X332-T332-U332-V332</f>
        <v>534.549999999989</v>
      </c>
      <c r="Z332" s="62">
        <f>=A332-$A$258+1</f>
        <v>15</v>
      </c>
      <c r="AA332" s="68">
        <f>=P332/10000*K332*Z332</f>
        <v>1184.625</v>
      </c>
      <c r="AB332" s="62">
        <f>=Q332*Z332</f>
        <v>3972784.5</v>
      </c>
      <c r="AC332" t="s">
        <v>58</v>
      </c>
    </row>
    <row r="333" spans="1:29">
      <c r="A333" s="63">
        <v>46120</v>
      </c>
      <c r="B333" s="106" t="s">
        <v>37</v>
      </c>
      <c r="D333" s="64" t="s">
        <v>38</v>
      </c>
      <c r="E333" s="64" t="s">
        <v>163</v>
      </c>
      <c r="F333" s="64" t="s">
        <v>164</v>
      </c>
      <c r="G333" s="71" t="s">
        <v>189</v>
      </c>
      <c r="H333" s="80" t="s">
        <v>194</v>
      </c>
      <c r="I333" s="72" t="s">
        <v>47</v>
      </c>
      <c r="J333" s="64">
        <v>2</v>
      </c>
      <c r="K333" s="64">
        <v>3</v>
      </c>
      <c r="O333" s="99">
        <v>117066.51</v>
      </c>
      <c r="P333">
        <v>116550</v>
      </c>
      <c r="Q333" s="99">
        <v>117066.51</v>
      </c>
      <c r="T333" s="68">
        <f>=P333/10000*J333*Z333</f>
        <v>326.34</v>
      </c>
      <c r="U333">
        <v>18</v>
      </c>
      <c r="V333" s="68" t="s"/>
      <c r="W333" s="68" t="s"/>
      <c r="X333" s="68">
        <f>=O333-P333</f>
        <v>516.510000000009</v>
      </c>
      <c r="Y333" s="68">
        <f>=X333-T333-U333-V333</f>
        <v>172.170000000009</v>
      </c>
      <c r="Z333" s="62">
        <f>=A333-$A$263+1</f>
        <v>14</v>
      </c>
      <c r="AA333" s="68">
        <f>=P333/10000*K333*Z333</f>
        <v>489.51</v>
      </c>
      <c r="AB333" s="62">
        <f>=Q333*Z333</f>
        <v>1638931.14</v>
      </c>
      <c r="AC333" t="s">
        <v>58</v>
      </c>
    </row>
    <row r="334" spans="1:29">
      <c r="A334" s="63">
        <v>46120</v>
      </c>
      <c r="B334" s="123" t="s">
        <v>37</v>
      </c>
      <c r="D334" s="64" t="s">
        <v>38</v>
      </c>
      <c r="E334" s="64" t="s">
        <v>163</v>
      </c>
      <c r="F334" s="64" t="s">
        <v>164</v>
      </c>
      <c r="G334" s="71" t="s">
        <v>189</v>
      </c>
      <c r="H334" s="80" t="s">
        <v>206</v>
      </c>
      <c r="I334" s="77" t="s">
        <v>47</v>
      </c>
      <c r="J334" s="64">
        <v>2</v>
      </c>
      <c r="K334" s="64">
        <v>3</v>
      </c>
      <c r="O334">
        <v>160297.87</v>
      </c>
      <c r="P334">
        <v>159675</v>
      </c>
      <c r="Q334">
        <v>160297.87</v>
      </c>
      <c r="T334" s="68">
        <f>=P334/10000*J334*Z334</f>
        <v>383.22</v>
      </c>
      <c r="U334">
        <v>32</v>
      </c>
      <c r="V334" s="68" t="s"/>
      <c r="W334" s="68" t="s"/>
      <c r="X334" s="68">
        <f>=O334-P334</f>
        <v>622.870000000025</v>
      </c>
      <c r="Y334" s="68">
        <f>=X334-T334-U334-V334</f>
        <v>207.650000000025</v>
      </c>
      <c r="Z334" s="62">
        <f>=A334-$A$274+1</f>
        <v>12</v>
      </c>
      <c r="AA334" s="68">
        <f>=P334/10000*K334*Z334</f>
        <v>574.83</v>
      </c>
      <c r="AB334" s="62">
        <f>=Q334*Z334</f>
        <v>1923574.44</v>
      </c>
      <c r="AC334" t="s">
        <v>58</v>
      </c>
    </row>
    <row r="335" spans="1:29">
      <c r="A335" s="63">
        <v>46120</v>
      </c>
      <c r="B335" s="127" t="s">
        <v>37</v>
      </c>
      <c r="D335" s="64" t="s">
        <v>38</v>
      </c>
      <c r="E335" s="64" t="s">
        <v>163</v>
      </c>
      <c r="F335" s="64" t="s">
        <v>164</v>
      </c>
      <c r="G335" s="71" t="s">
        <v>189</v>
      </c>
      <c r="H335" s="80" t="s">
        <v>208</v>
      </c>
      <c r="I335" s="77" t="s">
        <v>47</v>
      </c>
      <c r="J335" s="64">
        <v>2</v>
      </c>
      <c r="K335" s="64">
        <v>3</v>
      </c>
      <c r="O335">
        <v>60184.47</v>
      </c>
      <c r="P335" s="66">
        <v>59985</v>
      </c>
      <c r="Q335">
        <v>60184.47</v>
      </c>
      <c r="T335" s="68">
        <f>=P335/10000*J335*Z335</f>
        <v>119.97</v>
      </c>
      <c r="U335">
        <v>13</v>
      </c>
      <c r="V335" s="68" t="s"/>
      <c r="W335" s="68" t="s"/>
      <c r="X335" s="68">
        <f>=O335-P335</f>
        <v>199.470000000001</v>
      </c>
      <c r="Y335" s="68">
        <f>=X335-T335-U335-V335</f>
        <v>66.5000000000012</v>
      </c>
      <c r="Z335" s="62">
        <f>=A335-$A$276+1</f>
        <v>10</v>
      </c>
      <c r="AA335" s="68">
        <f>=P335/10000*K335*Z335</f>
        <v>179.955</v>
      </c>
      <c r="AB335" s="62">
        <f>=Q335*Z335</f>
        <v>601844.7</v>
      </c>
      <c r="AC335" t="s">
        <v>58</v>
      </c>
    </row>
    <row r="336" spans="1:29">
      <c r="A336" s="63">
        <v>46120</v>
      </c>
      <c r="B336" s="78" t="s">
        <v>37</v>
      </c>
      <c r="D336" s="139" t="s">
        <v>38</v>
      </c>
      <c r="E336" s="62" t="s">
        <v>39</v>
      </c>
      <c r="F336" s="62" t="s">
        <v>137</v>
      </c>
      <c r="G336" s="64" t="s">
        <v>138</v>
      </c>
      <c r="H336" s="80" t="s">
        <v>140</v>
      </c>
      <c r="I336" s="72" t="s">
        <v>47</v>
      </c>
      <c r="J336" s="62">
        <v>2</v>
      </c>
      <c r="K336">
        <v>3</v>
      </c>
      <c r="O336" s="136">
        <v>3475278</v>
      </c>
      <c r="P336">
        <v>3441600</v>
      </c>
      <c r="Q336" s="136">
        <v>3475278</v>
      </c>
      <c r="T336" s="68">
        <f>=P336/10000*J336*Z336</f>
        <v>20649.6</v>
      </c>
      <c r="U336">
        <v>1800</v>
      </c>
      <c r="V336" s="68" t="s"/>
      <c r="W336" s="68" t="s"/>
      <c r="X336" s="68">
        <f>=O336-P336</f>
        <v>33678</v>
      </c>
      <c r="Y336" s="68">
        <f>=X336-T336-U336-V336</f>
        <v>11228.4</v>
      </c>
      <c r="Z336" s="62">
        <f>=A336-$A$200+1</f>
        <v>30</v>
      </c>
      <c r="AA336" s="68">
        <f>=P336/10000*K336*Z336</f>
        <v>30974.4</v>
      </c>
      <c r="AB336" s="62">
        <f>=Q336*Z336</f>
        <v>104258340</v>
      </c>
      <c r="AC336" t="s">
        <v>58</v>
      </c>
    </row>
    <row r="337" spans="1:29">
      <c r="A337" s="63">
        <v>46120</v>
      </c>
      <c r="B337" s="123" t="s">
        <v>37</v>
      </c>
      <c r="C337" s="138" t="s"/>
      <c r="D337" s="64" t="s">
        <v>38</v>
      </c>
      <c r="E337" s="131" t="s">
        <v>54</v>
      </c>
      <c r="F337" s="116" t="s">
        <v>55</v>
      </c>
      <c r="G337" s="62" t="s">
        <v>159</v>
      </c>
      <c r="H337" s="64" t="s">
        <v>160</v>
      </c>
      <c r="I337" s="69" t="s">
        <v>47</v>
      </c>
      <c r="J337" s="62">
        <v>2</v>
      </c>
      <c r="K337" s="62">
        <v>2.5</v>
      </c>
      <c r="O337">
        <v>36189</v>
      </c>
      <c r="P337">
        <v>36000</v>
      </c>
      <c r="Q337">
        <v>36189</v>
      </c>
      <c r="T337" s="68">
        <f>=P337/10000*J337*Z337</f>
        <v>122.4</v>
      </c>
      <c r="U337">
        <v>30</v>
      </c>
      <c r="V337" s="68" t="s"/>
      <c r="W337" s="68" t="s"/>
      <c r="X337" s="68">
        <f>=O337-P337</f>
        <v>189</v>
      </c>
      <c r="Y337" s="68">
        <f>=X337-T337-U337-V337</f>
        <v>36.6</v>
      </c>
      <c r="Z337" s="62">
        <f>=A337-$A$227+1</f>
        <v>17</v>
      </c>
      <c r="AA337" s="68">
        <f>=P337/10000*K337*Z337</f>
        <v>153</v>
      </c>
      <c r="AB337" s="62">
        <f>=Q337*Z337</f>
        <v>615213</v>
      </c>
      <c r="AC337" t="s">
        <v>44</v>
      </c>
    </row>
    <row r="338" spans="1:29">
      <c r="A338" s="63">
        <v>46120</v>
      </c>
      <c r="B338" s="123" t="s">
        <v>37</v>
      </c>
      <c r="C338" s="138" t="s"/>
      <c r="D338" s="78" t="s">
        <v>38</v>
      </c>
      <c r="E338" s="78" t="s">
        <v>199</v>
      </c>
      <c r="F338" s="78" t="s">
        <v>200</v>
      </c>
      <c r="G338" s="94" t="s">
        <v>201</v>
      </c>
      <c r="H338" s="64" t="s">
        <v>202</v>
      </c>
      <c r="I338" s="69" t="s">
        <v>47</v>
      </c>
      <c r="J338" s="95">
        <v>2</v>
      </c>
      <c r="K338" s="95">
        <v>2.3</v>
      </c>
      <c r="O338">
        <v>2349000</v>
      </c>
      <c r="P338">
        <v>2340000</v>
      </c>
      <c r="Q338">
        <v>2349000</v>
      </c>
      <c r="T338" s="68">
        <f>=P338/10000*J338*Z338</f>
        <v>6552</v>
      </c>
      <c r="U338">
        <v>300</v>
      </c>
      <c r="V338" s="68" t="s"/>
      <c r="W338" s="68" t="s"/>
      <c r="X338" s="68">
        <f>=O338-P338</f>
        <v>9000</v>
      </c>
      <c r="Y338" s="68">
        <f>=X338-T338-U338-V338</f>
        <v>2148</v>
      </c>
      <c r="Z338" s="62">
        <f>=A338-$A$267+1</f>
        <v>14</v>
      </c>
      <c r="AA338" s="68">
        <f>=P338/10000*K338*Z338</f>
        <v>7534.8</v>
      </c>
      <c r="AB338" s="62">
        <f>=Q338*Z338</f>
        <v>32886000</v>
      </c>
      <c r="AC338" t="s">
        <v>44</v>
      </c>
    </row>
    <row r="339" spans="1:29">
      <c r="A339" s="63">
        <v>46121</v>
      </c>
      <c r="B339" s="103" t="s"/>
      <c r="C339" s="138" t="s"/>
      <c r="D339" s="64" t="s">
        <v>38</v>
      </c>
      <c r="E339" s="64" t="s">
        <v>148</v>
      </c>
      <c r="F339" s="64" t="s">
        <v>153</v>
      </c>
      <c r="G339" s="71" t="s">
        <v>156</v>
      </c>
      <c r="H339" s="80" t="s">
        <v>185</v>
      </c>
      <c r="I339" s="72" t="s">
        <v>47</v>
      </c>
      <c r="J339" s="62">
        <v>2</v>
      </c>
      <c r="K339" s="62">
        <v>2.5</v>
      </c>
      <c r="O339">
        <v>602850</v>
      </c>
      <c r="P339">
        <v>600000</v>
      </c>
      <c r="Q339">
        <v>602850</v>
      </c>
      <c r="T339" s="68">
        <f>=P339/10000*J339*Z339</f>
        <v>2040</v>
      </c>
      <c r="U339">
        <v>225</v>
      </c>
      <c r="V339" s="68" t="s"/>
      <c r="W339" s="68" t="s"/>
      <c r="X339" s="68">
        <f>=O339-P339</f>
        <v>2850</v>
      </c>
      <c r="Y339" s="68">
        <f>=X339-T339-U339-V339</f>
        <v>585</v>
      </c>
      <c r="Z339" s="62">
        <f>=A339-$A$249+1</f>
        <v>17</v>
      </c>
      <c r="AA339" s="68">
        <f>=P339/10000*K339*Z339</f>
        <v>2550</v>
      </c>
      <c r="AB339" s="62">
        <f>=Q339*Z339</f>
        <v>10248450</v>
      </c>
      <c r="AC339" t="s">
        <v>58</v>
      </c>
    </row>
    <row r="340" spans="1:29">
      <c r="A340" s="63">
        <v>46121</v>
      </c>
      <c r="B340" s="103" t="s"/>
      <c r="C340" s="62" t="s"/>
      <c r="D340" s="62" t="s">
        <v>38</v>
      </c>
      <c r="E340" s="62" t="s">
        <v>148</v>
      </c>
      <c r="F340" s="62" t="s">
        <v>149</v>
      </c>
      <c r="G340" s="71" t="s">
        <v>150</v>
      </c>
      <c r="H340" s="80" t="s">
        <v>151</v>
      </c>
      <c r="I340" s="69" t="s">
        <v>47</v>
      </c>
      <c r="J340" s="62">
        <v>2</v>
      </c>
      <c r="K340" s="62">
        <v>2.5</v>
      </c>
      <c r="O340">
        <v>217596</v>
      </c>
      <c r="P340">
        <v>216000</v>
      </c>
      <c r="Q340">
        <v>217596</v>
      </c>
      <c r="T340" s="68">
        <f>=P340/10000*J340*Z340</f>
        <v>1036.8</v>
      </c>
      <c r="U340">
        <v>200</v>
      </c>
      <c r="V340" s="68" t="s"/>
      <c r="W340" s="68" t="s"/>
      <c r="X340" s="68">
        <f>=O340-P340</f>
        <v>1596</v>
      </c>
      <c r="Y340" s="68">
        <f>=X340-T340-U340-V340</f>
        <v>359.2</v>
      </c>
      <c r="Z340" s="62">
        <f>=A340-$A$216+1</f>
        <v>24</v>
      </c>
      <c r="AA340" s="68">
        <f>=P340/10000*K340*Z340</f>
        <v>1296</v>
      </c>
      <c r="AB340" s="62">
        <f>=Q340*Z340</f>
        <v>5222304</v>
      </c>
      <c r="AC340" t="s">
        <v>58</v>
      </c>
    </row>
    <row r="341" spans="1:29">
      <c r="A341" s="63">
        <v>46121</v>
      </c>
      <c r="B341" s="62" t="s">
        <v>37</v>
      </c>
      <c r="D341" s="62" t="s">
        <v>114</v>
      </c>
      <c r="E341" s="62" t="s">
        <v>114</v>
      </c>
      <c r="F341" s="62" t="s">
        <v>115</v>
      </c>
      <c r="G341" s="64" t="s">
        <v>116</v>
      </c>
      <c r="H341" s="64" t="s">
        <v>117</v>
      </c>
      <c r="I341" s="69" t="s">
        <v>47</v>
      </c>
      <c r="J341" s="62">
        <v>2</v>
      </c>
      <c r="K341" s="62">
        <v>2.6</v>
      </c>
      <c r="O341">
        <v>134208</v>
      </c>
      <c r="P341">
        <v>132000</v>
      </c>
      <c r="Q341">
        <v>134208</v>
      </c>
      <c r="T341" s="68">
        <f>=P341/10000*J341*Z341</f>
        <v>1716</v>
      </c>
      <c r="U341" s="62">
        <v>0</v>
      </c>
      <c r="V341" s="68" t="s"/>
      <c r="W341" s="68" t="s"/>
      <c r="X341" s="68">
        <f>=O341-P341</f>
        <v>2208</v>
      </c>
      <c r="Y341" s="68">
        <f>=X341-T341-U341-V341</f>
        <v>492</v>
      </c>
      <c r="Z341" s="62">
        <f>=A341-$A$143+1</f>
        <v>65</v>
      </c>
      <c r="AA341" s="68">
        <f>=P341/10000*K341*Z341</f>
        <v>2230.8</v>
      </c>
      <c r="AB341" s="62">
        <f>=Q341*Z341</f>
        <v>8723520</v>
      </c>
      <c r="AC341" t="s">
        <v>58</v>
      </c>
    </row>
    <row r="342" spans="1:29">
      <c r="A342" s="63">
        <v>46121</v>
      </c>
      <c r="B342" s="62" t="s">
        <v>37</v>
      </c>
      <c r="D342" s="62" t="s">
        <v>114</v>
      </c>
      <c r="E342" s="62" t="s">
        <v>114</v>
      </c>
      <c r="F342" s="62" t="s">
        <v>115</v>
      </c>
      <c r="G342" s="64" t="s">
        <v>116</v>
      </c>
      <c r="H342" s="64" t="s">
        <v>118</v>
      </c>
      <c r="I342" s="72" t="s">
        <v>47</v>
      </c>
      <c r="J342" s="62">
        <v>2</v>
      </c>
      <c r="K342" s="62">
        <v>2.6</v>
      </c>
      <c r="O342">
        <v>415897</v>
      </c>
      <c r="P342">
        <v>409200</v>
      </c>
      <c r="Q342">
        <v>415897</v>
      </c>
      <c r="T342" s="68">
        <f>=P342/10000*J342*Z342</f>
        <v>5237.76</v>
      </c>
      <c r="U342" s="62">
        <v>0</v>
      </c>
      <c r="V342" s="68" t="s"/>
      <c r="W342" s="68" t="s"/>
      <c r="X342" s="68">
        <f>=O342-P342</f>
        <v>6697</v>
      </c>
      <c r="Y342" s="68">
        <f>=X342-T342-U342-V342</f>
        <v>1459.24</v>
      </c>
      <c r="Z342" s="62">
        <f>=A342-$A$144+1</f>
        <v>64</v>
      </c>
      <c r="AA342" s="68">
        <f>=P342/10000*K342*Z342</f>
        <v>6809.088</v>
      </c>
      <c r="AB342" s="62">
        <f>=Q342*Z342</f>
        <v>26617408</v>
      </c>
      <c r="AC342" t="s">
        <v>58</v>
      </c>
    </row>
    <row r="343" spans="1:29">
      <c r="A343" s="63">
        <v>46121</v>
      </c>
      <c r="B343" s="62" t="s">
        <v>37</v>
      </c>
      <c r="D343" s="62" t="s">
        <v>114</v>
      </c>
      <c r="E343" s="62" t="s">
        <v>114</v>
      </c>
      <c r="F343" s="62" t="s">
        <v>115</v>
      </c>
      <c r="G343" s="64" t="s">
        <v>116</v>
      </c>
      <c r="H343" s="64" t="s">
        <v>119</v>
      </c>
      <c r="I343" s="72" t="s">
        <v>47</v>
      </c>
      <c r="J343" s="62">
        <v>2</v>
      </c>
      <c r="K343" s="62">
        <v>2.6</v>
      </c>
      <c r="O343">
        <v>243206.08</v>
      </c>
      <c r="P343">
        <v>239343</v>
      </c>
      <c r="Q343">
        <v>243206.08</v>
      </c>
      <c r="T343" s="68">
        <f>=P343/10000*J343*Z343</f>
        <v>3015.7218</v>
      </c>
      <c r="U343" s="62">
        <v>0</v>
      </c>
      <c r="V343" s="68" t="s"/>
      <c r="W343" s="68" t="s"/>
      <c r="X343" s="68">
        <f>=O343-P343</f>
        <v>3863.08000000002</v>
      </c>
      <c r="Y343" s="68">
        <f>=X343-T343-U343-V343</f>
        <v>847.358200000016</v>
      </c>
      <c r="Z343" s="62">
        <f>=A343-$A$145+1</f>
        <v>63</v>
      </c>
      <c r="AA343" s="68">
        <f>=P343/10000*K343*Z343</f>
        <v>3920.43834</v>
      </c>
      <c r="AB343" s="62">
        <f>=Q343*Z343</f>
        <v>15321983.04</v>
      </c>
      <c r="AC343" t="s">
        <v>58</v>
      </c>
    </row>
    <row r="344" spans="1:29">
      <c r="A344" s="80">
        <v>46121</v>
      </c>
      <c r="B344" s="103" t="s"/>
      <c r="C344" s="62">
        <f>=TODAY()-A344+1</f>
        <v>62</v>
      </c>
      <c r="D344" s="64" t="s">
        <v>38</v>
      </c>
      <c r="E344" s="131" t="s">
        <v>54</v>
      </c>
      <c r="F344" s="64" t="s">
        <v>55</v>
      </c>
      <c r="G344" s="97" t="s">
        <v>243</v>
      </c>
      <c r="H344" t="s">
        <v>244</v>
      </c>
      <c r="I344" s="128" t="s">
        <v>43</v>
      </c>
      <c r="J344" s="62">
        <v>2</v>
      </c>
      <c r="K344" s="62">
        <v>2.5</v>
      </c>
      <c r="M344">
        <v>1553400</v>
      </c>
      <c r="AC344" t="s">
        <v>58</v>
      </c>
    </row>
    <row r="345" spans="1:29">
      <c r="A345" s="80">
        <v>46121</v>
      </c>
      <c r="B345" s="103" t="s"/>
      <c r="C345" s="62">
        <f>=TODAY()-A345+1</f>
        <v>62</v>
      </c>
      <c r="D345" s="62" t="s">
        <v>114</v>
      </c>
      <c r="E345" s="62" t="s">
        <v>114</v>
      </c>
      <c r="F345" s="62" t="s">
        <v>115</v>
      </c>
      <c r="G345" s="64" t="s">
        <v>116</v>
      </c>
      <c r="H345" s="71" t="s">
        <v>245</v>
      </c>
      <c r="I345" s="128" t="s">
        <v>43</v>
      </c>
      <c r="J345" s="62">
        <v>2</v>
      </c>
      <c r="K345" s="62">
        <v>2.6</v>
      </c>
      <c r="M345">
        <v>239343</v>
      </c>
      <c r="AC345" t="s">
        <v>58</v>
      </c>
    </row>
    <row r="346" spans="1:29">
      <c r="A346" s="80">
        <v>46122</v>
      </c>
      <c r="B346" s="103" t="s"/>
      <c r="C346" s="62">
        <f>=TODAY()-A346+1</f>
        <v>61</v>
      </c>
      <c r="D346" s="62" t="s">
        <v>114</v>
      </c>
      <c r="E346" s="62" t="s">
        <v>114</v>
      </c>
      <c r="F346" s="62" t="s">
        <v>115</v>
      </c>
      <c r="G346" s="64" t="s">
        <v>116</v>
      </c>
      <c r="H346" s="71" t="s">
        <v>246</v>
      </c>
      <c r="I346" s="128" t="s">
        <v>43</v>
      </c>
      <c r="J346" s="62">
        <v>2</v>
      </c>
      <c r="K346" s="62">
        <v>2.6</v>
      </c>
      <c r="M346">
        <v>538450</v>
      </c>
      <c r="AC346" t="s">
        <v>58</v>
      </c>
    </row>
    <row r="347" spans="1:29">
      <c r="A347" s="80">
        <v>46121</v>
      </c>
      <c r="B347" s="103" t="s"/>
      <c r="C347" s="62">
        <f>=TODAY()-A347+1</f>
        <v>62</v>
      </c>
      <c r="D347" s="62" t="s">
        <v>38</v>
      </c>
      <c r="E347" s="62" t="s">
        <v>133</v>
      </c>
      <c r="F347" s="62" t="s">
        <v>134</v>
      </c>
      <c r="G347" s="71" t="s">
        <v>135</v>
      </c>
      <c r="H347" s="98" t="s">
        <v>247</v>
      </c>
      <c r="I347" s="128" t="s">
        <v>43</v>
      </c>
      <c r="J347" s="62">
        <v>2</v>
      </c>
      <c r="K347" s="62">
        <v>2.5</v>
      </c>
      <c r="M347">
        <v>843000</v>
      </c>
      <c r="T347" s="68" t="s"/>
      <c r="V347" s="68" t="s"/>
      <c r="W347" s="68" t="s"/>
      <c r="X347" s="68" t="s"/>
      <c r="Y347" s="68" t="s"/>
      <c r="Z347" s="62" t="s"/>
      <c r="AA347" s="62" t="s"/>
      <c r="AB347" s="62" t="s"/>
      <c r="AC347" t="s">
        <v>58</v>
      </c>
    </row>
    <row r="348" spans="1:29">
      <c r="A348" s="80">
        <v>46121</v>
      </c>
      <c r="B348" s="103" t="s"/>
      <c r="C348" s="138" t="s"/>
      <c r="D348" s="62" t="s">
        <v>38</v>
      </c>
      <c r="E348" s="62" t="s">
        <v>133</v>
      </c>
      <c r="F348" s="62" t="s">
        <v>134</v>
      </c>
      <c r="G348" s="71" t="s">
        <v>135</v>
      </c>
      <c r="H348" s="80" t="s">
        <v>186</v>
      </c>
      <c r="I348" s="72" t="s">
        <v>47</v>
      </c>
      <c r="J348" s="62">
        <v>2</v>
      </c>
      <c r="K348" s="62">
        <v>2.5</v>
      </c>
      <c r="O348">
        <v>68615</v>
      </c>
      <c r="P348">
        <v>68250</v>
      </c>
      <c r="Q348">
        <v>68615</v>
      </c>
      <c r="T348" s="68">
        <f>=P348/10000*J348*Z348</f>
        <v>232.05</v>
      </c>
      <c r="U348">
        <v>50</v>
      </c>
      <c r="V348" s="68" t="s"/>
      <c r="W348" s="68" t="s"/>
      <c r="X348" s="68">
        <f>=O348-P348</f>
        <v>365</v>
      </c>
      <c r="Y348" s="68">
        <f>=X348-T348-U348-V348</f>
        <v>82.95</v>
      </c>
      <c r="Z348" s="62">
        <f>=A348-$A$255+1</f>
        <v>17</v>
      </c>
      <c r="AA348" s="68">
        <f>=P348/10000*K348*Z348</f>
        <v>290.0625</v>
      </c>
      <c r="AB348" s="62">
        <f>=Q348*Z348</f>
        <v>1166455</v>
      </c>
      <c r="AC348" t="s">
        <v>58</v>
      </c>
    </row>
    <row r="349" spans="1:29">
      <c r="A349" s="80">
        <v>46121</v>
      </c>
      <c r="B349" s="103" t="s"/>
      <c r="C349" s="138" t="s"/>
      <c r="D349" s="62" t="s">
        <v>38</v>
      </c>
      <c r="E349" s="62" t="s">
        <v>133</v>
      </c>
      <c r="F349" s="62" t="s">
        <v>134</v>
      </c>
      <c r="G349" s="71" t="s">
        <v>135</v>
      </c>
      <c r="H349" s="80" t="s">
        <v>136</v>
      </c>
      <c r="I349" s="72" t="s">
        <v>47</v>
      </c>
      <c r="J349" s="62">
        <v>2</v>
      </c>
      <c r="K349" s="62">
        <v>2.5</v>
      </c>
      <c r="O349">
        <v>46812</v>
      </c>
      <c r="P349">
        <v>46400</v>
      </c>
      <c r="Q349">
        <v>46812</v>
      </c>
      <c r="T349" s="68">
        <f>=P349/10000*J349*Z349</f>
        <v>306.24</v>
      </c>
      <c r="U349">
        <v>80</v>
      </c>
      <c r="V349" s="68" t="s"/>
      <c r="W349" s="68" t="s"/>
      <c r="X349" s="68">
        <f>=O349-P349</f>
        <v>412</v>
      </c>
      <c r="Y349" s="68">
        <f>=X349-T349-U349-V349</f>
        <v>25.7600000000001</v>
      </c>
      <c r="Z349" s="62">
        <f>=A349-$A$195+1</f>
        <v>33</v>
      </c>
      <c r="AA349" s="68">
        <f>=P349/10000*K349*Z349</f>
        <v>382.8</v>
      </c>
      <c r="AB349" s="62">
        <f>=Q349*Z349</f>
        <v>1544796</v>
      </c>
      <c r="AC349" t="s">
        <v>58</v>
      </c>
    </row>
    <row r="350" spans="1:29">
      <c r="A350" s="80">
        <v>46121</v>
      </c>
      <c r="B350" s="103" t="s"/>
      <c r="C350" s="138" t="s"/>
      <c r="D350" s="62" t="s">
        <v>38</v>
      </c>
      <c r="E350" s="62" t="s">
        <v>133</v>
      </c>
      <c r="F350" s="62" t="s">
        <v>134</v>
      </c>
      <c r="G350" s="71" t="s">
        <v>135</v>
      </c>
      <c r="H350" s="80" t="s">
        <v>209</v>
      </c>
      <c r="I350" s="72" t="s">
        <v>47</v>
      </c>
      <c r="J350" s="62">
        <v>2</v>
      </c>
      <c r="K350" s="62">
        <v>2.5</v>
      </c>
      <c r="O350">
        <v>21789.6</v>
      </c>
      <c r="P350">
        <v>21700</v>
      </c>
      <c r="Q350">
        <v>21789.6</v>
      </c>
      <c r="T350" s="68">
        <f>=P350/10000*J350*Z350</f>
        <v>47.74</v>
      </c>
      <c r="U350">
        <v>20</v>
      </c>
      <c r="V350" s="68" t="s"/>
      <c r="W350" s="68" t="s"/>
      <c r="X350" s="68">
        <f>=O350-P350</f>
        <v>89.5999999999986</v>
      </c>
      <c r="Y350" s="68">
        <f>=X350-T350-U350-V350</f>
        <v>21.8599999999986</v>
      </c>
      <c r="Z350" s="62">
        <f>=A350-$A$277+1</f>
        <v>11</v>
      </c>
      <c r="AA350" s="68">
        <f>=P350/10000*K350*Z350</f>
        <v>59.675</v>
      </c>
      <c r="AB350" s="62">
        <f>=Q350*Z350</f>
        <v>239685.6</v>
      </c>
      <c r="AC350" t="s">
        <v>58</v>
      </c>
    </row>
    <row r="351" spans="1:29">
      <c r="A351" s="110">
        <v>46122</v>
      </c>
      <c r="B351" s="106" t="s">
        <v>37</v>
      </c>
      <c r="D351" s="64" t="s">
        <v>38</v>
      </c>
      <c r="E351" s="64" t="s">
        <v>148</v>
      </c>
      <c r="F351" s="64" t="s">
        <v>153</v>
      </c>
      <c r="G351" s="71" t="s">
        <v>156</v>
      </c>
      <c r="H351" s="80" t="s">
        <v>157</v>
      </c>
      <c r="I351" s="72" t="s">
        <v>47</v>
      </c>
      <c r="J351" s="64">
        <v>2</v>
      </c>
      <c r="K351" s="64">
        <v>2.5</v>
      </c>
      <c r="O351">
        <v>47889.68</v>
      </c>
      <c r="P351">
        <v>47600</v>
      </c>
      <c r="Q351">
        <v>47889.68</v>
      </c>
      <c r="T351" s="68">
        <f>=P351/10000*J351*Z351</f>
        <v>218.96</v>
      </c>
      <c r="U351">
        <v>12</v>
      </c>
      <c r="V351" s="68" t="s"/>
      <c r="W351" s="68" t="s"/>
      <c r="X351" s="68">
        <f>=O351-P351</f>
        <v>289.68</v>
      </c>
      <c r="Y351" s="68">
        <f>=X351-T351-U351-V351</f>
        <v>58.7200000000003</v>
      </c>
      <c r="Z351" s="62">
        <f>=A351-$A$223+1</f>
        <v>23</v>
      </c>
      <c r="AA351" s="68">
        <f>=P351/10000*K351*Z351</f>
        <v>273.7</v>
      </c>
      <c r="AB351" s="62">
        <f>=Q351*Z351</f>
        <v>1101462.64</v>
      </c>
      <c r="AC351" t="s">
        <v>58</v>
      </c>
    </row>
    <row r="352" spans="1:29">
      <c r="A352" s="109">
        <v>46122</v>
      </c>
      <c r="B352" s="134" t="s">
        <v>37</v>
      </c>
      <c r="C352" s="138" t="s"/>
      <c r="D352" s="64" t="s">
        <v>38</v>
      </c>
      <c r="E352" s="64" t="s">
        <v>148</v>
      </c>
      <c r="F352" s="64" t="s">
        <v>153</v>
      </c>
      <c r="G352" s="71" t="s">
        <v>156</v>
      </c>
      <c r="H352" s="80" t="s">
        <v>180</v>
      </c>
      <c r="I352" s="69" t="s">
        <v>47</v>
      </c>
      <c r="J352" s="62">
        <v>2</v>
      </c>
      <c r="K352" s="62">
        <v>2.3</v>
      </c>
      <c r="O352">
        <v>409903.2</v>
      </c>
      <c r="P352">
        <v>408000</v>
      </c>
      <c r="Q352">
        <v>409903.2</v>
      </c>
      <c r="T352" s="68">
        <f>=P352/10000*J352*Z352</f>
        <v>1550.4</v>
      </c>
      <c r="U352">
        <v>90</v>
      </c>
      <c r="V352" s="68" t="s"/>
      <c r="W352" s="68" t="s"/>
      <c r="X352" s="68">
        <f>=O352-P352</f>
        <v>1903.20000000001</v>
      </c>
      <c r="Y352" s="68">
        <f>=X352-T352-U352-V352</f>
        <v>262.800000000012</v>
      </c>
      <c r="Z352" s="62">
        <f>=A352-$A$244+1</f>
        <v>19</v>
      </c>
      <c r="AA352" s="68">
        <f>=P352/10000*K352*Z352</f>
        <v>1782.96</v>
      </c>
      <c r="AB352" s="62">
        <f>=Q352*Z352</f>
        <v>7788160.8</v>
      </c>
      <c r="AC352" t="s">
        <v>58</v>
      </c>
    </row>
    <row r="353" spans="1:29">
      <c r="A353" s="80">
        <v>46122</v>
      </c>
      <c r="B353" s="103" t="s"/>
      <c r="C353" s="138" t="s"/>
      <c r="D353" s="64" t="s">
        <v>38</v>
      </c>
      <c r="E353" s="64" t="s">
        <v>148</v>
      </c>
      <c r="F353" s="64" t="s">
        <v>153</v>
      </c>
      <c r="G353" s="71" t="s">
        <v>215</v>
      </c>
      <c r="H353" s="80" t="s">
        <v>216</v>
      </c>
      <c r="I353" s="69" t="s">
        <v>47</v>
      </c>
      <c r="J353" s="62">
        <v>2</v>
      </c>
      <c r="K353" s="62">
        <v>2.5</v>
      </c>
      <c r="O353">
        <v>281040</v>
      </c>
      <c r="P353">
        <v>280000</v>
      </c>
      <c r="Q353">
        <v>281040</v>
      </c>
      <c r="T353" s="68">
        <f>=P353/10000*J353*Z353</f>
        <v>672</v>
      </c>
      <c r="U353">
        <v>150</v>
      </c>
      <c r="V353" s="68" t="s"/>
      <c r="W353" s="68" t="s"/>
      <c r="X353" s="68">
        <f>=O353-P353</f>
        <v>1040</v>
      </c>
      <c r="Y353" s="68">
        <f>=X353-T353-U353-V353</f>
        <v>218</v>
      </c>
      <c r="Z353" s="62">
        <f>=A353-$A$287+1</f>
        <v>12</v>
      </c>
      <c r="AA353" s="68">
        <f>=P353/10000*K353*Z353</f>
        <v>840</v>
      </c>
      <c r="AB353" s="62">
        <f>=Q353*Z353</f>
        <v>3372480</v>
      </c>
      <c r="AC353" t="s">
        <v>58</v>
      </c>
    </row>
    <row r="354" spans="1:29">
      <c r="A354" s="109">
        <v>46122</v>
      </c>
      <c r="B354" s="62" t="s">
        <v>37</v>
      </c>
      <c r="C354" s="62" t="s"/>
      <c r="D354" s="62" t="s">
        <v>114</v>
      </c>
      <c r="E354" s="62" t="s">
        <v>114</v>
      </c>
      <c r="F354" s="62" t="s">
        <v>115</v>
      </c>
      <c r="G354" s="64" t="s">
        <v>116</v>
      </c>
      <c r="H354" s="64" t="s">
        <v>118</v>
      </c>
      <c r="I354" s="69" t="s">
        <v>47</v>
      </c>
      <c r="J354" s="62">
        <v>2</v>
      </c>
      <c r="K354" s="62">
        <v>2.6</v>
      </c>
      <c r="O354">
        <v>11186</v>
      </c>
      <c r="P354">
        <v>11000</v>
      </c>
      <c r="Q354">
        <v>11186</v>
      </c>
      <c r="T354" s="68">
        <f>=P354/10000*J354*Z354</f>
        <v>143</v>
      </c>
      <c r="U354" s="62">
        <v>0</v>
      </c>
      <c r="V354" s="68" t="s"/>
      <c r="W354" s="68" t="s"/>
      <c r="X354" s="68">
        <f>=O354-P354</f>
        <v>186</v>
      </c>
      <c r="Y354" s="68">
        <f>=X354-T354-U354-V354</f>
        <v>43</v>
      </c>
      <c r="Z354" s="62">
        <f>=A354-$A$144+1</f>
        <v>65</v>
      </c>
      <c r="AA354" s="68">
        <f>=P354/10000*K354*Z354</f>
        <v>185.9</v>
      </c>
      <c r="AB354" s="62">
        <f>=Q354*Z354</f>
        <v>727090</v>
      </c>
      <c r="AC354" t="s">
        <v>58</v>
      </c>
    </row>
    <row r="355" spans="1:29">
      <c r="A355" s="80">
        <v>46122</v>
      </c>
      <c r="B355" s="103" t="s"/>
      <c r="C355" s="62" t="s"/>
      <c r="D355" s="62" t="s">
        <v>114</v>
      </c>
      <c r="E355" s="62" t="s">
        <v>114</v>
      </c>
      <c r="F355" s="62" t="s">
        <v>115</v>
      </c>
      <c r="G355" s="64" t="s">
        <v>116</v>
      </c>
      <c r="H355" s="64" t="s">
        <v>246</v>
      </c>
      <c r="I355" s="69" t="s">
        <v>47</v>
      </c>
      <c r="J355" s="62">
        <v>2</v>
      </c>
      <c r="K355" s="62">
        <v>2.6</v>
      </c>
      <c r="O355">
        <v>11022</v>
      </c>
      <c r="P355">
        <v>11000</v>
      </c>
      <c r="Q355">
        <v>11022</v>
      </c>
      <c r="T355" s="68">
        <f>=P355/10000*J355*Z355</f>
        <v>2.2</v>
      </c>
      <c r="U355" s="62">
        <v>0</v>
      </c>
      <c r="V355" s="68" t="s"/>
      <c r="W355" s="68" t="s"/>
      <c r="X355" s="68">
        <f>=O355-P355</f>
        <v>22</v>
      </c>
      <c r="Y355" s="68">
        <f>=X355-T355-U355-V355</f>
        <v>19.8</v>
      </c>
      <c r="Z355" s="62">
        <f>=A355-$A$346+1</f>
        <v>1</v>
      </c>
      <c r="AA355" s="68">
        <f>=P355/10000*K355*Z355</f>
        <v>2.86</v>
      </c>
      <c r="AB355" s="62">
        <f>=Q355*Z355</f>
        <v>11022</v>
      </c>
      <c r="AC355" t="s">
        <v>58</v>
      </c>
    </row>
    <row r="356" spans="1:29">
      <c r="A356" s="80">
        <v>46122</v>
      </c>
      <c r="B356" s="62" t="s">
        <v>37</v>
      </c>
      <c r="C356" s="62" t="s"/>
      <c r="D356" s="63" t="s">
        <v>38</v>
      </c>
      <c r="E356" s="62" t="s">
        <v>39</v>
      </c>
      <c r="F356" s="62" t="s">
        <v>137</v>
      </c>
      <c r="G356" s="71" t="s">
        <v>60</v>
      </c>
      <c r="H356" s="80" t="s">
        <v>139</v>
      </c>
      <c r="I356" s="69" t="s">
        <v>47</v>
      </c>
      <c r="J356" s="62">
        <v>2</v>
      </c>
      <c r="K356" s="62">
        <v>3</v>
      </c>
      <c r="O356">
        <v>1160358</v>
      </c>
      <c r="P356">
        <v>1147200</v>
      </c>
      <c r="Q356">
        <v>1160358</v>
      </c>
      <c r="T356" s="68">
        <f>=P356/10000*J356*Z356</f>
        <v>7571.52</v>
      </c>
      <c r="U356">
        <v>1200</v>
      </c>
      <c r="V356" s="68" t="s"/>
      <c r="W356" s="68" t="s"/>
      <c r="X356" s="68">
        <f>=O356-P356</f>
        <v>13158</v>
      </c>
      <c r="Y356" s="68">
        <f>=X356-T356-U356-V356</f>
        <v>4386.48</v>
      </c>
      <c r="Z356" s="62">
        <f>=A356-$A$198+1</f>
        <v>33</v>
      </c>
      <c r="AA356" s="68">
        <f>=P356/10000*K356*Z356</f>
        <v>11357.28</v>
      </c>
      <c r="AB356" s="62">
        <f>=Q356*Z356</f>
        <v>38291814</v>
      </c>
      <c r="AC356" t="s">
        <v>58</v>
      </c>
    </row>
    <row r="357" spans="1:29">
      <c r="A357" s="80">
        <v>46122</v>
      </c>
      <c r="B357" s="103" t="s"/>
      <c r="C357" s="62" t="s"/>
      <c r="D357" s="62" t="s">
        <v>38</v>
      </c>
      <c r="E357" s="62" t="s">
        <v>133</v>
      </c>
      <c r="F357" s="62" t="s">
        <v>134</v>
      </c>
      <c r="G357" s="71" t="s">
        <v>135</v>
      </c>
      <c r="H357" s="80" t="s">
        <v>186</v>
      </c>
      <c r="I357" s="69" t="s">
        <v>47</v>
      </c>
      <c r="J357" s="62">
        <v>2</v>
      </c>
      <c r="K357" s="62">
        <v>2.5</v>
      </c>
      <c r="O357">
        <v>184801.5</v>
      </c>
      <c r="P357">
        <v>183750</v>
      </c>
      <c r="Q357">
        <v>184801.5</v>
      </c>
      <c r="T357" s="68">
        <f>=P357/10000*J357*Z357</f>
        <v>661.5</v>
      </c>
      <c r="U357">
        <v>150</v>
      </c>
      <c r="V357" s="68" t="s"/>
      <c r="W357" s="68" t="s"/>
      <c r="X357" s="68">
        <f>=O357-P357</f>
        <v>1051.5</v>
      </c>
      <c r="Y357" s="68">
        <f>=X357-T357-U357-V357</f>
        <v>240</v>
      </c>
      <c r="Z357" s="62">
        <f>=A357-$A$255+1</f>
        <v>18</v>
      </c>
      <c r="AA357" s="68">
        <f>=P357/10000*K357*Z357</f>
        <v>826.875</v>
      </c>
      <c r="AB357" s="62">
        <f>=Q357*Z357</f>
        <v>3326427</v>
      </c>
      <c r="AC357" t="s">
        <v>58</v>
      </c>
    </row>
    <row r="358" spans="1:29">
      <c r="A358" s="80">
        <v>46122</v>
      </c>
      <c r="B358" s="62" t="s">
        <v>37</v>
      </c>
      <c r="C358" s="62" t="s"/>
      <c r="D358" s="62" t="s">
        <v>114</v>
      </c>
      <c r="E358" s="62" t="s">
        <v>114</v>
      </c>
      <c r="F358" s="62" t="s">
        <v>115</v>
      </c>
      <c r="G358" s="64" t="s">
        <v>116</v>
      </c>
      <c r="H358" s="64" t="s">
        <v>118</v>
      </c>
      <c r="I358" s="72" t="s">
        <v>47</v>
      </c>
      <c r="J358" s="62">
        <v>2</v>
      </c>
      <c r="K358" s="62">
        <v>2.6</v>
      </c>
      <c r="O358">
        <v>698686.4</v>
      </c>
      <c r="P358">
        <v>687077.2</v>
      </c>
      <c r="Q358">
        <v>698686.4</v>
      </c>
      <c r="T358" s="68">
        <f>=P358/10000*J358*Z358</f>
        <v>8932.0036</v>
      </c>
      <c r="U358" s="62">
        <v>0</v>
      </c>
      <c r="V358" s="68" t="s"/>
      <c r="W358" s="68" t="s"/>
      <c r="X358" s="68">
        <f>=O358-P358</f>
        <v>11609.2000000001</v>
      </c>
      <c r="Y358" s="68">
        <f>=X358-T358-U358-V358</f>
        <v>2677.19640000007</v>
      </c>
      <c r="Z358" s="62">
        <f>=A358-$A$144+1</f>
        <v>65</v>
      </c>
      <c r="AA358" s="68">
        <f>=P358/10000*K358*Z358</f>
        <v>11611.60468</v>
      </c>
      <c r="AB358" s="62">
        <f>=Q358*Z358</f>
        <v>45414616</v>
      </c>
      <c r="AC358" t="s">
        <v>58</v>
      </c>
    </row>
    <row r="359" spans="1:29">
      <c r="A359" s="80">
        <v>46122</v>
      </c>
      <c r="B359" s="62" t="s">
        <v>37</v>
      </c>
      <c r="C359" s="62" t="s"/>
      <c r="D359" s="62" t="s">
        <v>114</v>
      </c>
      <c r="E359" s="62" t="s">
        <v>114</v>
      </c>
      <c r="F359" s="62" t="s">
        <v>115</v>
      </c>
      <c r="G359" s="64" t="s">
        <v>116</v>
      </c>
      <c r="H359" s="64" t="s">
        <v>124</v>
      </c>
      <c r="I359" s="72" t="s">
        <v>47</v>
      </c>
      <c r="J359" s="62">
        <v>2</v>
      </c>
      <c r="K359" s="62">
        <v>2.6</v>
      </c>
      <c r="O359">
        <v>69967.36</v>
      </c>
      <c r="P359">
        <v>68856</v>
      </c>
      <c r="Q359">
        <v>69967.36</v>
      </c>
      <c r="T359" s="68">
        <f>=P359/10000*J359*Z359</f>
        <v>853.8144</v>
      </c>
      <c r="U359" s="62">
        <v>0</v>
      </c>
      <c r="V359" s="68" t="s"/>
      <c r="W359" s="68" t="s"/>
      <c r="X359" s="68">
        <f>=O359-P359</f>
        <v>1111.36</v>
      </c>
      <c r="Y359" s="68">
        <f>=X359-T359-U359-V359</f>
        <v>257.545600000001</v>
      </c>
      <c r="Z359" s="62">
        <f>=A359-$A$149+1</f>
        <v>62</v>
      </c>
      <c r="AA359" s="68">
        <f>=P359/10000*K359*Z359</f>
        <v>1109.95872</v>
      </c>
      <c r="AB359" s="62">
        <f>=Q359*Z359</f>
        <v>4337976.32</v>
      </c>
      <c r="AC359" t="s">
        <v>58</v>
      </c>
    </row>
    <row r="360" spans="1:29">
      <c r="A360" s="80">
        <v>46122</v>
      </c>
      <c r="B360" s="103" t="s"/>
      <c r="C360" s="62">
        <f>=TODAY()-A360+1</f>
        <v>61</v>
      </c>
      <c r="D360" s="62" t="s">
        <v>114</v>
      </c>
      <c r="E360" s="62" t="s">
        <v>114</v>
      </c>
      <c r="F360" s="62" t="s">
        <v>115</v>
      </c>
      <c r="G360" s="64" t="s">
        <v>116</v>
      </c>
      <c r="H360" s="71" t="s">
        <v>246</v>
      </c>
      <c r="I360" s="128" t="s">
        <v>43</v>
      </c>
      <c r="J360" s="62">
        <v>2</v>
      </c>
      <c r="K360" s="62">
        <v>2.6</v>
      </c>
      <c r="M360">
        <v>755160</v>
      </c>
      <c r="T360" s="68" t="s"/>
      <c r="V360" s="68" t="s"/>
      <c r="W360" s="68" t="s"/>
      <c r="X360" s="68" t="s"/>
      <c r="Y360" s="68" t="s"/>
      <c r="AC360" t="s">
        <v>58</v>
      </c>
    </row>
    <row r="361" spans="1:29">
      <c r="A361" s="80">
        <v>46123</v>
      </c>
      <c r="B361" s="106" t="s">
        <v>37</v>
      </c>
      <c r="C361" s="62" t="s"/>
      <c r="D361" s="62" t="s">
        <v>38</v>
      </c>
      <c r="E361" s="62" t="s">
        <v>128</v>
      </c>
      <c r="F361" s="62" t="s">
        <v>129</v>
      </c>
      <c r="G361" t="s">
        <v>130</v>
      </c>
      <c r="H361" s="71" t="s">
        <v>248</v>
      </c>
      <c r="I361" s="128" t="s">
        <v>43</v>
      </c>
      <c r="J361">
        <v>2</v>
      </c>
      <c r="K361">
        <v>3</v>
      </c>
      <c r="M361">
        <v>704200</v>
      </c>
      <c r="T361" s="68" t="s"/>
      <c r="V361" s="68" t="s"/>
      <c r="W361" s="68" t="s"/>
      <c r="X361" s="68" t="s"/>
      <c r="Y361" s="68" t="s"/>
      <c r="AC361" t="s">
        <v>58</v>
      </c>
    </row>
    <row r="362" spans="1:29">
      <c r="A362" s="80">
        <v>46124</v>
      </c>
      <c r="B362" s="103" t="s"/>
      <c r="C362" s="62" t="s"/>
      <c r="D362" s="64" t="s">
        <v>38</v>
      </c>
      <c r="E362" s="64" t="s">
        <v>148</v>
      </c>
      <c r="F362" s="64" t="s">
        <v>153</v>
      </c>
      <c r="G362" s="71" t="s">
        <v>156</v>
      </c>
      <c r="H362" s="80" t="s">
        <v>185</v>
      </c>
      <c r="I362" s="72" t="s">
        <v>47</v>
      </c>
      <c r="J362" s="62">
        <v>2</v>
      </c>
      <c r="K362" s="62">
        <v>2.5</v>
      </c>
      <c r="O362">
        <v>402200</v>
      </c>
      <c r="P362">
        <v>400000</v>
      </c>
      <c r="Q362">
        <v>402200</v>
      </c>
      <c r="T362" s="68">
        <f>=P362/10000*J362*Z362</f>
        <v>1600</v>
      </c>
      <c r="U362">
        <v>150</v>
      </c>
      <c r="V362" s="68" t="s"/>
      <c r="W362" s="68" t="s"/>
      <c r="X362" s="68">
        <f>=O362-P362</f>
        <v>2200</v>
      </c>
      <c r="Y362" s="68">
        <f>=X362-T362-U362-V362</f>
        <v>450</v>
      </c>
      <c r="Z362" s="62">
        <f>=A362-$A$249+1</f>
        <v>20</v>
      </c>
      <c r="AA362" s="68">
        <f>=P362/10000*K362*Z362</f>
        <v>2000</v>
      </c>
      <c r="AB362" s="62">
        <f>=Q362*Z362</f>
        <v>8044000</v>
      </c>
      <c r="AC362" t="s">
        <v>58</v>
      </c>
    </row>
    <row r="363" spans="1:29">
      <c r="A363" s="80">
        <v>46125</v>
      </c>
      <c r="B363" s="103" t="s"/>
      <c r="C363" s="62">
        <f>=TODAY()-A363+1</f>
        <v>105</v>
      </c>
      <c r="D363" s="64" t="s">
        <v>38</v>
      </c>
      <c r="E363" s="131" t="s">
        <v>54</v>
      </c>
      <c r="F363" s="64" t="s">
        <v>55</v>
      </c>
      <c r="G363" s="71" t="s">
        <v>191</v>
      </c>
      <c r="H363" s="98" t="s">
        <v>249</v>
      </c>
      <c r="I363" s="128" t="s">
        <v>43</v>
      </c>
      <c r="J363" s="62">
        <v>2</v>
      </c>
      <c r="K363" s="62">
        <v>2.5</v>
      </c>
      <c r="M363">
        <v>531000</v>
      </c>
      <c r="AC363" t="s">
        <v>58</v>
      </c>
    </row>
    <row r="364" spans="1:29">
      <c r="A364" s="80">
        <v>46125</v>
      </c>
      <c r="B364" s="62" t="s">
        <v>37</v>
      </c>
      <c r="C364" s="103" t="s"/>
      <c r="D364" s="62" t="s">
        <v>38</v>
      </c>
      <c r="E364" s="62" t="s">
        <v>48</v>
      </c>
      <c r="F364" s="62" t="s">
        <v>73</v>
      </c>
      <c r="G364" s="71" t="s">
        <v>74</v>
      </c>
      <c r="H364" s="64" t="s">
        <v>96</v>
      </c>
      <c r="I364" s="72" t="s">
        <v>47</v>
      </c>
      <c r="J364" s="62">
        <v>1.46</v>
      </c>
      <c r="K364" s="78">
        <v>2.5</v>
      </c>
      <c r="O364">
        <v>325200</v>
      </c>
      <c r="P364">
        <v>315900</v>
      </c>
      <c r="Q364">
        <v>325200</v>
      </c>
      <c r="R364" s="62">
        <v>-63180</v>
      </c>
      <c r="T364" s="68">
        <f>=P364/10000*J364*Z364</f>
        <v>4796.6256</v>
      </c>
      <c r="U364">
        <v>0</v>
      </c>
      <c r="V364" s="68" t="s"/>
      <c r="W364" s="68" t="s"/>
      <c r="X364" s="68">
        <f>=O364-P364</f>
        <v>9300</v>
      </c>
      <c r="Y364" s="68">
        <f>=X364-T364-U364-V364</f>
        <v>4503.3744</v>
      </c>
      <c r="Z364" s="62">
        <f>=A364-$A$92+1</f>
        <v>104</v>
      </c>
      <c r="AA364" s="68">
        <f>=P364/10000*K364*Z364</f>
        <v>8213.4</v>
      </c>
      <c r="AB364" s="62">
        <f>=Q364*Z364</f>
        <v>33820800</v>
      </c>
      <c r="AC364" t="s">
        <v>44</v>
      </c>
    </row>
    <row r="365" spans="1:29">
      <c r="A365" s="63">
        <v>46125</v>
      </c>
      <c r="B365" s="123" t="s">
        <v>37</v>
      </c>
      <c r="C365" s="103" t="s"/>
      <c r="D365" s="78" t="s">
        <v>38</v>
      </c>
      <c r="E365" s="78" t="s">
        <v>199</v>
      </c>
      <c r="F365" s="78" t="s">
        <v>200</v>
      </c>
      <c r="G365" s="94" t="s">
        <v>201</v>
      </c>
      <c r="H365" s="64" t="s">
        <v>202</v>
      </c>
      <c r="I365" s="69" t="s">
        <v>47</v>
      </c>
      <c r="J365">
        <v>2</v>
      </c>
      <c r="K365">
        <v>2.3</v>
      </c>
      <c r="O365">
        <v>3917500</v>
      </c>
      <c r="P365">
        <v>3900000</v>
      </c>
      <c r="Q365">
        <v>3917500</v>
      </c>
      <c r="T365" s="68">
        <f>=P365/10000*J365*Z365</f>
        <v>14820</v>
      </c>
      <c r="U365">
        <v>500</v>
      </c>
      <c r="V365" s="68" t="s"/>
      <c r="W365" s="68" t="s"/>
      <c r="X365" s="68">
        <f>=O365-P365</f>
        <v>17500</v>
      </c>
      <c r="Y365" s="68">
        <f>=X365-T365-U365-V365</f>
        <v>2180</v>
      </c>
      <c r="Z365" s="62">
        <f>=A365-$A$267+1</f>
        <v>19</v>
      </c>
      <c r="AA365" s="68">
        <f>=P365/10000*K365*Z365</f>
        <v>17043</v>
      </c>
      <c r="AB365" s="62">
        <f>=Q365*Z365</f>
        <v>74432500</v>
      </c>
      <c r="AC365" t="s">
        <v>44</v>
      </c>
    </row>
    <row r="366" spans="1:29">
      <c r="A366" s="80">
        <v>46125</v>
      </c>
      <c r="B366" s="103" t="s"/>
      <c r="C366" s="103" t="s"/>
      <c r="D366" s="62" t="s">
        <v>38</v>
      </c>
      <c r="E366" s="62" t="s">
        <v>133</v>
      </c>
      <c r="F366" s="62" t="s">
        <v>134</v>
      </c>
      <c r="G366" s="71" t="s">
        <v>135</v>
      </c>
      <c r="H366" s="80" t="s">
        <v>186</v>
      </c>
      <c r="I366" s="69" t="s">
        <v>47</v>
      </c>
      <c r="J366" s="62">
        <v>2</v>
      </c>
      <c r="K366" s="62">
        <v>2.5</v>
      </c>
      <c r="O366">
        <v>206050.5</v>
      </c>
      <c r="P366">
        <v>204750</v>
      </c>
      <c r="Q366">
        <v>206050.5</v>
      </c>
      <c r="T366" s="68">
        <f>=P366/10000*J366*Z366</f>
        <v>859.95</v>
      </c>
      <c r="U366">
        <v>150</v>
      </c>
      <c r="V366" s="68" t="s"/>
      <c r="W366" s="68" t="s"/>
      <c r="X366" s="68">
        <f>=O366-P366</f>
        <v>1300.5</v>
      </c>
      <c r="Y366" s="68">
        <f>=X366-T366-U366-V366</f>
        <v>290.55</v>
      </c>
      <c r="Z366" s="62">
        <f>=A366-$A$255+1</f>
        <v>21</v>
      </c>
      <c r="AA366" s="68">
        <f>=P366/10000*K366*Z366</f>
        <v>1074.9375</v>
      </c>
      <c r="AB366" s="62">
        <f>=Q366*Z366</f>
        <v>4327060.5</v>
      </c>
      <c r="AC366" t="s">
        <v>58</v>
      </c>
    </row>
    <row r="367" spans="1:32" s="258" customFormat="true">
      <c r="A367" s="80">
        <v>46126</v>
      </c>
      <c r="B367" s="87" t="s">
        <v>37</v>
      </c>
      <c r="C367" s="78" t="s"/>
      <c r="D367" s="64" t="s">
        <v>38</v>
      </c>
      <c r="E367" s="140" t="s">
        <v>250</v>
      </c>
      <c r="F367" s="140" t="s">
        <v>251</v>
      </c>
      <c r="G367" s="141" t="s">
        <v>252</v>
      </c>
      <c r="H367" s="80" t="s">
        <v>253</v>
      </c>
      <c r="I367" s="128" t="s">
        <v>43</v>
      </c>
      <c r="J367" s="64">
        <v>2</v>
      </c>
      <c r="K367" s="140">
        <v>3</v>
      </c>
      <c r="L367" s="87" t="s"/>
      <c r="M367" s="87">
        <v>71500</v>
      </c>
      <c r="N367" s="87" t="s"/>
      <c r="O367" s="87" t="s"/>
      <c r="P367" s="87" t="s"/>
      <c r="Q367" s="87" t="s"/>
      <c r="R367" s="87" t="s"/>
      <c r="S367" s="87" t="s"/>
      <c r="T367" s="140" t="s"/>
      <c r="U367" s="142" t="s"/>
      <c r="V367" s="142" t="s"/>
      <c r="W367" s="143" t="s"/>
      <c r="X367" s="143" t="s"/>
      <c r="Y367" s="140" t="s"/>
      <c r="Z367" s="140" t="s"/>
      <c r="AA367" s="140" t="s"/>
      <c r="AB367" s="140" t="s"/>
      <c r="AC367" s="144" t="s">
        <v>58</v>
      </c>
      <c r="AD367" s="87" t="s"/>
      <c r="AE367" s="87" t="s"/>
      <c r="AF367" s="87" t="s"/>
    </row>
    <row r="368" spans="1:29">
      <c r="A368" s="80">
        <v>46126</v>
      </c>
      <c r="B368" s="103" t="s"/>
      <c r="C368" s="78">
        <f>=TODAY()-A368+1</f>
        <v>57</v>
      </c>
      <c r="D368" s="64" t="s">
        <v>38</v>
      </c>
      <c r="E368" s="131" t="s">
        <v>54</v>
      </c>
      <c r="F368" s="64" t="s">
        <v>55</v>
      </c>
      <c r="G368" s="71" t="s">
        <v>191</v>
      </c>
      <c r="H368" s="98" t="s">
        <v>254</v>
      </c>
      <c r="I368" s="128" t="s">
        <v>43</v>
      </c>
      <c r="J368" s="62">
        <v>2</v>
      </c>
      <c r="K368" s="62">
        <v>2.5</v>
      </c>
      <c r="M368">
        <v>582000</v>
      </c>
      <c r="AC368" t="s">
        <v>58</v>
      </c>
    </row>
    <row r="369" spans="1:29">
      <c r="A369" s="80">
        <v>46128</v>
      </c>
      <c r="B369" s="103" t="s"/>
      <c r="C369" s="78">
        <f>=TODAY()-A369+1</f>
        <v>55</v>
      </c>
      <c r="D369" s="64" t="s">
        <v>38</v>
      </c>
      <c r="E369" s="64" t="s">
        <v>148</v>
      </c>
      <c r="F369" s="64" t="s">
        <v>153</v>
      </c>
      <c r="G369" s="71" t="s">
        <v>215</v>
      </c>
      <c r="H369" s="98" t="s">
        <v>255</v>
      </c>
      <c r="I369" s="128" t="s">
        <v>43</v>
      </c>
      <c r="J369" s="62">
        <v>2</v>
      </c>
      <c r="K369" s="62">
        <v>2.5</v>
      </c>
      <c r="M369">
        <v>735440</v>
      </c>
      <c r="AC369" t="s">
        <v>58</v>
      </c>
    </row>
    <row r="370" spans="1:29">
      <c r="A370" s="80">
        <v>46129</v>
      </c>
      <c r="B370" s="103" t="s"/>
      <c r="C370" s="78">
        <f>=TODAY()-A370+1</f>
        <v>54</v>
      </c>
      <c r="D370" s="64" t="s">
        <v>38</v>
      </c>
      <c r="E370" s="64" t="s">
        <v>148</v>
      </c>
      <c r="F370" s="64" t="s">
        <v>153</v>
      </c>
      <c r="G370" s="71" t="s">
        <v>215</v>
      </c>
      <c r="H370" s="98" t="s">
        <v>256</v>
      </c>
      <c r="I370" s="128" t="s">
        <v>43</v>
      </c>
      <c r="J370" s="62">
        <v>2</v>
      </c>
      <c r="K370" s="62">
        <v>2.5</v>
      </c>
      <c r="M370">
        <v>454450</v>
      </c>
      <c r="AC370" t="s">
        <v>58</v>
      </c>
    </row>
    <row r="371" spans="1:29">
      <c r="A371" s="63">
        <v>46127</v>
      </c>
      <c r="B371" s="103" t="s"/>
      <c r="C371" s="103" t="s"/>
      <c r="D371" s="64" t="s">
        <v>38</v>
      </c>
      <c r="E371" s="64" t="s">
        <v>148</v>
      </c>
      <c r="F371" s="64" t="s">
        <v>153</v>
      </c>
      <c r="G371" s="71" t="s">
        <v>156</v>
      </c>
      <c r="H371" s="80" t="s">
        <v>185</v>
      </c>
      <c r="I371" s="69" t="s">
        <v>47</v>
      </c>
      <c r="J371" s="62">
        <v>2</v>
      </c>
      <c r="K371" s="62">
        <v>2.5</v>
      </c>
      <c r="O371">
        <v>32200</v>
      </c>
      <c r="P371">
        <v>32000</v>
      </c>
      <c r="Q371">
        <v>32200</v>
      </c>
      <c r="T371" s="68">
        <f>=P371/10000*J371*Z371</f>
        <v>147.2</v>
      </c>
      <c r="U371">
        <v>12</v>
      </c>
      <c r="V371" s="68" t="s"/>
      <c r="W371" s="68" t="s"/>
      <c r="X371" s="68">
        <f>=O371-P371</f>
        <v>200</v>
      </c>
      <c r="Y371" s="68">
        <f>=X371-T371-U371-V371</f>
        <v>40.8</v>
      </c>
      <c r="Z371" s="62">
        <f>=A371-$A$249+1</f>
        <v>23</v>
      </c>
      <c r="AA371" s="68">
        <f>=P371/10000*K371*Z371</f>
        <v>184</v>
      </c>
      <c r="AB371" s="62">
        <f>=Q371*Z371</f>
        <v>740600</v>
      </c>
      <c r="AC371" t="s">
        <v>58</v>
      </c>
    </row>
    <row r="372" spans="1:29">
      <c r="A372" s="63">
        <v>46127</v>
      </c>
      <c r="B372" s="103" t="s"/>
      <c r="C372" s="103" t="s"/>
      <c r="D372" s="64" t="s">
        <v>38</v>
      </c>
      <c r="E372" s="64" t="s">
        <v>148</v>
      </c>
      <c r="F372" s="64" t="s">
        <v>153</v>
      </c>
      <c r="G372" s="71" t="s">
        <v>156</v>
      </c>
      <c r="H372" s="80" t="s">
        <v>213</v>
      </c>
      <c r="I372" s="69" t="s">
        <v>47</v>
      </c>
      <c r="J372" s="62">
        <v>2</v>
      </c>
      <c r="K372" s="62">
        <v>2.5</v>
      </c>
      <c r="O372">
        <v>135864.96</v>
      </c>
      <c r="P372">
        <v>135240</v>
      </c>
      <c r="Q372">
        <v>135864.96</v>
      </c>
      <c r="T372" s="68">
        <f>=P372/10000*J372*Z372</f>
        <v>432.768</v>
      </c>
      <c r="U372">
        <v>63</v>
      </c>
      <c r="V372" s="68" t="s"/>
      <c r="W372" s="68" t="s"/>
      <c r="X372" s="68">
        <f>=O372-P372</f>
        <v>624.959999999992</v>
      </c>
      <c r="Y372" s="68">
        <f>=X372-T372-U372-V372</f>
        <v>129.191999999992</v>
      </c>
      <c r="Z372" s="62">
        <f>=A372-$A$280+1</f>
        <v>16</v>
      </c>
      <c r="AA372" s="68">
        <f>=P372/10000*K372*Z372</f>
        <v>540.96</v>
      </c>
      <c r="AB372" s="62">
        <f>=Q372*Z372</f>
        <v>2173839.36</v>
      </c>
      <c r="AC372" t="s">
        <v>58</v>
      </c>
    </row>
    <row r="373" spans="1:29">
      <c r="A373" s="63">
        <v>46127</v>
      </c>
      <c r="B373" s="106" t="s">
        <v>37</v>
      </c>
      <c r="C373" s="103" t="s"/>
      <c r="D373" s="64" t="s">
        <v>38</v>
      </c>
      <c r="E373" s="64" t="s">
        <v>148</v>
      </c>
      <c r="F373" s="64" t="s">
        <v>153</v>
      </c>
      <c r="G373" s="71" t="s">
        <v>156</v>
      </c>
      <c r="H373" s="80" t="s">
        <v>157</v>
      </c>
      <c r="I373" s="69" t="s">
        <v>47</v>
      </c>
      <c r="J373" s="62">
        <v>2</v>
      </c>
      <c r="K373" s="62">
        <v>2.5</v>
      </c>
      <c r="O373">
        <v>68496</v>
      </c>
      <c r="P373">
        <v>68000</v>
      </c>
      <c r="Q373">
        <v>68496</v>
      </c>
      <c r="T373" s="68">
        <f>=P373/10000*J373*Z373</f>
        <v>380.8</v>
      </c>
      <c r="U373">
        <v>15</v>
      </c>
      <c r="V373" s="68" t="s"/>
      <c r="W373" s="68" t="s"/>
      <c r="X373" s="68">
        <f>=O373-P373</f>
        <v>496</v>
      </c>
      <c r="Y373" s="68">
        <f>=X373-T373-U373-V373</f>
        <v>100.2</v>
      </c>
      <c r="Z373" s="62">
        <f>=A373-$A$223+1</f>
        <v>28</v>
      </c>
      <c r="AA373" s="68">
        <f>=P373/10000*K373*Z373</f>
        <v>476</v>
      </c>
      <c r="AB373" s="62">
        <f>=Q373*Z373</f>
        <v>1917888</v>
      </c>
      <c r="AC373" t="s">
        <v>58</v>
      </c>
    </row>
    <row r="374" spans="1:29">
      <c r="A374" s="63">
        <v>46127</v>
      </c>
      <c r="B374" s="103" t="s"/>
      <c r="C374" s="103" t="s"/>
      <c r="D374" s="62" t="s">
        <v>38</v>
      </c>
      <c r="E374" s="62" t="s">
        <v>133</v>
      </c>
      <c r="F374" s="62" t="s">
        <v>134</v>
      </c>
      <c r="G374" s="71" t="s">
        <v>135</v>
      </c>
      <c r="H374" s="80" t="s">
        <v>209</v>
      </c>
      <c r="I374" s="69" t="s">
        <v>47</v>
      </c>
      <c r="J374" s="62">
        <v>2</v>
      </c>
      <c r="K374" s="62">
        <v>2.5</v>
      </c>
      <c r="O374">
        <v>142300</v>
      </c>
      <c r="P374">
        <v>141400</v>
      </c>
      <c r="Q374">
        <v>142300</v>
      </c>
      <c r="T374" s="68">
        <f>=P374/10000*J374*Z374</f>
        <v>480.76</v>
      </c>
      <c r="U374">
        <v>200</v>
      </c>
      <c r="V374" s="68" t="s"/>
      <c r="W374" s="68" t="s"/>
      <c r="X374" s="68">
        <f>=O374-P374</f>
        <v>900</v>
      </c>
      <c r="Y374" s="68">
        <f>=X374-T374-U374-V374</f>
        <v>219.24</v>
      </c>
      <c r="Z374" s="62">
        <f>=A374-$A$277+1</f>
        <v>17</v>
      </c>
      <c r="AA374" s="68">
        <f>=P374/10000*K374*Z374</f>
        <v>600.95</v>
      </c>
      <c r="AB374" s="62">
        <f>=Q374*Z374</f>
        <v>2419100</v>
      </c>
      <c r="AC374" t="s">
        <v>58</v>
      </c>
    </row>
    <row r="375" spans="1:29">
      <c r="A375" s="80">
        <v>46131</v>
      </c>
      <c r="B375" s="103" t="s"/>
      <c r="C375" s="62">
        <f>=TODAY()-A375+1</f>
        <v>52</v>
      </c>
      <c r="D375" s="62" t="s">
        <v>38</v>
      </c>
      <c r="E375" s="62" t="s">
        <v>148</v>
      </c>
      <c r="F375" s="62" t="s">
        <v>149</v>
      </c>
      <c r="G375" s="71" t="s">
        <v>150</v>
      </c>
      <c r="H375" s="98" t="s">
        <v>257</v>
      </c>
      <c r="I375" s="65" t="s">
        <v>43</v>
      </c>
      <c r="J375" s="62">
        <v>2</v>
      </c>
      <c r="K375" s="62">
        <v>2.5</v>
      </c>
      <c r="M375">
        <v>285000</v>
      </c>
      <c r="T375" s="68" t="s"/>
      <c r="V375" s="68" t="s"/>
      <c r="W375" s="68" t="s"/>
      <c r="X375" s="68" t="s"/>
      <c r="Y375" s="68" t="s"/>
      <c r="Z375" s="62" t="s"/>
      <c r="AA375" s="62" t="s"/>
      <c r="AB375" s="62" t="s"/>
      <c r="AC375" t="s">
        <v>58</v>
      </c>
    </row>
    <row r="376" spans="1:29">
      <c r="A376" s="124">
        <v>46128</v>
      </c>
      <c r="B376" s="103" t="s"/>
      <c r="C376" s="62">
        <f>=TODAY()-A376+1</f>
        <v>55</v>
      </c>
      <c r="D376" s="64" t="s">
        <v>38</v>
      </c>
      <c r="E376" s="131" t="s">
        <v>54</v>
      </c>
      <c r="F376" s="64" t="s">
        <v>55</v>
      </c>
      <c r="G376" s="71" t="s">
        <v>191</v>
      </c>
      <c r="H376" s="98" t="s">
        <v>258</v>
      </c>
      <c r="I376" s="65" t="s">
        <v>43</v>
      </c>
      <c r="J376" s="62">
        <v>2</v>
      </c>
      <c r="K376" s="62">
        <v>2.5</v>
      </c>
      <c r="M376">
        <v>416400</v>
      </c>
      <c r="AC376" t="s">
        <v>58</v>
      </c>
    </row>
    <row r="377" spans="1:29">
      <c r="A377" s="80">
        <v>46129</v>
      </c>
      <c r="B377" s="103" t="s"/>
      <c r="C377" s="62">
        <f>=TODAY()-A377+1</f>
        <v>54</v>
      </c>
      <c r="D377" s="64" t="s">
        <v>38</v>
      </c>
      <c r="E377" s="131" t="s">
        <v>54</v>
      </c>
      <c r="F377" s="64" t="s">
        <v>55</v>
      </c>
      <c r="G377" s="71" t="s">
        <v>191</v>
      </c>
      <c r="H377" s="98" t="s">
        <v>259</v>
      </c>
      <c r="I377" s="65" t="s">
        <v>43</v>
      </c>
      <c r="J377" s="62">
        <v>2</v>
      </c>
      <c r="K377" s="62">
        <v>2.5</v>
      </c>
      <c r="M377">
        <v>1143600</v>
      </c>
      <c r="AC377" t="s">
        <v>58</v>
      </c>
    </row>
    <row r="378" spans="1:29">
      <c r="A378" s="110">
        <v>46129</v>
      </c>
      <c r="B378" s="106" t="s">
        <v>37</v>
      </c>
      <c r="C378" s="62" t="s"/>
      <c r="D378" s="62" t="s">
        <v>38</v>
      </c>
      <c r="E378" s="78" t="s">
        <v>128</v>
      </c>
      <c r="F378" s="78" t="s">
        <v>129</v>
      </c>
      <c r="G378" t="s">
        <v>260</v>
      </c>
      <c r="H378" t="s">
        <v>261</v>
      </c>
      <c r="I378" s="128" t="s">
        <v>43</v>
      </c>
      <c r="J378" s="62">
        <v>2</v>
      </c>
      <c r="K378" s="62">
        <v>2.5</v>
      </c>
      <c r="M378">
        <v>2280000</v>
      </c>
      <c r="T378" s="68" t="s"/>
      <c r="V378" s="68" t="s"/>
      <c r="W378" s="68" t="s"/>
      <c r="X378" s="68" t="s"/>
      <c r="Y378" s="68" t="s"/>
      <c r="Z378" s="62" t="s"/>
      <c r="AA378" s="62" t="s"/>
      <c r="AB378" s="62" t="s"/>
      <c r="AC378" t="s">
        <v>44</v>
      </c>
    </row>
    <row r="379" spans="1:29">
      <c r="A379" s="80">
        <v>46134</v>
      </c>
      <c r="B379" s="106" t="s">
        <v>37</v>
      </c>
      <c r="C379" s="62" t="s"/>
      <c r="D379" s="62" t="s">
        <v>38</v>
      </c>
      <c r="E379" s="78" t="s">
        <v>128</v>
      </c>
      <c r="F379" s="78" t="s">
        <v>129</v>
      </c>
      <c r="G379" t="s">
        <v>260</v>
      </c>
      <c r="H379" t="s">
        <v>262</v>
      </c>
      <c r="I379" s="128" t="s">
        <v>43</v>
      </c>
      <c r="J379" s="62">
        <v>2</v>
      </c>
      <c r="K379" s="62">
        <v>2.5</v>
      </c>
      <c r="M379">
        <v>120000</v>
      </c>
      <c r="T379" s="68" t="s"/>
      <c r="V379" s="68" t="s"/>
      <c r="W379" s="68" t="s"/>
      <c r="X379" s="68" t="s"/>
      <c r="Y379" s="68" t="s"/>
      <c r="Z379" s="62" t="s"/>
      <c r="AA379" s="62" t="s"/>
      <c r="AB379" s="62" t="s"/>
      <c r="AC379" t="s">
        <v>44</v>
      </c>
    </row>
    <row r="380" spans="1:29">
      <c r="A380" s="63">
        <v>46128</v>
      </c>
      <c r="B380" s="106" t="s">
        <v>37</v>
      </c>
      <c r="C380" s="103" t="s"/>
      <c r="D380" s="64" t="s">
        <v>38</v>
      </c>
      <c r="E380" s="64" t="s">
        <v>163</v>
      </c>
      <c r="F380" s="64" t="s">
        <v>164</v>
      </c>
      <c r="G380" s="71" t="s">
        <v>189</v>
      </c>
      <c r="H380" s="80" t="s">
        <v>190</v>
      </c>
      <c r="I380" s="69" t="s">
        <v>47</v>
      </c>
      <c r="J380" s="64">
        <v>2</v>
      </c>
      <c r="K380" s="64">
        <v>3</v>
      </c>
      <c r="O380" s="99">
        <v>241546.8</v>
      </c>
      <c r="P380">
        <v>239400</v>
      </c>
      <c r="Q380" s="99">
        <v>241546.8</v>
      </c>
      <c r="T380" s="68">
        <f>=P380/10000*J380*Z380</f>
        <v>1101.24</v>
      </c>
      <c r="U380">
        <v>330</v>
      </c>
      <c r="V380" s="68" t="s"/>
      <c r="W380" s="68" t="s"/>
      <c r="X380" s="68">
        <f>=O380-P380</f>
        <v>2146.79999999999</v>
      </c>
      <c r="Y380" s="68">
        <f>=X380-T380-U380-V380</f>
        <v>715.559999999989</v>
      </c>
      <c r="Z380" s="62">
        <f>=A380-$A$258+1</f>
        <v>23</v>
      </c>
      <c r="AA380" s="68">
        <f>=P380/10000*K380*Z380</f>
        <v>1651.86</v>
      </c>
      <c r="AB380" s="62">
        <f>=Q380*Z380</f>
        <v>5555576.4</v>
      </c>
      <c r="AC380" t="s">
        <v>58</v>
      </c>
    </row>
    <row r="381" spans="1:29">
      <c r="A381" s="63">
        <v>46128</v>
      </c>
      <c r="B381" s="106" t="s">
        <v>37</v>
      </c>
      <c r="C381" s="103" t="s"/>
      <c r="D381" s="64" t="s">
        <v>38</v>
      </c>
      <c r="E381" s="64" t="s">
        <v>163</v>
      </c>
      <c r="F381" s="64" t="s">
        <v>164</v>
      </c>
      <c r="G381" s="71" t="s">
        <v>189</v>
      </c>
      <c r="H381" s="80" t="s">
        <v>194</v>
      </c>
      <c r="I381" s="69" t="s">
        <v>47</v>
      </c>
      <c r="J381" s="64">
        <v>2</v>
      </c>
      <c r="K381" s="64">
        <v>3</v>
      </c>
      <c r="O381">
        <v>131456.73</v>
      </c>
      <c r="P381">
        <v>130480</v>
      </c>
      <c r="Q381">
        <v>131456.73</v>
      </c>
      <c r="T381" s="68">
        <f>=P381/10000*J381*Z381</f>
        <v>574.112</v>
      </c>
      <c r="U381">
        <v>56</v>
      </c>
      <c r="V381" s="68" t="s"/>
      <c r="W381" s="68" t="s"/>
      <c r="X381" s="68">
        <f>=O381-P381</f>
        <v>976.730000000011</v>
      </c>
      <c r="Y381" s="68">
        <f>=X381-T381-U381-V381</f>
        <v>346.618000000011</v>
      </c>
      <c r="Z381" s="62">
        <f>=A381-$A$263+1</f>
        <v>22</v>
      </c>
      <c r="AA381" s="68">
        <f>=P381/10000*K381*Z381</f>
        <v>861.168</v>
      </c>
      <c r="AB381" s="62">
        <f>=Q381*Z381</f>
        <v>2892048.06</v>
      </c>
      <c r="AC381" t="s">
        <v>58</v>
      </c>
    </row>
    <row r="382" spans="1:29">
      <c r="A382" s="63">
        <v>46128</v>
      </c>
      <c r="B382" s="123" t="s">
        <v>37</v>
      </c>
      <c r="C382" s="103" t="s"/>
      <c r="D382" s="64" t="s">
        <v>38</v>
      </c>
      <c r="E382" s="64" t="s">
        <v>163</v>
      </c>
      <c r="F382" s="64" t="s">
        <v>164</v>
      </c>
      <c r="G382" s="71" t="s">
        <v>189</v>
      </c>
      <c r="H382" s="80" t="s">
        <v>206</v>
      </c>
      <c r="I382" s="72" t="s">
        <v>47</v>
      </c>
      <c r="J382" s="64">
        <v>2</v>
      </c>
      <c r="K382" s="64">
        <v>3</v>
      </c>
      <c r="O382">
        <v>157616.1</v>
      </c>
      <c r="P382">
        <v>156600</v>
      </c>
      <c r="Q382">
        <v>157616.1</v>
      </c>
      <c r="T382" s="68">
        <f>=P382/10000*J382*Z382</f>
        <v>626.4</v>
      </c>
      <c r="U382">
        <v>51</v>
      </c>
      <c r="V382" s="68" t="s"/>
      <c r="W382" s="68" t="s"/>
      <c r="X382" s="68">
        <f>=O382-P382</f>
        <v>1016.09999999998</v>
      </c>
      <c r="Y382" s="68">
        <f>=X382-T382-U382-V382</f>
        <v>338.699999999977</v>
      </c>
      <c r="Z382" s="62">
        <f>=A382-$A$274+1</f>
        <v>20</v>
      </c>
      <c r="AA382" s="68">
        <f>=P382/10000*K382*Z382</f>
        <v>939.6</v>
      </c>
      <c r="AB382" s="62">
        <f>=Q382*Z382</f>
        <v>3152322</v>
      </c>
      <c r="AC382" t="s">
        <v>58</v>
      </c>
    </row>
    <row r="383" spans="1:29">
      <c r="A383" s="63">
        <v>46128</v>
      </c>
      <c r="B383" s="127" t="s">
        <v>37</v>
      </c>
      <c r="C383" s="103" t="s"/>
      <c r="D383" s="64" t="s">
        <v>38</v>
      </c>
      <c r="E383" s="64" t="s">
        <v>163</v>
      </c>
      <c r="F383" s="64" t="s">
        <v>164</v>
      </c>
      <c r="G383" s="71" t="s">
        <v>189</v>
      </c>
      <c r="H383" s="80" t="s">
        <v>208</v>
      </c>
      <c r="I383" s="72" t="s">
        <v>47</v>
      </c>
      <c r="J383" s="64">
        <v>2</v>
      </c>
      <c r="K383" s="64">
        <v>3</v>
      </c>
      <c r="O383">
        <v>93543.76</v>
      </c>
      <c r="P383">
        <v>93010</v>
      </c>
      <c r="Q383">
        <v>93543.76</v>
      </c>
      <c r="T383" s="68">
        <f>=P383/10000*J383*Z383</f>
        <v>334.836</v>
      </c>
      <c r="U383">
        <v>25</v>
      </c>
      <c r="V383" s="68" t="s"/>
      <c r="W383" s="68" t="s"/>
      <c r="X383" s="68">
        <f>=O383-P383</f>
        <v>533.759999999995</v>
      </c>
      <c r="Y383" s="68">
        <f>=X383-T383-U383-V383</f>
        <v>173.923999999995</v>
      </c>
      <c r="Z383" s="62">
        <f>=A383-$A$276+1</f>
        <v>18</v>
      </c>
      <c r="AA383" s="68">
        <f>=P383/10000*K383*Z383</f>
        <v>502.254</v>
      </c>
      <c r="AB383" s="62">
        <f>=Q383*Z383</f>
        <v>1683787.68</v>
      </c>
      <c r="AC383" t="s">
        <v>58</v>
      </c>
    </row>
    <row r="384" spans="1:29">
      <c r="A384" s="63">
        <v>46128</v>
      </c>
      <c r="B384" s="106" t="s">
        <v>37</v>
      </c>
      <c r="C384" s="103" t="s"/>
      <c r="D384" s="62" t="s">
        <v>38</v>
      </c>
      <c r="E384" s="78" t="s">
        <v>39</v>
      </c>
      <c r="F384" s="98" t="s">
        <v>171</v>
      </c>
      <c r="G384" s="71" t="s">
        <v>172</v>
      </c>
      <c r="H384" s="64" t="s">
        <v>173</v>
      </c>
      <c r="I384" s="69" t="s">
        <v>47</v>
      </c>
      <c r="J384" s="62">
        <v>2</v>
      </c>
      <c r="K384" s="62">
        <v>2.5</v>
      </c>
      <c r="O384">
        <v>589545</v>
      </c>
      <c r="P384">
        <v>585000</v>
      </c>
      <c r="Q384">
        <v>589545</v>
      </c>
      <c r="T384" s="68">
        <f>=P384/10000*J384*Z384</f>
        <v>3276</v>
      </c>
      <c r="U384">
        <v>300</v>
      </c>
      <c r="V384" s="68" t="s"/>
      <c r="W384" s="68" t="s"/>
      <c r="X384" s="68">
        <f>=O384-P384</f>
        <v>4545</v>
      </c>
      <c r="Y384" s="68">
        <f>=X384-T384-U384-V384</f>
        <v>969</v>
      </c>
      <c r="Z384" s="62">
        <f>=A384-$A$232+1</f>
        <v>28</v>
      </c>
      <c r="AA384" s="68">
        <f>=P384/10000*K384*Z384</f>
        <v>4095</v>
      </c>
      <c r="AB384" s="62">
        <f>=Q384*Z384</f>
        <v>16507260</v>
      </c>
      <c r="AC384" t="s">
        <v>58</v>
      </c>
    </row>
    <row r="385" spans="1:29">
      <c r="A385" s="63">
        <v>46128</v>
      </c>
      <c r="B385" s="106" t="s">
        <v>37</v>
      </c>
      <c r="C385" s="62" t="s"/>
      <c r="D385" t="s">
        <v>38</v>
      </c>
      <c r="E385" t="s">
        <v>263</v>
      </c>
      <c r="F385" t="s">
        <v>264</v>
      </c>
      <c r="G385" s="136" t="s">
        <v>265</v>
      </c>
      <c r="H385" t="s">
        <v>266</v>
      </c>
      <c r="I385" s="65" t="s">
        <v>43</v>
      </c>
      <c r="J385" s="62">
        <v>2</v>
      </c>
      <c r="K385" s="62">
        <v>2.5</v>
      </c>
      <c r="M385">
        <v>189000</v>
      </c>
      <c r="AC385" t="s">
        <v>58</v>
      </c>
    </row>
    <row r="386" spans="1:29">
      <c r="A386" s="80">
        <v>46129</v>
      </c>
      <c r="B386" s="106" t="s">
        <v>37</v>
      </c>
      <c r="C386" s="62" t="s"/>
      <c r="D386" t="s">
        <v>38</v>
      </c>
      <c r="E386" t="s">
        <v>263</v>
      </c>
      <c r="F386" t="s">
        <v>264</v>
      </c>
      <c r="G386" s="136" t="s">
        <v>265</v>
      </c>
      <c r="H386" t="s">
        <v>267</v>
      </c>
      <c r="I386" s="65" t="s">
        <v>43</v>
      </c>
      <c r="J386" s="62">
        <v>2</v>
      </c>
      <c r="K386" s="62">
        <v>2.5</v>
      </c>
      <c r="M386">
        <v>497175</v>
      </c>
      <c r="AC386" t="s">
        <v>58</v>
      </c>
    </row>
    <row r="387" spans="1:29">
      <c r="A387" s="109">
        <v>46128</v>
      </c>
      <c r="B387" s="62" t="s">
        <v>37</v>
      </c>
      <c r="C387" s="103" t="s"/>
      <c r="D387" s="63" t="s">
        <v>38</v>
      </c>
      <c r="E387" s="62" t="s">
        <v>39</v>
      </c>
      <c r="F387" s="62" t="s">
        <v>137</v>
      </c>
      <c r="G387" s="71" t="s">
        <v>60</v>
      </c>
      <c r="H387" s="80" t="s">
        <v>139</v>
      </c>
      <c r="I387" s="69" t="s">
        <v>47</v>
      </c>
      <c r="J387" s="62">
        <v>2</v>
      </c>
      <c r="K387" s="62">
        <v>3</v>
      </c>
      <c r="O387">
        <v>968685</v>
      </c>
      <c r="P387">
        <v>956000</v>
      </c>
      <c r="Q387">
        <v>968685</v>
      </c>
      <c r="T387" s="68">
        <f>=P387/10000*J387*Z387</f>
        <v>7456.8</v>
      </c>
      <c r="U387">
        <v>1000</v>
      </c>
      <c r="V387" s="68" t="s"/>
      <c r="W387" s="68" t="s"/>
      <c r="X387" s="68">
        <f>=O387-P387</f>
        <v>12685</v>
      </c>
      <c r="Y387" s="68">
        <f>=X387-T387-U387-V387</f>
        <v>4228.2</v>
      </c>
      <c r="Z387" s="62">
        <f>=A387-$A$198+1</f>
        <v>39</v>
      </c>
      <c r="AA387" s="68">
        <f>=P387/10000*K387*Z387</f>
        <v>11185.2</v>
      </c>
      <c r="AB387" s="62">
        <f>=Q387*Z387</f>
        <v>37778715</v>
      </c>
      <c r="AC387" t="s">
        <v>58</v>
      </c>
    </row>
    <row r="388" spans="1:29">
      <c r="A388" s="63">
        <v>46128</v>
      </c>
      <c r="B388" s="123" t="s">
        <v>37</v>
      </c>
      <c r="C388" s="103" t="s"/>
      <c r="D388" s="78" t="s">
        <v>38</v>
      </c>
      <c r="E388" s="78" t="s">
        <v>199</v>
      </c>
      <c r="F388" s="78" t="s">
        <v>200</v>
      </c>
      <c r="G388" s="94" t="s">
        <v>201</v>
      </c>
      <c r="H388" s="64" t="s">
        <v>202</v>
      </c>
      <c r="I388" s="69" t="s">
        <v>47</v>
      </c>
      <c r="J388">
        <v>2</v>
      </c>
      <c r="K388">
        <v>2.3</v>
      </c>
      <c r="O388">
        <v>2352300</v>
      </c>
      <c r="P388">
        <v>2340000</v>
      </c>
      <c r="Q388">
        <v>2352300</v>
      </c>
      <c r="T388" s="68">
        <f>=P388/10000*J388*Z388</f>
        <v>10296</v>
      </c>
      <c r="U388">
        <v>300</v>
      </c>
      <c r="V388" s="68" t="s"/>
      <c r="W388" s="68" t="s"/>
      <c r="X388" s="68">
        <f>=O388-P388</f>
        <v>12300</v>
      </c>
      <c r="Y388" s="68">
        <f>=X388-T388-U388-V388</f>
        <v>1704</v>
      </c>
      <c r="Z388" s="62">
        <f>=A388-$A$267+1</f>
        <v>22</v>
      </c>
      <c r="AA388" s="68">
        <f>=P388/10000*K388*Z388</f>
        <v>11840.4</v>
      </c>
      <c r="AB388" s="62">
        <f>=Q388*Z388</f>
        <v>51750600</v>
      </c>
      <c r="AC388" t="s">
        <v>44</v>
      </c>
    </row>
    <row r="389" spans="1:29">
      <c r="A389" s="109">
        <v>46128</v>
      </c>
      <c r="B389" s="103" t="s"/>
      <c r="C389" s="103" t="s"/>
      <c r="D389" s="62" t="s">
        <v>38</v>
      </c>
      <c r="E389" s="62" t="s">
        <v>133</v>
      </c>
      <c r="F389" s="62" t="s">
        <v>134</v>
      </c>
      <c r="G389" s="71" t="s">
        <v>135</v>
      </c>
      <c r="H389" s="80" t="s">
        <v>237</v>
      </c>
      <c r="I389" s="69" t="s">
        <v>47</v>
      </c>
      <c r="J389" s="62">
        <v>2</v>
      </c>
      <c r="K389" s="62">
        <v>2.5</v>
      </c>
      <c r="O389">
        <v>233230.3</v>
      </c>
      <c r="P389">
        <v>232050</v>
      </c>
      <c r="Q389">
        <v>233230.3</v>
      </c>
      <c r="T389" s="68">
        <f>=P389/10000*J389*Z389</f>
        <v>696.15</v>
      </c>
      <c r="U389">
        <v>310</v>
      </c>
      <c r="V389" s="68" t="s"/>
      <c r="W389" s="68" t="s"/>
      <c r="X389" s="68">
        <f>=O389-P389</f>
        <v>1180.29999999999</v>
      </c>
      <c r="Y389" s="68">
        <f>=X389-T389-U389-V389</f>
        <v>174.149999999988</v>
      </c>
      <c r="Z389" s="62">
        <f>=A389-$A$312+1</f>
        <v>15</v>
      </c>
      <c r="AA389" s="68">
        <f>=P389/10000*K389*Z389</f>
        <v>870.1875</v>
      </c>
      <c r="AB389" s="62">
        <f>=Q389*Z389</f>
        <v>3498454.5</v>
      </c>
      <c r="AC389" t="s">
        <v>58</v>
      </c>
    </row>
    <row r="390" spans="1:29">
      <c r="A390" s="80">
        <v>46129</v>
      </c>
      <c r="B390" s="103" t="s"/>
      <c r="C390" s="62">
        <f>=TODAY()-A390+1</f>
        <v>54</v>
      </c>
      <c r="D390" s="64" t="s">
        <v>38</v>
      </c>
      <c r="E390" s="64" t="s">
        <v>148</v>
      </c>
      <c r="F390" s="64" t="s">
        <v>153</v>
      </c>
      <c r="G390" s="71" t="s">
        <v>211</v>
      </c>
      <c r="H390" s="135" t="s">
        <v>268</v>
      </c>
      <c r="I390" s="73" t="s">
        <v>43</v>
      </c>
      <c r="J390" s="62">
        <v>2</v>
      </c>
      <c r="K390" s="62">
        <v>2.5</v>
      </c>
      <c r="M390">
        <v>1814600</v>
      </c>
      <c r="AC390" t="s">
        <v>58</v>
      </c>
    </row>
    <row r="391" spans="1:29">
      <c r="A391" s="80">
        <v>46131</v>
      </c>
      <c r="B391" s="103" t="s"/>
      <c r="C391" s="62">
        <f>=TODAY()-A391+1</f>
        <v>52</v>
      </c>
      <c r="D391" s="64" t="s">
        <v>38</v>
      </c>
      <c r="E391" s="64" t="s">
        <v>148</v>
      </c>
      <c r="F391" s="64" t="s">
        <v>153</v>
      </c>
      <c r="G391" s="71" t="s">
        <v>211</v>
      </c>
      <c r="H391" s="135" t="s">
        <v>269</v>
      </c>
      <c r="I391" s="73" t="s">
        <v>43</v>
      </c>
      <c r="J391" s="62">
        <v>2</v>
      </c>
      <c r="K391" s="62">
        <v>2.5</v>
      </c>
      <c r="M391">
        <v>994500</v>
      </c>
      <c r="AC391" t="s">
        <v>58</v>
      </c>
    </row>
    <row r="392" spans="1:29">
      <c r="A392" s="80">
        <v>46129</v>
      </c>
      <c r="B392" s="62" t="s">
        <v>37</v>
      </c>
      <c r="C392" s="62" t="s"/>
      <c r="D392" s="62" t="s">
        <v>38</v>
      </c>
      <c r="E392" s="62" t="s">
        <v>48</v>
      </c>
      <c r="F392" s="62" t="s">
        <v>81</v>
      </c>
      <c r="G392" s="125" t="s">
        <v>84</v>
      </c>
      <c r="H392" s="64" t="s">
        <v>92</v>
      </c>
      <c r="I392" s="72" t="s">
        <v>47</v>
      </c>
      <c r="J392" s="62">
        <v>2</v>
      </c>
      <c r="K392" s="62">
        <v>2.5</v>
      </c>
      <c r="O392">
        <v>201010.5</v>
      </c>
      <c r="P392">
        <v>194400</v>
      </c>
      <c r="Q392">
        <v>201010.5</v>
      </c>
      <c r="T392" s="68">
        <f>=P392/10000*J392*Z392</f>
        <v>5287.68</v>
      </c>
      <c r="U392" s="62">
        <v>0</v>
      </c>
      <c r="V392" s="68" t="s"/>
      <c r="W392" s="68" t="s"/>
      <c r="X392" s="68">
        <f>=O392-P392</f>
        <v>6610.5</v>
      </c>
      <c r="Y392" s="68">
        <f>=X392-T392-U392-V392</f>
        <v>1322.82</v>
      </c>
      <c r="Z392" s="62">
        <f>=A392-$A$65+1</f>
        <v>136</v>
      </c>
      <c r="AA392" s="68">
        <f>=P392/10000*K392*Z392</f>
        <v>6609.6</v>
      </c>
      <c r="AB392" s="62">
        <f>=Q392*Z392</f>
        <v>27337428</v>
      </c>
      <c r="AC392" t="s">
        <v>44</v>
      </c>
    </row>
    <row r="393" spans="1:29">
      <c r="A393" s="80">
        <v>46129</v>
      </c>
      <c r="B393" s="103" t="s"/>
      <c r="C393" s="62" t="s"/>
      <c r="D393" s="62" t="s">
        <v>114</v>
      </c>
      <c r="E393" s="62" t="s">
        <v>114</v>
      </c>
      <c r="F393" s="62" t="s">
        <v>115</v>
      </c>
      <c r="G393" s="64" t="s">
        <v>116</v>
      </c>
      <c r="H393" s="64" t="s">
        <v>246</v>
      </c>
      <c r="I393" s="69" t="s">
        <v>47</v>
      </c>
      <c r="J393" s="62">
        <v>2</v>
      </c>
      <c r="K393" s="62">
        <v>2.6</v>
      </c>
      <c r="O393">
        <v>19839.6</v>
      </c>
      <c r="P393">
        <v>19800</v>
      </c>
      <c r="Q393">
        <v>19839.6</v>
      </c>
      <c r="T393" s="68">
        <f>=P393/10000*J393*Z393</f>
        <v>31.68</v>
      </c>
      <c r="U393" s="62">
        <v>0</v>
      </c>
      <c r="V393" s="68" t="s"/>
      <c r="W393" s="68" t="s"/>
      <c r="X393" s="68">
        <f>=O393-P393</f>
        <v>39.5999999999986</v>
      </c>
      <c r="Y393" s="68">
        <f>=X393-T393-U393-V393</f>
        <v>7.91999999999855</v>
      </c>
      <c r="Z393" s="62">
        <f>=A393-$A$360+1</f>
        <v>8</v>
      </c>
      <c r="AA393" s="68">
        <f>=P393/10000*K393*Z393</f>
        <v>41.184</v>
      </c>
      <c r="AB393" s="62">
        <f>=Q393*Z393</f>
        <v>158716.8</v>
      </c>
      <c r="AC393" t="s">
        <v>58</v>
      </c>
    </row>
    <row r="394" spans="1:29">
      <c r="A394" s="80">
        <v>46129</v>
      </c>
      <c r="B394" s="123" t="s">
        <v>37</v>
      </c>
      <c r="C394" s="62" t="s"/>
      <c r="D394" s="64" t="s">
        <v>38</v>
      </c>
      <c r="E394" s="62" t="s">
        <v>85</v>
      </c>
      <c r="F394" t="s">
        <v>120</v>
      </c>
      <c r="G394" s="136" t="s">
        <v>239</v>
      </c>
      <c r="H394" s="64" t="s">
        <v>240</v>
      </c>
      <c r="I394" s="137" t="s">
        <v>47</v>
      </c>
      <c r="J394" s="64">
        <v>2</v>
      </c>
      <c r="K394" s="78">
        <v>2.5</v>
      </c>
      <c r="O394" s="136">
        <v>110347.5</v>
      </c>
      <c r="P394">
        <v>110000</v>
      </c>
      <c r="Q394" s="136">
        <v>110347.5</v>
      </c>
      <c r="T394" s="68">
        <f>=P394/10000*J394*Z394</f>
        <v>198</v>
      </c>
      <c r="U394">
        <v>75</v>
      </c>
      <c r="V394" s="68" t="s"/>
      <c r="W394" s="68" t="s"/>
      <c r="X394" s="68">
        <f>=O394-P394</f>
        <v>347.5</v>
      </c>
      <c r="Y394" s="68">
        <f>=X394-T394-U394-V394</f>
        <v>74.5</v>
      </c>
      <c r="Z394" s="62">
        <f>=A394-$A$318+1</f>
        <v>9</v>
      </c>
      <c r="AA394" s="68">
        <f>=P394/10000*K394*Z394</f>
        <v>247.5</v>
      </c>
      <c r="AB394" s="62">
        <f>=Q394*Z394</f>
        <v>993127.5</v>
      </c>
      <c r="AC394" t="s">
        <v>44</v>
      </c>
    </row>
    <row r="395" spans="1:29">
      <c r="A395" s="80">
        <v>46129</v>
      </c>
      <c r="B395" s="103" t="s"/>
      <c r="C395" s="62" t="s"/>
      <c r="D395" s="62" t="s">
        <v>38</v>
      </c>
      <c r="E395" s="62" t="s">
        <v>148</v>
      </c>
      <c r="F395" s="62" t="s">
        <v>149</v>
      </c>
      <c r="G395" s="71" t="s">
        <v>150</v>
      </c>
      <c r="H395" s="80" t="s">
        <v>151</v>
      </c>
      <c r="I395" s="69" t="s">
        <v>47</v>
      </c>
      <c r="J395" s="62">
        <v>2</v>
      </c>
      <c r="K395" s="62">
        <v>2.5</v>
      </c>
      <c r="O395">
        <v>154631.3</v>
      </c>
      <c r="P395">
        <v>152720</v>
      </c>
      <c r="Q395">
        <v>154631.3</v>
      </c>
      <c r="T395" s="68">
        <f>=P395/10000*J395*Z395</f>
        <v>977.408</v>
      </c>
      <c r="U395">
        <v>460</v>
      </c>
      <c r="V395" s="68" t="s"/>
      <c r="W395" s="68" t="s"/>
      <c r="X395" s="68">
        <f>=O395-P395</f>
        <v>1911.29999999999</v>
      </c>
      <c r="Y395" s="68">
        <f>=X395-T395-U395-V395</f>
        <v>473.891999999988</v>
      </c>
      <c r="Z395" s="62">
        <f>=A395-$A$216+1</f>
        <v>32</v>
      </c>
      <c r="AA395" s="68">
        <f>=P395/10000*K395*Z395</f>
        <v>1221.76</v>
      </c>
      <c r="AB395" s="62">
        <f>=Q395*Z395</f>
        <v>4948201.6</v>
      </c>
      <c r="AC395" t="s">
        <v>58</v>
      </c>
    </row>
    <row r="396" spans="1:29">
      <c r="A396" s="80">
        <v>46130</v>
      </c>
      <c r="B396" s="103" t="s"/>
      <c r="C396" s="62">
        <f>=TODAY()-A396+1</f>
        <v>53</v>
      </c>
      <c r="D396" s="62" t="s">
        <v>38</v>
      </c>
      <c r="E396" s="62" t="s">
        <v>270</v>
      </c>
      <c r="F396" s="62" t="s">
        <v>271</v>
      </c>
      <c r="G396" t="s">
        <v>272</v>
      </c>
      <c r="H396" s="98" t="s">
        <v>273</v>
      </c>
      <c r="I396" s="65" t="s">
        <v>43</v>
      </c>
      <c r="J396" s="62">
        <v>2</v>
      </c>
      <c r="K396" s="62">
        <v>2.5</v>
      </c>
      <c r="M396">
        <v>79540</v>
      </c>
      <c r="AC396" t="s">
        <v>58</v>
      </c>
    </row>
    <row r="397" spans="1:29">
      <c r="A397" s="80">
        <v>46131</v>
      </c>
      <c r="B397" s="103" t="s"/>
      <c r="C397" s="62">
        <f>=TODAY()-A397+1</f>
        <v>52</v>
      </c>
      <c r="D397" s="62" t="s">
        <v>38</v>
      </c>
      <c r="E397" s="62" t="s">
        <v>270</v>
      </c>
      <c r="F397" s="62" t="s">
        <v>271</v>
      </c>
      <c r="G397" t="s">
        <v>272</v>
      </c>
      <c r="H397" s="98" t="s">
        <v>274</v>
      </c>
      <c r="I397" s="65" t="s">
        <v>43</v>
      </c>
      <c r="J397" s="62">
        <v>2</v>
      </c>
      <c r="K397" s="62">
        <v>2.5</v>
      </c>
      <c r="M397">
        <v>53200</v>
      </c>
      <c r="AC397" t="s">
        <v>58</v>
      </c>
    </row>
    <row r="398" spans="1:29">
      <c r="A398" s="80">
        <v>46132</v>
      </c>
      <c r="B398" s="103" t="s"/>
      <c r="C398" s="62">
        <f>=TODAY()-A398+1</f>
        <v>51</v>
      </c>
      <c r="D398" s="62" t="s">
        <v>38</v>
      </c>
      <c r="E398" s="62" t="s">
        <v>270</v>
      </c>
      <c r="F398" s="62" t="s">
        <v>271</v>
      </c>
      <c r="G398" t="s">
        <v>272</v>
      </c>
      <c r="H398" s="98" t="s">
        <v>275</v>
      </c>
      <c r="I398" s="65" t="s">
        <v>43</v>
      </c>
      <c r="J398" s="62">
        <v>2</v>
      </c>
      <c r="K398" s="62">
        <v>2.5</v>
      </c>
      <c r="M398">
        <v>761615</v>
      </c>
      <c r="AC398" t="s">
        <v>58</v>
      </c>
    </row>
    <row r="399" spans="1:29">
      <c r="A399" s="80">
        <v>46131</v>
      </c>
      <c r="B399" t="s">
        <v>37</v>
      </c>
      <c r="C399" s="103" t="s"/>
      <c r="D399" s="62" t="s">
        <v>38</v>
      </c>
      <c r="E399" s="62" t="s">
        <v>128</v>
      </c>
      <c r="F399" s="62" t="s">
        <v>129</v>
      </c>
      <c r="G399" s="94" t="s">
        <v>145</v>
      </c>
      <c r="H399" s="64" t="s">
        <v>146</v>
      </c>
      <c r="I399" s="72" t="s">
        <v>47</v>
      </c>
      <c r="J399" s="62">
        <v>2</v>
      </c>
      <c r="K399" s="62">
        <v>2.5</v>
      </c>
      <c r="O399">
        <v>336157.7</v>
      </c>
      <c r="P399">
        <v>332980</v>
      </c>
      <c r="Q399">
        <v>336157.7</v>
      </c>
      <c r="T399" s="68">
        <f>=P399/10000*J399*Z399</f>
        <v>2397.456</v>
      </c>
      <c r="U399">
        <v>176</v>
      </c>
      <c r="V399" s="68" t="s"/>
      <c r="W399" s="68" t="s"/>
      <c r="X399" s="68">
        <f>=O399-P399</f>
        <v>3177.70000000001</v>
      </c>
      <c r="Y399" s="68">
        <f>=X399-T399-U399-V399</f>
        <v>604.244000000012</v>
      </c>
      <c r="Z399" s="62">
        <f>=A399-$A$213+1</f>
        <v>36</v>
      </c>
      <c r="AA399" s="68">
        <f>=P399/10000*K399*Z399</f>
        <v>2996.82</v>
      </c>
      <c r="AB399" s="62">
        <f>=Q399*Z399</f>
        <v>12101677.2</v>
      </c>
      <c r="AC399" t="s">
        <v>58</v>
      </c>
    </row>
    <row r="400" spans="1:29">
      <c r="A400" s="80">
        <v>46131</v>
      </c>
      <c r="B400" t="s">
        <v>37</v>
      </c>
      <c r="C400" s="103" t="s"/>
      <c r="D400" s="62" t="s">
        <v>38</v>
      </c>
      <c r="E400" s="62" t="s">
        <v>128</v>
      </c>
      <c r="F400" s="62" t="s">
        <v>129</v>
      </c>
      <c r="G400" s="94" t="s">
        <v>145</v>
      </c>
      <c r="H400" s="64" t="s">
        <v>198</v>
      </c>
      <c r="I400" s="72" t="s">
        <v>47</v>
      </c>
      <c r="J400" s="62">
        <v>2</v>
      </c>
      <c r="K400" s="62">
        <v>2.5</v>
      </c>
      <c r="O400">
        <v>704989.41</v>
      </c>
      <c r="P400">
        <v>700485</v>
      </c>
      <c r="Q400">
        <v>704989.41</v>
      </c>
      <c r="T400" s="68">
        <f>=P400/10000*J400*Z400</f>
        <v>3502.425</v>
      </c>
      <c r="U400">
        <v>201</v>
      </c>
      <c r="V400" s="68" t="s"/>
      <c r="W400" s="68" t="s"/>
      <c r="X400" s="68">
        <f>=O400-P400</f>
        <v>4504.41000000003</v>
      </c>
      <c r="Y400" s="68">
        <f>=X400-T400-U400-V400</f>
        <v>800.985000000033</v>
      </c>
      <c r="Z400" s="62">
        <f>=A400-$A$266+1</f>
        <v>25</v>
      </c>
      <c r="AA400" s="68">
        <f>=P400/10000*K400*Z400</f>
        <v>4378.03125</v>
      </c>
      <c r="AB400" s="62">
        <f>=Q400*Z400</f>
        <v>17624735.25</v>
      </c>
      <c r="AC400" t="s">
        <v>58</v>
      </c>
    </row>
    <row r="401" spans="1:29">
      <c r="A401" s="80">
        <v>46131</v>
      </c>
      <c r="B401" t="s">
        <v>37</v>
      </c>
      <c r="C401" s="103" t="s"/>
      <c r="D401" s="62" t="s">
        <v>38</v>
      </c>
      <c r="E401" s="62" t="s">
        <v>128</v>
      </c>
      <c r="F401" s="62" t="s">
        <v>129</v>
      </c>
      <c r="G401" s="94" t="s">
        <v>145</v>
      </c>
      <c r="H401" s="64" t="s">
        <v>203</v>
      </c>
      <c r="I401" s="72" t="s">
        <v>47</v>
      </c>
      <c r="J401" s="62">
        <v>2</v>
      </c>
      <c r="K401" s="62">
        <v>2.5</v>
      </c>
      <c r="O401">
        <v>478077.6</v>
      </c>
      <c r="P401">
        <v>475150</v>
      </c>
      <c r="Q401">
        <v>478077.6</v>
      </c>
      <c r="T401" s="68">
        <f>=P401/10000*J401*Z401</f>
        <v>2280.72</v>
      </c>
      <c r="U401">
        <v>130</v>
      </c>
      <c r="V401" s="68" t="s"/>
      <c r="W401" s="68" t="s"/>
      <c r="X401" s="68">
        <f>=O401-P401</f>
        <v>2927.59999999998</v>
      </c>
      <c r="Y401" s="68">
        <f>=X401-T401-U401-V401</f>
        <v>516.879999999977</v>
      </c>
      <c r="Z401" s="62">
        <f>=A401-$A$269+1</f>
        <v>24</v>
      </c>
      <c r="AA401" s="68">
        <f>=P401/10000*K401*Z401</f>
        <v>2850.9</v>
      </c>
      <c r="AB401" s="62">
        <f>=Q401*Z401</f>
        <v>11473862.4</v>
      </c>
      <c r="AC401" t="s">
        <v>58</v>
      </c>
    </row>
    <row r="402" spans="1:29">
      <c r="A402" s="80">
        <v>46129</v>
      </c>
      <c r="B402" s="103" t="s"/>
      <c r="C402" s="103" t="s"/>
      <c r="D402" s="62" t="s">
        <v>38</v>
      </c>
      <c r="E402" s="62" t="s">
        <v>48</v>
      </c>
      <c r="F402" s="62" t="s">
        <v>49</v>
      </c>
      <c r="G402" s="71" t="s">
        <v>50</v>
      </c>
      <c r="H402" s="64" t="s">
        <v>71</v>
      </c>
      <c r="I402" s="65" t="s">
        <v>47</v>
      </c>
      <c r="J402" s="62">
        <v>2</v>
      </c>
      <c r="K402" s="62">
        <v>2.5</v>
      </c>
      <c r="O402">
        <v>173926</v>
      </c>
      <c r="P402">
        <v>161832</v>
      </c>
      <c r="Q402">
        <v>173926</v>
      </c>
      <c r="T402" s="68">
        <f>=P402/10000*J402*Z402</f>
        <v>8059.2336</v>
      </c>
      <c r="U402">
        <v>0</v>
      </c>
      <c r="V402" s="68" t="s"/>
      <c r="W402" s="68" t="s"/>
      <c r="X402" s="68">
        <f>=O402-P402</f>
        <v>12094</v>
      </c>
      <c r="Y402" s="68">
        <f>=X402-T402-U402-V402</f>
        <v>4034.7664</v>
      </c>
      <c r="Z402" s="62">
        <f>=A402-$A$26+1</f>
        <v>249</v>
      </c>
      <c r="AA402" s="68">
        <f>=P402/10000*K402*Z402</f>
        <v>10074.042</v>
      </c>
      <c r="AB402" s="62">
        <f>=Q402*Z402</f>
        <v>43307574</v>
      </c>
      <c r="AC402" t="s">
        <v>44</v>
      </c>
    </row>
    <row r="403" spans="1:29">
      <c r="A403" s="80">
        <v>46129</v>
      </c>
      <c r="B403" s="103" t="s"/>
      <c r="C403" s="103" t="s"/>
      <c r="D403" s="62" t="s">
        <v>38</v>
      </c>
      <c r="E403" s="62" t="s">
        <v>48</v>
      </c>
      <c r="F403" s="62" t="s">
        <v>49</v>
      </c>
      <c r="G403" s="71" t="s">
        <v>50</v>
      </c>
      <c r="H403" s="64" t="s">
        <v>51</v>
      </c>
      <c r="I403" s="65" t="s">
        <v>47</v>
      </c>
      <c r="J403" s="62">
        <v>2</v>
      </c>
      <c r="K403" s="62">
        <v>2.5</v>
      </c>
      <c r="O403">
        <v>51310</v>
      </c>
      <c r="P403">
        <v>45906</v>
      </c>
      <c r="Q403">
        <v>51310</v>
      </c>
      <c r="T403" s="68">
        <f>=P403/10000*J403*Z403</f>
        <v>3608.2116</v>
      </c>
      <c r="U403">
        <v>0</v>
      </c>
      <c r="V403" s="68" t="s"/>
      <c r="W403" s="68" t="s"/>
      <c r="X403" s="68">
        <f>=O403-P403</f>
        <v>5404</v>
      </c>
      <c r="Y403" s="68">
        <f>=X403-T403-U403-V403</f>
        <v>1795.7884</v>
      </c>
      <c r="Z403" s="62">
        <f>=A403-$A$10+1</f>
        <v>393</v>
      </c>
      <c r="AA403" s="68">
        <f>=P403/10000*K403*Z403</f>
        <v>4510.2645</v>
      </c>
      <c r="AB403" s="62">
        <f>=Q403*Z403</f>
        <v>20164830</v>
      </c>
      <c r="AC403" t="s">
        <v>44</v>
      </c>
    </row>
    <row r="404" spans="1:29">
      <c r="A404" s="80">
        <v>46132</v>
      </c>
      <c r="B404" s="123" t="s">
        <v>37</v>
      </c>
      <c r="C404" s="103" t="s"/>
      <c r="D404" s="78" t="s">
        <v>38</v>
      </c>
      <c r="E404" s="78" t="s">
        <v>199</v>
      </c>
      <c r="F404" s="78" t="s">
        <v>200</v>
      </c>
      <c r="G404" s="94" t="s">
        <v>201</v>
      </c>
      <c r="H404" s="64" t="s">
        <v>202</v>
      </c>
      <c r="I404" s="69" t="s">
        <v>47</v>
      </c>
      <c r="J404">
        <v>2</v>
      </c>
      <c r="K404">
        <v>2.3</v>
      </c>
      <c r="O404">
        <v>2039700</v>
      </c>
      <c r="P404">
        <v>2028000</v>
      </c>
      <c r="Q404">
        <v>2039700</v>
      </c>
      <c r="T404" s="68">
        <f>=P404/10000*J404*Z404</f>
        <v>10545.6</v>
      </c>
      <c r="U404">
        <v>260</v>
      </c>
      <c r="V404" s="68" t="s"/>
      <c r="W404" s="68" t="s"/>
      <c r="X404" s="68">
        <f>=O404-P404</f>
        <v>11700</v>
      </c>
      <c r="Y404" s="68">
        <f>=X404-T404-U404-V404</f>
        <v>894.4</v>
      </c>
      <c r="Z404" s="62">
        <f>=A404-$A$267+1</f>
        <v>26</v>
      </c>
      <c r="AA404" s="68">
        <f>=P404/10000*K404*Z404</f>
        <v>12127.44</v>
      </c>
      <c r="AB404" s="62">
        <f>=Q404*Z404</f>
        <v>53032200</v>
      </c>
      <c r="AC404" t="s">
        <v>44</v>
      </c>
    </row>
    <row r="405" spans="1:29">
      <c r="A405" s="80">
        <v>46132</v>
      </c>
      <c r="B405" s="106" t="s">
        <v>37</v>
      </c>
      <c r="C405" s="62" t="s"/>
      <c r="D405" s="78" t="s">
        <v>38</v>
      </c>
      <c r="E405" s="78" t="s">
        <v>63</v>
      </c>
      <c r="F405" s="78" t="s">
        <v>226</v>
      </c>
      <c r="G405" s="97" t="s">
        <v>276</v>
      </c>
      <c r="H405" s="98" t="s">
        <v>277</v>
      </c>
      <c r="I405" s="65" t="s">
        <v>43</v>
      </c>
      <c r="J405" s="62">
        <v>2</v>
      </c>
      <c r="K405" s="62">
        <v>2.5</v>
      </c>
      <c r="M405">
        <v>30400</v>
      </c>
      <c r="T405" s="68" t="s"/>
      <c r="V405" s="68" t="s"/>
      <c r="W405" s="68" t="s"/>
      <c r="X405" s="68" t="s"/>
      <c r="Y405" s="68" t="s"/>
      <c r="Z405" s="62" t="s"/>
      <c r="AA405" s="62" t="s"/>
      <c r="AB405" s="62" t="s"/>
      <c r="AC405" t="s">
        <v>58</v>
      </c>
    </row>
    <row r="406" spans="1:29">
      <c r="A406" s="80">
        <v>46133</v>
      </c>
      <c r="B406" s="123" t="s">
        <v>37</v>
      </c>
      <c r="C406" s="62" t="s"/>
      <c r="D406" s="78" t="s">
        <v>38</v>
      </c>
      <c r="E406" s="78" t="s">
        <v>63</v>
      </c>
      <c r="F406" s="78" t="s">
        <v>226</v>
      </c>
      <c r="G406" s="97" t="s">
        <v>276</v>
      </c>
      <c r="H406" s="98" t="s">
        <v>278</v>
      </c>
      <c r="I406" s="65" t="s">
        <v>43</v>
      </c>
      <c r="J406" s="62">
        <v>2</v>
      </c>
      <c r="K406" s="62">
        <v>2.5</v>
      </c>
      <c r="M406" s="145">
        <v>133000</v>
      </c>
      <c r="T406" s="68" t="s"/>
      <c r="V406" s="68" t="s"/>
      <c r="W406" s="68" t="s"/>
      <c r="X406" s="68" t="s"/>
      <c r="Y406" s="68" t="s"/>
      <c r="Z406" s="62" t="s"/>
      <c r="AA406" s="62" t="s"/>
      <c r="AB406" s="62" t="s"/>
      <c r="AC406" t="s">
        <v>58</v>
      </c>
    </row>
    <row r="407" spans="1:29">
      <c r="A407" s="80">
        <v>46132</v>
      </c>
      <c r="B407" s="106" t="s">
        <v>37</v>
      </c>
      <c r="C407" s="103" t="s"/>
      <c r="D407" s="62" t="s">
        <v>38</v>
      </c>
      <c r="E407" s="62" t="s">
        <v>163</v>
      </c>
      <c r="F407" s="62" t="s">
        <v>164</v>
      </c>
      <c r="G407" s="108" t="s">
        <v>165</v>
      </c>
      <c r="H407" s="80" t="s">
        <v>166</v>
      </c>
      <c r="I407" s="72" t="s">
        <v>47</v>
      </c>
      <c r="J407" s="62">
        <v>2</v>
      </c>
      <c r="K407" s="62">
        <v>3</v>
      </c>
      <c r="O407">
        <v>333700.8</v>
      </c>
      <c r="P407">
        <v>330600</v>
      </c>
      <c r="Q407">
        <v>333700.8</v>
      </c>
      <c r="T407" s="68">
        <f>=P407/10000*J407*Z407</f>
        <v>2115.84</v>
      </c>
      <c r="U407">
        <v>342</v>
      </c>
      <c r="V407" s="68" t="s"/>
      <c r="W407" s="68" t="s"/>
      <c r="X407" s="68">
        <f>=O407-P407</f>
        <v>3100.79999999999</v>
      </c>
      <c r="Y407" s="68">
        <f>=X407-T407-U407-V407</f>
        <v>642.959999999988</v>
      </c>
      <c r="Z407" s="62">
        <f>=A407-$A$230+1</f>
        <v>32</v>
      </c>
      <c r="AA407" s="68">
        <f>=P407/10000*K407*Z407</f>
        <v>3173.76</v>
      </c>
      <c r="AB407" s="62">
        <f>=Q407*Z407</f>
        <v>10678425.6</v>
      </c>
      <c r="AC407" t="s">
        <v>58</v>
      </c>
    </row>
    <row r="408" spans="1:29">
      <c r="A408" s="80">
        <v>46133</v>
      </c>
      <c r="B408" s="106" t="s">
        <v>37</v>
      </c>
      <c r="C408" s="62" t="s"/>
      <c r="D408" s="62" t="s">
        <v>38</v>
      </c>
      <c r="E408" s="62" t="s">
        <v>163</v>
      </c>
      <c r="F408" s="62" t="s">
        <v>164</v>
      </c>
      <c r="G408" s="108" t="s">
        <v>165</v>
      </c>
      <c r="H408" s="98" t="s">
        <v>279</v>
      </c>
      <c r="I408" s="65" t="s">
        <v>43</v>
      </c>
      <c r="J408" s="62">
        <v>2</v>
      </c>
      <c r="K408" s="62">
        <v>3</v>
      </c>
      <c r="M408">
        <v>296400</v>
      </c>
      <c r="AC408" t="s">
        <v>58</v>
      </c>
    </row>
    <row r="409" spans="1:29">
      <c r="A409" s="80">
        <v>46133</v>
      </c>
      <c r="B409" s="103" t="s"/>
      <c r="C409" s="62">
        <f>=TODAY()-A409+1</f>
        <v>97</v>
      </c>
      <c r="D409" s="64" t="s">
        <v>38</v>
      </c>
      <c r="E409" s="131" t="s">
        <v>54</v>
      </c>
      <c r="F409" s="64" t="s">
        <v>55</v>
      </c>
      <c r="G409" s="71" t="s">
        <v>191</v>
      </c>
      <c r="H409" s="98" t="s">
        <v>280</v>
      </c>
      <c r="I409" s="65" t="s">
        <v>43</v>
      </c>
      <c r="J409" s="62">
        <v>2</v>
      </c>
      <c r="K409" s="62">
        <v>2.5</v>
      </c>
      <c r="M409" s="136">
        <v>539560</v>
      </c>
      <c r="AC409" t="s">
        <v>58</v>
      </c>
    </row>
    <row r="410" spans="1:29">
      <c r="A410" s="63">
        <v>46133</v>
      </c>
      <c r="B410" s="62" t="s">
        <v>37</v>
      </c>
      <c r="C410" s="103" t="s"/>
      <c r="D410" s="63" t="s">
        <v>38</v>
      </c>
      <c r="E410" s="98" t="s">
        <v>167</v>
      </c>
      <c r="F410" s="98" t="s">
        <v>168</v>
      </c>
      <c r="G410" s="71" t="s">
        <v>138</v>
      </c>
      <c r="H410" s="80" t="s">
        <v>184</v>
      </c>
      <c r="I410" s="72" t="s">
        <v>47</v>
      </c>
      <c r="J410" s="62">
        <v>2</v>
      </c>
      <c r="K410" s="62">
        <v>2.5</v>
      </c>
      <c r="O410">
        <v>362910</v>
      </c>
      <c r="P410">
        <v>360000</v>
      </c>
      <c r="Q410">
        <v>362910</v>
      </c>
      <c r="T410" s="68">
        <f>=P410/10000*J410*Z410</f>
        <v>1944</v>
      </c>
      <c r="U410">
        <v>200</v>
      </c>
      <c r="V410" s="68" t="s"/>
      <c r="W410" s="68" t="s"/>
      <c r="X410" s="68">
        <f>=O410-P410</f>
        <v>2910</v>
      </c>
      <c r="Y410" s="68">
        <f>=X410-T410-U410-V410</f>
        <v>766</v>
      </c>
      <c r="Z410" s="62">
        <f>=A410-$A$262+1</f>
        <v>27</v>
      </c>
      <c r="AA410" s="68">
        <f>=P410/10000*K410*Z410</f>
        <v>2430</v>
      </c>
      <c r="AB410" s="62">
        <f>=Q410*Z410</f>
        <v>9798570</v>
      </c>
      <c r="AC410" t="s">
        <v>58</v>
      </c>
    </row>
    <row r="411" spans="1:29">
      <c r="A411" s="63">
        <v>46133</v>
      </c>
      <c r="B411" s="62" t="s">
        <v>37</v>
      </c>
      <c r="C411" s="103" t="s"/>
      <c r="D411" s="63" t="s">
        <v>38</v>
      </c>
      <c r="E411" s="98" t="s">
        <v>167</v>
      </c>
      <c r="F411" s="98" t="s">
        <v>168</v>
      </c>
      <c r="G411" s="71" t="s">
        <v>138</v>
      </c>
      <c r="H411" s="80" t="s">
        <v>193</v>
      </c>
      <c r="I411" s="72" t="s">
        <v>47</v>
      </c>
      <c r="J411" s="62">
        <v>2</v>
      </c>
      <c r="K411" s="62">
        <v>2.5</v>
      </c>
      <c r="O411">
        <v>725460</v>
      </c>
      <c r="P411">
        <v>720000</v>
      </c>
      <c r="Q411">
        <v>725460</v>
      </c>
      <c r="T411" s="68">
        <f>=P411/10000*J411*Z411</f>
        <v>4176</v>
      </c>
      <c r="U411">
        <v>400</v>
      </c>
      <c r="V411" s="68" t="s"/>
      <c r="W411" s="68" t="s"/>
      <c r="X411" s="68">
        <f>=O411-P411</f>
        <v>5460</v>
      </c>
      <c r="Y411" s="68">
        <f>=X411-T411-U411-V411</f>
        <v>884</v>
      </c>
      <c r="Z411" s="62">
        <f>=A411-$A$248+1</f>
        <v>29</v>
      </c>
      <c r="AA411" s="68">
        <f>=P411/10000*K411*Z411</f>
        <v>5220</v>
      </c>
      <c r="AB411" s="62">
        <f>=Q411*Z411</f>
        <v>21038340</v>
      </c>
      <c r="AC411" t="s">
        <v>58</v>
      </c>
    </row>
    <row r="412" spans="1:29">
      <c r="A412" s="63">
        <v>46133</v>
      </c>
      <c r="B412" s="123" t="s">
        <v>37</v>
      </c>
      <c r="C412" s="103" t="s"/>
      <c r="D412" s="78" t="s">
        <v>38</v>
      </c>
      <c r="E412" s="78" t="s">
        <v>199</v>
      </c>
      <c r="F412" s="78" t="s">
        <v>200</v>
      </c>
      <c r="G412" s="94" t="s">
        <v>201</v>
      </c>
      <c r="H412" s="64" t="s">
        <v>202</v>
      </c>
      <c r="I412" s="69" t="s">
        <v>47</v>
      </c>
      <c r="J412">
        <v>2</v>
      </c>
      <c r="K412">
        <v>2.3</v>
      </c>
      <c r="O412">
        <v>10205000</v>
      </c>
      <c r="P412">
        <v>10140000</v>
      </c>
      <c r="Q412">
        <v>10205000</v>
      </c>
      <c r="T412" s="68">
        <f>=P412/10000*J412*Z412</f>
        <v>54756</v>
      </c>
      <c r="U412">
        <v>1300</v>
      </c>
      <c r="V412" s="68" t="s"/>
      <c r="W412" s="68" t="s"/>
      <c r="X412" s="68">
        <f>=O412-P412</f>
        <v>65000</v>
      </c>
      <c r="Y412" s="68">
        <f>=X412-T412-U412-V412</f>
        <v>8944</v>
      </c>
      <c r="Z412" s="62">
        <f>=A412-$A$267+1</f>
        <v>27</v>
      </c>
      <c r="AA412" s="68">
        <f>=P412/10000*K412*Z412</f>
        <v>62969.4</v>
      </c>
      <c r="AB412" s="62">
        <f>=Q412*Z412</f>
        <v>275535000</v>
      </c>
      <c r="AC412" t="s">
        <v>44</v>
      </c>
    </row>
    <row r="413" spans="1:29">
      <c r="A413" s="80">
        <v>46134</v>
      </c>
      <c r="B413" s="103" t="s"/>
      <c r="C413" s="62">
        <f>=TODAY()-A413+1</f>
        <v>49</v>
      </c>
      <c r="D413" s="78" t="s">
        <v>38</v>
      </c>
      <c r="E413" s="78" t="s">
        <v>63</v>
      </c>
      <c r="F413" s="78" t="s">
        <v>111</v>
      </c>
      <c r="G413" s="136" t="s">
        <v>281</v>
      </c>
      <c r="H413" t="s">
        <v>282</v>
      </c>
      <c r="I413" s="65" t="s">
        <v>43</v>
      </c>
      <c r="J413" s="62">
        <v>2</v>
      </c>
      <c r="K413" s="62">
        <v>2.5</v>
      </c>
      <c r="M413">
        <v>99120</v>
      </c>
      <c r="T413" s="68" t="s"/>
      <c r="V413" s="68" t="s"/>
      <c r="W413" s="68" t="s"/>
      <c r="X413" s="68" t="s"/>
      <c r="Y413" s="68" t="s"/>
      <c r="Z413" s="62" t="s"/>
      <c r="AA413" s="62" t="s"/>
      <c r="AB413" s="62" t="s"/>
      <c r="AC413" t="s">
        <v>58</v>
      </c>
    </row>
    <row r="414" spans="1:29">
      <c r="A414" s="80">
        <v>46135</v>
      </c>
      <c r="B414" s="103" t="s"/>
      <c r="C414" s="62">
        <f>=TODAY()-A414+1</f>
        <v>48</v>
      </c>
      <c r="D414" s="78" t="s">
        <v>38</v>
      </c>
      <c r="E414" s="78" t="s">
        <v>63</v>
      </c>
      <c r="F414" s="78" t="s">
        <v>111</v>
      </c>
      <c r="G414" s="136" t="s">
        <v>281</v>
      </c>
      <c r="H414" t="s">
        <v>283</v>
      </c>
      <c r="I414" s="65" t="s">
        <v>43</v>
      </c>
      <c r="J414" s="62">
        <v>2</v>
      </c>
      <c r="K414" s="62">
        <v>2.5</v>
      </c>
      <c r="M414">
        <v>1089760</v>
      </c>
      <c r="T414" s="68" t="s"/>
      <c r="V414" s="68" t="s"/>
      <c r="W414" s="68" t="s"/>
      <c r="X414" s="68" t="s"/>
      <c r="Y414" s="68" t="s"/>
      <c r="Z414" s="62" t="s"/>
      <c r="AA414" s="62" t="s"/>
      <c r="AB414" s="62" t="s"/>
      <c r="AC414" t="s">
        <v>58</v>
      </c>
    </row>
    <row r="415" spans="1:29">
      <c r="A415" s="80">
        <v>46134</v>
      </c>
      <c r="B415" s="62" t="s">
        <v>37</v>
      </c>
      <c r="C415" s="103" t="s"/>
      <c r="D415" s="62" t="s">
        <v>38</v>
      </c>
      <c r="E415" s="62" t="s">
        <v>128</v>
      </c>
      <c r="F415" s="62" t="s">
        <v>129</v>
      </c>
      <c r="G415" s="97" t="s">
        <v>130</v>
      </c>
      <c r="H415" s="64" t="s">
        <v>131</v>
      </c>
      <c r="I415" s="69" t="s">
        <v>47</v>
      </c>
      <c r="J415" s="62">
        <v>2</v>
      </c>
      <c r="K415" s="62">
        <v>3</v>
      </c>
      <c r="O415">
        <v>340047.4</v>
      </c>
      <c r="P415">
        <v>334400</v>
      </c>
      <c r="Q415">
        <v>340047.4</v>
      </c>
      <c r="T415" s="68">
        <f>=P415/10000*J415*Z415</f>
        <v>3611.52</v>
      </c>
      <c r="U415">
        <v>330</v>
      </c>
      <c r="V415" s="68" t="s"/>
      <c r="W415" s="68" t="s"/>
      <c r="X415" s="68">
        <f>=O415-P415</f>
        <v>5647.40000000008</v>
      </c>
      <c r="Y415" s="68">
        <f>=X415-T415-U415-V415</f>
        <v>1705.88000000008</v>
      </c>
      <c r="Z415" s="62">
        <f>=A415-$A$182+1</f>
        <v>54</v>
      </c>
      <c r="AA415" s="68">
        <f>=P415/10000*K415*Z415</f>
        <v>5417.28</v>
      </c>
      <c r="AB415" s="62">
        <f>=Q415*Z415</f>
        <v>18362559.6</v>
      </c>
      <c r="AC415" t="s">
        <v>58</v>
      </c>
    </row>
    <row r="416" spans="1:29">
      <c r="A416" s="80">
        <v>46134</v>
      </c>
      <c r="B416" s="106" t="s">
        <v>37</v>
      </c>
      <c r="C416" s="62" t="s"/>
      <c r="D416" s="64" t="s">
        <v>38</v>
      </c>
      <c r="E416" s="131" t="s">
        <v>54</v>
      </c>
      <c r="F416" t="s">
        <v>284</v>
      </c>
      <c r="G416" s="136" t="s">
        <v>285</v>
      </c>
      <c r="H416" s="98" t="s">
        <v>286</v>
      </c>
      <c r="I416" s="65" t="s">
        <v>43</v>
      </c>
      <c r="J416" s="62">
        <v>2</v>
      </c>
      <c r="K416" s="62">
        <v>2.5</v>
      </c>
      <c r="M416">
        <v>2460000</v>
      </c>
      <c r="AC416" t="s">
        <v>44</v>
      </c>
    </row>
    <row r="417" spans="1:29">
      <c r="A417" s="80">
        <v>46135</v>
      </c>
      <c r="B417" s="62" t="s">
        <v>37</v>
      </c>
      <c r="C417" s="62" t="s"/>
      <c r="D417" s="62" t="s">
        <v>38</v>
      </c>
      <c r="E417" s="62" t="s">
        <v>128</v>
      </c>
      <c r="F417" s="62" t="s">
        <v>129</v>
      </c>
      <c r="G417" s="97" t="s">
        <v>130</v>
      </c>
      <c r="H417" s="64" t="s">
        <v>131</v>
      </c>
      <c r="I417" s="72" t="s">
        <v>47</v>
      </c>
      <c r="J417" s="62">
        <v>2</v>
      </c>
      <c r="K417" s="62">
        <v>3</v>
      </c>
      <c r="O417">
        <v>278384.4</v>
      </c>
      <c r="P417">
        <v>273600</v>
      </c>
      <c r="Q417">
        <v>278384.4</v>
      </c>
      <c r="T417" s="68">
        <f>=P417/10000*J417*Z417</f>
        <v>3009.6</v>
      </c>
      <c r="U417">
        <v>270</v>
      </c>
      <c r="V417" s="68" t="s"/>
      <c r="W417" s="68" t="s"/>
      <c r="X417" s="68">
        <f>=O417-P417</f>
        <v>4784.39999999997</v>
      </c>
      <c r="Y417" s="68">
        <f>=X417-T417-U417-V417</f>
        <v>1504.79999999997</v>
      </c>
      <c r="Z417" s="62">
        <f>=A417-$A$182+1</f>
        <v>55</v>
      </c>
      <c r="AA417" s="68">
        <f>=P417/10000*K417*Z417</f>
        <v>4514.4</v>
      </c>
      <c r="AB417" s="62">
        <f>=Q417*Z417</f>
        <v>15311142</v>
      </c>
      <c r="AC417" t="s">
        <v>58</v>
      </c>
    </row>
    <row r="418" spans="1:29">
      <c r="A418" s="80">
        <v>46135</v>
      </c>
      <c r="B418" s="123" t="s">
        <v>37</v>
      </c>
      <c r="C418" s="62" t="s"/>
      <c r="D418" s="78" t="s">
        <v>38</v>
      </c>
      <c r="E418" s="78" t="s">
        <v>199</v>
      </c>
      <c r="F418" s="78" t="s">
        <v>200</v>
      </c>
      <c r="G418" s="94" t="s">
        <v>201</v>
      </c>
      <c r="H418" s="64" t="s">
        <v>202</v>
      </c>
      <c r="I418" s="69" t="s">
        <v>47</v>
      </c>
      <c r="J418">
        <v>2</v>
      </c>
      <c r="K418">
        <v>2.3</v>
      </c>
      <c r="O418">
        <v>2199400</v>
      </c>
      <c r="P418">
        <v>2184000</v>
      </c>
      <c r="Q418">
        <v>2199400</v>
      </c>
      <c r="T418" s="68">
        <f>=P418/10000*J418*Z418</f>
        <v>12667.2</v>
      </c>
      <c r="U418">
        <v>280</v>
      </c>
      <c r="V418" s="68" t="s"/>
      <c r="W418" s="68" t="s"/>
      <c r="X418" s="68">
        <f>=O418-P418</f>
        <v>15400</v>
      </c>
      <c r="Y418" s="68">
        <f>=X418-T418-U418-V418</f>
        <v>2452.8</v>
      </c>
      <c r="Z418" s="62">
        <f>=A418-$A$267+1</f>
        <v>29</v>
      </c>
      <c r="AA418" s="68">
        <f>=P418/10000*K418*Z418</f>
        <v>14567.28</v>
      </c>
      <c r="AB418" s="62">
        <f>=Q418*Z418</f>
        <v>63782600</v>
      </c>
      <c r="AC418" t="s">
        <v>44</v>
      </c>
    </row>
    <row r="419" spans="1:29">
      <c r="A419" s="80">
        <v>46135</v>
      </c>
      <c r="B419" s="123" t="s">
        <v>37</v>
      </c>
      <c r="C419" s="62" t="s"/>
      <c r="D419" s="62" t="s">
        <v>38</v>
      </c>
      <c r="E419" s="62" t="s">
        <v>199</v>
      </c>
      <c r="F419" s="62" t="s">
        <v>200</v>
      </c>
      <c r="G419" s="94" t="s">
        <v>287</v>
      </c>
      <c r="H419" s="64" t="s">
        <v>214</v>
      </c>
      <c r="I419" s="72" t="s">
        <v>47</v>
      </c>
      <c r="J419">
        <v>2</v>
      </c>
      <c r="K419">
        <v>2.3</v>
      </c>
      <c r="O419">
        <v>157100</v>
      </c>
      <c r="P419">
        <v>156000</v>
      </c>
      <c r="Q419">
        <v>157100</v>
      </c>
      <c r="T419" s="68">
        <f>=P419/10000*J419*Z419</f>
        <v>780</v>
      </c>
      <c r="U419">
        <v>20</v>
      </c>
      <c r="V419" s="68" t="s"/>
      <c r="W419" s="68" t="s"/>
      <c r="X419" s="68">
        <f>=O419-P419</f>
        <v>1100</v>
      </c>
      <c r="Y419" s="68">
        <f>=X419-T419-U419-V419</f>
        <v>300</v>
      </c>
      <c r="Z419" s="62">
        <f>=A419-$A$282+1</f>
        <v>25</v>
      </c>
      <c r="AA419" s="68">
        <f>=P419/10000*K419*Z419</f>
        <v>897</v>
      </c>
      <c r="AB419" s="62">
        <f>=Q419*Z419</f>
        <v>3927500</v>
      </c>
      <c r="AC419" t="s">
        <v>44</v>
      </c>
    </row>
    <row r="420" spans="1:29">
      <c r="A420" s="80">
        <v>46135</v>
      </c>
      <c r="B420" s="106" t="s">
        <v>37</v>
      </c>
      <c r="C420" s="62" t="s"/>
      <c r="D420" s="62" t="s">
        <v>38</v>
      </c>
      <c r="E420" t="s">
        <v>288</v>
      </c>
      <c r="F420" t="s">
        <v>289</v>
      </c>
      <c r="G420" s="136" t="s">
        <v>290</v>
      </c>
      <c r="H420" t="s">
        <v>291</v>
      </c>
      <c r="I420" s="65" t="s">
        <v>43</v>
      </c>
      <c r="J420" s="62">
        <v>2</v>
      </c>
      <c r="K420" s="62">
        <v>2.5</v>
      </c>
      <c r="M420">
        <v>33000</v>
      </c>
      <c r="T420" s="68" t="s"/>
      <c r="V420" s="68" t="s"/>
      <c r="W420" s="68" t="s"/>
      <c r="X420" s="68" t="s"/>
      <c r="Y420" s="68" t="s"/>
      <c r="Z420" s="62" t="s"/>
      <c r="AA420" s="62" t="s"/>
      <c r="AB420" s="62" t="s"/>
      <c r="AC420" t="s">
        <v>58</v>
      </c>
    </row>
    <row r="421" spans="1:29">
      <c r="A421" s="80">
        <v>46136</v>
      </c>
      <c r="B421" s="62" t="s">
        <v>37</v>
      </c>
      <c r="C421" s="62" t="s"/>
      <c r="D421" s="62" t="s">
        <v>38</v>
      </c>
      <c r="E421" s="78" t="s">
        <v>39</v>
      </c>
      <c r="F421" s="62" t="s">
        <v>40</v>
      </c>
      <c r="G421" s="64" t="s">
        <v>46</v>
      </c>
      <c r="H421" s="71" t="s">
        <v>292</v>
      </c>
      <c r="I421" s="65" t="s">
        <v>43</v>
      </c>
      <c r="J421" s="62">
        <v>2</v>
      </c>
      <c r="K421" s="62">
        <v>2.5</v>
      </c>
      <c r="M421">
        <v>2880000</v>
      </c>
      <c r="T421" s="68" t="s"/>
      <c r="V421" s="68" t="s"/>
      <c r="W421" s="68" t="s"/>
      <c r="X421" s="68" t="s"/>
      <c r="Y421" s="68" t="s"/>
      <c r="Z421" s="62" t="s"/>
      <c r="AA421" s="62" t="s"/>
      <c r="AB421" s="62" t="s"/>
      <c r="AC421" t="s">
        <v>58</v>
      </c>
    </row>
    <row r="422" spans="1:29">
      <c r="A422" s="80">
        <v>46135</v>
      </c>
      <c r="B422" s="103" t="s"/>
      <c r="C422" s="62">
        <f>=TODAY()-A422+1</f>
        <v>95</v>
      </c>
      <c r="D422" s="62" t="s">
        <v>38</v>
      </c>
      <c r="E422" s="62" t="s">
        <v>128</v>
      </c>
      <c r="F422" s="62" t="s">
        <v>129</v>
      </c>
      <c r="G422" s="97" t="s">
        <v>130</v>
      </c>
      <c r="H422" s="71" t="s">
        <v>293</v>
      </c>
      <c r="I422" s="72" t="s">
        <v>43</v>
      </c>
      <c r="J422" s="62">
        <v>2</v>
      </c>
      <c r="K422" s="62">
        <v>3</v>
      </c>
      <c r="M422">
        <v>550000</v>
      </c>
      <c r="T422" s="68" t="s"/>
      <c r="V422" s="68" t="s"/>
      <c r="W422" s="68" t="s"/>
      <c r="X422" s="68" t="s"/>
      <c r="Y422" s="68" t="s"/>
      <c r="Z422" s="62" t="s"/>
      <c r="AA422" s="62" t="s"/>
      <c r="AB422" s="62" t="s"/>
      <c r="AC422" t="s">
        <v>58</v>
      </c>
    </row>
    <row r="423" spans="1:29">
      <c r="A423" s="80">
        <v>46136</v>
      </c>
      <c r="B423" s="106" t="s">
        <v>37</v>
      </c>
      <c r="C423" s="103" t="s"/>
      <c r="D423" s="62" t="s">
        <v>38</v>
      </c>
      <c r="E423" t="s">
        <v>263</v>
      </c>
      <c r="F423" t="s">
        <v>264</v>
      </c>
      <c r="G423" s="136" t="s">
        <v>265</v>
      </c>
      <c r="H423" s="87" t="s">
        <v>266</v>
      </c>
      <c r="I423" s="69" t="s">
        <v>47</v>
      </c>
      <c r="J423" s="62">
        <v>2</v>
      </c>
      <c r="K423" s="62">
        <v>2.5</v>
      </c>
      <c r="O423">
        <v>189425.1</v>
      </c>
      <c r="P423">
        <v>189000</v>
      </c>
      <c r="Q423">
        <v>189425.1</v>
      </c>
      <c r="T423" s="68">
        <f>=P423/10000*J423*Z423</f>
        <v>340.2</v>
      </c>
      <c r="U423">
        <v>0</v>
      </c>
      <c r="V423" s="68" t="s"/>
      <c r="W423" s="68" t="s"/>
      <c r="X423" s="68">
        <f>=O423-P423</f>
        <v>425.100000000006</v>
      </c>
      <c r="Y423" s="68">
        <f>=X423-T423-U423-V423</f>
        <v>84.9000000000059</v>
      </c>
      <c r="Z423" s="62">
        <f>=A423-$A$385+1</f>
        <v>9</v>
      </c>
      <c r="AA423" s="68">
        <f>=P423/10000*K423*Z423</f>
        <v>425.25</v>
      </c>
      <c r="AB423" s="62">
        <f>=Q423*Z423</f>
        <v>1704825.9</v>
      </c>
      <c r="AC423" t="s">
        <v>58</v>
      </c>
    </row>
    <row r="424" spans="1:29">
      <c r="A424" s="80">
        <v>46136</v>
      </c>
      <c r="B424" s="106" t="s">
        <v>37</v>
      </c>
      <c r="C424" s="103" t="s"/>
      <c r="D424" s="62" t="s">
        <v>38</v>
      </c>
      <c r="E424" t="s">
        <v>263</v>
      </c>
      <c r="F424" t="s">
        <v>264</v>
      </c>
      <c r="G424" s="136" t="s">
        <v>265</v>
      </c>
      <c r="H424" s="87" t="s">
        <v>267</v>
      </c>
      <c r="I424" s="72" t="s">
        <v>47</v>
      </c>
      <c r="J424" s="62">
        <v>2</v>
      </c>
      <c r="K424" s="62">
        <v>2.5</v>
      </c>
      <c r="O424">
        <v>498176.75</v>
      </c>
      <c r="P424">
        <v>497175</v>
      </c>
      <c r="Q424">
        <v>498176.75</v>
      </c>
      <c r="T424" s="68">
        <f>=P424/10000*J424*Z424</f>
        <v>795.48</v>
      </c>
      <c r="U424">
        <v>0</v>
      </c>
      <c r="V424" s="68" t="s"/>
      <c r="W424" s="68" t="s"/>
      <c r="X424" s="68">
        <f>=O424-P424</f>
        <v>1001.75</v>
      </c>
      <c r="Y424" s="68">
        <f>=X424-T424-U424-V424</f>
        <v>206.27</v>
      </c>
      <c r="Z424" s="62">
        <f>=A424-$A$386+1</f>
        <v>8</v>
      </c>
      <c r="AA424" s="68">
        <f>=P424/10000*K424*Z424</f>
        <v>994.35</v>
      </c>
      <c r="AB424" s="62">
        <f>=Q424*Z424</f>
        <v>3985414</v>
      </c>
      <c r="AC424" t="s">
        <v>58</v>
      </c>
    </row>
    <row r="425" spans="1:29">
      <c r="A425" s="80">
        <v>46136</v>
      </c>
      <c r="B425" s="103" t="s"/>
      <c r="C425" s="103" t="s"/>
      <c r="D425" s="62" t="s">
        <v>38</v>
      </c>
      <c r="E425" s="62" t="s">
        <v>48</v>
      </c>
      <c r="F425" s="62" t="s">
        <v>49</v>
      </c>
      <c r="G425" s="71" t="s">
        <v>52</v>
      </c>
      <c r="H425" s="83" t="s">
        <v>158</v>
      </c>
      <c r="I425" s="69" t="s">
        <v>47</v>
      </c>
      <c r="J425" s="62">
        <v>2</v>
      </c>
      <c r="K425" s="62">
        <v>3</v>
      </c>
      <c r="O425">
        <v>89268.9</v>
      </c>
      <c r="P425">
        <v>88200</v>
      </c>
      <c r="Q425">
        <v>89268.9</v>
      </c>
      <c r="T425" s="68">
        <f>=P425/10000*J425*Z425</f>
        <v>652.68</v>
      </c>
      <c r="U425" s="62">
        <v>0</v>
      </c>
      <c r="V425" s="68" t="s"/>
      <c r="W425" s="68" t="s"/>
      <c r="X425" s="68">
        <f>=O425-P425</f>
        <v>1068.90000000001</v>
      </c>
      <c r="Y425" s="68">
        <f>=X425-T425-U425-V425</f>
        <v>416.220000000009</v>
      </c>
      <c r="Z425" s="62">
        <f>=A425-$A$224+1</f>
        <v>37</v>
      </c>
      <c r="AA425" s="68">
        <f>=P425/10000*K425*Z425</f>
        <v>979.02</v>
      </c>
      <c r="AB425" s="62">
        <f>=Q425*Z425</f>
        <v>3302949.3</v>
      </c>
      <c r="AC425" t="s">
        <v>44</v>
      </c>
    </row>
    <row r="426" spans="1:29">
      <c r="A426" s="80">
        <v>46136</v>
      </c>
      <c r="B426" s="103" t="s"/>
      <c r="C426" s="103" t="s"/>
      <c r="D426" s="62" t="s">
        <v>38</v>
      </c>
      <c r="E426" s="62" t="s">
        <v>48</v>
      </c>
      <c r="F426" s="62" t="s">
        <v>49</v>
      </c>
      <c r="G426" s="71" t="s">
        <v>52</v>
      </c>
      <c r="H426" s="83" t="s">
        <v>179</v>
      </c>
      <c r="I426" s="69" t="s">
        <v>47</v>
      </c>
      <c r="J426" s="62">
        <v>2</v>
      </c>
      <c r="K426" s="62">
        <v>3</v>
      </c>
      <c r="O426">
        <v>56042.82</v>
      </c>
      <c r="P426">
        <v>55440</v>
      </c>
      <c r="Q426">
        <v>56042.82</v>
      </c>
      <c r="T426" s="68">
        <f>=P426/10000*J426*Z426</f>
        <v>365.904</v>
      </c>
      <c r="U426" s="62">
        <v>0</v>
      </c>
      <c r="V426" s="68" t="s"/>
      <c r="W426" s="68" t="s"/>
      <c r="X426" s="68">
        <f>=O426-P426</f>
        <v>602.819999999993</v>
      </c>
      <c r="Y426" s="68">
        <f>=X426-T426-U426-V426</f>
        <v>236.915999999992</v>
      </c>
      <c r="Z426" s="62">
        <f>=A426-$A$242+1</f>
        <v>33</v>
      </c>
      <c r="AA426" s="68">
        <f>=P426/10000*K426*Z426</f>
        <v>548.856</v>
      </c>
      <c r="AB426" s="62">
        <f>=Q426*Z426</f>
        <v>1849413.06</v>
      </c>
      <c r="AC426" t="s">
        <v>44</v>
      </c>
    </row>
    <row r="427" spans="1:29">
      <c r="A427" s="80">
        <v>46136</v>
      </c>
      <c r="B427" s="103" t="s"/>
      <c r="C427" s="103" t="s"/>
      <c r="D427" s="62" t="s">
        <v>38</v>
      </c>
      <c r="E427" s="62" t="s">
        <v>48</v>
      </c>
      <c r="F427" s="62" t="s">
        <v>49</v>
      </c>
      <c r="G427" s="64" t="s">
        <v>52</v>
      </c>
      <c r="H427" s="64" t="s">
        <v>205</v>
      </c>
      <c r="I427" s="69" t="s">
        <v>47</v>
      </c>
      <c r="J427" s="62">
        <v>2</v>
      </c>
      <c r="K427" s="62">
        <v>3</v>
      </c>
      <c r="O427">
        <v>15541.5</v>
      </c>
      <c r="P427">
        <v>15400</v>
      </c>
      <c r="Q427">
        <v>15541.5</v>
      </c>
      <c r="T427" s="68">
        <f>=P427/10000*J427*Z427</f>
        <v>89.32</v>
      </c>
      <c r="U427" s="62">
        <v>0</v>
      </c>
      <c r="V427" s="68" t="s"/>
      <c r="W427" s="68" t="s"/>
      <c r="X427" s="68">
        <f>=O427-P427</f>
        <v>141.5</v>
      </c>
      <c r="Y427" s="68">
        <f>=X427-T427-U427-V427</f>
        <v>52.18</v>
      </c>
      <c r="Z427" s="62">
        <f>=A427-$A$273+1</f>
        <v>29</v>
      </c>
      <c r="AA427" s="68">
        <f>=P427/10000*K427*Z427</f>
        <v>133.98</v>
      </c>
      <c r="AB427" s="62">
        <f>=Q427*Z427</f>
        <v>450703.5</v>
      </c>
      <c r="AC427" t="s">
        <v>44</v>
      </c>
    </row>
    <row r="428" spans="1:29">
      <c r="A428" s="80">
        <v>46136</v>
      </c>
      <c r="B428" s="103" t="s"/>
      <c r="C428" s="103" t="s"/>
      <c r="D428" s="62" t="s">
        <v>38</v>
      </c>
      <c r="E428" s="62" t="s">
        <v>270</v>
      </c>
      <c r="F428" s="62" t="s">
        <v>271</v>
      </c>
      <c r="G428" s="97" t="s">
        <v>272</v>
      </c>
      <c r="H428" s="80" t="s">
        <v>275</v>
      </c>
      <c r="I428" s="69" t="s">
        <v>47</v>
      </c>
      <c r="J428" s="62">
        <v>2</v>
      </c>
      <c r="K428" s="62">
        <v>2.5</v>
      </c>
      <c r="O428">
        <v>30135</v>
      </c>
      <c r="P428">
        <v>30000</v>
      </c>
      <c r="Q428">
        <v>30135</v>
      </c>
      <c r="T428" s="68">
        <f>=P428/10000*J428*Z428</f>
        <v>30</v>
      </c>
      <c r="U428">
        <v>50</v>
      </c>
      <c r="V428" s="68" t="s"/>
      <c r="W428" s="68" t="s"/>
      <c r="X428" s="68">
        <f>=O428-P428</f>
        <v>135.000000000004</v>
      </c>
      <c r="Y428" s="68">
        <f>=X428-T428-U428-V428</f>
        <v>55.0000000000036</v>
      </c>
      <c r="Z428" s="62">
        <f>=A428-$A$398+1</f>
        <v>5</v>
      </c>
      <c r="AA428" s="68">
        <f>=P428/10000*K428*Z428</f>
        <v>37.5</v>
      </c>
      <c r="AB428" s="62">
        <f>=Q428*Z428</f>
        <v>150675</v>
      </c>
      <c r="AC428" t="s">
        <v>58</v>
      </c>
    </row>
    <row r="429" spans="1:29">
      <c r="A429" s="80">
        <v>46136</v>
      </c>
      <c r="B429" s="62" t="s">
        <v>37</v>
      </c>
      <c r="C429" s="103" t="s"/>
      <c r="D429" s="63" t="s">
        <v>38</v>
      </c>
      <c r="E429" s="62" t="s">
        <v>39</v>
      </c>
      <c r="F429" s="62" t="s">
        <v>137</v>
      </c>
      <c r="G429" s="108" t="s">
        <v>294</v>
      </c>
      <c r="H429" s="80" t="s">
        <v>139</v>
      </c>
      <c r="I429" s="69" t="s">
        <v>47</v>
      </c>
      <c r="J429" s="62">
        <v>2</v>
      </c>
      <c r="K429" s="62">
        <v>3</v>
      </c>
      <c r="O429">
        <v>970980</v>
      </c>
      <c r="P429">
        <v>956000</v>
      </c>
      <c r="Q429">
        <v>970980</v>
      </c>
      <c r="T429" s="68">
        <f>=P429/10000*J429*Z429</f>
        <v>8986.4</v>
      </c>
      <c r="U429">
        <v>1000</v>
      </c>
      <c r="V429" s="68" t="s"/>
      <c r="W429" s="68" t="s"/>
      <c r="X429" s="68">
        <f>=O429-P429</f>
        <v>14980</v>
      </c>
      <c r="Y429" s="68">
        <f>=X429-T429-U429-V429</f>
        <v>4993.6</v>
      </c>
      <c r="Z429" s="62">
        <f>=A429-$A$198+1</f>
        <v>47</v>
      </c>
      <c r="AA429" s="68">
        <f>=P429/10000*K429*Z429</f>
        <v>13479.6</v>
      </c>
      <c r="AB429" s="62">
        <f>=Q429*Z429</f>
        <v>45636060</v>
      </c>
      <c r="AC429" t="s">
        <v>58</v>
      </c>
    </row>
    <row r="430" spans="1:29">
      <c r="A430" s="80">
        <v>46136</v>
      </c>
      <c r="B430" s="62" t="s">
        <v>37</v>
      </c>
      <c r="C430" s="103" t="s"/>
      <c r="D430" s="62" t="s">
        <v>38</v>
      </c>
      <c r="E430" s="62" t="s">
        <v>48</v>
      </c>
      <c r="F430" s="62" t="s">
        <v>81</v>
      </c>
      <c r="G430" s="125" t="s">
        <v>84</v>
      </c>
      <c r="H430" s="64" t="s">
        <v>92</v>
      </c>
      <c r="I430" s="72" t="s">
        <v>47</v>
      </c>
      <c r="J430" s="62">
        <v>2</v>
      </c>
      <c r="K430" s="62">
        <v>2.5</v>
      </c>
      <c r="O430" s="136">
        <v>251896</v>
      </c>
      <c r="P430">
        <v>243200</v>
      </c>
      <c r="Q430" s="136">
        <v>251896</v>
      </c>
      <c r="T430" s="68">
        <f>=P430/10000*J430*Z430</f>
        <v>6955.52</v>
      </c>
      <c r="U430" s="62">
        <v>0</v>
      </c>
      <c r="V430" s="68" t="s"/>
      <c r="W430" s="68" t="s"/>
      <c r="X430" s="68">
        <f>=O430-P430</f>
        <v>8696</v>
      </c>
      <c r="Y430" s="68">
        <f>=X430-T430-U430-V430</f>
        <v>1740.48</v>
      </c>
      <c r="Z430" s="62">
        <f>=A430-$A$65+1</f>
        <v>143</v>
      </c>
      <c r="AA430" s="68">
        <f>=P430/10000*K430*Z430</f>
        <v>8694.4</v>
      </c>
      <c r="AB430" s="62">
        <f>=Q430*Z430</f>
        <v>36021128</v>
      </c>
      <c r="AC430" t="s">
        <v>44</v>
      </c>
    </row>
    <row r="431" spans="1:29">
      <c r="A431" s="109">
        <v>46137</v>
      </c>
      <c r="B431" s="62" t="s">
        <v>37</v>
      </c>
      <c r="C431" s="62" t="s"/>
      <c r="D431" s="62" t="s">
        <v>38</v>
      </c>
      <c r="E431" s="78" t="s">
        <v>39</v>
      </c>
      <c r="F431" s="62" t="s">
        <v>40</v>
      </c>
      <c r="G431" s="136" t="s">
        <v>46</v>
      </c>
      <c r="H431" s="71" t="s">
        <v>295</v>
      </c>
      <c r="I431" s="65" t="s">
        <v>43</v>
      </c>
      <c r="J431" s="62">
        <v>2</v>
      </c>
      <c r="K431" s="62">
        <v>2.5</v>
      </c>
      <c r="M431">
        <v>1920000</v>
      </c>
      <c r="T431" s="68" t="s"/>
      <c r="V431" s="68" t="s"/>
      <c r="W431" s="68" t="s"/>
      <c r="X431" s="68" t="s"/>
      <c r="Y431" s="68" t="s"/>
      <c r="Z431" s="62" t="s"/>
      <c r="AA431" s="62" t="s"/>
      <c r="AB431" s="62" t="s"/>
      <c r="AC431" t="s">
        <v>58</v>
      </c>
    </row>
    <row r="432" spans="1:29">
      <c r="A432" s="80">
        <v>46137</v>
      </c>
      <c r="B432" s="103" t="s"/>
      <c r="C432" s="62">
        <f>=TODAY()-A432+1</f>
        <v>46</v>
      </c>
      <c r="D432" s="64" t="s">
        <v>38</v>
      </c>
      <c r="E432" s="131" t="s">
        <v>54</v>
      </c>
      <c r="F432" s="64" t="s">
        <v>55</v>
      </c>
      <c r="G432" s="71" t="s">
        <v>191</v>
      </c>
      <c r="H432" s="98" t="s">
        <v>296</v>
      </c>
      <c r="I432" s="65" t="s">
        <v>43</v>
      </c>
      <c r="J432" s="62">
        <v>2</v>
      </c>
      <c r="K432" s="62">
        <v>2.5</v>
      </c>
      <c r="M432">
        <v>1000000</v>
      </c>
      <c r="T432" s="68" t="s"/>
      <c r="V432" s="68" t="s"/>
      <c r="W432" s="68" t="s"/>
      <c r="X432" s="68" t="s"/>
      <c r="Y432" s="68" t="s"/>
      <c r="Z432" s="62" t="s"/>
      <c r="AA432" s="62" t="s"/>
      <c r="AB432" s="62" t="s"/>
      <c r="AC432" t="s">
        <v>58</v>
      </c>
    </row>
    <row r="433" spans="1:29">
      <c r="A433" s="80">
        <v>46138</v>
      </c>
      <c r="B433" s="103" t="s"/>
      <c r="C433" s="62">
        <f>=TODAY()-A433+1</f>
        <v>45</v>
      </c>
      <c r="D433" s="64" t="s">
        <v>38</v>
      </c>
      <c r="E433" s="131" t="s">
        <v>54</v>
      </c>
      <c r="F433" s="64" t="s">
        <v>55</v>
      </c>
      <c r="G433" s="71" t="s">
        <v>191</v>
      </c>
      <c r="H433" s="98" t="s">
        <v>297</v>
      </c>
      <c r="I433" s="65" t="s">
        <v>43</v>
      </c>
      <c r="J433" s="62">
        <v>2</v>
      </c>
      <c r="K433" s="62">
        <v>2.5</v>
      </c>
      <c r="M433">
        <v>1000000</v>
      </c>
      <c r="T433" s="68" t="s"/>
      <c r="V433" s="68" t="s"/>
      <c r="W433" s="68" t="s"/>
      <c r="X433" s="68" t="s"/>
      <c r="Y433" s="68" t="s"/>
      <c r="Z433" s="62" t="s"/>
      <c r="AA433" s="62" t="s"/>
      <c r="AB433" s="62" t="s"/>
      <c r="AC433" t="s">
        <v>58</v>
      </c>
    </row>
    <row r="434" spans="1:29">
      <c r="A434" s="80">
        <v>46138</v>
      </c>
      <c r="B434" s="103" t="s"/>
      <c r="C434" s="62">
        <f>=TODAY()-A434+1</f>
        <v>45</v>
      </c>
      <c r="D434" s="64" t="s">
        <v>38</v>
      </c>
      <c r="E434" s="131" t="s">
        <v>54</v>
      </c>
      <c r="F434" s="64" t="s">
        <v>55</v>
      </c>
      <c r="G434" s="97" t="s">
        <v>243</v>
      </c>
      <c r="H434" t="s">
        <v>298</v>
      </c>
      <c r="I434" s="65" t="s">
        <v>43</v>
      </c>
      <c r="J434" s="62">
        <v>2</v>
      </c>
      <c r="K434" s="62">
        <v>2.5</v>
      </c>
      <c r="M434">
        <v>525000</v>
      </c>
      <c r="T434" s="68" t="s"/>
      <c r="V434" s="68" t="s"/>
      <c r="W434" s="68" t="s"/>
      <c r="X434" s="68" t="s"/>
      <c r="Y434" s="68" t="s"/>
      <c r="Z434" s="62" t="s"/>
      <c r="AA434" s="62" t="s"/>
      <c r="AB434" s="62" t="s"/>
      <c r="AC434" t="s">
        <v>58</v>
      </c>
    </row>
    <row r="435" spans="1:29">
      <c r="A435" s="80">
        <v>46140</v>
      </c>
      <c r="B435" s="123" t="s">
        <v>37</v>
      </c>
      <c r="C435" s="103" t="s"/>
      <c r="D435" s="78" t="s">
        <v>38</v>
      </c>
      <c r="E435" s="78" t="s">
        <v>63</v>
      </c>
      <c r="F435" s="78" t="s">
        <v>226</v>
      </c>
      <c r="G435" s="97" t="s">
        <v>276</v>
      </c>
      <c r="H435" s="80" t="s">
        <v>278</v>
      </c>
      <c r="I435" s="65" t="s">
        <v>47</v>
      </c>
      <c r="J435" s="62">
        <v>2</v>
      </c>
      <c r="K435" s="62">
        <v>2.5</v>
      </c>
      <c r="O435">
        <v>133336</v>
      </c>
      <c r="P435">
        <v>133000</v>
      </c>
      <c r="Q435">
        <v>133336</v>
      </c>
      <c r="T435" s="68">
        <f>=P435/10000*J435*Z435</f>
        <v>212.8</v>
      </c>
      <c r="U435">
        <v>35</v>
      </c>
      <c r="V435" s="68" t="s"/>
      <c r="W435" s="68" t="s"/>
      <c r="X435" s="68">
        <f>=O435-P435</f>
        <v>336</v>
      </c>
      <c r="Y435" s="68">
        <f>=X435-T435-U435-V435</f>
        <v>88.2</v>
      </c>
      <c r="Z435" s="62">
        <f>=A435-$A$406+1</f>
        <v>8</v>
      </c>
      <c r="AA435" s="68">
        <f>=P435/10000*K435*Z435</f>
        <v>266</v>
      </c>
      <c r="AB435" s="62">
        <f>=Q435*Z435</f>
        <v>1066688</v>
      </c>
      <c r="AC435" t="s">
        <v>58</v>
      </c>
    </row>
    <row r="436" spans="1:29">
      <c r="A436" s="80">
        <v>46140</v>
      </c>
      <c r="B436" s="123" t="s">
        <v>37</v>
      </c>
      <c r="C436" s="103" t="s"/>
      <c r="D436" s="78" t="s">
        <v>38</v>
      </c>
      <c r="E436" s="78" t="s">
        <v>63</v>
      </c>
      <c r="F436" s="78" t="s">
        <v>226</v>
      </c>
      <c r="G436" s="97" t="s">
        <v>276</v>
      </c>
      <c r="H436" s="80" t="s">
        <v>277</v>
      </c>
      <c r="I436" s="65" t="s">
        <v>47</v>
      </c>
      <c r="J436" s="62">
        <v>2</v>
      </c>
      <c r="K436" s="62">
        <v>2.5</v>
      </c>
      <c r="O436">
        <v>30484.4</v>
      </c>
      <c r="P436">
        <v>30400</v>
      </c>
      <c r="Q436">
        <v>30484.4</v>
      </c>
      <c r="T436" s="68">
        <f>=P436/10000*J436*Z436</f>
        <v>54.72</v>
      </c>
      <c r="U436">
        <v>8</v>
      </c>
      <c r="V436" s="68" t="s"/>
      <c r="W436" s="68" t="s"/>
      <c r="X436" s="68">
        <f>=O436-P436</f>
        <v>84.4000000000015</v>
      </c>
      <c r="Y436" s="68">
        <f>=X436-T436-U436-V436</f>
        <v>21.6800000000015</v>
      </c>
      <c r="Z436" s="62">
        <f>=A436-$A$405+1</f>
        <v>9</v>
      </c>
      <c r="AA436" s="68">
        <f>=P436/10000*K436*Z436</f>
        <v>68.4</v>
      </c>
      <c r="AB436" s="62">
        <f>=Q436*Z436</f>
        <v>274359.6</v>
      </c>
      <c r="AC436" t="s">
        <v>58</v>
      </c>
    </row>
    <row r="437" spans="1:29">
      <c r="A437" s="80">
        <v>46140</v>
      </c>
      <c r="B437" s="103" t="s"/>
      <c r="C437" s="62">
        <f>=TODAY()-A437+1</f>
        <v>90</v>
      </c>
      <c r="D437" s="64" t="s">
        <v>38</v>
      </c>
      <c r="E437" s="131" t="s">
        <v>54</v>
      </c>
      <c r="F437" s="64" t="s">
        <v>55</v>
      </c>
      <c r="G437" s="71" t="s">
        <v>191</v>
      </c>
      <c r="H437" s="98" t="s">
        <v>299</v>
      </c>
      <c r="I437" s="65" t="s">
        <v>43</v>
      </c>
      <c r="J437" s="62">
        <v>2</v>
      </c>
      <c r="K437" s="62">
        <v>2.5</v>
      </c>
      <c r="M437">
        <v>1000000</v>
      </c>
      <c r="T437" s="68" t="s"/>
      <c r="V437" s="68" t="s"/>
      <c r="W437" s="68" t="s"/>
      <c r="X437" s="68" t="s"/>
      <c r="Y437" s="68" t="s"/>
      <c r="Z437" s="62" t="s"/>
      <c r="AA437" s="62" t="s"/>
      <c r="AB437" s="62" t="s"/>
      <c r="AC437" t="s">
        <v>58</v>
      </c>
    </row>
    <row r="438" spans="1:29">
      <c r="A438" s="80">
        <v>46140</v>
      </c>
      <c r="B438" s="106" t="s">
        <v>37</v>
      </c>
      <c r="C438" s="103" t="s"/>
      <c r="D438" s="64" t="s">
        <v>38</v>
      </c>
      <c r="E438" t="s">
        <v>63</v>
      </c>
      <c r="F438" t="s">
        <v>226</v>
      </c>
      <c r="G438" s="97" t="s">
        <v>227</v>
      </c>
      <c r="H438" s="87" t="s">
        <v>228</v>
      </c>
      <c r="I438" s="65" t="s">
        <v>47</v>
      </c>
      <c r="J438" s="64">
        <v>2</v>
      </c>
      <c r="K438" s="64">
        <v>2.5</v>
      </c>
      <c r="O438">
        <v>989922.91</v>
      </c>
      <c r="P438">
        <v>981810</v>
      </c>
      <c r="Q438">
        <v>989922.91</v>
      </c>
      <c r="T438" s="68">
        <f>=P438/10000*J438*Z438</f>
        <v>5694.498</v>
      </c>
      <c r="U438">
        <v>663</v>
      </c>
      <c r="V438" s="68" t="s"/>
      <c r="W438" s="68" t="s"/>
      <c r="X438" s="68">
        <f>=O438-P438</f>
        <v>8112.90999999992</v>
      </c>
      <c r="Y438" s="68">
        <f>=X438-T438-U438-V438</f>
        <v>1755.41199999992</v>
      </c>
      <c r="Z438" s="62">
        <f>=A438-$A$293+1</f>
        <v>29</v>
      </c>
      <c r="AA438" s="68">
        <f>=P438/10000*K438*Z438</f>
        <v>7118.1225</v>
      </c>
      <c r="AB438" s="62">
        <f>=Q438*Z438</f>
        <v>28707764.39</v>
      </c>
      <c r="AC438" t="s">
        <v>58</v>
      </c>
    </row>
    <row r="439" spans="1:29">
      <c r="A439" s="80">
        <v>46140</v>
      </c>
      <c r="B439" s="103" t="s"/>
      <c r="C439" s="103" t="s"/>
      <c r="D439" s="64" t="s">
        <v>38</v>
      </c>
      <c r="E439" s="62" t="s">
        <v>48</v>
      </c>
      <c r="F439" s="62" t="s">
        <v>222</v>
      </c>
      <c r="G439" s="97" t="s">
        <v>223</v>
      </c>
      <c r="H439" s="80" t="s">
        <v>224</v>
      </c>
      <c r="I439" s="65" t="s">
        <v>47</v>
      </c>
      <c r="J439" s="62">
        <v>2</v>
      </c>
      <c r="K439" s="62">
        <v>2.5</v>
      </c>
      <c r="O439">
        <v>672704</v>
      </c>
      <c r="P439">
        <v>667400</v>
      </c>
      <c r="Q439">
        <v>672704</v>
      </c>
      <c r="T439" s="68">
        <f>=P439/10000*J439*Z439</f>
        <v>3870.92</v>
      </c>
      <c r="U439">
        <v>300</v>
      </c>
      <c r="V439" s="68" t="s"/>
      <c r="W439" s="68" t="s"/>
      <c r="X439" s="68">
        <f>=O439-P439</f>
        <v>5304</v>
      </c>
      <c r="Y439" s="68">
        <f>=X439-T439-U439-V439</f>
        <v>1133.08</v>
      </c>
      <c r="Z439" s="62">
        <f>=A439-$A$291+1</f>
        <v>29</v>
      </c>
      <c r="AA439" s="68">
        <f>=P439/10000*K439*Z439</f>
        <v>4838.65</v>
      </c>
      <c r="AB439" s="62">
        <f>=Q439*Z439</f>
        <v>19508416</v>
      </c>
      <c r="AC439" t="s">
        <v>58</v>
      </c>
    </row>
    <row r="440" spans="1:29">
      <c r="A440" s="80">
        <v>46140</v>
      </c>
      <c r="B440" s="103" t="s"/>
      <c r="C440" s="103" t="s"/>
      <c r="D440" s="64" t="s">
        <v>38</v>
      </c>
      <c r="E440" s="64" t="s">
        <v>148</v>
      </c>
      <c r="F440" s="64" t="s">
        <v>153</v>
      </c>
      <c r="G440" s="71" t="s">
        <v>156</v>
      </c>
      <c r="H440" s="80" t="s">
        <v>185</v>
      </c>
      <c r="I440" s="69" t="s">
        <v>47</v>
      </c>
      <c r="J440" s="62">
        <v>2</v>
      </c>
      <c r="K440" s="62">
        <v>2.5</v>
      </c>
      <c r="O440">
        <v>404000</v>
      </c>
      <c r="P440">
        <v>400000</v>
      </c>
      <c r="Q440">
        <v>404000</v>
      </c>
      <c r="T440" s="68">
        <f>=P440/10000*J440*Z440</f>
        <v>2880</v>
      </c>
      <c r="U440">
        <v>300</v>
      </c>
      <c r="V440" s="68" t="s"/>
      <c r="W440" s="68" t="s"/>
      <c r="X440" s="68">
        <f>=O440-P440</f>
        <v>4000</v>
      </c>
      <c r="Y440" s="68">
        <f>=X440-T440-U440-V440</f>
        <v>820</v>
      </c>
      <c r="Z440" s="62">
        <f>=A440-$A$249+1</f>
        <v>36</v>
      </c>
      <c r="AA440" s="68">
        <f>=P440/10000*K440*Z440</f>
        <v>3600</v>
      </c>
      <c r="AB440" s="62">
        <f>=Q440*Z440</f>
        <v>14544000</v>
      </c>
      <c r="AC440" t="s">
        <v>58</v>
      </c>
    </row>
    <row r="441" spans="1:29">
      <c r="A441" s="80">
        <v>46140</v>
      </c>
      <c r="B441" s="103" t="s"/>
      <c r="C441" s="103" t="s"/>
      <c r="D441" s="64" t="s">
        <v>38</v>
      </c>
      <c r="E441" s="64" t="s">
        <v>148</v>
      </c>
      <c r="F441" s="64" t="s">
        <v>153</v>
      </c>
      <c r="G441" s="71" t="s">
        <v>156</v>
      </c>
      <c r="H441" s="80" t="s">
        <v>213</v>
      </c>
      <c r="I441" s="69" t="s">
        <v>47</v>
      </c>
      <c r="J441" s="62">
        <v>2</v>
      </c>
      <c r="K441" s="62">
        <v>2.5</v>
      </c>
      <c r="O441">
        <v>220683.8</v>
      </c>
      <c r="P441">
        <v>218960</v>
      </c>
      <c r="Q441">
        <v>220683.8</v>
      </c>
      <c r="T441" s="68">
        <f>=P441/10000*J441*Z441</f>
        <v>1269.968</v>
      </c>
      <c r="U441">
        <v>102</v>
      </c>
      <c r="V441" s="68" t="s"/>
      <c r="W441" s="68" t="s"/>
      <c r="X441" s="68">
        <f>=O441-P441</f>
        <v>1723.79999999999</v>
      </c>
      <c r="Y441" s="68">
        <f>=X441-T441-U441-V441</f>
        <v>351.831999999988</v>
      </c>
      <c r="Z441" s="62">
        <f>=A441-$A$280+1</f>
        <v>29</v>
      </c>
      <c r="AA441" s="68">
        <f>=P441/10000*K441*Z441</f>
        <v>1587.46</v>
      </c>
      <c r="AB441" s="62">
        <f>=Q441*Z441</f>
        <v>6399830.2</v>
      </c>
      <c r="AC441" t="s">
        <v>58</v>
      </c>
    </row>
    <row r="442" spans="1:29">
      <c r="A442" s="80">
        <v>46140</v>
      </c>
      <c r="B442" s="62" t="s">
        <v>37</v>
      </c>
      <c r="C442" s="103" t="s"/>
      <c r="D442" s="63" t="s">
        <v>38</v>
      </c>
      <c r="E442" s="98" t="s">
        <v>167</v>
      </c>
      <c r="F442" s="98" t="s">
        <v>168</v>
      </c>
      <c r="G442" s="71" t="s">
        <v>138</v>
      </c>
      <c r="H442" s="80" t="s">
        <v>184</v>
      </c>
      <c r="I442" s="72" t="s">
        <v>47</v>
      </c>
      <c r="J442" s="62">
        <v>2</v>
      </c>
      <c r="K442" s="62">
        <v>2.5</v>
      </c>
      <c r="O442">
        <v>181920</v>
      </c>
      <c r="P442">
        <v>180000</v>
      </c>
      <c r="Q442">
        <v>181920</v>
      </c>
      <c r="T442" s="68">
        <f>=P442/10000*J442*Z442</f>
        <v>1296</v>
      </c>
      <c r="U442">
        <v>200</v>
      </c>
      <c r="V442" s="68" t="s"/>
      <c r="W442" s="68" t="s"/>
      <c r="X442" s="68">
        <f>=O442-P442</f>
        <v>1920</v>
      </c>
      <c r="Y442" s="68">
        <f>=X442-T442-U442-V442</f>
        <v>424</v>
      </c>
      <c r="Z442" s="62">
        <f>=A442-$A$248+1</f>
        <v>36</v>
      </c>
      <c r="AA442" s="68">
        <f>=P442/10000*K442*Z442</f>
        <v>1620</v>
      </c>
      <c r="AB442" s="62">
        <f>=Q442*Z442</f>
        <v>6549120</v>
      </c>
      <c r="AC442" t="s">
        <v>58</v>
      </c>
    </row>
    <row r="443" spans="1:29">
      <c r="A443" s="80">
        <v>46140</v>
      </c>
      <c r="B443" s="62" t="s">
        <v>37</v>
      </c>
      <c r="C443" s="103" t="s"/>
      <c r="D443" s="63" t="s">
        <v>38</v>
      </c>
      <c r="E443" s="98" t="s">
        <v>167</v>
      </c>
      <c r="F443" s="98" t="s">
        <v>168</v>
      </c>
      <c r="G443" s="71" t="s">
        <v>138</v>
      </c>
      <c r="H443" s="80" t="s">
        <v>193</v>
      </c>
      <c r="I443" s="72" t="s">
        <v>47</v>
      </c>
      <c r="J443" s="62">
        <v>2</v>
      </c>
      <c r="K443" s="62">
        <v>2.5</v>
      </c>
      <c r="O443">
        <v>363660</v>
      </c>
      <c r="P443">
        <v>360000</v>
      </c>
      <c r="Q443">
        <v>363660</v>
      </c>
      <c r="T443" s="68">
        <f>=P443/10000*J443*Z443</f>
        <v>2448</v>
      </c>
      <c r="U443">
        <v>400</v>
      </c>
      <c r="V443" s="68" t="s"/>
      <c r="W443" s="68" t="s"/>
      <c r="X443" s="68">
        <f>=O443-P443</f>
        <v>3660</v>
      </c>
      <c r="Y443" s="68">
        <f>=X443-T443-U443-V443</f>
        <v>812</v>
      </c>
      <c r="Z443" s="62">
        <f>=A443-$A$262+1</f>
        <v>34</v>
      </c>
      <c r="AA443" s="68">
        <f>=P443/10000*K443*Z443</f>
        <v>3060</v>
      </c>
      <c r="AB443" s="62">
        <f>=Q443*Z443</f>
        <v>12364440</v>
      </c>
      <c r="AC443" t="s">
        <v>58</v>
      </c>
    </row>
    <row r="444" spans="1:29">
      <c r="A444" s="80">
        <v>46140</v>
      </c>
      <c r="B444" s="103" t="s"/>
      <c r="C444" s="103" t="s"/>
      <c r="D444" s="62" t="s">
        <v>38</v>
      </c>
      <c r="E444" s="62" t="s">
        <v>133</v>
      </c>
      <c r="F444" s="62" t="s">
        <v>134</v>
      </c>
      <c r="G444" s="71" t="s">
        <v>135</v>
      </c>
      <c r="H444" s="80" t="s">
        <v>187</v>
      </c>
      <c r="I444" s="69" t="s">
        <v>47</v>
      </c>
      <c r="J444" s="62">
        <v>2</v>
      </c>
      <c r="K444" s="62">
        <v>2.5</v>
      </c>
      <c r="O444">
        <v>60221</v>
      </c>
      <c r="P444">
        <v>59500</v>
      </c>
      <c r="Q444">
        <v>60221</v>
      </c>
      <c r="T444" s="68">
        <f>=P444/10000*J444*Z444</f>
        <v>416.5</v>
      </c>
      <c r="U444">
        <v>200</v>
      </c>
      <c r="V444" s="68" t="s"/>
      <c r="W444" s="68" t="s"/>
      <c r="X444" s="68">
        <f>=O444-P444</f>
        <v>721</v>
      </c>
      <c r="Y444" s="68">
        <f>=X444-T444-U444-V444</f>
        <v>104.5</v>
      </c>
      <c r="Z444" s="62">
        <f>=A444-$A$256+1</f>
        <v>35</v>
      </c>
      <c r="AA444" s="68">
        <f>=P444/10000*K444*Z444</f>
        <v>520.625</v>
      </c>
      <c r="AB444" s="62">
        <f>=Q444*Z444</f>
        <v>2107735</v>
      </c>
      <c r="AC444" t="s">
        <v>58</v>
      </c>
    </row>
    <row r="445" spans="1:29">
      <c r="A445" s="80">
        <v>46140</v>
      </c>
      <c r="B445" s="103" t="s"/>
      <c r="C445" s="103" t="s"/>
      <c r="D445" s="62" t="s">
        <v>38</v>
      </c>
      <c r="E445" s="62" t="s">
        <v>133</v>
      </c>
      <c r="F445" s="62" t="s">
        <v>134</v>
      </c>
      <c r="G445" s="71" t="s">
        <v>135</v>
      </c>
      <c r="H445" s="80" t="s">
        <v>237</v>
      </c>
      <c r="I445" s="69" t="s">
        <v>47</v>
      </c>
      <c r="J445" s="62">
        <v>2</v>
      </c>
      <c r="K445" s="62">
        <v>2.5</v>
      </c>
      <c r="O445">
        <v>139656</v>
      </c>
      <c r="P445">
        <v>138600</v>
      </c>
      <c r="Q445">
        <v>139656</v>
      </c>
      <c r="T445" s="68">
        <f>=P445/10000*J445*Z445</f>
        <v>748.44</v>
      </c>
      <c r="U445">
        <v>120</v>
      </c>
      <c r="V445" s="68" t="s"/>
      <c r="W445" s="68" t="s"/>
      <c r="X445" s="68">
        <f>=O445-P445</f>
        <v>1056</v>
      </c>
      <c r="Y445" s="68">
        <f>=X445-T445-U445-V445</f>
        <v>187.56</v>
      </c>
      <c r="Z445" s="62">
        <f>=A445-$A$312+1</f>
        <v>27</v>
      </c>
      <c r="AA445" s="68">
        <f>=P445/10000*K445*Z445</f>
        <v>935.55</v>
      </c>
      <c r="AB445" s="62">
        <f>=Q445*Z445</f>
        <v>3770712</v>
      </c>
      <c r="AC445" t="s">
        <v>58</v>
      </c>
    </row>
    <row r="446" spans="1:29">
      <c r="A446" s="80">
        <v>46140</v>
      </c>
      <c r="B446" s="103" t="s"/>
      <c r="C446" s="103" t="s"/>
      <c r="D446" s="62" t="s">
        <v>114</v>
      </c>
      <c r="E446" s="62" t="s">
        <v>114</v>
      </c>
      <c r="F446" s="62" t="s">
        <v>115</v>
      </c>
      <c r="G446" s="64" t="s">
        <v>116</v>
      </c>
      <c r="H446" s="64" t="s">
        <v>246</v>
      </c>
      <c r="I446" s="69" t="s">
        <v>47</v>
      </c>
      <c r="J446" s="62">
        <v>2</v>
      </c>
      <c r="K446" s="62">
        <v>2.6</v>
      </c>
      <c r="O446">
        <v>22108</v>
      </c>
      <c r="P446">
        <v>22000</v>
      </c>
      <c r="Q446">
        <v>22108</v>
      </c>
      <c r="T446" s="68">
        <f>=P446/10000*J446*Z446</f>
        <v>83.6</v>
      </c>
      <c r="U446" s="62">
        <v>0</v>
      </c>
      <c r="V446" s="68" t="s"/>
      <c r="W446" s="68" t="s"/>
      <c r="X446" s="68">
        <f>=O446-P446</f>
        <v>108</v>
      </c>
      <c r="Y446" s="68">
        <f>=X446-T446-U446-V446</f>
        <v>24.4</v>
      </c>
      <c r="Z446" s="62">
        <f>=A446-$A$360+1</f>
        <v>19</v>
      </c>
      <c r="AA446" s="68">
        <f>=P446/10000*K446*Z446</f>
        <v>108.68</v>
      </c>
      <c r="AB446" s="62">
        <f>=Q446*Z446</f>
        <v>420052</v>
      </c>
      <c r="AC446" t="s">
        <v>58</v>
      </c>
    </row>
    <row r="447" spans="1:29">
      <c r="A447" s="80">
        <v>46141</v>
      </c>
      <c r="B447" s="103" t="s"/>
      <c r="C447" s="62">
        <f>=TODAY()-A447+1</f>
        <v>42</v>
      </c>
      <c r="D447" s="64" t="s">
        <v>38</v>
      </c>
      <c r="E447" s="131" t="s">
        <v>54</v>
      </c>
      <c r="F447" s="64" t="s">
        <v>55</v>
      </c>
      <c r="G447" s="71" t="s">
        <v>191</v>
      </c>
      <c r="H447" s="98" t="s">
        <v>300</v>
      </c>
      <c r="I447" s="65" t="s">
        <v>43</v>
      </c>
      <c r="J447" s="62">
        <v>2</v>
      </c>
      <c r="K447" s="62">
        <v>2.5</v>
      </c>
      <c r="M447">
        <v>1000000</v>
      </c>
      <c r="AC447" t="s">
        <v>58</v>
      </c>
    </row>
    <row r="448" spans="1:29">
      <c r="A448" s="80">
        <v>46141</v>
      </c>
      <c r="B448" s="123" t="s">
        <v>37</v>
      </c>
      <c r="C448" s="62" t="s"/>
      <c r="D448" s="62" t="s">
        <v>38</v>
      </c>
      <c r="E448" t="s">
        <v>288</v>
      </c>
      <c r="F448" t="s">
        <v>289</v>
      </c>
      <c r="G448" s="136" t="s">
        <v>301</v>
      </c>
      <c r="H448" s="98" t="s">
        <v>302</v>
      </c>
      <c r="I448" s="65" t="s">
        <v>43</v>
      </c>
      <c r="J448" s="62">
        <v>2</v>
      </c>
      <c r="K448" s="62">
        <v>2.5</v>
      </c>
      <c r="M448">
        <v>90730</v>
      </c>
      <c r="AC448" t="s">
        <v>58</v>
      </c>
    </row>
    <row r="449" spans="1:29">
      <c r="A449" s="80">
        <v>46141</v>
      </c>
      <c r="B449" s="103" t="s"/>
      <c r="C449" s="103" t="s"/>
      <c r="D449" s="62" t="s">
        <v>38</v>
      </c>
      <c r="E449" s="62" t="s">
        <v>270</v>
      </c>
      <c r="F449" s="62" t="s">
        <v>271</v>
      </c>
      <c r="G449" s="97" t="s">
        <v>272</v>
      </c>
      <c r="H449" s="80" t="s">
        <v>273</v>
      </c>
      <c r="I449" s="69" t="s">
        <v>47</v>
      </c>
      <c r="J449" s="62">
        <v>2</v>
      </c>
      <c r="K449" s="62">
        <v>2.5</v>
      </c>
      <c r="O449">
        <v>4679.5</v>
      </c>
      <c r="P449">
        <v>4655</v>
      </c>
      <c r="Q449">
        <v>4679.5</v>
      </c>
      <c r="T449" s="68">
        <f>=P449/10000*J449*Z449</f>
        <v>11.172</v>
      </c>
      <c r="U449">
        <v>7</v>
      </c>
      <c r="V449" s="68" t="s"/>
      <c r="W449" s="68" t="s"/>
      <c r="X449" s="68">
        <f>=O449-P449</f>
        <v>24.5</v>
      </c>
      <c r="Y449" s="68">
        <f>=X449-T449-U449-V449</f>
        <v>6.328</v>
      </c>
      <c r="Z449" s="62">
        <f>=A449-$A$396+1</f>
        <v>12</v>
      </c>
      <c r="AA449" s="68">
        <f>=P449/10000*K449*Z449</f>
        <v>13.965</v>
      </c>
      <c r="AB449" s="62">
        <f>=Q449*Z449</f>
        <v>56154</v>
      </c>
      <c r="AC449" t="s">
        <v>58</v>
      </c>
    </row>
    <row r="450" spans="1:29">
      <c r="A450" s="80">
        <v>46141</v>
      </c>
      <c r="B450" s="103" t="s"/>
      <c r="C450" s="103" t="s"/>
      <c r="D450" s="62" t="s">
        <v>38</v>
      </c>
      <c r="E450" s="62" t="s">
        <v>270</v>
      </c>
      <c r="F450" s="62" t="s">
        <v>271</v>
      </c>
      <c r="G450" s="97" t="s">
        <v>272</v>
      </c>
      <c r="H450" s="80" t="s">
        <v>274</v>
      </c>
      <c r="I450" s="69" t="s">
        <v>47</v>
      </c>
      <c r="J450" s="62">
        <v>2</v>
      </c>
      <c r="K450" s="62">
        <v>2.5</v>
      </c>
      <c r="O450">
        <v>26718.2</v>
      </c>
      <c r="P450">
        <v>26600</v>
      </c>
      <c r="Q450">
        <v>26718.2</v>
      </c>
      <c r="T450" s="68">
        <f>=P450/10000*J450*Z450</f>
        <v>58.52</v>
      </c>
      <c r="U450">
        <v>30</v>
      </c>
      <c r="V450" s="68" t="s"/>
      <c r="W450" s="68" t="s"/>
      <c r="X450" s="68">
        <f>=O450-P450</f>
        <v>118.200000000001</v>
      </c>
      <c r="Y450" s="68">
        <f>=X450-T450-U450-V450</f>
        <v>29.6800000000007</v>
      </c>
      <c r="Z450" s="62">
        <f>=A450-$A$397+1</f>
        <v>11</v>
      </c>
      <c r="AA450" s="68">
        <f>=P450/10000*K450*Z450</f>
        <v>73.15</v>
      </c>
      <c r="AB450" s="62">
        <f>=Q450*Z450</f>
        <v>293900.2</v>
      </c>
      <c r="AC450" t="s">
        <v>58</v>
      </c>
    </row>
    <row r="451" spans="1:29">
      <c r="A451" s="80">
        <v>46141</v>
      </c>
      <c r="B451" s="103" t="s"/>
      <c r="C451" s="103" t="s"/>
      <c r="D451" s="62" t="s">
        <v>38</v>
      </c>
      <c r="E451" s="62" t="s">
        <v>270</v>
      </c>
      <c r="F451" s="62" t="s">
        <v>271</v>
      </c>
      <c r="G451" s="97" t="s">
        <v>272</v>
      </c>
      <c r="H451" s="80" t="s">
        <v>275</v>
      </c>
      <c r="I451" s="69" t="s">
        <v>47</v>
      </c>
      <c r="J451" s="62">
        <v>2</v>
      </c>
      <c r="K451" s="62">
        <v>2.5</v>
      </c>
      <c r="O451">
        <v>19328.2</v>
      </c>
      <c r="P451">
        <v>19250</v>
      </c>
      <c r="Q451">
        <v>19328.2</v>
      </c>
      <c r="T451" s="68">
        <f>=P451/10000*J451*Z451</f>
        <v>38.5</v>
      </c>
      <c r="U451">
        <v>20</v>
      </c>
      <c r="V451" s="68" t="s"/>
      <c r="W451" s="68" t="s"/>
      <c r="X451" s="68">
        <f>=O451-P451</f>
        <v>78.2000000000007</v>
      </c>
      <c r="Y451" s="68">
        <f>=X451-T451-U451-V451</f>
        <v>19.7000000000007</v>
      </c>
      <c r="Z451" s="62">
        <f>=A451-$A$398+1</f>
        <v>10</v>
      </c>
      <c r="AA451" s="68">
        <f>=P451/10000*K451*Z451</f>
        <v>48.125</v>
      </c>
      <c r="AB451" s="62">
        <f>=Q451*Z451</f>
        <v>193282</v>
      </c>
      <c r="AC451" t="s">
        <v>58</v>
      </c>
    </row>
    <row r="452" spans="1:29">
      <c r="A452" s="80">
        <v>46141</v>
      </c>
      <c r="B452" s="62" t="s">
        <v>37</v>
      </c>
      <c r="C452" s="103" t="s"/>
      <c r="D452" s="63" t="s">
        <v>38</v>
      </c>
      <c r="E452" s="62" t="s">
        <v>39</v>
      </c>
      <c r="F452" s="62" t="s">
        <v>137</v>
      </c>
      <c r="G452" s="108" t="s">
        <v>294</v>
      </c>
      <c r="H452" s="80" t="s">
        <v>139</v>
      </c>
      <c r="I452" s="69" t="s">
        <v>47</v>
      </c>
      <c r="J452" s="62">
        <v>2</v>
      </c>
      <c r="K452" s="62">
        <v>3</v>
      </c>
      <c r="O452">
        <v>1751247</v>
      </c>
      <c r="P452">
        <v>1720800</v>
      </c>
      <c r="Q452">
        <v>1751247</v>
      </c>
      <c r="T452" s="68">
        <f>=P452/10000*J452*Z452</f>
        <v>17896.32</v>
      </c>
      <c r="U452">
        <v>1800</v>
      </c>
      <c r="V452" s="68" t="s"/>
      <c r="W452" s="68" t="s"/>
      <c r="X452" s="68">
        <f>=O452-P452</f>
        <v>30447</v>
      </c>
      <c r="Y452" s="68">
        <f>=X452-T452-U452-V452</f>
        <v>10750.68</v>
      </c>
      <c r="Z452" s="62">
        <f>=A452-$A$198+1</f>
        <v>52</v>
      </c>
      <c r="AA452" s="68">
        <f>=P452/10000*K452*Z452</f>
        <v>26844.48</v>
      </c>
      <c r="AB452" s="62">
        <f>=Q452*Z452</f>
        <v>91064844</v>
      </c>
      <c r="AC452" t="s">
        <v>58</v>
      </c>
    </row>
    <row r="453" spans="1:29">
      <c r="A453" s="80">
        <v>46141</v>
      </c>
      <c r="B453" s="106" t="s">
        <v>37</v>
      </c>
      <c r="C453" s="62" t="s"/>
      <c r="D453" s="63" t="s">
        <v>38</v>
      </c>
      <c r="E453" s="62" t="s">
        <v>39</v>
      </c>
      <c r="F453" s="62" t="s">
        <v>137</v>
      </c>
      <c r="G453" s="108" t="s">
        <v>294</v>
      </c>
      <c r="H453" s="98" t="s">
        <v>303</v>
      </c>
      <c r="I453" s="137" t="s">
        <v>43</v>
      </c>
      <c r="J453" s="78">
        <v>2</v>
      </c>
      <c r="K453" s="62">
        <v>2.5</v>
      </c>
      <c r="M453">
        <v>1710000</v>
      </c>
      <c r="T453" s="68" t="s"/>
      <c r="V453" s="68" t="s"/>
      <c r="W453" s="68" t="s"/>
      <c r="X453" s="68" t="s"/>
      <c r="Y453" s="68" t="s"/>
      <c r="Z453" s="62" t="s"/>
      <c r="AA453" s="62" t="s"/>
      <c r="AB453" s="62" t="s"/>
      <c r="AC453" t="s">
        <v>58</v>
      </c>
    </row>
    <row r="454" spans="1:29">
      <c r="A454" s="63">
        <v>46141</v>
      </c>
      <c r="B454" s="103" t="s"/>
      <c r="C454" s="103" t="s"/>
      <c r="D454" s="62" t="s">
        <v>38</v>
      </c>
      <c r="E454" s="62" t="s">
        <v>48</v>
      </c>
      <c r="F454" s="62" t="s">
        <v>49</v>
      </c>
      <c r="G454" t="s">
        <v>217</v>
      </c>
      <c r="H454" s="80" t="s">
        <v>219</v>
      </c>
      <c r="I454" s="113" t="s">
        <v>47</v>
      </c>
      <c r="J454" s="62">
        <v>2</v>
      </c>
      <c r="K454" s="62">
        <v>2.5</v>
      </c>
      <c r="O454">
        <v>196404.6</v>
      </c>
      <c r="P454">
        <v>194880</v>
      </c>
      <c r="Q454">
        <v>196404.6</v>
      </c>
      <c r="T454" s="68">
        <f>=P454/10000*J454*Z454</f>
        <v>1169.28</v>
      </c>
      <c r="U454">
        <v>42</v>
      </c>
      <c r="V454" s="68" t="s"/>
      <c r="W454" s="68" t="s"/>
      <c r="X454" s="68">
        <f>=O454-P454</f>
        <v>1524.60000000001</v>
      </c>
      <c r="Y454" s="68">
        <f>=X454-T454-U454-V454</f>
        <v>313.320000000006</v>
      </c>
      <c r="Z454" s="62">
        <f>=A454-$A$289+1</f>
        <v>30</v>
      </c>
      <c r="AA454" s="68">
        <f>=P454/10000*K454*Z454</f>
        <v>1461.6</v>
      </c>
      <c r="AB454" s="62">
        <f>=Q454*Z454</f>
        <v>5892138</v>
      </c>
      <c r="AC454" t="s">
        <v>58</v>
      </c>
    </row>
    <row r="455" spans="1:29">
      <c r="A455" s="80">
        <v>46141</v>
      </c>
      <c r="B455" s="123" t="s">
        <v>37</v>
      </c>
      <c r="C455" s="103" t="s"/>
      <c r="D455" s="62" t="s">
        <v>38</v>
      </c>
      <c r="E455" s="62" t="s">
        <v>199</v>
      </c>
      <c r="F455" s="62" t="s">
        <v>200</v>
      </c>
      <c r="G455" s="94" t="s">
        <v>201</v>
      </c>
      <c r="H455" s="64" t="s">
        <v>202</v>
      </c>
      <c r="I455" s="72" t="s">
        <v>47</v>
      </c>
      <c r="J455">
        <v>2</v>
      </c>
      <c r="K455">
        <v>2.3</v>
      </c>
      <c r="O455">
        <v>2046200</v>
      </c>
      <c r="P455">
        <v>2028000</v>
      </c>
      <c r="Q455">
        <v>2046200</v>
      </c>
      <c r="T455" s="68">
        <f>=P455/10000*J455*Z455</f>
        <v>14196</v>
      </c>
      <c r="U455">
        <f>=520+471</f>
        <v>991</v>
      </c>
      <c r="V455" s="68" t="s"/>
      <c r="W455" s="68" t="s"/>
      <c r="X455" s="68">
        <f>=O455-P455</f>
        <v>18200</v>
      </c>
      <c r="Y455" s="68">
        <f>=X455-T455-U455-V455</f>
        <v>3013</v>
      </c>
      <c r="Z455" s="62">
        <f>=A455-$A$268+1</f>
        <v>35</v>
      </c>
      <c r="AA455" s="68">
        <f>=P455/10000*K455*Z455</f>
        <v>16325.4</v>
      </c>
      <c r="AB455" s="62">
        <f>=Q455*Z455</f>
        <v>71617000</v>
      </c>
      <c r="AC455" t="s">
        <v>44</v>
      </c>
    </row>
    <row r="456" spans="1:29">
      <c r="A456" s="63">
        <v>46141</v>
      </c>
      <c r="B456" s="123" t="s">
        <v>37</v>
      </c>
      <c r="C456" s="103" t="s"/>
      <c r="D456" s="62" t="s">
        <v>38</v>
      </c>
      <c r="E456" s="62" t="s">
        <v>199</v>
      </c>
      <c r="F456" s="62" t="s">
        <v>200</v>
      </c>
      <c r="G456" s="94" t="s">
        <v>201</v>
      </c>
      <c r="H456" s="64" t="s">
        <v>214</v>
      </c>
      <c r="I456" s="72" t="s">
        <v>47</v>
      </c>
      <c r="J456">
        <v>2</v>
      </c>
      <c r="K456">
        <v>2.3</v>
      </c>
      <c r="O456">
        <v>1101800</v>
      </c>
      <c r="P456">
        <v>1092000</v>
      </c>
      <c r="Q456">
        <v>1101800</v>
      </c>
      <c r="T456" s="68">
        <f>=P456/10000*J456*Z456</f>
        <v>6770.4</v>
      </c>
      <c r="U456">
        <v>280</v>
      </c>
      <c r="V456" s="68" t="s"/>
      <c r="W456" s="68" t="s"/>
      <c r="X456" s="68">
        <f>=O456-P456</f>
        <v>9800</v>
      </c>
      <c r="Y456" s="68">
        <f>=X456-T456-U456-V456</f>
        <v>2749.6</v>
      </c>
      <c r="Z456" s="62">
        <f>=A456-$A$282+1</f>
        <v>31</v>
      </c>
      <c r="AA456" s="68">
        <f>=P456/10000*K456*Z456</f>
        <v>7785.96</v>
      </c>
      <c r="AB456" s="62">
        <f>=Q456*Z456</f>
        <v>34155800</v>
      </c>
      <c r="AC456" t="s">
        <v>44</v>
      </c>
    </row>
    <row r="457" spans="1:29">
      <c r="A457" s="63">
        <v>46141</v>
      </c>
      <c r="B457" s="62" t="s">
        <v>37</v>
      </c>
      <c r="C457" s="103" t="s"/>
      <c r="D457" s="62" t="s">
        <v>38</v>
      </c>
      <c r="E457" s="62" t="s">
        <v>85</v>
      </c>
      <c r="F457" s="62" t="s">
        <v>86</v>
      </c>
      <c r="G457" s="71" t="s">
        <v>65</v>
      </c>
      <c r="H457" s="80" t="s">
        <v>132</v>
      </c>
      <c r="I457" s="72" t="s">
        <v>47</v>
      </c>
      <c r="J457" s="62">
        <v>1.46</v>
      </c>
      <c r="K457" s="62">
        <v>2</v>
      </c>
      <c r="O457">
        <v>2019547.72</v>
      </c>
      <c r="P457">
        <v>1973574</v>
      </c>
      <c r="Q457">
        <v>2019547.72</v>
      </c>
      <c r="T457" s="68">
        <f>=P457/10000*J457*Z457</f>
        <v>17000.366436</v>
      </c>
      <c r="U457">
        <v>0</v>
      </c>
      <c r="V457" s="68" t="s"/>
      <c r="W457" s="68" t="s"/>
      <c r="X457" s="68">
        <f>=O457-P457</f>
        <v>45973.72</v>
      </c>
      <c r="Y457" s="68">
        <f>=X457-T457-U457-V457</f>
        <v>28973.353564</v>
      </c>
      <c r="Z457" s="62">
        <f>=A457-$A$187+1</f>
        <v>59</v>
      </c>
      <c r="AA457" s="68">
        <f>=P457/10000*K457*Z457</f>
        <v>23288.1732</v>
      </c>
      <c r="AB457" s="62">
        <f>=Q457*Z457</f>
        <v>119153315.48</v>
      </c>
      <c r="AC457" t="s">
        <v>44</v>
      </c>
    </row>
    <row r="458" spans="1:29">
      <c r="A458" s="63">
        <v>46142</v>
      </c>
      <c r="B458" s="103" t="s"/>
      <c r="C458" s="103" t="s"/>
      <c r="D458" s="64" t="s">
        <v>38</v>
      </c>
      <c r="E458" s="62" t="s">
        <v>48</v>
      </c>
      <c r="F458" s="62" t="s">
        <v>222</v>
      </c>
      <c r="G458" s="97" t="s">
        <v>223</v>
      </c>
      <c r="H458" s="80" t="s">
        <v>224</v>
      </c>
      <c r="I458" s="65" t="s">
        <v>47</v>
      </c>
      <c r="J458" s="62">
        <v>2</v>
      </c>
      <c r="K458" s="62">
        <v>2.5</v>
      </c>
      <c r="O458">
        <v>1346744</v>
      </c>
      <c r="P458">
        <v>1334800</v>
      </c>
      <c r="Q458">
        <v>1346744</v>
      </c>
      <c r="T458" s="68">
        <f>=P458/10000*J458*Z458</f>
        <v>8275.76</v>
      </c>
      <c r="U458">
        <v>1200</v>
      </c>
      <c r="V458" s="68" t="s"/>
      <c r="W458" s="68" t="s"/>
      <c r="X458" s="68">
        <f>=O458-P458</f>
        <v>11944</v>
      </c>
      <c r="Y458" s="68">
        <f>=X458-T458-U458-V458</f>
        <v>2468.24</v>
      </c>
      <c r="Z458" s="62">
        <f>=A458-$A$291+1</f>
        <v>31</v>
      </c>
      <c r="AA458" s="68">
        <f>=P458/10000*K458*Z458</f>
        <v>10344.7</v>
      </c>
      <c r="AB458" s="62">
        <f>=Q458*Z458</f>
        <v>41749064</v>
      </c>
      <c r="AC458" t="s">
        <v>58</v>
      </c>
    </row>
    <row r="459" spans="1:29">
      <c r="A459" s="80">
        <v>46142</v>
      </c>
      <c r="B459" s="106" t="s">
        <v>37</v>
      </c>
      <c r="C459" s="103" t="s"/>
      <c r="D459" s="62" t="s">
        <v>38</v>
      </c>
      <c r="E459" t="s">
        <v>288</v>
      </c>
      <c r="F459" t="s">
        <v>289</v>
      </c>
      <c r="G459" s="136" t="s">
        <v>290</v>
      </c>
      <c r="H459" s="87" t="s">
        <v>291</v>
      </c>
      <c r="I459" s="65" t="s">
        <v>47</v>
      </c>
      <c r="J459" s="62">
        <v>2</v>
      </c>
      <c r="K459" s="62">
        <v>2.5</v>
      </c>
      <c r="O459">
        <v>33096</v>
      </c>
      <c r="P459">
        <v>33000</v>
      </c>
      <c r="Q459">
        <v>33096</v>
      </c>
      <c r="T459" s="68">
        <f>=P459/10000*J459*Z459</f>
        <v>52.8</v>
      </c>
      <c r="U459">
        <v>20</v>
      </c>
      <c r="V459" s="68" t="s"/>
      <c r="W459" s="68" t="s"/>
      <c r="X459" s="68">
        <f>=O459-P459</f>
        <v>96</v>
      </c>
      <c r="Y459" s="68">
        <f>=X459-T459-U459-V459</f>
        <v>23.2</v>
      </c>
      <c r="Z459" s="62">
        <f>=A459-$A$420+1</f>
        <v>8</v>
      </c>
      <c r="AA459" s="68">
        <f>=P459/10000*K459*Z459</f>
        <v>66</v>
      </c>
      <c r="AB459" s="62">
        <f>=Q459*Z459</f>
        <v>264768</v>
      </c>
      <c r="AC459" t="s">
        <v>58</v>
      </c>
    </row>
    <row r="460" spans="1:29">
      <c r="A460" s="63">
        <v>46142</v>
      </c>
      <c r="B460" s="103" t="s"/>
      <c r="C460" s="103" t="s"/>
      <c r="D460" s="64" t="s">
        <v>38</v>
      </c>
      <c r="E460" s="64" t="s">
        <v>148</v>
      </c>
      <c r="F460" s="64" t="s">
        <v>153</v>
      </c>
      <c r="G460" s="71" t="s">
        <v>211</v>
      </c>
      <c r="H460" s="80" t="s">
        <v>212</v>
      </c>
      <c r="I460" s="73" t="s">
        <v>47</v>
      </c>
      <c r="J460" s="62">
        <v>2</v>
      </c>
      <c r="K460" s="62">
        <v>2.5</v>
      </c>
      <c r="O460">
        <v>3249.76</v>
      </c>
      <c r="P460">
        <v>3220</v>
      </c>
      <c r="Q460">
        <v>3249.76</v>
      </c>
      <c r="T460" s="68">
        <f>=P460/10000*J460*Z460</f>
        <v>20.608</v>
      </c>
      <c r="U460">
        <v>3</v>
      </c>
      <c r="V460" s="68" t="s"/>
      <c r="W460" s="68" t="s"/>
      <c r="X460" s="68">
        <f>=O460-P460</f>
        <v>29.7600000000002</v>
      </c>
      <c r="Y460" s="68">
        <f>=X460-T460-U460-V460</f>
        <v>6.15200000000022</v>
      </c>
      <c r="Z460" s="62">
        <f>=A460-$A$279+1</f>
        <v>32</v>
      </c>
      <c r="AA460" s="68">
        <f>=P460/10000*K460*Z460</f>
        <v>25.76</v>
      </c>
      <c r="AB460" s="62">
        <f>=Q460*Z460</f>
        <v>103992.32</v>
      </c>
      <c r="AC460" t="s">
        <v>58</v>
      </c>
    </row>
    <row r="461" spans="1:29">
      <c r="A461" s="63">
        <v>46142</v>
      </c>
      <c r="B461" s="103" t="s"/>
      <c r="C461" s="103" t="s"/>
      <c r="D461" s="64" t="s">
        <v>38</v>
      </c>
      <c r="E461" s="64" t="s">
        <v>148</v>
      </c>
      <c r="F461" s="64" t="s">
        <v>153</v>
      </c>
      <c r="G461" s="71" t="s">
        <v>211</v>
      </c>
      <c r="H461" s="80" t="s">
        <v>268</v>
      </c>
      <c r="I461" s="73" t="s">
        <v>47</v>
      </c>
      <c r="J461" s="62">
        <v>2</v>
      </c>
      <c r="K461" s="62">
        <v>2.5</v>
      </c>
      <c r="O461">
        <v>153134</v>
      </c>
      <c r="P461">
        <v>152500</v>
      </c>
      <c r="Q461">
        <v>153134</v>
      </c>
      <c r="T461" s="68">
        <f>=P461/10000*J461*Z461</f>
        <v>427</v>
      </c>
      <c r="U461">
        <v>75</v>
      </c>
      <c r="V461" s="68" t="s"/>
      <c r="W461" s="68" t="s"/>
      <c r="X461" s="68">
        <f>=O461-P461</f>
        <v>634</v>
      </c>
      <c r="Y461" s="68">
        <f>=X461-T461-U461-V461</f>
        <v>132</v>
      </c>
      <c r="Z461" s="62">
        <f>=A461-$A$390+1</f>
        <v>14</v>
      </c>
      <c r="AA461" s="68">
        <f>=P461/10000*K461*Z461</f>
        <v>533.75</v>
      </c>
      <c r="AB461" s="62">
        <f>=Q461*Z461</f>
        <v>2143876</v>
      </c>
      <c r="AC461" t="s">
        <v>58</v>
      </c>
    </row>
    <row r="462" spans="1:29">
      <c r="A462" s="63">
        <v>46142</v>
      </c>
      <c r="B462" s="103" t="s"/>
      <c r="C462" s="62">
        <f>=TODAY()-A462+1</f>
        <v>88</v>
      </c>
      <c r="D462" s="62" t="s">
        <v>38</v>
      </c>
      <c r="E462" s="62" t="s">
        <v>85</v>
      </c>
      <c r="F462" s="62" t="s">
        <v>86</v>
      </c>
      <c r="G462" s="71" t="s">
        <v>65</v>
      </c>
      <c r="H462" s="98" t="s">
        <v>304</v>
      </c>
      <c r="I462" s="65" t="s">
        <v>43</v>
      </c>
      <c r="J462" s="62">
        <v>1.46</v>
      </c>
      <c r="K462" s="62">
        <v>2</v>
      </c>
      <c r="M462">
        <v>1878435</v>
      </c>
      <c r="T462" s="68" t="s"/>
      <c r="V462" s="68" t="s"/>
      <c r="W462" s="68" t="s"/>
      <c r="X462" s="68" t="s"/>
      <c r="Y462" s="68" t="s"/>
      <c r="AC462" t="s">
        <v>44</v>
      </c>
    </row>
    <row r="463" spans="1:29">
      <c r="A463" s="63">
        <v>46142</v>
      </c>
      <c r="B463" s="62" t="s">
        <v>37</v>
      </c>
      <c r="C463" s="103" t="s"/>
      <c r="D463" s="63" t="s">
        <v>38</v>
      </c>
      <c r="E463" s="62" t="s">
        <v>39</v>
      </c>
      <c r="F463" s="62" t="s">
        <v>137</v>
      </c>
      <c r="G463" s="108" t="s">
        <v>294</v>
      </c>
      <c r="H463" s="80" t="s">
        <v>139</v>
      </c>
      <c r="I463" s="69" t="s">
        <v>47</v>
      </c>
      <c r="J463" s="78">
        <v>2</v>
      </c>
      <c r="K463" s="62">
        <v>3</v>
      </c>
      <c r="O463">
        <v>1360800</v>
      </c>
      <c r="P463">
        <v>1338400</v>
      </c>
      <c r="Q463">
        <v>1360800</v>
      </c>
      <c r="T463" s="68">
        <f>=P463/10000*J463*Z463</f>
        <v>14187.04</v>
      </c>
      <c r="U463">
        <v>1400</v>
      </c>
      <c r="V463" s="68" t="s"/>
      <c r="W463" s="68" t="s"/>
      <c r="X463" s="68">
        <f>=O463-P463</f>
        <v>22400</v>
      </c>
      <c r="Y463" s="68">
        <f>=X463-T463-U463-V463</f>
        <v>6812.96</v>
      </c>
      <c r="Z463" s="62">
        <f>=A463-$A$198+1</f>
        <v>53</v>
      </c>
      <c r="AA463" s="68">
        <f>=P463/10000*K463*Z463</f>
        <v>21280.56</v>
      </c>
      <c r="AB463" s="62">
        <f>=Q463*Z463</f>
        <v>72122400</v>
      </c>
      <c r="AC463" t="s">
        <v>58</v>
      </c>
    </row>
    <row r="464" spans="1:29">
      <c r="A464" s="63">
        <v>46142</v>
      </c>
      <c r="B464" s="62" t="s">
        <v>37</v>
      </c>
      <c r="C464" s="103" t="s"/>
      <c r="D464" s="62" t="s">
        <v>38</v>
      </c>
      <c r="E464" s="78" t="s">
        <v>39</v>
      </c>
      <c r="F464" s="62" t="s">
        <v>40</v>
      </c>
      <c r="G464" s="136" t="s">
        <v>46</v>
      </c>
      <c r="H464" s="64" t="s">
        <v>292</v>
      </c>
      <c r="I464" s="69" t="s">
        <v>47</v>
      </c>
      <c r="J464" s="62">
        <v>2</v>
      </c>
      <c r="K464" s="62">
        <v>2.5</v>
      </c>
      <c r="O464">
        <v>2885640</v>
      </c>
      <c r="P464">
        <v>2880000</v>
      </c>
      <c r="Q464">
        <v>2885640</v>
      </c>
      <c r="T464" s="68">
        <f>=P464/10000*J464*Z464</f>
        <v>4032</v>
      </c>
      <c r="U464">
        <v>600</v>
      </c>
      <c r="V464" s="68" t="s"/>
      <c r="W464" s="68" t="s"/>
      <c r="X464" s="68">
        <f>=O464-P464</f>
        <v>5640</v>
      </c>
      <c r="Y464" s="68">
        <f>=X464-T464-U464-V464</f>
        <v>1008</v>
      </c>
      <c r="Z464" s="62">
        <f>=A464-$A$421+1</f>
        <v>7</v>
      </c>
      <c r="AA464" s="68">
        <f>=P464/10000*K464*Z464</f>
        <v>5040</v>
      </c>
      <c r="AB464" s="62">
        <f>=Q464*Z464</f>
        <v>20199480</v>
      </c>
      <c r="AC464" t="s">
        <v>58</v>
      </c>
    </row>
    <row r="465" spans="1:29">
      <c r="A465" s="63">
        <v>46142</v>
      </c>
      <c r="B465" s="62" t="s">
        <v>37</v>
      </c>
      <c r="C465" s="103" t="s"/>
      <c r="D465" s="62" t="s">
        <v>38</v>
      </c>
      <c r="E465" s="78" t="s">
        <v>39</v>
      </c>
      <c r="F465" s="62" t="s">
        <v>40</v>
      </c>
      <c r="G465" s="136" t="s">
        <v>46</v>
      </c>
      <c r="H465" s="64" t="s">
        <v>295</v>
      </c>
      <c r="I465" s="69" t="s">
        <v>47</v>
      </c>
      <c r="J465" s="62">
        <v>2</v>
      </c>
      <c r="K465" s="62">
        <v>2.5</v>
      </c>
      <c r="O465">
        <v>1923760</v>
      </c>
      <c r="P465">
        <v>1920000</v>
      </c>
      <c r="Q465">
        <v>1923760</v>
      </c>
      <c r="T465" s="68">
        <f>=P465/10000*J465*Z465</f>
        <v>2304</v>
      </c>
      <c r="U465">
        <v>400</v>
      </c>
      <c r="V465" s="68" t="s"/>
      <c r="W465" s="68" t="s"/>
      <c r="X465" s="68">
        <f>=O465-P465</f>
        <v>3760</v>
      </c>
      <c r="Y465" s="68">
        <f>=X465-T465-U465-V465</f>
        <v>1056</v>
      </c>
      <c r="Z465" s="62">
        <f>=A465-$A$431+1</f>
        <v>6</v>
      </c>
      <c r="AA465" s="68">
        <f>=P465/10000*K465*Z465</f>
        <v>2880</v>
      </c>
      <c r="AB465" s="62">
        <f>=Q465*Z465</f>
        <v>11542560</v>
      </c>
      <c r="AC465" t="s">
        <v>58</v>
      </c>
    </row>
    <row r="466" spans="1:29">
      <c r="A466" s="80">
        <v>46142</v>
      </c>
      <c r="B466" s="106" t="s">
        <v>37</v>
      </c>
      <c r="C466" s="62" t="s"/>
      <c r="D466" s="62" t="s">
        <v>38</v>
      </c>
      <c r="E466" s="62" t="s">
        <v>133</v>
      </c>
      <c r="F466" s="62" t="s">
        <v>134</v>
      </c>
      <c r="G466" s="136" t="s">
        <v>305</v>
      </c>
      <c r="H466" s="98" t="s">
        <v>306</v>
      </c>
      <c r="I466" s="73" t="s">
        <v>43</v>
      </c>
      <c r="J466" s="62">
        <v>2</v>
      </c>
      <c r="K466" s="62">
        <v>2.5</v>
      </c>
      <c r="M466">
        <v>5199040</v>
      </c>
      <c r="AC466" t="s">
        <v>58</v>
      </c>
    </row>
    <row r="467" spans="1:29">
      <c r="A467" s="80">
        <v>46142</v>
      </c>
      <c r="B467" s="103" t="s"/>
      <c r="C467" s="62">
        <f>=TODAY()-A467+1</f>
        <v>41</v>
      </c>
      <c r="D467" s="64" t="s">
        <v>38</v>
      </c>
      <c r="E467" s="131" t="s">
        <v>54</v>
      </c>
      <c r="F467" s="64" t="s">
        <v>55</v>
      </c>
      <c r="G467" s="100" t="s">
        <v>191</v>
      </c>
      <c r="H467" s="98" t="s">
        <v>307</v>
      </c>
      <c r="I467" s="65" t="s">
        <v>43</v>
      </c>
      <c r="J467" s="62">
        <v>2</v>
      </c>
      <c r="K467" s="62">
        <v>2.5</v>
      </c>
      <c r="M467">
        <v>979000</v>
      </c>
      <c r="AC467" t="s">
        <v>58</v>
      </c>
    </row>
    <row r="468" spans="1:29">
      <c r="A468" s="80">
        <v>46142</v>
      </c>
      <c r="B468" s="103" t="s"/>
      <c r="C468" s="62">
        <f>=TODAY()-A468+1</f>
        <v>41</v>
      </c>
      <c r="D468" s="64" t="s">
        <v>38</v>
      </c>
      <c r="E468" s="131" t="s">
        <v>54</v>
      </c>
      <c r="F468" s="64" t="s">
        <v>55</v>
      </c>
      <c r="G468" s="71" t="s">
        <v>191</v>
      </c>
      <c r="H468" s="98" t="s">
        <v>307</v>
      </c>
      <c r="I468" s="73" t="s">
        <v>43</v>
      </c>
      <c r="J468" s="62">
        <v>2</v>
      </c>
      <c r="K468" s="62">
        <v>2.5</v>
      </c>
      <c r="M468">
        <v>1545000</v>
      </c>
      <c r="AC468" t="s">
        <v>58</v>
      </c>
    </row>
    <row r="469" spans="1:29">
      <c r="A469" s="80">
        <v>46143</v>
      </c>
      <c r="B469" s="106" t="s">
        <v>37</v>
      </c>
      <c r="C469" s="62" t="s"/>
      <c r="D469" s="78" t="s">
        <v>38</v>
      </c>
      <c r="E469" s="62" t="s">
        <v>133</v>
      </c>
      <c r="F469" s="62" t="s">
        <v>134</v>
      </c>
      <c r="G469" s="146" t="s">
        <v>305</v>
      </c>
      <c r="H469" s="98" t="s">
        <v>308</v>
      </c>
      <c r="I469" s="65" t="s">
        <v>43</v>
      </c>
      <c r="J469" s="78">
        <v>2</v>
      </c>
      <c r="K469" s="78">
        <v>2.5</v>
      </c>
      <c r="M469">
        <v>3697680</v>
      </c>
      <c r="AC469" t="s">
        <v>58</v>
      </c>
    </row>
    <row r="470" spans="1:29">
      <c r="A470" s="63">
        <v>46148</v>
      </c>
      <c r="B470" s="103" t="s"/>
      <c r="C470" s="103" t="s"/>
      <c r="D470" s="78" t="s">
        <v>38</v>
      </c>
      <c r="E470" s="62" t="s">
        <v>48</v>
      </c>
      <c r="F470" s="62" t="s">
        <v>49</v>
      </c>
      <c r="G470" s="108" t="s">
        <v>309</v>
      </c>
      <c r="H470" s="92" t="s">
        <v>61</v>
      </c>
      <c r="I470" s="72" t="s">
        <v>47</v>
      </c>
      <c r="J470" s="78">
        <v>2</v>
      </c>
      <c r="K470" s="78">
        <v>3</v>
      </c>
      <c r="O470">
        <v>193880</v>
      </c>
      <c r="P470">
        <v>177156</v>
      </c>
      <c r="Q470">
        <v>193880</v>
      </c>
      <c r="T470" s="68">
        <f>=P470/10000*J470*Z470</f>
        <v>10452.204</v>
      </c>
      <c r="U470">
        <v>0</v>
      </c>
      <c r="V470" s="68" t="s"/>
      <c r="W470" s="68" t="s"/>
      <c r="X470" s="68">
        <f>=O470-P470</f>
        <v>16724</v>
      </c>
      <c r="Y470" s="68">
        <f>=X470-T470-U470-V470</f>
        <v>6271.796</v>
      </c>
      <c r="Z470" s="62">
        <f>=A470-$A$19+1</f>
        <v>295</v>
      </c>
      <c r="AA470" s="68">
        <f>=P470/10000*K470*Z470</f>
        <v>15678.306</v>
      </c>
      <c r="AB470" s="62">
        <f>=Q470*Z470</f>
        <v>57194600</v>
      </c>
      <c r="AC470" t="s">
        <v>58</v>
      </c>
    </row>
    <row r="471" spans="1:29">
      <c r="A471" s="63">
        <v>46148</v>
      </c>
      <c r="B471" s="103" t="s"/>
      <c r="C471" s="103" t="s"/>
      <c r="D471" s="78" t="s">
        <v>38</v>
      </c>
      <c r="E471" s="62" t="s">
        <v>48</v>
      </c>
      <c r="F471" s="62" t="s">
        <v>49</v>
      </c>
      <c r="G471" s="108" t="s">
        <v>309</v>
      </c>
      <c r="H471" s="92" t="s">
        <v>62</v>
      </c>
      <c r="I471" s="72" t="s">
        <v>47</v>
      </c>
      <c r="J471" s="78">
        <v>2</v>
      </c>
      <c r="K471" s="78">
        <v>3</v>
      </c>
      <c r="O471">
        <v>68120</v>
      </c>
      <c r="P471">
        <v>62244</v>
      </c>
      <c r="Q471">
        <v>68120</v>
      </c>
      <c r="T471" s="68">
        <f>=P471/10000*J471*Z471</f>
        <v>3659.9472</v>
      </c>
      <c r="U471" s="62">
        <v>0</v>
      </c>
      <c r="V471" s="68" t="s"/>
      <c r="W471" s="68" t="s"/>
      <c r="X471" s="68">
        <f>=O471-P471</f>
        <v>5876</v>
      </c>
      <c r="Y471" s="68">
        <f>=X471-T471-U471-V471</f>
        <v>2216.0528</v>
      </c>
      <c r="Z471" s="62">
        <f>=A471-$A$20+1</f>
        <v>294</v>
      </c>
      <c r="AA471" s="68">
        <f>=P471/10000*K471*Z471</f>
        <v>5489.9208</v>
      </c>
      <c r="AB471" s="62">
        <f>=Q471*Z471</f>
        <v>20027280</v>
      </c>
      <c r="AC471" t="s">
        <v>58</v>
      </c>
    </row>
    <row r="472" spans="1:29">
      <c r="A472" s="147">
        <v>46145</v>
      </c>
      <c r="B472" s="123" t="s">
        <v>37</v>
      </c>
      <c r="C472" s="103" t="s"/>
      <c r="D472" s="62" t="s">
        <v>38</v>
      </c>
      <c r="E472" s="62" t="s">
        <v>199</v>
      </c>
      <c r="F472" s="62" t="s">
        <v>200</v>
      </c>
      <c r="G472" s="94" t="s">
        <v>201</v>
      </c>
      <c r="H472" s="64" t="s">
        <v>202</v>
      </c>
      <c r="I472" s="69" t="s">
        <v>47</v>
      </c>
      <c r="J472">
        <v>2</v>
      </c>
      <c r="K472">
        <v>2.3</v>
      </c>
      <c r="O472">
        <v>787400</v>
      </c>
      <c r="P472">
        <v>780000</v>
      </c>
      <c r="Q472">
        <v>787400</v>
      </c>
      <c r="T472" s="68">
        <f>=P472/10000*J472*Z472</f>
        <v>6084</v>
      </c>
      <c r="U472">
        <v>200</v>
      </c>
      <c r="V472" s="68" t="s"/>
      <c r="W472" s="68" t="s"/>
      <c r="X472" s="68">
        <f>=O472-P472</f>
        <v>7400</v>
      </c>
      <c r="Y472" s="68">
        <f>=X472-T472-U472-V472</f>
        <v>1116</v>
      </c>
      <c r="Z472" s="62">
        <f>=A472-$A$268+1</f>
        <v>39</v>
      </c>
      <c r="AA472" s="68">
        <f>=P472/10000*K472*Z472</f>
        <v>6996.6</v>
      </c>
      <c r="AB472" s="62">
        <f>=Q472*Z472</f>
        <v>30708600</v>
      </c>
      <c r="AC472" t="s">
        <v>44</v>
      </c>
    </row>
    <row r="473" spans="1:29">
      <c r="A473" s="148">
        <v>46145</v>
      </c>
      <c r="B473" s="103" t="s"/>
      <c r="C473" s="103" t="s"/>
      <c r="D473" s="64" t="s">
        <v>38</v>
      </c>
      <c r="E473" s="131" t="s">
        <v>54</v>
      </c>
      <c r="F473" t="s">
        <v>284</v>
      </c>
      <c r="G473" s="149" t="s">
        <v>285</v>
      </c>
      <c r="H473" s="110" t="s">
        <v>286</v>
      </c>
      <c r="I473" s="69" t="s">
        <v>47</v>
      </c>
      <c r="J473" s="62">
        <v>2</v>
      </c>
      <c r="K473" s="62">
        <v>2.5</v>
      </c>
      <c r="O473">
        <v>2467830</v>
      </c>
      <c r="P473">
        <v>2460000</v>
      </c>
      <c r="Q473">
        <v>2467830</v>
      </c>
      <c r="T473" s="68">
        <f>=P473/10000*J473*Z473</f>
        <v>5904</v>
      </c>
      <c r="U473">
        <v>300</v>
      </c>
      <c r="V473" s="68" t="s"/>
      <c r="W473" s="68" t="s"/>
      <c r="X473" s="68">
        <f>=O473-P473</f>
        <v>7830</v>
      </c>
      <c r="Y473" s="68">
        <f>=X473-T473-U473-V473</f>
        <v>1626</v>
      </c>
      <c r="Z473" s="62">
        <f>=A473-$A$416+1</f>
        <v>12</v>
      </c>
      <c r="AA473" s="68">
        <f>=P473/10000*K473*Z473</f>
        <v>7380</v>
      </c>
      <c r="AB473" s="62">
        <f>=Q473*Z473</f>
        <v>29613960</v>
      </c>
      <c r="AC473" t="s">
        <v>44</v>
      </c>
    </row>
    <row r="474" spans="1:29">
      <c r="A474" s="147">
        <v>46147</v>
      </c>
      <c r="B474" s="123" t="s">
        <v>37</v>
      </c>
      <c r="C474" s="103" t="s"/>
      <c r="D474" s="62" t="s">
        <v>38</v>
      </c>
      <c r="E474" s="62" t="s">
        <v>199</v>
      </c>
      <c r="F474" s="62" t="s">
        <v>200</v>
      </c>
      <c r="G474" s="94" t="s">
        <v>201</v>
      </c>
      <c r="H474" s="64" t="s">
        <v>202</v>
      </c>
      <c r="I474" s="69" t="s">
        <v>47</v>
      </c>
      <c r="J474">
        <v>2</v>
      </c>
      <c r="K474">
        <v>2.3</v>
      </c>
      <c r="O474">
        <v>787600</v>
      </c>
      <c r="P474">
        <v>780000</v>
      </c>
      <c r="Q474">
        <v>787600</v>
      </c>
      <c r="T474" s="68">
        <f>=P474/10000*J474*Z474</f>
        <v>6396</v>
      </c>
      <c r="U474">
        <v>200</v>
      </c>
      <c r="V474" s="68" t="s"/>
      <c r="W474" s="68" t="s"/>
      <c r="X474" s="68">
        <f>=O474-P474</f>
        <v>7600</v>
      </c>
      <c r="Y474" s="68">
        <f>=X474-T474-U474-V474</f>
        <v>1004</v>
      </c>
      <c r="Z474" s="62">
        <f>=A474-$A$268+1</f>
        <v>41</v>
      </c>
      <c r="AA474" s="68">
        <f>=P474/10000*K474*Z474</f>
        <v>7355.4</v>
      </c>
      <c r="AB474" s="62">
        <f>=Q474*Z474</f>
        <v>32291600</v>
      </c>
      <c r="AC474" t="s">
        <v>44</v>
      </c>
    </row>
    <row r="475" spans="1:29">
      <c r="A475" s="147">
        <v>46147</v>
      </c>
      <c r="B475" s="123" t="s">
        <v>37</v>
      </c>
      <c r="C475" s="103" t="s"/>
      <c r="D475" s="62" t="s">
        <v>38</v>
      </c>
      <c r="E475" s="62" t="s">
        <v>199</v>
      </c>
      <c r="F475" s="62" t="s">
        <v>200</v>
      </c>
      <c r="G475" s="94" t="s">
        <v>201</v>
      </c>
      <c r="H475" s="64" t="s">
        <v>214</v>
      </c>
      <c r="I475" s="69" t="s">
        <v>47</v>
      </c>
      <c r="J475">
        <v>2</v>
      </c>
      <c r="K475">
        <v>2.3</v>
      </c>
      <c r="O475">
        <v>315040</v>
      </c>
      <c r="P475">
        <v>312000</v>
      </c>
      <c r="Q475">
        <v>315040</v>
      </c>
      <c r="T475" s="68">
        <f>=P475/10000*J475*Z475</f>
        <v>2308.8</v>
      </c>
      <c r="U475">
        <v>80</v>
      </c>
      <c r="V475" s="68" t="s"/>
      <c r="W475" s="68" t="s"/>
      <c r="X475" s="68">
        <f>=O475-P475</f>
        <v>3040</v>
      </c>
      <c r="Y475" s="68">
        <f>=X475-T475-U475-V475</f>
        <v>651.2</v>
      </c>
      <c r="Z475" s="62">
        <f>=A475-$A$282+1</f>
        <v>37</v>
      </c>
      <c r="AA475" s="68">
        <f>=P475/10000*K475*Z475</f>
        <v>2655.12</v>
      </c>
      <c r="AB475" s="62">
        <f>=Q475*Z475</f>
        <v>11656480</v>
      </c>
      <c r="AC475" t="s">
        <v>44</v>
      </c>
    </row>
    <row r="476" spans="1:29">
      <c r="A476" s="80">
        <v>46148</v>
      </c>
      <c r="B476" s="123" t="s">
        <v>37</v>
      </c>
      <c r="C476" s="62" t="s"/>
      <c r="D476" s="62" t="s">
        <v>38</v>
      </c>
      <c r="E476" s="62" t="s">
        <v>133</v>
      </c>
      <c r="F476" s="62" t="s">
        <v>134</v>
      </c>
      <c r="G476" s="136" t="s">
        <v>305</v>
      </c>
      <c r="H476" s="98" t="s">
        <v>310</v>
      </c>
      <c r="I476" s="73" t="s">
        <v>43</v>
      </c>
      <c r="J476" s="62">
        <v>2</v>
      </c>
      <c r="K476" s="62">
        <v>2.5</v>
      </c>
      <c r="M476">
        <v>1008000</v>
      </c>
      <c r="T476" s="68" t="s"/>
      <c r="V476" s="68" t="s"/>
      <c r="W476" s="68" t="s"/>
      <c r="X476" s="68" t="s"/>
      <c r="Y476" s="68" t="s"/>
      <c r="AC476" t="s">
        <v>58</v>
      </c>
    </row>
    <row r="477" spans="1:29">
      <c r="A477" s="80">
        <v>46148</v>
      </c>
      <c r="B477" s="103" t="s"/>
      <c r="C477" s="62">
        <f>=TODAY()-A477+1</f>
        <v>82</v>
      </c>
      <c r="D477" s="64" t="s">
        <v>38</v>
      </c>
      <c r="E477" s="131" t="s">
        <v>54</v>
      </c>
      <c r="F477" s="64" t="s">
        <v>55</v>
      </c>
      <c r="G477" s="71" t="s">
        <v>191</v>
      </c>
      <c r="H477" s="98" t="s">
        <v>311</v>
      </c>
      <c r="I477" s="73" t="s">
        <v>43</v>
      </c>
      <c r="J477" s="62">
        <v>2</v>
      </c>
      <c r="K477" s="62">
        <v>2.5</v>
      </c>
      <c r="M477">
        <v>1000000</v>
      </c>
      <c r="AC477" t="s">
        <v>58</v>
      </c>
    </row>
    <row r="478" spans="1:29">
      <c r="A478" s="147">
        <v>46148</v>
      </c>
      <c r="B478" s="103" t="s"/>
      <c r="C478" s="103" t="s"/>
      <c r="D478" s="62" t="s">
        <v>38</v>
      </c>
      <c r="E478" s="62" t="s">
        <v>48</v>
      </c>
      <c r="F478" s="62" t="s">
        <v>49</v>
      </c>
      <c r="G478" s="97" t="s">
        <v>217</v>
      </c>
      <c r="H478" s="80" t="s">
        <v>219</v>
      </c>
      <c r="I478" s="113" t="s">
        <v>47</v>
      </c>
      <c r="J478" s="62">
        <v>2</v>
      </c>
      <c r="K478" s="62">
        <v>2.5</v>
      </c>
      <c r="O478">
        <v>281155.2</v>
      </c>
      <c r="P478">
        <v>278400</v>
      </c>
      <c r="Q478">
        <v>281155.2</v>
      </c>
      <c r="T478" s="68">
        <f>=P478/10000*J478*Z478</f>
        <v>2060.16</v>
      </c>
      <c r="U478">
        <v>120</v>
      </c>
      <c r="V478" s="68" t="s"/>
      <c r="W478" s="68" t="s"/>
      <c r="X478" s="68">
        <f>=O478-P478</f>
        <v>2755.20000000001</v>
      </c>
      <c r="Y478" s="68">
        <f>=X478-T478-U478-V478</f>
        <v>575.040000000012</v>
      </c>
      <c r="Z478" s="62">
        <f>=A478-$A$289+1</f>
        <v>37</v>
      </c>
      <c r="AA478" s="68">
        <f>=P478/10000*K478*Z478</f>
        <v>2575.2</v>
      </c>
      <c r="AB478" s="62">
        <f>=Q478*Z478</f>
        <v>10402742.4</v>
      </c>
      <c r="AC478" t="s">
        <v>58</v>
      </c>
    </row>
    <row r="479" spans="1:29">
      <c r="A479" s="80">
        <v>46148</v>
      </c>
      <c r="B479" s="123" t="s">
        <v>37</v>
      </c>
      <c r="C479" s="103" t="s"/>
      <c r="D479" s="62" t="s">
        <v>38</v>
      </c>
      <c r="E479" s="62" t="s">
        <v>199</v>
      </c>
      <c r="F479" s="62" t="s">
        <v>200</v>
      </c>
      <c r="G479" s="94" t="s">
        <v>201</v>
      </c>
      <c r="H479" s="64" t="s">
        <v>202</v>
      </c>
      <c r="I479" s="69" t="s">
        <v>47</v>
      </c>
      <c r="J479">
        <v>2</v>
      </c>
      <c r="K479">
        <v>2.3</v>
      </c>
      <c r="O479">
        <v>787800</v>
      </c>
      <c r="P479">
        <v>780000</v>
      </c>
      <c r="Q479">
        <v>787800</v>
      </c>
      <c r="T479" s="68">
        <f>=P479/10000*J479*Z479</f>
        <v>6552</v>
      </c>
      <c r="U479">
        <v>200</v>
      </c>
      <c r="V479" s="68" t="s"/>
      <c r="W479" s="68" t="s"/>
      <c r="X479" s="68">
        <f>=O479-P479</f>
        <v>7800</v>
      </c>
      <c r="Y479" s="68">
        <f>=X479-T479-U479-V479</f>
        <v>1048</v>
      </c>
      <c r="Z479" s="62">
        <f>=A479-$A$268+1</f>
        <v>42</v>
      </c>
      <c r="AA479" s="68">
        <f>=P479/10000*K479*Z479</f>
        <v>7534.8</v>
      </c>
      <c r="AB479" s="62">
        <f>=Q479*Z479</f>
        <v>33087600</v>
      </c>
      <c r="AC479" t="s">
        <v>44</v>
      </c>
    </row>
    <row r="480" spans="1:29">
      <c r="A480" s="147">
        <v>46148</v>
      </c>
      <c r="B480" s="123" t="s">
        <v>37</v>
      </c>
      <c r="C480" s="103" t="s"/>
      <c r="D480" s="62" t="s">
        <v>38</v>
      </c>
      <c r="E480" s="62" t="s">
        <v>199</v>
      </c>
      <c r="F480" s="62" t="s">
        <v>200</v>
      </c>
      <c r="G480" s="94" t="s">
        <v>201</v>
      </c>
      <c r="H480" s="64" t="s">
        <v>214</v>
      </c>
      <c r="I480" s="69" t="s">
        <v>47</v>
      </c>
      <c r="J480">
        <v>2</v>
      </c>
      <c r="K480">
        <v>2.3</v>
      </c>
      <c r="O480">
        <v>1575600</v>
      </c>
      <c r="P480">
        <v>1560000</v>
      </c>
      <c r="Q480">
        <v>1575600</v>
      </c>
      <c r="T480" s="68">
        <f>=P480/10000*J480*Z480</f>
        <v>11856</v>
      </c>
      <c r="U480">
        <v>400</v>
      </c>
      <c r="V480" s="68" t="s"/>
      <c r="W480" s="68" t="s"/>
      <c r="X480" s="68">
        <f>=O480-P480</f>
        <v>15600</v>
      </c>
      <c r="Y480" s="68">
        <f>=X480-T480-U480-V480</f>
        <v>3344</v>
      </c>
      <c r="Z480" s="62">
        <f>=A480-$A$282+1</f>
        <v>38</v>
      </c>
      <c r="AA480" s="68">
        <f>=P480/10000*K480*Z480</f>
        <v>13634.4</v>
      </c>
      <c r="AB480" s="62">
        <f>=Q480*Z480</f>
        <v>59872800</v>
      </c>
      <c r="AC480" t="s">
        <v>44</v>
      </c>
    </row>
    <row r="481" spans="1:29">
      <c r="A481" s="147">
        <v>46149</v>
      </c>
      <c r="B481" s="123" t="s">
        <v>37</v>
      </c>
      <c r="C481" s="103" t="s"/>
      <c r="D481" s="62" t="s">
        <v>38</v>
      </c>
      <c r="E481" s="62" t="s">
        <v>133</v>
      </c>
      <c r="F481" s="62" t="s">
        <v>134</v>
      </c>
      <c r="G481" s="136" t="s">
        <v>305</v>
      </c>
      <c r="H481" s="80" t="s">
        <v>306</v>
      </c>
      <c r="I481" s="69" t="s">
        <v>47</v>
      </c>
      <c r="J481" s="62">
        <v>2</v>
      </c>
      <c r="K481" s="62">
        <v>2.5</v>
      </c>
      <c r="O481">
        <v>665528</v>
      </c>
      <c r="P481">
        <v>664000</v>
      </c>
      <c r="Q481">
        <v>665528</v>
      </c>
      <c r="T481" s="68">
        <f>=P481/10000*J481*Z481</f>
        <v>1062.4</v>
      </c>
      <c r="U481">
        <v>150</v>
      </c>
      <c r="V481" s="68" t="s"/>
      <c r="W481" s="68" t="s"/>
      <c r="X481" s="68">
        <f>=O481-P481</f>
        <v>1528</v>
      </c>
      <c r="Y481" s="68">
        <f>=X481-T481-U481-V481</f>
        <v>315.6</v>
      </c>
      <c r="Z481" s="62">
        <f>=A481-$A$466+1</f>
        <v>8</v>
      </c>
      <c r="AA481" s="68">
        <f>=P481/10000*K481*Z481</f>
        <v>1328</v>
      </c>
      <c r="AB481" s="62">
        <f>=Q481*Z481</f>
        <v>5324224</v>
      </c>
      <c r="AC481" t="s">
        <v>58</v>
      </c>
    </row>
    <row r="482" spans="1:29">
      <c r="A482" s="80">
        <v>46149</v>
      </c>
      <c r="B482" s="62" t="s">
        <v>37</v>
      </c>
      <c r="C482" s="103" t="s"/>
      <c r="D482" s="63" t="s">
        <v>38</v>
      </c>
      <c r="E482" s="98" t="s">
        <v>167</v>
      </c>
      <c r="F482" s="98" t="s">
        <v>168</v>
      </c>
      <c r="G482" s="71" t="s">
        <v>138</v>
      </c>
      <c r="H482" s="80" t="s">
        <v>184</v>
      </c>
      <c r="I482" s="72" t="s">
        <v>47</v>
      </c>
      <c r="J482" s="62">
        <v>2</v>
      </c>
      <c r="K482" s="62">
        <v>2.5</v>
      </c>
      <c r="O482">
        <v>109395</v>
      </c>
      <c r="P482">
        <v>108000</v>
      </c>
      <c r="Q482">
        <v>109395</v>
      </c>
      <c r="T482" s="68">
        <f>=P482/10000*J482*Z482</f>
        <v>972</v>
      </c>
      <c r="U482">
        <v>120</v>
      </c>
      <c r="V482" s="68" t="s"/>
      <c r="W482" s="68" t="s"/>
      <c r="X482" s="68">
        <f>=O482-P482</f>
        <v>1395</v>
      </c>
      <c r="Y482" s="68">
        <f>=X482-T482-U482-V482</f>
        <v>303</v>
      </c>
      <c r="Z482" s="62">
        <f>=A482-$A$248+1</f>
        <v>45</v>
      </c>
      <c r="AA482" s="68">
        <f>=P482/10000*K482*Z482</f>
        <v>1215</v>
      </c>
      <c r="AB482" s="62">
        <f>=Q482*Z482</f>
        <v>4922775</v>
      </c>
      <c r="AC482" t="s">
        <v>58</v>
      </c>
    </row>
    <row r="483" spans="1:29">
      <c r="A483" s="80">
        <v>46149</v>
      </c>
      <c r="B483" s="62" t="s">
        <v>37</v>
      </c>
      <c r="C483" s="103" t="s"/>
      <c r="D483" s="63" t="s">
        <v>38</v>
      </c>
      <c r="E483" s="98" t="s">
        <v>167</v>
      </c>
      <c r="F483" s="98" t="s">
        <v>168</v>
      </c>
      <c r="G483" s="71" t="s">
        <v>138</v>
      </c>
      <c r="H483" s="80" t="s">
        <v>193</v>
      </c>
      <c r="I483" s="72" t="s">
        <v>47</v>
      </c>
      <c r="J483" s="62">
        <v>2</v>
      </c>
      <c r="K483" s="62">
        <v>2.5</v>
      </c>
      <c r="O483">
        <v>36447</v>
      </c>
      <c r="P483">
        <v>36000</v>
      </c>
      <c r="Q483">
        <v>36447</v>
      </c>
      <c r="T483" s="68">
        <f>=P483/10000*J483*Z483</f>
        <v>309.6</v>
      </c>
      <c r="U483">
        <v>40</v>
      </c>
      <c r="V483" s="68" t="s"/>
      <c r="W483" s="68" t="s"/>
      <c r="X483" s="68">
        <f>=O483-P483</f>
        <v>447</v>
      </c>
      <c r="Y483" s="68">
        <f>=X483-T483-U483-V483</f>
        <v>97.4</v>
      </c>
      <c r="Z483" s="62">
        <f>=A483-$A$262+1</f>
        <v>43</v>
      </c>
      <c r="AA483" s="68">
        <f>=P483/10000*K483*Z483</f>
        <v>387</v>
      </c>
      <c r="AB483" s="62">
        <f>=Q483*Z483</f>
        <v>1567221</v>
      </c>
      <c r="AC483" t="s">
        <v>58</v>
      </c>
    </row>
    <row r="484" spans="1:29">
      <c r="A484" s="80">
        <v>46149</v>
      </c>
      <c r="B484" s="103" t="s"/>
      <c r="C484" s="103" t="s"/>
      <c r="D484" s="62" t="s">
        <v>38</v>
      </c>
      <c r="E484" s="78" t="s">
        <v>128</v>
      </c>
      <c r="F484" s="78" t="s">
        <v>129</v>
      </c>
      <c r="G484" s="97" t="s">
        <v>260</v>
      </c>
      <c r="H484" s="87" t="s">
        <v>261</v>
      </c>
      <c r="I484" s="128" t="s">
        <v>47</v>
      </c>
      <c r="J484" s="62">
        <v>2</v>
      </c>
      <c r="K484" s="62">
        <v>2.5</v>
      </c>
      <c r="O484">
        <v>603760</v>
      </c>
      <c r="P484">
        <v>600000</v>
      </c>
      <c r="Q484">
        <v>603760</v>
      </c>
      <c r="T484" s="68">
        <f>=P484/10000*J484*Z484</f>
        <v>2520</v>
      </c>
      <c r="U484">
        <v>600</v>
      </c>
      <c r="V484" s="68" t="s"/>
      <c r="W484" s="68" t="s"/>
      <c r="X484" s="68">
        <f>=O484-P484</f>
        <v>3760</v>
      </c>
      <c r="Y484" s="68">
        <f>=X484-T484-U484-V484</f>
        <v>640</v>
      </c>
      <c r="Z484" s="62">
        <f>=A484-$A$378+1</f>
        <v>21</v>
      </c>
      <c r="AA484" s="68">
        <f>=P484/10000*K484*Z484</f>
        <v>3150</v>
      </c>
      <c r="AB484" s="62">
        <f>=Q484*Z484</f>
        <v>12678960</v>
      </c>
      <c r="AC484" t="s">
        <v>312</v>
      </c>
    </row>
    <row r="485" spans="1:29">
      <c r="A485" s="80">
        <v>46149</v>
      </c>
      <c r="B485" s="103" t="s"/>
      <c r="C485" s="62">
        <f>=TODAY()-A485+1</f>
        <v>81</v>
      </c>
      <c r="D485" s="64" t="s">
        <v>38</v>
      </c>
      <c r="E485" s="131" t="s">
        <v>54</v>
      </c>
      <c r="F485" s="64" t="s">
        <v>55</v>
      </c>
      <c r="G485" s="71" t="s">
        <v>191</v>
      </c>
      <c r="H485" s="98" t="s">
        <v>313</v>
      </c>
      <c r="I485" s="73" t="s">
        <v>43</v>
      </c>
      <c r="J485" s="62">
        <v>2</v>
      </c>
      <c r="K485" s="62">
        <v>2.5</v>
      </c>
      <c r="M485">
        <v>768430</v>
      </c>
      <c r="AC485" t="s">
        <v>58</v>
      </c>
    </row>
    <row r="486" spans="1:29">
      <c r="A486" s="80">
        <v>46149</v>
      </c>
      <c r="B486" s="62" t="s">
        <v>37</v>
      </c>
      <c r="C486" s="150" t="s"/>
      <c r="D486" s="62" t="s">
        <v>38</v>
      </c>
      <c r="E486" s="62" t="s">
        <v>48</v>
      </c>
      <c r="F486" s="62" t="s">
        <v>73</v>
      </c>
      <c r="G486" s="71" t="s">
        <v>74</v>
      </c>
      <c r="H486" s="64" t="s">
        <v>96</v>
      </c>
      <c r="I486" s="72" t="s">
        <v>47</v>
      </c>
      <c r="J486" s="62">
        <v>1.46</v>
      </c>
      <c r="K486" s="78">
        <v>2.5</v>
      </c>
      <c r="O486">
        <v>218000</v>
      </c>
      <c r="P486">
        <v>210600</v>
      </c>
      <c r="Q486">
        <v>218000</v>
      </c>
      <c r="T486" s="68">
        <f>=P486/10000*J486*Z486</f>
        <v>3935.6928</v>
      </c>
      <c r="U486">
        <v>0</v>
      </c>
      <c r="V486" s="68" t="s"/>
      <c r="W486" s="68" t="s"/>
      <c r="X486" s="68">
        <f>=O486-P486</f>
        <v>7400</v>
      </c>
      <c r="Y486" s="68">
        <f>=X486-T486-U486-V486</f>
        <v>3464.3072</v>
      </c>
      <c r="Z486" s="62">
        <f>=A486-$A$92+1</f>
        <v>128</v>
      </c>
      <c r="AA486" s="68">
        <f>=P486/10000*K486*Z486</f>
        <v>6739.2</v>
      </c>
      <c r="AB486" s="62">
        <f>=Q486*Z486</f>
        <v>27904000</v>
      </c>
      <c r="AC486" t="s">
        <v>312</v>
      </c>
    </row>
    <row r="487" spans="1:29">
      <c r="A487" s="80">
        <v>46150</v>
      </c>
      <c r="B487" s="103" t="s"/>
      <c r="C487" s="150">
        <f>=TODAY()-A487+1</f>
        <v>80</v>
      </c>
      <c r="D487" s="151" t="s">
        <v>38</v>
      </c>
      <c r="E487" s="151" t="s">
        <v>148</v>
      </c>
      <c r="F487" s="151" t="s">
        <v>149</v>
      </c>
      <c r="G487" s="71" t="s">
        <v>150</v>
      </c>
      <c r="H487" s="98" t="s">
        <v>314</v>
      </c>
      <c r="I487" s="73" t="s">
        <v>43</v>
      </c>
      <c r="J487" s="62">
        <v>2</v>
      </c>
      <c r="K487" s="62">
        <v>2.5</v>
      </c>
      <c r="M487">
        <v>235000</v>
      </c>
      <c r="T487" s="68" t="s"/>
      <c r="V487" s="68" t="s"/>
      <c r="W487" s="68" t="s"/>
      <c r="X487" s="68" t="s"/>
      <c r="Y487" s="68" t="s"/>
      <c r="AC487" t="s">
        <v>58</v>
      </c>
    </row>
    <row r="488" spans="1:29">
      <c r="A488" s="147">
        <v>46150</v>
      </c>
      <c r="B488" s="106" t="s">
        <v>37</v>
      </c>
      <c r="C488" s="103" t="s"/>
      <c r="D488" s="64" t="s">
        <v>38</v>
      </c>
      <c r="E488" s="87" t="s">
        <v>250</v>
      </c>
      <c r="F488" s="87" t="s">
        <v>251</v>
      </c>
      <c r="G488" s="141" t="s">
        <v>252</v>
      </c>
      <c r="H488" s="80" t="s">
        <v>253</v>
      </c>
      <c r="I488" s="128" t="s">
        <v>47</v>
      </c>
      <c r="J488" s="64">
        <v>2</v>
      </c>
      <c r="K488" s="87">
        <v>3</v>
      </c>
      <c r="O488">
        <v>72166.9</v>
      </c>
      <c r="P488">
        <v>71500</v>
      </c>
      <c r="Q488">
        <v>72166.9</v>
      </c>
      <c r="T488" s="68">
        <f>=P488/10000*J488*Z488</f>
        <v>357.5</v>
      </c>
      <c r="U488">
        <v>39</v>
      </c>
      <c r="V488" s="68" t="s"/>
      <c r="W488" s="68" t="s"/>
      <c r="X488" s="68">
        <f>=O488-P488</f>
        <v>666.899999999994</v>
      </c>
      <c r="Y488" s="68">
        <f>=X488-T488-U488-V488</f>
        <v>270.399999999994</v>
      </c>
      <c r="Z488" s="62">
        <f>=A488-$A$367+1</f>
        <v>25</v>
      </c>
      <c r="AA488" s="68">
        <f>=P488/10000*K488*Z488</f>
        <v>536.25</v>
      </c>
      <c r="AB488" s="62">
        <f>=Q488*Z488</f>
        <v>1804172.5</v>
      </c>
      <c r="AC488" s="144" t="s">
        <v>58</v>
      </c>
    </row>
    <row r="489" spans="1:29">
      <c r="A489" s="80">
        <v>46150</v>
      </c>
      <c r="B489" s="103" t="s"/>
      <c r="C489" s="103" t="s"/>
      <c r="D489" s="62" t="s">
        <v>38</v>
      </c>
      <c r="E489" s="62" t="s">
        <v>133</v>
      </c>
      <c r="F489" s="62" t="s">
        <v>134</v>
      </c>
      <c r="G489" s="71" t="s">
        <v>135</v>
      </c>
      <c r="H489" s="80" t="s">
        <v>177</v>
      </c>
      <c r="I489" s="69" t="s">
        <v>47</v>
      </c>
      <c r="J489" s="62">
        <v>2</v>
      </c>
      <c r="K489" s="62">
        <v>2.5</v>
      </c>
      <c r="O489">
        <v>228044</v>
      </c>
      <c r="P489">
        <v>225000</v>
      </c>
      <c r="Q489">
        <v>228044</v>
      </c>
      <c r="T489" s="68">
        <f>=P489/10000*J489*Z489</f>
        <v>2115</v>
      </c>
      <c r="U489">
        <v>400</v>
      </c>
      <c r="V489" s="68" t="s"/>
      <c r="W489" s="68" t="s"/>
      <c r="X489" s="68">
        <f>=O489-P489</f>
        <v>3044</v>
      </c>
      <c r="Y489" s="68">
        <f>=X489-T489-U489-V489</f>
        <v>529</v>
      </c>
      <c r="Z489" s="62">
        <f>=A489-$A$236+1</f>
        <v>47</v>
      </c>
      <c r="AA489" s="68">
        <f>=P489/10000*K489*Z489</f>
        <v>2643.75</v>
      </c>
      <c r="AB489" s="62">
        <f>=Q489*Z489</f>
        <v>10718068</v>
      </c>
      <c r="AC489" t="s">
        <v>58</v>
      </c>
    </row>
    <row r="490" spans="1:29">
      <c r="A490" s="80">
        <v>46150</v>
      </c>
      <c r="B490" s="103" t="s"/>
      <c r="C490" s="103" t="s"/>
      <c r="D490" s="62" t="s">
        <v>38</v>
      </c>
      <c r="E490" s="62" t="s">
        <v>270</v>
      </c>
      <c r="F490" s="62" t="s">
        <v>271</v>
      </c>
      <c r="G490" s="97" t="s">
        <v>272</v>
      </c>
      <c r="H490" s="80" t="s">
        <v>273</v>
      </c>
      <c r="I490" s="69" t="s">
        <v>47</v>
      </c>
      <c r="J490" s="62">
        <v>2</v>
      </c>
      <c r="K490" s="62">
        <v>2.5</v>
      </c>
      <c r="O490">
        <v>31630.1</v>
      </c>
      <c r="P490">
        <v>31450</v>
      </c>
      <c r="Q490">
        <v>31630.1</v>
      </c>
      <c r="T490" s="68">
        <f>=P490/10000*J490*Z490</f>
        <v>132.09</v>
      </c>
      <c r="U490">
        <v>10</v>
      </c>
      <c r="V490" s="68" t="s"/>
      <c r="W490" s="68" t="s"/>
      <c r="X490" s="68">
        <f>=O490-P490</f>
        <v>180.099999999999</v>
      </c>
      <c r="Y490" s="68">
        <f>=X490-T490-U490-V490</f>
        <v>38.0099999999986</v>
      </c>
      <c r="Z490" s="62">
        <f>=A490-$A$396+1</f>
        <v>21</v>
      </c>
      <c r="AA490" s="68">
        <f>=P490/10000*K490*Z490</f>
        <v>165.1125</v>
      </c>
      <c r="AB490" s="62">
        <f>=Q490*Z490</f>
        <v>664232.1</v>
      </c>
      <c r="AC490" t="s">
        <v>58</v>
      </c>
    </row>
    <row r="491" spans="1:29">
      <c r="A491" s="80">
        <v>46150</v>
      </c>
      <c r="B491" s="103" t="s"/>
      <c r="C491" s="103" t="s"/>
      <c r="D491" s="62" t="s">
        <v>38</v>
      </c>
      <c r="E491" s="62" t="s">
        <v>270</v>
      </c>
      <c r="F491" s="62" t="s">
        <v>271</v>
      </c>
      <c r="G491" s="97" t="s">
        <v>272</v>
      </c>
      <c r="H491" s="80" t="s">
        <v>275</v>
      </c>
      <c r="I491" s="69" t="s">
        <v>47</v>
      </c>
      <c r="J491" s="62">
        <v>2</v>
      </c>
      <c r="K491" s="62">
        <v>2.5</v>
      </c>
      <c r="O491">
        <v>163434.7</v>
      </c>
      <c r="P491">
        <v>162565</v>
      </c>
      <c r="Q491">
        <v>163434.7</v>
      </c>
      <c r="T491" s="68">
        <f>=P491/10000*J491*Z491</f>
        <v>617.747</v>
      </c>
      <c r="U491">
        <v>65</v>
      </c>
      <c r="V491" s="68" t="s"/>
      <c r="W491" s="68" t="s"/>
      <c r="X491" s="68">
        <f>=O491-P491</f>
        <v>869.700000000012</v>
      </c>
      <c r="Y491" s="68">
        <f>=X491-T491-U491-V491</f>
        <v>186.953000000012</v>
      </c>
      <c r="Z491" s="62">
        <f>=A491-$A$398+1</f>
        <v>19</v>
      </c>
      <c r="AA491" s="68">
        <f>=P491/10000*K491*Z491</f>
        <v>772.18375</v>
      </c>
      <c r="AB491" s="62">
        <f>=Q491*Z491</f>
        <v>3105259.3</v>
      </c>
      <c r="AC491" t="s">
        <v>58</v>
      </c>
    </row>
    <row r="492" spans="1:29">
      <c r="A492" s="80">
        <v>46151</v>
      </c>
      <c r="B492" s="123" t="s">
        <v>37</v>
      </c>
      <c r="C492" s="150" t="s"/>
      <c r="D492" s="62" t="s">
        <v>38</v>
      </c>
      <c r="E492" t="s">
        <v>288</v>
      </c>
      <c r="F492" t="s">
        <v>289</v>
      </c>
      <c r="G492" s="136" t="s">
        <v>301</v>
      </c>
      <c r="H492" s="98" t="s">
        <v>315</v>
      </c>
      <c r="I492" s="65" t="s">
        <v>43</v>
      </c>
      <c r="J492" s="62">
        <v>2</v>
      </c>
      <c r="K492" s="62">
        <v>2.5</v>
      </c>
      <c r="M492">
        <v>90000</v>
      </c>
      <c r="T492" s="68" t="s"/>
      <c r="V492" s="68" t="s"/>
      <c r="W492" s="68" t="s"/>
      <c r="X492" s="68" t="s"/>
      <c r="Y492" s="68" t="s"/>
      <c r="Z492" s="62" t="s"/>
      <c r="AA492" s="62" t="s"/>
      <c r="AB492" s="62" t="s"/>
      <c r="AC492" t="s">
        <v>58</v>
      </c>
    </row>
    <row r="493" spans="1:29">
      <c r="A493" s="80">
        <v>46151</v>
      </c>
      <c r="B493" s="103" t="s"/>
      <c r="C493" s="103" t="s"/>
      <c r="D493" s="62" t="s">
        <v>38</v>
      </c>
      <c r="E493" s="62" t="s">
        <v>270</v>
      </c>
      <c r="F493" s="62" t="s">
        <v>271</v>
      </c>
      <c r="G493" s="97" t="s">
        <v>272</v>
      </c>
      <c r="H493" s="80" t="s">
        <v>273</v>
      </c>
      <c r="I493" s="69" t="s">
        <v>47</v>
      </c>
      <c r="J493" s="62">
        <v>2</v>
      </c>
      <c r="K493" s="62">
        <v>2.5</v>
      </c>
      <c r="O493">
        <v>43693.4</v>
      </c>
      <c r="P493">
        <v>43435</v>
      </c>
      <c r="Q493">
        <v>43693.4</v>
      </c>
      <c r="T493" s="68">
        <f>=P493/10000*J493*Z493</f>
        <v>191.114</v>
      </c>
      <c r="U493">
        <v>13</v>
      </c>
      <c r="V493" s="68" t="s"/>
      <c r="W493" s="68" t="s"/>
      <c r="X493" s="68">
        <f>=O493-P493</f>
        <v>258.400000000002</v>
      </c>
      <c r="Y493" s="68">
        <f>=X493-T493-U493-V493</f>
        <v>54.2860000000015</v>
      </c>
      <c r="Z493" s="62">
        <f>=A493-$A$396+1</f>
        <v>22</v>
      </c>
      <c r="AA493" s="68">
        <f>=P493/10000*K493*Z493</f>
        <v>238.8925</v>
      </c>
      <c r="AB493" s="62">
        <f>=Q493*Z493</f>
        <v>961254.8</v>
      </c>
      <c r="AC493" t="s">
        <v>58</v>
      </c>
    </row>
    <row r="494" spans="1:29">
      <c r="A494" s="110">
        <v>46151</v>
      </c>
      <c r="B494" s="103" t="s"/>
      <c r="C494" s="103" t="s"/>
      <c r="D494" s="62" t="s">
        <v>38</v>
      </c>
      <c r="E494" s="62" t="s">
        <v>270</v>
      </c>
      <c r="F494" s="62" t="s">
        <v>271</v>
      </c>
      <c r="G494" s="152" t="s">
        <v>272</v>
      </c>
      <c r="H494" s="110" t="s">
        <v>274</v>
      </c>
      <c r="I494" s="69" t="s">
        <v>47</v>
      </c>
      <c r="J494" s="62">
        <v>2</v>
      </c>
      <c r="K494" s="62">
        <v>2.5</v>
      </c>
      <c r="O494">
        <v>7403.6</v>
      </c>
      <c r="P494">
        <v>7350</v>
      </c>
      <c r="Q494">
        <v>7403.6</v>
      </c>
      <c r="T494" s="68">
        <f>=P494/10000*J494*Z494</f>
        <v>30.87</v>
      </c>
      <c r="U494">
        <v>10</v>
      </c>
      <c r="V494" s="68" t="s"/>
      <c r="W494" s="68" t="s"/>
      <c r="X494" s="68">
        <f>=O494-P494</f>
        <v>53.6000000000004</v>
      </c>
      <c r="Y494" s="68">
        <f>=X494-T494-U494-V494</f>
        <v>12.7300000000004</v>
      </c>
      <c r="Z494" s="62">
        <f>=A494-$A$397+1</f>
        <v>21</v>
      </c>
      <c r="AA494" s="68">
        <f>=P494/10000*K494*Z494</f>
        <v>38.5875</v>
      </c>
      <c r="AB494" s="62">
        <f>=Q494*Z494</f>
        <v>155475.6</v>
      </c>
      <c r="AC494" t="s">
        <v>58</v>
      </c>
    </row>
    <row r="495" spans="1:29">
      <c r="A495" s="80">
        <v>46151</v>
      </c>
      <c r="B495" s="103" t="s"/>
      <c r="C495" s="103" t="s"/>
      <c r="D495" s="62" t="s">
        <v>38</v>
      </c>
      <c r="E495" s="62" t="s">
        <v>270</v>
      </c>
      <c r="F495" s="62" t="s">
        <v>271</v>
      </c>
      <c r="G495" s="97" t="s">
        <v>272</v>
      </c>
      <c r="H495" s="80" t="s">
        <v>275</v>
      </c>
      <c r="I495" s="69" t="s">
        <v>47</v>
      </c>
      <c r="J495" s="62">
        <v>2</v>
      </c>
      <c r="K495" s="62">
        <v>2.5</v>
      </c>
      <c r="O495">
        <v>147742.83</v>
      </c>
      <c r="P495">
        <v>146945</v>
      </c>
      <c r="Q495">
        <v>147742.83</v>
      </c>
      <c r="T495" s="68">
        <f>=P495/10000*J495*Z495</f>
        <v>587.78</v>
      </c>
      <c r="U495">
        <v>42</v>
      </c>
      <c r="V495" s="68" t="s"/>
      <c r="W495" s="68" t="s"/>
      <c r="X495" s="68">
        <f>=O495-P495</f>
        <v>797.829999999987</v>
      </c>
      <c r="Y495" s="68">
        <f>=X495-T495-U495-V495</f>
        <v>168.049999999987</v>
      </c>
      <c r="Z495" s="62">
        <f>=A495-$A$398+1</f>
        <v>20</v>
      </c>
      <c r="AA495" s="68">
        <f>=P495/10000*K495*Z495</f>
        <v>734.725</v>
      </c>
      <c r="AB495" s="62">
        <f>=Q495*Z495</f>
        <v>2954856.6</v>
      </c>
      <c r="AC495" t="s">
        <v>58</v>
      </c>
    </row>
    <row r="496" spans="1:29">
      <c r="A496" s="80">
        <v>46151</v>
      </c>
      <c r="B496" s="62" t="s">
        <v>37</v>
      </c>
      <c r="C496" s="103" t="s"/>
      <c r="D496" s="63" t="s">
        <v>38</v>
      </c>
      <c r="E496" s="98" t="s">
        <v>167</v>
      </c>
      <c r="F496" s="98" t="s">
        <v>168</v>
      </c>
      <c r="G496" s="71" t="s">
        <v>138</v>
      </c>
      <c r="H496" s="80" t="s">
        <v>184</v>
      </c>
      <c r="I496" s="72" t="s">
        <v>47</v>
      </c>
      <c r="J496" s="62">
        <v>2</v>
      </c>
      <c r="K496" s="62">
        <v>2.5</v>
      </c>
      <c r="O496">
        <v>71141.85</v>
      </c>
      <c r="P496">
        <v>70200</v>
      </c>
      <c r="Q496">
        <v>71141.85</v>
      </c>
      <c r="T496" s="68">
        <f>=P496/10000*J496*Z496</f>
        <v>659.88</v>
      </c>
      <c r="U496">
        <v>78</v>
      </c>
      <c r="V496" s="68" t="s"/>
      <c r="W496" s="68" t="s"/>
      <c r="X496" s="68">
        <f>=O496-P496</f>
        <v>941.850000000006</v>
      </c>
      <c r="Y496" s="68">
        <f>=X496-T496-U496-V496</f>
        <v>203.970000000006</v>
      </c>
      <c r="Z496" s="62">
        <f>=A496-$A$248+1</f>
        <v>47</v>
      </c>
      <c r="AA496" s="68">
        <f>=P496/10000*K496*Z496</f>
        <v>824.85</v>
      </c>
      <c r="AB496" s="62">
        <f>=Q496*Z496</f>
        <v>3343666.95</v>
      </c>
      <c r="AC496" t="s">
        <v>58</v>
      </c>
    </row>
    <row r="497" spans="1:29">
      <c r="A497" s="80">
        <v>46151</v>
      </c>
      <c r="B497" s="62" t="s">
        <v>37</v>
      </c>
      <c r="C497" s="103" t="s"/>
      <c r="D497" s="63" t="s">
        <v>38</v>
      </c>
      <c r="E497" s="98" t="s">
        <v>167</v>
      </c>
      <c r="F497" s="98" t="s">
        <v>168</v>
      </c>
      <c r="G497" s="71" t="s">
        <v>138</v>
      </c>
      <c r="H497" s="80" t="s">
        <v>193</v>
      </c>
      <c r="I497" s="72" t="s">
        <v>47</v>
      </c>
      <c r="J497" s="62">
        <v>2</v>
      </c>
      <c r="K497" s="62">
        <v>2.5</v>
      </c>
      <c r="O497">
        <v>145860</v>
      </c>
      <c r="P497">
        <v>144000</v>
      </c>
      <c r="Q497">
        <v>145860</v>
      </c>
      <c r="T497" s="68">
        <f>=P497/10000*J497*Z497</f>
        <v>1296</v>
      </c>
      <c r="U497">
        <v>160</v>
      </c>
      <c r="V497" s="68" t="s"/>
      <c r="W497" s="68" t="s"/>
      <c r="X497" s="68">
        <f>=O497-P497</f>
        <v>1860</v>
      </c>
      <c r="Y497" s="68">
        <f>=X497-T497-U497-V497</f>
        <v>404</v>
      </c>
      <c r="Z497" s="62">
        <f>=A497-$A$262+1</f>
        <v>45</v>
      </c>
      <c r="AA497" s="68">
        <f>=P497/10000*K497*Z497</f>
        <v>1620</v>
      </c>
      <c r="AB497" s="62">
        <f>=Q497*Z497</f>
        <v>6563700</v>
      </c>
      <c r="AC497" t="s">
        <v>58</v>
      </c>
    </row>
    <row r="498" spans="1:29">
      <c r="A498" s="80">
        <v>46151</v>
      </c>
      <c r="B498" s="123" t="s">
        <v>37</v>
      </c>
      <c r="C498" s="103" t="s"/>
      <c r="D498" s="62" t="s">
        <v>38</v>
      </c>
      <c r="E498" s="62" t="s">
        <v>199</v>
      </c>
      <c r="F498" s="62" t="s">
        <v>200</v>
      </c>
      <c r="G498" s="94" t="s">
        <v>201</v>
      </c>
      <c r="H498" s="64" t="s">
        <v>214</v>
      </c>
      <c r="I498" s="69" t="s">
        <v>47</v>
      </c>
      <c r="J498">
        <v>2</v>
      </c>
      <c r="K498">
        <v>2.3</v>
      </c>
      <c r="O498">
        <v>787700</v>
      </c>
      <c r="P498">
        <v>780000</v>
      </c>
      <c r="Q498">
        <v>787700</v>
      </c>
      <c r="T498" s="68">
        <f>=P498/10000*J498*Z498</f>
        <v>6396</v>
      </c>
      <c r="U498">
        <v>200</v>
      </c>
      <c r="V498" s="68" t="s"/>
      <c r="W498" s="68" t="s"/>
      <c r="X498" s="68">
        <f>=O498-P498</f>
        <v>7700</v>
      </c>
      <c r="Y498" s="68">
        <f>=X498-T498-U498-V498</f>
        <v>1104</v>
      </c>
      <c r="Z498" s="62">
        <f>=A498-$A$282+1</f>
        <v>41</v>
      </c>
      <c r="AA498" s="68">
        <f>=P498/10000*K498*Z498</f>
        <v>7355.4</v>
      </c>
      <c r="AB498" s="62">
        <f>=Q498*Z498</f>
        <v>32295700</v>
      </c>
      <c r="AC498" t="s">
        <v>44</v>
      </c>
    </row>
    <row r="499" spans="1:29">
      <c r="A499" s="80">
        <v>46152</v>
      </c>
      <c r="B499" s="62" t="s">
        <v>37</v>
      </c>
      <c r="C499" s="103" t="s"/>
      <c r="D499" s="63" t="s">
        <v>38</v>
      </c>
      <c r="E499" s="62" t="s">
        <v>39</v>
      </c>
      <c r="F499" s="62" t="s">
        <v>137</v>
      </c>
      <c r="G499" s="108" t="s">
        <v>294</v>
      </c>
      <c r="H499" s="80" t="s">
        <v>303</v>
      </c>
      <c r="I499" s="69" t="s">
        <v>47</v>
      </c>
      <c r="J499" s="78">
        <v>2</v>
      </c>
      <c r="K499" s="62">
        <v>2.5</v>
      </c>
      <c r="O499">
        <v>1716480</v>
      </c>
      <c r="P499">
        <v>1710000</v>
      </c>
      <c r="Q499">
        <v>1716480</v>
      </c>
      <c r="T499" s="68">
        <f>=P499/10000*J499*Z499</f>
        <v>4104</v>
      </c>
      <c r="U499">
        <v>900</v>
      </c>
      <c r="V499" s="68" t="s"/>
      <c r="W499" s="68" t="s"/>
      <c r="X499" s="68">
        <f>=O499-P499</f>
        <v>6480</v>
      </c>
      <c r="Y499" s="68">
        <f>=X499-T499-U499-V499</f>
        <v>1476</v>
      </c>
      <c r="Z499" s="62">
        <f>=A499-$A$453+1</f>
        <v>12</v>
      </c>
      <c r="AA499" s="68">
        <f>=P499/10000*K499*Z499</f>
        <v>5130</v>
      </c>
      <c r="AB499" s="62">
        <f>=Q499*Z499</f>
        <v>20597760</v>
      </c>
      <c r="AC499" t="s">
        <v>58</v>
      </c>
    </row>
    <row r="500" spans="1:29">
      <c r="A500" s="80">
        <v>46152</v>
      </c>
      <c r="B500" s="103" t="s"/>
      <c r="C500" s="103" t="s"/>
      <c r="D500" s="78" t="s">
        <v>38</v>
      </c>
      <c r="E500" s="78" t="s">
        <v>63</v>
      </c>
      <c r="F500" s="78" t="s">
        <v>111</v>
      </c>
      <c r="G500" s="136" t="s">
        <v>281</v>
      </c>
      <c r="H500" s="87" t="s">
        <v>283</v>
      </c>
      <c r="I500" s="65" t="s">
        <v>47</v>
      </c>
      <c r="J500" s="62">
        <v>2</v>
      </c>
      <c r="K500" s="62">
        <v>2.5</v>
      </c>
      <c r="O500">
        <v>79179.5</v>
      </c>
      <c r="P500">
        <v>78750</v>
      </c>
      <c r="Q500">
        <v>79179.5</v>
      </c>
      <c r="T500" s="68">
        <f>=P500/10000*J500*Z500</f>
        <v>283.5</v>
      </c>
      <c r="U500">
        <v>50</v>
      </c>
      <c r="V500" s="68" t="s"/>
      <c r="W500" s="68" t="s"/>
      <c r="X500" s="68">
        <f>=O500-P500</f>
        <v>429.5</v>
      </c>
      <c r="Y500" s="68">
        <f>=X500-T500-U500-V500</f>
        <v>96</v>
      </c>
      <c r="Z500" s="62">
        <f>=A500-$A$414+1</f>
        <v>18</v>
      </c>
      <c r="AA500" s="68">
        <f>=P500/10000*K500*Z500</f>
        <v>354.375</v>
      </c>
      <c r="AB500" s="62">
        <f>=Q500*Z500</f>
        <v>1425231</v>
      </c>
      <c r="AC500" t="s">
        <v>58</v>
      </c>
    </row>
    <row r="501" spans="1:29">
      <c r="A501" s="80">
        <v>46153</v>
      </c>
      <c r="B501" s="62" t="s">
        <v>37</v>
      </c>
      <c r="C501" s="62" t="s"/>
      <c r="D501" s="63" t="s">
        <v>38</v>
      </c>
      <c r="E501" s="62" t="s">
        <v>39</v>
      </c>
      <c r="F501" s="62" t="s">
        <v>137</v>
      </c>
      <c r="G501" s="108" t="s">
        <v>294</v>
      </c>
      <c r="H501" s="98" t="s">
        <v>316</v>
      </c>
      <c r="I501" s="65" t="s">
        <v>43</v>
      </c>
      <c r="J501" s="62">
        <v>2</v>
      </c>
      <c r="K501" s="62">
        <v>2.5</v>
      </c>
      <c r="M501">
        <v>3800000</v>
      </c>
      <c r="AC501" t="s">
        <v>58</v>
      </c>
    </row>
    <row r="502" spans="1:29">
      <c r="A502" s="80">
        <v>46153</v>
      </c>
      <c r="B502" s="123" t="s">
        <v>37</v>
      </c>
      <c r="C502" s="103" t="s"/>
      <c r="D502" s="62" t="s">
        <v>38</v>
      </c>
      <c r="E502" s="62" t="s">
        <v>133</v>
      </c>
      <c r="F502" s="62" t="s">
        <v>134</v>
      </c>
      <c r="G502" s="136" t="s">
        <v>305</v>
      </c>
      <c r="H502" s="80" t="s">
        <v>306</v>
      </c>
      <c r="I502" s="69" t="s">
        <v>47</v>
      </c>
      <c r="J502" s="62">
        <v>2</v>
      </c>
      <c r="K502" s="62">
        <v>2.5</v>
      </c>
      <c r="O502">
        <v>219843.36</v>
      </c>
      <c r="P502">
        <v>219120</v>
      </c>
      <c r="Q502">
        <v>219843.36</v>
      </c>
      <c r="T502" s="68">
        <f>=P502/10000*J502*Z502</f>
        <v>525.888</v>
      </c>
      <c r="U502">
        <v>49.5</v>
      </c>
      <c r="V502" s="68" t="s"/>
      <c r="W502" s="68" t="s"/>
      <c r="X502" s="68">
        <f>=O502-P502</f>
        <v>723.360000000015</v>
      </c>
      <c r="Y502" s="68">
        <f>=X502-T502-U502-V502</f>
        <v>147.972000000015</v>
      </c>
      <c r="Z502" s="62">
        <f>=A502-$A$466+1</f>
        <v>12</v>
      </c>
      <c r="AA502" s="68">
        <f>=P502/10000*K502*Z502</f>
        <v>657.36</v>
      </c>
      <c r="AB502" s="62">
        <f>=Q502*Z502</f>
        <v>2638120.32</v>
      </c>
      <c r="AC502" t="s">
        <v>58</v>
      </c>
    </row>
    <row r="503" spans="1:29">
      <c r="A503" s="80">
        <v>46153</v>
      </c>
      <c r="B503" s="123" t="s">
        <v>37</v>
      </c>
      <c r="C503" s="103" t="s"/>
      <c r="D503" s="62" t="s">
        <v>38</v>
      </c>
      <c r="E503" s="62" t="s">
        <v>133</v>
      </c>
      <c r="F503" s="62" t="s">
        <v>134</v>
      </c>
      <c r="G503" s="136" t="s">
        <v>305</v>
      </c>
      <c r="H503" s="80" t="s">
        <v>308</v>
      </c>
      <c r="I503" s="69" t="s">
        <v>47</v>
      </c>
      <c r="J503" s="62">
        <v>2</v>
      </c>
      <c r="K503" s="62">
        <v>2.5</v>
      </c>
      <c r="O503">
        <v>767217.42</v>
      </c>
      <c r="P503">
        <v>764880</v>
      </c>
      <c r="Q503">
        <v>767217.42</v>
      </c>
      <c r="T503" s="68">
        <f>=P503/10000*J503*Z503</f>
        <v>1682.736</v>
      </c>
      <c r="U503">
        <v>175.5</v>
      </c>
      <c r="V503" s="68" t="s"/>
      <c r="W503" s="68" t="s"/>
      <c r="X503" s="68">
        <f>=O503-P503</f>
        <v>2337.42000000004</v>
      </c>
      <c r="Y503" s="68">
        <f>=X503-T503-U503-V503</f>
        <v>479.184000000042</v>
      </c>
      <c r="Z503" s="62">
        <f>=A503-$A$469+1</f>
        <v>11</v>
      </c>
      <c r="AA503" s="68">
        <f>=P503/10000*K503*Z503</f>
        <v>2103.42</v>
      </c>
      <c r="AB503" s="62">
        <f>=Q503*Z503</f>
        <v>8439391.62</v>
      </c>
      <c r="AC503" t="s">
        <v>58</v>
      </c>
    </row>
    <row r="504" spans="1:29">
      <c r="A504" s="80">
        <v>46153</v>
      </c>
      <c r="B504" s="103" t="s"/>
      <c r="C504" s="62">
        <f>=TODAY()-A504+1</f>
        <v>30</v>
      </c>
      <c r="D504" t="s">
        <v>114</v>
      </c>
      <c r="E504" t="s">
        <v>114</v>
      </c>
      <c r="F504" t="s">
        <v>317</v>
      </c>
      <c r="G504" s="97" t="s">
        <v>223</v>
      </c>
      <c r="H504" s="98" t="s">
        <v>318</v>
      </c>
      <c r="I504" s="65" t="s">
        <v>43</v>
      </c>
      <c r="J504" s="62">
        <v>2</v>
      </c>
      <c r="K504" s="62">
        <v>2.5</v>
      </c>
      <c r="M504">
        <v>304800</v>
      </c>
      <c r="AC504" t="s">
        <v>58</v>
      </c>
    </row>
    <row r="505" spans="1:29">
      <c r="A505" s="80">
        <v>46153</v>
      </c>
      <c r="B505" s="103" t="s"/>
      <c r="C505" s="62">
        <f>=TODAY()-A505+1</f>
        <v>30</v>
      </c>
      <c r="D505" s="64" t="s">
        <v>38</v>
      </c>
      <c r="E505" s="62" t="s">
        <v>85</v>
      </c>
      <c r="F505" t="s">
        <v>120</v>
      </c>
      <c r="G505" s="136" t="s">
        <v>239</v>
      </c>
      <c r="H505" s="98" t="s">
        <v>319</v>
      </c>
      <c r="I505" s="65" t="s">
        <v>43</v>
      </c>
      <c r="J505" s="64">
        <v>2</v>
      </c>
      <c r="K505" s="78">
        <v>2.5</v>
      </c>
      <c r="M505">
        <v>560000</v>
      </c>
      <c r="AC505" t="s">
        <v>58</v>
      </c>
    </row>
    <row r="506" spans="1:29">
      <c r="A506" s="80">
        <v>46153</v>
      </c>
      <c r="B506" s="106" t="s">
        <v>37</v>
      </c>
      <c r="C506" s="62" t="s"/>
      <c r="D506" s="151" t="s">
        <v>38</v>
      </c>
      <c r="E506" s="151" t="s">
        <v>148</v>
      </c>
      <c r="F506" s="151" t="s">
        <v>153</v>
      </c>
      <c r="G506" s="136" t="s">
        <v>320</v>
      </c>
      <c r="H506" s="98" t="s">
        <v>321</v>
      </c>
      <c r="I506" s="65" t="s">
        <v>43</v>
      </c>
      <c r="J506" s="62">
        <v>2</v>
      </c>
      <c r="K506" s="62">
        <v>2.5</v>
      </c>
      <c r="M506">
        <v>440000</v>
      </c>
      <c r="AC506" t="s">
        <v>58</v>
      </c>
    </row>
    <row r="507" spans="1:29">
      <c r="A507" s="80">
        <v>46154</v>
      </c>
      <c r="B507" s="103" t="s"/>
      <c r="C507" s="103" t="s"/>
      <c r="D507" s="62" t="s">
        <v>38</v>
      </c>
      <c r="E507" s="62" t="s">
        <v>270</v>
      </c>
      <c r="F507" s="62" t="s">
        <v>271</v>
      </c>
      <c r="G507" s="97" t="s">
        <v>272</v>
      </c>
      <c r="H507" s="80" t="s">
        <v>275</v>
      </c>
      <c r="I507" s="69" t="s">
        <v>47</v>
      </c>
      <c r="J507" s="62">
        <v>2</v>
      </c>
      <c r="K507" s="62">
        <v>2.5</v>
      </c>
      <c r="O507">
        <v>153429.15</v>
      </c>
      <c r="P507">
        <v>152455</v>
      </c>
      <c r="Q507">
        <v>153429.15</v>
      </c>
      <c r="T507" s="68">
        <f>=P507/10000*J507*Z507</f>
        <v>701.293</v>
      </c>
      <c r="U507">
        <v>65</v>
      </c>
      <c r="V507" s="68" t="s"/>
      <c r="W507" s="68" t="s"/>
      <c r="X507" s="68">
        <f>=O507-P507</f>
        <v>974.149999999994</v>
      </c>
      <c r="Y507" s="68">
        <f>=X507-T507-U507-V507</f>
        <v>207.856999999994</v>
      </c>
      <c r="Z507" s="62">
        <f>=A507-$A$398+1</f>
        <v>23</v>
      </c>
      <c r="AA507" s="68">
        <f>=P507/10000*K507*Z507</f>
        <v>876.61625</v>
      </c>
      <c r="AB507" s="62">
        <f>=Q507*Z507</f>
        <v>3528870.45</v>
      </c>
      <c r="AC507" t="s">
        <v>58</v>
      </c>
    </row>
    <row r="508" spans="1:29">
      <c r="A508" s="80">
        <v>46154</v>
      </c>
      <c r="B508" s="123" t="s">
        <v>37</v>
      </c>
      <c r="C508" s="103" t="s"/>
      <c r="D508" s="62" t="s">
        <v>38</v>
      </c>
      <c r="E508" s="62" t="s">
        <v>133</v>
      </c>
      <c r="F508" s="62" t="s">
        <v>134</v>
      </c>
      <c r="G508" s="136" t="s">
        <v>305</v>
      </c>
      <c r="H508" s="80" t="s">
        <v>308</v>
      </c>
      <c r="I508" s="69" t="s">
        <v>47</v>
      </c>
      <c r="J508" s="62">
        <v>2</v>
      </c>
      <c r="K508" s="62">
        <v>2.5</v>
      </c>
      <c r="O508">
        <v>321060</v>
      </c>
      <c r="P508">
        <v>320000</v>
      </c>
      <c r="Q508">
        <v>321060</v>
      </c>
      <c r="T508" s="68">
        <f>=P508/10000*J508*Z508</f>
        <v>768</v>
      </c>
      <c r="U508">
        <v>75</v>
      </c>
      <c r="V508" s="68" t="s"/>
      <c r="W508" s="68" t="s"/>
      <c r="X508" s="68">
        <f>=O508-P508</f>
        <v>1060</v>
      </c>
      <c r="Y508" s="68">
        <f>=X508-T508-U508-V508</f>
        <v>217</v>
      </c>
      <c r="Z508" s="62">
        <f>=A508-$A$469+1</f>
        <v>12</v>
      </c>
      <c r="AA508" s="68">
        <f>=P508/10000*K508*Z508</f>
        <v>960</v>
      </c>
      <c r="AB508" s="62">
        <f>=Q508*Z508</f>
        <v>3852720</v>
      </c>
      <c r="AC508" t="s">
        <v>58</v>
      </c>
    </row>
    <row r="509" spans="1:29">
      <c r="A509" s="80">
        <v>46154</v>
      </c>
      <c r="B509" s="62" t="s">
        <v>37</v>
      </c>
      <c r="C509" s="103" t="s"/>
      <c r="D509" s="62" t="s">
        <v>38</v>
      </c>
      <c r="E509" s="62" t="s">
        <v>85</v>
      </c>
      <c r="F509" s="62" t="s">
        <v>120</v>
      </c>
      <c r="G509" s="71" t="s">
        <v>121</v>
      </c>
      <c r="H509" s="64" t="s">
        <v>122</v>
      </c>
      <c r="I509" s="72" t="s">
        <v>47</v>
      </c>
      <c r="J509" s="62">
        <v>2</v>
      </c>
      <c r="K509" s="62">
        <v>2.6</v>
      </c>
      <c r="O509">
        <v>1438999</v>
      </c>
      <c r="P509">
        <v>1394000</v>
      </c>
      <c r="Q509">
        <v>1438999</v>
      </c>
      <c r="T509" s="68">
        <f>=P509/10000*J509*Z509</f>
        <v>26764.8</v>
      </c>
      <c r="U509">
        <v>6800</v>
      </c>
      <c r="V509" s="68" t="s"/>
      <c r="W509" s="68" t="s"/>
      <c r="X509" s="68">
        <f>=O509-P509</f>
        <v>44999</v>
      </c>
      <c r="Y509" s="68">
        <f>=X509-T509-U509-V509</f>
        <v>11434.2</v>
      </c>
      <c r="Z509" s="62">
        <f>=A509-$A$146+1</f>
        <v>96</v>
      </c>
      <c r="AA509" s="68">
        <f>=P509/10000*K509*Z509</f>
        <v>34794.24</v>
      </c>
      <c r="AB509" s="62">
        <f>=Q509*Z509</f>
        <v>138143904</v>
      </c>
      <c r="AC509" t="s">
        <v>312</v>
      </c>
    </row>
    <row r="510" spans="1:29">
      <c r="A510" s="80">
        <v>46154</v>
      </c>
      <c r="B510" s="103" t="s"/>
      <c r="C510" s="103" t="s"/>
      <c r="D510" s="78" t="s">
        <v>38</v>
      </c>
      <c r="E510" s="78" t="s">
        <v>63</v>
      </c>
      <c r="F510" s="78" t="s">
        <v>111</v>
      </c>
      <c r="G510" s="136" t="s">
        <v>281</v>
      </c>
      <c r="H510" s="87" t="s">
        <v>283</v>
      </c>
      <c r="I510" s="65" t="s">
        <v>47</v>
      </c>
      <c r="J510" s="62">
        <v>2</v>
      </c>
      <c r="K510" s="62">
        <v>2.5</v>
      </c>
      <c r="O510">
        <v>43917.9</v>
      </c>
      <c r="P510">
        <v>43680</v>
      </c>
      <c r="Q510">
        <v>43917.9</v>
      </c>
      <c r="T510" s="68">
        <f>=P510/10000*J510*Z510</f>
        <v>174.72</v>
      </c>
      <c r="U510">
        <v>13</v>
      </c>
      <c r="V510" s="68" t="s"/>
      <c r="W510" s="68" t="s"/>
      <c r="X510" s="68">
        <f>=O510-P510</f>
        <v>237.900000000001</v>
      </c>
      <c r="Y510" s="68">
        <f>=X510-T510-U510-V510</f>
        <v>50.1800000000014</v>
      </c>
      <c r="Z510" s="62">
        <f>=A510-$A$414+1</f>
        <v>20</v>
      </c>
      <c r="AA510" s="68">
        <f>=P510/10000*K510*Z510</f>
        <v>218.4</v>
      </c>
      <c r="AB510" s="62">
        <f>=Q510*Z510</f>
        <v>878358</v>
      </c>
      <c r="AC510" t="s">
        <v>58</v>
      </c>
    </row>
    <row r="511" spans="1:29">
      <c r="A511" s="80">
        <v>46155</v>
      </c>
      <c r="B511" s="106" t="s">
        <v>37</v>
      </c>
      <c r="C511" s="62" t="s"/>
      <c r="D511" s="62" t="s">
        <v>38</v>
      </c>
      <c r="E511" t="s">
        <v>322</v>
      </c>
      <c r="F511" t="s">
        <v>323</v>
      </c>
      <c r="G511" s="153" t="s">
        <v>324</v>
      </c>
      <c r="H511" s="98" t="s">
        <v>325</v>
      </c>
      <c r="I511" s="65" t="s">
        <v>43</v>
      </c>
      <c r="J511" s="62">
        <v>2</v>
      </c>
      <c r="K511" s="62">
        <v>3</v>
      </c>
      <c r="M511">
        <v>234000</v>
      </c>
      <c r="AC511" t="s">
        <v>58</v>
      </c>
    </row>
    <row r="512" spans="1:29">
      <c r="A512" s="80">
        <v>46155</v>
      </c>
      <c r="B512" s="103" t="s"/>
      <c r="C512" s="62">
        <f>=TODAY()-A512+1</f>
        <v>28</v>
      </c>
      <c r="D512" s="151" t="s">
        <v>38</v>
      </c>
      <c r="E512" s="151" t="s">
        <v>148</v>
      </c>
      <c r="F512" s="151" t="s">
        <v>149</v>
      </c>
      <c r="G512" s="71" t="s">
        <v>150</v>
      </c>
      <c r="H512" s="98" t="s">
        <v>326</v>
      </c>
      <c r="I512" s="73" t="s">
        <v>43</v>
      </c>
      <c r="J512" s="62">
        <v>2</v>
      </c>
      <c r="K512" s="62">
        <v>2.5</v>
      </c>
      <c r="M512">
        <v>426250</v>
      </c>
      <c r="T512" s="68" t="s"/>
      <c r="V512" s="68" t="s"/>
      <c r="W512" s="68" t="s"/>
      <c r="X512" s="68" t="s"/>
      <c r="Y512" s="68" t="s"/>
      <c r="AC512" t="s">
        <v>58</v>
      </c>
    </row>
    <row r="513" spans="1:29">
      <c r="A513" s="80">
        <v>46155</v>
      </c>
      <c r="B513" s="103" t="s"/>
      <c r="C513" s="103" t="s"/>
      <c r="D513" s="151" t="s">
        <v>38</v>
      </c>
      <c r="E513" s="151" t="s">
        <v>148</v>
      </c>
      <c r="F513" s="151" t="s">
        <v>149</v>
      </c>
      <c r="G513" s="71" t="s">
        <v>150</v>
      </c>
      <c r="H513" s="64" t="s">
        <v>161</v>
      </c>
      <c r="I513" s="69" t="s">
        <v>47</v>
      </c>
      <c r="J513" s="62">
        <v>2</v>
      </c>
      <c r="K513" s="62">
        <v>2.5</v>
      </c>
      <c r="O513">
        <v>443559.6</v>
      </c>
      <c r="P513">
        <v>436400</v>
      </c>
      <c r="Q513">
        <v>443559.6</v>
      </c>
      <c r="T513" s="68">
        <f>=P513/10000*J513*Z513</f>
        <v>4887.68</v>
      </c>
      <c r="U513">
        <v>700</v>
      </c>
      <c r="V513" s="68" t="s"/>
      <c r="W513" s="68" t="s"/>
      <c r="X513" s="68">
        <f>=O513-P513</f>
        <v>7159.59999999998</v>
      </c>
      <c r="Y513" s="68">
        <f>=X513-T513-U513-V513</f>
        <v>1571.91999999998</v>
      </c>
      <c r="Z513" s="62">
        <f>=A513-$A$228+1</f>
        <v>56</v>
      </c>
      <c r="AA513" s="68">
        <f>=P513/10000*K513*Z513</f>
        <v>6109.6</v>
      </c>
      <c r="AB513" s="62">
        <f>=Q513*Z513</f>
        <v>24839337.6</v>
      </c>
      <c r="AC513" t="s">
        <v>58</v>
      </c>
    </row>
    <row r="514" spans="1:29">
      <c r="A514" s="80">
        <v>46155</v>
      </c>
      <c r="B514" s="103" t="s"/>
      <c r="C514" s="103" t="s"/>
      <c r="D514" s="151" t="s">
        <v>38</v>
      </c>
      <c r="E514" s="151" t="s">
        <v>148</v>
      </c>
      <c r="F514" s="151" t="s">
        <v>149</v>
      </c>
      <c r="G514" s="71" t="s">
        <v>150</v>
      </c>
      <c r="H514" s="80" t="s">
        <v>162</v>
      </c>
      <c r="I514" s="72" t="s">
        <v>47</v>
      </c>
      <c r="J514" s="62">
        <v>2</v>
      </c>
      <c r="K514" s="62">
        <v>2.5</v>
      </c>
      <c r="O514">
        <v>131742</v>
      </c>
      <c r="P514">
        <v>129600</v>
      </c>
      <c r="Q514">
        <v>131742</v>
      </c>
      <c r="T514" s="68">
        <f>=P514/10000*J514*Z514</f>
        <v>1425.6</v>
      </c>
      <c r="U514">
        <v>240</v>
      </c>
      <c r="V514" s="68" t="s"/>
      <c r="W514" s="68" t="s"/>
      <c r="X514" s="68">
        <f>=O514-P514</f>
        <v>2142</v>
      </c>
      <c r="Y514" s="68">
        <f>=X514-T514-U514-V514</f>
        <v>476.4</v>
      </c>
      <c r="Z514" s="62">
        <f>=A514-$A$229+1</f>
        <v>55</v>
      </c>
      <c r="AA514" s="68">
        <f>=P514/10000*K514*Z514</f>
        <v>1782</v>
      </c>
      <c r="AB514" s="62">
        <f>=Q514*Z514</f>
        <v>7245810</v>
      </c>
      <c r="AC514" t="s">
        <v>58</v>
      </c>
    </row>
    <row r="515" spans="1:29">
      <c r="A515" s="147">
        <v>46155</v>
      </c>
      <c r="B515" s="106" t="s">
        <v>37</v>
      </c>
      <c r="C515" s="103" t="s"/>
      <c r="D515" s="62" t="s">
        <v>38</v>
      </c>
      <c r="E515" s="62" t="s">
        <v>48</v>
      </c>
      <c r="F515" s="62" t="s">
        <v>49</v>
      </c>
      <c r="G515" s="97" t="s">
        <v>217</v>
      </c>
      <c r="H515" s="80" t="s">
        <v>218</v>
      </c>
      <c r="I515" s="113" t="s">
        <v>47</v>
      </c>
      <c r="J515" s="62">
        <v>2</v>
      </c>
      <c r="K515" s="62">
        <v>2.5</v>
      </c>
      <c r="O515">
        <v>4790.15</v>
      </c>
      <c r="P515">
        <v>4725</v>
      </c>
      <c r="Q515">
        <v>4790.15</v>
      </c>
      <c r="T515" s="68">
        <f>=P515/10000*J515*Z515</f>
        <v>42.525</v>
      </c>
      <c r="U515">
        <v>8</v>
      </c>
      <c r="V515" s="68" t="s"/>
      <c r="W515" s="68" t="s"/>
      <c r="X515" s="68">
        <f>=O515-P515</f>
        <v>65.1499999999997</v>
      </c>
      <c r="Y515" s="68">
        <f>=X515-T515-U515-V515</f>
        <v>14.6249999999996</v>
      </c>
      <c r="Z515" s="62">
        <f>=A515-$A$288+1</f>
        <v>45</v>
      </c>
      <c r="AA515" s="68">
        <f>=P515/10000*K515*Z515</f>
        <v>53.15625</v>
      </c>
      <c r="AB515" s="62">
        <f>=Q515*Z515</f>
        <v>215556.75</v>
      </c>
      <c r="AC515" t="s">
        <v>58</v>
      </c>
    </row>
    <row r="516" spans="1:29">
      <c r="A516" s="147">
        <v>46155</v>
      </c>
      <c r="B516" s="103" t="s"/>
      <c r="C516" s="103" t="s"/>
      <c r="D516" s="62" t="s">
        <v>38</v>
      </c>
      <c r="E516" s="62" t="s">
        <v>48</v>
      </c>
      <c r="F516" s="62" t="s">
        <v>49</v>
      </c>
      <c r="G516" s="97" t="s">
        <v>217</v>
      </c>
      <c r="H516" s="80" t="s">
        <v>219</v>
      </c>
      <c r="I516" s="72" t="s">
        <v>47</v>
      </c>
      <c r="J516" s="62">
        <v>2</v>
      </c>
      <c r="K516" s="62">
        <v>2.5</v>
      </c>
      <c r="O516">
        <v>407307.98</v>
      </c>
      <c r="P516">
        <v>402220</v>
      </c>
      <c r="Q516">
        <v>407307.98</v>
      </c>
      <c r="T516" s="68">
        <f>=P516/10000*J516*Z516</f>
        <v>3539.536</v>
      </c>
      <c r="U516">
        <v>442</v>
      </c>
      <c r="V516" s="68" t="s"/>
      <c r="W516" s="68" t="s"/>
      <c r="X516" s="68">
        <f>=O516-P516</f>
        <v>5087.97999999998</v>
      </c>
      <c r="Y516" s="68">
        <f>=X516-T516-U516-V516</f>
        <v>1106.44399999998</v>
      </c>
      <c r="Z516" s="62">
        <f>=A516-$A$289+1</f>
        <v>44</v>
      </c>
      <c r="AA516" s="68">
        <f>=P516/10000*K516*Z516</f>
        <v>4424.42</v>
      </c>
      <c r="AB516" s="62">
        <f>=Q516*Z516</f>
        <v>17921551.12</v>
      </c>
      <c r="AC516" t="s">
        <v>58</v>
      </c>
    </row>
    <row r="517" spans="1:29">
      <c r="A517" s="147">
        <v>46155</v>
      </c>
      <c r="B517" s="103" t="s"/>
      <c r="C517" s="62">
        <f>=TODAY()-A517+1</f>
        <v>75</v>
      </c>
      <c r="D517" s="62" t="s">
        <v>38</v>
      </c>
      <c r="E517" s="62" t="s">
        <v>133</v>
      </c>
      <c r="F517" s="62" t="s">
        <v>134</v>
      </c>
      <c r="G517" s="71" t="s">
        <v>135</v>
      </c>
      <c r="H517" s="98" t="s">
        <v>327</v>
      </c>
      <c r="I517" s="73" t="s">
        <v>43</v>
      </c>
      <c r="J517" s="62">
        <v>2</v>
      </c>
      <c r="K517" s="62">
        <v>2.5</v>
      </c>
      <c r="M517">
        <v>630000</v>
      </c>
      <c r="T517" s="68" t="s"/>
      <c r="V517" s="68" t="s"/>
      <c r="W517" s="68" t="s"/>
      <c r="X517" s="68" t="s"/>
      <c r="Y517" s="68" t="s"/>
      <c r="AC517" t="s">
        <v>58</v>
      </c>
    </row>
    <row r="518" spans="1:29">
      <c r="A518" s="147">
        <v>46156</v>
      </c>
      <c r="B518" s="123" t="s">
        <v>37</v>
      </c>
      <c r="C518" s="103" t="s"/>
      <c r="D518" s="62" t="s">
        <v>38</v>
      </c>
      <c r="E518" s="62" t="s">
        <v>133</v>
      </c>
      <c r="F518" s="62" t="s">
        <v>134</v>
      </c>
      <c r="G518" s="136" t="s">
        <v>305</v>
      </c>
      <c r="H518" s="80" t="s">
        <v>308</v>
      </c>
      <c r="I518" s="69" t="s">
        <v>47</v>
      </c>
      <c r="J518" s="62">
        <v>2</v>
      </c>
      <c r="K518" s="62">
        <v>2.5</v>
      </c>
      <c r="O518" s="154">
        <v>321140</v>
      </c>
      <c r="P518">
        <v>320000</v>
      </c>
      <c r="Q518" s="154">
        <v>321140</v>
      </c>
      <c r="T518" s="68">
        <f>=P518/10000*J518*Z518</f>
        <v>896</v>
      </c>
      <c r="U518">
        <v>75</v>
      </c>
      <c r="V518" s="68" t="s"/>
      <c r="W518" s="68" t="s"/>
      <c r="X518" s="68">
        <f>=O518-P518</f>
        <v>1140</v>
      </c>
      <c r="Y518" s="68">
        <f>=X518-T518-U518-V518</f>
        <v>169</v>
      </c>
      <c r="Z518" s="62">
        <f>=A518-$A$469+1</f>
        <v>14</v>
      </c>
      <c r="AA518" s="68">
        <f>=P518/10000*K518*Z518</f>
        <v>1120</v>
      </c>
      <c r="AB518" s="62">
        <f>=Q518*Z518</f>
        <v>4495960</v>
      </c>
      <c r="AC518" t="s">
        <v>58</v>
      </c>
    </row>
    <row r="519" spans="1:29">
      <c r="A519" s="147">
        <v>46156</v>
      </c>
      <c r="B519" s="103" t="s"/>
      <c r="C519" s="103" t="s"/>
      <c r="D519" s="62" t="s">
        <v>38</v>
      </c>
      <c r="E519" s="62" t="s">
        <v>133</v>
      </c>
      <c r="F519" s="62" t="s">
        <v>134</v>
      </c>
      <c r="G519" s="71" t="s">
        <v>135</v>
      </c>
      <c r="H519" s="80" t="s">
        <v>187</v>
      </c>
      <c r="I519" s="69" t="s">
        <v>47</v>
      </c>
      <c r="J519" s="62">
        <v>2</v>
      </c>
      <c r="K519" s="62">
        <v>2.5</v>
      </c>
      <c r="O519">
        <v>241776</v>
      </c>
      <c r="P519">
        <v>238000</v>
      </c>
      <c r="Q519">
        <v>241776</v>
      </c>
      <c r="T519" s="68">
        <f>=P519/10000*J519*Z519</f>
        <v>2427.6</v>
      </c>
      <c r="U519">
        <v>800</v>
      </c>
      <c r="V519" s="68" t="s"/>
      <c r="W519" s="68" t="s"/>
      <c r="X519" s="68">
        <f>=O519-P519</f>
        <v>3776.00000000003</v>
      </c>
      <c r="Y519" s="68">
        <f>=X519-T519-U519-V519</f>
        <v>548.400000000029</v>
      </c>
      <c r="Z519" s="62">
        <f>=A519-$A$256+1</f>
        <v>51</v>
      </c>
      <c r="AA519" s="68">
        <f>=P519/10000*K519*Z519</f>
        <v>3034.5</v>
      </c>
      <c r="AB519" s="62">
        <f>=Q519*Z519</f>
        <v>12330576</v>
      </c>
      <c r="AC519" t="s">
        <v>58</v>
      </c>
    </row>
    <row r="520" spans="1:29">
      <c r="A520" s="147">
        <v>46156</v>
      </c>
      <c r="B520" s="103" t="s"/>
      <c r="C520" s="103" t="s"/>
      <c r="D520" s="62" t="s">
        <v>38</v>
      </c>
      <c r="E520" s="62" t="s">
        <v>133</v>
      </c>
      <c r="F520" s="62" t="s">
        <v>134</v>
      </c>
      <c r="G520" s="71" t="s">
        <v>135</v>
      </c>
      <c r="H520" s="80" t="s">
        <v>136</v>
      </c>
      <c r="I520" s="69" t="s">
        <v>47</v>
      </c>
      <c r="J520" s="62">
        <v>2</v>
      </c>
      <c r="K520" s="62">
        <v>2.5</v>
      </c>
      <c r="O520">
        <v>353964</v>
      </c>
      <c r="P520">
        <v>348000</v>
      </c>
      <c r="Q520">
        <v>353964</v>
      </c>
      <c r="T520" s="68">
        <f>=P520/10000*J520*Z520</f>
        <v>4732.8</v>
      </c>
      <c r="U520">
        <v>900</v>
      </c>
      <c r="V520" s="68" t="s"/>
      <c r="W520" s="68" t="s"/>
      <c r="X520" s="68">
        <f>=O520-P520</f>
        <v>5964</v>
      </c>
      <c r="Y520" s="68">
        <f>=X520-T520-U520-V520</f>
        <v>331.200000000001</v>
      </c>
      <c r="Z520" s="62">
        <f>=A520-$A$195+1</f>
        <v>68</v>
      </c>
      <c r="AA520" s="68">
        <f>=P520/10000*K520*Z520</f>
        <v>5916</v>
      </c>
      <c r="AB520" s="62">
        <f>=Q520*Z520</f>
        <v>24069552</v>
      </c>
      <c r="AC520" t="s">
        <v>58</v>
      </c>
    </row>
    <row r="521" spans="1:29">
      <c r="A521" s="110">
        <v>46156</v>
      </c>
      <c r="B521" s="106" t="s">
        <v>37</v>
      </c>
      <c r="C521" s="103" t="s"/>
      <c r="D521" t="s">
        <v>328</v>
      </c>
      <c r="E521" t="s">
        <v>163</v>
      </c>
      <c r="F521" t="s">
        <v>329</v>
      </c>
      <c r="G521" s="136" t="s">
        <v>330</v>
      </c>
      <c r="H521" t="s">
        <v>331</v>
      </c>
      <c r="I521" s="73" t="s">
        <v>6</v>
      </c>
      <c r="J521" s="64">
        <v>2</v>
      </c>
      <c r="K521" s="87">
        <v>3</v>
      </c>
      <c r="L521">
        <v>300000</v>
      </c>
      <c r="R521">
        <v>300000</v>
      </c>
      <c r="AC521" t="s">
        <v>44</v>
      </c>
    </row>
    <row r="522" spans="1:29">
      <c r="A522" s="80">
        <v>46156</v>
      </c>
      <c r="B522" s="106" t="s">
        <v>37</v>
      </c>
      <c r="C522" s="62" t="s"/>
      <c r="D522" t="s">
        <v>328</v>
      </c>
      <c r="E522" t="s">
        <v>163</v>
      </c>
      <c r="F522" t="s">
        <v>329</v>
      </c>
      <c r="G522" s="136" t="s">
        <v>330</v>
      </c>
      <c r="H522" t="s">
        <v>331</v>
      </c>
      <c r="I522" s="73" t="s">
        <v>43</v>
      </c>
      <c r="J522" s="64">
        <v>2</v>
      </c>
      <c r="K522" s="87">
        <v>3</v>
      </c>
      <c r="M522">
        <v>1701336.26</v>
      </c>
      <c r="AC522" t="s">
        <v>44</v>
      </c>
    </row>
    <row r="523" spans="1:29">
      <c r="A523" s="80">
        <v>46156</v>
      </c>
      <c r="B523" s="103" t="s"/>
      <c r="C523" s="103" t="s"/>
      <c r="D523" s="64" t="s">
        <v>38</v>
      </c>
      <c r="E523" s="62" t="s">
        <v>48</v>
      </c>
      <c r="F523" s="62" t="s">
        <v>222</v>
      </c>
      <c r="G523" s="97" t="s">
        <v>223</v>
      </c>
      <c r="H523" s="80" t="s">
        <v>224</v>
      </c>
      <c r="I523" s="65" t="s">
        <v>47</v>
      </c>
      <c r="J523" s="62">
        <v>2</v>
      </c>
      <c r="K523" s="62">
        <v>2.5</v>
      </c>
      <c r="O523">
        <v>337854</v>
      </c>
      <c r="P523">
        <v>333700</v>
      </c>
      <c r="Q523">
        <v>337854</v>
      </c>
      <c r="T523" s="68">
        <f>=P523/10000*J523*Z523</f>
        <v>3003.3</v>
      </c>
      <c r="U523">
        <v>300</v>
      </c>
      <c r="V523" s="68" t="s"/>
      <c r="W523" s="68" t="s"/>
      <c r="X523" s="68">
        <f>=O523-P523</f>
        <v>4154</v>
      </c>
      <c r="Y523" s="68">
        <f>=X523-T523-U523-V523</f>
        <v>850.7</v>
      </c>
      <c r="Z523" s="62">
        <f>=A523-$A$291+1</f>
        <v>45</v>
      </c>
      <c r="AA523" s="68">
        <f>=P523/10000*K523*Z523</f>
        <v>3754.125</v>
      </c>
      <c r="AB523" s="62">
        <f>=Q523*Z523</f>
        <v>15203430</v>
      </c>
      <c r="AC523" t="s">
        <v>58</v>
      </c>
    </row>
    <row r="524" spans="1:29">
      <c r="A524" s="80">
        <v>46156</v>
      </c>
      <c r="B524" s="103" t="s"/>
      <c r="C524" s="103" t="s"/>
      <c r="D524" s="62" t="s">
        <v>38</v>
      </c>
      <c r="E524" s="78" t="s">
        <v>128</v>
      </c>
      <c r="F524" s="78" t="s">
        <v>129</v>
      </c>
      <c r="G524" s="97" t="s">
        <v>260</v>
      </c>
      <c r="H524" s="87" t="s">
        <v>261</v>
      </c>
      <c r="I524" s="128" t="s">
        <v>47</v>
      </c>
      <c r="J524" s="62">
        <v>2</v>
      </c>
      <c r="K524" s="62">
        <v>2.5</v>
      </c>
      <c r="O524">
        <v>907200</v>
      </c>
      <c r="P524">
        <v>900000</v>
      </c>
      <c r="Q524">
        <v>907200</v>
      </c>
      <c r="T524" s="68">
        <f>=P524/10000*J524*Z524</f>
        <v>5040</v>
      </c>
      <c r="U524">
        <v>900</v>
      </c>
      <c r="V524" s="68" t="s"/>
      <c r="W524" s="68" t="s"/>
      <c r="X524" s="68">
        <f>=O524-P524</f>
        <v>7200</v>
      </c>
      <c r="Y524" s="68">
        <f>=X524-T524-U524-V524</f>
        <v>1260</v>
      </c>
      <c r="Z524" s="62">
        <f>=A524-$A$378+1</f>
        <v>28</v>
      </c>
      <c r="AA524" s="68">
        <f>=P524/10000*K524*Z524</f>
        <v>6300</v>
      </c>
      <c r="AB524" s="62">
        <f>=Q524*Z524</f>
        <v>25401600</v>
      </c>
      <c r="AC524" t="s">
        <v>312</v>
      </c>
    </row>
    <row r="525" spans="1:29">
      <c r="A525" s="80">
        <v>46156</v>
      </c>
      <c r="B525" s="123" t="s">
        <v>37</v>
      </c>
      <c r="C525" s="103" t="s"/>
      <c r="D525" s="62" t="s">
        <v>38</v>
      </c>
      <c r="E525" s="62" t="s">
        <v>133</v>
      </c>
      <c r="F525" s="62" t="s">
        <v>134</v>
      </c>
      <c r="G525" s="136" t="s">
        <v>305</v>
      </c>
      <c r="H525" s="80" t="s">
        <v>308</v>
      </c>
      <c r="I525" s="69" t="s">
        <v>47</v>
      </c>
      <c r="J525" s="62">
        <v>2</v>
      </c>
      <c r="K525" s="62">
        <v>2.5</v>
      </c>
      <c r="O525">
        <v>301946.8</v>
      </c>
      <c r="P525">
        <v>300800</v>
      </c>
      <c r="Q525">
        <v>301946.8</v>
      </c>
      <c r="T525" s="68">
        <f>=P525/10000*J525*Z525</f>
        <v>842.24</v>
      </c>
      <c r="U525">
        <v>70.5</v>
      </c>
      <c r="V525" s="68" t="s"/>
      <c r="W525" s="68" t="s"/>
      <c r="X525" s="68">
        <f>=O525-P525</f>
        <v>1146.79999999999</v>
      </c>
      <c r="Y525" s="68">
        <f>=X525-T525-U525-V525</f>
        <v>234.059999999988</v>
      </c>
      <c r="Z525" s="62">
        <f>=A525-$A$469+1</f>
        <v>14</v>
      </c>
      <c r="AA525" s="68">
        <f>=P525/10000*K525*Z525</f>
        <v>1052.8</v>
      </c>
      <c r="AB525" s="62">
        <f>=Q525*Z525</f>
        <v>4227255.2</v>
      </c>
      <c r="AC525" t="s">
        <v>58</v>
      </c>
    </row>
    <row r="526" spans="1:29">
      <c r="A526" s="147">
        <v>46157</v>
      </c>
      <c r="B526" s="103" t="s"/>
      <c r="C526" s="103" t="s"/>
      <c r="D526" s="62" t="s">
        <v>38</v>
      </c>
      <c r="E526" s="62" t="s">
        <v>270</v>
      </c>
      <c r="F526" s="62" t="s">
        <v>271</v>
      </c>
      <c r="G526" s="97" t="s">
        <v>272</v>
      </c>
      <c r="H526" s="80" t="s">
        <v>274</v>
      </c>
      <c r="I526" s="69" t="s">
        <v>47</v>
      </c>
      <c r="J526" s="62">
        <v>2</v>
      </c>
      <c r="K526" s="62">
        <v>2.5</v>
      </c>
      <c r="O526">
        <v>5292.95</v>
      </c>
      <c r="P526">
        <v>5250</v>
      </c>
      <c r="Q526">
        <v>5292.95</v>
      </c>
      <c r="T526" s="68">
        <f>=P526/10000*J526*Z526</f>
        <v>28.35</v>
      </c>
      <c r="U526">
        <v>5</v>
      </c>
      <c r="V526" s="68" t="s"/>
      <c r="W526" s="68" t="s"/>
      <c r="X526" s="68">
        <f>=O526-P526</f>
        <v>42.9499999999998</v>
      </c>
      <c r="Y526" s="68">
        <f>=X526-T526-U526-V526</f>
        <v>9.59999999999982</v>
      </c>
      <c r="Z526" s="62">
        <f>=A526-$A$397+1</f>
        <v>27</v>
      </c>
      <c r="AA526" s="68">
        <f>=P526/10000*K526*Z526</f>
        <v>35.4375</v>
      </c>
      <c r="AB526" s="62">
        <f>=Q526*Z526</f>
        <v>142909.65</v>
      </c>
      <c r="AC526" t="s">
        <v>58</v>
      </c>
    </row>
    <row r="527" spans="1:29">
      <c r="A527" s="147">
        <v>46157</v>
      </c>
      <c r="B527" s="103" t="s"/>
      <c r="C527" s="103" t="s"/>
      <c r="D527" s="62" t="s">
        <v>38</v>
      </c>
      <c r="E527" s="62" t="s">
        <v>270</v>
      </c>
      <c r="F527" s="62" t="s">
        <v>271</v>
      </c>
      <c r="G527" s="97" t="s">
        <v>272</v>
      </c>
      <c r="H527" s="80" t="s">
        <v>275</v>
      </c>
      <c r="I527" s="69" t="s">
        <v>47</v>
      </c>
      <c r="J527" s="62">
        <v>2</v>
      </c>
      <c r="K527" s="62">
        <v>2.5</v>
      </c>
      <c r="O527">
        <v>144041.48</v>
      </c>
      <c r="P527">
        <v>143065</v>
      </c>
      <c r="Q527">
        <v>144041.48</v>
      </c>
      <c r="T527" s="68">
        <f>=P527/10000*J527*Z527</f>
        <v>743.938</v>
      </c>
      <c r="U527">
        <v>31</v>
      </c>
      <c r="V527" s="68" t="s"/>
      <c r="W527" s="68" t="s"/>
      <c r="X527" s="68">
        <f>=O527-P527</f>
        <v>976.480000000011</v>
      </c>
      <c r="Y527" s="68">
        <f>=X527-T527-U527-V527</f>
        <v>201.542000000011</v>
      </c>
      <c r="Z527" s="62">
        <f>=A527-$A$398+1</f>
        <v>26</v>
      </c>
      <c r="AA527" s="68">
        <f>=P527/10000*K527*Z527</f>
        <v>929.9225</v>
      </c>
      <c r="AB527" s="62">
        <f>=Q527*Z527</f>
        <v>3745078.48</v>
      </c>
      <c r="AC527" t="s">
        <v>58</v>
      </c>
    </row>
    <row r="528" spans="1:29">
      <c r="A528" s="80">
        <v>46157</v>
      </c>
      <c r="B528" s="103" t="s"/>
      <c r="C528" s="62">
        <f>=TODAY()-A528+1</f>
        <v>73</v>
      </c>
      <c r="D528" t="s">
        <v>114</v>
      </c>
      <c r="E528" t="s">
        <v>114</v>
      </c>
      <c r="F528" t="s">
        <v>332</v>
      </c>
      <c r="G528" s="136" t="s">
        <v>333</v>
      </c>
      <c r="H528" t="s">
        <v>334</v>
      </c>
      <c r="I528" s="65" t="s">
        <v>43</v>
      </c>
      <c r="J528" s="62">
        <v>2</v>
      </c>
      <c r="K528" s="62">
        <v>2.8</v>
      </c>
      <c r="M528">
        <v>578148</v>
      </c>
      <c r="AC528" t="s">
        <v>58</v>
      </c>
    </row>
    <row r="529" spans="1:29">
      <c r="A529" s="147">
        <v>46157</v>
      </c>
      <c r="B529" s="123" t="s">
        <v>37</v>
      </c>
      <c r="C529" s="103" t="s"/>
      <c r="D529" s="62" t="s">
        <v>38</v>
      </c>
      <c r="E529" s="62" t="s">
        <v>199</v>
      </c>
      <c r="F529" s="62" t="s">
        <v>200</v>
      </c>
      <c r="G529" s="94" t="s">
        <v>201</v>
      </c>
      <c r="H529" s="64" t="s">
        <v>214</v>
      </c>
      <c r="I529" s="69" t="s">
        <v>47</v>
      </c>
      <c r="J529">
        <v>2</v>
      </c>
      <c r="K529">
        <v>2.3</v>
      </c>
      <c r="O529">
        <v>788800</v>
      </c>
      <c r="P529">
        <v>780000</v>
      </c>
      <c r="Q529">
        <v>788800</v>
      </c>
      <c r="T529" s="68">
        <f>=P529/10000*J529*Z529</f>
        <v>7332</v>
      </c>
      <c r="U529">
        <v>200</v>
      </c>
      <c r="V529" s="68" t="s"/>
      <c r="W529" s="68" t="s"/>
      <c r="X529" s="68">
        <f>=O529-P529</f>
        <v>8800</v>
      </c>
      <c r="Y529" s="68">
        <f>=X529-T529-U529-V529</f>
        <v>1268</v>
      </c>
      <c r="Z529" s="62">
        <f>=A529-$A$282+1</f>
        <v>47</v>
      </c>
      <c r="AA529" s="68">
        <f>=P529/10000*K529*Z529</f>
        <v>8431.8</v>
      </c>
      <c r="AB529" s="62">
        <f>=Q529*Z529</f>
        <v>37073600</v>
      </c>
      <c r="AC529" t="s">
        <v>44</v>
      </c>
    </row>
    <row r="530" spans="1:29">
      <c r="A530" s="147">
        <v>46158</v>
      </c>
      <c r="B530" s="103" t="s"/>
      <c r="C530" s="103" t="s"/>
      <c r="D530" t="s">
        <v>114</v>
      </c>
      <c r="E530" t="s">
        <v>114</v>
      </c>
      <c r="F530" t="s">
        <v>332</v>
      </c>
      <c r="G530" s="136" t="s">
        <v>333</v>
      </c>
      <c r="H530" s="80" t="s">
        <v>334</v>
      </c>
      <c r="I530" s="65" t="s">
        <v>47</v>
      </c>
      <c r="J530" s="78">
        <v>2</v>
      </c>
      <c r="K530" s="62">
        <v>2.8</v>
      </c>
      <c r="L530" s="62" t="s"/>
      <c r="O530">
        <v>88226.2</v>
      </c>
      <c r="P530">
        <v>88050</v>
      </c>
      <c r="Q530">
        <v>88226.2</v>
      </c>
      <c r="T530" s="68">
        <f>=P530/10000*J530*Z530</f>
        <v>35.22</v>
      </c>
      <c r="U530">
        <v>0</v>
      </c>
      <c r="V530" s="68" t="s"/>
      <c r="W530" s="68" t="s"/>
      <c r="X530" s="68">
        <f>=O530-P530</f>
        <v>176.199999999997</v>
      </c>
      <c r="Y530" s="68">
        <f>=X530-T530-U530-V530</f>
        <v>140.979999999997</v>
      </c>
      <c r="Z530" s="62">
        <f>=A530-$A$528+1</f>
        <v>2</v>
      </c>
      <c r="AA530" s="68">
        <f>=P530/10000*K530*Z530</f>
        <v>49.308</v>
      </c>
      <c r="AB530" s="62">
        <f>=Q530*Z530</f>
        <v>176452.4</v>
      </c>
      <c r="AC530" t="s">
        <v>58</v>
      </c>
    </row>
    <row r="531" spans="1:29">
      <c r="A531" s="147">
        <v>46158</v>
      </c>
      <c r="B531" s="106" t="s">
        <v>37</v>
      </c>
      <c r="C531" s="103" t="s"/>
      <c r="D531" t="s">
        <v>328</v>
      </c>
      <c r="E531" t="s">
        <v>163</v>
      </c>
      <c r="F531" t="s">
        <v>329</v>
      </c>
      <c r="G531" s="136" t="s">
        <v>330</v>
      </c>
      <c r="H531" s="87" t="s">
        <v>331</v>
      </c>
      <c r="I531" s="65" t="s">
        <v>47</v>
      </c>
      <c r="J531" s="64">
        <v>2</v>
      </c>
      <c r="K531" s="140">
        <v>3</v>
      </c>
      <c r="O531">
        <v>1703986.54</v>
      </c>
      <c r="P531">
        <v>1701336.26</v>
      </c>
      <c r="Q531">
        <v>1703986.54</v>
      </c>
      <c r="T531" s="68">
        <f>=P531/10000*J531*Z531</f>
        <v>1020.801756</v>
      </c>
      <c r="U531">
        <v>0</v>
      </c>
      <c r="V531" s="68" t="s"/>
      <c r="W531" s="68" t="s"/>
      <c r="X531" s="68">
        <f>=O531-P531</f>
        <v>2650.28000000003</v>
      </c>
      <c r="Y531" s="68">
        <f>=X531-T531-U531-V531</f>
        <v>1629.47824400003</v>
      </c>
      <c r="Z531" s="62">
        <f>=A531-$A$522+1</f>
        <v>3</v>
      </c>
      <c r="AA531" s="68">
        <f>=P531/10000*K531*Z531</f>
        <v>1531.202634</v>
      </c>
      <c r="AB531" s="62">
        <f>=Q531*Z531</f>
        <v>5111959.62</v>
      </c>
      <c r="AC531" t="s">
        <v>44</v>
      </c>
    </row>
    <row r="532" spans="1:29">
      <c r="A532" s="147">
        <v>46159</v>
      </c>
      <c r="B532" s="103" t="s"/>
      <c r="C532" s="103" t="s"/>
      <c r="D532" t="s">
        <v>114</v>
      </c>
      <c r="E532" t="s">
        <v>114</v>
      </c>
      <c r="F532" t="s">
        <v>332</v>
      </c>
      <c r="G532" s="136" t="s">
        <v>333</v>
      </c>
      <c r="H532" s="80" t="s">
        <v>334</v>
      </c>
      <c r="I532" s="65" t="s">
        <v>47</v>
      </c>
      <c r="J532" s="62">
        <v>2</v>
      </c>
      <c r="K532" s="62">
        <v>2.8</v>
      </c>
      <c r="O532">
        <v>87326.71</v>
      </c>
      <c r="P532">
        <v>87152</v>
      </c>
      <c r="Q532">
        <v>87326.71</v>
      </c>
      <c r="T532" s="68">
        <f>=P532/10000*J532*Z532</f>
        <v>52.2912</v>
      </c>
      <c r="U532">
        <v>0</v>
      </c>
      <c r="V532" s="68" t="s"/>
      <c r="W532" s="68" t="s"/>
      <c r="X532" s="68">
        <f>=O532-P532</f>
        <v>174.709999999992</v>
      </c>
      <c r="Y532" s="68">
        <f>=X532-T532-U532-V532</f>
        <v>122.418799999992</v>
      </c>
      <c r="Z532" s="62">
        <f>=A532-$A$528+1</f>
        <v>3</v>
      </c>
      <c r="AA532" s="68">
        <f>=P532/10000*K532*Z532</f>
        <v>73.20768</v>
      </c>
      <c r="AB532" s="62">
        <f>=Q532*Z532</f>
        <v>261980.13</v>
      </c>
      <c r="AC532" t="s">
        <v>58</v>
      </c>
    </row>
    <row r="533" spans="1:29">
      <c r="A533" s="147">
        <v>46159</v>
      </c>
      <c r="B533" s="103" t="s"/>
      <c r="C533" s="62">
        <f>=TODAY()-A533+1</f>
        <v>71</v>
      </c>
      <c r="D533" t="s">
        <v>38</v>
      </c>
      <c r="E533" t="s">
        <v>63</v>
      </c>
      <c r="F533" t="s">
        <v>226</v>
      </c>
      <c r="G533" s="136" t="s">
        <v>335</v>
      </c>
      <c r="H533" s="98" t="s">
        <v>336</v>
      </c>
      <c r="I533" s="65" t="s">
        <v>43</v>
      </c>
      <c r="J533" s="62">
        <v>2</v>
      </c>
      <c r="K533" s="62">
        <v>2.5</v>
      </c>
      <c r="M533">
        <v>445550</v>
      </c>
      <c r="AC533" t="s">
        <v>58</v>
      </c>
    </row>
    <row r="534" spans="1:29">
      <c r="A534" s="147">
        <v>46159</v>
      </c>
      <c r="B534" s="103" t="s"/>
      <c r="C534" s="103" t="s"/>
      <c r="D534" s="62" t="s">
        <v>38</v>
      </c>
      <c r="E534" s="78" t="s">
        <v>128</v>
      </c>
      <c r="F534" s="78" t="s">
        <v>129</v>
      </c>
      <c r="G534" s="97" t="s">
        <v>260</v>
      </c>
      <c r="H534" s="87" t="s">
        <v>261</v>
      </c>
      <c r="I534" s="128" t="s">
        <v>47</v>
      </c>
      <c r="J534" s="62">
        <v>2</v>
      </c>
      <c r="K534" s="62">
        <v>2.5</v>
      </c>
      <c r="O534">
        <v>787618</v>
      </c>
      <c r="P534">
        <v>780000</v>
      </c>
      <c r="Q534">
        <v>787618</v>
      </c>
      <c r="T534" s="68">
        <f>=P534/10000*J534*Z534</f>
        <v>4836</v>
      </c>
      <c r="U534">
        <v>1560</v>
      </c>
      <c r="V534" s="68" t="s"/>
      <c r="W534" s="68" t="s"/>
      <c r="X534" s="68">
        <f>=O534-P534</f>
        <v>7618</v>
      </c>
      <c r="Y534" s="68">
        <f>=X534-T534-U534-V534</f>
        <v>1222</v>
      </c>
      <c r="Z534" s="62">
        <f>=A534-$A$378+1</f>
        <v>31</v>
      </c>
      <c r="AA534" s="68">
        <f>=P534/10000*K534*Z534</f>
        <v>6045</v>
      </c>
      <c r="AB534" s="62">
        <f>=Q534*Z534</f>
        <v>24416158</v>
      </c>
      <c r="AC534" t="s">
        <v>312</v>
      </c>
    </row>
    <row r="535" spans="1:29">
      <c r="A535" s="147">
        <v>46159</v>
      </c>
      <c r="B535" s="103" t="s"/>
      <c r="C535" s="103" t="s"/>
      <c r="D535" s="62" t="s">
        <v>38</v>
      </c>
      <c r="E535" s="78" t="s">
        <v>128</v>
      </c>
      <c r="F535" s="78" t="s">
        <v>129</v>
      </c>
      <c r="G535" s="97" t="s">
        <v>260</v>
      </c>
      <c r="H535" s="87" t="s">
        <v>262</v>
      </c>
      <c r="I535" s="128" t="s">
        <v>47</v>
      </c>
      <c r="J535" s="62">
        <v>2</v>
      </c>
      <c r="K535" s="62">
        <v>2.5</v>
      </c>
      <c r="O535">
        <v>120900</v>
      </c>
      <c r="P535">
        <v>120000</v>
      </c>
      <c r="Q535">
        <v>120900</v>
      </c>
      <c r="T535" s="68">
        <f>=P535/10000*J535*Z535</f>
        <v>624</v>
      </c>
      <c r="U535">
        <v>120</v>
      </c>
      <c r="V535" s="68" t="s"/>
      <c r="W535" s="68" t="s"/>
      <c r="X535" s="68">
        <f>=O535-P535</f>
        <v>900</v>
      </c>
      <c r="Y535" s="68">
        <f>=X535-T535-U535-V535</f>
        <v>156</v>
      </c>
      <c r="Z535" s="62">
        <f>=A535-$A$379+1</f>
        <v>26</v>
      </c>
      <c r="AA535" s="68">
        <f>=P535/10000*K535*Z535</f>
        <v>780</v>
      </c>
      <c r="AB535" s="62">
        <f>=Q535*Z535</f>
        <v>3143400</v>
      </c>
      <c r="AC535" t="s">
        <v>312</v>
      </c>
    </row>
    <row r="536" spans="1:29">
      <c r="A536" s="147">
        <v>46159</v>
      </c>
      <c r="B536" s="103" t="s"/>
      <c r="C536" s="103" t="s"/>
      <c r="D536" s="78" t="s">
        <v>38</v>
      </c>
      <c r="E536" s="78" t="s">
        <v>63</v>
      </c>
      <c r="F536" s="78" t="s">
        <v>111</v>
      </c>
      <c r="G536" s="136" t="s">
        <v>281</v>
      </c>
      <c r="H536" s="87" t="s">
        <v>283</v>
      </c>
      <c r="I536" s="65" t="s">
        <v>47</v>
      </c>
      <c r="J536" s="62">
        <v>2</v>
      </c>
      <c r="K536" s="62">
        <v>2.5</v>
      </c>
      <c r="O536">
        <v>16912.5</v>
      </c>
      <c r="P536">
        <v>16800</v>
      </c>
      <c r="Q536">
        <v>16912.5</v>
      </c>
      <c r="T536" s="68">
        <f>=P536/10000*J536*Z536</f>
        <v>84</v>
      </c>
      <c r="U536">
        <v>5</v>
      </c>
      <c r="V536" s="68" t="s"/>
      <c r="W536" s="68" t="s"/>
      <c r="X536" s="68">
        <f>=O536-P536</f>
        <v>112.5</v>
      </c>
      <c r="Y536" s="68">
        <f>=X536-T536-U536-V536</f>
        <v>23.5</v>
      </c>
      <c r="Z536" s="62">
        <f>=A536-$A$414+1</f>
        <v>25</v>
      </c>
      <c r="AA536" s="68">
        <f>=P536/10000*K536*Z536</f>
        <v>105</v>
      </c>
      <c r="AB536" s="62">
        <f>=Q536*Z536</f>
        <v>422812.5</v>
      </c>
      <c r="AC536" t="s">
        <v>58</v>
      </c>
    </row>
    <row r="537" spans="1:29">
      <c r="A537" s="147">
        <v>46159</v>
      </c>
      <c r="B537" s="123" t="s">
        <v>37</v>
      </c>
      <c r="C537" s="103" t="s"/>
      <c r="D537" s="62" t="s">
        <v>38</v>
      </c>
      <c r="E537" s="62" t="s">
        <v>199</v>
      </c>
      <c r="F537" s="62" t="s">
        <v>200</v>
      </c>
      <c r="G537" s="94" t="s">
        <v>201</v>
      </c>
      <c r="H537" s="64" t="s">
        <v>214</v>
      </c>
      <c r="I537" s="69" t="s">
        <v>47</v>
      </c>
      <c r="J537">
        <v>2</v>
      </c>
      <c r="K537">
        <v>2.3</v>
      </c>
      <c r="O537">
        <v>789100</v>
      </c>
      <c r="P537">
        <v>780000</v>
      </c>
      <c r="Q537">
        <v>789100</v>
      </c>
      <c r="T537" s="68">
        <f>=P537/10000*J537*Z537</f>
        <v>7644</v>
      </c>
      <c r="U537">
        <v>200</v>
      </c>
      <c r="V537" s="68" t="s"/>
      <c r="W537" s="68" t="s"/>
      <c r="X537" s="68">
        <f>=O537-P537</f>
        <v>9100</v>
      </c>
      <c r="Y537" s="68">
        <f>=X537-T537-U537-V537</f>
        <v>1256</v>
      </c>
      <c r="Z537" s="62">
        <f>=A537-$A$282+1</f>
        <v>49</v>
      </c>
      <c r="AA537" s="68">
        <f>=P537/10000*K537*Z537</f>
        <v>8790.6</v>
      </c>
      <c r="AB537" s="62">
        <f>=Q537*Z537</f>
        <v>38665900</v>
      </c>
      <c r="AC537" t="s">
        <v>44</v>
      </c>
    </row>
    <row r="538" spans="1:29">
      <c r="A538" s="147">
        <v>46160</v>
      </c>
      <c r="B538" s="103" t="s"/>
      <c r="C538" s="103" t="s"/>
      <c r="D538" t="s">
        <v>114</v>
      </c>
      <c r="E538" t="s">
        <v>114</v>
      </c>
      <c r="F538" t="s">
        <v>332</v>
      </c>
      <c r="G538" s="136" t="s">
        <v>333</v>
      </c>
      <c r="H538" s="80" t="s">
        <v>334</v>
      </c>
      <c r="I538" s="65" t="s">
        <v>47</v>
      </c>
      <c r="J538" s="62">
        <v>2</v>
      </c>
      <c r="K538" s="62">
        <v>2.8</v>
      </c>
      <c r="O538">
        <v>85493.78</v>
      </c>
      <c r="P538">
        <v>85323</v>
      </c>
      <c r="Q538">
        <v>85493.78</v>
      </c>
      <c r="T538" s="68">
        <f>=P538/10000*J538*Z538</f>
        <v>68.2584</v>
      </c>
      <c r="U538">
        <v>0</v>
      </c>
      <c r="V538" s="68" t="s"/>
      <c r="W538" s="68" t="s"/>
      <c r="X538" s="68">
        <f>=O538-P538</f>
        <v>170.779999999999</v>
      </c>
      <c r="Y538" s="68">
        <f>=X538-T538-U538-V538</f>
        <v>102.521599999999</v>
      </c>
      <c r="Z538" s="62">
        <f>=A538-$A$528+1</f>
        <v>4</v>
      </c>
      <c r="AA538" s="68">
        <f>=P538/10000*K538*Z538</f>
        <v>95.56176</v>
      </c>
      <c r="AB538" s="62">
        <f>=Q538*Z538</f>
        <v>341975.12</v>
      </c>
      <c r="AC538" t="s">
        <v>58</v>
      </c>
    </row>
    <row r="539" spans="1:29">
      <c r="A539" s="147">
        <v>46160</v>
      </c>
      <c r="B539" s="103" t="s"/>
      <c r="C539" s="62">
        <f>=TODAY()-A539+1</f>
        <v>70</v>
      </c>
      <c r="D539" t="s">
        <v>38</v>
      </c>
      <c r="E539" t="s">
        <v>63</v>
      </c>
      <c r="F539" t="s">
        <v>226</v>
      </c>
      <c r="G539" s="136" t="s">
        <v>335</v>
      </c>
      <c r="H539" s="98" t="s">
        <v>337</v>
      </c>
      <c r="I539" s="65" t="s">
        <v>43</v>
      </c>
      <c r="J539" s="62">
        <v>2</v>
      </c>
      <c r="K539" s="62">
        <v>2.5</v>
      </c>
      <c r="M539">
        <v>571900</v>
      </c>
      <c r="AC539" t="s">
        <v>58</v>
      </c>
    </row>
    <row r="540" spans="1:29">
      <c r="A540" s="147">
        <v>46160</v>
      </c>
      <c r="B540" s="123" t="s">
        <v>37</v>
      </c>
      <c r="D540" s="64" t="s">
        <v>38</v>
      </c>
      <c r="E540" s="62" t="s">
        <v>85</v>
      </c>
      <c r="F540" t="s">
        <v>120</v>
      </c>
      <c r="G540" s="136" t="s">
        <v>239</v>
      </c>
      <c r="H540" s="64" t="s">
        <v>240</v>
      </c>
      <c r="I540" s="137" t="s">
        <v>47</v>
      </c>
      <c r="J540" s="64">
        <v>2</v>
      </c>
      <c r="K540" s="78">
        <v>2.5</v>
      </c>
      <c r="O540">
        <v>111300</v>
      </c>
      <c r="P540">
        <v>110000</v>
      </c>
      <c r="Q540">
        <v>111300</v>
      </c>
      <c r="T540" s="68">
        <f>=P540/10000*J540*Z540</f>
        <v>880</v>
      </c>
      <c r="U540">
        <v>150</v>
      </c>
      <c r="V540" s="68" t="s"/>
      <c r="W540" s="68" t="s"/>
      <c r="X540" s="68">
        <f>=O540-P540</f>
        <v>1300</v>
      </c>
      <c r="Y540" s="68">
        <f>=X540-T540-U540-V540</f>
        <v>270</v>
      </c>
      <c r="Z540" s="62">
        <f>=A540-$A$318+1</f>
        <v>40</v>
      </c>
      <c r="AA540" s="68">
        <f>=P540/10000*K540*Z540</f>
        <v>1100</v>
      </c>
      <c r="AB540" s="62">
        <f>=Q540*Z540</f>
        <v>4452000</v>
      </c>
      <c r="AC540" t="s">
        <v>44</v>
      </c>
    </row>
    <row r="541" spans="1:29">
      <c r="A541" s="147">
        <v>46160</v>
      </c>
      <c r="B541" s="103" t="s"/>
      <c r="C541" s="103" t="s"/>
      <c r="D541" s="62" t="s">
        <v>38</v>
      </c>
      <c r="E541" s="62" t="s">
        <v>133</v>
      </c>
      <c r="F541" s="62" t="s">
        <v>134</v>
      </c>
      <c r="G541" s="71" t="s">
        <v>135</v>
      </c>
      <c r="H541" s="80" t="s">
        <v>187</v>
      </c>
      <c r="I541" s="72" t="s">
        <v>47</v>
      </c>
      <c r="J541" s="62">
        <v>2</v>
      </c>
      <c r="K541" s="62">
        <v>2.5</v>
      </c>
      <c r="O541">
        <v>181554</v>
      </c>
      <c r="P541">
        <v>178500</v>
      </c>
      <c r="Q541">
        <v>181554</v>
      </c>
      <c r="T541" s="68">
        <f>=P541/10000*J541*Z541</f>
        <v>1963.5</v>
      </c>
      <c r="U541">
        <v>600</v>
      </c>
      <c r="V541" s="68" t="s"/>
      <c r="W541" s="68" t="s"/>
      <c r="X541" s="68">
        <f>=O541-P541</f>
        <v>3053.99999999997</v>
      </c>
      <c r="Y541" s="68">
        <f>=X541-T541-U541-V541</f>
        <v>490.499999999971</v>
      </c>
      <c r="Z541" s="62">
        <f>=A541-$A$256+1</f>
        <v>55</v>
      </c>
      <c r="AA541" s="68">
        <f>=P541/10000*K541*Z541</f>
        <v>2454.375</v>
      </c>
      <c r="AB541" s="62">
        <f>=Q541*Z541</f>
        <v>9985470</v>
      </c>
      <c r="AC541" t="s">
        <v>58</v>
      </c>
    </row>
    <row r="542" spans="1:29">
      <c r="A542" s="147">
        <v>46160</v>
      </c>
      <c r="B542" s="106" t="s">
        <v>37</v>
      </c>
      <c r="C542" s="103" t="s"/>
      <c r="D542" s="62" t="s">
        <v>38</v>
      </c>
      <c r="E542" s="62" t="s">
        <v>148</v>
      </c>
      <c r="F542" s="62" t="s">
        <v>153</v>
      </c>
      <c r="G542" s="71" t="s">
        <v>154</v>
      </c>
      <c r="H542" s="80" t="s">
        <v>183</v>
      </c>
      <c r="I542" s="69" t="s">
        <v>47</v>
      </c>
      <c r="J542" s="62">
        <v>2</v>
      </c>
      <c r="K542" s="62">
        <v>2.5</v>
      </c>
      <c r="O542">
        <v>355300</v>
      </c>
      <c r="P542">
        <v>350000</v>
      </c>
      <c r="Q542">
        <v>355300</v>
      </c>
      <c r="T542" s="68">
        <f>=P542/10000*J542*Z542</f>
        <v>3920</v>
      </c>
      <c r="U542">
        <v>300</v>
      </c>
      <c r="V542" s="68" t="s"/>
      <c r="W542" s="68" t="s"/>
      <c r="X542" s="68">
        <f>=O542-P542</f>
        <v>5300</v>
      </c>
      <c r="Y542" s="68">
        <f>=X542-T542-U542-V542</f>
        <v>1080</v>
      </c>
      <c r="Z542" s="62">
        <f>=A542-$A$247+1</f>
        <v>56</v>
      </c>
      <c r="AA542" s="68">
        <f>=P542/10000*K542*Z542</f>
        <v>4900</v>
      </c>
      <c r="AB542" s="62">
        <f>=Q542*Z542</f>
        <v>19896800</v>
      </c>
      <c r="AC542" t="s">
        <v>58</v>
      </c>
    </row>
    <row r="543" spans="1:29">
      <c r="A543" s="147">
        <v>46160</v>
      </c>
      <c r="B543" s="123" t="s">
        <v>37</v>
      </c>
      <c r="C543" s="103" t="s"/>
      <c r="D543" s="62" t="s">
        <v>38</v>
      </c>
      <c r="E543" s="62" t="s">
        <v>133</v>
      </c>
      <c r="F543" s="62" t="s">
        <v>134</v>
      </c>
      <c r="G543" s="136" t="s">
        <v>305</v>
      </c>
      <c r="H543" s="80" t="s">
        <v>306</v>
      </c>
      <c r="I543" s="69" t="s">
        <v>47</v>
      </c>
      <c r="J543" s="62">
        <v>2</v>
      </c>
      <c r="K543" s="62">
        <v>2.5</v>
      </c>
      <c r="O543">
        <v>3250013.98</v>
      </c>
      <c r="P543">
        <v>3233680</v>
      </c>
      <c r="Q543">
        <v>3250013.98</v>
      </c>
      <c r="T543" s="68">
        <f>=P543/10000*J543*Z543</f>
        <v>12287.984</v>
      </c>
      <c r="U543">
        <v>730.5</v>
      </c>
      <c r="V543" s="68" t="s"/>
      <c r="W543" s="68" t="s"/>
      <c r="X543" s="68">
        <f>=O543-P543</f>
        <v>16333.98</v>
      </c>
      <c r="Y543" s="68">
        <f>=X543-T543-U543-V543</f>
        <v>3315.49599999998</v>
      </c>
      <c r="Z543" s="62">
        <f>=A543-$A$466+1</f>
        <v>19</v>
      </c>
      <c r="AA543" s="68">
        <f>=P543/10000*K543*Z543</f>
        <v>15359.98</v>
      </c>
      <c r="AB543" s="62">
        <f>=Q543*Z543</f>
        <v>61750265.62</v>
      </c>
      <c r="AC543" t="s">
        <v>58</v>
      </c>
    </row>
    <row r="544" spans="1:29">
      <c r="A544" s="147">
        <v>46160</v>
      </c>
      <c r="B544" s="106" t="s">
        <v>37</v>
      </c>
      <c r="C544" s="62" t="s"/>
      <c r="D544" s="63" t="s">
        <v>38</v>
      </c>
      <c r="E544" s="62" t="s">
        <v>39</v>
      </c>
      <c r="F544" s="62" t="s">
        <v>40</v>
      </c>
      <c r="G544" s="71" t="s">
        <v>142</v>
      </c>
      <c r="H544" s="80" t="s">
        <v>338</v>
      </c>
      <c r="I544" s="65" t="s">
        <v>43</v>
      </c>
      <c r="J544" s="62">
        <v>2</v>
      </c>
      <c r="K544" s="62">
        <v>2.5</v>
      </c>
      <c r="M544">
        <v>190000</v>
      </c>
      <c r="AC544" t="s">
        <v>58</v>
      </c>
    </row>
    <row r="545" spans="1:29">
      <c r="A545" s="147">
        <v>46160</v>
      </c>
      <c r="B545" s="106" t="s">
        <v>37</v>
      </c>
      <c r="C545" s="103" t="s"/>
      <c r="D545" s="63" t="s">
        <v>38</v>
      </c>
      <c r="E545" s="62" t="s">
        <v>39</v>
      </c>
      <c r="F545" s="62" t="s">
        <v>40</v>
      </c>
      <c r="G545" s="71" t="s">
        <v>142</v>
      </c>
      <c r="H545" s="64" t="s">
        <v>143</v>
      </c>
      <c r="I545" s="72" t="s">
        <v>47</v>
      </c>
      <c r="J545" s="62">
        <v>2</v>
      </c>
      <c r="K545" s="62">
        <v>2.5</v>
      </c>
      <c r="O545">
        <v>198765</v>
      </c>
      <c r="P545">
        <v>195000</v>
      </c>
      <c r="Q545">
        <v>198765</v>
      </c>
      <c r="T545" s="68">
        <f>=P545/10000*J545*Z545</f>
        <v>2652</v>
      </c>
      <c r="U545">
        <v>300</v>
      </c>
      <c r="V545" s="68" t="s"/>
      <c r="W545" s="68" t="s"/>
      <c r="X545" s="68">
        <f>=O545-P545</f>
        <v>3765</v>
      </c>
      <c r="Y545" s="68">
        <f>=X545-T545-U545-V545</f>
        <v>813</v>
      </c>
      <c r="Z545" s="62">
        <f>=A545-$A$203+1</f>
        <v>68</v>
      </c>
      <c r="AA545" s="68">
        <f>=P545/10000*K545*Z545</f>
        <v>3315</v>
      </c>
      <c r="AB545" s="62">
        <f>=Q545*Z545</f>
        <v>13516020</v>
      </c>
      <c r="AC545" t="s">
        <v>58</v>
      </c>
    </row>
    <row r="546" spans="1:29">
      <c r="A546" s="147">
        <v>46161</v>
      </c>
      <c r="B546" s="103" t="s"/>
      <c r="C546" s="103" t="s"/>
      <c r="D546" t="s">
        <v>114</v>
      </c>
      <c r="E546" t="s">
        <v>114</v>
      </c>
      <c r="F546" t="s">
        <v>332</v>
      </c>
      <c r="G546" s="136" t="s">
        <v>333</v>
      </c>
      <c r="H546" s="80" t="s">
        <v>334</v>
      </c>
      <c r="I546" s="65" t="s">
        <v>47</v>
      </c>
      <c r="J546" s="62">
        <v>2</v>
      </c>
      <c r="K546" s="62">
        <v>2.8</v>
      </c>
      <c r="O546">
        <v>107210.36</v>
      </c>
      <c r="P546">
        <v>106996</v>
      </c>
      <c r="Q546">
        <v>107210.36</v>
      </c>
      <c r="T546" s="68">
        <f>=P546/10000*J546*Z546</f>
        <v>106.996</v>
      </c>
      <c r="U546">
        <v>0</v>
      </c>
      <c r="V546" s="68" t="s"/>
      <c r="W546" s="68" t="s"/>
      <c r="X546" s="68">
        <f>=O546-P546</f>
        <v>214.359999999986</v>
      </c>
      <c r="Y546" s="68">
        <f>=X546-T546-U546-V546</f>
        <v>107.363999999986</v>
      </c>
      <c r="Z546" s="62">
        <f>=A546-$A$528+1</f>
        <v>5</v>
      </c>
      <c r="AA546" s="68">
        <f>=P546/10000*K546*Z546</f>
        <v>149.7944</v>
      </c>
      <c r="AB546" s="62">
        <f>=Q546*Z546</f>
        <v>536051.8</v>
      </c>
      <c r="AC546" t="s">
        <v>58</v>
      </c>
    </row>
    <row r="547" spans="1:29">
      <c r="A547" s="147">
        <v>46161</v>
      </c>
      <c r="B547" s="62" t="s">
        <v>37</v>
      </c>
      <c r="C547" s="103" t="s"/>
      <c r="D547" s="62" t="s">
        <v>38</v>
      </c>
      <c r="E547" s="62" t="s">
        <v>85</v>
      </c>
      <c r="F547" s="62" t="s">
        <v>120</v>
      </c>
      <c r="G547" s="71" t="s">
        <v>121</v>
      </c>
      <c r="H547" s="64" t="s">
        <v>122</v>
      </c>
      <c r="I547" s="72" t="s">
        <v>47</v>
      </c>
      <c r="J547" s="62">
        <v>2</v>
      </c>
      <c r="K547" s="62">
        <v>2.6</v>
      </c>
      <c r="O547">
        <v>1219620</v>
      </c>
      <c r="P547">
        <v>1180800</v>
      </c>
      <c r="Q547">
        <v>1219620</v>
      </c>
      <c r="T547" s="68">
        <f>=P547/10000*J547*Z547</f>
        <v>24324.48</v>
      </c>
      <c r="U547">
        <v>4800</v>
      </c>
      <c r="V547" s="68" t="s"/>
      <c r="W547" s="68" t="s"/>
      <c r="X547" s="68">
        <f>=O547-P547</f>
        <v>38820</v>
      </c>
      <c r="Y547" s="68">
        <f>=X547-T547-U547-V547</f>
        <v>9695.52</v>
      </c>
      <c r="Z547" s="62">
        <f>=A547-$A$146+1</f>
        <v>103</v>
      </c>
      <c r="AA547" s="68">
        <f>=P547/10000*K547*Z547</f>
        <v>31621.824</v>
      </c>
      <c r="AB547" s="62">
        <f>=Q547*Z547</f>
        <v>125620860</v>
      </c>
      <c r="AC547" t="s">
        <v>312</v>
      </c>
    </row>
    <row r="548" spans="1:29">
      <c r="A548" s="147">
        <v>46161</v>
      </c>
      <c r="B548" s="103" t="s"/>
      <c r="C548" s="62">
        <f>=TODAY()-A548+1</f>
        <v>22</v>
      </c>
      <c r="D548" s="62" t="s">
        <v>38</v>
      </c>
      <c r="E548" s="62" t="s">
        <v>85</v>
      </c>
      <c r="F548" s="62" t="s">
        <v>120</v>
      </c>
      <c r="G548" s="71" t="s">
        <v>339</v>
      </c>
      <c r="H548" t="s">
        <v>340</v>
      </c>
      <c r="I548" s="65" t="s">
        <v>43</v>
      </c>
      <c r="J548" s="62">
        <v>2</v>
      </c>
      <c r="K548" s="62">
        <v>2.6</v>
      </c>
      <c r="M548">
        <v>876000</v>
      </c>
      <c r="AC548" t="s">
        <v>58</v>
      </c>
    </row>
    <row r="549" spans="1:29">
      <c r="A549" s="147">
        <v>46161</v>
      </c>
      <c r="B549" t="s">
        <v>37</v>
      </c>
      <c r="C549" s="62" t="s"/>
      <c r="D549" s="62" t="s">
        <v>38</v>
      </c>
      <c r="E549" s="62" t="s">
        <v>128</v>
      </c>
      <c r="F549" s="62" t="s">
        <v>129</v>
      </c>
      <c r="G549" s="94" t="s">
        <v>145</v>
      </c>
      <c r="H549" s="71" t="s">
        <v>341</v>
      </c>
      <c r="I549" s="73" t="s">
        <v>43</v>
      </c>
      <c r="J549" s="62">
        <v>2</v>
      </c>
      <c r="K549" s="62">
        <v>2.5</v>
      </c>
      <c r="M549">
        <v>925000</v>
      </c>
      <c r="AC549" t="s">
        <v>58</v>
      </c>
    </row>
    <row r="550" spans="1:29">
      <c r="A550" s="147">
        <v>46161</v>
      </c>
      <c r="B550" s="103" t="s"/>
      <c r="C550" s="103" t="s"/>
      <c r="D550" s="151" t="s">
        <v>38</v>
      </c>
      <c r="E550" s="151" t="s">
        <v>148</v>
      </c>
      <c r="F550" s="151" t="s">
        <v>149</v>
      </c>
      <c r="G550" s="71" t="s">
        <v>150</v>
      </c>
      <c r="H550" s="80" t="s">
        <v>151</v>
      </c>
      <c r="I550" s="72" t="s">
        <v>47</v>
      </c>
      <c r="J550" s="62">
        <v>2</v>
      </c>
      <c r="K550" s="62">
        <v>2.5</v>
      </c>
      <c r="O550">
        <v>539542.4</v>
      </c>
      <c r="P550">
        <v>528080</v>
      </c>
      <c r="Q550">
        <v>539542.4</v>
      </c>
      <c r="T550" s="68">
        <f>=P550/10000*J550*Z550</f>
        <v>6759.424</v>
      </c>
      <c r="U550">
        <v>2010</v>
      </c>
      <c r="V550" s="68" t="s"/>
      <c r="W550" s="68" t="s"/>
      <c r="X550" s="68">
        <f>=O550-P550</f>
        <v>11462.4</v>
      </c>
      <c r="Y550" s="68">
        <f>=X550-T550-U550-V550</f>
        <v>2692.97600000002</v>
      </c>
      <c r="Z550" s="62">
        <f>=A550-$A$216+1</f>
        <v>64</v>
      </c>
      <c r="AA550" s="68">
        <f>=P550/10000*K550*Z550</f>
        <v>8449.28</v>
      </c>
      <c r="AB550" s="62">
        <f>=Q550*Z550</f>
        <v>34530713.6</v>
      </c>
      <c r="AC550" t="s">
        <v>58</v>
      </c>
    </row>
    <row r="551" spans="1:29">
      <c r="A551" s="147">
        <v>46161</v>
      </c>
      <c r="B551" s="103" t="s"/>
      <c r="C551" s="62">
        <f>=TODAY()-A551+1</f>
        <v>69</v>
      </c>
      <c r="D551" s="151" t="s">
        <v>38</v>
      </c>
      <c r="E551" s="151" t="s">
        <v>148</v>
      </c>
      <c r="F551" s="151" t="s">
        <v>149</v>
      </c>
      <c r="G551" s="71" t="s">
        <v>150</v>
      </c>
      <c r="H551" s="98" t="s">
        <v>342</v>
      </c>
      <c r="I551" s="73" t="s">
        <v>43</v>
      </c>
      <c r="J551" s="62">
        <v>2</v>
      </c>
      <c r="K551" s="62">
        <v>2.5</v>
      </c>
      <c r="M551">
        <v>291400</v>
      </c>
      <c r="AC551" t="s">
        <v>58</v>
      </c>
    </row>
    <row r="552" spans="1:29">
      <c r="A552" s="147">
        <v>46162</v>
      </c>
      <c r="B552" s="103" t="s"/>
      <c r="C552" s="103" t="s"/>
      <c r="D552" t="s">
        <v>114</v>
      </c>
      <c r="E552" t="s">
        <v>114</v>
      </c>
      <c r="F552" t="s">
        <v>332</v>
      </c>
      <c r="G552" s="155" t="s">
        <v>333</v>
      </c>
      <c r="H552" s="80" t="s">
        <v>334</v>
      </c>
      <c r="I552" s="65" t="s">
        <v>47</v>
      </c>
      <c r="J552" s="62">
        <v>2</v>
      </c>
      <c r="K552" s="62">
        <v>2.8</v>
      </c>
      <c r="O552">
        <v>59086.16</v>
      </c>
      <c r="P552">
        <v>58968</v>
      </c>
      <c r="Q552">
        <v>59086.16</v>
      </c>
      <c r="T552" s="68">
        <f>=P552/10000*J552*Z552</f>
        <v>70.7616</v>
      </c>
      <c r="U552">
        <v>0</v>
      </c>
      <c r="V552" s="68" t="s"/>
      <c r="W552" s="68" t="s"/>
      <c r="X552" s="68">
        <f>=O552-P552</f>
        <v>118.159999999996</v>
      </c>
      <c r="Y552" s="68">
        <f>=X552-T552-U552-V552</f>
        <v>47.3983999999962</v>
      </c>
      <c r="Z552" s="62">
        <f>=A552-$A$528+1</f>
        <v>6</v>
      </c>
      <c r="AA552" s="68">
        <f>=P552/10000*K552*Z552</f>
        <v>99.06624</v>
      </c>
      <c r="AB552" s="62">
        <f>=Q552*Z552</f>
        <v>354516.96</v>
      </c>
      <c r="AC552" t="s">
        <v>58</v>
      </c>
    </row>
    <row r="553" spans="1:29">
      <c r="A553" s="147">
        <v>46162</v>
      </c>
      <c r="C553" s="62">
        <f>=TODAY()-A553+1</f>
        <v>68</v>
      </c>
      <c r="D553" s="62" t="s">
        <v>38</v>
      </c>
      <c r="E553" s="62" t="s">
        <v>133</v>
      </c>
      <c r="F553" s="62" t="s">
        <v>134</v>
      </c>
      <c r="G553" s="71" t="s">
        <v>135</v>
      </c>
      <c r="H553" s="98" t="s">
        <v>343</v>
      </c>
      <c r="I553" s="65" t="s">
        <v>43</v>
      </c>
      <c r="J553" s="62">
        <v>2</v>
      </c>
      <c r="K553" s="62">
        <v>2.5</v>
      </c>
      <c r="M553">
        <v>400000</v>
      </c>
      <c r="AC553" t="s">
        <v>58</v>
      </c>
    </row>
    <row r="554" spans="1:29">
      <c r="A554" s="147">
        <v>46162</v>
      </c>
      <c r="B554" s="103" t="s"/>
      <c r="C554" s="103" t="s"/>
      <c r="D554" s="62" t="s">
        <v>114</v>
      </c>
      <c r="E554" s="62" t="s">
        <v>114</v>
      </c>
      <c r="F554" s="62" t="s">
        <v>115</v>
      </c>
      <c r="G554" s="136" t="s">
        <v>116</v>
      </c>
      <c r="H554" s="87" t="s">
        <v>344</v>
      </c>
      <c r="I554" s="72" t="s">
        <v>47</v>
      </c>
      <c r="J554" s="62">
        <v>2</v>
      </c>
      <c r="K554" s="62">
        <v>2.6</v>
      </c>
      <c r="O554">
        <v>5559</v>
      </c>
      <c r="P554">
        <v>5500</v>
      </c>
      <c r="Q554">
        <v>5559</v>
      </c>
      <c r="T554" s="68">
        <f>=P554/10000*J554*Z554</f>
        <v>45.1</v>
      </c>
      <c r="U554" s="62">
        <v>0</v>
      </c>
      <c r="V554" s="68" t="s"/>
      <c r="W554" s="68" t="s"/>
      <c r="X554" s="68">
        <f>=O554-P554</f>
        <v>59</v>
      </c>
      <c r="Y554" s="68">
        <f>=X554-T554-U554-V554</f>
        <v>13.9</v>
      </c>
      <c r="Z554" s="62">
        <f>=A554-$A$360+1</f>
        <v>41</v>
      </c>
      <c r="AA554" s="68">
        <f>=P554/10000*K554*Z554</f>
        <v>58.63</v>
      </c>
      <c r="AB554" s="62">
        <f>=Q554*Z554</f>
        <v>227919</v>
      </c>
      <c r="AC554" t="s">
        <v>58</v>
      </c>
    </row>
    <row r="555" spans="1:29">
      <c r="A555" s="147">
        <v>46162</v>
      </c>
      <c r="B555" s="103" t="s"/>
      <c r="C555" s="103" t="s"/>
      <c r="D555" s="62" t="s">
        <v>38</v>
      </c>
      <c r="E555" s="62" t="s">
        <v>133</v>
      </c>
      <c r="F555" s="62" t="s">
        <v>134</v>
      </c>
      <c r="G555" s="71" t="s">
        <v>135</v>
      </c>
      <c r="H555" s="80" t="s">
        <v>209</v>
      </c>
      <c r="I555" s="69" t="s">
        <v>47</v>
      </c>
      <c r="J555" s="62">
        <v>2</v>
      </c>
      <c r="K555" s="62">
        <v>2.5</v>
      </c>
      <c r="O555">
        <v>143638</v>
      </c>
      <c r="P555">
        <v>141400</v>
      </c>
      <c r="Q555">
        <v>143638</v>
      </c>
      <c r="T555" s="68">
        <f>=P555/10000*J555*Z555</f>
        <v>1470.56</v>
      </c>
      <c r="U555">
        <v>400</v>
      </c>
      <c r="V555" s="68" t="s"/>
      <c r="W555" s="68" t="s"/>
      <c r="X555" s="68">
        <f>=O555-P555</f>
        <v>2238</v>
      </c>
      <c r="Y555" s="68">
        <f>=X555-T555-U555-V555</f>
        <v>367.44</v>
      </c>
      <c r="Z555" s="62">
        <f>=A555-$A$277+1</f>
        <v>52</v>
      </c>
      <c r="AA555" s="68">
        <f>=P555/10000*K555*Z555</f>
        <v>1838.2</v>
      </c>
      <c r="AB555" s="62">
        <f>=Q555*Z555</f>
        <v>7469176</v>
      </c>
      <c r="AC555" t="s">
        <v>58</v>
      </c>
    </row>
    <row r="556" spans="1:29">
      <c r="A556" s="147">
        <v>46162</v>
      </c>
      <c r="B556" s="103" t="s"/>
      <c r="C556" s="103" t="s"/>
      <c r="D556" s="62" t="s">
        <v>38</v>
      </c>
      <c r="E556" s="62" t="s">
        <v>133</v>
      </c>
      <c r="F556" s="62" t="s">
        <v>134</v>
      </c>
      <c r="G556" s="71" t="s">
        <v>135</v>
      </c>
      <c r="H556" s="80" t="s">
        <v>187</v>
      </c>
      <c r="I556" s="69" t="s">
        <v>47</v>
      </c>
      <c r="J556" s="62">
        <v>2</v>
      </c>
      <c r="K556" s="62">
        <v>2.5</v>
      </c>
      <c r="O556">
        <v>121096</v>
      </c>
      <c r="P556">
        <v>119000</v>
      </c>
      <c r="Q556">
        <v>121096</v>
      </c>
      <c r="T556" s="68">
        <f>=P556/10000*J556*Z556</f>
        <v>1356.6</v>
      </c>
      <c r="U556">
        <v>400</v>
      </c>
      <c r="V556" s="68" t="s"/>
      <c r="W556" s="68" t="s"/>
      <c r="X556" s="68">
        <f>=O556-P556</f>
        <v>2096</v>
      </c>
      <c r="Y556" s="68">
        <f>=X556-T556-U556-V556</f>
        <v>339.4</v>
      </c>
      <c r="Z556" s="62">
        <f>=A556-$A$256+1</f>
        <v>57</v>
      </c>
      <c r="AA556" s="68">
        <f>=P556/10000*K556*Z556</f>
        <v>1695.75</v>
      </c>
      <c r="AB556" s="62">
        <f>=Q556*Z556</f>
        <v>6902472</v>
      </c>
      <c r="AC556" t="s">
        <v>58</v>
      </c>
    </row>
    <row r="557" spans="1:29">
      <c r="A557" s="147">
        <v>46162</v>
      </c>
      <c r="B557" s="103" t="s"/>
      <c r="C557" s="103" t="s"/>
      <c r="D557" s="62" t="s">
        <v>38</v>
      </c>
      <c r="E557" s="62" t="s">
        <v>133</v>
      </c>
      <c r="F557" s="62" t="s">
        <v>134</v>
      </c>
      <c r="G557" s="71" t="s">
        <v>135</v>
      </c>
      <c r="H557" s="80" t="s">
        <v>247</v>
      </c>
      <c r="I557" s="69" t="s">
        <v>47</v>
      </c>
      <c r="J557" s="62">
        <v>2</v>
      </c>
      <c r="K557" s="62">
        <v>2.5</v>
      </c>
      <c r="O557">
        <v>113982</v>
      </c>
      <c r="P557">
        <v>112500</v>
      </c>
      <c r="Q557">
        <v>113982</v>
      </c>
      <c r="T557" s="68">
        <f>=P557/10000*J557*Z557</f>
        <v>945</v>
      </c>
      <c r="U557">
        <v>300</v>
      </c>
      <c r="V557" s="68" t="s"/>
      <c r="W557" s="68" t="s"/>
      <c r="X557" s="68">
        <f>=O557-P557</f>
        <v>1482</v>
      </c>
      <c r="Y557" s="68">
        <f>=X557-T557-U557-V557</f>
        <v>237</v>
      </c>
      <c r="Z557" s="62">
        <f>=A557-$A$347+1</f>
        <v>42</v>
      </c>
      <c r="AA557" s="68">
        <f>=P557/10000*K557*Z557</f>
        <v>1181.25</v>
      </c>
      <c r="AB557" s="62">
        <f>=Q557*Z557</f>
        <v>4787244</v>
      </c>
      <c r="AC557" t="s">
        <v>58</v>
      </c>
    </row>
    <row r="558" spans="1:29">
      <c r="A558" s="80">
        <v>46162</v>
      </c>
      <c r="B558" s="62" t="s">
        <v>37</v>
      </c>
      <c r="C558" s="103" t="s"/>
      <c r="D558" s="62" t="s">
        <v>38</v>
      </c>
      <c r="E558" s="62" t="s">
        <v>48</v>
      </c>
      <c r="F558" s="62" t="s">
        <v>73</v>
      </c>
      <c r="G558" s="71" t="s">
        <v>74</v>
      </c>
      <c r="H558" s="64" t="s">
        <v>96</v>
      </c>
      <c r="I558" s="72" t="s">
        <v>47</v>
      </c>
      <c r="J558" s="62">
        <v>1.46</v>
      </c>
      <c r="K558" s="78">
        <v>2.5</v>
      </c>
      <c r="O558">
        <v>328371</v>
      </c>
      <c r="P558">
        <v>315900</v>
      </c>
      <c r="Q558">
        <v>328371</v>
      </c>
      <c r="T558" s="68">
        <f>=P558/10000*J558*Z558</f>
        <v>6503.1174</v>
      </c>
      <c r="U558">
        <v>0</v>
      </c>
      <c r="V558" s="68" t="s"/>
      <c r="W558" s="68" t="s"/>
      <c r="X558" s="68">
        <f>=O558-P558</f>
        <v>12471</v>
      </c>
      <c r="Y558" s="68">
        <f>=X558-T558-U558-V558</f>
        <v>5967.8826</v>
      </c>
      <c r="Z558" s="62">
        <f>=A558-$A$92+1</f>
        <v>141</v>
      </c>
      <c r="AA558" s="68">
        <f>=P558/10000*K558*Z558</f>
        <v>11135.475</v>
      </c>
      <c r="AB558" s="62">
        <f>=Q558*Z558</f>
        <v>46300311</v>
      </c>
      <c r="AC558" t="s">
        <v>312</v>
      </c>
    </row>
    <row r="559" spans="1:29">
      <c r="A559" s="147">
        <v>46162</v>
      </c>
      <c r="B559" s="106" t="s">
        <v>37</v>
      </c>
      <c r="C559" s="103" t="s"/>
      <c r="D559" s="62" t="s">
        <v>38</v>
      </c>
      <c r="E559" s="62" t="s">
        <v>163</v>
      </c>
      <c r="F559" s="62" t="s">
        <v>164</v>
      </c>
      <c r="G559" s="108" t="s">
        <v>165</v>
      </c>
      <c r="H559" s="80" t="s">
        <v>279</v>
      </c>
      <c r="I559" s="65" t="s">
        <v>47</v>
      </c>
      <c r="J559" s="62">
        <v>2</v>
      </c>
      <c r="K559" s="62">
        <v>3</v>
      </c>
      <c r="O559">
        <v>299295.6</v>
      </c>
      <c r="P559">
        <v>296400</v>
      </c>
      <c r="Q559">
        <v>299295.6</v>
      </c>
      <c r="T559" s="68">
        <f>=P559/10000*J559*Z559</f>
        <v>1778.4</v>
      </c>
      <c r="U559">
        <v>171</v>
      </c>
      <c r="V559" s="68" t="s"/>
      <c r="W559" s="68" t="s"/>
      <c r="X559" s="68">
        <f>=O559-P559</f>
        <v>2895.60000000004</v>
      </c>
      <c r="Y559" s="68">
        <f>=X559-T559-U559-V559</f>
        <v>946.200000000035</v>
      </c>
      <c r="Z559" s="62">
        <f>=A559-$A$408+1</f>
        <v>30</v>
      </c>
      <c r="AA559" s="68">
        <f>=P559/10000*K559*Z559</f>
        <v>2667.6</v>
      </c>
      <c r="AB559" s="62">
        <f>=Q559*Z559</f>
        <v>8978868</v>
      </c>
      <c r="AC559" t="s">
        <v>58</v>
      </c>
    </row>
    <row r="560" spans="1:29">
      <c r="A560" s="80">
        <v>46162</v>
      </c>
      <c r="B560" s="62" t="s">
        <v>37</v>
      </c>
      <c r="C560" s="103" t="s"/>
      <c r="D560" s="62" t="s">
        <v>38</v>
      </c>
      <c r="E560" s="62" t="s">
        <v>85</v>
      </c>
      <c r="F560" s="62" t="s">
        <v>120</v>
      </c>
      <c r="G560" s="71" t="s">
        <v>121</v>
      </c>
      <c r="H560" s="64" t="s">
        <v>122</v>
      </c>
      <c r="I560" s="72" t="s">
        <v>47</v>
      </c>
      <c r="J560" s="62">
        <v>2</v>
      </c>
      <c r="K560" s="62">
        <v>2.6</v>
      </c>
      <c r="O560">
        <v>1016004</v>
      </c>
      <c r="P560">
        <v>984000</v>
      </c>
      <c r="Q560">
        <v>1016004</v>
      </c>
      <c r="T560" s="68">
        <f>=P560/10000*J560*Z560</f>
        <v>20467.2</v>
      </c>
      <c r="U560">
        <v>4800</v>
      </c>
      <c r="V560" s="68" t="s"/>
      <c r="W560" s="68" t="s"/>
      <c r="X560" s="68">
        <f>=O560-P560</f>
        <v>32004</v>
      </c>
      <c r="Y560" s="68">
        <f>=X560-T560-U560-V560</f>
        <v>6736.8</v>
      </c>
      <c r="Z560" s="62">
        <f>=A560-$A$146+1</f>
        <v>104</v>
      </c>
      <c r="AA560" s="68">
        <f>=P560/10000*K560*Z560</f>
        <v>26607.36</v>
      </c>
      <c r="AB560" s="62">
        <f>=Q560*Z560</f>
        <v>105664416</v>
      </c>
      <c r="AC560" t="s">
        <v>312</v>
      </c>
    </row>
    <row r="561" spans="1:29">
      <c r="A561" s="80">
        <v>46162</v>
      </c>
      <c r="B561" s="103" t="s"/>
      <c r="C561" s="62">
        <f>=TODAY()-A561+1</f>
        <v>21</v>
      </c>
      <c r="D561" s="62" t="s">
        <v>38</v>
      </c>
      <c r="E561" s="62" t="s">
        <v>85</v>
      </c>
      <c r="F561" s="62" t="s">
        <v>120</v>
      </c>
      <c r="G561" s="71" t="s">
        <v>339</v>
      </c>
      <c r="H561" t="s">
        <v>345</v>
      </c>
      <c r="I561" s="65" t="s">
        <v>43</v>
      </c>
      <c r="J561" s="62">
        <v>2</v>
      </c>
      <c r="K561" s="62">
        <v>2.6</v>
      </c>
      <c r="M561">
        <v>744000</v>
      </c>
      <c r="AC561" t="s">
        <v>58</v>
      </c>
    </row>
    <row r="562" spans="1:29">
      <c r="A562" s="147">
        <v>46162</v>
      </c>
      <c r="B562" s="103" t="s"/>
      <c r="C562" s="62">
        <f>=TODAY()-A562+1</f>
        <v>21</v>
      </c>
      <c r="D562" s="62" t="s">
        <v>38</v>
      </c>
      <c r="E562" s="78" t="s">
        <v>128</v>
      </c>
      <c r="F562" s="78" t="s">
        <v>129</v>
      </c>
      <c r="G562" s="136" t="s">
        <v>346</v>
      </c>
      <c r="H562" s="98" t="s">
        <v>347</v>
      </c>
      <c r="I562" s="73" t="s">
        <v>43</v>
      </c>
      <c r="J562" s="62">
        <v>2</v>
      </c>
      <c r="K562" s="62">
        <v>2.5</v>
      </c>
      <c r="M562">
        <v>570000</v>
      </c>
      <c r="AC562" t="s">
        <v>58</v>
      </c>
    </row>
    <row r="563" spans="1:29">
      <c r="A563" s="147">
        <v>46163</v>
      </c>
      <c r="B563" s="103" t="s"/>
      <c r="C563" s="62">
        <f>=TODAY()-A563+1</f>
        <v>20</v>
      </c>
      <c r="D563" s="62" t="s">
        <v>38</v>
      </c>
      <c r="E563" s="62" t="s">
        <v>163</v>
      </c>
      <c r="F563" s="62" t="s">
        <v>164</v>
      </c>
      <c r="G563" s="108" t="s">
        <v>165</v>
      </c>
      <c r="H563" s="98" t="s">
        <v>348</v>
      </c>
      <c r="I563" s="65" t="s">
        <v>43</v>
      </c>
      <c r="J563" s="62">
        <v>2</v>
      </c>
      <c r="K563" s="62">
        <v>3</v>
      </c>
      <c r="M563">
        <v>267900</v>
      </c>
      <c r="AC563" t="s">
        <v>58</v>
      </c>
    </row>
    <row r="564" spans="1:29">
      <c r="A564" s="110">
        <v>46162</v>
      </c>
      <c r="B564" s="62" t="s">
        <v>37</v>
      </c>
      <c r="C564" s="103" t="s"/>
      <c r="D564" s="62" t="s">
        <v>38</v>
      </c>
      <c r="E564" s="62" t="s">
        <v>85</v>
      </c>
      <c r="F564" s="62" t="s">
        <v>120</v>
      </c>
      <c r="G564" s="93" t="s">
        <v>121</v>
      </c>
      <c r="H564" s="83" t="s">
        <v>122</v>
      </c>
      <c r="I564" s="69" t="s">
        <v>47</v>
      </c>
      <c r="J564" s="62">
        <v>2</v>
      </c>
      <c r="K564" s="62">
        <v>2.6</v>
      </c>
      <c r="O564">
        <v>848390</v>
      </c>
      <c r="P564">
        <v>820000</v>
      </c>
      <c r="Q564">
        <v>848390</v>
      </c>
      <c r="T564" s="68">
        <f>=P564/10000*J564*Z564</f>
        <v>17056</v>
      </c>
      <c r="U564">
        <v>4000</v>
      </c>
      <c r="V564" s="68" t="s"/>
      <c r="W564" s="68" t="s"/>
      <c r="X564" s="68">
        <f>=O564-P564</f>
        <v>28390</v>
      </c>
      <c r="Y564" s="68">
        <f>=X564-T564-U564-V564</f>
        <v>7334</v>
      </c>
      <c r="Z564" s="62">
        <f>=A564-$A$146+1</f>
        <v>104</v>
      </c>
      <c r="AA564" s="68">
        <f>=P564/10000*K564*Z564</f>
        <v>22172.8</v>
      </c>
      <c r="AB564" s="62">
        <f>=Q564*Z564</f>
        <v>88232560</v>
      </c>
      <c r="AC564" t="s">
        <v>312</v>
      </c>
    </row>
    <row r="565" spans="1:29">
      <c r="A565" s="147">
        <v>46163</v>
      </c>
      <c r="B565" s="103" t="s"/>
      <c r="C565" s="62">
        <f>=TODAY()-A565+1</f>
        <v>67</v>
      </c>
      <c r="D565" s="62" t="s">
        <v>38</v>
      </c>
      <c r="E565" s="62" t="s">
        <v>85</v>
      </c>
      <c r="F565" s="62" t="s">
        <v>120</v>
      </c>
      <c r="G565" s="71" t="s">
        <v>339</v>
      </c>
      <c r="H565" t="s">
        <v>349</v>
      </c>
      <c r="I565" s="65" t="s">
        <v>43</v>
      </c>
      <c r="J565" s="62">
        <v>2</v>
      </c>
      <c r="K565" s="62">
        <v>2.6</v>
      </c>
      <c r="M565">
        <v>620000</v>
      </c>
      <c r="AC565" t="s">
        <v>58</v>
      </c>
    </row>
    <row r="566" spans="1:29">
      <c r="A566" s="147">
        <v>46163</v>
      </c>
      <c r="B566" s="103" t="s"/>
      <c r="C566" s="103" t="s"/>
      <c r="D566" t="s">
        <v>114</v>
      </c>
      <c r="E566" t="s">
        <v>114</v>
      </c>
      <c r="F566" t="s">
        <v>332</v>
      </c>
      <c r="G566" s="136" t="s">
        <v>333</v>
      </c>
      <c r="H566" s="80" t="s">
        <v>334</v>
      </c>
      <c r="I566" s="65" t="s">
        <v>47</v>
      </c>
      <c r="J566" s="62">
        <v>2</v>
      </c>
      <c r="K566" s="62">
        <v>2.8</v>
      </c>
      <c r="O566">
        <v>151962.81</v>
      </c>
      <c r="P566">
        <v>151659</v>
      </c>
      <c r="Q566">
        <v>151962.81</v>
      </c>
      <c r="T566" s="68">
        <f>=P566/10000*J566*Z566</f>
        <v>212.3226</v>
      </c>
      <c r="U566">
        <v>0</v>
      </c>
      <c r="V566" s="68" t="s"/>
      <c r="W566" s="68" t="s"/>
      <c r="X566" s="68">
        <f>=O566-P566</f>
        <v>303.809999999998</v>
      </c>
      <c r="Y566" s="68">
        <f>=X566-T566-U566-V566</f>
        <v>91.4873999999977</v>
      </c>
      <c r="Z566" s="62">
        <f>=A566-$A$528+1</f>
        <v>7</v>
      </c>
      <c r="AA566" s="68">
        <f>=P566/10000*K566*Z566</f>
        <v>297.25164</v>
      </c>
      <c r="AB566" s="62">
        <f>=Q566*Z566</f>
        <v>1063739.67</v>
      </c>
      <c r="AC566" t="s">
        <v>58</v>
      </c>
    </row>
    <row r="567" spans="1:29">
      <c r="A567" s="148">
        <v>46162</v>
      </c>
      <c r="B567" s="103" t="s"/>
      <c r="C567" s="62" t="s"/>
      <c r="D567" s="151" t="s">
        <v>38</v>
      </c>
      <c r="E567" s="151" t="s">
        <v>148</v>
      </c>
      <c r="F567" s="151" t="s">
        <v>149</v>
      </c>
      <c r="G567" s="93" t="s">
        <v>150</v>
      </c>
      <c r="H567" s="110" t="s">
        <v>257</v>
      </c>
      <c r="I567" s="77" t="s">
        <v>47</v>
      </c>
      <c r="J567" s="62">
        <v>2</v>
      </c>
      <c r="K567" s="62">
        <v>2.5</v>
      </c>
      <c r="O567">
        <v>96060</v>
      </c>
      <c r="P567">
        <v>95000</v>
      </c>
      <c r="Q567">
        <v>96060</v>
      </c>
      <c r="T567" s="68">
        <f>=P567/10000*J567*Z567</f>
        <v>608</v>
      </c>
      <c r="U567">
        <v>200</v>
      </c>
      <c r="V567" s="68" t="s"/>
      <c r="W567" s="68" t="s"/>
      <c r="X567" s="68">
        <f>=O567-P567</f>
        <v>1060</v>
      </c>
      <c r="Y567" s="68">
        <f>=X567-T567-U567-V567</f>
        <v>252</v>
      </c>
      <c r="Z567" s="62">
        <f>=A567-$A$375+1</f>
        <v>32</v>
      </c>
      <c r="AA567" s="68">
        <f>=P567/10000*K567*Z567</f>
        <v>760</v>
      </c>
      <c r="AB567" s="62">
        <f>=Q567*Z567</f>
        <v>3073920</v>
      </c>
      <c r="AC567" t="s">
        <v>58</v>
      </c>
    </row>
    <row r="568" spans="1:29">
      <c r="A568" s="148">
        <v>46162</v>
      </c>
      <c r="B568" s="103" t="s"/>
      <c r="C568" s="62" t="s"/>
      <c r="D568" s="151" t="s">
        <v>38</v>
      </c>
      <c r="E568" s="151" t="s">
        <v>148</v>
      </c>
      <c r="F568" s="151" t="s">
        <v>149</v>
      </c>
      <c r="G568" s="93" t="s">
        <v>150</v>
      </c>
      <c r="H568" s="110" t="s">
        <v>151</v>
      </c>
      <c r="I568" s="77" t="s">
        <v>47</v>
      </c>
      <c r="J568" s="62">
        <v>2</v>
      </c>
      <c r="K568" s="62">
        <v>2.5</v>
      </c>
      <c r="O568">
        <v>771435</v>
      </c>
      <c r="P568">
        <v>756000</v>
      </c>
      <c r="Q568">
        <v>771435</v>
      </c>
      <c r="T568" s="68">
        <f>=P568/10000*J568*Z568</f>
        <v>9828</v>
      </c>
      <c r="U568">
        <v>2100</v>
      </c>
      <c r="V568" s="68" t="s"/>
      <c r="W568" s="68" t="s"/>
      <c r="X568" s="68">
        <f>=O568-P568</f>
        <v>15435</v>
      </c>
      <c r="Y568" s="68">
        <f>=X568-T568-U568-V568</f>
        <v>3507</v>
      </c>
      <c r="Z568" s="62">
        <f>=A568-$A$216+1</f>
        <v>65</v>
      </c>
      <c r="AA568" s="68">
        <f>=P568/10000*K568*Z568</f>
        <v>12285</v>
      </c>
      <c r="AB568" s="62">
        <f>=Q568*Z568</f>
        <v>50143275</v>
      </c>
      <c r="AC568" t="s">
        <v>58</v>
      </c>
    </row>
    <row r="569" spans="1:29">
      <c r="A569" s="147">
        <v>46162</v>
      </c>
      <c r="B569" s="106" t="s">
        <v>37</v>
      </c>
      <c r="C569" s="62" t="s"/>
      <c r="D569" s="151" t="s">
        <v>38</v>
      </c>
      <c r="E569" s="151" t="s">
        <v>148</v>
      </c>
      <c r="F569" s="151" t="s">
        <v>149</v>
      </c>
      <c r="G569" s="71" t="s">
        <v>150</v>
      </c>
      <c r="H569" s="98" t="s">
        <v>350</v>
      </c>
      <c r="I569" s="65" t="s">
        <v>43</v>
      </c>
      <c r="J569" s="62">
        <v>2</v>
      </c>
      <c r="K569" s="62">
        <v>2.5</v>
      </c>
      <c r="M569">
        <v>714000</v>
      </c>
      <c r="T569" s="68" t="s"/>
      <c r="V569" s="68" t="s"/>
      <c r="W569" s="68" t="s"/>
      <c r="X569" s="68" t="s"/>
      <c r="Y569" s="68" t="s"/>
      <c r="Z569" s="62" t="s"/>
      <c r="AA569" s="62" t="s"/>
      <c r="AB569" s="62" t="s"/>
      <c r="AC569" t="s">
        <v>58</v>
      </c>
    </row>
    <row r="570" spans="1:29">
      <c r="A570" s="80">
        <v>46162</v>
      </c>
      <c r="B570" s="103" t="s"/>
      <c r="C570" s="89" t="s"/>
      <c r="D570" s="64" t="s">
        <v>38</v>
      </c>
      <c r="E570" s="64" t="s">
        <v>148</v>
      </c>
      <c r="F570" s="64" t="s">
        <v>153</v>
      </c>
      <c r="G570" s="64" t="s">
        <v>215</v>
      </c>
      <c r="H570" s="98" t="s">
        <v>255</v>
      </c>
      <c r="I570" s="72" t="s">
        <v>47</v>
      </c>
      <c r="J570" s="62">
        <v>2</v>
      </c>
      <c r="K570" s="62">
        <v>2.5</v>
      </c>
      <c r="O570">
        <v>154034.5</v>
      </c>
      <c r="P570">
        <v>152500</v>
      </c>
      <c r="Q570">
        <v>154034.5</v>
      </c>
      <c r="T570" s="68">
        <f>=P570/10000*J570*Z570</f>
        <v>1067.5</v>
      </c>
      <c r="U570">
        <v>150</v>
      </c>
      <c r="V570" s="68" t="s"/>
      <c r="W570" s="68" t="s"/>
      <c r="X570" s="68">
        <f>=O570-P570</f>
        <v>1534.5</v>
      </c>
      <c r="Y570" s="68">
        <f>=X570-T570-U570-V570</f>
        <v>317</v>
      </c>
      <c r="Z570" s="62">
        <f>=A570-$A$369+1</f>
        <v>35</v>
      </c>
      <c r="AA570" s="68">
        <f>=P570/10000*K570*Z570</f>
        <v>1334.375</v>
      </c>
      <c r="AB570" s="62">
        <f>=Q570*Z570</f>
        <v>5391207.5</v>
      </c>
      <c r="AC570" t="s">
        <v>58</v>
      </c>
    </row>
    <row r="571" spans="1:29">
      <c r="A571" s="80">
        <v>46162</v>
      </c>
      <c r="B571" s="103" t="s"/>
      <c r="C571" s="89" t="s"/>
      <c r="D571" s="64" t="s">
        <v>38</v>
      </c>
      <c r="E571" s="64" t="s">
        <v>148</v>
      </c>
      <c r="F571" s="64" t="s">
        <v>153</v>
      </c>
      <c r="G571" s="71" t="s">
        <v>215</v>
      </c>
      <c r="H571" s="98" t="s">
        <v>216</v>
      </c>
      <c r="I571" s="72" t="s">
        <v>47</v>
      </c>
      <c r="J571" s="62">
        <v>2</v>
      </c>
      <c r="K571" s="62">
        <v>2.5</v>
      </c>
      <c r="O571">
        <v>326586</v>
      </c>
      <c r="P571">
        <v>322000</v>
      </c>
      <c r="Q571">
        <v>326586</v>
      </c>
      <c r="T571" s="68">
        <f>=P571/10000*J571*Z571</f>
        <v>3348.8</v>
      </c>
      <c r="U571">
        <v>300</v>
      </c>
      <c r="V571" s="68" t="s"/>
      <c r="W571" s="68" t="s"/>
      <c r="X571" s="68">
        <f>=O571-P571</f>
        <v>4586</v>
      </c>
      <c r="Y571" s="68">
        <f>=X571-T571-U571-V571</f>
        <v>937.2</v>
      </c>
      <c r="Z571" s="62">
        <f>=A571-$A$287+1</f>
        <v>52</v>
      </c>
      <c r="AA571" s="68">
        <f>=P571/10000*K571*Z571</f>
        <v>4186</v>
      </c>
      <c r="AB571" s="62">
        <f>=Q571*Z571</f>
        <v>16982472</v>
      </c>
      <c r="AC571" t="s">
        <v>58</v>
      </c>
    </row>
    <row r="572" spans="1:29">
      <c r="A572" s="147">
        <v>46162</v>
      </c>
      <c r="B572" s="123" t="s">
        <v>37</v>
      </c>
      <c r="C572" s="89" t="s"/>
      <c r="D572" s="62" t="s">
        <v>38</v>
      </c>
      <c r="E572" s="62" t="s">
        <v>133</v>
      </c>
      <c r="F572" s="62" t="s">
        <v>134</v>
      </c>
      <c r="G572" s="146" t="s">
        <v>305</v>
      </c>
      <c r="H572" s="98" t="s">
        <v>306</v>
      </c>
      <c r="I572" s="72" t="s">
        <v>47</v>
      </c>
      <c r="J572" s="62">
        <v>2</v>
      </c>
      <c r="K572" s="62">
        <v>2.5</v>
      </c>
      <c r="O572">
        <v>1088225.76</v>
      </c>
      <c r="P572">
        <v>1082240</v>
      </c>
      <c r="Q572">
        <v>1088225.76</v>
      </c>
      <c r="T572" s="68">
        <f>=P572/10000*J572*Z572</f>
        <v>4545.408</v>
      </c>
      <c r="U572">
        <v>228</v>
      </c>
      <c r="V572" s="68" t="s"/>
      <c r="W572" s="68" t="s"/>
      <c r="X572" s="68">
        <f>=O572-P572</f>
        <v>5985.76000000001</v>
      </c>
      <c r="Y572" s="68">
        <f>=X572-T572-U572-V572</f>
        <v>1212.35200000001</v>
      </c>
      <c r="Z572" s="62">
        <f>=A572-$A$466+1</f>
        <v>21</v>
      </c>
      <c r="AA572" s="68">
        <f>=P572/10000*K572*Z572</f>
        <v>5681.76</v>
      </c>
      <c r="AB572" s="62">
        <f>=Q572*Z572</f>
        <v>22852740.96</v>
      </c>
      <c r="AC572" t="s">
        <v>58</v>
      </c>
    </row>
    <row r="573" spans="1:29">
      <c r="A573" s="147">
        <v>46162</v>
      </c>
      <c r="B573" s="123" t="s">
        <v>37</v>
      </c>
      <c r="C573" s="89" t="s"/>
      <c r="D573" s="62" t="s">
        <v>38</v>
      </c>
      <c r="E573" s="62" t="s">
        <v>133</v>
      </c>
      <c r="F573" s="62" t="s">
        <v>134</v>
      </c>
      <c r="G573" s="146" t="s">
        <v>305</v>
      </c>
      <c r="H573" s="98" t="s">
        <v>308</v>
      </c>
      <c r="I573" s="72" t="s">
        <v>47</v>
      </c>
      <c r="J573" s="62">
        <v>2</v>
      </c>
      <c r="K573" s="62">
        <v>2.5</v>
      </c>
      <c r="O573">
        <v>667520</v>
      </c>
      <c r="P573">
        <v>664000</v>
      </c>
      <c r="Q573">
        <v>667520</v>
      </c>
      <c r="T573" s="68">
        <f>=P573/10000*J573*Z573</f>
        <v>2656</v>
      </c>
      <c r="U573">
        <v>150</v>
      </c>
      <c r="V573" s="68" t="s"/>
      <c r="W573" s="68" t="s"/>
      <c r="X573" s="68">
        <f>=O573-P573</f>
        <v>3520</v>
      </c>
      <c r="Y573" s="68">
        <f>=X573-T573-U573-V573</f>
        <v>714</v>
      </c>
      <c r="Z573" s="62">
        <f>=A573-$A$469+1</f>
        <v>20</v>
      </c>
      <c r="AA573" s="68">
        <f>=P573/10000*K573*Z573</f>
        <v>3320</v>
      </c>
      <c r="AB573" s="62">
        <f>=Q573*Z573</f>
        <v>13350400</v>
      </c>
      <c r="AC573" t="s">
        <v>58</v>
      </c>
    </row>
    <row r="574" spans="1:29">
      <c r="A574" s="147">
        <v>46163</v>
      </c>
      <c r="B574" s="103" t="s"/>
      <c r="C574" s="103" t="s"/>
      <c r="D574" s="151" t="s">
        <v>38</v>
      </c>
      <c r="E574" s="151" t="s">
        <v>148</v>
      </c>
      <c r="F574" s="151" t="s">
        <v>149</v>
      </c>
      <c r="G574" s="71" t="s">
        <v>150</v>
      </c>
      <c r="H574" s="80" t="s">
        <v>326</v>
      </c>
      <c r="I574" s="72" t="s">
        <v>47</v>
      </c>
      <c r="J574" s="62">
        <v>2</v>
      </c>
      <c r="K574" s="62">
        <v>2.5</v>
      </c>
      <c r="O574">
        <v>7084.86</v>
      </c>
      <c r="P574">
        <v>6900</v>
      </c>
      <c r="Q574">
        <v>7084.86</v>
      </c>
      <c r="T574" s="68">
        <f>=P574/10000*J574*Z574</f>
        <v>12.42</v>
      </c>
      <c r="U574">
        <v>3</v>
      </c>
      <c r="V574" s="68" t="s"/>
      <c r="W574" s="68" t="s"/>
      <c r="X574" s="68">
        <f>=O574-P574</f>
        <v>184.86</v>
      </c>
      <c r="Y574" s="68">
        <f>=X574-T574-U574-V574</f>
        <v>169.44</v>
      </c>
      <c r="Z574" s="62">
        <f>=A574-$A$512+1</f>
        <v>9</v>
      </c>
      <c r="AA574" s="68">
        <f>=P574/10000*K574*Z574</f>
        <v>15.525</v>
      </c>
      <c r="AB574" s="62">
        <f>=Q574*Z574</f>
        <v>63763.74</v>
      </c>
      <c r="AC574" t="s">
        <v>58</v>
      </c>
    </row>
    <row r="575" spans="1:29">
      <c r="A575" s="147">
        <v>46163</v>
      </c>
      <c r="B575" s="106" t="s">
        <v>37</v>
      </c>
      <c r="C575" s="103" t="s"/>
      <c r="D575" s="151" t="s">
        <v>38</v>
      </c>
      <c r="E575" s="151" t="s">
        <v>148</v>
      </c>
      <c r="F575" s="151" t="s">
        <v>153</v>
      </c>
      <c r="G575" s="136" t="s">
        <v>320</v>
      </c>
      <c r="H575" s="80" t="s">
        <v>321</v>
      </c>
      <c r="I575" s="65" t="s">
        <v>47</v>
      </c>
      <c r="J575" s="62">
        <v>2</v>
      </c>
      <c r="K575" s="62">
        <v>2.5</v>
      </c>
      <c r="O575">
        <v>441360</v>
      </c>
      <c r="P575">
        <v>440000</v>
      </c>
      <c r="Q575">
        <v>441360</v>
      </c>
      <c r="T575" s="68">
        <f>=P575/10000*J575*Z575</f>
        <v>968</v>
      </c>
      <c r="U575">
        <v>100</v>
      </c>
      <c r="V575" s="68" t="s"/>
      <c r="W575" s="68" t="s"/>
      <c r="X575" s="68">
        <f>=O575-P575</f>
        <v>1360.00000000006</v>
      </c>
      <c r="Y575" s="68">
        <f>=X575-T575-U575-V575</f>
        <v>292.000000000058</v>
      </c>
      <c r="Z575" s="62">
        <f>=A575-$A$506+1</f>
        <v>11</v>
      </c>
      <c r="AA575" s="68">
        <f>=P575/10000*K575*Z575</f>
        <v>1210</v>
      </c>
      <c r="AB575" s="62">
        <f>=Q575*Z575</f>
        <v>4854960</v>
      </c>
      <c r="AC575" t="s">
        <v>58</v>
      </c>
    </row>
    <row r="576" spans="1:29">
      <c r="A576" s="80">
        <v>46163</v>
      </c>
      <c r="B576" s="103" t="s"/>
      <c r="C576" s="103" t="s"/>
      <c r="D576" s="62" t="s">
        <v>38</v>
      </c>
      <c r="E576" s="98" t="s">
        <v>167</v>
      </c>
      <c r="F576" s="98" t="s">
        <v>168</v>
      </c>
      <c r="G576" s="71" t="s">
        <v>169</v>
      </c>
      <c r="H576" s="64" t="s">
        <v>170</v>
      </c>
      <c r="I576" s="72" t="s">
        <v>47</v>
      </c>
      <c r="J576" s="62">
        <v>2</v>
      </c>
      <c r="K576" s="62">
        <v>2.5</v>
      </c>
      <c r="O576">
        <v>487620.24</v>
      </c>
      <c r="P576">
        <v>479736</v>
      </c>
      <c r="Q576">
        <v>487620.24</v>
      </c>
      <c r="T576" s="68">
        <f>=P576/10000*J576*Z576</f>
        <v>6044.6736</v>
      </c>
      <c r="U576">
        <v>219</v>
      </c>
      <c r="V576" s="68" t="s"/>
      <c r="W576" s="68" t="s"/>
      <c r="X576" s="68">
        <f>=O576-P576</f>
        <v>7884.23999999999</v>
      </c>
      <c r="Y576" s="68">
        <f>=X576-T576-U576-V576</f>
        <v>1620.56639999999</v>
      </c>
      <c r="Z576" s="62">
        <f>=A576-$A$231+1</f>
        <v>63</v>
      </c>
      <c r="AA576" s="68">
        <f>=P576/10000*K576*Z576</f>
        <v>7555.842</v>
      </c>
      <c r="AB576" s="62">
        <f>=Q576*Z576</f>
        <v>30720075.12</v>
      </c>
      <c r="AC576" t="s">
        <v>58</v>
      </c>
    </row>
    <row r="577" spans="1:29">
      <c r="A577" s="80">
        <v>46163</v>
      </c>
      <c r="B577" s="103" t="s"/>
      <c r="C577" s="62">
        <f>=TODAY()-A577+1</f>
        <v>20</v>
      </c>
      <c r="D577" s="62" t="s">
        <v>38</v>
      </c>
      <c r="E577" s="98" t="s">
        <v>167</v>
      </c>
      <c r="F577" s="98" t="s">
        <v>168</v>
      </c>
      <c r="G577" s="71" t="s">
        <v>169</v>
      </c>
      <c r="H577" s="71" t="s">
        <v>351</v>
      </c>
      <c r="I577" s="65" t="s">
        <v>43</v>
      </c>
      <c r="J577" s="78">
        <v>2</v>
      </c>
      <c r="K577" s="78">
        <v>2.5</v>
      </c>
      <c r="M577">
        <v>331050</v>
      </c>
      <c r="O577" s="71" t="s"/>
      <c r="AC577" t="s">
        <v>58</v>
      </c>
    </row>
    <row r="578" spans="1:29">
      <c r="A578" s="80">
        <v>46163</v>
      </c>
      <c r="B578" s="106" t="s">
        <v>37</v>
      </c>
      <c r="C578" s="62" t="s"/>
      <c r="D578" s="64" t="s">
        <v>38</v>
      </c>
      <c r="E578" s="131" t="s">
        <v>54</v>
      </c>
      <c r="F578" s="64" t="s">
        <v>55</v>
      </c>
      <c r="G578" s="156" t="s">
        <v>352</v>
      </c>
      <c r="H578" s="98" t="s">
        <v>353</v>
      </c>
      <c r="I578" s="73" t="s">
        <v>43</v>
      </c>
      <c r="J578" s="62">
        <v>2</v>
      </c>
      <c r="K578" s="62">
        <v>2.5</v>
      </c>
      <c r="M578">
        <v>800000</v>
      </c>
      <c r="AC578" t="s">
        <v>58</v>
      </c>
    </row>
    <row r="579" spans="1:29">
      <c r="A579" s="80">
        <v>46163</v>
      </c>
      <c r="B579" s="103" t="s"/>
      <c r="C579" s="103" t="s"/>
      <c r="D579" s="64" t="s">
        <v>38</v>
      </c>
      <c r="E579" s="62" t="s">
        <v>48</v>
      </c>
      <c r="F579" s="62" t="s">
        <v>222</v>
      </c>
      <c r="G579" s="97" t="s">
        <v>223</v>
      </c>
      <c r="H579" s="80" t="s">
        <v>318</v>
      </c>
      <c r="I579" s="65" t="s">
        <v>47</v>
      </c>
      <c r="J579" s="62">
        <v>2</v>
      </c>
      <c r="K579" s="62">
        <v>2.5</v>
      </c>
      <c r="O579">
        <v>64731.3</v>
      </c>
      <c r="P579">
        <v>64500</v>
      </c>
      <c r="Q579">
        <v>64731.3</v>
      </c>
      <c r="T579" s="68">
        <f>=P579/10000*J579*Z579</f>
        <v>141.9</v>
      </c>
      <c r="U579">
        <v>30</v>
      </c>
      <c r="V579" s="68" t="s"/>
      <c r="W579" s="68" t="s"/>
      <c r="X579" s="68">
        <f>=O579-P579</f>
        <v>231.300000000003</v>
      </c>
      <c r="Y579" s="68">
        <f>=X579-T579-U579-V579</f>
        <v>59.4000000000029</v>
      </c>
      <c r="Z579" s="62">
        <f>=A579-$A$504+1</f>
        <v>11</v>
      </c>
      <c r="AA579" s="68">
        <f>=P579/10000*K579*Z579</f>
        <v>177.375</v>
      </c>
      <c r="AB579" s="62">
        <f>=Q579*Z579</f>
        <v>712044.3</v>
      </c>
      <c r="AC579" t="s">
        <v>58</v>
      </c>
    </row>
    <row r="580" spans="1:29">
      <c r="A580" s="80">
        <v>46163</v>
      </c>
      <c r="B580" s="62" t="s">
        <v>37</v>
      </c>
      <c r="C580" s="103" t="s"/>
      <c r="D580" s="62" t="s">
        <v>38</v>
      </c>
      <c r="E580" s="62" t="s">
        <v>48</v>
      </c>
      <c r="F580" s="62" t="s">
        <v>73</v>
      </c>
      <c r="G580" s="71" t="s">
        <v>74</v>
      </c>
      <c r="H580" s="64" t="s">
        <v>96</v>
      </c>
      <c r="I580" s="72" t="s">
        <v>47</v>
      </c>
      <c r="J580" s="62">
        <v>1.46</v>
      </c>
      <c r="K580" s="78">
        <v>2.5</v>
      </c>
      <c r="O580">
        <v>328461</v>
      </c>
      <c r="P580">
        <v>315900</v>
      </c>
      <c r="Q580">
        <v>328461</v>
      </c>
      <c r="T580" s="68">
        <f>=P580/10000*J580*Z580</f>
        <v>6549.2388</v>
      </c>
      <c r="U580">
        <v>0</v>
      </c>
      <c r="V580" s="68" t="s"/>
      <c r="W580" s="68" t="s"/>
      <c r="X580" s="68">
        <f>=O580-P580</f>
        <v>12560.9999999999</v>
      </c>
      <c r="Y580" s="68">
        <f>=X580-T580-U580-V580</f>
        <v>6011.76119999994</v>
      </c>
      <c r="Z580" s="62">
        <f>=A580-$A$92+1</f>
        <v>142</v>
      </c>
      <c r="AA580" s="68">
        <f>=P580/10000*K580*Z580</f>
        <v>11214.45</v>
      </c>
      <c r="AB580" s="62">
        <f>=Q580*Z580</f>
        <v>46641462</v>
      </c>
      <c r="AC580" t="s">
        <v>312</v>
      </c>
    </row>
    <row r="581" spans="1:29">
      <c r="A581" s="80">
        <v>46163</v>
      </c>
      <c r="B581" s="123" t="s">
        <v>37</v>
      </c>
      <c r="C581" s="103" t="s"/>
      <c r="D581" s="62" t="s">
        <v>38</v>
      </c>
      <c r="E581" s="62" t="s">
        <v>199</v>
      </c>
      <c r="F581" s="62" t="s">
        <v>200</v>
      </c>
      <c r="G581" s="94" t="s">
        <v>201</v>
      </c>
      <c r="H581" s="64" t="s">
        <v>214</v>
      </c>
      <c r="I581" s="69" t="s">
        <v>47</v>
      </c>
      <c r="J581">
        <v>2</v>
      </c>
      <c r="K581">
        <v>2.3</v>
      </c>
      <c r="O581">
        <v>789900</v>
      </c>
      <c r="P581">
        <v>780000</v>
      </c>
      <c r="Q581">
        <v>789900</v>
      </c>
      <c r="T581" s="68">
        <f>=P581/10000*J581*Z581</f>
        <v>8268</v>
      </c>
      <c r="U581">
        <v>200</v>
      </c>
      <c r="V581" s="68" t="s"/>
      <c r="W581" s="68" t="s"/>
      <c r="X581" s="68">
        <f>=O581-P581</f>
        <v>9900</v>
      </c>
      <c r="Y581" s="68">
        <f>=X581-T581-U581-V581</f>
        <v>1432</v>
      </c>
      <c r="Z581" s="62">
        <f>=A581-$A$282+1</f>
        <v>53</v>
      </c>
      <c r="AA581" s="68">
        <f>=P581/10000*K581*Z581</f>
        <v>9508.2</v>
      </c>
      <c r="AB581" s="62">
        <f>=Q581*Z581</f>
        <v>41864700</v>
      </c>
      <c r="AC581" t="s">
        <v>44</v>
      </c>
    </row>
    <row r="582" spans="1:29">
      <c r="A582" s="80">
        <v>46164</v>
      </c>
      <c r="B582" s="103" t="s"/>
      <c r="C582" s="62">
        <f>=TODAY()-A582+1</f>
        <v>66</v>
      </c>
      <c r="D582" s="62" t="s">
        <v>38</v>
      </c>
      <c r="E582" s="98" t="s">
        <v>167</v>
      </c>
      <c r="F582" s="98" t="s">
        <v>168</v>
      </c>
      <c r="G582" s="71" t="s">
        <v>169</v>
      </c>
      <c r="H582" s="71" t="s">
        <v>354</v>
      </c>
      <c r="I582" s="65" t="s">
        <v>43</v>
      </c>
      <c r="J582" s="78">
        <v>2</v>
      </c>
      <c r="K582" s="78">
        <v>2.5</v>
      </c>
      <c r="M582">
        <v>467800</v>
      </c>
      <c r="O582" s="71" t="s"/>
      <c r="AC582" t="s">
        <v>58</v>
      </c>
    </row>
    <row r="583" spans="1:29">
      <c r="A583" s="80">
        <v>46164</v>
      </c>
      <c r="B583" s="103" t="s"/>
      <c r="C583" s="103" t="s"/>
      <c r="D583" s="62" t="s">
        <v>38</v>
      </c>
      <c r="E583" s="98" t="s">
        <v>167</v>
      </c>
      <c r="F583" s="98" t="s">
        <v>168</v>
      </c>
      <c r="G583" s="71" t="s">
        <v>169</v>
      </c>
      <c r="H583" s="64" t="s">
        <v>170</v>
      </c>
      <c r="I583" s="65" t="s">
        <v>47</v>
      </c>
      <c r="J583" s="62">
        <v>2</v>
      </c>
      <c r="K583" s="62">
        <v>2.5</v>
      </c>
      <c r="O583">
        <v>332323.61</v>
      </c>
      <c r="P583">
        <v>326873</v>
      </c>
      <c r="Q583">
        <v>332323.61</v>
      </c>
      <c r="T583" s="68">
        <f>=P583/10000*J583*Z583</f>
        <v>4183.9744</v>
      </c>
      <c r="U583">
        <v>147</v>
      </c>
      <c r="V583" s="68" t="s"/>
      <c r="W583" s="68" t="s"/>
      <c r="X583" s="68">
        <f>=O583-P583</f>
        <v>5450.60999999993</v>
      </c>
      <c r="Y583" s="68">
        <f>=X583-T583-U583-V583</f>
        <v>1119.63559999993</v>
      </c>
      <c r="Z583" s="62">
        <f>=A583-$A$231+1</f>
        <v>64</v>
      </c>
      <c r="AA583" s="68">
        <f>=P583/10000*K583*Z583</f>
        <v>5229.968</v>
      </c>
      <c r="AB583" s="62">
        <f>=Q583*Z583</f>
        <v>21268711.04</v>
      </c>
      <c r="AC583" t="s">
        <v>58</v>
      </c>
    </row>
    <row r="584" spans="1:29">
      <c r="A584" s="80">
        <v>46164</v>
      </c>
      <c r="B584" s="106" t="s">
        <v>37</v>
      </c>
      <c r="C584" s="62" t="s"/>
      <c r="D584" t="s">
        <v>38</v>
      </c>
      <c r="E584" t="s">
        <v>63</v>
      </c>
      <c r="F584" t="s">
        <v>355</v>
      </c>
      <c r="G584" s="136" t="s">
        <v>356</v>
      </c>
      <c r="H584" s="71" t="s">
        <v>357</v>
      </c>
      <c r="I584" s="65" t="s">
        <v>43</v>
      </c>
      <c r="J584" s="78">
        <v>2</v>
      </c>
      <c r="K584" s="78">
        <v>2.5</v>
      </c>
      <c r="M584">
        <v>1053300</v>
      </c>
      <c r="AC584" t="s">
        <v>58</v>
      </c>
    </row>
    <row r="585" spans="1:29">
      <c r="A585" s="80">
        <v>46162</v>
      </c>
      <c r="B585" s="103" t="s"/>
      <c r="C585" s="103" t="s"/>
      <c r="D585" s="78" t="s">
        <v>38</v>
      </c>
      <c r="E585" s="78" t="s">
        <v>63</v>
      </c>
      <c r="F585" s="78" t="s">
        <v>111</v>
      </c>
      <c r="G585" s="136" t="s">
        <v>281</v>
      </c>
      <c r="H585" t="s">
        <v>283</v>
      </c>
      <c r="I585" s="65" t="s">
        <v>47</v>
      </c>
      <c r="J585" s="62">
        <v>2</v>
      </c>
      <c r="K585" s="62">
        <v>2.5</v>
      </c>
      <c r="O585">
        <v>47390.28</v>
      </c>
      <c r="P585">
        <v>47040</v>
      </c>
      <c r="Q585">
        <v>47390.28</v>
      </c>
      <c r="T585" s="68">
        <f>=P585/10000*J585*Z585</f>
        <v>263.424</v>
      </c>
      <c r="U585">
        <v>14</v>
      </c>
      <c r="V585" s="68" t="s"/>
      <c r="W585" s="68" t="s"/>
      <c r="X585" s="68">
        <f>=O585-P585</f>
        <v>350.279999999999</v>
      </c>
      <c r="Y585" s="68">
        <f>=X585-T585-U585-V585</f>
        <v>72.8559999999989</v>
      </c>
      <c r="Z585" s="62">
        <f>=A585-$A$414+1</f>
        <v>28</v>
      </c>
      <c r="AA585" s="68">
        <f>=P585/10000*K585*Z585</f>
        <v>329.28</v>
      </c>
      <c r="AB585" s="62">
        <f>=Q585*Z585</f>
        <v>1326927.84</v>
      </c>
      <c r="AC585" t="s">
        <v>58</v>
      </c>
    </row>
    <row r="586" spans="1:29">
      <c r="A586" s="80">
        <v>46164</v>
      </c>
      <c r="B586" s="103" t="s"/>
      <c r="C586" s="103" t="s"/>
      <c r="D586" s="78" t="s">
        <v>38</v>
      </c>
      <c r="E586" s="78" t="s">
        <v>63</v>
      </c>
      <c r="F586" s="78" t="s">
        <v>111</v>
      </c>
      <c r="G586" s="136" t="s">
        <v>281</v>
      </c>
      <c r="H586" s="87" t="s">
        <v>283</v>
      </c>
      <c r="I586" s="65" t="s">
        <v>47</v>
      </c>
      <c r="J586" s="62">
        <v>2</v>
      </c>
      <c r="K586" s="62">
        <v>2.5</v>
      </c>
      <c r="O586">
        <v>200865.64</v>
      </c>
      <c r="P586">
        <v>199290</v>
      </c>
      <c r="Q586">
        <v>200865.64</v>
      </c>
      <c r="T586" s="68">
        <f>=P586/10000*J586*Z586</f>
        <v>1195.74</v>
      </c>
      <c r="U586">
        <v>54</v>
      </c>
      <c r="V586" s="68" t="s"/>
      <c r="W586" s="68" t="s"/>
      <c r="X586" s="68">
        <f>=O586-P586</f>
        <v>1575.64000000001</v>
      </c>
      <c r="Y586" s="68">
        <f>=X586-T586-U586-V586</f>
        <v>325.900000000014</v>
      </c>
      <c r="Z586" s="62">
        <f>=A586-$A$414+1</f>
        <v>30</v>
      </c>
      <c r="AA586" s="68">
        <f>=P586/10000*K586*Z586</f>
        <v>1494.675</v>
      </c>
      <c r="AB586" s="62">
        <f>=Q586*Z586</f>
        <v>6025969.2</v>
      </c>
      <c r="AC586" t="s">
        <v>58</v>
      </c>
    </row>
    <row r="587" spans="1:29">
      <c r="A587" s="80">
        <v>46164</v>
      </c>
      <c r="B587" s="62" t="s">
        <v>37</v>
      </c>
      <c r="C587" s="103" t="s"/>
      <c r="D587" s="62" t="s">
        <v>38</v>
      </c>
      <c r="E587" s="62" t="s">
        <v>85</v>
      </c>
      <c r="F587" s="62" t="s">
        <v>120</v>
      </c>
      <c r="G587" s="71" t="s">
        <v>121</v>
      </c>
      <c r="H587" s="64" t="s">
        <v>122</v>
      </c>
      <c r="I587" s="69" t="s">
        <v>47</v>
      </c>
      <c r="J587" s="62">
        <v>2</v>
      </c>
      <c r="K587" s="62">
        <v>2.6</v>
      </c>
      <c r="L587">
        <v>-1577000</v>
      </c>
      <c r="O587">
        <v>2873814</v>
      </c>
      <c r="P587">
        <v>2779800</v>
      </c>
      <c r="Q587">
        <v>2873814</v>
      </c>
      <c r="R587">
        <v>-1577000</v>
      </c>
      <c r="T587" s="68">
        <f>=(P587+R587)/10000*J587*Z587</f>
        <v>25499.36</v>
      </c>
      <c r="U587">
        <v>11600</v>
      </c>
      <c r="V587" s="68" t="s"/>
      <c r="W587" s="68" t="s"/>
      <c r="X587" s="68">
        <f>=O587-P587</f>
        <v>94014</v>
      </c>
      <c r="Y587" s="68">
        <f>=X587-T587-U587-V587</f>
        <v>56914.64</v>
      </c>
      <c r="Z587" s="62">
        <f>=A587-$A$146+1</f>
        <v>106</v>
      </c>
      <c r="AA587" s="68">
        <f>=P587/10000*K587*Z587</f>
        <v>76611.288</v>
      </c>
      <c r="AB587" s="62">
        <f>=Q587*Z587</f>
        <v>304624284</v>
      </c>
      <c r="AC587" t="s">
        <v>312</v>
      </c>
    </row>
    <row r="588" spans="1:29">
      <c r="A588" s="80">
        <v>46164</v>
      </c>
      <c r="B588" s="103" t="s"/>
      <c r="C588" s="103" t="s"/>
      <c r="D588" s="64" t="s">
        <v>38</v>
      </c>
      <c r="E588" s="131" t="s">
        <v>54</v>
      </c>
      <c r="F588" s="64" t="s">
        <v>55</v>
      </c>
      <c r="G588" s="71" t="s">
        <v>191</v>
      </c>
      <c r="H588" s="80" t="s">
        <v>192</v>
      </c>
      <c r="I588" s="73" t="s">
        <v>47</v>
      </c>
      <c r="J588" s="62">
        <v>2</v>
      </c>
      <c r="K588" s="62">
        <v>2.5</v>
      </c>
      <c r="O588">
        <v>493100.5</v>
      </c>
      <c r="P588">
        <v>484750</v>
      </c>
      <c r="Q588">
        <v>493100.5</v>
      </c>
      <c r="T588" s="68">
        <f>=P588/10000*J588*Z588</f>
        <v>5720.05</v>
      </c>
      <c r="U588">
        <v>800</v>
      </c>
      <c r="V588" s="68" t="s"/>
      <c r="W588" s="68" t="s"/>
      <c r="X588" s="68">
        <f>=O588-P588</f>
        <v>8350.49999999994</v>
      </c>
      <c r="Y588" s="68">
        <f>=X588-T588-U588-V588</f>
        <v>1830.44999999994</v>
      </c>
      <c r="Z588" s="62">
        <f>=A588-$A$260+1</f>
        <v>59</v>
      </c>
      <c r="AA588" s="68">
        <f>=P588/10000*K588*Z588</f>
        <v>7150.0625</v>
      </c>
      <c r="AB588" s="62">
        <f>=Q588*Z588</f>
        <v>29092929.5</v>
      </c>
      <c r="AC588" t="s">
        <v>58</v>
      </c>
    </row>
    <row r="589" spans="1:29">
      <c r="A589" s="80">
        <v>46164</v>
      </c>
      <c r="B589" s="103" t="s"/>
      <c r="C589" s="62">
        <f>=TODAY()-A589+1</f>
        <v>66</v>
      </c>
      <c r="D589" s="64" t="s">
        <v>38</v>
      </c>
      <c r="E589" s="131" t="s">
        <v>54</v>
      </c>
      <c r="F589" s="64" t="s">
        <v>55</v>
      </c>
      <c r="G589" s="71" t="s">
        <v>191</v>
      </c>
      <c r="H589" s="98" t="s">
        <v>358</v>
      </c>
      <c r="I589" s="73" t="s">
        <v>43</v>
      </c>
      <c r="J589" s="62">
        <v>2</v>
      </c>
      <c r="K589" s="62">
        <v>2.5</v>
      </c>
      <c r="M589">
        <v>475000</v>
      </c>
      <c r="AC589" t="s">
        <v>58</v>
      </c>
    </row>
    <row r="590" spans="1:29">
      <c r="A590" s="80">
        <v>46164</v>
      </c>
      <c r="B590" s="103" t="s"/>
      <c r="C590" s="103" t="s"/>
      <c r="D590" s="64" t="s">
        <v>38</v>
      </c>
      <c r="E590" s="64" t="s">
        <v>148</v>
      </c>
      <c r="F590" s="64" t="s">
        <v>153</v>
      </c>
      <c r="G590" s="100" t="s">
        <v>156</v>
      </c>
      <c r="H590" s="80" t="s">
        <v>185</v>
      </c>
      <c r="I590" s="69" t="s">
        <v>47</v>
      </c>
      <c r="J590" s="62">
        <v>2</v>
      </c>
      <c r="K590" s="62">
        <v>2.5</v>
      </c>
      <c r="O590">
        <v>203200</v>
      </c>
      <c r="P590">
        <v>200000</v>
      </c>
      <c r="Q590">
        <v>203200</v>
      </c>
      <c r="T590" s="68">
        <f>=P590/10000*J590*Z590</f>
        <v>2400</v>
      </c>
      <c r="U590">
        <v>150</v>
      </c>
      <c r="V590" s="68" t="s"/>
      <c r="W590" s="68" t="s"/>
      <c r="X590" s="68">
        <f>=O590-P590</f>
        <v>3200</v>
      </c>
      <c r="Y590" s="68">
        <f>=X590-T590-U590-V590</f>
        <v>650</v>
      </c>
      <c r="Z590" s="62">
        <f>=A590-$A$249+1</f>
        <v>60</v>
      </c>
      <c r="AA590" s="68">
        <f>=P590/10000*K590*Z590</f>
        <v>3000</v>
      </c>
      <c r="AB590" s="62">
        <f>=Q590*Z590</f>
        <v>12192000</v>
      </c>
      <c r="AC590" t="s">
        <v>58</v>
      </c>
    </row>
    <row r="591" spans="1:29">
      <c r="A591" s="80">
        <v>46164</v>
      </c>
      <c r="B591" s="103" t="s"/>
      <c r="C591" s="103" t="s"/>
      <c r="D591" s="62" t="s">
        <v>38</v>
      </c>
      <c r="E591" s="62" t="s">
        <v>270</v>
      </c>
      <c r="F591" s="62" t="s">
        <v>271</v>
      </c>
      <c r="G591" s="97" t="s">
        <v>272</v>
      </c>
      <c r="H591" s="80" t="s">
        <v>274</v>
      </c>
      <c r="I591" s="69" t="s">
        <v>47</v>
      </c>
      <c r="J591" s="62">
        <v>2</v>
      </c>
      <c r="K591" s="62">
        <v>2.5</v>
      </c>
      <c r="O591">
        <v>14164.05</v>
      </c>
      <c r="P591">
        <v>14000</v>
      </c>
      <c r="Q591">
        <v>14164.05</v>
      </c>
      <c r="T591" s="68">
        <f>=P591/10000*J591*Z591</f>
        <v>95.2</v>
      </c>
      <c r="U591">
        <v>30</v>
      </c>
      <c r="V591" s="68" t="s"/>
      <c r="W591" s="68" t="s"/>
      <c r="X591" s="68">
        <f>=O591-P591</f>
        <v>164.049999999999</v>
      </c>
      <c r="Y591" s="68">
        <f>=X591-T591-U591-V591</f>
        <v>38.8499999999993</v>
      </c>
      <c r="Z591" s="62">
        <f>=A591-$A$397+1</f>
        <v>34</v>
      </c>
      <c r="AA591" s="68">
        <f>=P591/10000*K591*Z591</f>
        <v>119</v>
      </c>
      <c r="AB591" s="62">
        <f>=Q591*Z591</f>
        <v>481577.7</v>
      </c>
      <c r="AC591" t="s">
        <v>58</v>
      </c>
    </row>
    <row r="592" spans="1:29">
      <c r="A592" s="80">
        <v>46164</v>
      </c>
      <c r="B592" s="103" t="s"/>
      <c r="C592" s="103" t="s"/>
      <c r="D592" s="62" t="s">
        <v>38</v>
      </c>
      <c r="E592" s="62" t="s">
        <v>270</v>
      </c>
      <c r="F592" s="62" t="s">
        <v>271</v>
      </c>
      <c r="G592" s="97" t="s">
        <v>272</v>
      </c>
      <c r="H592" s="80" t="s">
        <v>275</v>
      </c>
      <c r="I592" s="69" t="s">
        <v>47</v>
      </c>
      <c r="J592" s="62">
        <v>2</v>
      </c>
      <c r="K592" s="62">
        <v>2.5</v>
      </c>
      <c r="O592">
        <v>41422.7</v>
      </c>
      <c r="P592">
        <v>40950</v>
      </c>
      <c r="Q592">
        <v>41422.7</v>
      </c>
      <c r="T592" s="68">
        <f>=P592/10000*J592*Z592</f>
        <v>270.27</v>
      </c>
      <c r="U592">
        <v>90</v>
      </c>
      <c r="V592" s="68" t="s"/>
      <c r="W592" s="68" t="s"/>
      <c r="X592" s="68">
        <f>=O592-P592</f>
        <v>472.699999999997</v>
      </c>
      <c r="Y592" s="68">
        <f>=X592-T592-U592-V592</f>
        <v>112.429999999997</v>
      </c>
      <c r="Z592" s="62">
        <f>=A592-$A$398+1</f>
        <v>33</v>
      </c>
      <c r="AA592" s="68">
        <f>=P592/10000*K592*Z592</f>
        <v>337.8375</v>
      </c>
      <c r="AB592" s="62">
        <f>=Q592*Z592</f>
        <v>1366949.1</v>
      </c>
      <c r="AC592" t="s">
        <v>58</v>
      </c>
    </row>
    <row r="593" spans="1:29">
      <c r="A593" s="80">
        <v>46164</v>
      </c>
      <c r="B593" s="103" t="s"/>
      <c r="C593" s="103" t="s"/>
      <c r="D593" s="151" t="s">
        <v>38</v>
      </c>
      <c r="E593" s="151" t="s">
        <v>148</v>
      </c>
      <c r="F593" s="151" t="s">
        <v>149</v>
      </c>
      <c r="G593" s="71" t="s">
        <v>150</v>
      </c>
      <c r="H593" s="80" t="s">
        <v>314</v>
      </c>
      <c r="I593" s="72" t="s">
        <v>47</v>
      </c>
      <c r="J593" s="62">
        <v>2</v>
      </c>
      <c r="K593" s="62">
        <v>2.5</v>
      </c>
      <c r="O593">
        <v>18900.6</v>
      </c>
      <c r="P593">
        <v>18800</v>
      </c>
      <c r="Q593">
        <v>18900.6</v>
      </c>
      <c r="T593" s="68">
        <f>=P593/10000*J593*Z593</f>
        <v>56.4</v>
      </c>
      <c r="U593">
        <v>20</v>
      </c>
      <c r="V593" s="68" t="s"/>
      <c r="W593" s="68" t="s"/>
      <c r="X593" s="68">
        <f>=O593-P593</f>
        <v>100.599999999999</v>
      </c>
      <c r="Y593" s="68">
        <f>=X593-T593-U593-V593</f>
        <v>24.1999999999986</v>
      </c>
      <c r="Z593" s="62">
        <f>=A593-$A$487+1</f>
        <v>15</v>
      </c>
      <c r="AA593" s="68">
        <f>=P593/10000*K593*Z593</f>
        <v>70.5</v>
      </c>
      <c r="AB593" s="62">
        <f>=Q593*Z593</f>
        <v>283509</v>
      </c>
      <c r="AC593" t="s">
        <v>58</v>
      </c>
    </row>
    <row r="594" spans="1:29">
      <c r="A594" s="80">
        <v>46164</v>
      </c>
      <c r="B594" s="103" t="s"/>
      <c r="C594" s="103" t="s"/>
      <c r="D594" s="62" t="s">
        <v>38</v>
      </c>
      <c r="E594" s="62" t="s">
        <v>48</v>
      </c>
      <c r="F594" s="62" t="s">
        <v>73</v>
      </c>
      <c r="G594" s="64" t="s">
        <v>181</v>
      </c>
      <c r="H594" s="64" t="s">
        <v>182</v>
      </c>
      <c r="I594" s="72" t="s">
        <v>47</v>
      </c>
      <c r="J594" s="78">
        <v>2</v>
      </c>
      <c r="K594" s="78">
        <v>2.5</v>
      </c>
      <c r="O594">
        <v>213760</v>
      </c>
      <c r="P594">
        <v>210600</v>
      </c>
      <c r="Q594">
        <v>213760</v>
      </c>
      <c r="R594">
        <v>-42120</v>
      </c>
      <c r="T594" s="68">
        <f>=P594/10000*J594*Z594</f>
        <v>2527.2</v>
      </c>
      <c r="U594" s="62">
        <v>0</v>
      </c>
      <c r="V594" s="68" t="s"/>
      <c r="W594" s="68" t="s"/>
      <c r="X594" s="68">
        <f>=O594-P594</f>
        <v>3160</v>
      </c>
      <c r="Y594" s="68">
        <f>=X594-T594-U594-V594</f>
        <v>632.8</v>
      </c>
      <c r="Z594" s="62">
        <f>=A594-$A$246+1</f>
        <v>60</v>
      </c>
      <c r="AA594" s="68">
        <f>=P594/10000*K594*Z594</f>
        <v>3159</v>
      </c>
      <c r="AB594" s="62">
        <f>=Q594*Z594</f>
        <v>12825600</v>
      </c>
      <c r="AC594" t="s">
        <v>312</v>
      </c>
    </row>
    <row r="595" spans="1:29">
      <c r="A595" s="110">
        <v>46165</v>
      </c>
      <c r="B595" s="103" t="s"/>
      <c r="C595" s="62">
        <f>=TODAY()-A595+1</f>
        <v>65</v>
      </c>
      <c r="D595" s="111" t="s">
        <v>38</v>
      </c>
      <c r="E595" s="111" t="s">
        <v>85</v>
      </c>
      <c r="F595" s="111" t="s">
        <v>120</v>
      </c>
      <c r="G595" s="71" t="s">
        <v>339</v>
      </c>
      <c r="H595" t="s">
        <v>359</v>
      </c>
      <c r="I595" s="79" t="s">
        <v>43</v>
      </c>
      <c r="J595" s="111">
        <v>2</v>
      </c>
      <c r="K595" s="111">
        <v>2.6</v>
      </c>
      <c r="M595">
        <v>279000</v>
      </c>
      <c r="AC595" t="s">
        <v>58</v>
      </c>
    </row>
    <row r="596" spans="1:29">
      <c r="A596" s="110">
        <v>46165</v>
      </c>
      <c r="B596" s="103" t="s"/>
      <c r="C596" s="103" t="s"/>
      <c r="D596" s="78" t="s">
        <v>38</v>
      </c>
      <c r="E596" s="78" t="s">
        <v>63</v>
      </c>
      <c r="F596" s="78" t="s">
        <v>111</v>
      </c>
      <c r="G596" s="136" t="s">
        <v>281</v>
      </c>
      <c r="H596" s="87" t="s">
        <v>283</v>
      </c>
      <c r="I596" s="65" t="s">
        <v>47</v>
      </c>
      <c r="J596" s="111">
        <v>2</v>
      </c>
      <c r="K596" s="111">
        <v>2.5</v>
      </c>
      <c r="O596">
        <v>255943.33</v>
      </c>
      <c r="P596">
        <v>253680</v>
      </c>
      <c r="Q596">
        <v>255943.33</v>
      </c>
      <c r="T596" s="68">
        <f>=P596/10000*J596*Z596</f>
        <v>1572.816</v>
      </c>
      <c r="U596">
        <v>198</v>
      </c>
      <c r="V596" s="68" t="s"/>
      <c r="W596" s="68" t="s"/>
      <c r="X596" s="68">
        <f>=O596-P596</f>
        <v>2263.32999999999</v>
      </c>
      <c r="Y596" s="68">
        <f>=X596-T596-U596-V596</f>
        <v>492.513999999987</v>
      </c>
      <c r="Z596" s="62">
        <f>=A596-$A$414+1</f>
        <v>31</v>
      </c>
      <c r="AA596" s="68">
        <f>=P596/10000*K596*Z596</f>
        <v>1966.02</v>
      </c>
      <c r="AB596" s="62">
        <f>=Q596*Z596</f>
        <v>7934243.23</v>
      </c>
      <c r="AC596" t="s">
        <v>58</v>
      </c>
    </row>
    <row r="597" spans="1:29">
      <c r="A597" s="80">
        <v>46167</v>
      </c>
      <c r="B597" s="103" t="s"/>
      <c r="C597" s="103" t="s"/>
      <c r="D597" s="62" t="s">
        <v>38</v>
      </c>
      <c r="E597" s="62" t="s">
        <v>48</v>
      </c>
      <c r="F597" s="62" t="s">
        <v>49</v>
      </c>
      <c r="G597" s="64" t="s">
        <v>52</v>
      </c>
      <c r="H597" s="64" t="s">
        <v>179</v>
      </c>
      <c r="I597" s="72" t="s">
        <v>47</v>
      </c>
      <c r="J597" s="78">
        <v>2</v>
      </c>
      <c r="K597" s="78">
        <v>3</v>
      </c>
      <c r="O597">
        <v>120173.2</v>
      </c>
      <c r="P597">
        <v>117600</v>
      </c>
      <c r="Q597">
        <v>120173.2</v>
      </c>
      <c r="T597" s="68">
        <f>=P597/10000*J597*Z597</f>
        <v>1505.28</v>
      </c>
      <c r="U597" s="62">
        <v>0</v>
      </c>
      <c r="V597" s="68" t="s"/>
      <c r="W597" s="68" t="s"/>
      <c r="X597" s="68">
        <f>=O597-P597</f>
        <v>2573.2</v>
      </c>
      <c r="Y597" s="68">
        <f>=X597-T597-U597-V597</f>
        <v>1067.92</v>
      </c>
      <c r="Z597" s="62">
        <f>=A597-$A$242+1</f>
        <v>64</v>
      </c>
      <c r="AA597" s="68">
        <f>=P597/10000*K597*Z597</f>
        <v>2257.92</v>
      </c>
      <c r="AB597" s="62">
        <f>=Q597*Z597</f>
        <v>7691084.8</v>
      </c>
      <c r="AC597" t="s">
        <v>312</v>
      </c>
    </row>
    <row r="598" spans="1:29">
      <c r="A598" s="80">
        <v>46167</v>
      </c>
      <c r="B598" s="103" t="s"/>
      <c r="C598" s="103" t="s"/>
      <c r="D598" s="62" t="s">
        <v>38</v>
      </c>
      <c r="E598" s="62" t="s">
        <v>48</v>
      </c>
      <c r="F598" s="62" t="s">
        <v>49</v>
      </c>
      <c r="G598" s="64" t="s">
        <v>52</v>
      </c>
      <c r="H598" s="64" t="s">
        <v>232</v>
      </c>
      <c r="I598" s="72" t="s">
        <v>47</v>
      </c>
      <c r="J598" s="78">
        <v>2</v>
      </c>
      <c r="K598" s="78">
        <v>3</v>
      </c>
      <c r="O598">
        <v>14251.12</v>
      </c>
      <c r="P598">
        <v>14000</v>
      </c>
      <c r="Q598">
        <v>14251.12</v>
      </c>
      <c r="T598" s="68">
        <f>=P598/10000*J598*Z598</f>
        <v>148.4</v>
      </c>
      <c r="U598" s="62">
        <v>0</v>
      </c>
      <c r="V598" s="68" t="s"/>
      <c r="W598" s="68" t="s"/>
      <c r="X598" s="68">
        <f>=O598-P598</f>
        <v>251.120000000001</v>
      </c>
      <c r="Y598" s="68">
        <f>=X598-T598-U598-V598</f>
        <v>102.720000000001</v>
      </c>
      <c r="Z598" s="62">
        <f>=A598-$A$299+1</f>
        <v>53</v>
      </c>
      <c r="AA598" s="68">
        <f>=P598/10000*K598*Z598</f>
        <v>222.6</v>
      </c>
      <c r="AB598" s="62">
        <f>=Q598*Z598</f>
        <v>755309.36</v>
      </c>
      <c r="AC598" t="s">
        <v>312</v>
      </c>
    </row>
    <row r="599" spans="1:29">
      <c r="A599" s="80">
        <v>46167</v>
      </c>
      <c r="B599" s="87" t="s">
        <v>37</v>
      </c>
      <c r="C599" s="62" t="s"/>
      <c r="D599" s="64" t="s">
        <v>38</v>
      </c>
      <c r="E599" s="87" t="s">
        <v>250</v>
      </c>
      <c r="F599" s="87" t="s">
        <v>251</v>
      </c>
      <c r="G599" s="141" t="s">
        <v>252</v>
      </c>
      <c r="H599" s="80" t="s">
        <v>360</v>
      </c>
      <c r="I599" s="65" t="s">
        <v>43</v>
      </c>
      <c r="J599" s="64">
        <v>2</v>
      </c>
      <c r="K599" s="87">
        <v>3</v>
      </c>
      <c r="M599">
        <v>5600</v>
      </c>
      <c r="AC599" t="s">
        <v>44</v>
      </c>
    </row>
    <row r="600" spans="1:29">
      <c r="A600" s="63">
        <v>46167</v>
      </c>
      <c r="B600" s="103" t="s"/>
      <c r="C600" s="103" t="s"/>
      <c r="D600" s="64" t="s">
        <v>38</v>
      </c>
      <c r="E600" s="64" t="s">
        <v>148</v>
      </c>
      <c r="F600" s="64" t="s">
        <v>153</v>
      </c>
      <c r="G600" s="71" t="s">
        <v>211</v>
      </c>
      <c r="H600" s="80" t="s">
        <v>268</v>
      </c>
      <c r="I600" s="73" t="s">
        <v>47</v>
      </c>
      <c r="J600" s="62">
        <v>2</v>
      </c>
      <c r="K600" s="62">
        <v>2.5</v>
      </c>
      <c r="O600">
        <v>80395.2</v>
      </c>
      <c r="P600">
        <v>79500</v>
      </c>
      <c r="Q600">
        <v>80395.2</v>
      </c>
      <c r="T600" s="68">
        <f>=P600/10000*J600*Z600</f>
        <v>620.1</v>
      </c>
      <c r="U600">
        <v>90</v>
      </c>
      <c r="V600" s="68" t="s"/>
      <c r="W600" s="68" t="s"/>
      <c r="X600" s="68">
        <f>=O600-P600</f>
        <v>895.200000000012</v>
      </c>
      <c r="Y600" s="68">
        <f>=X600-T600-U600-V600</f>
        <v>185.100000000012</v>
      </c>
      <c r="Z600" s="62">
        <f>=A600-$A$390+1</f>
        <v>39</v>
      </c>
      <c r="AA600" s="68">
        <f>=P600/10000*K600*Z600</f>
        <v>775.125</v>
      </c>
      <c r="AB600" s="62">
        <f>=Q600*Z600</f>
        <v>3135412.8</v>
      </c>
      <c r="AC600" t="s">
        <v>58</v>
      </c>
    </row>
    <row r="601" spans="1:29">
      <c r="A601" s="63">
        <v>46167</v>
      </c>
      <c r="B601" s="103" t="s"/>
      <c r="C601" s="103" t="s"/>
      <c r="D601" t="s">
        <v>38</v>
      </c>
      <c r="E601" t="s">
        <v>63</v>
      </c>
      <c r="F601" t="s">
        <v>226</v>
      </c>
      <c r="G601" s="136" t="s">
        <v>335</v>
      </c>
      <c r="H601" s="80" t="s">
        <v>336</v>
      </c>
      <c r="I601" s="73" t="s">
        <v>47</v>
      </c>
      <c r="J601" s="62">
        <v>2</v>
      </c>
      <c r="K601" s="62">
        <v>2.5</v>
      </c>
      <c r="O601">
        <v>77248.5</v>
      </c>
      <c r="P601">
        <v>77000</v>
      </c>
      <c r="Q601">
        <v>77248.5</v>
      </c>
      <c r="T601" s="68">
        <f>=P601/10000*J601*Z601</f>
        <v>138.6</v>
      </c>
      <c r="U601">
        <v>50</v>
      </c>
      <c r="V601" s="68" t="s"/>
      <c r="W601" s="68" t="s"/>
      <c r="X601" s="68">
        <f>=O601-P601</f>
        <v>248.5</v>
      </c>
      <c r="Y601" s="68">
        <f>=X601-T601-U601-V601</f>
        <v>59.9</v>
      </c>
      <c r="Z601" s="62">
        <f>=A601-$A$533+1</f>
        <v>9</v>
      </c>
      <c r="AA601" s="68">
        <f>=P601/10000*K601*Z601</f>
        <v>173.25</v>
      </c>
      <c r="AB601" s="62">
        <f>=Q601*Z601</f>
        <v>695236.5</v>
      </c>
      <c r="AC601" t="s">
        <v>58</v>
      </c>
    </row>
    <row r="602" spans="1:29">
      <c r="A602" s="80">
        <v>46167</v>
      </c>
      <c r="B602" s="103" t="s"/>
      <c r="C602" s="103" t="s"/>
      <c r="D602" s="64" t="s">
        <v>38</v>
      </c>
      <c r="E602" s="64" t="s">
        <v>148</v>
      </c>
      <c r="F602" s="64" t="s">
        <v>153</v>
      </c>
      <c r="G602" s="71" t="s">
        <v>156</v>
      </c>
      <c r="H602" s="80" t="s">
        <v>185</v>
      </c>
      <c r="I602" s="69" t="s">
        <v>47</v>
      </c>
      <c r="J602" s="62">
        <v>2</v>
      </c>
      <c r="K602" s="62">
        <v>2.5</v>
      </c>
      <c r="O602">
        <v>203450</v>
      </c>
      <c r="P602">
        <v>200000</v>
      </c>
      <c r="Q602">
        <v>203450</v>
      </c>
      <c r="T602" s="68">
        <f>=P602/10000*J602*Z602</f>
        <v>2520</v>
      </c>
      <c r="U602">
        <v>225</v>
      </c>
      <c r="V602" s="68" t="s"/>
      <c r="W602" s="68" t="s"/>
      <c r="X602" s="68">
        <f>=O602-P602</f>
        <v>3450</v>
      </c>
      <c r="Y602" s="68">
        <f>=X602-T602-U602-V602</f>
        <v>705</v>
      </c>
      <c r="Z602" s="62">
        <f>=A602-$A$249+1</f>
        <v>63</v>
      </c>
      <c r="AA602" s="68">
        <f>=P602/10000*K602*Z602</f>
        <v>3150</v>
      </c>
      <c r="AB602" s="62">
        <f>=Q602*Z602</f>
        <v>12817350</v>
      </c>
      <c r="AC602" t="s">
        <v>58</v>
      </c>
    </row>
    <row r="603" spans="1:29">
      <c r="A603" s="147">
        <v>46167</v>
      </c>
      <c r="B603" s="123" t="s">
        <v>37</v>
      </c>
      <c r="C603" s="103" t="s"/>
      <c r="D603" s="62" t="s">
        <v>38</v>
      </c>
      <c r="E603" s="62" t="s">
        <v>199</v>
      </c>
      <c r="F603" s="62" t="s">
        <v>200</v>
      </c>
      <c r="G603" s="94" t="s">
        <v>201</v>
      </c>
      <c r="H603" s="64" t="s">
        <v>214</v>
      </c>
      <c r="I603" s="69" t="s">
        <v>47</v>
      </c>
      <c r="J603">
        <v>2</v>
      </c>
      <c r="K603">
        <v>2.3</v>
      </c>
      <c r="O603">
        <v>790600</v>
      </c>
      <c r="P603">
        <v>780000</v>
      </c>
      <c r="Q603">
        <v>790600</v>
      </c>
      <c r="T603" s="68">
        <f>=P603/10000*J603*Z603</f>
        <v>8892</v>
      </c>
      <c r="U603">
        <v>200</v>
      </c>
      <c r="V603" s="68" t="s"/>
      <c r="W603" s="68" t="s"/>
      <c r="X603" s="68">
        <f>=O603-P603</f>
        <v>10600</v>
      </c>
      <c r="Y603" s="68">
        <f>=X603-T603-U603-V603</f>
        <v>1508</v>
      </c>
      <c r="Z603" s="62">
        <f>=A603-$A$282+1</f>
        <v>57</v>
      </c>
      <c r="AA603" s="68">
        <f>=P603/10000*K603*Z603</f>
        <v>10225.8</v>
      </c>
      <c r="AB603" s="62">
        <f>=Q603*Z603</f>
        <v>45064200</v>
      </c>
      <c r="AC603" t="s">
        <v>44</v>
      </c>
    </row>
    <row r="604" spans="1:29">
      <c r="A604" s="80">
        <v>46167</v>
      </c>
      <c r="B604" t="s">
        <v>37</v>
      </c>
      <c r="C604" s="103" t="s"/>
      <c r="D604" s="62" t="s">
        <v>38</v>
      </c>
      <c r="E604" s="62" t="s">
        <v>128</v>
      </c>
      <c r="F604" s="62" t="s">
        <v>129</v>
      </c>
      <c r="G604" s="94" t="s">
        <v>145</v>
      </c>
      <c r="H604" s="71" t="s">
        <v>341</v>
      </c>
      <c r="I604" s="72" t="s">
        <v>47</v>
      </c>
      <c r="J604" s="62">
        <v>2</v>
      </c>
      <c r="K604" s="62">
        <v>2.5</v>
      </c>
      <c r="O604">
        <v>556560</v>
      </c>
      <c r="P604">
        <v>555000</v>
      </c>
      <c r="Q604">
        <v>556560</v>
      </c>
      <c r="T604" s="68">
        <f>=P604/10000*J604*Z604</f>
        <v>777</v>
      </c>
      <c r="U604">
        <v>300</v>
      </c>
      <c r="V604" s="68" t="s"/>
      <c r="W604" s="68" t="s"/>
      <c r="X604" s="68">
        <f>=O604-P604</f>
        <v>1560</v>
      </c>
      <c r="Y604" s="68">
        <f>=X604-T604-U604-V604</f>
        <v>483</v>
      </c>
      <c r="Z604" s="62">
        <f>=A604-$A$549+1</f>
        <v>7</v>
      </c>
      <c r="AA604" s="68">
        <f>=P604/10000*K604*Z604</f>
        <v>971.25</v>
      </c>
      <c r="AB604" s="62">
        <f>=Q604*Z604</f>
        <v>3895920</v>
      </c>
      <c r="AC604" t="s">
        <v>58</v>
      </c>
    </row>
    <row r="605" spans="1:29">
      <c r="A605" s="80">
        <v>46169</v>
      </c>
      <c r="B605" s="103" t="s"/>
      <c r="C605" s="103" t="s"/>
      <c r="D605" s="64" t="s">
        <v>38</v>
      </c>
      <c r="E605" s="62" t="s">
        <v>48</v>
      </c>
      <c r="F605" s="62" t="s">
        <v>222</v>
      </c>
      <c r="G605" s="97" t="s">
        <v>223</v>
      </c>
      <c r="H605" s="98" t="s">
        <v>224</v>
      </c>
      <c r="I605" s="65" t="s">
        <v>47</v>
      </c>
      <c r="J605" s="62">
        <v>2</v>
      </c>
      <c r="K605" s="62">
        <v>2.5</v>
      </c>
      <c r="O605">
        <v>508408.5</v>
      </c>
      <c r="P605">
        <v>500550</v>
      </c>
      <c r="Q605">
        <v>508408.5</v>
      </c>
      <c r="T605" s="68">
        <f>=P605/10000*J605*Z605</f>
        <v>5806.38</v>
      </c>
      <c r="U605">
        <v>450</v>
      </c>
      <c r="V605" s="68" t="s"/>
      <c r="W605" s="68" t="s"/>
      <c r="X605" s="68">
        <f>=O605-P605</f>
        <v>7858.5</v>
      </c>
      <c r="Y605" s="68">
        <f>=X605-T605-U605-V605</f>
        <v>1602.12</v>
      </c>
      <c r="Z605" s="62">
        <f>=A605-$A$291+1</f>
        <v>58</v>
      </c>
      <c r="AA605" s="68">
        <f>=P605/10000*K605*Z605</f>
        <v>7257.975</v>
      </c>
      <c r="AB605" s="62">
        <f>=Q605*Z605</f>
        <v>29487693</v>
      </c>
      <c r="AC605" t="s">
        <v>58</v>
      </c>
    </row>
    <row r="606" spans="1:29">
      <c r="A606" s="80">
        <v>46169</v>
      </c>
      <c r="B606" s="123" t="s">
        <v>37</v>
      </c>
      <c r="C606" s="103" t="s"/>
      <c r="D606" s="62" t="s">
        <v>38</v>
      </c>
      <c r="E606" s="62" t="s">
        <v>199</v>
      </c>
      <c r="F606" s="62" t="s">
        <v>200</v>
      </c>
      <c r="G606" s="94" t="s">
        <v>201</v>
      </c>
      <c r="H606" s="71" t="s">
        <v>214</v>
      </c>
      <c r="I606" s="69" t="s">
        <v>47</v>
      </c>
      <c r="J606">
        <v>2</v>
      </c>
      <c r="K606">
        <v>2.3</v>
      </c>
      <c r="O606">
        <v>791000</v>
      </c>
      <c r="P606">
        <v>780000</v>
      </c>
      <c r="Q606">
        <v>791000</v>
      </c>
      <c r="T606" s="68">
        <f>=P606/10000*J606*Z606</f>
        <v>9204</v>
      </c>
      <c r="U606" s="95">
        <v>200</v>
      </c>
      <c r="V606" s="68" t="s"/>
      <c r="W606" s="68" t="s"/>
      <c r="X606" s="68">
        <f>=O606-P606</f>
        <v>11000</v>
      </c>
      <c r="Y606" s="68">
        <f>=X606-T606-U606-V606</f>
        <v>1596</v>
      </c>
      <c r="Z606" s="62">
        <f>=A606-$A$282+1</f>
        <v>59</v>
      </c>
      <c r="AA606" s="68">
        <f>=P606/10000*K606*Z606</f>
        <v>10584.6</v>
      </c>
      <c r="AB606" s="62">
        <f>=Q606*Z606</f>
        <v>46669000</v>
      </c>
      <c r="AC606" s="95" t="s">
        <v>44</v>
      </c>
    </row>
    <row r="607" spans="1:29">
      <c r="A607" s="147">
        <v>46169</v>
      </c>
      <c r="B607" s="103" t="s"/>
      <c r="C607" s="103" t="s"/>
      <c r="D607" s="62" t="s">
        <v>38</v>
      </c>
      <c r="E607" s="62" t="s">
        <v>85</v>
      </c>
      <c r="F607" s="62" t="s">
        <v>86</v>
      </c>
      <c r="G607" s="71" t="s">
        <v>65</v>
      </c>
      <c r="H607" s="98" t="s">
        <v>304</v>
      </c>
      <c r="I607" s="72" t="s">
        <v>47</v>
      </c>
      <c r="J607" s="62">
        <v>1.46</v>
      </c>
      <c r="K607" s="62">
        <v>2</v>
      </c>
      <c r="O607">
        <v>142470</v>
      </c>
      <c r="P607">
        <v>142470</v>
      </c>
      <c r="Q607">
        <v>142470</v>
      </c>
      <c r="T607" s="68">
        <f>=P607/10000*J607*Z607</f>
        <v>582.41736</v>
      </c>
      <c r="U607">
        <v>0</v>
      </c>
      <c r="V607" s="68" t="s"/>
      <c r="W607" s="68" t="s"/>
      <c r="X607" s="68">
        <f>=O607-P607</f>
        <v>0</v>
      </c>
      <c r="Y607" s="68">
        <f>=X607-T607-U607-V607</f>
        <v>-582.41736</v>
      </c>
      <c r="Z607" s="62">
        <f>=A607-$A$462+1</f>
        <v>28</v>
      </c>
      <c r="AA607" s="68">
        <f>=P607/10000*K607*Z607</f>
        <v>797.832</v>
      </c>
      <c r="AB607" s="62">
        <f>=Q607*Z607</f>
        <v>3989160</v>
      </c>
      <c r="AC607" t="s">
        <v>361</v>
      </c>
    </row>
    <row r="608" spans="1:29">
      <c r="A608" s="80">
        <v>46170</v>
      </c>
      <c r="B608" s="103" t="s"/>
      <c r="C608" s="62">
        <f>=TODAY()-A608+1</f>
        <v>60</v>
      </c>
      <c r="D608" s="62" t="s">
        <v>38</v>
      </c>
      <c r="E608" s="62" t="s">
        <v>85</v>
      </c>
      <c r="F608" s="62" t="s">
        <v>120</v>
      </c>
      <c r="G608" s="71" t="s">
        <v>339</v>
      </c>
      <c r="H608" t="s">
        <v>362</v>
      </c>
      <c r="I608" s="65" t="s">
        <v>43</v>
      </c>
      <c r="J608" s="78">
        <v>2</v>
      </c>
      <c r="K608" s="78">
        <v>2.6</v>
      </c>
      <c r="M608">
        <v>1788500</v>
      </c>
      <c r="AC608" t="s">
        <v>58</v>
      </c>
    </row>
    <row r="609" spans="1:29">
      <c r="A609" s="147">
        <v>46170</v>
      </c>
      <c r="B609" s="123" t="s">
        <v>37</v>
      </c>
      <c r="C609" s="103" t="s"/>
      <c r="D609" s="62" t="s">
        <v>38</v>
      </c>
      <c r="E609" s="62" t="s">
        <v>199</v>
      </c>
      <c r="F609" s="62" t="s">
        <v>200</v>
      </c>
      <c r="G609" s="94" t="s">
        <v>201</v>
      </c>
      <c r="H609" s="71" t="s">
        <v>214</v>
      </c>
      <c r="I609" s="69" t="s">
        <v>47</v>
      </c>
      <c r="J609">
        <v>2</v>
      </c>
      <c r="K609">
        <v>2.3</v>
      </c>
      <c r="O609">
        <v>1582400</v>
      </c>
      <c r="P609">
        <v>1560000</v>
      </c>
      <c r="Q609">
        <v>1582400</v>
      </c>
      <c r="T609" s="68">
        <f>=P609/10000*J609*Z609</f>
        <v>18720</v>
      </c>
      <c r="U609">
        <v>400</v>
      </c>
      <c r="V609" s="68" t="s"/>
      <c r="W609" s="68" t="s"/>
      <c r="X609" s="68">
        <f>=O609-P609</f>
        <v>22400</v>
      </c>
      <c r="Y609" s="68">
        <f>=X609-T609-U609-V609</f>
        <v>3280</v>
      </c>
      <c r="Z609" s="62">
        <f>=A609-$A$282+1</f>
        <v>60</v>
      </c>
      <c r="AA609" s="68">
        <f>=P609/10000*K609*Z609</f>
        <v>21528</v>
      </c>
      <c r="AB609" s="62">
        <f>=Q609*Z609</f>
        <v>94944000</v>
      </c>
      <c r="AC609" t="s">
        <v>44</v>
      </c>
    </row>
    <row r="610" spans="1:29">
      <c r="A610" s="147">
        <v>46170</v>
      </c>
      <c r="B610" s="103" t="s"/>
      <c r="C610" s="103" t="s"/>
      <c r="D610" s="62" t="s">
        <v>38</v>
      </c>
      <c r="E610" s="62" t="s">
        <v>48</v>
      </c>
      <c r="F610" s="62" t="s">
        <v>73</v>
      </c>
      <c r="G610" s="64" t="s">
        <v>181</v>
      </c>
      <c r="H610" s="64" t="s">
        <v>182</v>
      </c>
      <c r="I610" s="72" t="s">
        <v>47</v>
      </c>
      <c r="J610" s="78">
        <v>2</v>
      </c>
      <c r="K610" s="78">
        <v>2.5</v>
      </c>
      <c r="O610">
        <v>214074</v>
      </c>
      <c r="P610">
        <v>210600</v>
      </c>
      <c r="Q610">
        <v>214074</v>
      </c>
      <c r="R610">
        <v>-42120</v>
      </c>
      <c r="T610" s="68">
        <f>=P610/10000*J610*Z610</f>
        <v>2779.92</v>
      </c>
      <c r="U610" s="62">
        <v>0</v>
      </c>
      <c r="V610" s="68" t="s"/>
      <c r="W610" s="68" t="s"/>
      <c r="X610" s="68">
        <f>=O610-P610</f>
        <v>3473.99999999997</v>
      </c>
      <c r="Y610" s="68">
        <f>=X610-T610-U610-V610</f>
        <v>694.079999999971</v>
      </c>
      <c r="Z610" s="62">
        <f>=A610-$A$246+1</f>
        <v>66</v>
      </c>
      <c r="AA610" s="68">
        <f>=P610/10000*K610*Z610</f>
        <v>3474.9</v>
      </c>
      <c r="AB610" s="62">
        <f>=Q610*Z610</f>
        <v>14128884</v>
      </c>
      <c r="AC610" t="s">
        <v>312</v>
      </c>
    </row>
    <row r="611" spans="1:29">
      <c r="A611" s="147">
        <v>46170</v>
      </c>
      <c r="B611" s="103" t="s"/>
      <c r="C611" s="103" t="s"/>
      <c r="D611" s="64" t="s">
        <v>38</v>
      </c>
      <c r="E611" s="64" t="s">
        <v>148</v>
      </c>
      <c r="F611" s="64" t="s">
        <v>153</v>
      </c>
      <c r="G611" s="71" t="s">
        <v>215</v>
      </c>
      <c r="H611" s="98" t="s">
        <v>216</v>
      </c>
      <c r="I611" s="72" t="s">
        <v>47</v>
      </c>
      <c r="J611" s="62">
        <v>2</v>
      </c>
      <c r="K611" s="62">
        <v>2.5</v>
      </c>
      <c r="O611">
        <v>85380</v>
      </c>
      <c r="P611">
        <v>84000</v>
      </c>
      <c r="Q611">
        <v>85380</v>
      </c>
      <c r="T611" s="68">
        <f>=P611/10000*J611*Z611</f>
        <v>1008</v>
      </c>
      <c r="U611">
        <v>90</v>
      </c>
      <c r="V611" s="68" t="s"/>
      <c r="W611" s="68" t="s"/>
      <c r="X611" s="68">
        <f>=O611-P611</f>
        <v>1380</v>
      </c>
      <c r="Y611" s="68">
        <f>=X611-T611-U611-V611</f>
        <v>282</v>
      </c>
      <c r="Z611" s="62">
        <f>=A611-$A$287+1</f>
        <v>60</v>
      </c>
      <c r="AA611" s="68">
        <f>=P611/10000*K611*Z611</f>
        <v>1260</v>
      </c>
      <c r="AB611" s="62">
        <f>=Q611*Z611</f>
        <v>5122800</v>
      </c>
      <c r="AC611" t="s">
        <v>58</v>
      </c>
    </row>
    <row r="612" spans="1:29">
      <c r="A612" s="147">
        <v>46170</v>
      </c>
      <c r="B612" s="103" t="s"/>
      <c r="C612" s="103" t="s"/>
      <c r="D612" s="62" t="s">
        <v>38</v>
      </c>
      <c r="E612" s="62" t="s">
        <v>48</v>
      </c>
      <c r="F612" s="62" t="s">
        <v>73</v>
      </c>
      <c r="G612" s="64" t="s">
        <v>181</v>
      </c>
      <c r="H612" s="64" t="s">
        <v>363</v>
      </c>
      <c r="I612" s="115" t="s">
        <v>6</v>
      </c>
      <c r="J612" s="64">
        <v>2</v>
      </c>
      <c r="K612" s="64">
        <v>2.5</v>
      </c>
      <c r="L612">
        <v>997517</v>
      </c>
      <c r="R612">
        <v>997517</v>
      </c>
      <c r="AA612" s="157" t="s"/>
      <c r="AC612" s="117" t="s">
        <v>44</v>
      </c>
    </row>
    <row r="613" spans="1:29">
      <c r="A613" s="147">
        <v>46170</v>
      </c>
      <c r="B613" s="103" t="s"/>
      <c r="C613" s="62">
        <f>=TODAY()-A613+1</f>
        <v>60</v>
      </c>
      <c r="D613" s="62" t="s">
        <v>38</v>
      </c>
      <c r="E613" s="62" t="s">
        <v>48</v>
      </c>
      <c r="F613" s="62" t="s">
        <v>73</v>
      </c>
      <c r="G613" s="64" t="s">
        <v>181</v>
      </c>
      <c r="H613" s="64" t="s">
        <v>363</v>
      </c>
      <c r="I613" s="114" t="s">
        <v>43</v>
      </c>
      <c r="J613" s="78">
        <v>2</v>
      </c>
      <c r="K613" s="62">
        <v>2.5</v>
      </c>
      <c r="M613">
        <v>4987585</v>
      </c>
      <c r="AA613" s="157" t="s"/>
      <c r="AC613" t="s">
        <v>44</v>
      </c>
    </row>
    <row r="614" spans="1:29">
      <c r="A614" s="147">
        <v>46170</v>
      </c>
      <c r="B614" s="103" t="s"/>
      <c r="C614" s="103" t="s"/>
      <c r="D614" s="62" t="s">
        <v>38</v>
      </c>
      <c r="E614" s="62" t="s">
        <v>133</v>
      </c>
      <c r="F614" s="62" t="s">
        <v>134</v>
      </c>
      <c r="G614" s="71" t="s">
        <v>135</v>
      </c>
      <c r="H614" s="98" t="s">
        <v>187</v>
      </c>
      <c r="I614" s="69" t="s">
        <v>47</v>
      </c>
      <c r="J614" s="62">
        <v>2</v>
      </c>
      <c r="K614" s="62">
        <v>2.5</v>
      </c>
      <c r="O614">
        <v>73250</v>
      </c>
      <c r="P614">
        <v>72800</v>
      </c>
      <c r="Q614">
        <v>73250</v>
      </c>
      <c r="T614" s="68">
        <f>=P614/10000*J614*Z614</f>
        <v>946.4</v>
      </c>
      <c r="U614">
        <v>300</v>
      </c>
      <c r="V614" s="68" t="s"/>
      <c r="W614" s="68" t="s"/>
      <c r="X614" s="68">
        <f>=O614-P614</f>
        <v>450</v>
      </c>
      <c r="Y614" s="68">
        <f>=X614-T614-U614-V614</f>
        <v>-796.4</v>
      </c>
      <c r="Z614" s="62">
        <f>=A614-$A$256+1</f>
        <v>65</v>
      </c>
      <c r="AA614" s="68">
        <f>=P614/10000*K614*Z614</f>
        <v>1183</v>
      </c>
      <c r="AB614" s="62">
        <f>=Q614*Z614</f>
        <v>4761250</v>
      </c>
      <c r="AC614" t="s">
        <v>58</v>
      </c>
    </row>
    <row r="615" spans="1:29">
      <c r="A615" s="147">
        <v>46170</v>
      </c>
      <c r="B615" s="103" t="s"/>
      <c r="C615" s="103" t="s"/>
      <c r="D615" s="62" t="s">
        <v>38</v>
      </c>
      <c r="E615" s="62" t="s">
        <v>133</v>
      </c>
      <c r="F615" s="62" t="s">
        <v>134</v>
      </c>
      <c r="G615" s="71" t="s">
        <v>135</v>
      </c>
      <c r="H615" s="98" t="s">
        <v>247</v>
      </c>
      <c r="I615" s="69" t="s">
        <v>47</v>
      </c>
      <c r="J615" s="62">
        <v>2</v>
      </c>
      <c r="K615" s="62">
        <v>2.5</v>
      </c>
      <c r="O615">
        <v>76138</v>
      </c>
      <c r="P615">
        <v>75000</v>
      </c>
      <c r="Q615">
        <v>76138</v>
      </c>
      <c r="T615" s="68">
        <f>=P615/10000*J615*Z615</f>
        <v>750</v>
      </c>
      <c r="U615">
        <v>200</v>
      </c>
      <c r="V615" s="68" t="s"/>
      <c r="W615" s="68" t="s"/>
      <c r="X615" s="68">
        <f>=O615-P615</f>
        <v>1138</v>
      </c>
      <c r="Y615" s="68">
        <f>=X615-T615-U615-V615</f>
        <v>188</v>
      </c>
      <c r="Z615" s="62">
        <f>=A615-$A$347+1</f>
        <v>50</v>
      </c>
      <c r="AA615" s="68">
        <f>=P615/10000*K615*Z615</f>
        <v>937.5</v>
      </c>
      <c r="AB615" s="62">
        <f>=Q615*Z615</f>
        <v>3806900</v>
      </c>
      <c r="AC615" t="s">
        <v>58</v>
      </c>
    </row>
    <row r="616" spans="1:29">
      <c r="A616" s="147">
        <v>46171</v>
      </c>
      <c r="B616" s="123" t="s">
        <v>37</v>
      </c>
      <c r="C616" s="103" t="s"/>
      <c r="D616" s="62" t="s">
        <v>38</v>
      </c>
      <c r="E616" s="62" t="s">
        <v>133</v>
      </c>
      <c r="F616" s="62" t="s">
        <v>134</v>
      </c>
      <c r="G616" s="136" t="s">
        <v>305</v>
      </c>
      <c r="H616" s="98" t="s">
        <v>308</v>
      </c>
      <c r="I616" s="72" t="s">
        <v>47</v>
      </c>
      <c r="J616" s="62">
        <v>2</v>
      </c>
      <c r="K616" s="62">
        <v>2.5</v>
      </c>
      <c r="O616">
        <v>1338028</v>
      </c>
      <c r="P616">
        <v>1328000</v>
      </c>
      <c r="Q616">
        <v>1338028</v>
      </c>
      <c r="T616" s="68">
        <f>=P616/10000*J616*Z616</f>
        <v>7702.4</v>
      </c>
      <c r="U616">
        <v>300</v>
      </c>
      <c r="V616" s="68" t="s"/>
      <c r="W616" s="68" t="s"/>
      <c r="X616" s="68">
        <f>=O616-P616</f>
        <v>10028</v>
      </c>
      <c r="Y616" s="68">
        <f>=X616-T616-U616-V616</f>
        <v>2025.6</v>
      </c>
      <c r="Z616" s="62">
        <f>=A616-$A$469+1</f>
        <v>29</v>
      </c>
      <c r="AA616" s="68">
        <f>=P616/10000*K616*Z616</f>
        <v>9628</v>
      </c>
      <c r="AB616" s="62">
        <f>=Q616*Z616</f>
        <v>38802812</v>
      </c>
      <c r="AC616" t="s">
        <v>58</v>
      </c>
    </row>
    <row r="617" spans="1:29">
      <c r="A617" s="147">
        <v>46171</v>
      </c>
      <c r="B617" s="123" t="s">
        <v>37</v>
      </c>
      <c r="C617" s="103" t="s"/>
      <c r="D617" s="62" t="s">
        <v>38</v>
      </c>
      <c r="E617" s="62" t="s">
        <v>133</v>
      </c>
      <c r="F617" s="62" t="s">
        <v>134</v>
      </c>
      <c r="G617" s="136" t="s">
        <v>305</v>
      </c>
      <c r="H617" s="98" t="s">
        <v>310</v>
      </c>
      <c r="I617" s="72" t="s">
        <v>47</v>
      </c>
      <c r="J617" s="62">
        <v>2</v>
      </c>
      <c r="K617" s="62">
        <v>2.5</v>
      </c>
      <c r="O617">
        <v>1014448</v>
      </c>
      <c r="P617">
        <v>1008000</v>
      </c>
      <c r="Q617">
        <v>1014448</v>
      </c>
      <c r="T617" s="68">
        <f>=P617/10000*J617*Z617</f>
        <v>4838.4</v>
      </c>
      <c r="U617">
        <v>300</v>
      </c>
      <c r="V617" s="68" t="s"/>
      <c r="W617" s="68" t="s"/>
      <c r="X617" s="68">
        <f>=O617-P617</f>
        <v>6448</v>
      </c>
      <c r="Y617" s="68">
        <f>=X617-T617-U617-V617</f>
        <v>1309.6</v>
      </c>
      <c r="Z617" s="62">
        <f>=A617-$A$476+1</f>
        <v>24</v>
      </c>
      <c r="AA617" s="68">
        <f>=P617/10000*K617*Z617</f>
        <v>6048</v>
      </c>
      <c r="AB617" s="62">
        <f>=Q617*Z617</f>
        <v>24346752</v>
      </c>
      <c r="AC617" t="s">
        <v>58</v>
      </c>
    </row>
    <row r="618" spans="1:29">
      <c r="A618" s="147">
        <v>46171</v>
      </c>
      <c r="B618" s="103" t="s"/>
      <c r="C618" s="103" t="s"/>
      <c r="D618" s="62" t="s">
        <v>38</v>
      </c>
      <c r="E618" s="62" t="s">
        <v>48</v>
      </c>
      <c r="F618" s="62" t="s">
        <v>73</v>
      </c>
      <c r="G618" s="64" t="s">
        <v>181</v>
      </c>
      <c r="H618" s="64" t="s">
        <v>182</v>
      </c>
      <c r="I618" s="72" t="s">
        <v>47</v>
      </c>
      <c r="J618" s="78">
        <v>2</v>
      </c>
      <c r="K618" s="78">
        <v>2.5</v>
      </c>
      <c r="O618">
        <v>214128</v>
      </c>
      <c r="P618">
        <v>210600</v>
      </c>
      <c r="Q618">
        <v>214128</v>
      </c>
      <c r="R618">
        <v>-42120</v>
      </c>
      <c r="T618" s="68">
        <f>=P618/10000*J618*Z618</f>
        <v>2822.04</v>
      </c>
      <c r="U618" s="62">
        <v>0</v>
      </c>
      <c r="V618" s="68" t="s"/>
      <c r="W618" s="68" t="s"/>
      <c r="X618" s="68">
        <f>=O618-P618</f>
        <v>3528.00000000003</v>
      </c>
      <c r="Y618" s="68">
        <f>=X618-T618-U618-V618</f>
        <v>705.960000000029</v>
      </c>
      <c r="Z618" s="62">
        <f>=A618-$A$246+1</f>
        <v>67</v>
      </c>
      <c r="AA618" s="68">
        <f>=P618/10000*K618*Z618</f>
        <v>3527.55</v>
      </c>
      <c r="AB618" s="62">
        <f>=Q618*Z618</f>
        <v>14346576</v>
      </c>
      <c r="AC618" t="s">
        <v>312</v>
      </c>
    </row>
    <row r="619" spans="1:28">
      <c r="A619" s="110">
        <v>46199</v>
      </c>
      <c r="B619" s="103" t="s"/>
      <c r="C619" s="62">
        <f>=TODAY()-A619+1</f>
        <v>31</v>
      </c>
      <c r="D619" s="62" t="s">
        <v>38</v>
      </c>
      <c r="E619" s="62" t="s">
        <v>48</v>
      </c>
      <c r="F619" s="62" t="s">
        <v>73</v>
      </c>
      <c r="G619" s="83" t="s">
        <v>181</v>
      </c>
      <c r="H619" s="83" t="s">
        <v>364</v>
      </c>
      <c r="I619" s="79" t="s">
        <v>6</v>
      </c>
      <c r="J619" s="111">
        <v>2</v>
      </c>
      <c r="K619" s="111">
        <v>2.5</v>
      </c>
      <c r="L619">
        <v>1172000</v>
      </c>
      <c r="T619" s="68" t="s"/>
      <c r="U619" s="62" t="s"/>
      <c r="V619" s="68" t="s"/>
      <c r="W619" s="68" t="s"/>
      <c r="X619" s="68" t="s"/>
      <c r="Y619" s="68" t="s"/>
      <c r="Z619" s="62" t="s"/>
      <c r="AA619" s="68" t="s"/>
      <c r="AB619" s="62" t="s"/>
    </row>
    <row r="620" spans="1:29">
      <c r="A620" s="80">
        <v>46199</v>
      </c>
      <c r="B620" s="103" t="s"/>
      <c r="C620" s="62">
        <f>=TODAY()-A620+1</f>
        <v>14</v>
      </c>
      <c r="D620" s="62" t="s">
        <v>38</v>
      </c>
      <c r="E620" s="62" t="s">
        <v>48</v>
      </c>
      <c r="F620" s="62" t="s">
        <v>73</v>
      </c>
      <c r="G620" s="64" t="s">
        <v>181</v>
      </c>
      <c r="H620" s="64" t="s">
        <v>364</v>
      </c>
      <c r="I620" s="114" t="s">
        <v>43</v>
      </c>
      <c r="J620" s="78">
        <v>2</v>
      </c>
      <c r="K620" s="78">
        <v>2.5</v>
      </c>
      <c r="M620">
        <v>5860000</v>
      </c>
      <c r="T620" s="68" t="s"/>
      <c r="U620" s="62" t="s"/>
      <c r="V620" s="68" t="s"/>
      <c r="W620" s="68" t="s"/>
      <c r="X620" s="68" t="s"/>
      <c r="Y620" s="68" t="s"/>
      <c r="Z620" s="62" t="s"/>
      <c r="AA620" s="68" t="s"/>
      <c r="AB620" s="62" t="s"/>
      <c r="AC620" t="s">
        <v>58</v>
      </c>
    </row>
    <row r="621" spans="1:29">
      <c r="A621" s="147">
        <v>46171</v>
      </c>
      <c r="B621" s="123" t="s">
        <v>37</v>
      </c>
      <c r="C621" s="103" t="s"/>
      <c r="D621" s="62" t="s">
        <v>38</v>
      </c>
      <c r="E621" s="62" t="s">
        <v>48</v>
      </c>
      <c r="F621" s="62" t="s">
        <v>49</v>
      </c>
      <c r="G621" s="87" t="s">
        <v>220</v>
      </c>
      <c r="H621" s="80" t="s">
        <v>221</v>
      </c>
      <c r="I621" s="65" t="s">
        <v>47</v>
      </c>
      <c r="J621" s="62">
        <v>2</v>
      </c>
      <c r="K621" s="62">
        <v>3</v>
      </c>
      <c r="O621">
        <v>149051.94</v>
      </c>
      <c r="P621">
        <v>146055</v>
      </c>
      <c r="Q621">
        <v>149051.94</v>
      </c>
      <c r="T621" s="68">
        <f>=P621/10000*J621*Z621</f>
        <v>1752.66</v>
      </c>
      <c r="U621">
        <v>216</v>
      </c>
      <c r="V621" s="68" t="s"/>
      <c r="W621" s="68" t="s"/>
      <c r="X621" s="68">
        <f>=O621-P621</f>
        <v>2996.94</v>
      </c>
      <c r="Y621" s="68">
        <f>=X621-T621-U621-V621</f>
        <v>1028.28</v>
      </c>
      <c r="Z621" s="62">
        <f>=A621-$A$290+1</f>
        <v>60</v>
      </c>
      <c r="AA621" s="68">
        <f>=P621/10000*K621*Z621</f>
        <v>2628.99</v>
      </c>
      <c r="AB621" s="62">
        <f>=Q621*Z621</f>
        <v>8943116.4</v>
      </c>
      <c r="AC621" t="s">
        <v>58</v>
      </c>
    </row>
    <row r="622" spans="1:29">
      <c r="A622" s="147">
        <v>46171</v>
      </c>
      <c r="B622" s="103" t="s"/>
      <c r="C622" s="103" t="s"/>
      <c r="D622" s="64" t="s">
        <v>38</v>
      </c>
      <c r="E622" s="64" t="s">
        <v>148</v>
      </c>
      <c r="F622" s="64" t="s">
        <v>153</v>
      </c>
      <c r="G622" s="71" t="s">
        <v>156</v>
      </c>
      <c r="H622" s="98" t="s">
        <v>185</v>
      </c>
      <c r="I622" s="69" t="s">
        <v>47</v>
      </c>
      <c r="J622" s="62">
        <v>2</v>
      </c>
      <c r="K622" s="62">
        <v>2.5</v>
      </c>
      <c r="O622">
        <v>118117</v>
      </c>
      <c r="P622">
        <v>116000</v>
      </c>
      <c r="Q622">
        <v>118117</v>
      </c>
      <c r="T622" s="68">
        <f>=P622/10000*J622*Z622</f>
        <v>1554.4</v>
      </c>
      <c r="U622">
        <v>130.5</v>
      </c>
      <c r="V622" s="68" t="s"/>
      <c r="W622" s="68" t="s"/>
      <c r="X622" s="68">
        <f>=O622-P622</f>
        <v>2117</v>
      </c>
      <c r="Y622" s="68">
        <f>=X622-T622-U622-V622</f>
        <v>432.1</v>
      </c>
      <c r="Z622" s="62">
        <f>=A622-$A$249+1</f>
        <v>67</v>
      </c>
      <c r="AA622" s="68">
        <f>=P622/10000*K622*Z622</f>
        <v>1943</v>
      </c>
      <c r="AB622" s="62">
        <f>=Q622*Z622</f>
        <v>7913839</v>
      </c>
      <c r="AC622" t="s">
        <v>58</v>
      </c>
    </row>
    <row r="623" spans="1:29">
      <c r="A623" s="147">
        <v>46171</v>
      </c>
      <c r="B623" s="103" t="s"/>
      <c r="C623" s="103" t="s"/>
      <c r="D623" s="64" t="s">
        <v>38</v>
      </c>
      <c r="E623" s="64" t="s">
        <v>148</v>
      </c>
      <c r="F623" s="64" t="s">
        <v>153</v>
      </c>
      <c r="G623" s="71" t="s">
        <v>156</v>
      </c>
      <c r="H623" s="98" t="s">
        <v>213</v>
      </c>
      <c r="I623" s="69" t="s">
        <v>47</v>
      </c>
      <c r="J623" s="62">
        <v>2</v>
      </c>
      <c r="K623" s="62">
        <v>2.5</v>
      </c>
      <c r="O623">
        <v>68718.3</v>
      </c>
      <c r="P623">
        <v>67620</v>
      </c>
      <c r="Q623">
        <v>68718.3</v>
      </c>
      <c r="T623" s="68">
        <f>=P623/10000*J623*Z623</f>
        <v>811.44</v>
      </c>
      <c r="U623">
        <v>63</v>
      </c>
      <c r="V623" s="68" t="s"/>
      <c r="W623" s="68" t="s"/>
      <c r="X623" s="68">
        <f>=O623-P623</f>
        <v>1098.3</v>
      </c>
      <c r="Y623" s="68">
        <f>=X623-T623-U623-V623</f>
        <v>223.860000000003</v>
      </c>
      <c r="Z623" s="62">
        <f>=A623-$A$280+1</f>
        <v>60</v>
      </c>
      <c r="AA623" s="68">
        <f>=P623/10000*K623*Z623</f>
        <v>1014.3</v>
      </c>
      <c r="AB623" s="62">
        <f>=Q623*Z623</f>
        <v>4123098</v>
      </c>
      <c r="AC623" t="s">
        <v>58</v>
      </c>
    </row>
    <row r="624" spans="1:29">
      <c r="A624" s="147">
        <v>46171</v>
      </c>
      <c r="B624" s="123" t="s">
        <v>37</v>
      </c>
      <c r="C624" s="103" t="s"/>
      <c r="D624" s="64" t="s">
        <v>38</v>
      </c>
      <c r="E624" s="131" t="s">
        <v>54</v>
      </c>
      <c r="F624" s="64" t="s">
        <v>55</v>
      </c>
      <c r="G624" s="156" t="s">
        <v>352</v>
      </c>
      <c r="H624" s="98" t="s">
        <v>353</v>
      </c>
      <c r="I624" s="73" t="s">
        <v>47</v>
      </c>
      <c r="J624" s="62">
        <v>2</v>
      </c>
      <c r="K624" s="62">
        <v>2.5</v>
      </c>
      <c r="O624">
        <v>300675</v>
      </c>
      <c r="P624">
        <v>300000</v>
      </c>
      <c r="Q624">
        <v>300675</v>
      </c>
      <c r="T624" s="68">
        <f>=P624/10000*J624*Z624</f>
        <v>540</v>
      </c>
      <c r="U624">
        <v>0</v>
      </c>
      <c r="V624" s="68" t="s"/>
      <c r="W624" s="68" t="s"/>
      <c r="X624" s="68">
        <f>=O624-P624</f>
        <v>675</v>
      </c>
      <c r="Y624" s="68">
        <f>=X624-T624-U624-V624</f>
        <v>135</v>
      </c>
      <c r="Z624" s="62">
        <f>=A624-$A$578+1</f>
        <v>9</v>
      </c>
      <c r="AA624" s="68">
        <f>=P624/10000*K624*Z624</f>
        <v>675</v>
      </c>
      <c r="AB624" s="62">
        <f>=Q624*Z624</f>
        <v>2706075</v>
      </c>
      <c r="AC624" t="s">
        <v>58</v>
      </c>
    </row>
    <row r="625" spans="1:29">
      <c r="A625" s="147">
        <v>46173</v>
      </c>
      <c r="B625" s="123" t="s">
        <v>37</v>
      </c>
      <c r="C625" s="103" t="s"/>
      <c r="D625" s="62" t="s">
        <v>38</v>
      </c>
      <c r="E625" s="62" t="s">
        <v>199</v>
      </c>
      <c r="F625" s="62" t="s">
        <v>200</v>
      </c>
      <c r="G625" s="94" t="s">
        <v>201</v>
      </c>
      <c r="H625" s="71" t="s">
        <v>214</v>
      </c>
      <c r="I625" s="69" t="s">
        <v>47</v>
      </c>
      <c r="J625">
        <v>2</v>
      </c>
      <c r="K625">
        <v>2.3</v>
      </c>
      <c r="O625">
        <v>792000</v>
      </c>
      <c r="P625">
        <v>780000</v>
      </c>
      <c r="Q625">
        <v>792000</v>
      </c>
      <c r="T625" s="68">
        <f>=P625/10000*J625*Z625</f>
        <v>9828</v>
      </c>
      <c r="U625">
        <v>300</v>
      </c>
      <c r="V625" s="68" t="s"/>
      <c r="W625" s="68" t="s"/>
      <c r="X625" s="68">
        <f>=O625-P625</f>
        <v>12000</v>
      </c>
      <c r="Y625" s="68">
        <f>=X625-T625-U625-V625</f>
        <v>1872</v>
      </c>
      <c r="Z625" s="62">
        <f>=A625-$A$282+1</f>
        <v>63</v>
      </c>
      <c r="AA625" s="68">
        <f>=P625/10000*K625*Z625</f>
        <v>11302.2</v>
      </c>
      <c r="AB625" s="62">
        <f>=Q625*Z625</f>
        <v>49896000</v>
      </c>
      <c r="AC625" t="s">
        <v>44</v>
      </c>
    </row>
    <row r="626" spans="1:29">
      <c r="A626" s="147">
        <v>46174</v>
      </c>
      <c r="B626" s="123" t="s">
        <v>37</v>
      </c>
      <c r="C626" s="103" t="s"/>
      <c r="D626" s="62" t="s">
        <v>38</v>
      </c>
      <c r="E626" s="62" t="s">
        <v>199</v>
      </c>
      <c r="F626" s="62" t="s">
        <v>200</v>
      </c>
      <c r="G626" s="94" t="s">
        <v>201</v>
      </c>
      <c r="H626" s="71" t="s">
        <v>214</v>
      </c>
      <c r="I626" s="69" t="s">
        <v>47</v>
      </c>
      <c r="J626">
        <v>2</v>
      </c>
      <c r="K626">
        <v>2.3</v>
      </c>
      <c r="O626">
        <v>792200</v>
      </c>
      <c r="P626">
        <v>780000</v>
      </c>
      <c r="Q626">
        <v>792200</v>
      </c>
      <c r="T626" s="68">
        <f>=P626/10000*J626*Z626</f>
        <v>9984</v>
      </c>
      <c r="U626">
        <v>300</v>
      </c>
      <c r="V626" s="68" t="s"/>
      <c r="W626" s="68" t="s"/>
      <c r="X626" s="68">
        <f>=O626-P626</f>
        <v>12200</v>
      </c>
      <c r="Y626" s="68">
        <f>=X626-T626-U626-V626</f>
        <v>1916</v>
      </c>
      <c r="Z626" s="62">
        <f>=A626-$A$282+1</f>
        <v>64</v>
      </c>
      <c r="AA626" s="68">
        <f>=P626/10000*K626*Z626</f>
        <v>11481.6</v>
      </c>
      <c r="AB626" s="62">
        <f>=Q626*Z626</f>
        <v>50700800</v>
      </c>
      <c r="AC626" t="s">
        <v>44</v>
      </c>
    </row>
    <row r="627" spans="1:29">
      <c r="A627" s="147">
        <v>46174</v>
      </c>
      <c r="B627" s="123" t="s">
        <v>37</v>
      </c>
      <c r="C627" s="103" t="s"/>
      <c r="D627" s="62" t="s">
        <v>38</v>
      </c>
      <c r="E627" s="95" t="s">
        <v>322</v>
      </c>
      <c r="F627" s="95" t="s">
        <v>323</v>
      </c>
      <c r="G627" s="94" t="s">
        <v>324</v>
      </c>
      <c r="H627" s="71" t="s">
        <v>325</v>
      </c>
      <c r="I627" s="65" t="s">
        <v>47</v>
      </c>
      <c r="J627" s="78">
        <v>2</v>
      </c>
      <c r="K627" s="62">
        <v>3</v>
      </c>
      <c r="O627">
        <v>58851</v>
      </c>
      <c r="P627">
        <v>58500</v>
      </c>
      <c r="Q627">
        <v>58851</v>
      </c>
      <c r="T627" s="68">
        <f>=P627/10000*J627*Z627</f>
        <v>234</v>
      </c>
      <c r="U627">
        <v>0</v>
      </c>
      <c r="V627" s="68" t="s"/>
      <c r="W627" s="68" t="s"/>
      <c r="X627" s="68">
        <f>=O627-P627</f>
        <v>351</v>
      </c>
      <c r="Y627" s="68">
        <f>=X627-T627-U627-V627</f>
        <v>117</v>
      </c>
      <c r="Z627" s="62">
        <f>=A627-$A$511+1</f>
        <v>20</v>
      </c>
      <c r="AA627" s="68">
        <f>=P627/10000*K627*Z627</f>
        <v>351</v>
      </c>
      <c r="AB627" s="62">
        <f>=Q627*Z627</f>
        <v>1177020</v>
      </c>
      <c r="AC627" t="s">
        <v>58</v>
      </c>
    </row>
    <row r="628" spans="1:29">
      <c r="A628" s="147">
        <v>46175</v>
      </c>
      <c r="B628" s="103" t="s"/>
      <c r="C628" s="103" t="s"/>
      <c r="D628" s="62" t="s">
        <v>38</v>
      </c>
      <c r="E628" s="62" t="s">
        <v>133</v>
      </c>
      <c r="F628" s="62" t="s">
        <v>134</v>
      </c>
      <c r="G628" s="71" t="s">
        <v>135</v>
      </c>
      <c r="H628" s="98" t="s">
        <v>209</v>
      </c>
      <c r="I628" s="69" t="s">
        <v>47</v>
      </c>
      <c r="J628" s="62">
        <v>2</v>
      </c>
      <c r="K628" s="62">
        <v>2.5</v>
      </c>
      <c r="O628">
        <v>141398</v>
      </c>
      <c r="P628">
        <v>137200</v>
      </c>
      <c r="Q628">
        <v>141398</v>
      </c>
      <c r="T628" s="68">
        <f>=P628/10000*J628*Z628</f>
        <v>1783.6</v>
      </c>
      <c r="U628">
        <v>600</v>
      </c>
      <c r="V628" s="68" t="s"/>
      <c r="W628" s="68" t="s"/>
      <c r="X628" s="68">
        <f>=O628-P628</f>
        <v>4198</v>
      </c>
      <c r="Y628" s="68">
        <f>=X628-T628-U628-V628</f>
        <v>1814.4</v>
      </c>
      <c r="Z628" s="62">
        <f>=A628-$A$277+1</f>
        <v>65</v>
      </c>
      <c r="AA628" s="68">
        <f>=P628/10000*K628*Z628</f>
        <v>2229.5</v>
      </c>
      <c r="AB628" s="62">
        <f>=Q628*Z628</f>
        <v>9190870</v>
      </c>
      <c r="AC628" t="s">
        <v>58</v>
      </c>
    </row>
    <row r="629" spans="1:29">
      <c r="A629" s="147">
        <v>46175</v>
      </c>
      <c r="B629" s="103" t="s"/>
      <c r="C629" s="103" t="s"/>
      <c r="D629" s="62" t="s">
        <v>114</v>
      </c>
      <c r="E629" s="62" t="s">
        <v>114</v>
      </c>
      <c r="F629" s="62" t="s">
        <v>115</v>
      </c>
      <c r="G629" s="64" t="s">
        <v>116</v>
      </c>
      <c r="H629" s="71" t="s">
        <v>246</v>
      </c>
      <c r="I629" s="72" t="s">
        <v>47</v>
      </c>
      <c r="J629" s="62">
        <v>2</v>
      </c>
      <c r="K629" s="62">
        <v>2.6</v>
      </c>
      <c r="O629">
        <v>34476</v>
      </c>
      <c r="P629">
        <v>34000</v>
      </c>
      <c r="Q629">
        <v>34476</v>
      </c>
      <c r="T629" s="68">
        <f>=P629/10000*J629*Z629</f>
        <v>367.2</v>
      </c>
      <c r="U629" s="62">
        <v>0</v>
      </c>
      <c r="V629" s="68" t="s"/>
      <c r="W629" s="68" t="s"/>
      <c r="X629" s="68">
        <f>=O629-P629</f>
        <v>476</v>
      </c>
      <c r="Y629" s="68">
        <f>=X629-T629-U629-V629</f>
        <v>108.8</v>
      </c>
      <c r="Z629" s="62">
        <f>=A629-$A$360+1</f>
        <v>54</v>
      </c>
      <c r="AA629" s="68">
        <f>=P629/10000*K629*Z629</f>
        <v>477.36</v>
      </c>
      <c r="AB629" s="62">
        <f>=Q629*Z629</f>
        <v>1861704</v>
      </c>
      <c r="AC629" t="s">
        <v>58</v>
      </c>
    </row>
    <row r="630" spans="1:29">
      <c r="A630" s="147">
        <v>46175</v>
      </c>
      <c r="B630" s="103" t="s"/>
      <c r="C630" s="103" t="s"/>
      <c r="D630" s="64" t="s">
        <v>38</v>
      </c>
      <c r="E630" s="64" t="s">
        <v>148</v>
      </c>
      <c r="F630" s="64" t="s">
        <v>153</v>
      </c>
      <c r="G630" s="71" t="s">
        <v>156</v>
      </c>
      <c r="H630" s="98" t="s">
        <v>213</v>
      </c>
      <c r="I630" s="69" t="s">
        <v>47</v>
      </c>
      <c r="J630" s="62">
        <v>2</v>
      </c>
      <c r="K630" s="62">
        <v>2.5</v>
      </c>
      <c r="O630">
        <v>258924.08</v>
      </c>
      <c r="P630">
        <v>254380</v>
      </c>
      <c r="Q630">
        <v>258924.08</v>
      </c>
      <c r="T630" s="68">
        <f>=P630/10000*J630*Z630</f>
        <v>3256.064</v>
      </c>
      <c r="U630">
        <v>355.5</v>
      </c>
      <c r="V630" s="68" t="s"/>
      <c r="W630" s="68" t="s"/>
      <c r="X630" s="68">
        <f>=O630-P630</f>
        <v>4544.08000000002</v>
      </c>
      <c r="Y630" s="68">
        <f>=X630-T630-U630-V630</f>
        <v>932.516000000017</v>
      </c>
      <c r="Z630" s="62">
        <f>=A630-$A$280+1</f>
        <v>64</v>
      </c>
      <c r="AA630" s="68">
        <f>=P630/10000*K630*Z630</f>
        <v>4070.08</v>
      </c>
      <c r="AB630" s="62">
        <f>=Q630*Z630</f>
        <v>16571141.12</v>
      </c>
      <c r="AC630" t="s">
        <v>58</v>
      </c>
    </row>
    <row r="631" spans="1:29">
      <c r="A631" s="147">
        <v>46175</v>
      </c>
      <c r="B631" s="123" t="s">
        <v>37</v>
      </c>
      <c r="C631" s="103" t="s"/>
      <c r="D631" s="64" t="s">
        <v>38</v>
      </c>
      <c r="E631" s="131" t="s">
        <v>54</v>
      </c>
      <c r="F631" s="116" t="s">
        <v>55</v>
      </c>
      <c r="G631" s="62" t="s">
        <v>159</v>
      </c>
      <c r="H631" s="71" t="s">
        <v>160</v>
      </c>
      <c r="I631" s="69" t="s">
        <v>47</v>
      </c>
      <c r="J631" s="62">
        <v>2</v>
      </c>
      <c r="K631" s="62">
        <v>2.5</v>
      </c>
      <c r="O631">
        <v>488640</v>
      </c>
      <c r="P631">
        <v>480000</v>
      </c>
      <c r="Q631">
        <v>488640</v>
      </c>
      <c r="T631" s="68">
        <f>=P631/10000*J631*Z631</f>
        <v>6912</v>
      </c>
      <c r="U631">
        <v>0</v>
      </c>
      <c r="V631" s="68" t="s"/>
      <c r="W631" s="68" t="s"/>
      <c r="X631" s="68">
        <f>=O631-P631</f>
        <v>8639.99999999994</v>
      </c>
      <c r="Y631" s="68">
        <f>=X631-T631-U631-V631</f>
        <v>1727.99999999994</v>
      </c>
      <c r="Z631" s="62">
        <f>=A631-$A$227+1</f>
        <v>72</v>
      </c>
      <c r="AA631" s="68">
        <f>=P631/10000*K631*Z631</f>
        <v>8640</v>
      </c>
      <c r="AB631" s="62">
        <f>=Q631*Z631</f>
        <v>35182080</v>
      </c>
      <c r="AC631" t="s">
        <v>312</v>
      </c>
    </row>
    <row r="632" spans="1:29">
      <c r="A632" s="147">
        <v>46175</v>
      </c>
      <c r="B632" s="103" t="s"/>
      <c r="C632" s="103" t="s"/>
      <c r="D632" s="62" t="s">
        <v>38</v>
      </c>
      <c r="E632" s="98" t="s">
        <v>167</v>
      </c>
      <c r="F632" s="98" t="s">
        <v>168</v>
      </c>
      <c r="G632" s="71" t="s">
        <v>169</v>
      </c>
      <c r="H632" s="71" t="s">
        <v>354</v>
      </c>
      <c r="I632" s="65" t="s">
        <v>47</v>
      </c>
      <c r="J632" s="62">
        <v>2</v>
      </c>
      <c r="K632" s="62">
        <v>2.5</v>
      </c>
      <c r="O632">
        <v>4745.69</v>
      </c>
      <c r="P632">
        <v>4730</v>
      </c>
      <c r="Q632">
        <v>4745.69</v>
      </c>
      <c r="T632" s="68">
        <f>=P632/10000*J632*Z632</f>
        <v>11.352</v>
      </c>
      <c r="U632">
        <v>1</v>
      </c>
      <c r="V632" s="68" t="s"/>
      <c r="W632" s="68" t="s"/>
      <c r="X632" s="68">
        <f>=O632-P632</f>
        <v>15.6899999999996</v>
      </c>
      <c r="Y632" s="68">
        <f>=X632-T632-U632-V632</f>
        <v>3.3379999999996</v>
      </c>
      <c r="Z632" s="62">
        <f>=A632-$A$582+1</f>
        <v>12</v>
      </c>
      <c r="AA632" s="68">
        <f>=P632/10000*K632*Z632</f>
        <v>14.19</v>
      </c>
      <c r="AB632" s="62">
        <f>=Q632*Z632</f>
        <v>56948.28</v>
      </c>
      <c r="AC632" t="s">
        <v>58</v>
      </c>
    </row>
    <row r="633" spans="1:29" ht="21.75" customHeight="true">
      <c r="A633" s="147">
        <v>46176</v>
      </c>
      <c r="B633" s="123" t="s">
        <v>37</v>
      </c>
      <c r="C633" s="103" t="s"/>
      <c r="D633" s="78" t="s">
        <v>38</v>
      </c>
      <c r="E633" s="158" t="s">
        <v>54</v>
      </c>
      <c r="F633" s="98" t="s">
        <v>55</v>
      </c>
      <c r="G633" s="71" t="s">
        <v>352</v>
      </c>
      <c r="H633" s="71" t="s">
        <v>353</v>
      </c>
      <c r="I633" s="65" t="s">
        <v>47</v>
      </c>
      <c r="J633" s="62">
        <v>2</v>
      </c>
      <c r="K633" s="62">
        <v>2.5</v>
      </c>
      <c r="O633">
        <v>150487.5</v>
      </c>
      <c r="P633">
        <v>150000</v>
      </c>
      <c r="Q633">
        <v>150487.5</v>
      </c>
      <c r="T633" s="68">
        <f>=P633/10000*J633*Z633</f>
        <v>420</v>
      </c>
      <c r="U633">
        <v>0</v>
      </c>
      <c r="V633" s="68" t="s"/>
      <c r="W633" s="68" t="s"/>
      <c r="X633" s="68">
        <f>=O633-P633</f>
        <v>487.5</v>
      </c>
      <c r="Y633" s="68">
        <f>=X633-T633-U633-V633</f>
        <v>67.5</v>
      </c>
      <c r="Z633" s="62">
        <f>=A633-$A$578+1</f>
        <v>14</v>
      </c>
      <c r="AA633" s="68">
        <f>=P633/10000*K633*Z633</f>
        <v>525</v>
      </c>
      <c r="AB633" s="62">
        <f>=Q633*Z633</f>
        <v>2106825</v>
      </c>
      <c r="AC633" t="s">
        <v>58</v>
      </c>
    </row>
    <row r="634" spans="1:29">
      <c r="A634" s="147">
        <v>46176</v>
      </c>
      <c r="B634" s="103" t="s"/>
      <c r="C634" s="103" t="s"/>
      <c r="D634" s="78" t="s">
        <v>38</v>
      </c>
      <c r="E634" s="78" t="s">
        <v>133</v>
      </c>
      <c r="F634" s="78" t="s">
        <v>134</v>
      </c>
      <c r="G634" s="71" t="s">
        <v>135</v>
      </c>
      <c r="H634" s="98" t="s">
        <v>144</v>
      </c>
      <c r="I634" s="69" t="s">
        <v>47</v>
      </c>
      <c r="J634" s="62">
        <v>2</v>
      </c>
      <c r="K634" s="62">
        <v>2.5</v>
      </c>
      <c r="O634">
        <v>19041.4</v>
      </c>
      <c r="P634">
        <v>18600</v>
      </c>
      <c r="Q634">
        <v>19041.4</v>
      </c>
      <c r="T634" s="68">
        <f>=P634/10000*J634*Z634</f>
        <v>305.04</v>
      </c>
      <c r="U634">
        <v>60</v>
      </c>
      <c r="V634" s="68" t="s"/>
      <c r="W634" s="68" t="s"/>
      <c r="X634" s="68">
        <f>=O634-P634</f>
        <v>441.400000000002</v>
      </c>
      <c r="Y634" s="68">
        <f>=X634-T634-U634-V634</f>
        <v>76.3600000000015</v>
      </c>
      <c r="Z634" s="62">
        <f>=A634-$A$211+1</f>
        <v>82</v>
      </c>
      <c r="AA634" s="68">
        <f>=P634/10000*K634*Z634</f>
        <v>381.3</v>
      </c>
      <c r="AB634" s="62">
        <f>=Q634*Z634</f>
        <v>1561394.8</v>
      </c>
      <c r="AC634" t="s">
        <v>58</v>
      </c>
    </row>
    <row r="635" spans="1:29">
      <c r="A635" s="147">
        <v>46176</v>
      </c>
      <c r="B635" s="103" t="s"/>
      <c r="C635" s="103" t="s"/>
      <c r="D635" s="78" t="s">
        <v>38</v>
      </c>
      <c r="E635" s="78" t="s">
        <v>133</v>
      </c>
      <c r="F635" s="78" t="s">
        <v>134</v>
      </c>
      <c r="G635" s="71" t="s">
        <v>135</v>
      </c>
      <c r="H635" s="98" t="s">
        <v>247</v>
      </c>
      <c r="I635" s="69" t="s">
        <v>47</v>
      </c>
      <c r="J635" s="62">
        <v>2</v>
      </c>
      <c r="K635" s="62">
        <v>2.5</v>
      </c>
      <c r="O635">
        <v>61000</v>
      </c>
      <c r="P635">
        <v>60000</v>
      </c>
      <c r="Q635">
        <v>61000</v>
      </c>
      <c r="T635" s="68">
        <f>=P635/10000*J635*Z635</f>
        <v>672</v>
      </c>
      <c r="U635">
        <v>160</v>
      </c>
      <c r="V635" s="68" t="s"/>
      <c r="W635" s="68" t="s"/>
      <c r="X635" s="68">
        <f>=O635-P635</f>
        <v>1000</v>
      </c>
      <c r="Y635" s="68">
        <f>=X635-T635-U635-V635</f>
        <v>168</v>
      </c>
      <c r="Z635" s="62">
        <f>=A635-$A$347+1</f>
        <v>56</v>
      </c>
      <c r="AA635" s="68">
        <f>=P635/10000*K635*Z635</f>
        <v>840</v>
      </c>
      <c r="AB635" s="62">
        <f>=Q635*Z635</f>
        <v>3416000</v>
      </c>
      <c r="AC635" t="s">
        <v>58</v>
      </c>
    </row>
    <row r="636" spans="1:29">
      <c r="A636" s="147">
        <v>46176</v>
      </c>
      <c r="B636" s="103" t="s"/>
      <c r="C636" s="103" t="s"/>
      <c r="D636" s="62" t="s">
        <v>38</v>
      </c>
      <c r="E636" s="78" t="s">
        <v>133</v>
      </c>
      <c r="F636" s="78" t="s">
        <v>134</v>
      </c>
      <c r="G636" s="71" t="s">
        <v>135</v>
      </c>
      <c r="H636" s="98" t="s">
        <v>187</v>
      </c>
      <c r="I636" s="69" t="s">
        <v>47</v>
      </c>
      <c r="J636" s="62">
        <v>2</v>
      </c>
      <c r="K636" s="62">
        <v>2.5</v>
      </c>
      <c r="O636">
        <v>74392</v>
      </c>
      <c r="P636">
        <v>72800</v>
      </c>
      <c r="Q636">
        <v>74392</v>
      </c>
      <c r="T636" s="68">
        <f>=P636/10000*J636*Z636</f>
        <v>1033.76</v>
      </c>
      <c r="U636">
        <v>300</v>
      </c>
      <c r="V636" s="68" t="s"/>
      <c r="W636" s="68" t="s"/>
      <c r="X636" s="68">
        <f>=O636-P636</f>
        <v>1592</v>
      </c>
      <c r="Y636" s="68">
        <f>=X636-T636-U636-V636</f>
        <v>258.24</v>
      </c>
      <c r="Z636" s="62">
        <f>=A636-$A$256+1</f>
        <v>71</v>
      </c>
      <c r="AA636" s="68">
        <f>=P636/10000*K636*Z636</f>
        <v>1292.2</v>
      </c>
      <c r="AB636" s="62">
        <f>=Q636*Z636</f>
        <v>5281832</v>
      </c>
      <c r="AC636" t="s">
        <v>58</v>
      </c>
    </row>
    <row r="637" spans="1:29">
      <c r="A637" s="147">
        <v>46176</v>
      </c>
      <c r="B637" s="103" t="s"/>
      <c r="C637" s="103" t="s"/>
      <c r="D637" s="151" t="s">
        <v>38</v>
      </c>
      <c r="E637" s="151" t="s">
        <v>148</v>
      </c>
      <c r="F637" s="151" t="s">
        <v>149</v>
      </c>
      <c r="G637" s="71" t="s">
        <v>150</v>
      </c>
      <c r="H637" s="98" t="s">
        <v>326</v>
      </c>
      <c r="I637" s="72" t="s">
        <v>47</v>
      </c>
      <c r="J637" s="62">
        <v>2</v>
      </c>
      <c r="K637" s="62">
        <v>2.5</v>
      </c>
      <c r="O637">
        <v>211456</v>
      </c>
      <c r="P637">
        <v>210000</v>
      </c>
      <c r="Q637">
        <v>211456</v>
      </c>
      <c r="T637" s="68">
        <f>=P637/10000*J637*Z637</f>
        <v>924</v>
      </c>
      <c r="U637">
        <v>200</v>
      </c>
      <c r="V637" s="68" t="s"/>
      <c r="W637" s="68" t="s"/>
      <c r="X637" s="68">
        <f>=O637-P637</f>
        <v>1456</v>
      </c>
      <c r="Y637" s="68">
        <f>=X637-T637-U637-V637</f>
        <v>332</v>
      </c>
      <c r="Z637" s="62">
        <f>=A637-$A$512+1</f>
        <v>22</v>
      </c>
      <c r="AA637" s="68">
        <f>=P637/10000*K637*Z637</f>
        <v>1155</v>
      </c>
      <c r="AB637" s="62">
        <f>=Q637*Z637</f>
        <v>4652032</v>
      </c>
      <c r="AC637" t="s">
        <v>58</v>
      </c>
    </row>
    <row r="638" spans="1:29">
      <c r="A638" s="147">
        <v>46177</v>
      </c>
      <c r="B638" s="106" t="s">
        <v>37</v>
      </c>
      <c r="C638" s="103" t="s"/>
      <c r="D638" s="64" t="s">
        <v>38</v>
      </c>
      <c r="E638" s="87" t="s">
        <v>250</v>
      </c>
      <c r="F638" s="87" t="s">
        <v>251</v>
      </c>
      <c r="G638" s="141" t="s">
        <v>252</v>
      </c>
      <c r="H638" s="80" t="s">
        <v>360</v>
      </c>
      <c r="I638" s="128" t="s">
        <v>47</v>
      </c>
      <c r="J638" s="64">
        <v>2</v>
      </c>
      <c r="K638" s="87">
        <v>3</v>
      </c>
      <c r="O638">
        <v>5628.5</v>
      </c>
      <c r="P638">
        <v>5600</v>
      </c>
      <c r="Q638">
        <v>5628.5</v>
      </c>
      <c r="T638" s="68">
        <f>=P638/10000*J638*Z638</f>
        <v>12.32</v>
      </c>
      <c r="U638">
        <v>3</v>
      </c>
      <c r="V638" s="68" t="s"/>
      <c r="W638" s="68" t="s"/>
      <c r="X638" s="68">
        <f>=O638-P638</f>
        <v>28.5</v>
      </c>
      <c r="Y638" s="68">
        <f>=X638-T638-U638-V638</f>
        <v>13.18</v>
      </c>
      <c r="Z638" s="62">
        <f>=A638-$A$599+1</f>
        <v>11</v>
      </c>
      <c r="AA638" s="68">
        <f>=P638/10000*K638*Z638</f>
        <v>18.48</v>
      </c>
      <c r="AB638" s="62">
        <f>=Q638*Z638</f>
        <v>61913.5</v>
      </c>
      <c r="AC638" s="159" t="s">
        <v>44</v>
      </c>
    </row>
    <row r="639" spans="1:29">
      <c r="A639" s="147">
        <v>46177</v>
      </c>
      <c r="B639" s="123" t="s">
        <v>37</v>
      </c>
      <c r="C639" s="103" t="s"/>
      <c r="D639" s="64" t="s">
        <v>38</v>
      </c>
      <c r="E639" s="131" t="s">
        <v>54</v>
      </c>
      <c r="F639" s="116" t="s">
        <v>55</v>
      </c>
      <c r="G639" s="62" t="s">
        <v>159</v>
      </c>
      <c r="H639" s="71" t="s">
        <v>160</v>
      </c>
      <c r="I639" s="69" t="s">
        <v>47</v>
      </c>
      <c r="J639" s="62">
        <v>2</v>
      </c>
      <c r="K639" s="62">
        <v>2.5</v>
      </c>
      <c r="O639">
        <v>488880</v>
      </c>
      <c r="P639">
        <v>480000</v>
      </c>
      <c r="Q639">
        <v>488880</v>
      </c>
      <c r="T639" s="68">
        <f>=P639/10000*J639*Z639</f>
        <v>7104</v>
      </c>
      <c r="U639">
        <v>0</v>
      </c>
      <c r="V639" s="68" t="s"/>
      <c r="W639" s="68" t="s"/>
      <c r="X639" s="68">
        <f>=O639-P639</f>
        <v>8880</v>
      </c>
      <c r="Y639" s="68">
        <f>=X639-T639-U639-V639</f>
        <v>1776</v>
      </c>
      <c r="Z639" s="62">
        <f>=A639-$A$227+1</f>
        <v>74</v>
      </c>
      <c r="AA639" s="68">
        <f>=P639/10000*K639*Z639</f>
        <v>8880</v>
      </c>
      <c r="AB639" s="62">
        <f>=Q639*Z639</f>
        <v>36177120</v>
      </c>
      <c r="AC639" t="s">
        <v>312</v>
      </c>
    </row>
    <row r="640" spans="1:29">
      <c r="A640" s="147">
        <v>46177</v>
      </c>
      <c r="B640" s="103" t="s"/>
      <c r="C640" s="103" t="s"/>
      <c r="D640" s="78" t="s">
        <v>38</v>
      </c>
      <c r="E640" s="78" t="s">
        <v>63</v>
      </c>
      <c r="F640" s="78" t="s">
        <v>111</v>
      </c>
      <c r="G640" s="136" t="s">
        <v>281</v>
      </c>
      <c r="H640" t="s">
        <v>283</v>
      </c>
      <c r="I640" s="65" t="s">
        <v>47</v>
      </c>
      <c r="J640" s="62">
        <v>2</v>
      </c>
      <c r="K640" s="62">
        <v>2.5</v>
      </c>
      <c r="O640">
        <v>111908.8</v>
      </c>
      <c r="P640">
        <v>110600</v>
      </c>
      <c r="Q640">
        <v>111908.8</v>
      </c>
      <c r="T640" s="68">
        <f>=P640/10000*J640*Z640</f>
        <v>951.16</v>
      </c>
      <c r="U640">
        <v>80</v>
      </c>
      <c r="V640" s="68" t="s"/>
      <c r="W640" s="68" t="s"/>
      <c r="X640" s="68">
        <f>=O640-P640</f>
        <v>1308.79999999999</v>
      </c>
      <c r="Y640" s="68">
        <f>=X640-T640-U640-V640</f>
        <v>277.639999999988</v>
      </c>
      <c r="Z640" s="62">
        <f>=A640-$A$414+1</f>
        <v>43</v>
      </c>
      <c r="AA640" s="68">
        <f>=P640/10000*K640*Z640</f>
        <v>1188.95</v>
      </c>
      <c r="AB640" s="62">
        <f>=Q640*Z640</f>
        <v>4812078.4</v>
      </c>
      <c r="AC640" t="s">
        <v>58</v>
      </c>
    </row>
    <row r="641" spans="1:29">
      <c r="A641" s="147">
        <v>46177</v>
      </c>
      <c r="B641" s="123" t="s">
        <v>37</v>
      </c>
      <c r="C641" s="103" t="s"/>
      <c r="D641" s="62" t="s">
        <v>38</v>
      </c>
      <c r="E641" s="62" t="s">
        <v>199</v>
      </c>
      <c r="F641" s="62" t="s">
        <v>200</v>
      </c>
      <c r="G641" s="94" t="s">
        <v>201</v>
      </c>
      <c r="H641" s="71" t="s">
        <v>214</v>
      </c>
      <c r="I641" s="69" t="s">
        <v>47</v>
      </c>
      <c r="J641">
        <v>2</v>
      </c>
      <c r="K641">
        <v>2.3</v>
      </c>
      <c r="O641">
        <v>792500</v>
      </c>
      <c r="P641">
        <v>780000</v>
      </c>
      <c r="Q641">
        <v>792500</v>
      </c>
      <c r="T641" s="68">
        <f>=P641/10000*J641*Z641</f>
        <v>10452</v>
      </c>
      <c r="U641">
        <v>300</v>
      </c>
      <c r="V641" s="68" t="s"/>
      <c r="W641" s="68" t="s"/>
      <c r="X641" s="68">
        <f>=O641-P641</f>
        <v>12500</v>
      </c>
      <c r="Y641" s="68">
        <f>=X641-T641-U641-V641</f>
        <v>1748</v>
      </c>
      <c r="Z641" s="62">
        <f>=A641-$A$282+1</f>
        <v>67</v>
      </c>
      <c r="AA641" s="68">
        <f>=P641/10000*K641*Z641</f>
        <v>12019.8</v>
      </c>
      <c r="AB641" s="62">
        <f>=Q641*Z641</f>
        <v>53097500</v>
      </c>
      <c r="AC641" t="s">
        <v>44</v>
      </c>
    </row>
    <row r="642" spans="1:29">
      <c r="A642" s="147">
        <v>46178</v>
      </c>
      <c r="B642" s="103" t="s"/>
      <c r="C642" s="103" t="s"/>
      <c r="D642" s="62" t="s">
        <v>38</v>
      </c>
      <c r="E642" s="62" t="s">
        <v>163</v>
      </c>
      <c r="F642" s="62" t="s">
        <v>164</v>
      </c>
      <c r="G642" s="160" t="s">
        <v>165</v>
      </c>
      <c r="H642" s="62" t="s">
        <v>348</v>
      </c>
      <c r="I642" s="65" t="s">
        <v>47</v>
      </c>
      <c r="J642" s="62">
        <v>2</v>
      </c>
      <c r="K642" s="62">
        <v>3</v>
      </c>
      <c r="O642">
        <v>89804.64</v>
      </c>
      <c r="P642">
        <v>89300</v>
      </c>
      <c r="Q642">
        <v>89804.64</v>
      </c>
      <c r="T642" s="68">
        <f>=P642/10000*J642*Z642</f>
        <v>285.76</v>
      </c>
      <c r="U642">
        <v>57</v>
      </c>
      <c r="V642" s="68" t="s"/>
      <c r="W642" s="68" t="s"/>
      <c r="X642" s="68">
        <f>=O642-P642</f>
        <v>504.640000000014</v>
      </c>
      <c r="Y642" s="68">
        <f>=X642-T642-U642-V642</f>
        <v>161.880000000014</v>
      </c>
      <c r="Z642" s="62">
        <f>=A642-$A$563+1</f>
        <v>16</v>
      </c>
      <c r="AA642" s="68">
        <f>=P642/10000*K642*Z642</f>
        <v>428.64</v>
      </c>
      <c r="AB642" s="62">
        <f>=Q642*Z642</f>
        <v>1436874.24</v>
      </c>
      <c r="AC642" t="s">
        <v>58</v>
      </c>
    </row>
    <row r="643" spans="1:29">
      <c r="A643" s="147">
        <v>46178</v>
      </c>
      <c r="B643" s="103" t="s"/>
      <c r="C643" s="103" t="s"/>
      <c r="D643" s="64" t="s">
        <v>38</v>
      </c>
      <c r="E643" s="64" t="s">
        <v>148</v>
      </c>
      <c r="F643" s="64" t="s">
        <v>153</v>
      </c>
      <c r="G643" s="71" t="s">
        <v>211</v>
      </c>
      <c r="H643" s="98" t="s">
        <v>268</v>
      </c>
      <c r="I643" s="73" t="s">
        <v>47</v>
      </c>
      <c r="J643" s="62">
        <v>2</v>
      </c>
      <c r="K643" s="62">
        <v>2.5</v>
      </c>
      <c r="O643">
        <v>268713</v>
      </c>
      <c r="P643">
        <v>265000</v>
      </c>
      <c r="Q643">
        <v>268713</v>
      </c>
      <c r="T643" s="68">
        <f>=P643/10000*J643*Z643</f>
        <v>2650</v>
      </c>
      <c r="U643">
        <v>300</v>
      </c>
      <c r="V643" s="68" t="s"/>
      <c r="W643" s="68" t="s"/>
      <c r="X643" s="68">
        <f>=O643-P643</f>
        <v>3713</v>
      </c>
      <c r="Y643" s="68">
        <f>=X643-T643-U643-V643</f>
        <v>763</v>
      </c>
      <c r="Z643" s="62">
        <f>=A643-$A$390+1</f>
        <v>50</v>
      </c>
      <c r="AA643" s="68">
        <f>=P643/10000*K643*Z643</f>
        <v>3312.5</v>
      </c>
      <c r="AB643" s="62">
        <f>=Q643*Z643</f>
        <v>13435650</v>
      </c>
      <c r="AC643" t="s">
        <v>58</v>
      </c>
    </row>
    <row r="644" spans="1:29">
      <c r="A644" s="147">
        <v>46178</v>
      </c>
      <c r="B644" s="103" t="s"/>
      <c r="C644" s="103" t="s"/>
      <c r="D644" s="62" t="s">
        <v>114</v>
      </c>
      <c r="E644" s="62" t="s">
        <v>114</v>
      </c>
      <c r="F644" s="62" t="s">
        <v>115</v>
      </c>
      <c r="G644" s="64" t="s">
        <v>116</v>
      </c>
      <c r="H644" s="71" t="s">
        <v>242</v>
      </c>
      <c r="I644" s="72" t="s">
        <v>47</v>
      </c>
      <c r="J644" s="62">
        <v>2</v>
      </c>
      <c r="K644" s="62">
        <v>2.6</v>
      </c>
      <c r="O644">
        <v>8529</v>
      </c>
      <c r="P644">
        <v>8400</v>
      </c>
      <c r="Q644">
        <v>8529</v>
      </c>
      <c r="T644" s="68">
        <f>=P644/10000*J644*Z644</f>
        <v>99.12</v>
      </c>
      <c r="U644" s="62">
        <v>0</v>
      </c>
      <c r="V644" s="68" t="s"/>
      <c r="W644" s="68" t="s"/>
      <c r="X644" s="68">
        <f>=O644-P644</f>
        <v>129</v>
      </c>
      <c r="Y644" s="68">
        <f>=X644-T644-U644-V644</f>
        <v>29.88</v>
      </c>
      <c r="Z644" s="62">
        <f>=A644-$A$322+1</f>
        <v>59</v>
      </c>
      <c r="AA644" s="68">
        <f>=P644/10000*K644*Z644</f>
        <v>128.856</v>
      </c>
      <c r="AB644" s="62">
        <f>=Q644*Z644</f>
        <v>503211</v>
      </c>
      <c r="AC644" t="s">
        <v>58</v>
      </c>
    </row>
    <row r="645" spans="1:29">
      <c r="A645" s="147">
        <v>46178</v>
      </c>
      <c r="B645" s="103" t="s"/>
      <c r="C645" s="103" t="s"/>
      <c r="D645" s="62" t="s">
        <v>114</v>
      </c>
      <c r="E645" s="62" t="s">
        <v>114</v>
      </c>
      <c r="F645" s="62" t="s">
        <v>115</v>
      </c>
      <c r="G645" s="64" t="s">
        <v>116</v>
      </c>
      <c r="H645" s="71" t="s">
        <v>246</v>
      </c>
      <c r="I645" s="72" t="s">
        <v>47</v>
      </c>
      <c r="J645" s="62">
        <v>2</v>
      </c>
      <c r="K645" s="62">
        <v>2.6</v>
      </c>
      <c r="O645">
        <v>13955</v>
      </c>
      <c r="P645">
        <v>13750</v>
      </c>
      <c r="Q645">
        <v>13955</v>
      </c>
      <c r="T645" s="68">
        <f>=P645/10000*J645*Z645</f>
        <v>156.75</v>
      </c>
      <c r="U645" s="62">
        <v>0</v>
      </c>
      <c r="V645" s="68" t="s"/>
      <c r="W645" s="68" t="s"/>
      <c r="X645" s="68">
        <f>=O645-P645</f>
        <v>205</v>
      </c>
      <c r="Y645" s="68">
        <f>=X645-T645-U645-V645</f>
        <v>48.25</v>
      </c>
      <c r="Z645" s="62">
        <f>=A645-$A$360+1</f>
        <v>57</v>
      </c>
      <c r="AA645" s="68">
        <f>=P645/10000*K645*Z645</f>
        <v>203.775</v>
      </c>
      <c r="AB645" s="62">
        <f>=Q645*Z645</f>
        <v>795435</v>
      </c>
      <c r="AC645" t="s">
        <v>58</v>
      </c>
    </row>
    <row r="646" spans="1:29">
      <c r="A646" s="147">
        <v>46178</v>
      </c>
      <c r="B646" s="103" t="s"/>
      <c r="C646" s="103" t="s"/>
      <c r="D646" s="62" t="s">
        <v>38</v>
      </c>
      <c r="E646" s="62" t="s">
        <v>48</v>
      </c>
      <c r="F646" s="62" t="s">
        <v>49</v>
      </c>
      <c r="G646" s="64" t="s">
        <v>52</v>
      </c>
      <c r="H646" s="64" t="s">
        <v>158</v>
      </c>
      <c r="I646" s="72" t="s">
        <v>47</v>
      </c>
      <c r="J646" s="78">
        <v>2</v>
      </c>
      <c r="K646" s="78">
        <v>3</v>
      </c>
      <c r="O646">
        <v>139448.48</v>
      </c>
      <c r="P646">
        <v>136220</v>
      </c>
      <c r="Q646">
        <v>139448.48</v>
      </c>
      <c r="T646" s="68">
        <f>=P646/10000*J646*Z646</f>
        <v>2152.276</v>
      </c>
      <c r="U646" s="62">
        <v>0</v>
      </c>
      <c r="V646" s="68" t="s"/>
      <c r="W646" s="68" t="s"/>
      <c r="X646" s="68">
        <f>=O646-P646</f>
        <v>3228.48000000001</v>
      </c>
      <c r="Y646" s="68">
        <f>=X646-T646-U646-V646</f>
        <v>1076.20400000001</v>
      </c>
      <c r="Z646" s="62">
        <f>=A646-$A$224+1</f>
        <v>79</v>
      </c>
      <c r="AA646" s="68">
        <f>=P646/10000*K646*Z646</f>
        <v>3228.414</v>
      </c>
      <c r="AB646" s="62">
        <f>=Q646*Z646</f>
        <v>11016429.92</v>
      </c>
      <c r="AC646" t="s">
        <v>312</v>
      </c>
    </row>
    <row r="647" spans="1:29">
      <c r="A647" s="147">
        <v>46178</v>
      </c>
      <c r="B647" s="103" t="s"/>
      <c r="C647" s="103" t="s"/>
      <c r="D647" s="62" t="s">
        <v>38</v>
      </c>
      <c r="E647" s="62" t="s">
        <v>48</v>
      </c>
      <c r="F647" s="62" t="s">
        <v>49</v>
      </c>
      <c r="G647" s="64" t="s">
        <v>52</v>
      </c>
      <c r="H647" s="64" t="s">
        <v>179</v>
      </c>
      <c r="I647" s="72" t="s">
        <v>47</v>
      </c>
      <c r="J647" s="78">
        <v>2</v>
      </c>
      <c r="K647" s="78">
        <v>3</v>
      </c>
      <c r="O647">
        <v>47239.5</v>
      </c>
      <c r="P647">
        <v>46200</v>
      </c>
      <c r="Q647">
        <v>47239.5</v>
      </c>
      <c r="T647" s="68">
        <f>=P647/10000*J647*Z647</f>
        <v>693</v>
      </c>
      <c r="U647" s="62">
        <v>0</v>
      </c>
      <c r="V647" s="68" t="s"/>
      <c r="W647" s="68" t="s"/>
      <c r="X647" s="68">
        <f>=O647-P647</f>
        <v>1039.5</v>
      </c>
      <c r="Y647" s="68">
        <f>=X647-T647-U647-V647</f>
        <v>346.5</v>
      </c>
      <c r="Z647" s="62">
        <f>=A647-$A$242+1</f>
        <v>75</v>
      </c>
      <c r="AA647" s="68">
        <f>=P647/10000*K647*Z647</f>
        <v>1039.5</v>
      </c>
      <c r="AB647" s="62">
        <f>=Q647*Z647</f>
        <v>3542962.5</v>
      </c>
      <c r="AC647" t="s">
        <v>312</v>
      </c>
    </row>
    <row r="648" spans="1:29">
      <c r="A648" s="147">
        <v>46178</v>
      </c>
      <c r="B648" s="103" t="s"/>
      <c r="C648" s="103" t="s"/>
      <c r="D648" s="62" t="s">
        <v>38</v>
      </c>
      <c r="E648" s="62" t="s">
        <v>48</v>
      </c>
      <c r="F648" s="62" t="s">
        <v>49</v>
      </c>
      <c r="G648" s="64" t="s">
        <v>52</v>
      </c>
      <c r="H648" s="64" t="s">
        <v>205</v>
      </c>
      <c r="I648" s="72" t="s">
        <v>47</v>
      </c>
      <c r="J648" s="78">
        <v>2</v>
      </c>
      <c r="K648" s="78">
        <v>3</v>
      </c>
      <c r="O648">
        <v>83787.4</v>
      </c>
      <c r="P648">
        <v>82040</v>
      </c>
      <c r="Q648">
        <v>83787.4</v>
      </c>
      <c r="T648" s="68">
        <f>=P648/10000*J648*Z648</f>
        <v>1164.968</v>
      </c>
      <c r="U648" s="62">
        <v>0</v>
      </c>
      <c r="V648" s="68" t="s"/>
      <c r="W648" s="68" t="s"/>
      <c r="X648" s="68">
        <f>=O648-P648</f>
        <v>1747.39999999999</v>
      </c>
      <c r="Y648" s="68">
        <f>=X648-T648-U648-V648</f>
        <v>582.431999999994</v>
      </c>
      <c r="Z648" s="62">
        <f>=A648-$A$273+1</f>
        <v>71</v>
      </c>
      <c r="AA648" s="68">
        <f>=P648/10000*K648*Z648</f>
        <v>1747.452</v>
      </c>
      <c r="AB648" s="62">
        <f>=Q648*Z648</f>
        <v>5948905.4</v>
      </c>
      <c r="AC648" t="s">
        <v>312</v>
      </c>
    </row>
    <row r="649" spans="1:29">
      <c r="A649" s="147">
        <v>46178</v>
      </c>
      <c r="B649" s="103" t="s"/>
      <c r="C649" s="103" t="s"/>
      <c r="D649" s="62" t="s">
        <v>38</v>
      </c>
      <c r="E649" s="62" t="s">
        <v>48</v>
      </c>
      <c r="F649" s="62" t="s">
        <v>49</v>
      </c>
      <c r="G649" s="64" t="s">
        <v>52</v>
      </c>
      <c r="H649" s="64" t="s">
        <v>232</v>
      </c>
      <c r="I649" s="72" t="s">
        <v>47</v>
      </c>
      <c r="J649" s="78">
        <v>2</v>
      </c>
      <c r="K649" s="78">
        <v>3</v>
      </c>
      <c r="O649">
        <v>60856.44</v>
      </c>
      <c r="P649">
        <v>59710</v>
      </c>
      <c r="Q649">
        <v>60856.44</v>
      </c>
      <c r="T649" s="68">
        <f>=P649/10000*J649*Z649</f>
        <v>764.288</v>
      </c>
      <c r="U649" s="62">
        <v>0</v>
      </c>
      <c r="V649" s="68" t="s"/>
      <c r="W649" s="68" t="s"/>
      <c r="X649" s="68">
        <f>=O649-P649</f>
        <v>1146.44</v>
      </c>
      <c r="Y649" s="68">
        <f>=X649-T649-U649-V649</f>
        <v>382.152000000002</v>
      </c>
      <c r="Z649" s="62">
        <f>=A649-$A$299+1</f>
        <v>64</v>
      </c>
      <c r="AA649" s="68">
        <f>=P649/10000*K649*Z649</f>
        <v>1146.432</v>
      </c>
      <c r="AB649" s="62">
        <f>=Q649*Z649</f>
        <v>3894812.16</v>
      </c>
      <c r="AC649" t="s">
        <v>312</v>
      </c>
    </row>
    <row r="650" spans="1:29">
      <c r="A650" s="147">
        <v>46179</v>
      </c>
      <c r="B650" s="103" t="s"/>
      <c r="C650" s="103" t="s"/>
      <c r="D650" s="62" t="s">
        <v>38</v>
      </c>
      <c r="E650" s="98" t="s">
        <v>167</v>
      </c>
      <c r="F650" s="98" t="s">
        <v>168</v>
      </c>
      <c r="G650" s="71" t="s">
        <v>169</v>
      </c>
      <c r="H650" s="71" t="s">
        <v>354</v>
      </c>
      <c r="I650" s="65" t="s">
        <v>47</v>
      </c>
      <c r="J650" s="62">
        <v>2</v>
      </c>
      <c r="K650" s="62">
        <v>2.5</v>
      </c>
      <c r="O650">
        <v>4750.42</v>
      </c>
      <c r="P650">
        <v>4730</v>
      </c>
      <c r="Q650">
        <v>4750.42</v>
      </c>
      <c r="T650" s="68">
        <f>=P650/10000*J650*Z650</f>
        <v>15.136</v>
      </c>
      <c r="U650">
        <v>1</v>
      </c>
      <c r="V650" s="68" t="s"/>
      <c r="W650" s="68" t="s"/>
      <c r="X650" s="68">
        <f>=O650-P650</f>
        <v>20.4200000000001</v>
      </c>
      <c r="Y650" s="68">
        <f>=X650-T650-U650-V650</f>
        <v>4.28400000000007</v>
      </c>
      <c r="Z650" s="62">
        <f>=A650-$A$582+1</f>
        <v>16</v>
      </c>
      <c r="AA650" s="68">
        <f>=P650/10000*K650*Z650</f>
        <v>18.92</v>
      </c>
      <c r="AB650" s="62">
        <f>=Q650*Z650</f>
        <v>76006.72</v>
      </c>
      <c r="AC650" t="s">
        <v>58</v>
      </c>
    </row>
    <row r="651" spans="1:29">
      <c r="A651" s="147">
        <v>46181</v>
      </c>
      <c r="B651" s="103" t="s"/>
      <c r="C651" s="103" t="s"/>
      <c r="D651" s="78" t="s">
        <v>38</v>
      </c>
      <c r="E651" s="78" t="s">
        <v>133</v>
      </c>
      <c r="F651" s="78" t="s">
        <v>134</v>
      </c>
      <c r="G651" s="71" t="s">
        <v>135</v>
      </c>
      <c r="H651" s="98" t="s">
        <v>144</v>
      </c>
      <c r="I651" s="73" t="s">
        <v>47</v>
      </c>
      <c r="J651" s="62">
        <v>2</v>
      </c>
      <c r="K651" s="62">
        <v>2.5</v>
      </c>
      <c r="O651">
        <v>95323</v>
      </c>
      <c r="P651">
        <v>93000</v>
      </c>
      <c r="Q651">
        <v>95323</v>
      </c>
      <c r="T651" s="68">
        <f>=P651/10000*J651*Z651</f>
        <v>1618.2</v>
      </c>
      <c r="U651">
        <v>300</v>
      </c>
      <c r="V651" s="68" t="s"/>
      <c r="W651" s="68" t="s"/>
      <c r="X651" s="68">
        <f>=O651-P651</f>
        <v>2323</v>
      </c>
      <c r="Y651" s="68">
        <f>=X651-T651-U651-V651</f>
        <v>404.8</v>
      </c>
      <c r="Z651" s="62">
        <f>=A651-$A$211+1</f>
        <v>87</v>
      </c>
      <c r="AA651" s="68">
        <f>=P651/10000*K651*Z651</f>
        <v>2022.75</v>
      </c>
      <c r="AB651" s="62">
        <f>=Q651*Z651</f>
        <v>8293101</v>
      </c>
      <c r="AC651" t="s">
        <v>58</v>
      </c>
    </row>
    <row r="652" spans="1:29">
      <c r="A652" s="147">
        <v>46181</v>
      </c>
      <c r="B652" s="103" t="s"/>
      <c r="C652" s="103" t="s"/>
      <c r="D652" s="78" t="s">
        <v>38</v>
      </c>
      <c r="E652" s="78" t="s">
        <v>133</v>
      </c>
      <c r="F652" s="78" t="s">
        <v>134</v>
      </c>
      <c r="G652" s="71" t="s">
        <v>135</v>
      </c>
      <c r="H652" s="98" t="s">
        <v>147</v>
      </c>
      <c r="I652" s="73" t="s">
        <v>47</v>
      </c>
      <c r="J652" s="62">
        <v>2</v>
      </c>
      <c r="K652" s="62">
        <v>2.5</v>
      </c>
      <c r="O652">
        <v>71680</v>
      </c>
      <c r="P652">
        <v>70000</v>
      </c>
      <c r="Q652">
        <v>71680</v>
      </c>
      <c r="T652" s="68">
        <f>=P652/10000*J652*Z652</f>
        <v>1176</v>
      </c>
      <c r="U652">
        <v>210</v>
      </c>
      <c r="V652" s="68" t="s"/>
      <c r="W652" s="68" t="s"/>
      <c r="X652" s="68">
        <f>=O652-P652</f>
        <v>1680</v>
      </c>
      <c r="Y652" s="68">
        <f>=X652-T652-U652-V652</f>
        <v>294</v>
      </c>
      <c r="Z652" s="62">
        <f>=A652-$A$215+1</f>
        <v>84</v>
      </c>
      <c r="AA652" s="68">
        <f>=P652/10000*K652*Z652</f>
        <v>1470</v>
      </c>
      <c r="AB652" s="62">
        <f>=Q652*Z652</f>
        <v>6021120</v>
      </c>
      <c r="AC652" t="s">
        <v>58</v>
      </c>
    </row>
    <row r="653" spans="1:29">
      <c r="A653" s="147">
        <v>46181</v>
      </c>
      <c r="B653" s="103" t="s"/>
      <c r="C653" s="103" t="s"/>
      <c r="D653" s="62" t="s">
        <v>38</v>
      </c>
      <c r="E653" s="78" t="s">
        <v>133</v>
      </c>
      <c r="F653" s="78" t="s">
        <v>134</v>
      </c>
      <c r="G653" s="71" t="s">
        <v>135</v>
      </c>
      <c r="H653" s="98" t="s">
        <v>237</v>
      </c>
      <c r="I653" s="73" t="s">
        <v>47</v>
      </c>
      <c r="J653" s="62">
        <v>2</v>
      </c>
      <c r="K653" s="62">
        <v>2.5</v>
      </c>
      <c r="O653">
        <v>37525</v>
      </c>
      <c r="P653">
        <v>36750</v>
      </c>
      <c r="Q653">
        <v>37525</v>
      </c>
      <c r="T653" s="68">
        <f>=P653/10000*J653*Z653</f>
        <v>499.8</v>
      </c>
      <c r="U653">
        <v>150</v>
      </c>
      <c r="V653" s="68" t="s"/>
      <c r="W653" s="68" t="s"/>
      <c r="X653" s="68">
        <f>=O653-P653</f>
        <v>775</v>
      </c>
      <c r="Y653" s="68">
        <f>=X653-T653-U653-V653</f>
        <v>125.2</v>
      </c>
      <c r="Z653" s="62">
        <f>=A653-$A$312+1</f>
        <v>68</v>
      </c>
      <c r="AA653" s="68">
        <f>=P653/10000*K653*Z653</f>
        <v>624.75</v>
      </c>
      <c r="AB653" s="62">
        <f>=Q653*Z653</f>
        <v>2551700</v>
      </c>
      <c r="AC653" t="s">
        <v>58</v>
      </c>
    </row>
    <row r="654" spans="1:29">
      <c r="A654" s="147">
        <v>46181</v>
      </c>
      <c r="B654" s="103" t="s"/>
      <c r="C654" s="103" t="s"/>
      <c r="D654" t="s">
        <v>38</v>
      </c>
      <c r="E654" t="s">
        <v>63</v>
      </c>
      <c r="F654" t="s">
        <v>226</v>
      </c>
      <c r="G654" s="136" t="s">
        <v>335</v>
      </c>
      <c r="H654" s="98" t="s">
        <v>336</v>
      </c>
      <c r="I654" s="73" t="s">
        <v>47</v>
      </c>
      <c r="J654" s="62">
        <v>2</v>
      </c>
      <c r="K654" s="62">
        <v>2.5</v>
      </c>
      <c r="O654">
        <v>21201.67</v>
      </c>
      <c r="P654">
        <v>21070</v>
      </c>
      <c r="Q654">
        <v>21201.67</v>
      </c>
      <c r="T654" s="68">
        <f>=P654/10000*J654*Z654</f>
        <v>96.922</v>
      </c>
      <c r="U654">
        <v>7</v>
      </c>
      <c r="V654" s="68" t="s"/>
      <c r="W654" s="68" t="s"/>
      <c r="X654" s="68">
        <f>=O654-P654</f>
        <v>131.669999999998</v>
      </c>
      <c r="Y654" s="68">
        <f>=X654-T654-U654-V654</f>
        <v>27.7479999999982</v>
      </c>
      <c r="Z654" s="62">
        <f>=A654-$A$533+1</f>
        <v>23</v>
      </c>
      <c r="AA654" s="68">
        <f>=P654/10000*K654*Z654</f>
        <v>121.1525</v>
      </c>
      <c r="AB654" s="62">
        <f>=Q654*Z654</f>
        <v>487638.41</v>
      </c>
      <c r="AC654" t="s">
        <v>58</v>
      </c>
    </row>
    <row r="655" spans="1:29">
      <c r="A655" s="147">
        <v>46181</v>
      </c>
      <c r="B655" s="103" t="s"/>
      <c r="C655" s="103" t="s"/>
      <c r="D655" t="s">
        <v>38</v>
      </c>
      <c r="E655" t="s">
        <v>63</v>
      </c>
      <c r="F655" t="s">
        <v>226</v>
      </c>
      <c r="G655" s="136" t="s">
        <v>335</v>
      </c>
      <c r="H655" s="98" t="s">
        <v>337</v>
      </c>
      <c r="I655" s="73" t="s">
        <v>47</v>
      </c>
      <c r="J655" s="62">
        <v>2</v>
      </c>
      <c r="K655" s="62">
        <v>2.5</v>
      </c>
      <c r="O655">
        <v>27252.54</v>
      </c>
      <c r="P655">
        <v>27090</v>
      </c>
      <c r="Q655">
        <v>27252.54</v>
      </c>
      <c r="T655" s="68">
        <f>=P655/10000*J655*Z655</f>
        <v>119.196</v>
      </c>
      <c r="U655">
        <v>9</v>
      </c>
      <c r="V655" s="68" t="s"/>
      <c r="W655" s="68" t="s"/>
      <c r="X655" s="68">
        <f>=O655-P655</f>
        <v>162.540000000001</v>
      </c>
      <c r="Y655" s="68">
        <f>=X655-T655-U655-V655</f>
        <v>34.3440000000009</v>
      </c>
      <c r="Z655" s="62">
        <f>=A655-$A$539+1</f>
        <v>22</v>
      </c>
      <c r="AA655" s="68">
        <f>=P655/10000*K655*Z655</f>
        <v>148.995</v>
      </c>
      <c r="AB655" s="62">
        <f>=Q655*Z655</f>
        <v>599555.88</v>
      </c>
      <c r="AC655" t="s">
        <v>58</v>
      </c>
    </row>
    <row r="656" spans="1:29">
      <c r="A656" s="147">
        <v>46181</v>
      </c>
      <c r="B656" s="123" t="s">
        <v>37</v>
      </c>
      <c r="C656" s="103" t="s"/>
      <c r="D656" s="62" t="s">
        <v>38</v>
      </c>
      <c r="E656" s="62" t="s">
        <v>199</v>
      </c>
      <c r="F656" s="62" t="s">
        <v>200</v>
      </c>
      <c r="G656" s="94" t="s">
        <v>201</v>
      </c>
      <c r="H656" s="71" t="s">
        <v>202</v>
      </c>
      <c r="I656" s="69" t="s">
        <v>47</v>
      </c>
      <c r="J656">
        <v>2</v>
      </c>
      <c r="K656">
        <v>2.3</v>
      </c>
      <c r="O656">
        <v>1414980</v>
      </c>
      <c r="P656">
        <v>1404000</v>
      </c>
      <c r="Q656">
        <v>0</v>
      </c>
      <c r="R656">
        <v>-2870400</v>
      </c>
      <c r="T656" s="68">
        <f>=(P656+R656+R657)/10000*J656*Z656</f>
        <v>-53586</v>
      </c>
      <c r="U656">
        <v>540</v>
      </c>
      <c r="V656" s="68" t="s"/>
      <c r="W656" s="68" t="s"/>
      <c r="X656" s="68">
        <f>=O656-P656</f>
        <v>10980</v>
      </c>
      <c r="Y656" s="68">
        <f>=X656-T656-U656-V656</f>
        <v>64026</v>
      </c>
      <c r="Z656" s="62">
        <f>=A656-$A$268+1</f>
        <v>75</v>
      </c>
      <c r="AA656" s="68">
        <f>=P656/10000*K656*Z656</f>
        <v>24219</v>
      </c>
      <c r="AB656" s="62">
        <f>=Q656*Z656</f>
        <v>0</v>
      </c>
      <c r="AC656" t="s">
        <v>44</v>
      </c>
    </row>
    <row r="657" spans="1:29">
      <c r="A657" s="147">
        <v>46181</v>
      </c>
      <c r="B657" s="123" t="s">
        <v>37</v>
      </c>
      <c r="C657" s="103" t="s"/>
      <c r="D657" s="62" t="s">
        <v>38</v>
      </c>
      <c r="E657" s="62" t="s">
        <v>199</v>
      </c>
      <c r="F657" s="62" t="s">
        <v>200</v>
      </c>
      <c r="G657" s="94" t="s">
        <v>201</v>
      </c>
      <c r="H657" s="71" t="s">
        <v>214</v>
      </c>
      <c r="I657" s="69" t="s">
        <v>47</v>
      </c>
      <c r="J657">
        <v>2</v>
      </c>
      <c r="K657">
        <v>2.3</v>
      </c>
      <c r="O657">
        <v>9433200</v>
      </c>
      <c r="P657">
        <v>9360000</v>
      </c>
      <c r="Q657">
        <v>5787600</v>
      </c>
      <c r="R657">
        <v>-2106000</v>
      </c>
      <c r="T657" s="68">
        <f>=P657/10000*J657*Z657</f>
        <v>132912</v>
      </c>
      <c r="U657">
        <v>3600</v>
      </c>
      <c r="V657" s="68" t="s"/>
      <c r="W657" s="68" t="s"/>
      <c r="X657" s="68">
        <f>=O657-P657</f>
        <v>73200</v>
      </c>
      <c r="Y657" s="68">
        <f>=X657-T657-U657-V657</f>
        <v>-63312</v>
      </c>
      <c r="Z657" s="62">
        <f>=A657-$A$282+1</f>
        <v>71</v>
      </c>
      <c r="AA657" s="68">
        <f>=P657/10000*K657*Z657</f>
        <v>152848.8</v>
      </c>
      <c r="AB657" s="62">
        <f>=Q657*Z657</f>
        <v>410919600</v>
      </c>
      <c r="AC657" t="s">
        <v>44</v>
      </c>
    </row>
    <row r="658" spans="1:29">
      <c r="A658" s="147">
        <v>46181</v>
      </c>
      <c r="B658" s="103" t="s"/>
      <c r="C658" s="103" t="s"/>
      <c r="D658" s="151" t="s">
        <v>38</v>
      </c>
      <c r="E658" s="151" t="s">
        <v>148</v>
      </c>
      <c r="F658" s="151" t="s">
        <v>149</v>
      </c>
      <c r="G658" s="71" t="s">
        <v>150</v>
      </c>
      <c r="H658" s="98" t="s">
        <v>326</v>
      </c>
      <c r="I658" s="72" t="s">
        <v>47</v>
      </c>
      <c r="J658" s="62">
        <v>2</v>
      </c>
      <c r="K658" s="62">
        <v>2.5</v>
      </c>
      <c r="O658">
        <v>105859</v>
      </c>
      <c r="P658">
        <v>105000</v>
      </c>
      <c r="Q658">
        <v>105859</v>
      </c>
      <c r="T658" s="68">
        <f>=P658/10000*J658*Z658</f>
        <v>567</v>
      </c>
      <c r="U658">
        <v>100</v>
      </c>
      <c r="V658" s="68" t="s"/>
      <c r="W658" s="68" t="s"/>
      <c r="X658" s="68">
        <f>=O658-P658</f>
        <v>858.999999999986</v>
      </c>
      <c r="Y658" s="68">
        <f>=X658-T658-U658-V658</f>
        <v>191.999999999985</v>
      </c>
      <c r="Z658" s="62">
        <f>=A658-$A$512+1</f>
        <v>27</v>
      </c>
      <c r="AA658" s="68">
        <f>=P658/10000*K658*Z658</f>
        <v>708.75</v>
      </c>
      <c r="AB658" s="62">
        <f>=Q658*Z658</f>
        <v>2858193</v>
      </c>
      <c r="AC658" t="s">
        <v>58</v>
      </c>
    </row>
    <row r="659" spans="1:29">
      <c r="A659" s="147">
        <v>46181</v>
      </c>
      <c r="B659" s="123" t="s">
        <v>37</v>
      </c>
      <c r="C659" s="103" t="s"/>
      <c r="D659" s="62" t="s">
        <v>38</v>
      </c>
      <c r="E659" s="62" t="s">
        <v>128</v>
      </c>
      <c r="F659" s="62" t="s">
        <v>129</v>
      </c>
      <c r="G659" s="97" t="s">
        <v>130</v>
      </c>
      <c r="H659" s="71" t="s">
        <v>248</v>
      </c>
      <c r="I659" s="72" t="s">
        <v>47</v>
      </c>
      <c r="J659" s="62">
        <v>2</v>
      </c>
      <c r="K659" s="62">
        <v>3</v>
      </c>
      <c r="O659">
        <v>377967</v>
      </c>
      <c r="P659">
        <v>371000</v>
      </c>
      <c r="Q659">
        <v>377967</v>
      </c>
      <c r="T659" s="68">
        <f>=P659/10000*J659*Z659</f>
        <v>4377.8</v>
      </c>
      <c r="U659">
        <v>300</v>
      </c>
      <c r="V659" s="68" t="s"/>
      <c r="W659" s="68" t="s"/>
      <c r="X659" s="68">
        <f>=O659-P659</f>
        <v>6967</v>
      </c>
      <c r="Y659" s="68">
        <f>=X659-T659-U659-V659</f>
        <v>2289.2</v>
      </c>
      <c r="Z659" s="62">
        <f>=A659-$A$361+1</f>
        <v>59</v>
      </c>
      <c r="AA659" s="68">
        <f>=P659/10000*K659*Z659</f>
        <v>6566.7</v>
      </c>
      <c r="AB659" s="62">
        <f>=Q659*Z659</f>
        <v>22300053</v>
      </c>
      <c r="AC659" t="s">
        <v>58</v>
      </c>
    </row>
    <row r="660" spans="1:29">
      <c r="A660" s="147">
        <v>46181</v>
      </c>
      <c r="B660" s="103" t="s"/>
      <c r="C660" s="103" t="s"/>
      <c r="D660" s="78" t="s">
        <v>38</v>
      </c>
      <c r="E660" s="78" t="s">
        <v>48</v>
      </c>
      <c r="F660" s="78" t="s">
        <v>49</v>
      </c>
      <c r="G660" s="71" t="s">
        <v>52</v>
      </c>
      <c r="H660" s="71" t="s">
        <v>158</v>
      </c>
      <c r="I660" s="72" t="s">
        <v>47</v>
      </c>
      <c r="J660" s="78">
        <v>2</v>
      </c>
      <c r="K660" s="78">
        <v>3</v>
      </c>
      <c r="O660">
        <v>58955.4</v>
      </c>
      <c r="P660">
        <v>57540</v>
      </c>
      <c r="Q660">
        <v>58955.4</v>
      </c>
      <c r="T660" s="68">
        <f>=P660/10000*J660*Z660</f>
        <v>943.656</v>
      </c>
      <c r="U660" s="62">
        <v>0</v>
      </c>
      <c r="V660" s="68" t="s"/>
      <c r="W660" s="68" t="s"/>
      <c r="X660" s="68">
        <f>=O660-P660</f>
        <v>1415.4</v>
      </c>
      <c r="Y660" s="68">
        <f>=X660-T660-U660-V660</f>
        <v>471.744000000002</v>
      </c>
      <c r="Z660" s="62">
        <f>=A660-$A$224+1</f>
        <v>82</v>
      </c>
      <c r="AA660" s="68">
        <f>=P660/10000*K660*Z660</f>
        <v>1415.484</v>
      </c>
      <c r="AB660" s="62">
        <f>=Q660*Z660</f>
        <v>4834342.8</v>
      </c>
      <c r="AC660" t="s">
        <v>312</v>
      </c>
    </row>
    <row r="661" spans="1:29">
      <c r="A661" s="147">
        <v>46182</v>
      </c>
      <c r="B661" s="103" t="s"/>
      <c r="C661" s="103" t="s"/>
      <c r="D661" s="64" t="s">
        <v>38</v>
      </c>
      <c r="E661" s="64" t="s">
        <v>148</v>
      </c>
      <c r="F661" s="64" t="s">
        <v>153</v>
      </c>
      <c r="G661" s="71" t="s">
        <v>215</v>
      </c>
      <c r="H661" s="98" t="s">
        <v>234</v>
      </c>
      <c r="I661" s="72" t="s">
        <v>47</v>
      </c>
      <c r="J661" s="62">
        <v>2</v>
      </c>
      <c r="K661" s="62">
        <v>2.5</v>
      </c>
      <c r="O661">
        <v>287673</v>
      </c>
      <c r="P661">
        <v>282500</v>
      </c>
      <c r="Q661">
        <v>287673</v>
      </c>
      <c r="T661" s="68">
        <f>=P661/10000*J661*Z661</f>
        <v>3898.5</v>
      </c>
      <c r="U661">
        <v>225</v>
      </c>
      <c r="V661" s="68" t="s"/>
      <c r="W661" s="68" t="s"/>
      <c r="X661" s="68">
        <f>=O661-P661</f>
        <v>5173</v>
      </c>
      <c r="Y661" s="68">
        <f>=X661-T661-U661-V661</f>
        <v>1049.5</v>
      </c>
      <c r="Z661" s="62">
        <f>=A661-$A$304+1</f>
        <v>69</v>
      </c>
      <c r="AA661" s="68">
        <f>=P661/10000*K661*Z661</f>
        <v>4873.125</v>
      </c>
      <c r="AB661" s="62">
        <f>=Q661*Z661</f>
        <v>19849437</v>
      </c>
      <c r="AC661" t="s">
        <v>58</v>
      </c>
    </row>
    <row r="662" spans="1:29">
      <c r="A662" s="147">
        <v>46182</v>
      </c>
      <c r="B662" s="123" t="s">
        <v>37</v>
      </c>
      <c r="C662" s="103" t="s"/>
      <c r="D662" s="62" t="s">
        <v>38</v>
      </c>
      <c r="E662" s="62" t="s">
        <v>48</v>
      </c>
      <c r="F662" s="62" t="s">
        <v>49</v>
      </c>
      <c r="G662" s="87" t="s">
        <v>220</v>
      </c>
      <c r="H662" s="80" t="s">
        <v>221</v>
      </c>
      <c r="I662" s="65" t="s">
        <v>47</v>
      </c>
      <c r="J662" s="62">
        <v>2</v>
      </c>
      <c r="K662" s="62">
        <v>3</v>
      </c>
      <c r="O662" s="161">
        <v>228757.56</v>
      </c>
      <c r="P662">
        <v>223335</v>
      </c>
      <c r="Q662" s="161">
        <v>228757.56</v>
      </c>
      <c r="T662" s="68">
        <f>=P662/10000*J662*Z662</f>
        <v>3171.357</v>
      </c>
      <c r="U662">
        <v>399</v>
      </c>
      <c r="V662" s="68" t="s"/>
      <c r="W662" s="68" t="s"/>
      <c r="X662" s="68">
        <f>=O662-P662</f>
        <v>5422.56</v>
      </c>
      <c r="Y662" s="68">
        <f>=X662-T662-U662-V662</f>
        <v>1852.203</v>
      </c>
      <c r="Z662" s="62">
        <f>=A662-$A$290+1</f>
        <v>71</v>
      </c>
      <c r="AA662" s="68">
        <f>=P662/10000*K662*Z662</f>
        <v>4757.0355</v>
      </c>
      <c r="AB662" s="62">
        <f>=Q662*Z662</f>
        <v>16241786.76</v>
      </c>
      <c r="AC662" t="s">
        <v>58</v>
      </c>
    </row>
    <row r="663" spans="1:29">
      <c r="A663" s="147">
        <v>46182</v>
      </c>
      <c r="B663" s="123" t="s">
        <v>37</v>
      </c>
      <c r="C663" s="103" t="s"/>
      <c r="D663" s="64" t="s">
        <v>38</v>
      </c>
      <c r="E663" s="131" t="s">
        <v>54</v>
      </c>
      <c r="F663" s="116" t="s">
        <v>55</v>
      </c>
      <c r="G663" s="62" t="s">
        <v>159</v>
      </c>
      <c r="H663" s="71" t="s">
        <v>160</v>
      </c>
      <c r="I663" s="69" t="s">
        <v>47</v>
      </c>
      <c r="J663" s="62">
        <v>2</v>
      </c>
      <c r="K663" s="62">
        <v>2.5</v>
      </c>
      <c r="O663">
        <v>318162</v>
      </c>
      <c r="P663">
        <v>312000</v>
      </c>
      <c r="Q663">
        <v>318162</v>
      </c>
      <c r="T663" s="68">
        <f>=P663/10000*J663*Z663</f>
        <v>4929.6</v>
      </c>
      <c r="U663">
        <v>0</v>
      </c>
      <c r="V663" s="68" t="s"/>
      <c r="W663" s="68" t="s"/>
      <c r="X663" s="68">
        <f>=O663-P663</f>
        <v>6162</v>
      </c>
      <c r="Y663" s="68">
        <f>=X663-T663-U663-V663</f>
        <v>1232.4</v>
      </c>
      <c r="Z663" s="62">
        <f>=A663-$A$227+1</f>
        <v>79</v>
      </c>
      <c r="AA663" s="68">
        <f>=P663/10000*K663*Z663</f>
        <v>6162</v>
      </c>
      <c r="AB663" s="62">
        <f>=Q663*Z663</f>
        <v>25134798</v>
      </c>
      <c r="AC663" t="s">
        <v>312</v>
      </c>
    </row>
    <row r="664" spans="1:29">
      <c r="A664" s="147">
        <v>46182</v>
      </c>
      <c r="B664" s="123" t="s">
        <v>37</v>
      </c>
      <c r="C664" s="103" t="s"/>
      <c r="D664" s="62" t="s">
        <v>38</v>
      </c>
      <c r="E664" s="62" t="s">
        <v>128</v>
      </c>
      <c r="F664" s="62" t="s">
        <v>129</v>
      </c>
      <c r="G664" t="s">
        <v>130</v>
      </c>
      <c r="H664" s="71" t="s">
        <v>248</v>
      </c>
      <c r="I664" s="72" t="s">
        <v>47</v>
      </c>
      <c r="J664" s="62">
        <v>2</v>
      </c>
      <c r="K664" s="62">
        <v>3</v>
      </c>
      <c r="O664">
        <v>339477.6</v>
      </c>
      <c r="P664">
        <v>333200</v>
      </c>
      <c r="Q664">
        <v>339477.6</v>
      </c>
      <c r="T664" s="68">
        <f>=P664/10000*J664*Z664</f>
        <v>3998.4</v>
      </c>
      <c r="U664">
        <v>210</v>
      </c>
      <c r="V664" s="68" t="s"/>
      <c r="W664" s="68" t="s"/>
      <c r="X664" s="68">
        <f>=O664-P664</f>
        <v>6277.59999999998</v>
      </c>
      <c r="Y664" s="68">
        <f>=X664-T664-U664-V664</f>
        <v>2069.19999999998</v>
      </c>
      <c r="Z664" s="62">
        <f>=A664-$A$361+1</f>
        <v>60</v>
      </c>
      <c r="AA664" s="68">
        <f>=P664/10000*K664*Z664</f>
        <v>5997.6</v>
      </c>
      <c r="AB664" s="62">
        <f>=Q664*Z664</f>
        <v>20368656</v>
      </c>
      <c r="AC664" t="s">
        <v>58</v>
      </c>
    </row>
    <row r="665" spans="1:29">
      <c r="A665" s="147">
        <v>46182</v>
      </c>
      <c r="B665" s="103" t="s"/>
      <c r="C665" s="103" t="s"/>
      <c r="D665" s="78" t="s">
        <v>38</v>
      </c>
      <c r="E665" s="78" t="s">
        <v>133</v>
      </c>
      <c r="F665" s="78" t="s">
        <v>134</v>
      </c>
      <c r="G665" s="71" t="s">
        <v>135</v>
      </c>
      <c r="H665" s="98" t="s">
        <v>144</v>
      </c>
      <c r="I665" s="65" t="s">
        <v>47</v>
      </c>
      <c r="J665" s="62">
        <v>2</v>
      </c>
      <c r="K665" s="62">
        <v>2.5</v>
      </c>
      <c r="O665">
        <v>143019</v>
      </c>
      <c r="P665">
        <v>139500</v>
      </c>
      <c r="Q665">
        <v>143019</v>
      </c>
      <c r="T665" s="68">
        <f>=P665/10000*J665*Z665</f>
        <v>2455.2</v>
      </c>
      <c r="U665">
        <v>300</v>
      </c>
      <c r="V665" s="68" t="s"/>
      <c r="W665" s="68" t="s"/>
      <c r="X665" s="68">
        <f>=O665-P665</f>
        <v>3519</v>
      </c>
      <c r="Y665" s="68">
        <f>=X665-T665-U665-V665</f>
        <v>763.8</v>
      </c>
      <c r="Z665" s="62">
        <f>=A665-$A$211+1</f>
        <v>88</v>
      </c>
      <c r="AA665" s="68">
        <f>=P665/10000*K665*Z665</f>
        <v>3069</v>
      </c>
      <c r="AB665" s="62">
        <f>=Q665*Z665</f>
        <v>12585672</v>
      </c>
      <c r="AC665" t="s">
        <v>58</v>
      </c>
    </row>
    <row r="666" spans="1:29">
      <c r="A666" s="147">
        <v>46182</v>
      </c>
      <c r="B666" s="103" t="s"/>
      <c r="C666" s="103" t="s"/>
      <c r="D666" s="62" t="s">
        <v>38</v>
      </c>
      <c r="E666" s="78" t="s">
        <v>133</v>
      </c>
      <c r="F666" s="78" t="s">
        <v>134</v>
      </c>
      <c r="G666" s="71" t="s">
        <v>135</v>
      </c>
      <c r="H666" s="98" t="s">
        <v>237</v>
      </c>
      <c r="I666" s="65" t="s">
        <v>47</v>
      </c>
      <c r="J666" s="62">
        <v>2</v>
      </c>
      <c r="K666" s="62">
        <v>2.5</v>
      </c>
      <c r="O666">
        <v>33973.5</v>
      </c>
      <c r="P666">
        <v>33250</v>
      </c>
      <c r="Q666">
        <v>33973.5</v>
      </c>
      <c r="T666" s="68">
        <f>=P666/10000*J666*Z666</f>
        <v>458.85</v>
      </c>
      <c r="U666">
        <v>30</v>
      </c>
      <c r="V666" s="68" t="s"/>
      <c r="W666" s="68" t="s"/>
      <c r="X666" s="68">
        <f>=O666-P666</f>
        <v>723.5</v>
      </c>
      <c r="Y666" s="68">
        <f>=X666-T666-U666-V666</f>
        <v>234.65</v>
      </c>
      <c r="Z666" s="62">
        <f>=A666-$A$312+1</f>
        <v>69</v>
      </c>
      <c r="AA666" s="68">
        <f>=P666/10000*K666*Z666</f>
        <v>573.5625</v>
      </c>
      <c r="AB666" s="62">
        <f>=Q666*Z666</f>
        <v>2344171.5</v>
      </c>
      <c r="AC666" t="s">
        <v>58</v>
      </c>
    </row>
    <row r="667" spans="1:29">
      <c r="A667" s="147">
        <v>46183</v>
      </c>
      <c r="B667" s="103" t="s"/>
      <c r="C667" s="103" t="s"/>
      <c r="D667" s="62" t="s">
        <v>38</v>
      </c>
      <c r="E667" s="62" t="s">
        <v>133</v>
      </c>
      <c r="F667" s="62" t="s">
        <v>134</v>
      </c>
      <c r="G667" s="71" t="s">
        <v>135</v>
      </c>
      <c r="H667" s="98" t="s">
        <v>144</v>
      </c>
      <c r="I667" s="65" t="s">
        <v>47</v>
      </c>
      <c r="J667" s="62">
        <v>2</v>
      </c>
      <c r="K667" s="62">
        <v>2.5</v>
      </c>
      <c r="O667">
        <v>47684.5</v>
      </c>
      <c r="P667">
        <v>46500</v>
      </c>
      <c r="Q667">
        <v>47684.5</v>
      </c>
      <c r="T667" s="68">
        <f>=P667/10000*J667*Z667</f>
        <v>827.7</v>
      </c>
      <c r="U667">
        <v>150</v>
      </c>
      <c r="V667" s="68" t="s"/>
      <c r="W667" s="68" t="s"/>
      <c r="X667" s="68">
        <f>=O667-P667</f>
        <v>1184.5</v>
      </c>
      <c r="Y667" s="68">
        <f>=X667-T667-U667-V667</f>
        <v>206.8</v>
      </c>
      <c r="Z667" s="62">
        <f>=A667-$A$211+1</f>
        <v>89</v>
      </c>
      <c r="AA667" s="68">
        <f>=P667/10000*K667*Z667</f>
        <v>1034.625</v>
      </c>
      <c r="AB667" s="62">
        <f>=Q667*Z667</f>
        <v>4243920.5</v>
      </c>
      <c r="AC667" t="s">
        <v>58</v>
      </c>
    </row>
    <row r="668" spans="1:29">
      <c r="A668" s="147">
        <v>46183</v>
      </c>
      <c r="B668" s="103" t="s"/>
      <c r="C668" s="103" t="s"/>
      <c r="D668" s="62" t="s">
        <v>38</v>
      </c>
      <c r="E668" s="62" t="s">
        <v>133</v>
      </c>
      <c r="F668" s="62" t="s">
        <v>134</v>
      </c>
      <c r="G668" s="71" t="s">
        <v>135</v>
      </c>
      <c r="H668" s="98" t="s">
        <v>237</v>
      </c>
      <c r="I668" s="65" t="s">
        <v>47</v>
      </c>
      <c r="J668" s="62">
        <v>2</v>
      </c>
      <c r="K668" s="62">
        <v>2.5</v>
      </c>
      <c r="O668">
        <v>107438</v>
      </c>
      <c r="P668">
        <v>105000</v>
      </c>
      <c r="Q668">
        <v>107438</v>
      </c>
      <c r="T668" s="68">
        <f>=P668/10000*J668*Z668</f>
        <v>1470</v>
      </c>
      <c r="U668">
        <v>600</v>
      </c>
      <c r="V668" s="68" t="s"/>
      <c r="W668" s="68" t="s"/>
      <c r="X668" s="68">
        <f>=O668-P668</f>
        <v>2438.00000000002</v>
      </c>
      <c r="Y668" s="68">
        <f>=X668-T668-U668-V668</f>
        <v>368.000000000015</v>
      </c>
      <c r="Z668" s="62">
        <f>=A668-$A$312+1</f>
        <v>70</v>
      </c>
      <c r="AA668" s="68">
        <f>=P668/10000*K668*Z668</f>
        <v>1837.5</v>
      </c>
      <c r="AB668" s="62">
        <f>=Q668*Z668</f>
        <v>7520660</v>
      </c>
      <c r="AC668" t="s">
        <v>58</v>
      </c>
    </row>
    <row r="669" spans="1:29">
      <c r="A669" s="147">
        <v>46183</v>
      </c>
      <c r="B669" s="123" t="s">
        <v>37</v>
      </c>
      <c r="C669" s="103" t="s"/>
      <c r="D669" s="151" t="s">
        <v>38</v>
      </c>
      <c r="E669" s="151" t="s">
        <v>148</v>
      </c>
      <c r="F669" s="151" t="s">
        <v>149</v>
      </c>
      <c r="G669" s="71" t="s">
        <v>150</v>
      </c>
      <c r="H669" s="98" t="s">
        <v>350</v>
      </c>
      <c r="I669" s="72" t="s">
        <v>47</v>
      </c>
      <c r="J669" s="62">
        <v>2</v>
      </c>
      <c r="K669" s="62">
        <v>2.5</v>
      </c>
      <c r="O669">
        <v>205422</v>
      </c>
      <c r="P669">
        <v>204000</v>
      </c>
      <c r="Q669">
        <v>205422</v>
      </c>
      <c r="T669" s="68">
        <f>=P669/10000*J669*Z669</f>
        <v>897.6</v>
      </c>
      <c r="U669">
        <v>200</v>
      </c>
      <c r="V669" s="68" t="s"/>
      <c r="W669" s="68" t="s"/>
      <c r="X669" s="68">
        <f>=O669-P669</f>
        <v>1421.99999999997</v>
      </c>
      <c r="Y669" s="68">
        <f>=X669-T669-U669-V669</f>
        <v>324.399999999971</v>
      </c>
      <c r="Z669" s="62">
        <f>=A669-$A$569+1</f>
        <v>22</v>
      </c>
      <c r="AA669" s="68">
        <f>=P669/10000*K669*Z669</f>
        <v>1122</v>
      </c>
      <c r="AB669" s="62">
        <f>=Q669*Z669</f>
        <v>4519284</v>
      </c>
      <c r="AC669" t="s">
        <v>58</v>
      </c>
    </row>
    <row r="670" spans="1:29">
      <c r="A670" s="147">
        <v>46183</v>
      </c>
      <c r="B670" s="103" t="s"/>
      <c r="C670" s="103" t="s"/>
      <c r="D670" s="64" t="s">
        <v>38</v>
      </c>
      <c r="E670" s="64" t="s">
        <v>148</v>
      </c>
      <c r="F670" s="64" t="s">
        <v>153</v>
      </c>
      <c r="G670" s="71" t="s">
        <v>211</v>
      </c>
      <c r="H670" s="98" t="s">
        <v>238</v>
      </c>
      <c r="I670" s="72" t="s">
        <v>47</v>
      </c>
      <c r="J670" s="62">
        <v>2</v>
      </c>
      <c r="K670" s="62">
        <v>2.5</v>
      </c>
      <c r="O670">
        <v>285500</v>
      </c>
      <c r="P670">
        <v>280000</v>
      </c>
      <c r="Q670">
        <v>285500</v>
      </c>
      <c r="T670" s="68">
        <f>=P670/10000*J670*Z670</f>
        <v>3920</v>
      </c>
      <c r="U670">
        <v>450</v>
      </c>
      <c r="V670" s="68" t="s"/>
      <c r="W670" s="68" t="s"/>
      <c r="X670" s="68">
        <f>=O670-P670</f>
        <v>5500</v>
      </c>
      <c r="Y670" s="68">
        <f>=X670-T670-U670-V670</f>
        <v>1130</v>
      </c>
      <c r="Z670" s="62">
        <f>=A670-$A$315+1</f>
        <v>70</v>
      </c>
      <c r="AA670" s="68">
        <f>=P670/10000*K670*Z670</f>
        <v>4900</v>
      </c>
      <c r="AB670" s="62">
        <f>=Q670*Z670</f>
        <v>19985000</v>
      </c>
      <c r="AC670" t="s">
        <v>58</v>
      </c>
    </row>
    <row r="671" spans="1:29">
      <c r="A671" s="147">
        <v>46183</v>
      </c>
      <c r="B671" s="103" t="s"/>
      <c r="C671" s="103" t="s"/>
      <c r="D671" s="151" t="s">
        <v>38</v>
      </c>
      <c r="E671" s="151" t="s">
        <v>148</v>
      </c>
      <c r="F671" s="151" t="s">
        <v>149</v>
      </c>
      <c r="G671" s="71" t="s">
        <v>150</v>
      </c>
      <c r="H671" s="98" t="s">
        <v>314</v>
      </c>
      <c r="I671" s="72" t="s">
        <v>47</v>
      </c>
      <c r="J671" s="62">
        <v>2</v>
      </c>
      <c r="K671" s="62">
        <v>2.5</v>
      </c>
      <c r="O671">
        <v>28529.7</v>
      </c>
      <c r="P671">
        <v>28200</v>
      </c>
      <c r="Q671">
        <v>28529.7</v>
      </c>
      <c r="T671" s="68">
        <f>=P671/10000*J671*Z671</f>
        <v>191.76</v>
      </c>
      <c r="U671">
        <v>60</v>
      </c>
      <c r="V671" s="68" t="s"/>
      <c r="W671" s="68" t="s"/>
      <c r="X671" s="68">
        <f>=O671-P671</f>
        <v>329.700000000001</v>
      </c>
      <c r="Y671" s="68">
        <f>=X671-T671-U671-V671</f>
        <v>77.9400000000008</v>
      </c>
      <c r="Z671" s="62">
        <f>=A671-$A$487+1</f>
        <v>34</v>
      </c>
      <c r="AA671" s="68">
        <f>=P671/10000*K671*Z671</f>
        <v>239.7</v>
      </c>
      <c r="AB671" s="62">
        <f>=Q671*Z671</f>
        <v>970009.8</v>
      </c>
      <c r="AC671" t="s">
        <v>58</v>
      </c>
    </row>
    <row r="672" spans="1:29">
      <c r="A672" s="147">
        <v>46183</v>
      </c>
      <c r="B672" s="103" t="s"/>
      <c r="C672" s="103" t="s"/>
      <c r="D672" s="62" t="s">
        <v>114</v>
      </c>
      <c r="E672" s="62" t="s">
        <v>114</v>
      </c>
      <c r="F672" s="62" t="s">
        <v>115</v>
      </c>
      <c r="G672" s="64" t="s">
        <v>116</v>
      </c>
      <c r="H672" s="71" t="s">
        <v>242</v>
      </c>
      <c r="I672" s="72" t="s">
        <v>47</v>
      </c>
      <c r="J672" s="62">
        <v>2</v>
      </c>
      <c r="K672" s="62">
        <v>2.6</v>
      </c>
      <c r="O672">
        <v>8540</v>
      </c>
      <c r="P672">
        <v>8400</v>
      </c>
      <c r="Q672">
        <v>8540</v>
      </c>
      <c r="T672" s="68">
        <f>=P672/10000*J672*Z672</f>
        <v>107.52</v>
      </c>
      <c r="U672">
        <v>0</v>
      </c>
      <c r="V672" s="68" t="s"/>
      <c r="W672" s="68" t="s"/>
      <c r="X672" s="68">
        <f>=O672-P672</f>
        <v>140</v>
      </c>
      <c r="Y672" s="68">
        <f>=X672-T672-U672-V672</f>
        <v>32.48</v>
      </c>
      <c r="Z672" s="62">
        <f>=A672-$A$322+1</f>
        <v>64</v>
      </c>
      <c r="AA672" s="68">
        <f>=P672/10000*K672*Z672</f>
        <v>139.776</v>
      </c>
      <c r="AB672" s="62">
        <f>=Q672*Z672</f>
        <v>546560</v>
      </c>
      <c r="AC672" t="s">
        <v>58</v>
      </c>
    </row>
    <row r="673" spans="1:29">
      <c r="A673" s="147">
        <v>46183</v>
      </c>
      <c r="B673" s="62" t="s">
        <v>37</v>
      </c>
      <c r="C673" s="103" t="s"/>
      <c r="D673" s="63" t="s">
        <v>38</v>
      </c>
      <c r="E673" s="98" t="s">
        <v>167</v>
      </c>
      <c r="F673" s="98" t="s">
        <v>168</v>
      </c>
      <c r="G673" s="71" t="s">
        <v>138</v>
      </c>
      <c r="H673" s="98" t="s">
        <v>193</v>
      </c>
      <c r="I673" s="69" t="s">
        <v>47</v>
      </c>
      <c r="J673" s="62">
        <v>2</v>
      </c>
      <c r="K673" s="62">
        <v>2.5</v>
      </c>
      <c r="O673">
        <v>73566</v>
      </c>
      <c r="P673">
        <v>72000</v>
      </c>
      <c r="Q673">
        <v>73566</v>
      </c>
      <c r="T673" s="68">
        <f>=P673/10000*J673*Z673</f>
        <v>1108.8</v>
      </c>
      <c r="U673">
        <v>120</v>
      </c>
      <c r="V673" s="68" t="s"/>
      <c r="W673" s="68" t="s"/>
      <c r="X673" s="68">
        <f>=O673-P673</f>
        <v>1566</v>
      </c>
      <c r="Y673" s="68">
        <f>=X673-T673-U673-V673</f>
        <v>337.2</v>
      </c>
      <c r="Z673" s="62">
        <f>=A673-$A$262+1</f>
        <v>77</v>
      </c>
      <c r="AA673" s="68">
        <f>=P673/10000*K673*Z673</f>
        <v>1386</v>
      </c>
      <c r="AB673" s="62">
        <f>=Q673*Z673</f>
        <v>5664582</v>
      </c>
      <c r="AC673" t="s">
        <v>58</v>
      </c>
    </row>
    <row r="674" spans="1:29">
      <c r="A674" s="147">
        <v>46183</v>
      </c>
      <c r="B674" s="103" t="s"/>
      <c r="C674" s="103" t="s"/>
      <c r="D674" s="62" t="s">
        <v>38</v>
      </c>
      <c r="E674" s="98" t="s">
        <v>167</v>
      </c>
      <c r="F674" s="98" t="s">
        <v>168</v>
      </c>
      <c r="G674" s="71" t="s">
        <v>169</v>
      </c>
      <c r="H674" s="71" t="s">
        <v>354</v>
      </c>
      <c r="I674" s="65" t="s">
        <v>47</v>
      </c>
      <c r="J674" s="62">
        <v>2</v>
      </c>
      <c r="K674" s="62">
        <v>2.5</v>
      </c>
      <c r="O674">
        <v>4393.35</v>
      </c>
      <c r="P674">
        <v>4370</v>
      </c>
      <c r="Q674">
        <v>4393.35</v>
      </c>
      <c r="T674" s="68">
        <f>=P674/10000*J674*Z674</f>
        <v>17.48</v>
      </c>
      <c r="U674">
        <v>1</v>
      </c>
      <c r="V674" s="68" t="s"/>
      <c r="W674" s="68" t="s"/>
      <c r="X674" s="68">
        <f>=O674-P674</f>
        <v>23.3500000000004</v>
      </c>
      <c r="Y674" s="68">
        <f>=X674-T674-U674-V674</f>
        <v>4.87000000000036</v>
      </c>
      <c r="Z674" s="62">
        <f>=A674-$A$582+1</f>
        <v>20</v>
      </c>
      <c r="AA674" s="68">
        <f>=P674/10000*K674*Z674</f>
        <v>21.85</v>
      </c>
      <c r="AB674" s="62">
        <f>=Q674*Z674</f>
        <v>87867</v>
      </c>
      <c r="AC674" t="s">
        <v>58</v>
      </c>
    </row>
    <row r="675" spans="1:29">
      <c r="A675" s="147">
        <v>46184</v>
      </c>
      <c r="B675" s="103" t="s"/>
      <c r="C675" s="103" t="s"/>
      <c r="D675" s="62" t="s">
        <v>38</v>
      </c>
      <c r="E675" s="62" t="s">
        <v>270</v>
      </c>
      <c r="F675" s="62" t="s">
        <v>271</v>
      </c>
      <c r="G675" s="97" t="s">
        <v>272</v>
      </c>
      <c r="H675" s="98" t="s">
        <v>275</v>
      </c>
      <c r="I675" s="69" t="s">
        <v>47</v>
      </c>
      <c r="J675" s="62">
        <v>2</v>
      </c>
      <c r="K675" s="62">
        <v>2.5</v>
      </c>
      <c r="O675">
        <v>67297.45</v>
      </c>
      <c r="P675">
        <v>66385</v>
      </c>
      <c r="Q675">
        <v>67297.45</v>
      </c>
      <c r="T675" s="68">
        <f>=P675/10000*J675*Z675</f>
        <v>703.681</v>
      </c>
      <c r="U675">
        <v>22</v>
      </c>
      <c r="V675" s="68" t="s"/>
      <c r="W675" s="68" t="s"/>
      <c r="X675" s="68">
        <f>=O675-P675</f>
        <v>912.449999999997</v>
      </c>
      <c r="Y675" s="68">
        <f>=X675-T675-U675-V675</f>
        <v>186.768999999997</v>
      </c>
      <c r="Z675" s="62">
        <f>=A675-$A$398+1</f>
        <v>53</v>
      </c>
      <c r="AA675" s="68">
        <f>=P675/10000*K675*Z675</f>
        <v>879.60125</v>
      </c>
      <c r="AB675" s="62">
        <f>=Q675*Z675</f>
        <v>3566764.85</v>
      </c>
      <c r="AC675" t="s">
        <v>58</v>
      </c>
    </row>
    <row r="676" spans="1:29">
      <c r="A676" s="147">
        <v>46185</v>
      </c>
      <c r="B676" s="123" t="s">
        <v>37</v>
      </c>
      <c r="C676" s="103" t="s"/>
      <c r="D676" s="151" t="s">
        <v>38</v>
      </c>
      <c r="E676" s="151" t="s">
        <v>148</v>
      </c>
      <c r="F676" s="151" t="s">
        <v>149</v>
      </c>
      <c r="G676" s="71" t="s">
        <v>150</v>
      </c>
      <c r="H676" s="98" t="s">
        <v>350</v>
      </c>
      <c r="I676" s="72" t="s">
        <v>47</v>
      </c>
      <c r="J676" s="62">
        <v>2</v>
      </c>
      <c r="K676" s="62">
        <v>2.5</v>
      </c>
      <c r="O676">
        <v>205524</v>
      </c>
      <c r="P676">
        <v>204000</v>
      </c>
      <c r="Q676">
        <v>205524</v>
      </c>
      <c r="T676" s="68">
        <f>=P676/10000*J676*Z676</f>
        <v>979.2</v>
      </c>
      <c r="U676">
        <v>200</v>
      </c>
      <c r="V676" s="68" t="s"/>
      <c r="W676" s="68" t="s"/>
      <c r="X676" s="68">
        <f>=O676-P676</f>
        <v>1523.99999999997</v>
      </c>
      <c r="Y676" s="68">
        <f>=X676-T676-U676-V676</f>
        <v>344.799999999971</v>
      </c>
      <c r="Z676" s="62">
        <f>=A676-$A$569+1</f>
        <v>24</v>
      </c>
      <c r="AA676" s="68">
        <f>=P676/10000*K676*Z676</f>
        <v>1224</v>
      </c>
      <c r="AB676" s="62">
        <f>=Q676*Z676</f>
        <v>4932576</v>
      </c>
      <c r="AC676" t="s">
        <v>58</v>
      </c>
    </row>
    <row r="677" spans="1:29">
      <c r="A677" s="147">
        <v>46185</v>
      </c>
      <c r="B677" s="103" t="s"/>
      <c r="C677" s="103" t="s"/>
      <c r="D677" s="64" t="s">
        <v>38</v>
      </c>
      <c r="E677" s="64" t="s">
        <v>148</v>
      </c>
      <c r="F677" s="64" t="s">
        <v>153</v>
      </c>
      <c r="G677" s="71" t="s">
        <v>211</v>
      </c>
      <c r="H677" s="98" t="s">
        <v>268</v>
      </c>
      <c r="I677" s="72" t="s">
        <v>47</v>
      </c>
      <c r="J677" s="62">
        <v>2</v>
      </c>
      <c r="K677" s="62">
        <v>2.5</v>
      </c>
      <c r="O677">
        <v>115745.68</v>
      </c>
      <c r="P677">
        <v>113950</v>
      </c>
      <c r="Q677">
        <v>115745.68</v>
      </c>
      <c r="T677" s="68">
        <f>=P677/10000*J677*Z677</f>
        <v>1299.03</v>
      </c>
      <c r="U677">
        <v>129</v>
      </c>
      <c r="V677" s="68" t="s"/>
      <c r="W677" s="68" t="s"/>
      <c r="X677" s="68">
        <f>=O677-P677</f>
        <v>1795.68000000001</v>
      </c>
      <c r="Y677" s="68">
        <f>=X677-T677-U677-V677</f>
        <v>367.650000000008</v>
      </c>
      <c r="Z677" s="62">
        <f>=A677-$A$390+1</f>
        <v>57</v>
      </c>
      <c r="AA677" s="68">
        <f>=P677/10000*K677*Z677</f>
        <v>1623.7875</v>
      </c>
      <c r="AB677" s="62">
        <f>=Q677*Z677</f>
        <v>6597503.76</v>
      </c>
      <c r="AC677" t="s">
        <v>58</v>
      </c>
    </row>
    <row r="678" spans="1:29">
      <c r="A678" s="147">
        <v>46185</v>
      </c>
      <c r="B678" s="103" t="s"/>
      <c r="C678" s="103" t="s"/>
      <c r="D678" s="64" t="s">
        <v>38</v>
      </c>
      <c r="E678" s="64" t="s">
        <v>148</v>
      </c>
      <c r="F678" s="64" t="s">
        <v>153</v>
      </c>
      <c r="G678" s="71" t="s">
        <v>211</v>
      </c>
      <c r="H678" s="98" t="s">
        <v>238</v>
      </c>
      <c r="I678" s="72" t="s">
        <v>47</v>
      </c>
      <c r="J678" s="62">
        <v>2</v>
      </c>
      <c r="K678" s="62">
        <v>2.5</v>
      </c>
      <c r="O678">
        <v>471216</v>
      </c>
      <c r="P678">
        <v>462000</v>
      </c>
      <c r="Q678">
        <v>471216</v>
      </c>
      <c r="T678" s="68">
        <f>=P678/10000*J678*Z678</f>
        <v>6652.8</v>
      </c>
      <c r="U678">
        <v>675</v>
      </c>
      <c r="V678" s="68" t="s"/>
      <c r="W678" s="68" t="s"/>
      <c r="X678" s="68">
        <f>=O678-P678</f>
        <v>9216</v>
      </c>
      <c r="Y678" s="68">
        <f>=X678-T678-U678-V678</f>
        <v>1888.2</v>
      </c>
      <c r="Z678" s="62">
        <f>=A678-$A$315+1</f>
        <v>72</v>
      </c>
      <c r="AA678" s="68">
        <f>=P678/10000*K678*Z678</f>
        <v>8316</v>
      </c>
      <c r="AB678" s="62">
        <f>=Q678*Z678</f>
        <v>33927552</v>
      </c>
      <c r="AC678" t="s">
        <v>58</v>
      </c>
    </row>
    <row r="679" spans="1:29">
      <c r="A679" s="147">
        <v>46185</v>
      </c>
      <c r="B679" s="103" t="s"/>
      <c r="C679" s="103" t="s"/>
      <c r="D679" s="64" t="s">
        <v>38</v>
      </c>
      <c r="E679" s="62" t="s">
        <v>85</v>
      </c>
      <c r="F679" t="s">
        <v>120</v>
      </c>
      <c r="G679" s="136" t="s">
        <v>239</v>
      </c>
      <c r="H679" s="98" t="s">
        <v>319</v>
      </c>
      <c r="I679" s="137" t="s">
        <v>47</v>
      </c>
      <c r="J679" s="64">
        <v>2</v>
      </c>
      <c r="K679" s="78">
        <v>2.5</v>
      </c>
      <c r="O679">
        <v>32344</v>
      </c>
      <c r="P679">
        <v>32000</v>
      </c>
      <c r="Q679">
        <v>32344</v>
      </c>
      <c r="T679" s="68">
        <f>=P679/10000*J679*Z679</f>
        <v>211.2</v>
      </c>
      <c r="U679">
        <v>60</v>
      </c>
      <c r="V679" s="68" t="s"/>
      <c r="W679" s="68" t="s"/>
      <c r="X679" s="68">
        <f>=O679-P679</f>
        <v>344</v>
      </c>
      <c r="Y679" s="68">
        <f>=X679-T679-U679-V679</f>
        <v>72.8</v>
      </c>
      <c r="Z679" s="62">
        <f>=A679-$A$505+1</f>
        <v>33</v>
      </c>
      <c r="AA679" s="68">
        <f>=P679/10000*K679*Z679</f>
        <v>264</v>
      </c>
      <c r="AB679" s="62">
        <f>=Q679*Z679</f>
        <v>1067352</v>
      </c>
      <c r="AC679" t="s">
        <v>58</v>
      </c>
    </row>
    <row r="680" spans="1:29">
      <c r="A680" s="147">
        <v>46185</v>
      </c>
      <c r="B680" s="103" t="s"/>
      <c r="C680" s="103" t="s"/>
      <c r="D680" s="62" t="s">
        <v>38</v>
      </c>
      <c r="E680" s="62" t="s">
        <v>133</v>
      </c>
      <c r="F680" s="62" t="s">
        <v>134</v>
      </c>
      <c r="G680" s="71" t="s">
        <v>135</v>
      </c>
      <c r="H680" s="98" t="s">
        <v>207</v>
      </c>
      <c r="I680" s="65" t="s">
        <v>47</v>
      </c>
      <c r="J680" s="62">
        <v>2</v>
      </c>
      <c r="K680" s="62">
        <v>2.5</v>
      </c>
      <c r="O680">
        <v>70221</v>
      </c>
      <c r="P680">
        <v>68600</v>
      </c>
      <c r="Q680">
        <v>70221</v>
      </c>
      <c r="T680" s="68">
        <f>=P680/10000*J680*Z680</f>
        <v>1056.44</v>
      </c>
      <c r="U680">
        <v>300</v>
      </c>
      <c r="V680" s="68" t="s"/>
      <c r="W680" s="68" t="s"/>
      <c r="X680" s="68">
        <f>=O680-P680</f>
        <v>1621</v>
      </c>
      <c r="Y680" s="68">
        <f>=X680-T680-U680-V680</f>
        <v>264.56</v>
      </c>
      <c r="Z680" s="62">
        <f>=A680-$A$275+1</f>
        <v>77</v>
      </c>
      <c r="AA680" s="68">
        <f>=P680/10000*K680*Z680</f>
        <v>1320.55</v>
      </c>
      <c r="AB680" s="62">
        <f>=Q680*Z680</f>
        <v>5407017</v>
      </c>
      <c r="AC680" t="s">
        <v>58</v>
      </c>
    </row>
    <row r="681" spans="1:29">
      <c r="A681" s="147">
        <v>46185</v>
      </c>
      <c r="B681" s="103" t="s"/>
      <c r="C681" s="103" t="s"/>
      <c r="D681" s="62" t="s">
        <v>38</v>
      </c>
      <c r="E681" s="62" t="s">
        <v>133</v>
      </c>
      <c r="F681" s="62" t="s">
        <v>134</v>
      </c>
      <c r="G681" s="71" t="s">
        <v>135</v>
      </c>
      <c r="H681" s="98" t="s">
        <v>209</v>
      </c>
      <c r="I681" s="65" t="s">
        <v>47</v>
      </c>
      <c r="J681" s="62">
        <v>2</v>
      </c>
      <c r="K681" s="62">
        <v>2.5</v>
      </c>
      <c r="O681">
        <v>70186</v>
      </c>
      <c r="P681">
        <v>68600</v>
      </c>
      <c r="Q681">
        <v>70186</v>
      </c>
      <c r="T681" s="68">
        <f>=P681/10000*J681*Z681</f>
        <v>1029</v>
      </c>
      <c r="U681">
        <v>300</v>
      </c>
      <c r="V681" s="68" t="s"/>
      <c r="W681" s="68" t="s"/>
      <c r="X681" s="68">
        <f>=O681-P681</f>
        <v>1586</v>
      </c>
      <c r="Y681" s="68">
        <f>=X681-T681-U681-V681</f>
        <v>257</v>
      </c>
      <c r="Z681" s="62">
        <f>=A681-$A$277+1</f>
        <v>75</v>
      </c>
      <c r="AA681" s="68">
        <f>=P681/10000*K681*Z681</f>
        <v>1286.25</v>
      </c>
      <c r="AB681" s="62">
        <f>=Q681*Z681</f>
        <v>5263950</v>
      </c>
      <c r="AC681" t="s">
        <v>58</v>
      </c>
    </row>
    <row r="682" spans="1:29">
      <c r="A682" s="147">
        <v>46185</v>
      </c>
      <c r="B682" s="103" t="s"/>
      <c r="C682" s="103" t="s"/>
      <c r="D682" s="62" t="s">
        <v>38</v>
      </c>
      <c r="E682" s="62" t="s">
        <v>85</v>
      </c>
      <c r="F682" s="62" t="s">
        <v>86</v>
      </c>
      <c r="G682" s="71" t="s">
        <v>65</v>
      </c>
      <c r="H682" s="98" t="s">
        <v>304</v>
      </c>
      <c r="I682" s="72" t="s">
        <v>47</v>
      </c>
      <c r="J682" s="62">
        <v>1.46</v>
      </c>
      <c r="K682" s="62">
        <v>2</v>
      </c>
      <c r="O682">
        <v>541620</v>
      </c>
      <c r="P682">
        <v>541620</v>
      </c>
      <c r="Q682">
        <v>541620</v>
      </c>
      <c r="T682" s="68">
        <f>=P682/10000*J682*Z682</f>
        <v>3479.36688</v>
      </c>
      <c r="U682">
        <v>0</v>
      </c>
      <c r="V682" s="68" t="s"/>
      <c r="W682" s="68" t="s"/>
      <c r="X682" s="68">
        <f>=O682-P682</f>
        <v>0</v>
      </c>
      <c r="Y682" s="68">
        <f>=X682-T682-U682-V682</f>
        <v>-3479.36688</v>
      </c>
      <c r="Z682" s="62">
        <f>=A682-$A$462+1</f>
        <v>44</v>
      </c>
      <c r="AA682" s="68">
        <f>=P682/10000*K682*Z682</f>
        <v>4766.256</v>
      </c>
      <c r="AB682" s="62">
        <f>=Q682*Z682</f>
        <v>23831280</v>
      </c>
      <c r="AC682" t="s">
        <v>361</v>
      </c>
    </row>
    <row r="683" spans="1:29">
      <c r="A683" s="147">
        <v>46185</v>
      </c>
      <c r="B683" s="103" t="s"/>
      <c r="C683" s="103" t="s"/>
      <c r="D683" s="64" t="s">
        <v>38</v>
      </c>
      <c r="E683" s="64" t="s">
        <v>148</v>
      </c>
      <c r="F683" s="64" t="s">
        <v>153</v>
      </c>
      <c r="G683" s="71" t="s">
        <v>215</v>
      </c>
      <c r="H683" s="98" t="s">
        <v>216</v>
      </c>
      <c r="I683" s="72" t="s">
        <v>47</v>
      </c>
      <c r="J683" s="62">
        <v>2</v>
      </c>
      <c r="K683" s="62">
        <v>2.5</v>
      </c>
      <c r="O683">
        <v>85776</v>
      </c>
      <c r="P683">
        <v>84000</v>
      </c>
      <c r="Q683">
        <v>85776</v>
      </c>
      <c r="T683" s="68">
        <f>=P683/10000*J683*Z683</f>
        <v>1260</v>
      </c>
      <c r="U683">
        <v>135</v>
      </c>
      <c r="V683" s="68" t="s"/>
      <c r="W683" s="68" t="s"/>
      <c r="X683" s="68">
        <f>=O683-P683</f>
        <v>1776</v>
      </c>
      <c r="Y683" s="68">
        <f>=X683-T683-U683-V683</f>
        <v>381</v>
      </c>
      <c r="Z683" s="62">
        <f>=A683-$A$287+1</f>
        <v>75</v>
      </c>
      <c r="AA683" s="68">
        <f>=P683/10000*K683*Z683</f>
        <v>1575</v>
      </c>
      <c r="AB683" s="62">
        <f>=Q683*Z683</f>
        <v>6433200</v>
      </c>
      <c r="AC683" t="s">
        <v>58</v>
      </c>
    </row>
    <row r="684" spans="1:29">
      <c r="A684" s="147">
        <v>46187</v>
      </c>
      <c r="B684" s="123" t="s">
        <v>37</v>
      </c>
      <c r="C684" s="103" t="s"/>
      <c r="D684" s="63" t="s">
        <v>38</v>
      </c>
      <c r="E684" s="62" t="s">
        <v>39</v>
      </c>
      <c r="F684" s="62" t="s">
        <v>40</v>
      </c>
      <c r="G684" s="64" t="s">
        <v>195</v>
      </c>
      <c r="H684" s="80" t="s">
        <v>196</v>
      </c>
      <c r="I684" s="65" t="s">
        <v>47</v>
      </c>
      <c r="J684" s="62">
        <v>2</v>
      </c>
      <c r="K684" s="62">
        <v>2.5</v>
      </c>
      <c r="O684">
        <v>813500</v>
      </c>
      <c r="P684">
        <v>796250</v>
      </c>
      <c r="Q684">
        <v>813500</v>
      </c>
      <c r="T684" s="68">
        <f>=P684/10000*J684*Z684</f>
        <v>12899.25</v>
      </c>
      <c r="U684">
        <v>750</v>
      </c>
      <c r="V684" s="68" t="s"/>
      <c r="W684" s="68" t="s"/>
      <c r="X684" s="68">
        <f>=O684-P684</f>
        <v>17250</v>
      </c>
      <c r="Y684" s="68">
        <f>=X684-T684-U684-V684</f>
        <v>3600.75</v>
      </c>
      <c r="Z684" s="62">
        <f>=A684-$A$264+1</f>
        <v>81</v>
      </c>
      <c r="AA684" s="68">
        <f>=P684/10000*K684*Z684</f>
        <v>16124.0625</v>
      </c>
      <c r="AB684" s="62">
        <f>=Q684*Z684</f>
        <v>65893500</v>
      </c>
      <c r="AC684" t="s">
        <v>58</v>
      </c>
    </row>
    <row r="685" spans="1:29">
      <c r="A685" s="147">
        <v>46187</v>
      </c>
      <c r="B685" s="103" t="s"/>
      <c r="C685" s="103" t="s"/>
      <c r="D685" s="64" t="s">
        <v>38</v>
      </c>
      <c r="E685" s="62" t="s">
        <v>85</v>
      </c>
      <c r="F685" t="s">
        <v>120</v>
      </c>
      <c r="G685" s="136" t="s">
        <v>239</v>
      </c>
      <c r="H685" s="98" t="s">
        <v>319</v>
      </c>
      <c r="I685" s="137" t="s">
        <v>47</v>
      </c>
      <c r="J685" s="64">
        <v>2</v>
      </c>
      <c r="K685" s="78">
        <v>2.5</v>
      </c>
      <c r="O685">
        <v>48540</v>
      </c>
      <c r="P685">
        <v>48000</v>
      </c>
      <c r="Q685">
        <v>48540</v>
      </c>
      <c r="T685" s="68">
        <f>=P685/10000*J685*Z685</f>
        <v>336</v>
      </c>
      <c r="U685">
        <v>90</v>
      </c>
      <c r="V685" s="68" t="s"/>
      <c r="W685" s="68" t="s"/>
      <c r="X685" s="68">
        <f>=O685-P685</f>
        <v>540</v>
      </c>
      <c r="Y685" s="68">
        <f>=X685-T685-U685-V685</f>
        <v>114</v>
      </c>
      <c r="Z685" s="62">
        <f>=A685-$A$505+1</f>
        <v>35</v>
      </c>
      <c r="AA685" s="68">
        <f>=P685/10000*K685*Z685</f>
        <v>420</v>
      </c>
      <c r="AB685" s="62">
        <f>=Q685*Z685</f>
        <v>1698900</v>
      </c>
      <c r="AC685" t="s">
        <v>58</v>
      </c>
    </row>
    <row r="686" spans="1:29">
      <c r="A686" s="147">
        <v>46187</v>
      </c>
      <c r="B686" s="103" t="s"/>
      <c r="C686" s="103" t="s"/>
      <c r="D686" t="s">
        <v>38</v>
      </c>
      <c r="E686" t="s">
        <v>63</v>
      </c>
      <c r="F686" t="s">
        <v>226</v>
      </c>
      <c r="G686" s="136" t="s">
        <v>335</v>
      </c>
      <c r="H686" s="98" t="s">
        <v>336</v>
      </c>
      <c r="I686" s="73" t="s">
        <v>47</v>
      </c>
      <c r="J686" s="62">
        <v>2</v>
      </c>
      <c r="K686" s="62">
        <v>2.5</v>
      </c>
      <c r="O686">
        <v>21233.24</v>
      </c>
      <c r="P686">
        <v>21070</v>
      </c>
      <c r="Q686">
        <v>21233.24</v>
      </c>
      <c r="T686" s="68">
        <f>=P686/10000*J686*Z686</f>
        <v>122.206</v>
      </c>
      <c r="U686">
        <v>7</v>
      </c>
      <c r="V686" s="68" t="s"/>
      <c r="W686" s="68" t="s"/>
      <c r="X686" s="68">
        <f>=O686-P686</f>
        <v>163.240000000002</v>
      </c>
      <c r="Y686" s="68">
        <f>=X686-T686-U686-V686</f>
        <v>34.0340000000016</v>
      </c>
      <c r="Z686" s="62">
        <f>=A686-$A$533+1</f>
        <v>29</v>
      </c>
      <c r="AA686" s="68">
        <f>=P686/10000*K686*Z686</f>
        <v>152.7575</v>
      </c>
      <c r="AB686" s="62">
        <f>=Q686*Z686</f>
        <v>615763.96</v>
      </c>
      <c r="AC686" t="s">
        <v>58</v>
      </c>
    </row>
    <row r="687" spans="1:29">
      <c r="A687" s="147">
        <v>46187</v>
      </c>
      <c r="B687" s="103" t="s"/>
      <c r="C687" s="103" t="s"/>
      <c r="D687" t="s">
        <v>38</v>
      </c>
      <c r="E687" t="s">
        <v>63</v>
      </c>
      <c r="F687" t="s">
        <v>226</v>
      </c>
      <c r="G687" s="136" t="s">
        <v>335</v>
      </c>
      <c r="H687" s="98" t="s">
        <v>337</v>
      </c>
      <c r="I687" s="73" t="s">
        <v>47</v>
      </c>
      <c r="J687" s="62">
        <v>2</v>
      </c>
      <c r="K687" s="62">
        <v>2.5</v>
      </c>
      <c r="O687">
        <v>24260.56</v>
      </c>
      <c r="P687">
        <v>24080</v>
      </c>
      <c r="Q687">
        <v>24260.56</v>
      </c>
      <c r="T687" s="68">
        <f>=P687/10000*J687*Z687</f>
        <v>134.848</v>
      </c>
      <c r="U687">
        <v>8</v>
      </c>
      <c r="V687" s="68" t="s"/>
      <c r="W687" s="68" t="s"/>
      <c r="X687" s="68">
        <f>=O687-P687</f>
        <v>180.560000000001</v>
      </c>
      <c r="Y687" s="68">
        <f>=X687-T687-U687-V687</f>
        <v>37.7120000000013</v>
      </c>
      <c r="Z687" s="62">
        <f>=A687-$A$539+1</f>
        <v>28</v>
      </c>
      <c r="AA687" s="68">
        <f>=P687/10000*K687*Z687</f>
        <v>168.56</v>
      </c>
      <c r="AB687" s="62">
        <f>=Q687*Z687</f>
        <v>679295.68</v>
      </c>
      <c r="AC687" t="s">
        <v>58</v>
      </c>
    </row>
    <row r="688" spans="1:29">
      <c r="A688" s="147">
        <v>46188</v>
      </c>
      <c r="B688" s="103" t="s"/>
      <c r="C688" s="103" t="s"/>
      <c r="D688" s="62" t="s">
        <v>38</v>
      </c>
      <c r="E688" s="62" t="s">
        <v>85</v>
      </c>
      <c r="F688" s="62" t="s">
        <v>120</v>
      </c>
      <c r="G688" s="71" t="s">
        <v>339</v>
      </c>
      <c r="H688" t="s">
        <v>345</v>
      </c>
      <c r="I688" s="69" t="s">
        <v>47</v>
      </c>
      <c r="J688" s="62">
        <v>2</v>
      </c>
      <c r="K688" s="62">
        <v>2.6</v>
      </c>
      <c r="O688">
        <v>150204</v>
      </c>
      <c r="P688">
        <v>148800</v>
      </c>
      <c r="Q688">
        <v>150204</v>
      </c>
      <c r="T688" s="68">
        <f>=P688/10000*J688*Z688</f>
        <v>803.52</v>
      </c>
      <c r="U688">
        <v>240</v>
      </c>
      <c r="V688" s="68" t="s"/>
      <c r="W688" s="68" t="s"/>
      <c r="X688" s="68">
        <f>=O688-P688</f>
        <v>1404</v>
      </c>
      <c r="Y688" s="68">
        <f>=X688-T688-U688-V688</f>
        <v>360.48</v>
      </c>
      <c r="Z688" s="62">
        <f>=A688-$A$561+1</f>
        <v>27</v>
      </c>
      <c r="AA688" s="68">
        <f>=P688/10000*K688*Z688</f>
        <v>1044.576</v>
      </c>
      <c r="AB688" s="62">
        <f>=Q688*Z688</f>
        <v>4055508</v>
      </c>
      <c r="AC688" t="s">
        <v>58</v>
      </c>
    </row>
    <row r="689" spans="1:29">
      <c r="A689" s="147">
        <v>46188</v>
      </c>
      <c r="B689" s="106" t="s">
        <v>37</v>
      </c>
      <c r="C689" s="103" t="s"/>
      <c r="D689" t="s">
        <v>38</v>
      </c>
      <c r="E689" t="s">
        <v>63</v>
      </c>
      <c r="F689" t="s">
        <v>355</v>
      </c>
      <c r="G689" s="136" t="s">
        <v>356</v>
      </c>
      <c r="H689" s="71" t="s">
        <v>357</v>
      </c>
      <c r="I689" s="72" t="s">
        <v>47</v>
      </c>
      <c r="J689" s="78">
        <v>2</v>
      </c>
      <c r="K689" s="78">
        <v>2.5</v>
      </c>
      <c r="O689">
        <v>1060077.07</v>
      </c>
      <c r="P689">
        <v>1053300</v>
      </c>
      <c r="Q689">
        <v>1060077.07</v>
      </c>
      <c r="T689" s="68">
        <f>=P689/10000*J689*Z689</f>
        <v>5266.5</v>
      </c>
      <c r="U689">
        <v>129</v>
      </c>
      <c r="V689" s="68" t="s"/>
      <c r="W689" s="68" t="s"/>
      <c r="X689" s="68">
        <f>=O689-P689</f>
        <v>6777.06999999983</v>
      </c>
      <c r="Y689" s="68">
        <f>=X689-T689-U689-V689</f>
        <v>1381.56999999983</v>
      </c>
      <c r="Z689" s="62">
        <f>=A689-$A$584+1</f>
        <v>25</v>
      </c>
      <c r="AA689" s="68">
        <f>=P689/10000*K689*Z689</f>
        <v>6583.125</v>
      </c>
      <c r="AB689" s="62">
        <f>=Q689*Z689</f>
        <v>26501926.75</v>
      </c>
      <c r="AC689" t="s">
        <v>58</v>
      </c>
    </row>
    <row r="690" spans="1:29">
      <c r="A690" s="147">
        <v>46188</v>
      </c>
      <c r="B690" s="103" t="s"/>
      <c r="C690" s="103" t="s"/>
      <c r="D690" s="64" t="s">
        <v>38</v>
      </c>
      <c r="E690" s="62" t="s">
        <v>85</v>
      </c>
      <c r="F690" t="s">
        <v>120</v>
      </c>
      <c r="G690" s="136" t="s">
        <v>239</v>
      </c>
      <c r="H690" s="98" t="s">
        <v>319</v>
      </c>
      <c r="I690" s="137" t="s">
        <v>47</v>
      </c>
      <c r="J690" s="64">
        <v>2</v>
      </c>
      <c r="K690" s="78">
        <v>2.5</v>
      </c>
      <c r="O690">
        <v>242760</v>
      </c>
      <c r="P690">
        <v>240000</v>
      </c>
      <c r="Q690">
        <v>242760</v>
      </c>
      <c r="T690" s="68">
        <f>=P690/10000*J690*Z690</f>
        <v>1728</v>
      </c>
      <c r="U690">
        <v>450</v>
      </c>
      <c r="V690" s="68" t="s"/>
      <c r="W690" s="68" t="s"/>
      <c r="X690" s="68">
        <f>=O690-P690</f>
        <v>2760</v>
      </c>
      <c r="Y690" s="68">
        <f>=X690-T690-U690-V690</f>
        <v>582</v>
      </c>
      <c r="Z690" s="62">
        <f>=A690-$A$505+1</f>
        <v>36</v>
      </c>
      <c r="AA690" s="68">
        <f>=P690/10000*K690*Z690</f>
        <v>2160</v>
      </c>
      <c r="AB690" s="62">
        <f>=Q690*Z690</f>
        <v>8739360</v>
      </c>
      <c r="AC690" t="s">
        <v>58</v>
      </c>
    </row>
    <row r="691" spans="1:29">
      <c r="A691" s="147">
        <v>46190</v>
      </c>
      <c r="B691" s="123" t="s">
        <v>37</v>
      </c>
      <c r="C691" s="103" t="s"/>
      <c r="D691" s="151" t="s">
        <v>38</v>
      </c>
      <c r="E691" s="151" t="s">
        <v>148</v>
      </c>
      <c r="F691" s="151" t="s">
        <v>149</v>
      </c>
      <c r="G691" s="71" t="s">
        <v>150</v>
      </c>
      <c r="H691" s="98" t="s">
        <v>350</v>
      </c>
      <c r="I691" s="72" t="s">
        <v>47</v>
      </c>
      <c r="J691" s="62">
        <v>2</v>
      </c>
      <c r="K691" s="62">
        <v>2.5</v>
      </c>
      <c r="O691">
        <v>102890</v>
      </c>
      <c r="P691">
        <v>102000</v>
      </c>
      <c r="Q691">
        <v>102890</v>
      </c>
      <c r="T691" s="68">
        <f>=P691/10000*J691*Z691</f>
        <v>591.6</v>
      </c>
      <c r="U691">
        <v>100</v>
      </c>
      <c r="V691" s="68" t="s"/>
      <c r="W691" s="68" t="s"/>
      <c r="X691" s="68">
        <f>=O691-P691</f>
        <v>890.000000000015</v>
      </c>
      <c r="Y691" s="68">
        <f>=X691-T691-U691-V691</f>
        <v>198.400000000015</v>
      </c>
      <c r="Z691" s="62">
        <f>=A691-$A$569+1</f>
        <v>29</v>
      </c>
      <c r="AA691" s="68">
        <f>=P691/10000*K691*Z691</f>
        <v>739.5</v>
      </c>
      <c r="AB691" s="62">
        <f>=Q691*Z691</f>
        <v>2983810</v>
      </c>
      <c r="AC691" t="s">
        <v>58</v>
      </c>
    </row>
    <row r="692" spans="1:29">
      <c r="A692" s="147">
        <v>46190</v>
      </c>
      <c r="B692" s="62" t="s">
        <v>37</v>
      </c>
      <c r="C692" s="103" t="s"/>
      <c r="D692" s="63" t="s">
        <v>38</v>
      </c>
      <c r="E692" s="98" t="s">
        <v>167</v>
      </c>
      <c r="F692" s="98" t="s">
        <v>168</v>
      </c>
      <c r="G692" s="71" t="s">
        <v>138</v>
      </c>
      <c r="H692" s="98" t="s">
        <v>184</v>
      </c>
      <c r="I692" s="69" t="s">
        <v>47</v>
      </c>
      <c r="J692" s="62">
        <v>2</v>
      </c>
      <c r="K692" s="62">
        <v>2.5</v>
      </c>
      <c r="O692">
        <v>737280</v>
      </c>
      <c r="P692">
        <v>720000</v>
      </c>
      <c r="Q692">
        <v>737280</v>
      </c>
      <c r="T692" s="68">
        <f>=P692/10000*J692*Z692</f>
        <v>12384</v>
      </c>
      <c r="U692">
        <v>1200</v>
      </c>
      <c r="V692" s="68" t="s"/>
      <c r="W692" s="68" t="s"/>
      <c r="X692" s="68">
        <f>=O692-P692</f>
        <v>17280</v>
      </c>
      <c r="Y692" s="68">
        <f>=X692-T692-U692-V692</f>
        <v>3696</v>
      </c>
      <c r="Z692" s="62">
        <f>=A692-$A$248+1</f>
        <v>86</v>
      </c>
      <c r="AA692" s="68">
        <f>=P692/10000*K692*Z692</f>
        <v>15480</v>
      </c>
      <c r="AB692" s="62">
        <f>=Q692*Z692</f>
        <v>63406080</v>
      </c>
      <c r="AC692" t="s">
        <v>58</v>
      </c>
    </row>
    <row r="693" spans="1:29">
      <c r="A693" s="147">
        <v>46190</v>
      </c>
      <c r="B693" s="123" t="s">
        <v>37</v>
      </c>
      <c r="C693" s="103" t="s"/>
      <c r="D693" s="63" t="s">
        <v>38</v>
      </c>
      <c r="E693" s="62" t="s">
        <v>39</v>
      </c>
      <c r="F693" s="62" t="s">
        <v>40</v>
      </c>
      <c r="G693" s="64" t="s">
        <v>195</v>
      </c>
      <c r="H693" s="80" t="s">
        <v>196</v>
      </c>
      <c r="I693" s="65" t="s">
        <v>47</v>
      </c>
      <c r="J693" s="62">
        <v>2</v>
      </c>
      <c r="K693" s="62">
        <v>2.5</v>
      </c>
      <c r="O693">
        <v>547073.52</v>
      </c>
      <c r="P693">
        <v>535080</v>
      </c>
      <c r="Q693">
        <v>547073.52</v>
      </c>
      <c r="T693" s="68">
        <f>=P693/10000*J693*Z693</f>
        <v>8989.344</v>
      </c>
      <c r="U693">
        <v>504</v>
      </c>
      <c r="V693" s="68" t="s"/>
      <c r="W693" s="68" t="s"/>
      <c r="X693" s="68">
        <f>=O693-P693</f>
        <v>11993.52</v>
      </c>
      <c r="Y693" s="68">
        <f>=X693-T693-U693-V693</f>
        <v>2500.17600000002</v>
      </c>
      <c r="Z693" s="62">
        <f>=A693-$A$264+1</f>
        <v>84</v>
      </c>
      <c r="AA693" s="68">
        <f>=P693/10000*K693*Z693</f>
        <v>11236.68</v>
      </c>
      <c r="AB693" s="62">
        <f>=Q693*Z693</f>
        <v>45954175.68</v>
      </c>
      <c r="AC693" t="s">
        <v>58</v>
      </c>
    </row>
    <row r="694" spans="1:29">
      <c r="A694" s="147">
        <v>46190</v>
      </c>
      <c r="B694" s="103" t="s"/>
      <c r="C694" s="103" t="s"/>
      <c r="D694" s="62" t="s">
        <v>38</v>
      </c>
      <c r="E694" s="62" t="s">
        <v>133</v>
      </c>
      <c r="F694" s="62" t="s">
        <v>134</v>
      </c>
      <c r="G694" s="71" t="s">
        <v>135</v>
      </c>
      <c r="H694" s="98" t="s">
        <v>144</v>
      </c>
      <c r="I694" s="65" t="s">
        <v>47</v>
      </c>
      <c r="J694" s="62">
        <v>2</v>
      </c>
      <c r="K694" s="62">
        <v>2.5</v>
      </c>
      <c r="O694">
        <v>76505.6</v>
      </c>
      <c r="P694">
        <v>74400</v>
      </c>
      <c r="Q694">
        <v>76505.6</v>
      </c>
      <c r="T694" s="68">
        <f>=P694/10000*J694*Z694</f>
        <v>1428.48</v>
      </c>
      <c r="U694">
        <v>320</v>
      </c>
      <c r="V694" s="68" t="s"/>
      <c r="W694" s="68" t="s"/>
      <c r="X694" s="68">
        <f>=O694-P694</f>
        <v>2105.60000000001</v>
      </c>
      <c r="Y694" s="68">
        <f>=X694-T694-U694-V694</f>
        <v>357.120000000006</v>
      </c>
      <c r="Z694" s="62">
        <f>=A694-$A$211+1</f>
        <v>96</v>
      </c>
      <c r="AA694" s="68">
        <f>=P694/10000*K694*Z694</f>
        <v>1785.6</v>
      </c>
      <c r="AB694" s="62">
        <f>=Q694*Z694</f>
        <v>7344537.6</v>
      </c>
      <c r="AC694" t="s">
        <v>58</v>
      </c>
    </row>
    <row r="695" spans="1:29">
      <c r="A695" s="147">
        <v>46190</v>
      </c>
      <c r="B695" s="103" t="s"/>
      <c r="C695" s="103" t="s"/>
      <c r="D695" s="62" t="s">
        <v>38</v>
      </c>
      <c r="E695" s="62" t="s">
        <v>133</v>
      </c>
      <c r="F695" s="62" t="s">
        <v>134</v>
      </c>
      <c r="G695" s="71" t="s">
        <v>135</v>
      </c>
      <c r="H695" s="98" t="s">
        <v>247</v>
      </c>
      <c r="I695" s="65" t="s">
        <v>47</v>
      </c>
      <c r="J695" s="62">
        <v>2</v>
      </c>
      <c r="K695" s="62">
        <v>2.5</v>
      </c>
      <c r="O695">
        <v>115805.2</v>
      </c>
      <c r="P695">
        <v>113400</v>
      </c>
      <c r="Q695">
        <v>115805.2</v>
      </c>
      <c r="T695" s="68">
        <f>=P695/10000*J695*Z695</f>
        <v>1587.6</v>
      </c>
      <c r="U695">
        <v>420</v>
      </c>
      <c r="V695" s="68" t="s"/>
      <c r="W695" s="68" t="s"/>
      <c r="X695" s="68">
        <f>=O695-P695</f>
        <v>2405.2</v>
      </c>
      <c r="Y695" s="68">
        <f>=X695-T695-U695-V695</f>
        <v>397.599999999997</v>
      </c>
      <c r="Z695" s="62">
        <f>=A695-$A$347+1</f>
        <v>70</v>
      </c>
      <c r="AA695" s="68">
        <f>=P695/10000*K695*Z695</f>
        <v>1984.5</v>
      </c>
      <c r="AB695" s="62">
        <f>=Q695*Z695</f>
        <v>8106364</v>
      </c>
      <c r="AC695" t="s">
        <v>58</v>
      </c>
    </row>
    <row r="696" spans="1:29">
      <c r="A696" s="147">
        <v>46190</v>
      </c>
      <c r="B696" s="103" t="s"/>
      <c r="C696" s="103" t="s"/>
      <c r="D696" s="62" t="s">
        <v>38</v>
      </c>
      <c r="E696" s="62" t="s">
        <v>133</v>
      </c>
      <c r="F696" s="62" t="s">
        <v>134</v>
      </c>
      <c r="G696" s="71" t="s">
        <v>135</v>
      </c>
      <c r="H696" s="98" t="s">
        <v>174</v>
      </c>
      <c r="I696" s="65" t="s">
        <v>47</v>
      </c>
      <c r="J696" s="62">
        <v>2</v>
      </c>
      <c r="K696" s="62">
        <v>2.5</v>
      </c>
      <c r="O696">
        <v>86040</v>
      </c>
      <c r="P696">
        <v>84000</v>
      </c>
      <c r="Q696">
        <v>86040</v>
      </c>
      <c r="T696" s="68">
        <f>=P696/10000*J696*Z696</f>
        <v>1512</v>
      </c>
      <c r="U696">
        <v>150</v>
      </c>
      <c r="V696" s="68" t="s"/>
      <c r="W696" s="68" t="s"/>
      <c r="X696" s="68">
        <f>=O696-P696</f>
        <v>2040</v>
      </c>
      <c r="Y696" s="68">
        <f>=X696-T696-U696-V696</f>
        <v>378</v>
      </c>
      <c r="Z696" s="62">
        <f>=A696-$A$233+1</f>
        <v>90</v>
      </c>
      <c r="AA696" s="68">
        <f>=P696/10000*K696*Z696</f>
        <v>1890</v>
      </c>
      <c r="AB696" s="62">
        <f>=Q696*Z696</f>
        <v>7743600</v>
      </c>
      <c r="AC696" t="s">
        <v>58</v>
      </c>
    </row>
    <row r="697" spans="1:29">
      <c r="A697" s="147">
        <v>46190</v>
      </c>
      <c r="B697" s="103" t="s"/>
      <c r="C697" s="103" t="s"/>
      <c r="D697" s="62" t="s">
        <v>38</v>
      </c>
      <c r="E697" s="62" t="s">
        <v>133</v>
      </c>
      <c r="F697" s="62" t="s">
        <v>134</v>
      </c>
      <c r="G697" s="71" t="s">
        <v>135</v>
      </c>
      <c r="H697" s="98" t="s">
        <v>237</v>
      </c>
      <c r="I697" s="65" t="s">
        <v>47</v>
      </c>
      <c r="J697" s="62">
        <v>2</v>
      </c>
      <c r="K697" s="62">
        <v>2.5</v>
      </c>
      <c r="O697">
        <v>13616</v>
      </c>
      <c r="P697">
        <v>13300</v>
      </c>
      <c r="Q697">
        <v>13616</v>
      </c>
      <c r="T697" s="68">
        <f>=P697/10000*J697*Z697</f>
        <v>204.82</v>
      </c>
      <c r="U697">
        <v>60</v>
      </c>
      <c r="V697" s="68" t="s"/>
      <c r="W697" s="68" t="s"/>
      <c r="X697" s="68">
        <f>=O697-P697</f>
        <v>316</v>
      </c>
      <c r="Y697" s="68">
        <f>=X697-T697-U697-V697</f>
        <v>51.18</v>
      </c>
      <c r="Z697" s="62">
        <f>=A697-$A$312+1</f>
        <v>77</v>
      </c>
      <c r="AA697" s="68">
        <f>=P697/10000*K697*Z697</f>
        <v>256.025</v>
      </c>
      <c r="AB697" s="62">
        <f>=Q697*Z697</f>
        <v>1048432</v>
      </c>
      <c r="AC697" t="s">
        <v>58</v>
      </c>
    </row>
    <row r="698" spans="1:29">
      <c r="A698" s="147">
        <v>46190</v>
      </c>
      <c r="B698" s="103" t="s"/>
      <c r="C698" s="103" t="s"/>
      <c r="D698" s="62" t="s">
        <v>38</v>
      </c>
      <c r="E698" s="62" t="s">
        <v>85</v>
      </c>
      <c r="F698" s="62" t="s">
        <v>120</v>
      </c>
      <c r="G698" s="71" t="s">
        <v>339</v>
      </c>
      <c r="H698" t="s">
        <v>345</v>
      </c>
      <c r="I698" s="69" t="s">
        <v>47</v>
      </c>
      <c r="J698" s="62">
        <v>2</v>
      </c>
      <c r="K698" s="62">
        <v>2.6</v>
      </c>
      <c r="O698">
        <v>313085</v>
      </c>
      <c r="P698">
        <v>310000</v>
      </c>
      <c r="Q698">
        <v>313085</v>
      </c>
      <c r="T698" s="68">
        <f>=P698/10000*J698*Z698</f>
        <v>1798</v>
      </c>
      <c r="U698">
        <v>500</v>
      </c>
      <c r="V698" s="68" t="s"/>
      <c r="W698" s="68" t="s"/>
      <c r="X698" s="68">
        <f>=O698-P698</f>
        <v>3085</v>
      </c>
      <c r="Y698" s="68">
        <f>=X698-T698-U698-V698</f>
        <v>787</v>
      </c>
      <c r="Z698" s="62">
        <f>=A698-$A$561+1</f>
        <v>29</v>
      </c>
      <c r="AA698" s="68">
        <f>=P698/10000*K698*Z698</f>
        <v>2337.4</v>
      </c>
      <c r="AB698" s="62">
        <f>=Q698*Z698</f>
        <v>9079465</v>
      </c>
      <c r="AC698" t="s">
        <v>58</v>
      </c>
    </row>
    <row r="699" spans="1:29">
      <c r="A699" s="147">
        <v>46190</v>
      </c>
      <c r="B699" s="103" t="s"/>
      <c r="C699" s="103" t="s"/>
      <c r="D699" s="64" t="s">
        <v>38</v>
      </c>
      <c r="E699" s="64" t="s">
        <v>148</v>
      </c>
      <c r="F699" s="64" t="s">
        <v>153</v>
      </c>
      <c r="G699" s="71" t="s">
        <v>211</v>
      </c>
      <c r="H699" s="98" t="s">
        <v>231</v>
      </c>
      <c r="I699" s="72" t="s">
        <v>47</v>
      </c>
      <c r="J699" s="62">
        <v>2</v>
      </c>
      <c r="K699" s="62">
        <v>2.5</v>
      </c>
      <c r="O699">
        <v>181407.87</v>
      </c>
      <c r="P699">
        <v>177660</v>
      </c>
      <c r="Q699">
        <v>181407.87</v>
      </c>
      <c r="T699" s="68">
        <f>=P699/10000*J699*Z699</f>
        <v>2771.496</v>
      </c>
      <c r="U699">
        <v>283.5</v>
      </c>
      <c r="V699" s="68" t="s"/>
      <c r="W699" s="68" t="s"/>
      <c r="X699" s="68">
        <f>=O699-P699</f>
        <v>3747.87</v>
      </c>
      <c r="Y699" s="68">
        <f>=X699-T699-U699-V699</f>
        <v>692.873999999996</v>
      </c>
      <c r="Z699" s="62">
        <f>=A699-$A$298+1</f>
        <v>78</v>
      </c>
      <c r="AA699" s="68">
        <f>=P699/10000*K699*Z699</f>
        <v>3464.37</v>
      </c>
      <c r="AB699" s="62">
        <f>=Q699*Z699</f>
        <v>14149813.86</v>
      </c>
      <c r="AC699" t="s">
        <v>58</v>
      </c>
    </row>
    <row r="700" spans="1:29">
      <c r="A700" s="147">
        <v>46190</v>
      </c>
      <c r="B700" s="103" t="s"/>
      <c r="C700" s="103" t="s"/>
      <c r="D700" s="64" t="s">
        <v>38</v>
      </c>
      <c r="E700" s="64" t="s">
        <v>148</v>
      </c>
      <c r="F700" s="64" t="s">
        <v>153</v>
      </c>
      <c r="G700" s="71" t="s">
        <v>211</v>
      </c>
      <c r="H700" s="98" t="s">
        <v>238</v>
      </c>
      <c r="I700" s="72" t="s">
        <v>47</v>
      </c>
      <c r="J700" s="62">
        <v>2</v>
      </c>
      <c r="K700" s="62">
        <v>2.5</v>
      </c>
      <c r="O700">
        <v>740433.03</v>
      </c>
      <c r="P700">
        <v>725340</v>
      </c>
      <c r="Q700">
        <v>740433.03</v>
      </c>
      <c r="T700" s="68">
        <f>=P700/10000*J700*Z700</f>
        <v>11170.236</v>
      </c>
      <c r="U700">
        <v>1066.5</v>
      </c>
      <c r="V700" s="68" t="s"/>
      <c r="W700" s="68" t="s"/>
      <c r="X700" s="68">
        <f>=O700-P700</f>
        <v>15093.03</v>
      </c>
      <c r="Y700" s="68">
        <f>=X700-T700-U700-V700</f>
        <v>2856.29400000003</v>
      </c>
      <c r="Z700" s="62">
        <f>=A700-$A$315+1</f>
        <v>77</v>
      </c>
      <c r="AA700" s="68">
        <f>=P700/10000*K700*Z700</f>
        <v>13962.795</v>
      </c>
      <c r="AB700" s="62">
        <f>=Q700*Z700</f>
        <v>57013343.31</v>
      </c>
      <c r="AC700" t="s">
        <v>58</v>
      </c>
    </row>
    <row r="701" spans="1:29">
      <c r="A701" s="147">
        <v>46191</v>
      </c>
      <c r="B701" t="s">
        <v>37</v>
      </c>
      <c r="C701" s="103" t="s"/>
      <c r="D701" s="62" t="s">
        <v>38</v>
      </c>
      <c r="E701" s="62" t="s">
        <v>128</v>
      </c>
      <c r="F701" s="62" t="s">
        <v>129</v>
      </c>
      <c r="G701" s="94" t="s">
        <v>145</v>
      </c>
      <c r="H701" s="71" t="s">
        <v>341</v>
      </c>
      <c r="I701" s="72" t="s">
        <v>47</v>
      </c>
      <c r="J701" s="62">
        <v>2</v>
      </c>
      <c r="K701" s="62">
        <v>2.5</v>
      </c>
      <c r="O701">
        <v>373468</v>
      </c>
      <c r="P701">
        <v>370000</v>
      </c>
      <c r="Q701">
        <v>373468</v>
      </c>
      <c r="T701" s="68">
        <f>=P701/10000*J701*Z701</f>
        <v>2294</v>
      </c>
      <c r="U701">
        <v>400</v>
      </c>
      <c r="V701" s="68" t="s"/>
      <c r="W701" s="68" t="s"/>
      <c r="X701" s="68">
        <f>=O701-P701</f>
        <v>3468</v>
      </c>
      <c r="Y701" s="68">
        <f>=X701-T701-U701-V701</f>
        <v>774</v>
      </c>
      <c r="Z701" s="62">
        <f>=A701-$A$549+1</f>
        <v>31</v>
      </c>
      <c r="AA701" s="68">
        <f>=P701/10000*K701*Z701</f>
        <v>2867.5</v>
      </c>
      <c r="AB701" s="62">
        <f>=Q701*Z701</f>
        <v>11577508</v>
      </c>
      <c r="AC701" t="s">
        <v>58</v>
      </c>
    </row>
    <row r="702" spans="1:29">
      <c r="A702" s="147">
        <v>46191</v>
      </c>
      <c r="B702" s="103" t="s"/>
      <c r="C702" s="103" t="s"/>
      <c r="D702" s="62" t="s">
        <v>38</v>
      </c>
      <c r="E702" s="98" t="s">
        <v>167</v>
      </c>
      <c r="F702" s="98" t="s">
        <v>168</v>
      </c>
      <c r="G702" s="71" t="s">
        <v>169</v>
      </c>
      <c r="H702" s="71" t="s">
        <v>351</v>
      </c>
      <c r="I702" s="65" t="s">
        <v>47</v>
      </c>
      <c r="J702" s="62">
        <v>2</v>
      </c>
      <c r="K702" s="62">
        <v>2.5</v>
      </c>
      <c r="O702">
        <v>88251.6</v>
      </c>
      <c r="P702">
        <v>87600</v>
      </c>
      <c r="Q702">
        <v>88251.6</v>
      </c>
      <c r="T702" s="68">
        <f>=P702/10000*J702*Z702</f>
        <v>508.08</v>
      </c>
      <c r="U702">
        <v>11</v>
      </c>
      <c r="V702" s="68" t="s"/>
      <c r="W702" s="68" t="s"/>
      <c r="X702" s="68">
        <f>=O702-P702</f>
        <v>651.600000000006</v>
      </c>
      <c r="Y702" s="68">
        <f>=X702-T702-U702-V702</f>
        <v>132.520000000006</v>
      </c>
      <c r="Z702" s="62">
        <f>=A702-$A$577+1</f>
        <v>29</v>
      </c>
      <c r="AA702" s="68">
        <f>=P702/10000*K702*Z702</f>
        <v>635.1</v>
      </c>
      <c r="AB702" s="62">
        <f>=Q702*Z702</f>
        <v>2559296.4</v>
      </c>
      <c r="AC702" t="s">
        <v>58</v>
      </c>
    </row>
    <row r="703" spans="1:29">
      <c r="A703" s="147">
        <v>46191</v>
      </c>
      <c r="B703" s="103" t="s"/>
      <c r="C703" s="103" t="s"/>
      <c r="D703" s="62" t="s">
        <v>38</v>
      </c>
      <c r="E703" s="98" t="s">
        <v>167</v>
      </c>
      <c r="F703" s="98" t="s">
        <v>168</v>
      </c>
      <c r="G703" s="71" t="s">
        <v>169</v>
      </c>
      <c r="H703" s="71" t="s">
        <v>354</v>
      </c>
      <c r="I703" s="65" t="s">
        <v>47</v>
      </c>
      <c r="J703" s="62">
        <v>2</v>
      </c>
      <c r="K703" s="62">
        <v>2.5</v>
      </c>
      <c r="O703">
        <v>99374.62</v>
      </c>
      <c r="P703">
        <v>98660</v>
      </c>
      <c r="Q703">
        <v>99374.62</v>
      </c>
      <c r="T703" s="68">
        <f>=P703/10000*J703*Z703</f>
        <v>552.496</v>
      </c>
      <c r="U703">
        <v>16</v>
      </c>
      <c r="V703" s="68" t="s"/>
      <c r="W703" s="68" t="s"/>
      <c r="X703" s="68">
        <f>=O703-P703</f>
        <v>714.619999999996</v>
      </c>
      <c r="Y703" s="68">
        <f>=X703-T703-U703-V703</f>
        <v>146.123999999995</v>
      </c>
      <c r="Z703" s="62">
        <f>=A703-$A$582+1</f>
        <v>28</v>
      </c>
      <c r="AA703" s="68">
        <f>=P703/10000*K703*Z703</f>
        <v>690.62</v>
      </c>
      <c r="AB703" s="62">
        <f>=Q703*Z703</f>
        <v>2782489.36</v>
      </c>
      <c r="AC703" t="s">
        <v>58</v>
      </c>
    </row>
    <row r="704" spans="1:29">
      <c r="A704" s="147">
        <v>46191</v>
      </c>
      <c r="B704" s="103" t="s"/>
      <c r="C704" s="103" t="s"/>
      <c r="D704" s="62" t="s">
        <v>38</v>
      </c>
      <c r="E704" s="62" t="s">
        <v>133</v>
      </c>
      <c r="F704" s="62" t="s">
        <v>134</v>
      </c>
      <c r="G704" s="64" t="s">
        <v>135</v>
      </c>
      <c r="H704" s="80" t="s">
        <v>187</v>
      </c>
      <c r="I704" s="65" t="s">
        <v>47</v>
      </c>
      <c r="J704" s="62">
        <v>2</v>
      </c>
      <c r="K704" s="62">
        <v>2.5</v>
      </c>
      <c r="O704">
        <v>149330</v>
      </c>
      <c r="P704">
        <v>145600</v>
      </c>
      <c r="Q704">
        <v>149330</v>
      </c>
      <c r="T704" s="68">
        <f>=P704/10000*J704*Z704</f>
        <v>2504.32</v>
      </c>
      <c r="U704">
        <v>600</v>
      </c>
      <c r="V704" s="68" t="s"/>
      <c r="W704" s="68" t="s"/>
      <c r="X704" s="68">
        <f>=O704-P704</f>
        <v>3730</v>
      </c>
      <c r="Y704" s="68">
        <f>=X704-T704-U704-V704</f>
        <v>625.68</v>
      </c>
      <c r="Z704" s="62">
        <f>=A704-$A$256+1</f>
        <v>86</v>
      </c>
      <c r="AA704" s="68">
        <f>=P704/10000*K704*Z704</f>
        <v>3130.4</v>
      </c>
      <c r="AB704" s="62">
        <f>=Q704*Z704</f>
        <v>12842380</v>
      </c>
      <c r="AC704" t="s">
        <v>58</v>
      </c>
    </row>
    <row r="705" spans="1:29">
      <c r="A705" s="147">
        <v>46191</v>
      </c>
      <c r="B705" s="103" t="s"/>
      <c r="C705" s="103" t="s"/>
      <c r="D705" s="62" t="s">
        <v>38</v>
      </c>
      <c r="E705" s="62" t="s">
        <v>133</v>
      </c>
      <c r="F705" s="62" t="s">
        <v>134</v>
      </c>
      <c r="G705" s="64" t="s">
        <v>135</v>
      </c>
      <c r="H705" s="80" t="s">
        <v>237</v>
      </c>
      <c r="I705" s="65" t="s">
        <v>47</v>
      </c>
      <c r="J705" s="62">
        <v>2</v>
      </c>
      <c r="K705" s="62">
        <v>2.5</v>
      </c>
      <c r="O705">
        <v>34048.5</v>
      </c>
      <c r="P705">
        <v>33250</v>
      </c>
      <c r="Q705">
        <v>34048.5</v>
      </c>
      <c r="T705" s="68">
        <f>=P705/10000*J705*Z705</f>
        <v>518.7</v>
      </c>
      <c r="U705">
        <v>150</v>
      </c>
      <c r="V705" s="68" t="s"/>
      <c r="W705" s="68" t="s"/>
      <c r="X705" s="68">
        <f>=O705-P705</f>
        <v>798.5</v>
      </c>
      <c r="Y705" s="68">
        <f>=X705-T705-U705-V705</f>
        <v>129.8</v>
      </c>
      <c r="Z705" s="62">
        <f>=A705-$A$312+1</f>
        <v>78</v>
      </c>
      <c r="AA705" s="68">
        <f>=P705/10000*K705*Z705</f>
        <v>648.375</v>
      </c>
      <c r="AB705" s="62">
        <f>=Q705*Z705</f>
        <v>2655783</v>
      </c>
      <c r="AC705" t="s">
        <v>58</v>
      </c>
    </row>
    <row r="706" spans="1:29">
      <c r="A706" s="147">
        <v>46191</v>
      </c>
      <c r="B706" s="103" t="s"/>
      <c r="C706" s="103" t="s"/>
      <c r="D706" s="62" t="s">
        <v>38</v>
      </c>
      <c r="E706" s="62" t="s">
        <v>133</v>
      </c>
      <c r="F706" s="62" t="s">
        <v>134</v>
      </c>
      <c r="G706" s="64" t="s">
        <v>135</v>
      </c>
      <c r="H706" s="80" t="s">
        <v>327</v>
      </c>
      <c r="I706" s="65" t="s">
        <v>47</v>
      </c>
      <c r="J706" s="62">
        <v>2</v>
      </c>
      <c r="K706" s="62">
        <v>2.5</v>
      </c>
      <c r="O706">
        <v>70848</v>
      </c>
      <c r="P706">
        <v>70000</v>
      </c>
      <c r="Q706">
        <v>70848</v>
      </c>
      <c r="T706" s="68">
        <f>=P706/10000*J706*Z706</f>
        <v>518</v>
      </c>
      <c r="U706">
        <v>200</v>
      </c>
      <c r="V706" s="68" t="s"/>
      <c r="W706" s="68" t="s"/>
      <c r="X706" s="68">
        <f>=O706-P706</f>
        <v>848</v>
      </c>
      <c r="Y706" s="68">
        <f>=X706-T706-U706-V706</f>
        <v>130</v>
      </c>
      <c r="Z706" s="62">
        <f>=A706-$A$517+1</f>
        <v>37</v>
      </c>
      <c r="AA706" s="68">
        <f>=P706/10000*K706*Z706</f>
        <v>647.5</v>
      </c>
      <c r="AB706" s="62">
        <f>=Q706*Z706</f>
        <v>2621376</v>
      </c>
      <c r="AC706" t="s">
        <v>58</v>
      </c>
    </row>
    <row r="707" spans="1:29">
      <c r="A707" s="147">
        <v>46193</v>
      </c>
      <c r="B707" s="123" t="s">
        <v>37</v>
      </c>
      <c r="C707" s="103" t="s"/>
      <c r="D707" s="151" t="s">
        <v>38</v>
      </c>
      <c r="E707" s="151" t="s">
        <v>148</v>
      </c>
      <c r="F707" s="151" t="s">
        <v>149</v>
      </c>
      <c r="G707" s="71" t="s">
        <v>150</v>
      </c>
      <c r="H707" s="98" t="s">
        <v>350</v>
      </c>
      <c r="I707" s="72" t="s">
        <v>47</v>
      </c>
      <c r="J707" s="62">
        <v>2</v>
      </c>
      <c r="K707" s="62">
        <v>2.5</v>
      </c>
      <c r="O707">
        <v>206232</v>
      </c>
      <c r="P707">
        <v>204000</v>
      </c>
      <c r="Q707">
        <v>206232</v>
      </c>
      <c r="T707" s="68">
        <f>=P707/10000*J707*Z707</f>
        <v>1305.6</v>
      </c>
      <c r="U707">
        <v>400</v>
      </c>
      <c r="V707" s="68" t="s"/>
      <c r="W707" s="68" t="s"/>
      <c r="X707" s="68">
        <f>=O707-P707</f>
        <v>2232.00000000003</v>
      </c>
      <c r="Y707" s="68">
        <f>=X707-T707-U707-V707</f>
        <v>526.400000000029</v>
      </c>
      <c r="Z707" s="62">
        <f>=A707-$A$569+1</f>
        <v>32</v>
      </c>
      <c r="AA707" s="68">
        <f>=P707/10000*K707*Z707</f>
        <v>1632</v>
      </c>
      <c r="AB707" s="62">
        <f>=Q707*Z707</f>
        <v>6599424</v>
      </c>
      <c r="AC707" t="s">
        <v>58</v>
      </c>
    </row>
    <row r="708" spans="1:29">
      <c r="A708" s="147">
        <v>46195</v>
      </c>
      <c r="B708" s="103" t="s"/>
      <c r="C708" s="103" t="s"/>
      <c r="D708" s="62" t="s">
        <v>38</v>
      </c>
      <c r="E708" s="62" t="s">
        <v>133</v>
      </c>
      <c r="F708" s="62" t="s">
        <v>134</v>
      </c>
      <c r="G708" s="71" t="s">
        <v>135</v>
      </c>
      <c r="H708" s="98" t="s">
        <v>186</v>
      </c>
      <c r="I708" s="65" t="s">
        <v>47</v>
      </c>
      <c r="J708" s="62">
        <v>2</v>
      </c>
      <c r="K708" s="62">
        <v>2.5</v>
      </c>
      <c r="O708">
        <v>75772</v>
      </c>
      <c r="P708">
        <v>73500</v>
      </c>
      <c r="Q708">
        <v>75772</v>
      </c>
      <c r="T708" s="68">
        <f>=P708/10000*J708*Z708</f>
        <v>1337.7</v>
      </c>
      <c r="U708">
        <v>400</v>
      </c>
      <c r="V708" s="68" t="s"/>
      <c r="W708" s="68" t="s"/>
      <c r="X708" s="68">
        <f>=O708-P708</f>
        <v>2272</v>
      </c>
      <c r="Y708" s="68">
        <f>=X708-T708-U708-V708</f>
        <v>534.3</v>
      </c>
      <c r="Z708" s="62">
        <f>=A708-$A$255+1</f>
        <v>91</v>
      </c>
      <c r="AA708" s="68">
        <f>=P708/10000*K708*Z708</f>
        <v>1672.125</v>
      </c>
      <c r="AB708" s="62">
        <f>=Q708*Z708</f>
        <v>6895252</v>
      </c>
      <c r="AC708" t="s">
        <v>58</v>
      </c>
    </row>
    <row r="709" spans="1:29">
      <c r="A709" s="147">
        <v>46195</v>
      </c>
      <c r="B709" s="103" t="s"/>
      <c r="C709" s="103" t="s"/>
      <c r="D709" s="62" t="s">
        <v>38</v>
      </c>
      <c r="E709" s="98" t="s">
        <v>167</v>
      </c>
      <c r="F709" s="98" t="s">
        <v>168</v>
      </c>
      <c r="G709" s="71" t="s">
        <v>169</v>
      </c>
      <c r="H709" s="71" t="s">
        <v>351</v>
      </c>
      <c r="I709" s="65" t="s">
        <v>47</v>
      </c>
      <c r="J709" s="62">
        <v>2</v>
      </c>
      <c r="K709" s="62">
        <v>2.5</v>
      </c>
      <c r="O709">
        <v>62938.8</v>
      </c>
      <c r="P709">
        <v>62400</v>
      </c>
      <c r="Q709">
        <v>62938.8</v>
      </c>
      <c r="T709" s="68">
        <f>=P709/10000*J709*Z709</f>
        <v>411.84</v>
      </c>
      <c r="U709">
        <v>14</v>
      </c>
      <c r="V709" s="68" t="s"/>
      <c r="W709" s="68" t="s"/>
      <c r="X709" s="68">
        <f>=O709-P709</f>
        <v>538.800000000003</v>
      </c>
      <c r="Y709" s="68">
        <f>=X709-T709-U709-V709</f>
        <v>112.960000000003</v>
      </c>
      <c r="Z709" s="62">
        <f>=A709-$A$577+1</f>
        <v>33</v>
      </c>
      <c r="AA709" s="68">
        <f>=P709/10000*K709*Z709</f>
        <v>514.8</v>
      </c>
      <c r="AB709" s="62">
        <f>=Q709*Z709</f>
        <v>2076980.4</v>
      </c>
      <c r="AC709" t="s">
        <v>58</v>
      </c>
    </row>
    <row r="710" spans="1:29">
      <c r="A710" s="147">
        <v>46195</v>
      </c>
      <c r="B710" s="103" t="s"/>
      <c r="C710" s="103" t="s"/>
      <c r="D710" s="62" t="s">
        <v>38</v>
      </c>
      <c r="E710" s="98" t="s">
        <v>167</v>
      </c>
      <c r="F710" s="98" t="s">
        <v>168</v>
      </c>
      <c r="G710" s="71" t="s">
        <v>169</v>
      </c>
      <c r="H710" s="71" t="s">
        <v>354</v>
      </c>
      <c r="I710" s="65" t="s">
        <v>47</v>
      </c>
      <c r="J710" s="62">
        <v>2</v>
      </c>
      <c r="K710" s="62">
        <v>2.5</v>
      </c>
      <c r="O710">
        <v>94719.36</v>
      </c>
      <c r="P710">
        <v>93920</v>
      </c>
      <c r="Q710">
        <v>94719.36</v>
      </c>
      <c r="T710" s="68">
        <f>=P710/10000*J710*Z710</f>
        <v>601.088</v>
      </c>
      <c r="U710">
        <v>32</v>
      </c>
      <c r="V710" s="68" t="s"/>
      <c r="W710" s="68" t="s"/>
      <c r="X710" s="68">
        <f>=O710-P710</f>
        <v>799.360000000001</v>
      </c>
      <c r="Y710" s="68">
        <f>=X710-T710-U710-V710</f>
        <v>166.272000000001</v>
      </c>
      <c r="Z710" s="62">
        <f>=A710-$A$582+1</f>
        <v>32</v>
      </c>
      <c r="AA710" s="68">
        <f>=P710/10000*K710*Z710</f>
        <v>751.36</v>
      </c>
      <c r="AB710" s="62">
        <f>=Q710*Z710</f>
        <v>3031019.52</v>
      </c>
      <c r="AC710" t="s">
        <v>58</v>
      </c>
    </row>
    <row r="711" spans="1:29">
      <c r="A711" s="147">
        <v>46195</v>
      </c>
      <c r="B711" s="103" t="s"/>
      <c r="C711" s="103" t="s"/>
      <c r="D711" s="64" t="s">
        <v>38</v>
      </c>
      <c r="E711" s="64" t="s">
        <v>148</v>
      </c>
      <c r="F711" s="64" t="s">
        <v>153</v>
      </c>
      <c r="G711" s="71" t="s">
        <v>211</v>
      </c>
      <c r="H711" s="98" t="s">
        <v>231</v>
      </c>
      <c r="I711" s="72" t="s">
        <v>47</v>
      </c>
      <c r="J711" s="62">
        <v>2</v>
      </c>
      <c r="K711" s="62">
        <v>2.5</v>
      </c>
      <c r="O711">
        <v>25776.9</v>
      </c>
      <c r="P711">
        <v>25200</v>
      </c>
      <c r="Q711">
        <v>25776.9</v>
      </c>
      <c r="T711" s="68">
        <f>=P711/10000*J711*Z711</f>
        <v>418.32</v>
      </c>
      <c r="U711">
        <v>40.5</v>
      </c>
      <c r="V711" s="68" t="s"/>
      <c r="W711" s="68" t="s"/>
      <c r="X711" s="68">
        <f>=O711-P711</f>
        <v>576.899999999998</v>
      </c>
      <c r="Y711" s="68">
        <f>=X711-T711-U711-V711</f>
        <v>118.079999999998</v>
      </c>
      <c r="Z711" s="62">
        <f>=A711-$A$298+1</f>
        <v>83</v>
      </c>
      <c r="AA711" s="68">
        <f>=P711/10000*K711*Z711</f>
        <v>522.9</v>
      </c>
      <c r="AB711" s="62">
        <f>=Q711*Z711</f>
        <v>2139482.7</v>
      </c>
      <c r="AC711" t="s">
        <v>58</v>
      </c>
    </row>
    <row r="712" spans="1:29">
      <c r="A712" s="147">
        <v>46195</v>
      </c>
      <c r="B712" s="103" t="s"/>
      <c r="C712" s="103" t="s"/>
      <c r="D712" s="64" t="s">
        <v>38</v>
      </c>
      <c r="E712" s="64" t="s">
        <v>148</v>
      </c>
      <c r="F712" s="64" t="s">
        <v>153</v>
      </c>
      <c r="G712" s="71" t="s">
        <v>211</v>
      </c>
      <c r="H712" s="98" t="s">
        <v>269</v>
      </c>
      <c r="I712" s="72" t="s">
        <v>47</v>
      </c>
      <c r="J712" s="62">
        <v>2</v>
      </c>
      <c r="K712" s="62">
        <v>2.5</v>
      </c>
      <c r="O712">
        <v>56680.26</v>
      </c>
      <c r="P712">
        <v>55650</v>
      </c>
      <c r="Q712">
        <v>56680.26</v>
      </c>
      <c r="T712" s="68">
        <f>=P712/10000*J712*Z712</f>
        <v>723.45</v>
      </c>
      <c r="U712">
        <v>94.5</v>
      </c>
      <c r="V712" s="68" t="s"/>
      <c r="W712" s="68" t="s"/>
      <c r="X712" s="68">
        <f>=O712-P712</f>
        <v>1030.26</v>
      </c>
      <c r="Y712" s="68">
        <f>=X712-T712-U712-V712</f>
        <v>212.310000000002</v>
      </c>
      <c r="Z712" s="62">
        <f>=A712-$A$391+1</f>
        <v>65</v>
      </c>
      <c r="AA712" s="68">
        <f>=P712/10000*K712*Z712</f>
        <v>904.3125</v>
      </c>
      <c r="AB712" s="62">
        <f>=Q712*Z712</f>
        <v>3684216.9</v>
      </c>
      <c r="AC712" t="s">
        <v>58</v>
      </c>
    </row>
    <row r="713" spans="1:29">
      <c r="A713" s="147">
        <v>46195</v>
      </c>
      <c r="B713" s="62" t="s">
        <v>37</v>
      </c>
      <c r="C713" s="103" t="s"/>
      <c r="D713" s="63" t="s">
        <v>38</v>
      </c>
      <c r="E713" s="98" t="s">
        <v>167</v>
      </c>
      <c r="F713" s="98" t="s">
        <v>168</v>
      </c>
      <c r="G713" s="71" t="s">
        <v>138</v>
      </c>
      <c r="H713" s="98" t="s">
        <v>184</v>
      </c>
      <c r="I713" s="69" t="s">
        <v>47</v>
      </c>
      <c r="J713" s="62">
        <v>2</v>
      </c>
      <c r="K713" s="62">
        <v>2.5</v>
      </c>
      <c r="O713">
        <v>147756</v>
      </c>
      <c r="P713">
        <v>144000</v>
      </c>
      <c r="Q713">
        <v>147756</v>
      </c>
      <c r="T713" s="68">
        <f>=P713/10000*J713*Z713</f>
        <v>2620.8</v>
      </c>
      <c r="U713">
        <v>320</v>
      </c>
      <c r="V713" s="68" t="s"/>
      <c r="W713" s="68" t="s"/>
      <c r="X713" s="68">
        <f>=O713-P713</f>
        <v>3756</v>
      </c>
      <c r="Y713" s="68">
        <f>=X713-T713-U713-V713</f>
        <v>815.2</v>
      </c>
      <c r="Z713" s="62">
        <f>=A713-$A$248+1</f>
        <v>91</v>
      </c>
      <c r="AA713" s="68">
        <f>=P713/10000*K713*Z713</f>
        <v>3276</v>
      </c>
      <c r="AB713" s="62">
        <f>=Q713*Z713</f>
        <v>13445796</v>
      </c>
      <c r="AC713" t="s">
        <v>58</v>
      </c>
    </row>
    <row r="714" spans="1:29">
      <c r="A714" s="147">
        <v>46195</v>
      </c>
      <c r="B714" s="62" t="s">
        <v>37</v>
      </c>
      <c r="C714" s="103" t="s"/>
      <c r="D714" s="63" t="s">
        <v>38</v>
      </c>
      <c r="E714" s="98" t="s">
        <v>167</v>
      </c>
      <c r="F714" s="98" t="s">
        <v>168</v>
      </c>
      <c r="G714" s="71" t="s">
        <v>138</v>
      </c>
      <c r="H714" s="98" t="s">
        <v>193</v>
      </c>
      <c r="I714" s="69" t="s">
        <v>47</v>
      </c>
      <c r="J714" s="62">
        <v>2</v>
      </c>
      <c r="K714" s="62">
        <v>2.5</v>
      </c>
      <c r="O714">
        <v>36890</v>
      </c>
      <c r="P714">
        <v>36000</v>
      </c>
      <c r="Q714">
        <v>36890</v>
      </c>
      <c r="T714" s="68">
        <f>=P714/10000*J714*Z714</f>
        <v>640.8</v>
      </c>
      <c r="U714">
        <v>60</v>
      </c>
      <c r="V714" s="68" t="s"/>
      <c r="W714" s="68" t="s"/>
      <c r="X714" s="68">
        <f>=O714-P714</f>
        <v>890</v>
      </c>
      <c r="Y714" s="68">
        <f>=X714-T714-U714-V714</f>
        <v>189.2</v>
      </c>
      <c r="Z714" s="62">
        <f>=A714-$A$262+1</f>
        <v>89</v>
      </c>
      <c r="AA714" s="68">
        <f>=P714/10000*K714*Z714</f>
        <v>801</v>
      </c>
      <c r="AB714" s="62">
        <f>=Q714*Z714</f>
        <v>3283210</v>
      </c>
      <c r="AC714" t="s">
        <v>58</v>
      </c>
    </row>
    <row r="715" spans="1:29">
      <c r="A715" s="147">
        <v>46195</v>
      </c>
      <c r="B715" s="103" t="s"/>
      <c r="C715" s="103" t="s"/>
      <c r="D715" s="151" t="s">
        <v>38</v>
      </c>
      <c r="E715" s="151" t="s">
        <v>148</v>
      </c>
      <c r="F715" s="151" t="s">
        <v>149</v>
      </c>
      <c r="G715" s="71" t="s">
        <v>150</v>
      </c>
      <c r="H715" s="98" t="s">
        <v>314</v>
      </c>
      <c r="I715" s="69" t="s">
        <v>47</v>
      </c>
      <c r="J715" s="62">
        <v>2</v>
      </c>
      <c r="K715" s="62">
        <v>2.5</v>
      </c>
      <c r="O715">
        <v>47690.5</v>
      </c>
      <c r="P715">
        <v>47000</v>
      </c>
      <c r="Q715">
        <v>47690.5</v>
      </c>
      <c r="T715" s="68">
        <f>=P715/10000*J715*Z715</f>
        <v>432.4</v>
      </c>
      <c r="U715">
        <v>100</v>
      </c>
      <c r="V715" s="68" t="s"/>
      <c r="W715" s="68" t="s"/>
      <c r="X715" s="68">
        <f>=O715-P715</f>
        <v>690.5</v>
      </c>
      <c r="Y715" s="68">
        <f>=X715-T715-U715-V715</f>
        <v>158.1</v>
      </c>
      <c r="Z715" s="62">
        <f>=A715-$A$487+1</f>
        <v>46</v>
      </c>
      <c r="AA715" s="68">
        <f>=P715/10000*K715*Z715</f>
        <v>540.5</v>
      </c>
      <c r="AB715" s="62">
        <f>=Q715*Z715</f>
        <v>2193763</v>
      </c>
      <c r="AC715" t="s">
        <v>58</v>
      </c>
    </row>
    <row r="716" spans="1:29">
      <c r="A716" s="147">
        <v>46195</v>
      </c>
      <c r="B716" s="103" t="s"/>
      <c r="C716" s="103" t="s"/>
      <c r="D716" s="62" t="s">
        <v>38</v>
      </c>
      <c r="E716" s="62" t="s">
        <v>133</v>
      </c>
      <c r="F716" s="62" t="s">
        <v>134</v>
      </c>
      <c r="G716" s="71" t="s">
        <v>135</v>
      </c>
      <c r="H716" s="98" t="s">
        <v>207</v>
      </c>
      <c r="I716" s="73" t="s">
        <v>47</v>
      </c>
      <c r="J716" s="62">
        <v>2</v>
      </c>
      <c r="K716" s="62">
        <v>2.5</v>
      </c>
      <c r="O716">
        <v>70392</v>
      </c>
      <c r="P716">
        <v>68600</v>
      </c>
      <c r="Q716">
        <v>70392</v>
      </c>
      <c r="T716" s="68">
        <f>=P716/10000*J716*Z716</f>
        <v>1193.64</v>
      </c>
      <c r="U716">
        <v>300</v>
      </c>
      <c r="V716" s="68" t="s"/>
      <c r="W716" s="68" t="s"/>
      <c r="X716" s="68">
        <f>=O716-P716</f>
        <v>1792</v>
      </c>
      <c r="Y716" s="68">
        <f>=X716-T716-U716-V716</f>
        <v>298.36</v>
      </c>
      <c r="Z716" s="62">
        <f>=A716-$A$275+1</f>
        <v>87</v>
      </c>
      <c r="AA716" s="68">
        <f>=P716/10000*K716*Z716</f>
        <v>1492.05</v>
      </c>
      <c r="AB716" s="62">
        <f>=Q716*Z716</f>
        <v>6124104</v>
      </c>
      <c r="AC716" t="s">
        <v>58</v>
      </c>
    </row>
    <row r="717" spans="1:29">
      <c r="A717" s="147">
        <v>46195</v>
      </c>
      <c r="B717" s="103" t="s"/>
      <c r="C717" s="103" t="s"/>
      <c r="D717" s="62" t="s">
        <v>38</v>
      </c>
      <c r="E717" s="62" t="s">
        <v>133</v>
      </c>
      <c r="F717" s="62" t="s">
        <v>134</v>
      </c>
      <c r="G717" s="71" t="s">
        <v>135</v>
      </c>
      <c r="H717" s="98" t="s">
        <v>209</v>
      </c>
      <c r="I717" s="73" t="s">
        <v>47</v>
      </c>
      <c r="J717" s="62">
        <v>2</v>
      </c>
      <c r="K717" s="62">
        <v>2.5</v>
      </c>
      <c r="O717">
        <v>84429.6</v>
      </c>
      <c r="P717">
        <v>82320</v>
      </c>
      <c r="Q717">
        <v>84429.6</v>
      </c>
      <c r="T717" s="68">
        <f>=P717/10000*J717*Z717</f>
        <v>1399.44</v>
      </c>
      <c r="U717">
        <v>360</v>
      </c>
      <c r="V717" s="68" t="s"/>
      <c r="W717" s="68" t="s"/>
      <c r="X717" s="68">
        <f>=O717-P717</f>
        <v>2109.60000000001</v>
      </c>
      <c r="Y717" s="68">
        <f>=X717-T717-U717-V717</f>
        <v>350.160000000006</v>
      </c>
      <c r="Z717" s="62">
        <f>=A717-$A$277+1</f>
        <v>85</v>
      </c>
      <c r="AA717" s="68">
        <f>=P717/10000*K717*Z717</f>
        <v>1749.3</v>
      </c>
      <c r="AB717" s="62">
        <f>=Q717*Z717</f>
        <v>7176516</v>
      </c>
      <c r="AC717" t="s">
        <v>58</v>
      </c>
    </row>
    <row r="718" spans="1:29">
      <c r="A718" s="147">
        <v>46195</v>
      </c>
      <c r="B718" s="103" t="s"/>
      <c r="C718" s="103" t="s"/>
      <c r="D718" s="62" t="s">
        <v>38</v>
      </c>
      <c r="E718" s="62" t="s">
        <v>133</v>
      </c>
      <c r="F718" s="62" t="s">
        <v>134</v>
      </c>
      <c r="G718" s="71" t="s">
        <v>135</v>
      </c>
      <c r="H718" s="98" t="s">
        <v>327</v>
      </c>
      <c r="I718" s="73" t="s">
        <v>47</v>
      </c>
      <c r="J718" s="62">
        <v>2</v>
      </c>
      <c r="K718" s="62">
        <v>2.5</v>
      </c>
      <c r="O718">
        <v>141836</v>
      </c>
      <c r="P718">
        <v>140000</v>
      </c>
      <c r="Q718">
        <v>141836</v>
      </c>
      <c r="T718" s="68">
        <f>=P718/10000*J718*Z718</f>
        <v>1148</v>
      </c>
      <c r="U718">
        <v>400</v>
      </c>
      <c r="V718" s="68" t="s"/>
      <c r="W718" s="68" t="s"/>
      <c r="X718" s="68">
        <f>=O718-P718</f>
        <v>1836</v>
      </c>
      <c r="Y718" s="68">
        <f>=X718-T718-U718-V718</f>
        <v>288</v>
      </c>
      <c r="Z718" s="62">
        <f>=A718-$A$517+1</f>
        <v>41</v>
      </c>
      <c r="AA718" s="68">
        <f>=P718/10000*K718*Z718</f>
        <v>1435</v>
      </c>
      <c r="AB718" s="62">
        <f>=Q718*Z718</f>
        <v>5815276</v>
      </c>
      <c r="AC718" t="s">
        <v>58</v>
      </c>
    </row>
    <row r="719" spans="1:29">
      <c r="A719" s="147">
        <v>46195</v>
      </c>
      <c r="B719" s="103" t="s"/>
      <c r="C719" s="103" t="s"/>
      <c r="D719" s="62" t="s">
        <v>38</v>
      </c>
      <c r="E719" s="62" t="s">
        <v>128</v>
      </c>
      <c r="F719" s="62" t="s">
        <v>129</v>
      </c>
      <c r="G719" s="97" t="s">
        <v>130</v>
      </c>
      <c r="H719" s="71" t="s">
        <v>293</v>
      </c>
      <c r="I719" s="72" t="s">
        <v>47</v>
      </c>
      <c r="J719" s="62">
        <v>2</v>
      </c>
      <c r="K719" s="62">
        <v>3</v>
      </c>
      <c r="O719">
        <v>196443.1</v>
      </c>
      <c r="P719">
        <v>192500</v>
      </c>
      <c r="Q719">
        <v>196443.1</v>
      </c>
      <c r="T719" s="68">
        <f>=P719/10000*J719*Z719</f>
        <v>2348.5</v>
      </c>
      <c r="U719">
        <v>315</v>
      </c>
      <c r="V719" s="68" t="s"/>
      <c r="W719" s="68" t="s"/>
      <c r="X719" s="68">
        <f>=O719-P719</f>
        <v>3943.09999999998</v>
      </c>
      <c r="Y719" s="68">
        <f>=X719-T719-U719-V719</f>
        <v>1279.59999999998</v>
      </c>
      <c r="Z719" s="62">
        <f>=A719-$A$422+1</f>
        <v>61</v>
      </c>
      <c r="AA719" s="68">
        <f>=P719/10000*K719*Z719</f>
        <v>3522.75</v>
      </c>
      <c r="AB719" s="62">
        <f>=Q719*Z719</f>
        <v>11983029.1</v>
      </c>
      <c r="AC719" t="s">
        <v>58</v>
      </c>
    </row>
    <row r="720" spans="1:29">
      <c r="A720" s="147">
        <v>46196</v>
      </c>
      <c r="B720" s="103" t="s"/>
      <c r="C720" s="103" t="s"/>
      <c r="D720" s="64" t="s">
        <v>38</v>
      </c>
      <c r="E720" s="131" t="s">
        <v>54</v>
      </c>
      <c r="F720" s="64" t="s">
        <v>55</v>
      </c>
      <c r="G720" s="71" t="s">
        <v>191</v>
      </c>
      <c r="H720" s="98" t="s">
        <v>210</v>
      </c>
      <c r="I720" s="73" t="s">
        <v>47</v>
      </c>
      <c r="J720" s="62">
        <v>2</v>
      </c>
      <c r="K720" s="62">
        <v>2.5</v>
      </c>
      <c r="O720">
        <v>85295.65</v>
      </c>
      <c r="P720">
        <v>83500</v>
      </c>
      <c r="Q720">
        <v>85295.65</v>
      </c>
      <c r="T720" s="68">
        <f>=P720/10000*J720*Z720</f>
        <v>1436.2</v>
      </c>
      <c r="U720">
        <v>0</v>
      </c>
      <c r="V720" s="68" t="s"/>
      <c r="W720" s="68" t="s"/>
      <c r="X720" s="68">
        <f>=O720-P720</f>
        <v>1795.64999999999</v>
      </c>
      <c r="Y720" s="68">
        <f>=X720-T720-U720-V720</f>
        <v>359.449999999994</v>
      </c>
      <c r="Z720" s="62">
        <f>=A720-$A$278+1</f>
        <v>86</v>
      </c>
      <c r="AA720" s="68">
        <f>=P720/10000*K720*Z720</f>
        <v>1795.25</v>
      </c>
      <c r="AB720" s="62">
        <f>=Q720*Z720</f>
        <v>7335425.9</v>
      </c>
      <c r="AC720" t="s">
        <v>58</v>
      </c>
    </row>
    <row r="721" spans="1:29">
      <c r="A721" s="147">
        <v>46196</v>
      </c>
      <c r="B721" s="103" t="s"/>
      <c r="C721" s="103" t="s"/>
      <c r="D721" s="64" t="s">
        <v>38</v>
      </c>
      <c r="E721" s="131" t="s">
        <v>54</v>
      </c>
      <c r="F721" s="64" t="s">
        <v>55</v>
      </c>
      <c r="G721" s="71" t="s">
        <v>191</v>
      </c>
      <c r="H721" s="98" t="s">
        <v>225</v>
      </c>
      <c r="I721" s="73" t="s">
        <v>47</v>
      </c>
      <c r="J721" s="62">
        <v>2</v>
      </c>
      <c r="K721" s="62">
        <v>2.5</v>
      </c>
      <c r="O721">
        <v>46323.84</v>
      </c>
      <c r="P721">
        <v>45360</v>
      </c>
      <c r="Q721">
        <v>46323.84</v>
      </c>
      <c r="T721" s="68">
        <f>=P721/10000*J721*Z721</f>
        <v>771.12</v>
      </c>
      <c r="U721">
        <v>0</v>
      </c>
      <c r="V721" s="68" t="s"/>
      <c r="W721" s="68" t="s"/>
      <c r="X721" s="68">
        <f>=O721-P721</f>
        <v>963.839999999997</v>
      </c>
      <c r="Y721" s="68">
        <f>=X721-T721-U721-V721</f>
        <v>192.719999999997</v>
      </c>
      <c r="Z721" s="62">
        <f>=A721-$A$292+1</f>
        <v>85</v>
      </c>
      <c r="AA721" s="68">
        <f>=P721/10000*K721*Z721</f>
        <v>963.9</v>
      </c>
      <c r="AB721" s="62">
        <f>=Q721*Z721</f>
        <v>3937526.4</v>
      </c>
      <c r="AC721" t="s">
        <v>58</v>
      </c>
    </row>
    <row r="722" spans="1:29">
      <c r="A722" s="147">
        <v>46196</v>
      </c>
      <c r="B722" s="103" t="s"/>
      <c r="C722" s="103" t="s"/>
      <c r="D722" s="64" t="s">
        <v>38</v>
      </c>
      <c r="E722" s="131" t="s">
        <v>54</v>
      </c>
      <c r="F722" s="64" t="s">
        <v>55</v>
      </c>
      <c r="G722" s="71" t="s">
        <v>191</v>
      </c>
      <c r="H722" s="98" t="s">
        <v>235</v>
      </c>
      <c r="I722" s="73" t="s">
        <v>47</v>
      </c>
      <c r="J722" s="62">
        <v>2</v>
      </c>
      <c r="K722" s="62">
        <v>2.5</v>
      </c>
      <c r="O722">
        <v>319803.3</v>
      </c>
      <c r="P722">
        <v>313200</v>
      </c>
      <c r="Q722">
        <v>319803.3</v>
      </c>
      <c r="T722" s="68">
        <f>=P722/10000*J722*Z722</f>
        <v>5261.76</v>
      </c>
      <c r="U722">
        <v>0</v>
      </c>
      <c r="V722" s="68" t="s"/>
      <c r="W722" s="68" t="s"/>
      <c r="X722" s="68">
        <f>=O722-P722</f>
        <v>6603.29999999999</v>
      </c>
      <c r="Y722" s="68">
        <f>=X722-T722-U722-V722</f>
        <v>1341.53999999999</v>
      </c>
      <c r="Z722" s="62">
        <f>=A722-$A$305+1</f>
        <v>84</v>
      </c>
      <c r="AA722" s="68">
        <f>=P722/10000*K722*Z722</f>
        <v>6577.2</v>
      </c>
      <c r="AB722" s="62">
        <f>=Q722*Z722</f>
        <v>26863477.2</v>
      </c>
      <c r="AC722" t="s">
        <v>58</v>
      </c>
    </row>
    <row r="723" spans="1:29">
      <c r="A723" s="147">
        <v>46196</v>
      </c>
      <c r="B723" s="103" t="s"/>
      <c r="C723" s="103" t="s"/>
      <c r="D723" s="64" t="s">
        <v>38</v>
      </c>
      <c r="E723" s="131" t="s">
        <v>54</v>
      </c>
      <c r="F723" s="64" t="s">
        <v>55</v>
      </c>
      <c r="G723" s="71" t="s">
        <v>191</v>
      </c>
      <c r="H723" s="98" t="s">
        <v>236</v>
      </c>
      <c r="I723" s="73" t="s">
        <v>47</v>
      </c>
      <c r="J723" s="62">
        <v>2</v>
      </c>
      <c r="K723" s="62">
        <v>2.5</v>
      </c>
      <c r="O723">
        <v>192922</v>
      </c>
      <c r="P723">
        <v>189000</v>
      </c>
      <c r="Q723">
        <v>192922</v>
      </c>
      <c r="T723" s="68">
        <f>=P723/10000*J723*Z723</f>
        <v>3137.4</v>
      </c>
      <c r="U723">
        <v>0</v>
      </c>
      <c r="V723" s="68" t="s"/>
      <c r="W723" s="68" t="s"/>
      <c r="X723" s="68">
        <f>=O723-P723</f>
        <v>3922</v>
      </c>
      <c r="Y723" s="68">
        <f>=X723-T723-U723-V723</f>
        <v>784.600000000001</v>
      </c>
      <c r="Z723" s="62">
        <f>=A723-$A$311+1</f>
        <v>83</v>
      </c>
      <c r="AA723" s="68">
        <f>=P723/10000*K723*Z723</f>
        <v>3921.75</v>
      </c>
      <c r="AB723" s="62">
        <f>=Q723*Z723</f>
        <v>16012526</v>
      </c>
      <c r="AC723" t="s">
        <v>58</v>
      </c>
    </row>
    <row r="724" spans="1:29">
      <c r="A724" s="147">
        <v>46196</v>
      </c>
      <c r="B724" s="103" t="s"/>
      <c r="C724" s="103" t="s"/>
      <c r="D724" s="62" t="s">
        <v>38</v>
      </c>
      <c r="E724" s="62" t="s">
        <v>128</v>
      </c>
      <c r="F724" s="62" t="s">
        <v>129</v>
      </c>
      <c r="G724" s="97" t="s">
        <v>130</v>
      </c>
      <c r="H724" s="71" t="s">
        <v>293</v>
      </c>
      <c r="I724" s="72" t="s">
        <v>47</v>
      </c>
      <c r="J724" s="62">
        <v>2</v>
      </c>
      <c r="K724" s="62">
        <v>3</v>
      </c>
      <c r="O724">
        <v>364929.5</v>
      </c>
      <c r="P724">
        <v>357500</v>
      </c>
      <c r="Q724">
        <v>364929.5</v>
      </c>
      <c r="T724" s="68">
        <f>=P724/10000*J724*Z724</f>
        <v>4433</v>
      </c>
      <c r="U724">
        <v>585</v>
      </c>
      <c r="V724" s="68" t="s"/>
      <c r="W724" s="68" t="s"/>
      <c r="X724" s="68">
        <f>=O724-P724</f>
        <v>7429.5</v>
      </c>
      <c r="Y724" s="68">
        <f>=X724-T724-U724-V724</f>
        <v>2411.5</v>
      </c>
      <c r="Z724" s="62">
        <f>=A724-$A$422+1</f>
        <v>62</v>
      </c>
      <c r="AA724" s="68">
        <f>=P724/10000*K724*Z724</f>
        <v>6649.5</v>
      </c>
      <c r="AB724" s="62">
        <f>=Q724*Z724</f>
        <v>22625629</v>
      </c>
      <c r="AC724" t="s">
        <v>58</v>
      </c>
    </row>
    <row r="725" spans="1:29">
      <c r="A725" s="147">
        <v>46197</v>
      </c>
      <c r="B725" s="123" t="s">
        <v>37</v>
      </c>
      <c r="C725" s="103" t="s"/>
      <c r="D725" s="63" t="s">
        <v>38</v>
      </c>
      <c r="E725" s="62" t="s">
        <v>39</v>
      </c>
      <c r="F725" s="62" t="s">
        <v>40</v>
      </c>
      <c r="G725" s="64" t="s">
        <v>195</v>
      </c>
      <c r="H725" s="80" t="s">
        <v>196</v>
      </c>
      <c r="I725" s="65" t="s">
        <v>47</v>
      </c>
      <c r="J725" s="62">
        <v>2</v>
      </c>
      <c r="K725" s="62">
        <v>2.5</v>
      </c>
      <c r="O725">
        <v>391615.2</v>
      </c>
      <c r="P725">
        <v>382200</v>
      </c>
      <c r="Q725">
        <v>391615.2</v>
      </c>
      <c r="T725" s="68">
        <f>=P725/10000*J725*Z725</f>
        <v>6956.04</v>
      </c>
      <c r="U725">
        <v>480</v>
      </c>
      <c r="V725" s="68" t="s"/>
      <c r="W725" s="68" t="s"/>
      <c r="X725" s="68">
        <f>=O725-P725</f>
        <v>9415.20000000001</v>
      </c>
      <c r="Y725" s="68">
        <f>=X725-T725-U725-V725</f>
        <v>1979.16000000001</v>
      </c>
      <c r="Z725" s="62">
        <f>=A725-$A$264+1</f>
        <v>91</v>
      </c>
      <c r="AA725" s="68">
        <f>=P725/10000*K725*Z725</f>
        <v>8695.05</v>
      </c>
      <c r="AB725" s="62">
        <f>=Q725*Z725</f>
        <v>35636983.2</v>
      </c>
      <c r="AC725" t="s">
        <v>58</v>
      </c>
    </row>
    <row r="726" spans="1:29">
      <c r="A726" s="147">
        <v>46197</v>
      </c>
      <c r="B726" s="103" t="s"/>
      <c r="C726" s="103" t="s"/>
      <c r="D726" s="64" t="s">
        <v>38</v>
      </c>
      <c r="E726" s="62" t="s">
        <v>85</v>
      </c>
      <c r="F726" t="s">
        <v>120</v>
      </c>
      <c r="G726" s="136" t="s">
        <v>239</v>
      </c>
      <c r="H726" s="98" t="s">
        <v>319</v>
      </c>
      <c r="I726" s="137" t="s">
        <v>47</v>
      </c>
      <c r="J726" s="64">
        <v>2</v>
      </c>
      <c r="K726" s="78">
        <v>2.5</v>
      </c>
      <c r="O726">
        <v>243300</v>
      </c>
      <c r="P726">
        <v>240000</v>
      </c>
      <c r="Q726">
        <v>243300</v>
      </c>
      <c r="T726" s="68">
        <f>=P726/10000*J726*Z726</f>
        <v>2160</v>
      </c>
      <c r="U726">
        <v>450</v>
      </c>
      <c r="V726" s="68" t="s"/>
      <c r="W726" s="68" t="s"/>
      <c r="X726" s="68">
        <f>=O726-P726</f>
        <v>3300</v>
      </c>
      <c r="Y726" s="68">
        <f>=X726-T726-U726-V726</f>
        <v>690</v>
      </c>
      <c r="Z726" s="62">
        <f>=A726-$A$505+1</f>
        <v>45</v>
      </c>
      <c r="AA726" s="68">
        <f>=P726/10000*K726*Z726</f>
        <v>2700</v>
      </c>
      <c r="AB726" s="62">
        <f>=Q726*Z726</f>
        <v>10948500</v>
      </c>
      <c r="AC726" t="s">
        <v>58</v>
      </c>
    </row>
    <row r="727" spans="1:29">
      <c r="A727" s="147">
        <v>46197</v>
      </c>
      <c r="B727" s="103" t="s"/>
      <c r="C727" s="103" t="s"/>
      <c r="D727" s="62" t="s">
        <v>38</v>
      </c>
      <c r="E727" s="62" t="s">
        <v>133</v>
      </c>
      <c r="F727" s="62" t="s">
        <v>134</v>
      </c>
      <c r="G727" s="71" t="s">
        <v>135</v>
      </c>
      <c r="H727" s="98" t="s">
        <v>207</v>
      </c>
      <c r="I727" s="73" t="s">
        <v>47</v>
      </c>
      <c r="J727" s="62">
        <v>2</v>
      </c>
      <c r="K727" s="62">
        <v>2.5</v>
      </c>
      <c r="O727">
        <v>141152</v>
      </c>
      <c r="P727">
        <v>137200</v>
      </c>
      <c r="Q727">
        <v>141152</v>
      </c>
      <c r="T727" s="68">
        <f>=P727/10000*J727*Z727</f>
        <v>2442.16</v>
      </c>
      <c r="U727">
        <v>600</v>
      </c>
      <c r="V727" s="68" t="s"/>
      <c r="W727" s="68" t="s"/>
      <c r="X727" s="68">
        <f>=O727-P727</f>
        <v>3952</v>
      </c>
      <c r="Y727" s="68">
        <f>=X727-T727-U727-V727</f>
        <v>909.84</v>
      </c>
      <c r="Z727" s="62">
        <f>=A727-$A$275+1</f>
        <v>89</v>
      </c>
      <c r="AA727" s="68">
        <f>=P727/10000*K727*Z727</f>
        <v>3052.7</v>
      </c>
      <c r="AB727" s="62">
        <f>=Q727*Z727</f>
        <v>12562528</v>
      </c>
      <c r="AC727" t="s">
        <v>58</v>
      </c>
    </row>
    <row r="728" spans="1:29">
      <c r="A728" s="147">
        <v>46197</v>
      </c>
      <c r="B728" s="103" t="s"/>
      <c r="C728" s="103" t="s"/>
      <c r="D728" s="62" t="s">
        <v>38</v>
      </c>
      <c r="E728" s="62" t="s">
        <v>133</v>
      </c>
      <c r="F728" s="62" t="s">
        <v>134</v>
      </c>
      <c r="G728" s="71" t="s">
        <v>135</v>
      </c>
      <c r="H728" s="98" t="s">
        <v>209</v>
      </c>
      <c r="I728" s="73" t="s">
        <v>47</v>
      </c>
      <c r="J728" s="62">
        <v>2</v>
      </c>
      <c r="K728" s="62">
        <v>2.5</v>
      </c>
      <c r="O728">
        <v>126975.6</v>
      </c>
      <c r="P728">
        <v>123480</v>
      </c>
      <c r="Q728">
        <v>126975.6</v>
      </c>
      <c r="T728" s="68">
        <f>=P728/10000*J728*Z728</f>
        <v>2148.552</v>
      </c>
      <c r="U728">
        <v>540</v>
      </c>
      <c r="V728" s="68" t="s"/>
      <c r="W728" s="68" t="s"/>
      <c r="X728" s="68">
        <f>=O728-P728</f>
        <v>3495.59999999999</v>
      </c>
      <c r="Y728" s="68">
        <f>=X728-T728-U728-V728</f>
        <v>807.047999999991</v>
      </c>
      <c r="Z728" s="62">
        <f>=A728-$A$277+1</f>
        <v>87</v>
      </c>
      <c r="AA728" s="68">
        <f>=P728/10000*K728*Z728</f>
        <v>2685.69</v>
      </c>
      <c r="AB728" s="62">
        <f>=Q728*Z728</f>
        <v>11046877.2</v>
      </c>
      <c r="AC728" t="s">
        <v>58</v>
      </c>
    </row>
    <row r="729" spans="1:29">
      <c r="A729" s="147">
        <v>46197</v>
      </c>
      <c r="B729" s="103" t="s"/>
      <c r="C729" s="103" t="s"/>
      <c r="D729" s="62" t="s">
        <v>38</v>
      </c>
      <c r="E729" s="62" t="s">
        <v>133</v>
      </c>
      <c r="F729" s="62" t="s">
        <v>134</v>
      </c>
      <c r="G729" s="71" t="s">
        <v>135</v>
      </c>
      <c r="H729" s="98" t="s">
        <v>237</v>
      </c>
      <c r="I729" s="73" t="s">
        <v>47</v>
      </c>
      <c r="J729" s="62">
        <v>2</v>
      </c>
      <c r="K729" s="62">
        <v>2.5</v>
      </c>
      <c r="O729">
        <v>13669.4</v>
      </c>
      <c r="P729">
        <v>13300</v>
      </c>
      <c r="Q729">
        <v>13669.4</v>
      </c>
      <c r="T729" s="68">
        <f>=P729/10000*J729*Z729</f>
        <v>223.44</v>
      </c>
      <c r="U729">
        <v>60</v>
      </c>
      <c r="V729" s="68" t="s"/>
      <c r="W729" s="68" t="s"/>
      <c r="X729" s="68">
        <f>=O729-P729</f>
        <v>369.400000000002</v>
      </c>
      <c r="Y729" s="68">
        <f>=X729-T729-U729-V729</f>
        <v>85.9600000000015</v>
      </c>
      <c r="Z729" s="62">
        <f>=A729-$A$312+1</f>
        <v>84</v>
      </c>
      <c r="AA729" s="68">
        <f>=P729/10000*K729*Z729</f>
        <v>279.3</v>
      </c>
      <c r="AB729" s="62">
        <f>=Q729*Z729</f>
        <v>1148229.6</v>
      </c>
      <c r="AC729" t="s">
        <v>58</v>
      </c>
    </row>
    <row r="730" spans="1:29">
      <c r="A730" s="147">
        <v>46197</v>
      </c>
      <c r="B730" s="103" t="s"/>
      <c r="C730" s="103" t="s"/>
      <c r="D730" s="62" t="s">
        <v>38</v>
      </c>
      <c r="E730" s="62" t="s">
        <v>133</v>
      </c>
      <c r="F730" s="62" t="s">
        <v>134</v>
      </c>
      <c r="G730" s="71" t="s">
        <v>135</v>
      </c>
      <c r="H730" s="98" t="s">
        <v>327</v>
      </c>
      <c r="I730" s="73" t="s">
        <v>47</v>
      </c>
      <c r="J730" s="62">
        <v>2</v>
      </c>
      <c r="K730" s="62">
        <v>2.5</v>
      </c>
      <c r="O730">
        <v>71053</v>
      </c>
      <c r="P730">
        <v>70000</v>
      </c>
      <c r="Q730">
        <v>71053</v>
      </c>
      <c r="T730" s="68">
        <f>=P730/10000*J730*Z730</f>
        <v>602</v>
      </c>
      <c r="U730">
        <v>200</v>
      </c>
      <c r="V730" s="68" t="s"/>
      <c r="W730" s="68" t="s"/>
      <c r="X730" s="68">
        <f>=O730-P730</f>
        <v>1053</v>
      </c>
      <c r="Y730" s="68">
        <f>=X730-T730-U730-V730</f>
        <v>251</v>
      </c>
      <c r="Z730" s="62">
        <f>=A730-$A$517+1</f>
        <v>43</v>
      </c>
      <c r="AA730" s="68">
        <f>=P730/10000*K730*Z730</f>
        <v>752.5</v>
      </c>
      <c r="AB730" s="62">
        <f>=Q730*Z730</f>
        <v>3055279</v>
      </c>
      <c r="AC730" t="s">
        <v>58</v>
      </c>
    </row>
    <row r="731" spans="1:29">
      <c r="A731" s="147">
        <v>46197</v>
      </c>
      <c r="B731" s="103" t="s"/>
      <c r="C731" s="103" t="s"/>
      <c r="D731" s="62" t="s">
        <v>38</v>
      </c>
      <c r="E731" s="62" t="s">
        <v>85</v>
      </c>
      <c r="F731" s="62" t="s">
        <v>120</v>
      </c>
      <c r="G731" s="71" t="s">
        <v>339</v>
      </c>
      <c r="H731" t="s">
        <v>345</v>
      </c>
      <c r="I731" s="69" t="s">
        <v>47</v>
      </c>
      <c r="J731" s="62">
        <v>2</v>
      </c>
      <c r="K731" s="62">
        <v>2.6</v>
      </c>
      <c r="O731">
        <v>289248</v>
      </c>
      <c r="P731">
        <v>285200</v>
      </c>
      <c r="Q731">
        <v>289248</v>
      </c>
      <c r="T731" s="68">
        <f>=P731/10000*J731*Z731</f>
        <v>2053.44</v>
      </c>
      <c r="U731">
        <v>920</v>
      </c>
      <c r="V731" s="68" t="s"/>
      <c r="W731" s="68" t="s"/>
      <c r="X731" s="68">
        <f>=O731-P731</f>
        <v>4048</v>
      </c>
      <c r="Y731" s="68">
        <f>=X731-T731-U731-V731</f>
        <v>1074.56</v>
      </c>
      <c r="Z731" s="62">
        <f>=A731-$A$561+1</f>
        <v>36</v>
      </c>
      <c r="AA731" s="68">
        <f>=P731/10000*K731*Z731</f>
        <v>2669.472</v>
      </c>
      <c r="AB731" s="62">
        <f>=Q731*Z731</f>
        <v>10412928</v>
      </c>
      <c r="AC731" t="s">
        <v>58</v>
      </c>
    </row>
    <row r="732" spans="1:29">
      <c r="A732" s="147">
        <v>46197</v>
      </c>
      <c r="B732" s="103" t="s"/>
      <c r="C732" s="103" t="s"/>
      <c r="D732" s="62" t="s">
        <v>38</v>
      </c>
      <c r="E732" s="62" t="s">
        <v>85</v>
      </c>
      <c r="F732" s="62" t="s">
        <v>120</v>
      </c>
      <c r="G732" s="71" t="s">
        <v>339</v>
      </c>
      <c r="H732" t="s">
        <v>349</v>
      </c>
      <c r="I732" s="69" t="s">
        <v>47</v>
      </c>
      <c r="J732" s="62">
        <v>2</v>
      </c>
      <c r="K732" s="62">
        <v>2.6</v>
      </c>
      <c r="O732">
        <v>339465.6</v>
      </c>
      <c r="P732">
        <v>334800</v>
      </c>
      <c r="Q732">
        <v>339465.6</v>
      </c>
      <c r="T732" s="68">
        <f>=P732/10000*J732*Z732</f>
        <v>2343.6</v>
      </c>
      <c r="U732">
        <v>1080</v>
      </c>
      <c r="V732" s="68" t="s"/>
      <c r="W732" s="68" t="s"/>
      <c r="X732" s="68">
        <f>=O732-P732</f>
        <v>4665.59999999998</v>
      </c>
      <c r="Y732" s="68">
        <f>=X732-T732-U732-V732</f>
        <v>1241.99999999998</v>
      </c>
      <c r="Z732" s="62">
        <f>=A732-$A$565+1</f>
        <v>35</v>
      </c>
      <c r="AA732" s="68">
        <f>=P732/10000*K732*Z732</f>
        <v>3046.68</v>
      </c>
      <c r="AB732" s="62">
        <f>=Q732*Z732</f>
        <v>11881296</v>
      </c>
      <c r="AC732" t="s">
        <v>58</v>
      </c>
    </row>
    <row r="733" spans="1:29">
      <c r="A733" s="148">
        <v>46197</v>
      </c>
      <c r="B733" s="103" t="s"/>
      <c r="C733" s="103" t="s"/>
      <c r="D733" s="78" t="s">
        <v>38</v>
      </c>
      <c r="E733" s="78" t="s">
        <v>48</v>
      </c>
      <c r="F733" s="78" t="s">
        <v>49</v>
      </c>
      <c r="G733" s="93" t="s">
        <v>52</v>
      </c>
      <c r="H733" s="93" t="s">
        <v>158</v>
      </c>
      <c r="I733" s="72" t="s">
        <v>47</v>
      </c>
      <c r="J733" s="78">
        <v>2</v>
      </c>
      <c r="K733" s="78">
        <v>3</v>
      </c>
      <c r="O733">
        <v>59231.6</v>
      </c>
      <c r="P733">
        <v>57540</v>
      </c>
      <c r="Q733">
        <v>59231.6</v>
      </c>
      <c r="T733" s="68">
        <f>=P733/10000*J733*Z733</f>
        <v>1127.784</v>
      </c>
      <c r="U733" s="62">
        <v>0</v>
      </c>
      <c r="V733" s="68" t="s"/>
      <c r="W733" s="68" t="s"/>
      <c r="X733" s="68">
        <f>=O733-P733</f>
        <v>1691.6</v>
      </c>
      <c r="Y733" s="68">
        <f>=X733-T733-U733-V733</f>
        <v>563.815999999999</v>
      </c>
      <c r="Z733" s="62">
        <f>=A733-$A$224+1</f>
        <v>98</v>
      </c>
      <c r="AA733" s="68">
        <f>=P733/10000*K733*Z733</f>
        <v>1691.676</v>
      </c>
      <c r="AB733" s="62">
        <f>=Q733*Z733</f>
        <v>5804696.8</v>
      </c>
      <c r="AC733" t="s">
        <v>312</v>
      </c>
    </row>
    <row r="734" spans="1:29">
      <c r="A734" s="147">
        <v>46198</v>
      </c>
      <c r="B734" s="103" t="s"/>
      <c r="C734" s="103" t="s"/>
      <c r="D734" s="151" t="s">
        <v>38</v>
      </c>
      <c r="E734" s="151" t="s">
        <v>148</v>
      </c>
      <c r="F734" s="151" t="s">
        <v>149</v>
      </c>
      <c r="G734" s="71" t="s">
        <v>150</v>
      </c>
      <c r="H734" s="98" t="s">
        <v>326</v>
      </c>
      <c r="I734" s="69" t="s">
        <v>47</v>
      </c>
      <c r="J734" s="62">
        <v>2</v>
      </c>
      <c r="K734" s="62">
        <v>2.5</v>
      </c>
      <c r="O734">
        <v>105638.85</v>
      </c>
      <c r="P734">
        <v>104350</v>
      </c>
      <c r="Q734">
        <v>105638.85</v>
      </c>
      <c r="T734" s="68">
        <f>=P734/10000*J734*Z734</f>
        <v>918.28</v>
      </c>
      <c r="U734">
        <v>94</v>
      </c>
      <c r="V734" s="68" t="s"/>
      <c r="W734" s="68" t="s"/>
      <c r="X734" s="68">
        <f>=O734-P734</f>
        <v>1288.84999999999</v>
      </c>
      <c r="Y734" s="68">
        <f>=X734-T734-U734-V734</f>
        <v>276.569999999991</v>
      </c>
      <c r="Z734" s="62">
        <f>=A734-$A$512+1</f>
        <v>44</v>
      </c>
      <c r="AA734" s="68">
        <f>=P734/10000*K734*Z734</f>
        <v>1147.85</v>
      </c>
      <c r="AB734" s="62">
        <f>=Q734*Z734</f>
        <v>4648109.4</v>
      </c>
      <c r="AC734" t="s">
        <v>58</v>
      </c>
    </row>
    <row r="735" spans="1:29">
      <c r="A735" s="147">
        <v>46199</v>
      </c>
      <c r="B735" s="106" t="s">
        <v>37</v>
      </c>
      <c r="C735" s="103" t="s"/>
      <c r="D735" s="63" t="s">
        <v>38</v>
      </c>
      <c r="E735" s="62" t="s">
        <v>39</v>
      </c>
      <c r="F735" s="62" t="s">
        <v>40</v>
      </c>
      <c r="G735" s="71" t="s">
        <v>142</v>
      </c>
      <c r="H735" s="80" t="s">
        <v>338</v>
      </c>
      <c r="I735" s="72" t="s">
        <v>47</v>
      </c>
      <c r="J735" s="62">
        <v>2</v>
      </c>
      <c r="K735" s="62">
        <v>2.5</v>
      </c>
      <c r="O735">
        <v>192200</v>
      </c>
      <c r="P735">
        <v>190000</v>
      </c>
      <c r="Q735">
        <v>192200</v>
      </c>
      <c r="T735" s="68">
        <f>=P735/10000*J735*Z735</f>
        <v>1520</v>
      </c>
      <c r="U735">
        <v>200</v>
      </c>
      <c r="V735" s="68" t="s"/>
      <c r="W735" s="68" t="s"/>
      <c r="X735" s="68">
        <f>=O735-P735</f>
        <v>2200</v>
      </c>
      <c r="Y735" s="68">
        <f>=X735-T735-U735-V735</f>
        <v>480</v>
      </c>
      <c r="Z735" s="62">
        <f>=A735-$A$544+1</f>
        <v>40</v>
      </c>
      <c r="AA735" s="68">
        <f>=P735/10000*K735*Z735</f>
        <v>1900</v>
      </c>
      <c r="AB735" s="62">
        <f>=Q735*Z735</f>
        <v>7688000</v>
      </c>
      <c r="AC735" t="s">
        <v>58</v>
      </c>
    </row>
    <row r="736" spans="1:29">
      <c r="A736" s="147">
        <v>46199</v>
      </c>
      <c r="B736" s="103" t="s"/>
      <c r="C736" s="103" t="s"/>
      <c r="D736" s="62" t="s">
        <v>114</v>
      </c>
      <c r="E736" s="62" t="s">
        <v>114</v>
      </c>
      <c r="F736" s="62" t="s">
        <v>115</v>
      </c>
      <c r="G736" s="64" t="s">
        <v>116</v>
      </c>
      <c r="H736" s="71" t="s">
        <v>242</v>
      </c>
      <c r="I736" s="72" t="s">
        <v>47</v>
      </c>
      <c r="J736" s="62">
        <v>2</v>
      </c>
      <c r="K736" s="62">
        <v>2.6</v>
      </c>
      <c r="O736">
        <v>17150</v>
      </c>
      <c r="P736">
        <v>16800</v>
      </c>
      <c r="Q736">
        <v>17150</v>
      </c>
      <c r="T736" s="68">
        <f>=P736/10000*J736*Z736</f>
        <v>268.8</v>
      </c>
      <c r="U736">
        <v>0</v>
      </c>
      <c r="V736" s="68" t="s"/>
      <c r="W736" s="68" t="s"/>
      <c r="X736" s="68">
        <f>=O736-P736</f>
        <v>350</v>
      </c>
      <c r="Y736" s="68">
        <f>=X736-T736-U736-V736</f>
        <v>81.2</v>
      </c>
      <c r="Z736" s="62">
        <f>=A736-$A$322+1</f>
        <v>80</v>
      </c>
      <c r="AA736" s="68">
        <f>=P736/10000*K736*Z736</f>
        <v>349.44</v>
      </c>
      <c r="AB736" s="62">
        <f>=Q736*Z736</f>
        <v>1372000</v>
      </c>
      <c r="AC736" t="s">
        <v>58</v>
      </c>
    </row>
    <row r="737" spans="1:29">
      <c r="A737" s="147">
        <v>46199</v>
      </c>
      <c r="B737" s="103" t="s"/>
      <c r="C737" s="103" t="s"/>
      <c r="D737" s="62" t="s">
        <v>114</v>
      </c>
      <c r="E737" s="62" t="s">
        <v>114</v>
      </c>
      <c r="F737" s="62" t="s">
        <v>115</v>
      </c>
      <c r="G737" s="64" t="s">
        <v>116</v>
      </c>
      <c r="H737" s="71" t="s">
        <v>246</v>
      </c>
      <c r="I737" s="72" t="s">
        <v>47</v>
      </c>
      <c r="J737" s="62">
        <v>2</v>
      </c>
      <c r="K737" s="62">
        <v>2.6</v>
      </c>
      <c r="O737">
        <v>38056</v>
      </c>
      <c r="P737">
        <v>37300</v>
      </c>
      <c r="Q737">
        <v>38056</v>
      </c>
      <c r="T737" s="68">
        <f>=P737/10000*J737*Z737</f>
        <v>581.88</v>
      </c>
      <c r="U737">
        <v>0</v>
      </c>
      <c r="V737" s="68" t="s"/>
      <c r="W737" s="68" t="s"/>
      <c r="X737" s="68">
        <f>=O737-P737</f>
        <v>756</v>
      </c>
      <c r="Y737" s="68">
        <f>=X737-T737-U737-V737</f>
        <v>174.12</v>
      </c>
      <c r="Z737" s="62">
        <f>=A737-$A$360+1</f>
        <v>78</v>
      </c>
      <c r="AA737" s="68">
        <f>=P737/10000*K737*Z737</f>
        <v>756.444</v>
      </c>
      <c r="AB737" s="62">
        <f>=Q737*Z737</f>
        <v>2968368</v>
      </c>
      <c r="AC737" t="s">
        <v>58</v>
      </c>
    </row>
    <row r="738" spans="1:29">
      <c r="A738" s="147">
        <v>46199</v>
      </c>
      <c r="B738" s="103" t="s"/>
      <c r="C738" s="103" t="s"/>
      <c r="D738" s="62" t="s">
        <v>38</v>
      </c>
      <c r="E738" s="62" t="s">
        <v>85</v>
      </c>
      <c r="F738" s="62" t="s">
        <v>120</v>
      </c>
      <c r="G738" s="71" t="s">
        <v>339</v>
      </c>
      <c r="H738" t="s">
        <v>349</v>
      </c>
      <c r="I738" s="69" t="s">
        <v>47</v>
      </c>
      <c r="J738" s="62">
        <v>2</v>
      </c>
      <c r="K738" s="62">
        <v>2.6</v>
      </c>
      <c r="O738">
        <v>289321.6</v>
      </c>
      <c r="P738">
        <v>285200</v>
      </c>
      <c r="Q738">
        <v>289321.6</v>
      </c>
      <c r="T738" s="68">
        <f>=P738/10000*J738*Z738</f>
        <v>2110.48</v>
      </c>
      <c r="U738">
        <v>920</v>
      </c>
      <c r="V738" s="68" t="s"/>
      <c r="W738" s="68" t="s"/>
      <c r="X738" s="68">
        <f>=O738-P738</f>
        <v>4121.60000000004</v>
      </c>
      <c r="Y738" s="68">
        <f>=X738-T738-U738-V738</f>
        <v>1091.12000000004</v>
      </c>
      <c r="Z738" s="62">
        <f>=A738-$A$565+1</f>
        <v>37</v>
      </c>
      <c r="AA738" s="68">
        <f>=P738/10000*K738*Z738</f>
        <v>2743.624</v>
      </c>
      <c r="AB738" s="62">
        <f>=Q738*Z738</f>
        <v>10704899.2</v>
      </c>
      <c r="AC738" t="s">
        <v>58</v>
      </c>
    </row>
    <row r="739" spans="1:29">
      <c r="A739" s="147">
        <v>46199</v>
      </c>
      <c r="B739" s="103" t="s"/>
      <c r="C739" s="103" t="s"/>
      <c r="D739" s="62" t="s">
        <v>38</v>
      </c>
      <c r="E739" s="62" t="s">
        <v>85</v>
      </c>
      <c r="F739" s="62" t="s">
        <v>120</v>
      </c>
      <c r="G739" s="71" t="s">
        <v>339</v>
      </c>
      <c r="H739" t="s">
        <v>359</v>
      </c>
      <c r="I739" s="69" t="s">
        <v>47</v>
      </c>
      <c r="J739" s="62">
        <v>2</v>
      </c>
      <c r="K739" s="62">
        <v>2.6</v>
      </c>
      <c r="O739">
        <v>282888</v>
      </c>
      <c r="P739">
        <v>279000</v>
      </c>
      <c r="Q739">
        <v>282888</v>
      </c>
      <c r="T739" s="68">
        <f>=P739/10000*J739*Z739</f>
        <v>1953</v>
      </c>
      <c r="U739">
        <v>900</v>
      </c>
      <c r="V739" s="68" t="s"/>
      <c r="W739" s="68" t="s"/>
      <c r="X739" s="68">
        <f>=O739-P739</f>
        <v>3888</v>
      </c>
      <c r="Y739" s="68">
        <f>=X739-T739-U739-V739</f>
        <v>1035</v>
      </c>
      <c r="Z739" s="62">
        <f>=A739-$A$595+1</f>
        <v>35</v>
      </c>
      <c r="AA739" s="68">
        <f>=P739/10000*K739*Z739</f>
        <v>2538.9</v>
      </c>
      <c r="AB739" s="62">
        <f>=Q739*Z739</f>
        <v>9901080</v>
      </c>
      <c r="AC739" t="s">
        <v>58</v>
      </c>
    </row>
    <row r="740" spans="1:29">
      <c r="A740" s="147">
        <v>46200</v>
      </c>
      <c r="B740" s="103" t="s"/>
      <c r="C740" s="103" t="s"/>
      <c r="D740" s="62" t="s">
        <v>38</v>
      </c>
      <c r="E740" s="62" t="s">
        <v>133</v>
      </c>
      <c r="F740" s="62" t="s">
        <v>134</v>
      </c>
      <c r="G740" s="71" t="s">
        <v>135</v>
      </c>
      <c r="H740" s="98" t="s">
        <v>327</v>
      </c>
      <c r="I740" s="73" t="s">
        <v>47</v>
      </c>
      <c r="J740" s="62">
        <v>2</v>
      </c>
      <c r="K740" s="62">
        <v>2.5</v>
      </c>
      <c r="O740">
        <v>213315</v>
      </c>
      <c r="P740">
        <v>210000</v>
      </c>
      <c r="Q740">
        <v>213315</v>
      </c>
      <c r="T740" s="68">
        <f>=P740/10000*J740*Z740</f>
        <v>1932</v>
      </c>
      <c r="U740" s="64">
        <v>600</v>
      </c>
      <c r="V740" s="68" t="s"/>
      <c r="W740" s="68" t="s"/>
      <c r="X740" s="68">
        <f>=O740-P740</f>
        <v>3315</v>
      </c>
      <c r="Y740" s="68">
        <f>=X740-T740-U740-V740</f>
        <v>783</v>
      </c>
      <c r="Z740" s="62">
        <f>=A740-$A$517+1</f>
        <v>46</v>
      </c>
      <c r="AA740" s="68">
        <f>=P740/10000*K740*Z740</f>
        <v>2415</v>
      </c>
      <c r="AB740" s="62">
        <f>=Q740*Z740</f>
        <v>9812490</v>
      </c>
      <c r="AC740" t="s">
        <v>58</v>
      </c>
    </row>
    <row r="741" spans="1:29">
      <c r="A741" s="147">
        <v>46201</v>
      </c>
      <c r="B741" s="103" t="s"/>
      <c r="C741" s="103" t="s"/>
      <c r="D741" s="62" t="s">
        <v>38</v>
      </c>
      <c r="E741" s="62" t="s">
        <v>85</v>
      </c>
      <c r="F741" s="62" t="s">
        <v>86</v>
      </c>
      <c r="G741" s="71" t="s">
        <v>65</v>
      </c>
      <c r="H741" s="98" t="s">
        <v>304</v>
      </c>
      <c r="I741" s="72" t="s">
        <v>47</v>
      </c>
      <c r="J741" s="62">
        <v>1.46</v>
      </c>
      <c r="K741" s="62">
        <v>2</v>
      </c>
      <c r="O741">
        <v>193680</v>
      </c>
      <c r="P741">
        <v>193680</v>
      </c>
      <c r="Q741">
        <v>193680</v>
      </c>
      <c r="T741" s="68">
        <f>=P741/10000*J741*Z741</f>
        <v>1696.6368</v>
      </c>
      <c r="U741">
        <v>1</v>
      </c>
      <c r="V741" s="68" t="s"/>
      <c r="W741" s="68" t="s"/>
      <c r="X741" s="68">
        <f>=O741-P741</f>
        <v>0</v>
      </c>
      <c r="Y741" s="68">
        <f>=X741-T741-U741-V741</f>
        <v>-1697.6368</v>
      </c>
      <c r="Z741" s="62">
        <f>=A741-$A$462+1</f>
        <v>60</v>
      </c>
      <c r="AA741" s="68">
        <f>=P741/10000*K741*Z741</f>
        <v>2324.16</v>
      </c>
      <c r="AB741" s="62">
        <f>=Q741*Z741</f>
        <v>11620800</v>
      </c>
      <c r="AC741" t="s">
        <v>361</v>
      </c>
    </row>
    <row r="742" spans="1:29">
      <c r="A742" s="147">
        <v>46201</v>
      </c>
      <c r="B742" s="103" t="s"/>
      <c r="C742" s="103" t="s"/>
      <c r="D742" t="s">
        <v>38</v>
      </c>
      <c r="E742" t="s">
        <v>63</v>
      </c>
      <c r="F742" t="s">
        <v>226</v>
      </c>
      <c r="G742" s="136" t="s">
        <v>335</v>
      </c>
      <c r="H742" s="98" t="s">
        <v>336</v>
      </c>
      <c r="I742" s="73" t="s">
        <v>47</v>
      </c>
      <c r="J742" s="62">
        <v>2</v>
      </c>
      <c r="K742" s="62">
        <v>2.5</v>
      </c>
      <c r="O742">
        <v>65596</v>
      </c>
      <c r="P742">
        <v>64750</v>
      </c>
      <c r="Q742">
        <v>65596</v>
      </c>
      <c r="T742" s="68">
        <f>=P742/10000*J742*Z742</f>
        <v>556.85</v>
      </c>
      <c r="U742">
        <v>100</v>
      </c>
      <c r="V742" s="68" t="s"/>
      <c r="W742" s="68" t="s"/>
      <c r="X742" s="68">
        <f>=O742-P742</f>
        <v>846</v>
      </c>
      <c r="Y742" s="68">
        <f>=X742-T742-U742-V742</f>
        <v>189.15</v>
      </c>
      <c r="Z742" s="62">
        <f>=A742-$A$533+1</f>
        <v>43</v>
      </c>
      <c r="AA742" s="68">
        <f>=P742/10000*K742*Z742</f>
        <v>696.0625</v>
      </c>
      <c r="AB742" s="62">
        <f>=Q742*Z742</f>
        <v>2820628</v>
      </c>
      <c r="AC742" t="s">
        <v>58</v>
      </c>
    </row>
    <row r="743" spans="1:29">
      <c r="A743" s="147">
        <v>46201</v>
      </c>
      <c r="B743" s="103" t="s"/>
      <c r="C743" s="103" t="s"/>
      <c r="D743" s="64" t="s">
        <v>38</v>
      </c>
      <c r="E743" s="64" t="s">
        <v>148</v>
      </c>
      <c r="F743" s="64" t="s">
        <v>153</v>
      </c>
      <c r="G743" s="71" t="s">
        <v>215</v>
      </c>
      <c r="H743" s="98" t="s">
        <v>216</v>
      </c>
      <c r="I743" s="72" t="s">
        <v>47</v>
      </c>
      <c r="J743" s="62">
        <v>2</v>
      </c>
      <c r="K743" s="62">
        <v>2.5</v>
      </c>
      <c r="O743">
        <v>258453</v>
      </c>
      <c r="P743">
        <v>252000</v>
      </c>
      <c r="Q743">
        <v>258453</v>
      </c>
      <c r="T743" s="68">
        <f>=P743/10000*J743*Z743</f>
        <v>4586.4</v>
      </c>
      <c r="U743">
        <v>540</v>
      </c>
      <c r="V743" s="68" t="s"/>
      <c r="W743" s="68" t="s"/>
      <c r="X743" s="68">
        <f>=O743-P743</f>
        <v>6452.99999999997</v>
      </c>
      <c r="Y743" s="68">
        <f>=X743-T743-U743-V743</f>
        <v>1326.59999999997</v>
      </c>
      <c r="Z743" s="62">
        <f>=A743-$A$287+1</f>
        <v>91</v>
      </c>
      <c r="AA743" s="68">
        <f>=P743/10000*K743*Z743</f>
        <v>5733</v>
      </c>
      <c r="AB743" s="62">
        <f>=Q743*Z743</f>
        <v>23519223</v>
      </c>
      <c r="AC743" t="s">
        <v>58</v>
      </c>
    </row>
    <row r="744" spans="1:29">
      <c r="A744" s="147">
        <v>46201</v>
      </c>
      <c r="B744" s="103" t="s"/>
      <c r="C744" s="103" t="s"/>
      <c r="D744" s="64" t="s">
        <v>38</v>
      </c>
      <c r="E744" s="131" t="s">
        <v>54</v>
      </c>
      <c r="F744" s="64" t="s">
        <v>55</v>
      </c>
      <c r="G744" s="97" t="s">
        <v>243</v>
      </c>
      <c r="H744" t="s">
        <v>298</v>
      </c>
      <c r="I744" s="65" t="s">
        <v>47</v>
      </c>
      <c r="J744" s="62">
        <v>2</v>
      </c>
      <c r="K744" s="62">
        <v>2.5</v>
      </c>
      <c r="O744">
        <v>535390</v>
      </c>
      <c r="P744">
        <v>525000</v>
      </c>
      <c r="Q744">
        <v>535390</v>
      </c>
      <c r="T744" s="68">
        <f>=P744/10000*J744*Z744</f>
        <v>6720</v>
      </c>
      <c r="U744">
        <v>1500</v>
      </c>
      <c r="V744" s="68" t="s"/>
      <c r="W744" s="68" t="s"/>
      <c r="X744" s="68">
        <f>=O744-P744</f>
        <v>10390</v>
      </c>
      <c r="Y744" s="68">
        <f>=X744-T744-U744-V744</f>
        <v>2170</v>
      </c>
      <c r="Z744" s="62">
        <f>=A744-$A$434+1</f>
        <v>64</v>
      </c>
      <c r="AA744" s="68">
        <f>=P744/10000*K744*Z744</f>
        <v>8400</v>
      </c>
      <c r="AB744" s="62">
        <f>=Q744*Z744</f>
        <v>34264960</v>
      </c>
      <c r="AC744" t="s">
        <v>58</v>
      </c>
    </row>
    <row r="745" spans="1:29">
      <c r="A745" s="147">
        <v>46201</v>
      </c>
      <c r="B745" s="103" t="s"/>
      <c r="C745" s="103" t="s"/>
      <c r="D745" s="78" t="s">
        <v>38</v>
      </c>
      <c r="E745" s="78" t="s">
        <v>63</v>
      </c>
      <c r="F745" s="78" t="s">
        <v>111</v>
      </c>
      <c r="G745" s="155" t="s">
        <v>281</v>
      </c>
      <c r="H745" s="87" t="s">
        <v>282</v>
      </c>
      <c r="I745" s="65" t="s">
        <v>47</v>
      </c>
      <c r="J745" s="62">
        <v>2</v>
      </c>
      <c r="K745" s="62">
        <v>2.5</v>
      </c>
      <c r="O745">
        <v>87442.56</v>
      </c>
      <c r="P745">
        <v>85680</v>
      </c>
      <c r="Q745">
        <v>87442.56</v>
      </c>
      <c r="T745" s="68">
        <f>=P745/10000*J745*Z745</f>
        <v>1165.248</v>
      </c>
      <c r="U745">
        <v>204</v>
      </c>
      <c r="V745" s="68" t="s"/>
      <c r="W745" s="68" t="s"/>
      <c r="X745" s="68">
        <f>=O745-P745</f>
        <v>1762.56</v>
      </c>
      <c r="Y745" s="68">
        <f>=X745-T745-U745-V745</f>
        <v>393.311999999998</v>
      </c>
      <c r="Z745" s="62">
        <f>=A745-$A$413+1</f>
        <v>68</v>
      </c>
      <c r="AA745" s="68">
        <f>=P745/10000*K745*Z745</f>
        <v>1456.56</v>
      </c>
      <c r="AB745" s="62">
        <f>=Q745*Z745</f>
        <v>5946094.08</v>
      </c>
      <c r="AC745" t="s">
        <v>58</v>
      </c>
    </row>
    <row r="746" spans="1:29">
      <c r="A746" s="147">
        <v>46201</v>
      </c>
      <c r="B746" s="103" t="s"/>
      <c r="C746" s="103" t="s"/>
      <c r="D746" s="78" t="s">
        <v>38</v>
      </c>
      <c r="E746" s="78" t="s">
        <v>63</v>
      </c>
      <c r="F746" s="78" t="s">
        <v>111</v>
      </c>
      <c r="G746" s="136" t="s">
        <v>281</v>
      </c>
      <c r="H746" t="s">
        <v>283</v>
      </c>
      <c r="I746" s="65" t="s">
        <v>47</v>
      </c>
      <c r="J746" s="62">
        <v>2</v>
      </c>
      <c r="K746" s="62">
        <v>2.5</v>
      </c>
      <c r="O746">
        <v>87421.48</v>
      </c>
      <c r="P746">
        <v>85680</v>
      </c>
      <c r="Q746">
        <v>87421.48</v>
      </c>
      <c r="T746" s="68">
        <f>=P746/10000*J746*Z746</f>
        <v>1148.112</v>
      </c>
      <c r="U746">
        <v>204</v>
      </c>
      <c r="V746" s="68" t="s"/>
      <c r="W746" s="68" t="s"/>
      <c r="X746" s="68">
        <f>=O746-P746</f>
        <v>1741.48</v>
      </c>
      <c r="Y746" s="68">
        <f>=X746-T746-U746-V746</f>
        <v>389.367999999996</v>
      </c>
      <c r="Z746" s="62">
        <f>=A746-$A$414+1</f>
        <v>67</v>
      </c>
      <c r="AA746" s="68">
        <f>=P746/10000*K746*Z746</f>
        <v>1435.14</v>
      </c>
      <c r="AB746" s="62">
        <f>=Q746*Z746</f>
        <v>5857239.16</v>
      </c>
      <c r="AC746" t="s">
        <v>58</v>
      </c>
    </row>
    <row r="747" spans="1:29">
      <c r="A747" s="147">
        <v>46202</v>
      </c>
      <c r="B747" s="103" t="s"/>
      <c r="C747" s="62">
        <f>=TODAY()-A747+1</f>
        <v>28</v>
      </c>
      <c r="D747" t="s">
        <v>114</v>
      </c>
      <c r="E747" t="s">
        <v>114</v>
      </c>
      <c r="F747" t="s">
        <v>332</v>
      </c>
      <c r="G747" s="136" t="s">
        <v>333</v>
      </c>
      <c r="H747" s="98" t="s">
        <v>365</v>
      </c>
      <c r="I747" s="65" t="s">
        <v>43</v>
      </c>
      <c r="J747" s="62">
        <v>2</v>
      </c>
      <c r="K747" s="62">
        <v>2.8</v>
      </c>
      <c r="M747">
        <v>1372075</v>
      </c>
      <c r="AA747" s="157" t="s"/>
      <c r="AC747" t="s">
        <v>58</v>
      </c>
    </row>
    <row r="748" spans="1:29">
      <c r="A748" s="147">
        <v>46202</v>
      </c>
      <c r="B748" s="103" t="s"/>
      <c r="C748" s="103" t="s"/>
      <c r="D748" s="64" t="s">
        <v>38</v>
      </c>
      <c r="E748" s="131" t="s">
        <v>54</v>
      </c>
      <c r="F748" s="64" t="s">
        <v>55</v>
      </c>
      <c r="G748" s="71" t="s">
        <v>191</v>
      </c>
      <c r="H748" s="98" t="s">
        <v>313</v>
      </c>
      <c r="I748" s="73" t="s">
        <v>47</v>
      </c>
      <c r="J748" s="62">
        <v>2</v>
      </c>
      <c r="K748" s="62">
        <v>2.5</v>
      </c>
      <c r="O748">
        <v>486358.38</v>
      </c>
      <c r="P748">
        <v>479880</v>
      </c>
      <c r="Q748">
        <v>486358.38</v>
      </c>
      <c r="T748" s="68">
        <f>=P748/10000*J748*Z748</f>
        <v>5182.704</v>
      </c>
      <c r="U748">
        <v>0</v>
      </c>
      <c r="V748" s="68" t="s"/>
      <c r="W748" s="68" t="s"/>
      <c r="X748" s="68">
        <f>=O748-P748</f>
        <v>6478.38000000006</v>
      </c>
      <c r="Y748" s="68">
        <f>=X748-T748-U748-V748</f>
        <v>1295.67600000006</v>
      </c>
      <c r="Z748" s="62">
        <f>=A748-$A$485+1</f>
        <v>54</v>
      </c>
      <c r="AA748" s="68">
        <f>=P748/10000*K748*Z748</f>
        <v>6478.38</v>
      </c>
      <c r="AB748" s="62">
        <f>=Q748*Z748</f>
        <v>26263352.52</v>
      </c>
      <c r="AC748" t="s">
        <v>58</v>
      </c>
    </row>
    <row r="749" spans="1:29">
      <c r="A749" s="147">
        <v>46202</v>
      </c>
      <c r="B749" s="123" t="s">
        <v>37</v>
      </c>
      <c r="C749" s="103" t="s"/>
      <c r="D749" s="63" t="s">
        <v>38</v>
      </c>
      <c r="E749" s="62" t="s">
        <v>39</v>
      </c>
      <c r="F749" s="62" t="s">
        <v>40</v>
      </c>
      <c r="G749" s="64" t="s">
        <v>195</v>
      </c>
      <c r="H749" s="80" t="s">
        <v>196</v>
      </c>
      <c r="I749" s="65" t="s">
        <v>47</v>
      </c>
      <c r="J749" s="62">
        <v>2</v>
      </c>
      <c r="K749" s="62">
        <v>2.5</v>
      </c>
      <c r="O749">
        <v>829929.76</v>
      </c>
      <c r="P749">
        <v>808990</v>
      </c>
      <c r="Q749">
        <v>829929.76</v>
      </c>
      <c r="T749" s="68">
        <f>=P749/10000*J749*Z749</f>
        <v>15532.608</v>
      </c>
      <c r="U749">
        <v>1016</v>
      </c>
      <c r="V749" s="68" t="s"/>
      <c r="W749" s="68" t="s"/>
      <c r="X749" s="68">
        <f>=O749-P749</f>
        <v>20939.76</v>
      </c>
      <c r="Y749" s="68">
        <f>=X749-T749-U749-V749</f>
        <v>4391.15200000001</v>
      </c>
      <c r="Z749" s="62">
        <f>=A749-$A$264+1</f>
        <v>96</v>
      </c>
      <c r="AA749" s="68">
        <f>=P749/10000*K749*Z749</f>
        <v>19415.76</v>
      </c>
      <c r="AB749" s="62">
        <f>=Q749*Z749</f>
        <v>79673256.96</v>
      </c>
      <c r="AC749" t="s">
        <v>58</v>
      </c>
    </row>
    <row r="750" spans="1:29">
      <c r="A750" s="147">
        <v>46202</v>
      </c>
      <c r="B750" s="106" t="s">
        <v>37</v>
      </c>
      <c r="C750" s="103" t="s"/>
      <c r="D750" s="62" t="s">
        <v>38</v>
      </c>
      <c r="E750" t="s">
        <v>288</v>
      </c>
      <c r="F750" t="s">
        <v>289</v>
      </c>
      <c r="G750" s="136" t="s">
        <v>301</v>
      </c>
      <c r="H750" s="98" t="s">
        <v>302</v>
      </c>
      <c r="I750" s="65" t="s">
        <v>47</v>
      </c>
      <c r="J750" s="62">
        <v>2</v>
      </c>
      <c r="K750" s="62">
        <v>2.5</v>
      </c>
      <c r="O750">
        <v>48858.5</v>
      </c>
      <c r="P750">
        <v>47950</v>
      </c>
      <c r="Q750">
        <v>48858.5</v>
      </c>
      <c r="T750" s="68">
        <f>=P750/10000*J750*Z750</f>
        <v>594.58</v>
      </c>
      <c r="U750">
        <v>165</v>
      </c>
      <c r="V750" s="68" t="s"/>
      <c r="W750" s="68" t="s"/>
      <c r="X750" s="68">
        <f>=O750-P750</f>
        <v>908.5</v>
      </c>
      <c r="Y750" s="68">
        <f>=X750-T750-U750-V750</f>
        <v>148.92</v>
      </c>
      <c r="Z750" s="62">
        <f>=A750-$A$448+1</f>
        <v>62</v>
      </c>
      <c r="AA750" s="68">
        <f>=P750/10000*K750*Z750</f>
        <v>743.225</v>
      </c>
      <c r="AB750" s="62">
        <f>=Q750*Z750</f>
        <v>3029227</v>
      </c>
      <c r="AC750" t="s">
        <v>58</v>
      </c>
    </row>
    <row r="751" spans="1:29">
      <c r="A751" s="147">
        <v>46202</v>
      </c>
      <c r="B751" s="103" t="s"/>
      <c r="C751" s="103" t="s"/>
      <c r="D751" s="62" t="s">
        <v>38</v>
      </c>
      <c r="E751" s="62" t="s">
        <v>133</v>
      </c>
      <c r="F751" s="62" t="s">
        <v>134</v>
      </c>
      <c r="G751" s="71" t="s">
        <v>135</v>
      </c>
      <c r="H751" s="98" t="s">
        <v>147</v>
      </c>
      <c r="I751" s="73" t="s">
        <v>47</v>
      </c>
      <c r="J751" s="62">
        <v>2</v>
      </c>
      <c r="K751" s="62">
        <v>2.5</v>
      </c>
      <c r="O751">
        <v>133932.5</v>
      </c>
      <c r="P751">
        <v>130000</v>
      </c>
      <c r="Q751">
        <v>133932.5</v>
      </c>
      <c r="T751" s="68">
        <f>=P751/10000*J751*Z751</f>
        <v>2730</v>
      </c>
      <c r="U751">
        <v>520</v>
      </c>
      <c r="V751" s="68" t="s"/>
      <c r="W751" s="68" t="s"/>
      <c r="X751" s="68">
        <f>=O751-P751</f>
        <v>3932.5</v>
      </c>
      <c r="Y751" s="68">
        <f>=X751-T751-U751-V751</f>
        <v>682.5</v>
      </c>
      <c r="Z751" s="62">
        <f>=A751-$A$215+1</f>
        <v>105</v>
      </c>
      <c r="AA751" s="68">
        <f>=P751/10000*K751*Z751</f>
        <v>3412.5</v>
      </c>
      <c r="AB751" s="62">
        <f>=Q751*Z751</f>
        <v>14062912.5</v>
      </c>
      <c r="AC751" t="s">
        <v>58</v>
      </c>
    </row>
    <row r="752" spans="1:29">
      <c r="A752" s="147">
        <v>46202</v>
      </c>
      <c r="B752" s="103" t="s"/>
      <c r="C752" s="103" t="s"/>
      <c r="D752" s="62" t="s">
        <v>38</v>
      </c>
      <c r="E752" s="62" t="s">
        <v>133</v>
      </c>
      <c r="F752" s="62" t="s">
        <v>134</v>
      </c>
      <c r="G752" s="71" t="s">
        <v>135</v>
      </c>
      <c r="H752" s="98" t="s">
        <v>237</v>
      </c>
      <c r="I752" s="73" t="s">
        <v>47</v>
      </c>
      <c r="J752" s="62">
        <v>2</v>
      </c>
      <c r="K752" s="62">
        <v>2.5</v>
      </c>
      <c r="O752">
        <v>90522</v>
      </c>
      <c r="P752">
        <v>88200</v>
      </c>
      <c r="Q752">
        <v>90522</v>
      </c>
      <c r="T752" s="68">
        <f>=P752/10000*J752*Z752</f>
        <v>1569.96</v>
      </c>
      <c r="U752">
        <v>360</v>
      </c>
      <c r="V752" s="68" t="s"/>
      <c r="W752" s="68" t="s"/>
      <c r="X752" s="68">
        <f>=O752-P752</f>
        <v>2322</v>
      </c>
      <c r="Y752" s="68">
        <f>=X752-T752-U752-V752</f>
        <v>392.04</v>
      </c>
      <c r="Z752" s="62">
        <f>=A752-$A$312+1</f>
        <v>89</v>
      </c>
      <c r="AA752" s="68">
        <f>=P752/10000*K752*Z752</f>
        <v>1962.45</v>
      </c>
      <c r="AB752" s="62">
        <f>=Q752*Z752</f>
        <v>8056458</v>
      </c>
      <c r="AC752" t="s">
        <v>58</v>
      </c>
    </row>
    <row r="753" spans="1:29">
      <c r="A753" s="147">
        <v>46202</v>
      </c>
      <c r="B753" s="103" t="s"/>
      <c r="C753" s="103" t="s"/>
      <c r="D753" s="62" t="s">
        <v>38</v>
      </c>
      <c r="E753" s="62" t="s">
        <v>133</v>
      </c>
      <c r="F753" s="62" t="s">
        <v>134</v>
      </c>
      <c r="G753" s="71" t="s">
        <v>135</v>
      </c>
      <c r="H753" s="98" t="s">
        <v>247</v>
      </c>
      <c r="I753" s="73" t="s">
        <v>47</v>
      </c>
      <c r="J753" s="62">
        <v>2</v>
      </c>
      <c r="K753" s="62">
        <v>2.5</v>
      </c>
      <c r="O753">
        <v>132737.6</v>
      </c>
      <c r="P753">
        <v>129600</v>
      </c>
      <c r="Q753">
        <v>132737.6</v>
      </c>
      <c r="T753" s="68">
        <f>=P753/10000*J753*Z753</f>
        <v>2125.44</v>
      </c>
      <c r="U753">
        <v>480</v>
      </c>
      <c r="V753" s="68" t="s"/>
      <c r="W753" s="68" t="s"/>
      <c r="X753" s="68">
        <f>=O753-P753</f>
        <v>3137.60000000001</v>
      </c>
      <c r="Y753" s="68">
        <f>=X753-T753-U753-V753</f>
        <v>532.160000000006</v>
      </c>
      <c r="Z753" s="62">
        <f>=A753-$A$347+1</f>
        <v>82</v>
      </c>
      <c r="AA753" s="68">
        <f>=P753/10000*K753*Z753</f>
        <v>2656.8</v>
      </c>
      <c r="AB753" s="62">
        <f>=Q753*Z753</f>
        <v>10884483.2</v>
      </c>
      <c r="AC753" t="s">
        <v>58</v>
      </c>
    </row>
    <row r="754" spans="1:29">
      <c r="A754" s="147">
        <v>46202</v>
      </c>
      <c r="B754" s="123" t="s">
        <v>37</v>
      </c>
      <c r="C754" s="103" t="s"/>
      <c r="D754" s="62" t="s">
        <v>38</v>
      </c>
      <c r="E754" s="95" t="s">
        <v>322</v>
      </c>
      <c r="F754" s="95" t="s">
        <v>323</v>
      </c>
      <c r="G754" s="153" t="s">
        <v>324</v>
      </c>
      <c r="H754" s="98" t="s">
        <v>325</v>
      </c>
      <c r="I754" s="65" t="s">
        <v>47</v>
      </c>
      <c r="J754" s="78">
        <v>2</v>
      </c>
      <c r="K754" s="62">
        <v>3</v>
      </c>
      <c r="O754">
        <v>178626</v>
      </c>
      <c r="P754">
        <v>175500</v>
      </c>
      <c r="Q754">
        <v>178626</v>
      </c>
      <c r="T754" s="68">
        <f>=P754/10000*J754*Z754</f>
        <v>1684.8</v>
      </c>
      <c r="U754">
        <v>600</v>
      </c>
      <c r="V754" s="68" t="s"/>
      <c r="W754" s="68" t="s"/>
      <c r="X754" s="68">
        <f>=O754-P754</f>
        <v>3126</v>
      </c>
      <c r="Y754" s="68">
        <f>=X754-T754-U754-V754</f>
        <v>841.2</v>
      </c>
      <c r="Z754" s="62">
        <f>=A754-$A$511+1</f>
        <v>48</v>
      </c>
      <c r="AA754" s="68">
        <f>=P754/10000*K754*Z754</f>
        <v>2527.2</v>
      </c>
      <c r="AB754" s="62">
        <f>=Q754*Z754</f>
        <v>8574048</v>
      </c>
      <c r="AC754" t="s">
        <v>58</v>
      </c>
    </row>
    <row r="755" spans="1:29">
      <c r="A755" s="147">
        <v>46203</v>
      </c>
      <c r="B755" s="123" t="s">
        <v>37</v>
      </c>
      <c r="C755" s="103" t="s"/>
      <c r="D755" s="62" t="s">
        <v>38</v>
      </c>
      <c r="E755" t="s">
        <v>288</v>
      </c>
      <c r="F755" t="s">
        <v>289</v>
      </c>
      <c r="G755" s="136" t="s">
        <v>301</v>
      </c>
      <c r="H755" s="98" t="s">
        <v>302</v>
      </c>
      <c r="I755" s="65" t="s">
        <v>47</v>
      </c>
      <c r="J755" s="62">
        <v>2</v>
      </c>
      <c r="K755" s="62">
        <v>2.5</v>
      </c>
      <c r="O755">
        <v>43591.9</v>
      </c>
      <c r="P755">
        <v>42780</v>
      </c>
      <c r="Q755">
        <v>43591.9</v>
      </c>
      <c r="T755" s="68">
        <f>=P755/10000*J755*Z755</f>
        <v>539.028</v>
      </c>
      <c r="U755">
        <v>138</v>
      </c>
      <c r="V755" s="68" t="s"/>
      <c r="W755" s="68" t="s"/>
      <c r="X755" s="68">
        <f>=O755-P755</f>
        <v>811.899999999994</v>
      </c>
      <c r="Y755" s="68">
        <f>=X755-T755-U755-V755</f>
        <v>134.871999999994</v>
      </c>
      <c r="Z755" s="62">
        <f>=A755-$A$448+1</f>
        <v>63</v>
      </c>
      <c r="AA755" s="68">
        <f>=P755/10000*K755*Z755</f>
        <v>673.785</v>
      </c>
      <c r="AB755" s="62">
        <f>=Q755*Z755</f>
        <v>2746289.7</v>
      </c>
      <c r="AC755" t="s">
        <v>58</v>
      </c>
    </row>
    <row r="756" spans="1:29">
      <c r="A756" s="147">
        <v>46204</v>
      </c>
      <c r="B756" s="103" t="s"/>
      <c r="C756" s="103" t="s"/>
      <c r="D756" s="62" t="s">
        <v>38</v>
      </c>
      <c r="E756" s="62" t="s">
        <v>85</v>
      </c>
      <c r="F756" s="62" t="s">
        <v>120</v>
      </c>
      <c r="G756" s="71" t="s">
        <v>339</v>
      </c>
      <c r="H756" t="s">
        <v>340</v>
      </c>
      <c r="I756" s="69" t="s">
        <v>47</v>
      </c>
      <c r="J756" s="62">
        <v>2</v>
      </c>
      <c r="K756" s="62">
        <v>2.6</v>
      </c>
      <c r="O756">
        <v>889392</v>
      </c>
      <c r="P756">
        <v>876000</v>
      </c>
      <c r="Q756">
        <v>889392</v>
      </c>
      <c r="T756" s="68">
        <f>=P756/10000*J756*Z756</f>
        <v>7708.8</v>
      </c>
      <c r="U756">
        <v>2400</v>
      </c>
      <c r="V756" s="68">
        <f>=P756*0.005/360*Z756</f>
        <v>535.333333333333</v>
      </c>
      <c r="W756" s="68">
        <f>=X756*0.06</f>
        <v>803.52</v>
      </c>
      <c r="X756" s="68">
        <f>=O756-P756</f>
        <v>13392</v>
      </c>
      <c r="Y756" s="68">
        <f>=X756-T756-U756-V756-W756</f>
        <v>1944.34666666667</v>
      </c>
      <c r="Z756" s="62">
        <f>=A756-$A$548+1</f>
        <v>44</v>
      </c>
      <c r="AA756" s="68">
        <f>=P756/10000*K756*Z756</f>
        <v>10021.44</v>
      </c>
      <c r="AB756" s="62">
        <f>=Q756*Z756</f>
        <v>39133248</v>
      </c>
      <c r="AC756" t="s">
        <v>58</v>
      </c>
    </row>
    <row r="757" spans="1:29">
      <c r="A757" s="147">
        <v>46204</v>
      </c>
      <c r="B757" s="103" t="s"/>
      <c r="C757" s="103" t="s"/>
      <c r="D757" s="62" t="s">
        <v>38</v>
      </c>
      <c r="E757" s="62" t="s">
        <v>85</v>
      </c>
      <c r="F757" s="62" t="s">
        <v>120</v>
      </c>
      <c r="G757" s="71" t="s">
        <v>339</v>
      </c>
      <c r="H757" t="s">
        <v>362</v>
      </c>
      <c r="I757" s="69" t="s">
        <v>47</v>
      </c>
      <c r="J757" s="62">
        <v>2</v>
      </c>
      <c r="K757" s="62">
        <v>2.6</v>
      </c>
      <c r="O757">
        <v>73945</v>
      </c>
      <c r="P757">
        <v>73000</v>
      </c>
      <c r="Q757">
        <v>73945</v>
      </c>
      <c r="T757" s="68">
        <f>=P757/10000*J757*Z757</f>
        <v>511</v>
      </c>
      <c r="U757">
        <v>200</v>
      </c>
      <c r="V757" s="68">
        <f>=P757*0.005/360*Z757</f>
        <v>35.4861111111111</v>
      </c>
      <c r="W757" s="68">
        <f>=X757*0.06</f>
        <v>56.7</v>
      </c>
      <c r="X757" s="68">
        <f>=O757-P757</f>
        <v>945</v>
      </c>
      <c r="Y757" s="68">
        <f>=X757-T757-U757-V757-W757</f>
        <v>141.813888888889</v>
      </c>
      <c r="Z757" s="62">
        <f>=A757-$A$608+1</f>
        <v>35</v>
      </c>
      <c r="AA757" s="68">
        <f>=P757/10000*K757*Z757</f>
        <v>664.3</v>
      </c>
      <c r="AB757" s="62">
        <f>=Q757*Z757</f>
        <v>2588075</v>
      </c>
      <c r="AC757" t="s">
        <v>58</v>
      </c>
    </row>
    <row r="758" spans="1:29">
      <c r="A758" s="147">
        <v>46204</v>
      </c>
      <c r="B758" s="103" t="s"/>
      <c r="C758" s="103" t="s"/>
      <c r="D758" s="62" t="s">
        <v>38</v>
      </c>
      <c r="E758" s="98" t="s">
        <v>167</v>
      </c>
      <c r="F758" s="98" t="s">
        <v>168</v>
      </c>
      <c r="G758" s="71" t="s">
        <v>169</v>
      </c>
      <c r="H758" s="71" t="s">
        <v>351</v>
      </c>
      <c r="I758" s="65" t="s">
        <v>47</v>
      </c>
      <c r="J758" s="62">
        <v>2</v>
      </c>
      <c r="K758" s="62">
        <v>2.5</v>
      </c>
      <c r="O758">
        <v>47297.7</v>
      </c>
      <c r="P758">
        <v>46800</v>
      </c>
      <c r="Q758">
        <v>47297.7</v>
      </c>
      <c r="T758" s="68">
        <f>=P758/10000*J758*Z758</f>
        <v>393.12</v>
      </c>
      <c r="U758">
        <v>12</v>
      </c>
      <c r="V758" s="68">
        <f>=P758*0.005/360*Z758</f>
        <v>27.3</v>
      </c>
      <c r="W758" s="68">
        <f>=X758*0.06</f>
        <v>29.8619999999998</v>
      </c>
      <c r="X758" s="68">
        <f>=O758-P758</f>
        <v>497.699999999997</v>
      </c>
      <c r="Y758" s="68">
        <f>=X758-T758-U758-V758-W758</f>
        <v>35.4179999999973</v>
      </c>
      <c r="Z758" s="62">
        <f>=A758-$A$577+1</f>
        <v>42</v>
      </c>
      <c r="AA758" s="68">
        <f>=P758/10000*K758*Z758</f>
        <v>491.4</v>
      </c>
      <c r="AB758" s="62">
        <f>=Q758*Z758</f>
        <v>1986503.4</v>
      </c>
      <c r="AC758" t="s">
        <v>58</v>
      </c>
    </row>
    <row r="759" spans="1:29">
      <c r="A759" s="147">
        <v>46204</v>
      </c>
      <c r="B759" s="103" t="s"/>
      <c r="C759" s="103" t="s"/>
      <c r="D759" s="62" t="s">
        <v>38</v>
      </c>
      <c r="E759" s="98" t="s">
        <v>167</v>
      </c>
      <c r="F759" s="98" t="s">
        <v>168</v>
      </c>
      <c r="G759" s="71" t="s">
        <v>169</v>
      </c>
      <c r="H759" s="71" t="s">
        <v>354</v>
      </c>
      <c r="I759" s="65" t="s">
        <v>47</v>
      </c>
      <c r="J759" s="62">
        <v>2</v>
      </c>
      <c r="K759" s="62">
        <v>2.5</v>
      </c>
      <c r="O759">
        <v>70271.4</v>
      </c>
      <c r="P759">
        <v>69540</v>
      </c>
      <c r="Q759">
        <v>70271.4</v>
      </c>
      <c r="T759" s="68">
        <f>=P759/10000*J759*Z759</f>
        <v>570.228</v>
      </c>
      <c r="U759">
        <v>24</v>
      </c>
      <c r="V759" s="68">
        <f>=P759*0.005/360*Z759</f>
        <v>39.5991666666667</v>
      </c>
      <c r="W759" s="68">
        <f>=X759*0.06</f>
        <v>43.8839999999997</v>
      </c>
      <c r="X759" s="68">
        <f>=O759-P759</f>
        <v>731.399999999994</v>
      </c>
      <c r="Y759" s="68">
        <f>=X759-T759-U759-V759-W759</f>
        <v>53.6888333333279</v>
      </c>
      <c r="Z759" s="62">
        <f>=A759-$A$582+1</f>
        <v>41</v>
      </c>
      <c r="AA759" s="68">
        <f>=P759/10000*K759*Z759</f>
        <v>712.785</v>
      </c>
      <c r="AB759" s="62">
        <f>=Q759*Z759</f>
        <v>2881127.4</v>
      </c>
      <c r="AC759" t="s">
        <v>58</v>
      </c>
    </row>
    <row r="760" spans="1:29">
      <c r="A760" s="147">
        <v>46204</v>
      </c>
      <c r="B760" s="103" t="s"/>
      <c r="C760" s="103" t="s"/>
      <c r="D760" s="62" t="s">
        <v>38</v>
      </c>
      <c r="E760" s="62" t="s">
        <v>48</v>
      </c>
      <c r="F760" s="62" t="s">
        <v>73</v>
      </c>
      <c r="G760" s="64" t="s">
        <v>181</v>
      </c>
      <c r="H760" s="64" t="s">
        <v>182</v>
      </c>
      <c r="I760" s="72" t="s">
        <v>47</v>
      </c>
      <c r="J760" s="78">
        <v>2</v>
      </c>
      <c r="K760" s="78">
        <v>2.5</v>
      </c>
      <c r="O760">
        <v>539530</v>
      </c>
      <c r="P760">
        <v>526500</v>
      </c>
      <c r="Q760">
        <v>539530</v>
      </c>
      <c r="T760" s="68">
        <f>=P760/10000*J760*Z760</f>
        <v>10530</v>
      </c>
      <c r="U760" s="62">
        <v>0</v>
      </c>
      <c r="V760" s="68">
        <f>=P760*0.005/360*Z760</f>
        <v>731.25</v>
      </c>
      <c r="W760" s="68">
        <f>=X760*0.13</f>
        <v>1693.9</v>
      </c>
      <c r="X760" s="68">
        <f>=O760-P760</f>
        <v>13030</v>
      </c>
      <c r="Y760" s="68">
        <f>=X760-T760-U760-V760-W760</f>
        <v>74.8499999999999</v>
      </c>
      <c r="Z760" s="62">
        <f>=A760-$A$246+1</f>
        <v>100</v>
      </c>
      <c r="AA760" s="68">
        <f>=P760/10000*K760*Z760</f>
        <v>13162.5</v>
      </c>
      <c r="AB760" s="62">
        <f>=Q760*Z760</f>
        <v>53953000</v>
      </c>
      <c r="AC760" t="s">
        <v>312</v>
      </c>
    </row>
    <row r="761" spans="1:29">
      <c r="A761" s="147">
        <v>46204</v>
      </c>
      <c r="B761" s="103" t="s"/>
      <c r="C761" s="103" t="s"/>
      <c r="D761" s="62" t="s">
        <v>38</v>
      </c>
      <c r="E761" s="62" t="s">
        <v>133</v>
      </c>
      <c r="F761" s="62" t="s">
        <v>134</v>
      </c>
      <c r="G761" s="71" t="s">
        <v>135</v>
      </c>
      <c r="H761" s="98" t="s">
        <v>144</v>
      </c>
      <c r="I761" s="73" t="s">
        <v>47</v>
      </c>
      <c r="J761" s="62">
        <v>2</v>
      </c>
      <c r="K761" s="62">
        <v>2.5</v>
      </c>
      <c r="O761">
        <v>192268</v>
      </c>
      <c r="P761">
        <v>186000</v>
      </c>
      <c r="Q761">
        <v>192268</v>
      </c>
      <c r="T761" s="68">
        <f>=P761/10000*J761*Z761</f>
        <v>4092</v>
      </c>
      <c r="U761">
        <v>800</v>
      </c>
      <c r="V761" s="68">
        <f>=P761*0.005/360*Z761</f>
        <v>284.166666666667</v>
      </c>
      <c r="W761" s="68">
        <f>=X761*0.06</f>
        <v>376.08</v>
      </c>
      <c r="X761" s="68">
        <f>=O761-P761</f>
        <v>6268</v>
      </c>
      <c r="Y761" s="68">
        <f>=X761-T761-U761-V761-W761</f>
        <v>715.753333333333</v>
      </c>
      <c r="Z761" s="62">
        <f>=A761-$A$211+1</f>
        <v>110</v>
      </c>
      <c r="AA761" s="68">
        <f>=P761/10000*K761*Z761</f>
        <v>5115</v>
      </c>
      <c r="AB761" s="62">
        <f>=Q761*Z761</f>
        <v>21149480</v>
      </c>
      <c r="AC761" t="s">
        <v>58</v>
      </c>
    </row>
    <row r="762" spans="1:29">
      <c r="A762" s="147">
        <v>46204</v>
      </c>
      <c r="B762" s="103" t="s"/>
      <c r="C762" s="103" t="s"/>
      <c r="D762" s="62" t="s">
        <v>38</v>
      </c>
      <c r="E762" s="62" t="s">
        <v>133</v>
      </c>
      <c r="F762" s="62" t="s">
        <v>134</v>
      </c>
      <c r="G762" s="71" t="s">
        <v>135</v>
      </c>
      <c r="H762" s="98" t="s">
        <v>186</v>
      </c>
      <c r="I762" s="73" t="s">
        <v>47</v>
      </c>
      <c r="J762" s="62">
        <v>2</v>
      </c>
      <c r="K762" s="62">
        <v>2.5</v>
      </c>
      <c r="O762">
        <v>152238</v>
      </c>
      <c r="P762">
        <v>147000</v>
      </c>
      <c r="Q762">
        <v>152238</v>
      </c>
      <c r="T762" s="68">
        <f>=P762/10000*J762*Z762</f>
        <v>2940</v>
      </c>
      <c r="U762">
        <v>800</v>
      </c>
      <c r="V762" s="68">
        <f>=P762*0.005/360*Z762</f>
        <v>204.166666666667</v>
      </c>
      <c r="W762" s="68">
        <f>=X762*0.06</f>
        <v>314.28</v>
      </c>
      <c r="X762" s="68">
        <f>=O762-P762</f>
        <v>5238</v>
      </c>
      <c r="Y762" s="68">
        <f>=X762-T762-U762-V762-W762</f>
        <v>979.553333333333</v>
      </c>
      <c r="Z762" s="62">
        <f>=A762-$A$255+1</f>
        <v>100</v>
      </c>
      <c r="AA762" s="68">
        <f>=P762/10000*K762*Z762</f>
        <v>3675</v>
      </c>
      <c r="AB762" s="62">
        <f>=Q762*Z762</f>
        <v>15223800</v>
      </c>
      <c r="AC762" t="s">
        <v>58</v>
      </c>
    </row>
    <row r="763" spans="1:29">
      <c r="A763" s="147">
        <v>46204</v>
      </c>
      <c r="B763" s="103" t="s"/>
      <c r="C763" s="103" t="s"/>
      <c r="D763" s="62" t="s">
        <v>38</v>
      </c>
      <c r="E763" s="62" t="s">
        <v>133</v>
      </c>
      <c r="F763" s="62" t="s">
        <v>134</v>
      </c>
      <c r="G763" s="71" t="s">
        <v>135</v>
      </c>
      <c r="H763" s="98" t="s">
        <v>237</v>
      </c>
      <c r="I763" s="73" t="s">
        <v>47</v>
      </c>
      <c r="J763" s="62">
        <v>2</v>
      </c>
      <c r="K763" s="62">
        <v>2.5</v>
      </c>
      <c r="O763">
        <v>39666.5</v>
      </c>
      <c r="P763">
        <v>38500</v>
      </c>
      <c r="Q763">
        <v>39666.5</v>
      </c>
      <c r="T763" s="68">
        <f>=P763/10000*J763*Z763</f>
        <v>700.7</v>
      </c>
      <c r="U763">
        <v>200</v>
      </c>
      <c r="V763" s="68">
        <f>=P763*0.005/360*Z763</f>
        <v>48.6597222222222</v>
      </c>
      <c r="W763" s="68">
        <f>=X763*0.06</f>
        <v>69.99</v>
      </c>
      <c r="X763" s="68">
        <f>=O763-P763</f>
        <v>1166.5</v>
      </c>
      <c r="Y763" s="68">
        <f>=X763-T763-U763-V763-W763</f>
        <v>147.150277777778</v>
      </c>
      <c r="Z763" s="62">
        <f>=A763-$A$312+1</f>
        <v>91</v>
      </c>
      <c r="AA763" s="68">
        <f>=P763/10000*K763*Z763</f>
        <v>875.875</v>
      </c>
      <c r="AB763" s="62">
        <f>=Q763*Z763</f>
        <v>3609651.5</v>
      </c>
      <c r="AC763" t="s">
        <v>58</v>
      </c>
    </row>
    <row r="764" spans="1:29">
      <c r="A764" s="147">
        <v>46204</v>
      </c>
      <c r="B764" s="103" t="s"/>
      <c r="C764" s="103" t="s"/>
      <c r="D764" s="62" t="s">
        <v>38</v>
      </c>
      <c r="E764" s="62" t="s">
        <v>133</v>
      </c>
      <c r="F764" s="62" t="s">
        <v>134</v>
      </c>
      <c r="G764" s="71" t="s">
        <v>135</v>
      </c>
      <c r="H764" s="98" t="s">
        <v>247</v>
      </c>
      <c r="I764" s="73" t="s">
        <v>47</v>
      </c>
      <c r="J764" s="62">
        <v>2</v>
      </c>
      <c r="K764" s="62">
        <v>2.5</v>
      </c>
      <c r="O764">
        <v>53904.2</v>
      </c>
      <c r="P764">
        <v>52500</v>
      </c>
      <c r="Q764">
        <v>53904.2</v>
      </c>
      <c r="T764" s="68">
        <f>=P764/10000*J764*Z764</f>
        <v>882</v>
      </c>
      <c r="U764">
        <v>210</v>
      </c>
      <c r="V764" s="68">
        <f>=P764*0.005/360*Z764</f>
        <v>61.25</v>
      </c>
      <c r="W764" s="68">
        <f>=X764*0.06</f>
        <v>84.2519999999998</v>
      </c>
      <c r="X764" s="68">
        <f>=O764-P764</f>
        <v>1404.2</v>
      </c>
      <c r="Y764" s="68">
        <f>=X764-T764-U764-V764-W764</f>
        <v>166.697999999997</v>
      </c>
      <c r="Z764" s="62">
        <f>=A764-$A$347+1</f>
        <v>84</v>
      </c>
      <c r="AA764" s="68">
        <f>=P764/10000*K764*Z764</f>
        <v>1102.5</v>
      </c>
      <c r="AB764" s="62">
        <f>=Q764*Z764</f>
        <v>4527952.8</v>
      </c>
      <c r="AC764" t="s">
        <v>58</v>
      </c>
    </row>
    <row r="765" spans="1:29">
      <c r="A765" s="147">
        <v>46204</v>
      </c>
      <c r="B765" s="123" t="s">
        <v>37</v>
      </c>
      <c r="C765" s="103" t="s"/>
      <c r="D765" s="78" t="s">
        <v>38</v>
      </c>
      <c r="E765" s="158" t="s">
        <v>54</v>
      </c>
      <c r="F765" s="98" t="s">
        <v>55</v>
      </c>
      <c r="G765" s="156" t="s">
        <v>352</v>
      </c>
      <c r="H765" s="98" t="s">
        <v>353</v>
      </c>
      <c r="I765" s="65" t="s">
        <v>47</v>
      </c>
      <c r="J765" s="62">
        <v>2</v>
      </c>
      <c r="K765" s="62">
        <v>2.5</v>
      </c>
      <c r="O765">
        <v>353587.5</v>
      </c>
      <c r="P765">
        <v>350000</v>
      </c>
      <c r="Q765">
        <v>353587.5</v>
      </c>
      <c r="T765" s="68">
        <f>=P765/10000*J765*Z765</f>
        <v>2940</v>
      </c>
      <c r="U765">
        <v>0</v>
      </c>
      <c r="V765" s="68">
        <f>=P765*0.005/360*Z765</f>
        <v>204.166666666667</v>
      </c>
      <c r="W765" s="68">
        <f>=X765*0.06</f>
        <v>215.25</v>
      </c>
      <c r="X765" s="68">
        <f>=O765-P765</f>
        <v>3587.5</v>
      </c>
      <c r="Y765" s="68">
        <f>=X765-T765-U765-V765-W765</f>
        <v>228.083333333333</v>
      </c>
      <c r="Z765" s="62">
        <f>=A765-$A$578+1</f>
        <v>42</v>
      </c>
      <c r="AA765" s="68">
        <f>=P765/10000*K765*Z765</f>
        <v>3675</v>
      </c>
      <c r="AB765" s="62">
        <f>=Q765*Z765</f>
        <v>14850675</v>
      </c>
      <c r="AC765" t="s">
        <v>58</v>
      </c>
    </row>
    <row r="766" spans="1:29">
      <c r="A766" s="147">
        <v>46204</v>
      </c>
      <c r="B766" s="103" t="s"/>
      <c r="C766" s="103" t="s"/>
      <c r="D766" s="64" t="s">
        <v>38</v>
      </c>
      <c r="E766" s="64" t="s">
        <v>148</v>
      </c>
      <c r="F766" s="64" t="s">
        <v>153</v>
      </c>
      <c r="G766" s="71" t="s">
        <v>215</v>
      </c>
      <c r="H766" s="98" t="s">
        <v>234</v>
      </c>
      <c r="I766" s="72" t="s">
        <v>47</v>
      </c>
      <c r="J766" s="62">
        <v>2</v>
      </c>
      <c r="K766" s="62">
        <v>2.5</v>
      </c>
      <c r="O766">
        <v>286720</v>
      </c>
      <c r="P766">
        <v>280000</v>
      </c>
      <c r="Q766">
        <v>286720</v>
      </c>
      <c r="T766" s="68">
        <f>=P766/10000*J766*Z766</f>
        <v>5096</v>
      </c>
      <c r="U766">
        <v>400</v>
      </c>
      <c r="V766" s="68">
        <f>=P766*0.005/360*Z766</f>
        <v>353.888888888889</v>
      </c>
      <c r="W766" s="68">
        <f>=X766*0.06</f>
        <v>403.2</v>
      </c>
      <c r="X766" s="68">
        <f>=O766-P766</f>
        <v>6720</v>
      </c>
      <c r="Y766" s="68">
        <f>=X766-T766-U766-V766-W766</f>
        <v>466.911111111111</v>
      </c>
      <c r="Z766" s="62">
        <f>=A766-$A$304+1</f>
        <v>91</v>
      </c>
      <c r="AA766" s="68">
        <f>=P766/10000*K766*Z766</f>
        <v>6370</v>
      </c>
      <c r="AB766" s="62">
        <f>=Q766*Z766</f>
        <v>26091520</v>
      </c>
      <c r="AC766" t="s">
        <v>58</v>
      </c>
    </row>
    <row r="767" spans="1:29">
      <c r="A767" s="147">
        <v>46205</v>
      </c>
      <c r="B767" s="62" t="s">
        <v>37</v>
      </c>
      <c r="C767" s="103" t="s"/>
      <c r="D767" s="63" t="s">
        <v>38</v>
      </c>
      <c r="E767" s="98" t="s">
        <v>167</v>
      </c>
      <c r="F767" s="98" t="s">
        <v>168</v>
      </c>
      <c r="G767" s="71" t="s">
        <v>138</v>
      </c>
      <c r="H767" s="98" t="s">
        <v>184</v>
      </c>
      <c r="I767" s="69" t="s">
        <v>47</v>
      </c>
      <c r="J767" s="62">
        <v>2</v>
      </c>
      <c r="K767" s="62">
        <v>2.5</v>
      </c>
      <c r="O767">
        <v>148116</v>
      </c>
      <c r="P767">
        <v>144000</v>
      </c>
      <c r="Q767">
        <v>148116</v>
      </c>
      <c r="T767" s="68">
        <f>=P767/10000*J767*Z767</f>
        <v>2908.8</v>
      </c>
      <c r="U767">
        <v>320</v>
      </c>
      <c r="V767" s="68">
        <f>=P767*0.005/360*Z767</f>
        <v>202</v>
      </c>
      <c r="W767" s="68">
        <f>=X767*0.06</f>
        <v>246.96</v>
      </c>
      <c r="X767" s="68">
        <f>=O767-P767</f>
        <v>4116</v>
      </c>
      <c r="Y767" s="68">
        <f>=X767-T767-U767-V767-W767</f>
        <v>438.24</v>
      </c>
      <c r="Z767" s="62">
        <f>=A767-$A$248+1</f>
        <v>101</v>
      </c>
      <c r="AA767" s="68">
        <f>=P767/10000*K767*Z767</f>
        <v>3636</v>
      </c>
      <c r="AB767" s="62">
        <f>=Q767*Z767</f>
        <v>14959716</v>
      </c>
      <c r="AC767" t="s">
        <v>58</v>
      </c>
    </row>
    <row r="768" spans="1:29">
      <c r="A768" s="147">
        <v>46205</v>
      </c>
      <c r="B768" s="62" t="s">
        <v>37</v>
      </c>
      <c r="C768" s="103" t="s"/>
      <c r="D768" s="63" t="s">
        <v>38</v>
      </c>
      <c r="E768" s="98" t="s">
        <v>167</v>
      </c>
      <c r="F768" s="98" t="s">
        <v>168</v>
      </c>
      <c r="G768" s="71" t="s">
        <v>138</v>
      </c>
      <c r="H768" s="98" t="s">
        <v>193</v>
      </c>
      <c r="I768" s="69" t="s">
        <v>47</v>
      </c>
      <c r="J768" s="62">
        <v>2</v>
      </c>
      <c r="K768" s="62">
        <v>2.5</v>
      </c>
      <c r="O768">
        <v>74022</v>
      </c>
      <c r="P768">
        <v>72000</v>
      </c>
      <c r="Q768">
        <v>74022</v>
      </c>
      <c r="T768" s="68">
        <f>=P768/10000*J768*Z768</f>
        <v>1425.6</v>
      </c>
      <c r="U768">
        <v>160</v>
      </c>
      <c r="V768" s="68">
        <f>=P768*0.005/360*Z768</f>
        <v>99</v>
      </c>
      <c r="W768" s="68">
        <f>=X768*0.06</f>
        <v>121.32</v>
      </c>
      <c r="X768" s="68">
        <f>=O768-P768</f>
        <v>2022</v>
      </c>
      <c r="Y768" s="68">
        <f>=X768-T768-U768-V768-W768</f>
        <v>216.08</v>
      </c>
      <c r="Z768" s="62">
        <f>=A768-$A$262+1</f>
        <v>99</v>
      </c>
      <c r="AA768" s="68">
        <f>=P768/10000*K768*Z768</f>
        <v>1782</v>
      </c>
      <c r="AB768" s="62">
        <f>=Q768*Z768</f>
        <v>7328178</v>
      </c>
      <c r="AC768" t="s">
        <v>58</v>
      </c>
    </row>
    <row r="769" spans="1:29">
      <c r="A769" s="147">
        <v>46205</v>
      </c>
      <c r="B769" s="103" t="s"/>
      <c r="C769" s="103" t="s"/>
      <c r="D769" s="62" t="s">
        <v>38</v>
      </c>
      <c r="E769" s="62" t="s">
        <v>133</v>
      </c>
      <c r="F769" s="62" t="s">
        <v>134</v>
      </c>
      <c r="G769" s="64" t="s">
        <v>135</v>
      </c>
      <c r="H769" s="80" t="s">
        <v>209</v>
      </c>
      <c r="I769" s="73" t="s">
        <v>47</v>
      </c>
      <c r="J769" s="62">
        <v>2</v>
      </c>
      <c r="K769" s="62">
        <v>2.5</v>
      </c>
      <c r="O769">
        <v>89341.6</v>
      </c>
      <c r="P769">
        <v>86800</v>
      </c>
      <c r="Q769">
        <v>89341.6</v>
      </c>
      <c r="T769" s="68">
        <f>=P769/10000*J769*Z769</f>
        <v>1649.2</v>
      </c>
      <c r="U769">
        <v>320</v>
      </c>
      <c r="V769" s="68">
        <f>=P769*0.005/360*Z769</f>
        <v>114.527777777778</v>
      </c>
      <c r="W769" s="68">
        <f>=X769*0.06</f>
        <v>152.496</v>
      </c>
      <c r="X769" s="68">
        <f>=O769-P769</f>
        <v>2541.60000000001</v>
      </c>
      <c r="Y769" s="68">
        <f>=X769-T769-U769-V769-W769</f>
        <v>305.376222222228</v>
      </c>
      <c r="Z769" s="62">
        <f>=A769-$A$277+1</f>
        <v>95</v>
      </c>
      <c r="AA769" s="68">
        <f>=P769/10000*K769*Z769</f>
        <v>2061.5</v>
      </c>
      <c r="AB769" s="62">
        <f>=Q769*Z769</f>
        <v>8487452</v>
      </c>
      <c r="AC769" t="s">
        <v>58</v>
      </c>
    </row>
    <row r="770" spans="1:29">
      <c r="A770" s="147">
        <v>46205</v>
      </c>
      <c r="B770" s="103" t="s"/>
      <c r="C770" s="103" t="s"/>
      <c r="D770" s="62" t="s">
        <v>38</v>
      </c>
      <c r="E770" s="62" t="s">
        <v>133</v>
      </c>
      <c r="F770" s="62" t="s">
        <v>134</v>
      </c>
      <c r="G770" s="71" t="s">
        <v>135</v>
      </c>
      <c r="H770" s="98" t="s">
        <v>237</v>
      </c>
      <c r="I770" s="73" t="s">
        <v>47</v>
      </c>
      <c r="J770" s="62">
        <v>2</v>
      </c>
      <c r="K770" s="62">
        <v>2.5</v>
      </c>
      <c r="O770">
        <v>192221.8</v>
      </c>
      <c r="P770">
        <v>186550</v>
      </c>
      <c r="Q770">
        <v>192221.8</v>
      </c>
      <c r="T770" s="68">
        <f>=P770/10000*J770*Z770</f>
        <v>3432.52</v>
      </c>
      <c r="U770">
        <v>920</v>
      </c>
      <c r="V770" s="68">
        <f>=P770*0.005/360*Z770</f>
        <v>238.369444444444</v>
      </c>
      <c r="W770" s="68">
        <f>=X770*0.06</f>
        <v>340.307999999999</v>
      </c>
      <c r="X770" s="68">
        <f>=O770-P770</f>
        <v>5671.79999999999</v>
      </c>
      <c r="Y770" s="68">
        <f>=X770-T770-U770-V770-W770</f>
        <v>740.602555555544</v>
      </c>
      <c r="Z770" s="62">
        <f>=A770-$A$312+1</f>
        <v>92</v>
      </c>
      <c r="AA770" s="68">
        <f>=P770/10000*K770*Z770</f>
        <v>4290.65</v>
      </c>
      <c r="AB770" s="62">
        <f>=Q770*Z770</f>
        <v>17684405.6</v>
      </c>
      <c r="AC770" t="s">
        <v>58</v>
      </c>
    </row>
    <row r="771" spans="1:29">
      <c r="A771" s="147">
        <v>46205</v>
      </c>
      <c r="B771" s="103" t="s"/>
      <c r="C771" s="103" t="s"/>
      <c r="D771" s="62" t="s">
        <v>38</v>
      </c>
      <c r="E771" s="62" t="s">
        <v>133</v>
      </c>
      <c r="F771" s="62" t="s">
        <v>134</v>
      </c>
      <c r="G771" s="71" t="s">
        <v>135</v>
      </c>
      <c r="H771" s="98" t="s">
        <v>327</v>
      </c>
      <c r="I771" s="73" t="s">
        <v>47</v>
      </c>
      <c r="J771" s="62">
        <v>2</v>
      </c>
      <c r="K771" s="62">
        <v>2.5</v>
      </c>
      <c r="O771">
        <v>142686</v>
      </c>
      <c r="P771">
        <v>140000</v>
      </c>
      <c r="Q771">
        <v>142686</v>
      </c>
      <c r="T771" s="68">
        <f>=P771/10000*J771*Z771</f>
        <v>1428</v>
      </c>
      <c r="U771">
        <v>400</v>
      </c>
      <c r="V771" s="68">
        <f>=P771*0.005/360*Z771</f>
        <v>99.1666666666667</v>
      </c>
      <c r="W771" s="68">
        <f>=X771*0.06</f>
        <v>161.16</v>
      </c>
      <c r="X771" s="68">
        <f>=O771-P771</f>
        <v>2686</v>
      </c>
      <c r="Y771" s="68">
        <f>=X771-T771-U771-V771-W771</f>
        <v>597.673333333334</v>
      </c>
      <c r="Z771" s="62">
        <f>=A771-$A$517+1</f>
        <v>51</v>
      </c>
      <c r="AA771" s="68">
        <f>=P771/10000*K771*Z771</f>
        <v>1785</v>
      </c>
      <c r="AB771" s="62">
        <f>=Q771*Z771</f>
        <v>7276986</v>
      </c>
      <c r="AC771" t="s">
        <v>58</v>
      </c>
    </row>
    <row r="772" spans="1:29">
      <c r="A772" s="147">
        <v>46206</v>
      </c>
      <c r="B772" s="103" t="s"/>
      <c r="C772" s="103" t="s"/>
      <c r="D772" s="64" t="s">
        <v>38</v>
      </c>
      <c r="E772" s="64" t="s">
        <v>148</v>
      </c>
      <c r="F772" s="64" t="s">
        <v>153</v>
      </c>
      <c r="G772" s="71" t="s">
        <v>211</v>
      </c>
      <c r="H772" s="98" t="s">
        <v>269</v>
      </c>
      <c r="I772" s="72" t="s">
        <v>47</v>
      </c>
      <c r="J772" s="62">
        <v>2</v>
      </c>
      <c r="K772" s="62">
        <v>2.5</v>
      </c>
      <c r="O772">
        <v>189444.5</v>
      </c>
      <c r="P772">
        <v>185500</v>
      </c>
      <c r="Q772">
        <v>189444.5</v>
      </c>
      <c r="T772" s="68">
        <f>=P772/10000*J772*Z772</f>
        <v>2819.6</v>
      </c>
      <c r="U772">
        <v>315</v>
      </c>
      <c r="V772" s="68">
        <f>=P772*0.005/360*Z772</f>
        <v>195.805555555556</v>
      </c>
      <c r="W772" s="68">
        <f>=X772*0.06</f>
        <v>236.67</v>
      </c>
      <c r="X772" s="68">
        <f>=O772-P772</f>
        <v>3944.5</v>
      </c>
      <c r="Y772" s="68">
        <f>=X772-T772-U772-V772-W772</f>
        <v>377.424444444445</v>
      </c>
      <c r="Z772" s="62">
        <f>=A772-$A$391+1</f>
        <v>76</v>
      </c>
      <c r="AA772" s="68">
        <f>=P772/10000*K772*Z772</f>
        <v>3524.5</v>
      </c>
      <c r="AB772" s="62">
        <f>=Q772*Z772</f>
        <v>14397782</v>
      </c>
      <c r="AC772" t="s">
        <v>58</v>
      </c>
    </row>
    <row r="773" spans="1:29">
      <c r="A773" s="147">
        <v>46206</v>
      </c>
      <c r="B773" s="103" t="s"/>
      <c r="C773" s="103" t="s"/>
      <c r="D773" s="62" t="s">
        <v>38</v>
      </c>
      <c r="E773" s="62" t="s">
        <v>133</v>
      </c>
      <c r="F773" s="62" t="s">
        <v>134</v>
      </c>
      <c r="G773" s="71" t="s">
        <v>135</v>
      </c>
      <c r="H773" s="98" t="s">
        <v>144</v>
      </c>
      <c r="I773" s="73" t="s">
        <v>47</v>
      </c>
      <c r="J773" s="62">
        <v>2</v>
      </c>
      <c r="K773" s="62">
        <v>2.5</v>
      </c>
      <c r="O773">
        <v>152137.5</v>
      </c>
      <c r="P773">
        <v>139500</v>
      </c>
      <c r="Q773">
        <v>152137.5</v>
      </c>
      <c r="T773" s="68">
        <f>=P773/10000*J773*Z773</f>
        <v>3124.8</v>
      </c>
      <c r="U773">
        <v>600</v>
      </c>
      <c r="V773" s="68">
        <f>=P773*0.005/360*Z773</f>
        <v>217</v>
      </c>
      <c r="W773" s="68">
        <f>=X773*0.06</f>
        <v>758.25</v>
      </c>
      <c r="X773" s="68">
        <f>=O773-P773</f>
        <v>12637.5</v>
      </c>
      <c r="Y773" s="68">
        <f>=X773-T773-U773-V773-W773</f>
        <v>7937.45</v>
      </c>
      <c r="Z773" s="62">
        <f>=A773-$A$211+1</f>
        <v>112</v>
      </c>
      <c r="AA773" s="68">
        <f>=P773/10000*K773*Z773</f>
        <v>3906</v>
      </c>
      <c r="AB773" s="62">
        <f>=Q773*Z773</f>
        <v>17039400</v>
      </c>
      <c r="AC773" t="s">
        <v>58</v>
      </c>
    </row>
    <row r="774" spans="1:29">
      <c r="A774" s="147">
        <v>46206</v>
      </c>
      <c r="B774" s="103" t="s"/>
      <c r="C774" s="103" t="s"/>
      <c r="D774" s="62" t="s">
        <v>38</v>
      </c>
      <c r="E774" s="62" t="s">
        <v>133</v>
      </c>
      <c r="F774" s="62" t="s">
        <v>134</v>
      </c>
      <c r="G774" s="71" t="s">
        <v>135</v>
      </c>
      <c r="H774" s="98" t="s">
        <v>237</v>
      </c>
      <c r="I774" s="73" t="s">
        <v>47</v>
      </c>
      <c r="J774" s="62">
        <v>2</v>
      </c>
      <c r="K774" s="62">
        <v>2.5</v>
      </c>
      <c r="O774">
        <v>44673.5</v>
      </c>
      <c r="P774">
        <v>43400</v>
      </c>
      <c r="Q774">
        <v>44673.5</v>
      </c>
      <c r="T774" s="68">
        <f>=P774/10000*J774*Z774</f>
        <v>807.24</v>
      </c>
      <c r="U774">
        <v>160</v>
      </c>
      <c r="V774" s="68">
        <f>=P774*0.005/360*Z774</f>
        <v>56.0583333333333</v>
      </c>
      <c r="W774" s="68">
        <f>=X774*0.06</f>
        <v>76.41</v>
      </c>
      <c r="X774" s="68">
        <f>=O774-P774</f>
        <v>1273.5</v>
      </c>
      <c r="Y774" s="68">
        <f>=X774-T774-U774-V774-W774</f>
        <v>173.791666666667</v>
      </c>
      <c r="Z774" s="62">
        <f>=A774-$A$312+1</f>
        <v>93</v>
      </c>
      <c r="AA774" s="68">
        <f>=P774/10000*K774*Z774</f>
        <v>1009.05</v>
      </c>
      <c r="AB774" s="62">
        <f>=Q774*Z774</f>
        <v>4154635.5</v>
      </c>
      <c r="AC774" t="s">
        <v>58</v>
      </c>
    </row>
    <row r="775" spans="1:29">
      <c r="A775" s="147">
        <v>46206</v>
      </c>
      <c r="B775" s="103" t="s"/>
      <c r="C775" s="103" t="s"/>
      <c r="D775" s="62" t="s">
        <v>38</v>
      </c>
      <c r="E775" s="62" t="s">
        <v>133</v>
      </c>
      <c r="F775" s="62" t="s">
        <v>134</v>
      </c>
      <c r="G775" s="71" t="s">
        <v>135</v>
      </c>
      <c r="H775" s="98" t="s">
        <v>343</v>
      </c>
      <c r="I775" s="73" t="s">
        <v>47</v>
      </c>
      <c r="J775" s="62">
        <v>2</v>
      </c>
      <c r="K775" s="62">
        <v>2.5</v>
      </c>
      <c r="O775">
        <v>146074.2</v>
      </c>
      <c r="P775">
        <v>140000</v>
      </c>
      <c r="Q775">
        <v>146074.2</v>
      </c>
      <c r="T775" s="68">
        <f>=P775/10000*J775*Z775</f>
        <v>1260</v>
      </c>
      <c r="U775">
        <v>280</v>
      </c>
      <c r="V775" s="68">
        <f>=P775*0.005/360*Z775</f>
        <v>87.5</v>
      </c>
      <c r="W775" s="68">
        <f>=X775*0.06</f>
        <v>364.452000000001</v>
      </c>
      <c r="X775" s="68">
        <f>=O775-P775</f>
        <v>6074.20000000001</v>
      </c>
      <c r="Y775" s="68">
        <f>=X775-T775-U775-V775-W775</f>
        <v>4082.24800000001</v>
      </c>
      <c r="Z775" s="62">
        <f>=A775-$A$553+1</f>
        <v>45</v>
      </c>
      <c r="AA775" s="68">
        <f>=P775/10000*K775*Z775</f>
        <v>1575</v>
      </c>
      <c r="AB775" s="62">
        <f>=Q775*Z775</f>
        <v>6573339</v>
      </c>
      <c r="AC775" t="s">
        <v>58</v>
      </c>
    </row>
    <row r="776" spans="1:29">
      <c r="A776" s="147">
        <v>46206</v>
      </c>
      <c r="B776" s="103" t="s"/>
      <c r="C776" s="103" t="s"/>
      <c r="D776" s="62" t="s">
        <v>38</v>
      </c>
      <c r="E776" s="62" t="s">
        <v>48</v>
      </c>
      <c r="F776" s="62" t="s">
        <v>73</v>
      </c>
      <c r="G776" s="64" t="s">
        <v>181</v>
      </c>
      <c r="H776" s="64" t="s">
        <v>182</v>
      </c>
      <c r="I776" s="72" t="s">
        <v>47</v>
      </c>
      <c r="J776" s="78">
        <v>2</v>
      </c>
      <c r="K776" s="78">
        <v>2.5</v>
      </c>
      <c r="O776">
        <v>323955</v>
      </c>
      <c r="P776">
        <v>315900</v>
      </c>
      <c r="Q776">
        <v>323955</v>
      </c>
      <c r="T776" s="68">
        <f>=P776/10000*J776*Z776</f>
        <v>6444.36</v>
      </c>
      <c r="U776" s="62">
        <v>0</v>
      </c>
      <c r="V776" s="68">
        <f>=P776*0.005/360*Z776</f>
        <v>447.525</v>
      </c>
      <c r="W776" s="68">
        <f>=X776*0.13</f>
        <v>1047.15</v>
      </c>
      <c r="X776" s="68">
        <f>=O776-P776</f>
        <v>8055</v>
      </c>
      <c r="Y776" s="68">
        <f>=X776-T776-U776-V776-W776</f>
        <v>115.965</v>
      </c>
      <c r="Z776" s="62">
        <f>=A776-$A$246+1</f>
        <v>102</v>
      </c>
      <c r="AA776" s="68">
        <f>=P776/10000*K776*Z776</f>
        <v>8055.45</v>
      </c>
      <c r="AB776" s="62">
        <f>=Q776*Z776</f>
        <v>33043410</v>
      </c>
      <c r="AC776" t="s">
        <v>312</v>
      </c>
    </row>
    <row r="777" spans="1:29">
      <c r="A777" s="147">
        <v>46206</v>
      </c>
      <c r="B777" s="103" t="s"/>
      <c r="C777" s="103" t="s"/>
      <c r="D777" s="62" t="s">
        <v>38</v>
      </c>
      <c r="E777" s="62" t="s">
        <v>48</v>
      </c>
      <c r="F777" s="62" t="s">
        <v>73</v>
      </c>
      <c r="G777" s="64" t="s">
        <v>181</v>
      </c>
      <c r="H777" s="64" t="s">
        <v>182</v>
      </c>
      <c r="I777" s="72" t="s">
        <v>47</v>
      </c>
      <c r="J777" s="78">
        <v>2</v>
      </c>
      <c r="K777" s="78">
        <v>2.5</v>
      </c>
      <c r="O777">
        <v>215970</v>
      </c>
      <c r="P777">
        <v>210600</v>
      </c>
      <c r="Q777">
        <v>215970</v>
      </c>
      <c r="T777" s="68">
        <f>=P777/10000*J777*Z777</f>
        <v>4296.24</v>
      </c>
      <c r="U777" s="62">
        <v>0</v>
      </c>
      <c r="V777" s="68">
        <f>=P777*0.005/360*Z777</f>
        <v>298.35</v>
      </c>
      <c r="W777" s="68">
        <f>=X777*0.13</f>
        <v>698.099999999996</v>
      </c>
      <c r="X777" s="68">
        <f>=O777-P777</f>
        <v>5369.99999999997</v>
      </c>
      <c r="Y777" s="68">
        <f>=X777-T777-U777-V777-W777</f>
        <v>77.309999999975</v>
      </c>
      <c r="Z777" s="62">
        <f>=A777-$A$246+1</f>
        <v>102</v>
      </c>
      <c r="AA777" s="68">
        <f>=P777/10000*K777*Z777</f>
        <v>5370.3</v>
      </c>
      <c r="AB777" s="62">
        <f>=Q777*Z777</f>
        <v>22028940</v>
      </c>
      <c r="AC777" t="s">
        <v>312</v>
      </c>
    </row>
    <row r="778" spans="1:29">
      <c r="A778" s="147">
        <v>46206</v>
      </c>
      <c r="B778" s="103" t="s"/>
      <c r="C778" s="103" t="s"/>
      <c r="D778" s="62" t="s">
        <v>38</v>
      </c>
      <c r="E778" s="62" t="s">
        <v>48</v>
      </c>
      <c r="F778" s="62" t="s">
        <v>49</v>
      </c>
      <c r="G778" s="71" t="s">
        <v>50</v>
      </c>
      <c r="H778" s="62" t="s">
        <v>51</v>
      </c>
      <c r="I778" s="65" t="s">
        <v>47</v>
      </c>
      <c r="J778" s="62">
        <v>2</v>
      </c>
      <c r="K778" s="62">
        <v>2.5</v>
      </c>
      <c r="O778">
        <v>64535.75</v>
      </c>
      <c r="P778">
        <v>57750</v>
      </c>
      <c r="Q778">
        <v>64535.75</v>
      </c>
      <c r="T778" s="68">
        <f>=P778/10000*J778*Z778</f>
        <v>5428.5</v>
      </c>
      <c r="U778">
        <v>0</v>
      </c>
      <c r="V778" s="68">
        <f>=P778*0.005/360*Z778</f>
        <v>376.979166666667</v>
      </c>
      <c r="W778" s="68">
        <f>=X778*0.13</f>
        <v>882.147499999999</v>
      </c>
      <c r="X778" s="68">
        <f>=O778-P778</f>
        <v>6785.74999999999</v>
      </c>
      <c r="Y778" s="68">
        <f>=X778-T778-U778-V778-W778</f>
        <v>98.1233333333269</v>
      </c>
      <c r="Z778" s="62">
        <f>=A778-$A$10+1</f>
        <v>470</v>
      </c>
      <c r="AA778" s="68">
        <f>=P778/10000*K778*Z778</f>
        <v>6785.625</v>
      </c>
      <c r="AB778" s="62">
        <f>=Q778*Z778</f>
        <v>30331802.5</v>
      </c>
      <c r="AC778" t="s">
        <v>44</v>
      </c>
    </row>
    <row r="779" spans="1:29">
      <c r="A779" s="147">
        <v>46206</v>
      </c>
      <c r="B779" s="103" t="s"/>
      <c r="C779" s="103" t="s"/>
      <c r="D779" s="62" t="s">
        <v>38</v>
      </c>
      <c r="E779" s="62" t="s">
        <v>48</v>
      </c>
      <c r="F779" s="62" t="s">
        <v>49</v>
      </c>
      <c r="G779" s="64" t="s">
        <v>50</v>
      </c>
      <c r="H779" s="64" t="s">
        <v>59</v>
      </c>
      <c r="I779" s="65" t="s">
        <v>47</v>
      </c>
      <c r="J779" s="62">
        <v>2</v>
      </c>
      <c r="K779" s="62">
        <v>3</v>
      </c>
      <c r="O779">
        <v>171141.88</v>
      </c>
      <c r="P779">
        <v>154618</v>
      </c>
      <c r="Q779">
        <v>171141.88</v>
      </c>
      <c r="T779" s="68">
        <f>=P779/10000*J779*Z779</f>
        <v>11348.9612</v>
      </c>
      <c r="U779">
        <v>0</v>
      </c>
      <c r="V779" s="68">
        <f>=P779*0.005/360*Z779</f>
        <v>788.122305555556</v>
      </c>
      <c r="W779" s="68">
        <f>=X779*0.06</f>
        <v>991.4328</v>
      </c>
      <c r="X779" s="68">
        <f>=O779-P779</f>
        <v>16523.88</v>
      </c>
      <c r="Y779" s="68">
        <f>=X779-T779-U779-V779-W779</f>
        <v>3395.36369444445</v>
      </c>
      <c r="Z779" s="62">
        <f>=A779-$A$17+1</f>
        <v>367</v>
      </c>
      <c r="AA779" s="68">
        <f>=P779/10000*K779*Z779</f>
        <v>17023.4418</v>
      </c>
      <c r="AB779" s="62">
        <f>=Q779*Z779</f>
        <v>62809069.96</v>
      </c>
      <c r="AC779" t="s">
        <v>44</v>
      </c>
    </row>
    <row r="780" spans="1:29">
      <c r="A780" s="147">
        <v>46207</v>
      </c>
      <c r="B780" s="103" t="s"/>
      <c r="C780" s="103" t="s"/>
      <c r="D780" t="s">
        <v>38</v>
      </c>
      <c r="E780" t="s">
        <v>63</v>
      </c>
      <c r="F780" t="s">
        <v>226</v>
      </c>
      <c r="G780" s="136" t="s">
        <v>335</v>
      </c>
      <c r="H780" s="98" t="s">
        <v>336</v>
      </c>
      <c r="I780" s="73" t="s">
        <v>47</v>
      </c>
      <c r="J780" s="62">
        <v>2</v>
      </c>
      <c r="K780" s="62">
        <v>2.5</v>
      </c>
      <c r="O780">
        <v>62474.8</v>
      </c>
      <c r="P780">
        <v>61600</v>
      </c>
      <c r="Q780">
        <v>62474.8</v>
      </c>
      <c r="T780" s="68">
        <f>=P780/10000*J780*Z780</f>
        <v>603.68</v>
      </c>
      <c r="U780">
        <v>80</v>
      </c>
      <c r="V780" s="68">
        <f>=P780*0.005/360*Z780</f>
        <v>41.9222222222222</v>
      </c>
      <c r="W780" s="68">
        <f>=X780*0.06</f>
        <v>52.4879999999997</v>
      </c>
      <c r="X780" s="68">
        <f>=O780-P780</f>
        <v>874.799999999996</v>
      </c>
      <c r="Y780" s="68">
        <f>=X780-T780-U780-V780-W780</f>
        <v>96.7097777777736</v>
      </c>
      <c r="Z780" s="62">
        <f>=A780-$A$533+1</f>
        <v>49</v>
      </c>
      <c r="AA780" s="68">
        <f>=P780/10000*K780*Z780</f>
        <v>754.6</v>
      </c>
      <c r="AB780" s="62">
        <f>=Q780*Z780</f>
        <v>3061265.2</v>
      </c>
      <c r="AC780" t="s">
        <v>58</v>
      </c>
    </row>
    <row r="781" spans="1:29">
      <c r="A781" s="147">
        <v>46207</v>
      </c>
      <c r="B781" s="103" t="s"/>
      <c r="C781" s="103" t="s"/>
      <c r="D781" s="62" t="s">
        <v>38</v>
      </c>
      <c r="E781" s="62" t="s">
        <v>133</v>
      </c>
      <c r="F781" s="62" t="s">
        <v>134</v>
      </c>
      <c r="G781" s="64" t="s">
        <v>135</v>
      </c>
      <c r="H781" s="80" t="s">
        <v>152</v>
      </c>
      <c r="I781" s="73" t="s">
        <v>47</v>
      </c>
      <c r="J781" s="62">
        <v>2</v>
      </c>
      <c r="K781" s="62">
        <v>2.5</v>
      </c>
      <c r="O781">
        <v>110650.3</v>
      </c>
      <c r="P781">
        <v>107160</v>
      </c>
      <c r="Q781">
        <v>110650.3</v>
      </c>
      <c r="T781" s="68">
        <f>=P781/10000*J781*Z781</f>
        <v>2357.52</v>
      </c>
      <c r="U781">
        <v>380</v>
      </c>
      <c r="V781" s="68">
        <f>=P781*0.005/360*Z781</f>
        <v>163.716666666667</v>
      </c>
      <c r="W781" s="68">
        <f>=X781*0.06</f>
        <v>209.418</v>
      </c>
      <c r="X781" s="68">
        <f>=O781-P781</f>
        <v>3490.3</v>
      </c>
      <c r="Y781" s="68">
        <f>=X781-T781-U781-V781-W781</f>
        <v>379.645333333336</v>
      </c>
      <c r="Z781" s="62">
        <f>=A781-$A$215+1</f>
        <v>110</v>
      </c>
      <c r="AA781" s="68">
        <f>=P781/10000*K781*Z781</f>
        <v>2946.9</v>
      </c>
      <c r="AB781" s="62">
        <f>=Q781*Z781</f>
        <v>12171533</v>
      </c>
      <c r="AC781" t="s">
        <v>58</v>
      </c>
    </row>
    <row r="782" spans="1:29">
      <c r="A782" s="147">
        <v>46207</v>
      </c>
      <c r="B782" s="103" t="s"/>
      <c r="C782" s="103" t="s"/>
      <c r="D782" s="62" t="s">
        <v>38</v>
      </c>
      <c r="E782" s="62" t="s">
        <v>133</v>
      </c>
      <c r="F782" s="62" t="s">
        <v>134</v>
      </c>
      <c r="G782" s="71" t="s">
        <v>135</v>
      </c>
      <c r="H782" s="98" t="s">
        <v>343</v>
      </c>
      <c r="I782" s="73" t="s">
        <v>47</v>
      </c>
      <c r="J782" s="62">
        <v>2</v>
      </c>
      <c r="K782" s="62">
        <v>2.5</v>
      </c>
      <c r="O782">
        <v>101450</v>
      </c>
      <c r="P782">
        <v>100000</v>
      </c>
      <c r="Q782">
        <v>101450</v>
      </c>
      <c r="T782" s="68">
        <f>=P782/10000*J782*Z782</f>
        <v>920</v>
      </c>
      <c r="U782">
        <v>200</v>
      </c>
      <c r="V782" s="68">
        <f>=P782*0.005/360*Z782</f>
        <v>63.8888888888889</v>
      </c>
      <c r="W782" s="68">
        <f>=X782*0.06</f>
        <v>87</v>
      </c>
      <c r="X782" s="68">
        <f>=O782-P782</f>
        <v>1450</v>
      </c>
      <c r="Y782" s="68">
        <f>=X782-T782-U782-V782-W782</f>
        <v>179.111111111111</v>
      </c>
      <c r="Z782" s="62">
        <f>=A782-$A$553+1</f>
        <v>46</v>
      </c>
      <c r="AA782" s="68">
        <f>=P782/10000*K782*Z782</f>
        <v>1150</v>
      </c>
      <c r="AB782" s="62">
        <f>=Q782*Z782</f>
        <v>4666700</v>
      </c>
      <c r="AC782" t="s">
        <v>58</v>
      </c>
    </row>
    <row r="783" spans="1:29">
      <c r="A783" s="147">
        <v>46207</v>
      </c>
      <c r="B783" s="103" t="s"/>
      <c r="C783" s="103" t="s"/>
      <c r="D783" s="78" t="s">
        <v>38</v>
      </c>
      <c r="E783" s="78" t="s">
        <v>48</v>
      </c>
      <c r="F783" s="78" t="s">
        <v>49</v>
      </c>
      <c r="G783" s="71" t="s">
        <v>52</v>
      </c>
      <c r="H783" s="83" t="s">
        <v>179</v>
      </c>
      <c r="I783" s="69" t="s">
        <v>47</v>
      </c>
      <c r="J783" s="78">
        <v>2</v>
      </c>
      <c r="K783" s="78">
        <v>3</v>
      </c>
      <c r="O783">
        <v>59369.8</v>
      </c>
      <c r="P783">
        <v>56000</v>
      </c>
      <c r="Q783">
        <v>59369.8</v>
      </c>
      <c r="T783" s="68">
        <f>=P783/10000*J783*Z783</f>
        <v>1164.8</v>
      </c>
      <c r="U783" s="62">
        <v>0</v>
      </c>
      <c r="V783" s="68">
        <f>=P783*0.005/360*Z783</f>
        <v>80.8888888888889</v>
      </c>
      <c r="W783" s="68">
        <f>=X783*0.13</f>
        <v>438.074</v>
      </c>
      <c r="X783" s="68">
        <f>=O783-P783</f>
        <v>3369.8</v>
      </c>
      <c r="Y783" s="68">
        <f>=X783-T783-U783-V783-W783</f>
        <v>1686.03711111111</v>
      </c>
      <c r="Z783" s="62">
        <f>=A783-$A$242+1</f>
        <v>104</v>
      </c>
      <c r="AA783" s="68">
        <f>=P783/10000*K783*Z783</f>
        <v>1747.2</v>
      </c>
      <c r="AB783" s="62">
        <f>=Q783*Z783</f>
        <v>6174459.2</v>
      </c>
      <c r="AC783" t="s">
        <v>312</v>
      </c>
    </row>
    <row r="784" spans="1:29">
      <c r="A784" s="147">
        <v>46207</v>
      </c>
      <c r="B784" s="103" t="s"/>
      <c r="C784" s="103" t="s"/>
      <c r="D784" s="78" t="s">
        <v>38</v>
      </c>
      <c r="E784" s="78" t="s">
        <v>48</v>
      </c>
      <c r="F784" s="78" t="s">
        <v>49</v>
      </c>
      <c r="G784" s="71" t="s">
        <v>52</v>
      </c>
      <c r="H784" s="71" t="s">
        <v>158</v>
      </c>
      <c r="I784" s="72" t="s">
        <v>47</v>
      </c>
      <c r="J784" s="78">
        <v>2</v>
      </c>
      <c r="K784" s="78">
        <v>3</v>
      </c>
      <c r="O784">
        <v>29138</v>
      </c>
      <c r="P784">
        <v>28240</v>
      </c>
      <c r="Q784">
        <v>29138</v>
      </c>
      <c r="T784" s="68">
        <f>=P784/10000*J784*Z784</f>
        <v>609.984</v>
      </c>
      <c r="U784" s="62">
        <v>0</v>
      </c>
      <c r="V784" s="68">
        <f>=P784*0.005/360*Z784</f>
        <v>42.36</v>
      </c>
      <c r="W784" s="68">
        <f>=X784*0.13</f>
        <v>116.74</v>
      </c>
      <c r="X784" s="68">
        <f>=O784-P784</f>
        <v>898</v>
      </c>
      <c r="Y784" s="68">
        <f>=X784-T784-U784-V784-W784</f>
        <v>128.916</v>
      </c>
      <c r="Z784" s="62">
        <f>=A784-$A$224+1</f>
        <v>108</v>
      </c>
      <c r="AA784" s="68">
        <f>=P784/10000*K784*Z784</f>
        <v>914.976</v>
      </c>
      <c r="AB784" s="62">
        <f>=Q784*Z784</f>
        <v>3146904</v>
      </c>
      <c r="AC784" t="s">
        <v>312</v>
      </c>
    </row>
    <row r="785" spans="1:29">
      <c r="A785" s="147">
        <v>46209</v>
      </c>
      <c r="B785" s="103" t="s"/>
      <c r="C785" s="103" t="s"/>
      <c r="D785" s="64" t="s">
        <v>38</v>
      </c>
      <c r="E785" s="64" t="s">
        <v>148</v>
      </c>
      <c r="F785" s="64" t="s">
        <v>153</v>
      </c>
      <c r="G785" s="71" t="s">
        <v>215</v>
      </c>
      <c r="H785" s="98" t="s">
        <v>234</v>
      </c>
      <c r="I785" s="72" t="s">
        <v>47</v>
      </c>
      <c r="J785" s="62">
        <v>2</v>
      </c>
      <c r="K785" s="62">
        <v>2.5</v>
      </c>
      <c r="O785">
        <v>143760</v>
      </c>
      <c r="P785">
        <v>140000</v>
      </c>
      <c r="Q785">
        <v>143760</v>
      </c>
      <c r="T785" s="68">
        <f>=P785/10000*J785*Z785</f>
        <v>2688</v>
      </c>
      <c r="U785">
        <v>200</v>
      </c>
      <c r="V785" s="68">
        <f>=P785*0.005/360*Z785</f>
        <v>186.666666666667</v>
      </c>
      <c r="W785" s="68">
        <f>=X785*0.06</f>
        <v>225.6</v>
      </c>
      <c r="X785" s="68">
        <f>=O785-P785</f>
        <v>3760</v>
      </c>
      <c r="Y785" s="68">
        <f>=X785-T785-U785-V785-W785</f>
        <v>459.733333333333</v>
      </c>
      <c r="Z785" s="62">
        <f>=A785-$A$304+1</f>
        <v>96</v>
      </c>
      <c r="AA785" s="68">
        <f>=P785/10000*K785*Z785</f>
        <v>3360</v>
      </c>
      <c r="AB785" s="62">
        <f>=Q785*Z785</f>
        <v>13800960</v>
      </c>
      <c r="AC785" t="s">
        <v>58</v>
      </c>
    </row>
    <row r="786" spans="1:29">
      <c r="A786" s="147">
        <v>46209</v>
      </c>
      <c r="B786" s="103" t="s"/>
      <c r="C786" s="103" t="s"/>
      <c r="D786" s="62" t="s">
        <v>38</v>
      </c>
      <c r="E786" s="62" t="s">
        <v>133</v>
      </c>
      <c r="F786" s="62" t="s">
        <v>134</v>
      </c>
      <c r="G786" s="71" t="s">
        <v>135</v>
      </c>
      <c r="H786" s="98" t="s">
        <v>136</v>
      </c>
      <c r="I786" s="73" t="s">
        <v>47</v>
      </c>
      <c r="J786" s="62">
        <v>2</v>
      </c>
      <c r="K786" s="62">
        <v>2.5</v>
      </c>
      <c r="O786">
        <v>191964.8</v>
      </c>
      <c r="P786">
        <v>185600</v>
      </c>
      <c r="Q786">
        <v>191964.8</v>
      </c>
      <c r="T786" s="68">
        <f>=P786/10000*J786*Z786</f>
        <v>4491.52</v>
      </c>
      <c r="U786" s="62">
        <v>800</v>
      </c>
      <c r="V786" s="68">
        <f>=P786*0.005/360*Z786</f>
        <v>311.911111111111</v>
      </c>
      <c r="W786" s="68">
        <f>=X786*0.06</f>
        <v>381.887999999999</v>
      </c>
      <c r="X786" s="68">
        <f>=O786-P786</f>
        <v>6364.79999999999</v>
      </c>
      <c r="Y786" s="68">
        <f>=X786-T786-U786-V786-W786</f>
        <v>379.480888888878</v>
      </c>
      <c r="Z786" s="62">
        <f>=A786-$A$195+1</f>
        <v>121</v>
      </c>
      <c r="AA786" s="68">
        <f>=P786/10000*K786*Z786</f>
        <v>5614.4</v>
      </c>
      <c r="AB786" s="62">
        <f>=Q786*Z786</f>
        <v>23227740.8</v>
      </c>
      <c r="AC786" t="s">
        <v>58</v>
      </c>
    </row>
    <row r="787" spans="1:29">
      <c r="A787" s="147">
        <v>46209</v>
      </c>
      <c r="B787" s="103" t="s"/>
      <c r="C787" s="103" t="s"/>
      <c r="D787" s="62" t="s">
        <v>38</v>
      </c>
      <c r="E787" s="62" t="s">
        <v>133</v>
      </c>
      <c r="F787" s="62" t="s">
        <v>134</v>
      </c>
      <c r="G787" s="64" t="s">
        <v>135</v>
      </c>
      <c r="H787" s="80" t="s">
        <v>209</v>
      </c>
      <c r="I787" s="73" t="s">
        <v>47</v>
      </c>
      <c r="J787" s="62">
        <v>2</v>
      </c>
      <c r="K787" s="62">
        <v>2.5</v>
      </c>
      <c r="O787">
        <v>201213</v>
      </c>
      <c r="P787">
        <v>195300</v>
      </c>
      <c r="Q787">
        <v>201213</v>
      </c>
      <c r="T787" s="68">
        <f>=P787/10000*J787*Z787</f>
        <v>3866.94</v>
      </c>
      <c r="U787">
        <v>720</v>
      </c>
      <c r="V787" s="68">
        <f>=P787*0.005/360*Z787</f>
        <v>268.5375</v>
      </c>
      <c r="W787" s="68">
        <f>=X787*0.06</f>
        <v>354.78</v>
      </c>
      <c r="X787" s="68">
        <f>=O787-P787</f>
        <v>5913</v>
      </c>
      <c r="Y787" s="68">
        <f>=X787-T787-U787-V787-W787</f>
        <v>702.7425</v>
      </c>
      <c r="Z787" s="62">
        <f>=A787-$A$277+1</f>
        <v>99</v>
      </c>
      <c r="AA787" s="68">
        <f>=P787/10000*K787*Z787</f>
        <v>4833.675</v>
      </c>
      <c r="AB787" s="62">
        <f>=Q787*Z787</f>
        <v>19920087</v>
      </c>
      <c r="AC787" t="s">
        <v>58</v>
      </c>
    </row>
    <row r="788" spans="1:29">
      <c r="A788" s="147">
        <v>46209</v>
      </c>
      <c r="B788" s="62" t="s">
        <v>37</v>
      </c>
      <c r="C788" s="103" t="s"/>
      <c r="D788" s="63" t="s">
        <v>38</v>
      </c>
      <c r="E788" s="98" t="s">
        <v>167</v>
      </c>
      <c r="F788" s="98" t="s">
        <v>168</v>
      </c>
      <c r="G788" s="71" t="s">
        <v>138</v>
      </c>
      <c r="H788" s="98" t="s">
        <v>184</v>
      </c>
      <c r="I788" s="69" t="s">
        <v>47</v>
      </c>
      <c r="J788" s="62">
        <v>2</v>
      </c>
      <c r="K788" s="62">
        <v>2.5</v>
      </c>
      <c r="O788">
        <v>74130</v>
      </c>
      <c r="P788">
        <v>72000</v>
      </c>
      <c r="Q788">
        <v>74130</v>
      </c>
      <c r="T788" s="68">
        <f>=P788/10000*J788*Z788</f>
        <v>1512</v>
      </c>
      <c r="U788">
        <v>160</v>
      </c>
      <c r="V788" s="68">
        <f>=P788*0.005/360*Z788</f>
        <v>105</v>
      </c>
      <c r="W788" s="68">
        <f>=X788*0.06</f>
        <v>127.8</v>
      </c>
      <c r="X788" s="68">
        <f>=O788-P788</f>
        <v>2130</v>
      </c>
      <c r="Y788" s="68">
        <f>=X788-T788-U788-V788-W788</f>
        <v>225.2</v>
      </c>
      <c r="Z788" s="62">
        <f>=A788-$A$248+1</f>
        <v>105</v>
      </c>
      <c r="AA788" s="68">
        <f>=P788/10000*K788*Z788</f>
        <v>1890</v>
      </c>
      <c r="AB788" s="62">
        <f>=Q788*Z788</f>
        <v>7783650</v>
      </c>
      <c r="AC788" t="s">
        <v>58</v>
      </c>
    </row>
    <row r="789" spans="1:29">
      <c r="A789" s="147">
        <v>46209</v>
      </c>
      <c r="B789" s="62" t="s">
        <v>37</v>
      </c>
      <c r="C789" s="103" t="s"/>
      <c r="D789" s="63" t="s">
        <v>38</v>
      </c>
      <c r="E789" s="98" t="s">
        <v>167</v>
      </c>
      <c r="F789" s="98" t="s">
        <v>168</v>
      </c>
      <c r="G789" s="71" t="s">
        <v>138</v>
      </c>
      <c r="H789" s="98" t="s">
        <v>188</v>
      </c>
      <c r="I789" s="69" t="s">
        <v>47</v>
      </c>
      <c r="J789" s="62">
        <v>2</v>
      </c>
      <c r="K789" s="62">
        <v>2.5</v>
      </c>
      <c r="O789">
        <v>74112</v>
      </c>
      <c r="P789">
        <v>72000</v>
      </c>
      <c r="Q789">
        <v>74112</v>
      </c>
      <c r="T789" s="68">
        <f>=P789/10000*J789*Z789</f>
        <v>1497.6</v>
      </c>
      <c r="U789">
        <v>160</v>
      </c>
      <c r="V789" s="68">
        <f>=P789*0.005/360*Z789</f>
        <v>104</v>
      </c>
      <c r="W789" s="68">
        <f>=X789*0.06</f>
        <v>126.72</v>
      </c>
      <c r="X789" s="68">
        <f>=O789-P789</f>
        <v>2112</v>
      </c>
      <c r="Y789" s="68">
        <f>=X789-T789-U789-V789-W789</f>
        <v>223.68</v>
      </c>
      <c r="Z789" s="62">
        <f>=A789-$A$257+1</f>
        <v>104</v>
      </c>
      <c r="AA789" s="68">
        <f>=P789/10000*K789*Z789</f>
        <v>1872</v>
      </c>
      <c r="AB789" s="62">
        <f>=Q789*Z789</f>
        <v>7707648</v>
      </c>
      <c r="AC789" t="s">
        <v>58</v>
      </c>
    </row>
    <row r="790" spans="1:29">
      <c r="A790" s="147">
        <v>46209</v>
      </c>
      <c r="B790" s="123" t="s">
        <v>37</v>
      </c>
      <c r="C790" s="103" t="s"/>
      <c r="D790" s="64" t="s">
        <v>38</v>
      </c>
      <c r="E790" s="62" t="s">
        <v>85</v>
      </c>
      <c r="F790" t="s">
        <v>120</v>
      </c>
      <c r="G790" s="136" t="s">
        <v>239</v>
      </c>
      <c r="H790" s="71" t="s">
        <v>240</v>
      </c>
      <c r="I790" s="137" t="s">
        <v>47</v>
      </c>
      <c r="J790" s="64">
        <v>2</v>
      </c>
      <c r="K790" s="78">
        <v>2.5</v>
      </c>
      <c r="O790">
        <v>77811</v>
      </c>
      <c r="P790">
        <v>76000</v>
      </c>
      <c r="Q790">
        <v>77811</v>
      </c>
      <c r="T790" s="68">
        <f>=P790/10000*J790*Z790</f>
        <v>1352.8</v>
      </c>
      <c r="U790">
        <v>90</v>
      </c>
      <c r="V790" s="68">
        <f>=P790*0.005/360*Z790</f>
        <v>93.9444444444445</v>
      </c>
      <c r="W790" s="68">
        <f>=X790*0.13</f>
        <v>235.43</v>
      </c>
      <c r="X790" s="68">
        <f>=O790-P790</f>
        <v>1811</v>
      </c>
      <c r="Y790" s="68">
        <f>=X790-T790-U790-V790-W790</f>
        <v>38.8255555555556</v>
      </c>
      <c r="Z790" s="62">
        <f>=A790-$A$318+1</f>
        <v>89</v>
      </c>
      <c r="AA790" s="68">
        <f>=P790/10000*K790*Z790</f>
        <v>1691</v>
      </c>
      <c r="AB790" s="62">
        <f>=Q790*Z790</f>
        <v>6925179</v>
      </c>
      <c r="AC790" t="s">
        <v>44</v>
      </c>
    </row>
    <row r="791" spans="1:29">
      <c r="A791" s="147">
        <v>46210</v>
      </c>
      <c r="B791" s="62" t="s">
        <v>37</v>
      </c>
      <c r="C791" s="103" t="s"/>
      <c r="D791" s="63" t="s">
        <v>38</v>
      </c>
      <c r="E791" s="98" t="s">
        <v>167</v>
      </c>
      <c r="F791" s="98" t="s">
        <v>168</v>
      </c>
      <c r="G791" s="71" t="s">
        <v>138</v>
      </c>
      <c r="H791" s="98" t="s">
        <v>188</v>
      </c>
      <c r="I791" s="69" t="s">
        <v>47</v>
      </c>
      <c r="J791" s="62">
        <v>2</v>
      </c>
      <c r="K791" s="62">
        <v>2.5</v>
      </c>
      <c r="O791">
        <v>296520</v>
      </c>
      <c r="P791">
        <v>288000</v>
      </c>
      <c r="Q791">
        <v>296520</v>
      </c>
      <c r="T791" s="68">
        <f>=P791/10000*J791*Z791</f>
        <v>6048</v>
      </c>
      <c r="U791">
        <v>640</v>
      </c>
      <c r="V791" s="68">
        <f>=P791*0.005/360*Z791</f>
        <v>420</v>
      </c>
      <c r="W791" s="68">
        <f>=X791*0.06</f>
        <v>511.2</v>
      </c>
      <c r="X791" s="68">
        <f>=O791-P791</f>
        <v>8520</v>
      </c>
      <c r="Y791" s="68">
        <f>=X791-T791-U791-V791-W791</f>
        <v>900.8</v>
      </c>
      <c r="Z791" s="62">
        <f>=A791-$A$257+1</f>
        <v>105</v>
      </c>
      <c r="AA791" s="68">
        <f>=P791/10000*K791*Z791</f>
        <v>7560</v>
      </c>
      <c r="AB791" s="62">
        <f>=Q791*Z791</f>
        <v>31134600</v>
      </c>
      <c r="AC791" t="s">
        <v>58</v>
      </c>
    </row>
    <row r="792" spans="1:29">
      <c r="A792" s="147">
        <v>46210</v>
      </c>
      <c r="B792" s="103" t="s"/>
      <c r="C792" s="103" t="s"/>
      <c r="D792" s="64" t="s">
        <v>38</v>
      </c>
      <c r="E792" s="64" t="s">
        <v>148</v>
      </c>
      <c r="F792" s="64" t="s">
        <v>153</v>
      </c>
      <c r="G792" s="71" t="s">
        <v>211</v>
      </c>
      <c r="H792" s="98" t="s">
        <v>231</v>
      </c>
      <c r="I792" s="72" t="s">
        <v>47</v>
      </c>
      <c r="J792" s="62">
        <v>2</v>
      </c>
      <c r="K792" s="62">
        <v>2.5</v>
      </c>
      <c r="O792">
        <v>115741.15</v>
      </c>
      <c r="P792">
        <v>112700</v>
      </c>
      <c r="Q792">
        <v>115741.15</v>
      </c>
      <c r="T792" s="68">
        <f>=P792/10000*J792*Z792</f>
        <v>2208.92</v>
      </c>
      <c r="U792">
        <v>210</v>
      </c>
      <c r="V792" s="68">
        <f>=P792*0.005/360*Z792</f>
        <v>153.397222222222</v>
      </c>
      <c r="W792" s="68">
        <f>=X792*0.06</f>
        <v>182.469</v>
      </c>
      <c r="X792" s="68">
        <f>=O792-P792</f>
        <v>3041.14999999999</v>
      </c>
      <c r="Y792" s="68">
        <f>=X792-T792-U792-V792-W792</f>
        <v>286.363777777772</v>
      </c>
      <c r="Z792" s="62">
        <f>=A792-$A$298+1</f>
        <v>98</v>
      </c>
      <c r="AA792" s="68">
        <f>=P792/10000*K792*Z792</f>
        <v>2761.15</v>
      </c>
      <c r="AB792" s="62">
        <f>=Q792*Z792</f>
        <v>11342632.7</v>
      </c>
      <c r="AC792" t="s">
        <v>58</v>
      </c>
    </row>
    <row r="793" spans="1:29">
      <c r="A793" s="147">
        <v>46210</v>
      </c>
      <c r="B793" s="103" t="s"/>
      <c r="C793" s="103" t="s"/>
      <c r="D793" s="64" t="s">
        <v>38</v>
      </c>
      <c r="E793" s="64" t="s">
        <v>148</v>
      </c>
      <c r="F793" s="64" t="s">
        <v>153</v>
      </c>
      <c r="G793" s="71" t="s">
        <v>211</v>
      </c>
      <c r="H793" s="98" t="s">
        <v>269</v>
      </c>
      <c r="I793" s="72" t="s">
        <v>47</v>
      </c>
      <c r="J793" s="62">
        <v>2</v>
      </c>
      <c r="K793" s="62">
        <v>2.5</v>
      </c>
      <c r="O793">
        <v>202605</v>
      </c>
      <c r="P793">
        <v>198250</v>
      </c>
      <c r="Q793">
        <v>202605</v>
      </c>
      <c r="T793" s="68">
        <f>=P793/10000*J793*Z793</f>
        <v>3172</v>
      </c>
      <c r="U793">
        <v>292.5</v>
      </c>
      <c r="V793" s="68">
        <f>=P793*0.005/360*Z793</f>
        <v>220.277777777778</v>
      </c>
      <c r="W793" s="68">
        <f>=X793*0.06</f>
        <v>261.3</v>
      </c>
      <c r="X793" s="68">
        <f>=O793-P793</f>
        <v>4355</v>
      </c>
      <c r="Y793" s="68">
        <f>=X793-T793-U793-V793-W793</f>
        <v>408.922222222222</v>
      </c>
      <c r="Z793" s="62">
        <f>=A793-$A$391+1</f>
        <v>80</v>
      </c>
      <c r="AA793" s="68">
        <f>=P793/10000*K793*Z793</f>
        <v>3965</v>
      </c>
      <c r="AB793" s="62">
        <f>=Q793*Z793</f>
        <v>16208400</v>
      </c>
      <c r="AC793" t="s">
        <v>58</v>
      </c>
    </row>
    <row r="794" spans="1:29">
      <c r="A794" s="147">
        <v>46210</v>
      </c>
      <c r="B794" s="106" t="s">
        <v>37</v>
      </c>
      <c r="C794" s="103" t="s"/>
      <c r="D794" s="62" t="s">
        <v>38</v>
      </c>
      <c r="E794" t="s">
        <v>288</v>
      </c>
      <c r="F794" t="s">
        <v>289</v>
      </c>
      <c r="G794" s="136" t="s">
        <v>301</v>
      </c>
      <c r="H794" s="98" t="s">
        <v>315</v>
      </c>
      <c r="I794" s="65" t="s">
        <v>47</v>
      </c>
      <c r="J794" s="62">
        <v>2</v>
      </c>
      <c r="K794" s="62">
        <v>2.5</v>
      </c>
      <c r="O794">
        <v>19246.5</v>
      </c>
      <c r="P794">
        <v>18900</v>
      </c>
      <c r="Q794">
        <v>19246.5</v>
      </c>
      <c r="T794" s="68">
        <f>=P794/10000*J794*Z794</f>
        <v>226.8</v>
      </c>
      <c r="U794">
        <v>42</v>
      </c>
      <c r="V794" s="68">
        <f>=P794*0.005/360*Z794</f>
        <v>15.75</v>
      </c>
      <c r="W794" s="68">
        <f>=X794*0.06</f>
        <v>20.79</v>
      </c>
      <c r="X794" s="68">
        <f>=O794-P794</f>
        <v>346.5</v>
      </c>
      <c r="Y794" s="68">
        <f>=X794-T794-U794-V794-W794</f>
        <v>41.16</v>
      </c>
      <c r="Z794" s="62">
        <f>=A794-$A$492+1</f>
        <v>60</v>
      </c>
      <c r="AA794" s="68">
        <f>=P794/10000*K794*Z794</f>
        <v>283.5</v>
      </c>
      <c r="AB794" s="62">
        <f>=Q794*Z794</f>
        <v>1154790</v>
      </c>
      <c r="AC794" t="s">
        <v>58</v>
      </c>
    </row>
    <row r="795" spans="1:29">
      <c r="A795" s="147">
        <v>46210</v>
      </c>
      <c r="B795" s="103" t="s"/>
      <c r="C795" s="103" t="s"/>
      <c r="D795" s="78" t="s">
        <v>38</v>
      </c>
      <c r="E795" s="78" t="s">
        <v>48</v>
      </c>
      <c r="F795" s="78" t="s">
        <v>49</v>
      </c>
      <c r="G795" s="71" t="s">
        <v>52</v>
      </c>
      <c r="H795" s="71" t="s">
        <v>158</v>
      </c>
      <c r="I795" s="72" t="s">
        <v>47</v>
      </c>
      <c r="J795" s="78">
        <v>2</v>
      </c>
      <c r="K795" s="78">
        <v>3</v>
      </c>
      <c r="O795">
        <v>29788</v>
      </c>
      <c r="P795">
        <v>28770</v>
      </c>
      <c r="Q795">
        <v>29788</v>
      </c>
      <c r="T795" s="68">
        <f>=P795/10000*J795*Z795</f>
        <v>638.694</v>
      </c>
      <c r="U795" s="62">
        <v>0</v>
      </c>
      <c r="V795" s="68">
        <f>=P795*0.005/360*Z795</f>
        <v>44.35375</v>
      </c>
      <c r="W795" s="68">
        <f>=X795*0.13</f>
        <v>132.34</v>
      </c>
      <c r="X795" s="68">
        <f>=O795-P795</f>
        <v>1018</v>
      </c>
      <c r="Y795" s="68">
        <f>=X795-T795-U795-V795-W795</f>
        <v>202.61225</v>
      </c>
      <c r="Z795" s="62">
        <f>=A795-$A$224+1</f>
        <v>111</v>
      </c>
      <c r="AA795" s="68">
        <f>=P795/10000*K795*Z795</f>
        <v>958.041</v>
      </c>
      <c r="AB795" s="62">
        <f>=Q795*Z795</f>
        <v>3306468</v>
      </c>
      <c r="AC795" t="s">
        <v>312</v>
      </c>
    </row>
    <row r="796" spans="1:29">
      <c r="A796" s="147">
        <v>46210</v>
      </c>
      <c r="B796" s="103" t="s"/>
      <c r="C796" s="103" t="s"/>
      <c r="D796" s="78" t="s">
        <v>38</v>
      </c>
      <c r="E796" s="78" t="s">
        <v>48</v>
      </c>
      <c r="F796" s="78" t="s">
        <v>49</v>
      </c>
      <c r="G796" s="64" t="s">
        <v>52</v>
      </c>
      <c r="H796" s="71" t="s">
        <v>232</v>
      </c>
      <c r="I796" s="72" t="s">
        <v>47</v>
      </c>
      <c r="J796" s="78">
        <v>2</v>
      </c>
      <c r="K796" s="78">
        <v>3</v>
      </c>
      <c r="O796">
        <v>10402.32</v>
      </c>
      <c r="P796">
        <v>10080</v>
      </c>
      <c r="Q796">
        <v>10402.32</v>
      </c>
      <c r="T796" s="68">
        <f>=P796/10000*J796*Z796</f>
        <v>193.536</v>
      </c>
      <c r="U796" s="62">
        <v>0</v>
      </c>
      <c r="V796" s="68">
        <f>=P796*0.005/360*Z796</f>
        <v>13.44</v>
      </c>
      <c r="W796" s="68">
        <f>=X796*0.13</f>
        <v>41.9016</v>
      </c>
      <c r="X796" s="68">
        <f>=O796-P796</f>
        <v>322.32</v>
      </c>
      <c r="Y796" s="68">
        <f>=X796-T796-U796-V796-W796</f>
        <v>73.4423999999998</v>
      </c>
      <c r="Z796" s="62">
        <f>=A796-$A$299+1</f>
        <v>96</v>
      </c>
      <c r="AA796" s="68">
        <f>=P796/10000*K796*Z796</f>
        <v>290.304</v>
      </c>
      <c r="AB796" s="62">
        <f>=Q796*Z796</f>
        <v>998622.72</v>
      </c>
      <c r="AC796" t="s">
        <v>312</v>
      </c>
    </row>
    <row r="797" spans="1:29">
      <c r="A797" s="147">
        <v>46211</v>
      </c>
      <c r="B797" s="103" t="s"/>
      <c r="C797" s="103" t="s"/>
      <c r="D797" s="64" t="s">
        <v>38</v>
      </c>
      <c r="E797" s="64" t="s">
        <v>148</v>
      </c>
      <c r="F797" s="64" t="s">
        <v>153</v>
      </c>
      <c r="G797" s="71" t="s">
        <v>215</v>
      </c>
      <c r="H797" s="98" t="s">
        <v>234</v>
      </c>
      <c r="I797" s="72" t="s">
        <v>47</v>
      </c>
      <c r="J797" s="62">
        <v>2</v>
      </c>
      <c r="K797" s="62">
        <v>2.5</v>
      </c>
      <c r="O797">
        <v>143795</v>
      </c>
      <c r="P797">
        <v>140000</v>
      </c>
      <c r="Q797">
        <v>143795</v>
      </c>
      <c r="T797" s="68">
        <f>=P797/10000*J797*Z797</f>
        <v>2744</v>
      </c>
      <c r="U797">
        <v>300</v>
      </c>
      <c r="V797" s="68">
        <f>=P797*0.005/360*Z797</f>
        <v>190.555555555556</v>
      </c>
      <c r="W797" s="68">
        <f>=X797*0.06</f>
        <v>227.7</v>
      </c>
      <c r="X797" s="68">
        <f>=O797-P797</f>
        <v>3795</v>
      </c>
      <c r="Y797" s="68">
        <f>=X797-T797-U797-V797-W797</f>
        <v>332.744444444445</v>
      </c>
      <c r="Z797" s="62">
        <f>=A797-$A$304+1</f>
        <v>98</v>
      </c>
      <c r="AA797" s="68">
        <f>=P797/10000*K797*Z797</f>
        <v>3430</v>
      </c>
      <c r="AB797" s="62">
        <f>=Q797*Z797</f>
        <v>14091910</v>
      </c>
      <c r="AC797" t="s">
        <v>58</v>
      </c>
    </row>
    <row r="798" spans="1:29">
      <c r="A798" s="147">
        <v>46211</v>
      </c>
      <c r="B798" s="134" t="s">
        <v>37</v>
      </c>
      <c r="C798" s="103" t="s"/>
      <c r="D798" s="64" t="s">
        <v>38</v>
      </c>
      <c r="E798" s="64" t="s">
        <v>148</v>
      </c>
      <c r="F798" s="64" t="s">
        <v>153</v>
      </c>
      <c r="G798" s="162" t="s">
        <v>156</v>
      </c>
      <c r="H798" s="98" t="s">
        <v>180</v>
      </c>
      <c r="I798" s="69" t="s">
        <v>47</v>
      </c>
      <c r="J798" s="62">
        <v>2</v>
      </c>
      <c r="K798" s="62">
        <v>2.3</v>
      </c>
      <c r="O798">
        <v>605456</v>
      </c>
      <c r="P798">
        <v>590000</v>
      </c>
      <c r="Q798">
        <v>605456</v>
      </c>
      <c r="T798" s="68">
        <f>=P798/10000*J798*Z798</f>
        <v>12744</v>
      </c>
      <c r="U798">
        <v>600</v>
      </c>
      <c r="V798" s="68">
        <f>=P798*0.005/360*Z798</f>
        <v>885</v>
      </c>
      <c r="W798" s="68">
        <f>=X798*0.06</f>
        <v>927.36</v>
      </c>
      <c r="X798" s="68">
        <f>=O798-P798</f>
        <v>15456</v>
      </c>
      <c r="Y798" s="68">
        <f>=X798-T798-U798-V798-W798</f>
        <v>299.64</v>
      </c>
      <c r="Z798" s="62">
        <f>=A798-$A$244+1</f>
        <v>108</v>
      </c>
      <c r="AA798" s="68">
        <f>=P798/10000*K798*Z798</f>
        <v>14655.6</v>
      </c>
      <c r="AB798" s="62">
        <f>=Q798*Z798</f>
        <v>65389248</v>
      </c>
      <c r="AC798" t="s">
        <v>58</v>
      </c>
    </row>
    <row r="799" spans="1:29">
      <c r="A799" s="147">
        <v>46211</v>
      </c>
      <c r="B799" s="103" t="s"/>
      <c r="C799" s="103" t="s"/>
      <c r="D799" s="62" t="s">
        <v>38</v>
      </c>
      <c r="E799" s="62" t="s">
        <v>133</v>
      </c>
      <c r="F799" s="62" t="s">
        <v>134</v>
      </c>
      <c r="G799" s="71" t="s">
        <v>135</v>
      </c>
      <c r="H799" s="98" t="s">
        <v>144</v>
      </c>
      <c r="I799" s="73" t="s">
        <v>47</v>
      </c>
      <c r="J799" s="62">
        <v>2</v>
      </c>
      <c r="K799" s="62">
        <v>2.5</v>
      </c>
      <c r="O799">
        <v>144480</v>
      </c>
      <c r="P799">
        <v>139500</v>
      </c>
      <c r="Q799">
        <v>144480</v>
      </c>
      <c r="T799" s="68">
        <f>=P799/10000*J799*Z799</f>
        <v>3264.3</v>
      </c>
      <c r="U799">
        <v>600</v>
      </c>
      <c r="V799" s="68">
        <f>=P799*0.005/360*Z799</f>
        <v>226.6875</v>
      </c>
      <c r="W799" s="68">
        <f>=X799*0.06</f>
        <v>298.8</v>
      </c>
      <c r="X799" s="68">
        <f>=O799-P799</f>
        <v>4980</v>
      </c>
      <c r="Y799" s="68">
        <f>=X799-T799-U799-V799-W799</f>
        <v>590.2125</v>
      </c>
      <c r="Z799" s="62">
        <f>=A799-$A$211+1</f>
        <v>117</v>
      </c>
      <c r="AA799" s="68">
        <f>=P799/10000*K799*Z799</f>
        <v>4080.375</v>
      </c>
      <c r="AB799" s="62">
        <f>=Q799*Z799</f>
        <v>16904160</v>
      </c>
      <c r="AC799" t="s">
        <v>58</v>
      </c>
    </row>
    <row r="800" spans="1:29">
      <c r="A800" s="147">
        <v>46211</v>
      </c>
      <c r="B800" s="103" t="s"/>
      <c r="C800" s="103" t="s"/>
      <c r="D800" s="62" t="s">
        <v>38</v>
      </c>
      <c r="E800" s="62" t="s">
        <v>133</v>
      </c>
      <c r="F800" s="62" t="s">
        <v>134</v>
      </c>
      <c r="G800" s="71" t="s">
        <v>135</v>
      </c>
      <c r="H800" s="98" t="s">
        <v>343</v>
      </c>
      <c r="I800" s="73" t="s">
        <v>47</v>
      </c>
      <c r="J800" s="62">
        <v>2</v>
      </c>
      <c r="K800" s="62">
        <v>2.5</v>
      </c>
      <c r="O800">
        <v>152325</v>
      </c>
      <c r="P800">
        <v>150000</v>
      </c>
      <c r="Q800">
        <v>152325</v>
      </c>
      <c r="T800" s="68">
        <f>=P800/10000*J800*Z800</f>
        <v>1500</v>
      </c>
      <c r="U800">
        <v>300</v>
      </c>
      <c r="V800" s="68">
        <f>=P800*0.005/360*Z800</f>
        <v>104.166666666667</v>
      </c>
      <c r="W800" s="68">
        <f>=X800*0.06</f>
        <v>139.5</v>
      </c>
      <c r="X800" s="68">
        <f>=O800-P800</f>
        <v>2325</v>
      </c>
      <c r="Y800" s="68">
        <f>=X800-T800-U800-V800-W800</f>
        <v>281.333333333333</v>
      </c>
      <c r="Z800" s="62">
        <f>=A800-$A$553+1</f>
        <v>50</v>
      </c>
      <c r="AA800" s="68">
        <f>=P800/10000*K800*Z800</f>
        <v>1875</v>
      </c>
      <c r="AB800" s="62">
        <f>=Q800*Z800</f>
        <v>7616250</v>
      </c>
      <c r="AC800" t="s">
        <v>58</v>
      </c>
    </row>
    <row r="801" spans="1:29">
      <c r="A801" s="147">
        <v>46211</v>
      </c>
      <c r="B801" s="123" t="s">
        <v>37</v>
      </c>
      <c r="C801" s="103" t="s"/>
      <c r="D801" s="62" t="s">
        <v>38</v>
      </c>
      <c r="E801" t="s">
        <v>288</v>
      </c>
      <c r="F801" t="s">
        <v>289</v>
      </c>
      <c r="G801" s="136" t="s">
        <v>301</v>
      </c>
      <c r="H801" s="98" t="s">
        <v>315</v>
      </c>
      <c r="I801" s="65" t="s">
        <v>47</v>
      </c>
      <c r="J801" s="62">
        <v>2</v>
      </c>
      <c r="K801" s="62">
        <v>2.5</v>
      </c>
      <c r="O801">
        <v>19282.83</v>
      </c>
      <c r="P801">
        <v>18900</v>
      </c>
      <c r="Q801">
        <v>19282.83</v>
      </c>
      <c r="T801" s="68">
        <f>=P801/10000*J801*Z801</f>
        <v>230.58</v>
      </c>
      <c r="U801">
        <v>63</v>
      </c>
      <c r="V801" s="68">
        <f>=P801*0.005/360*Z801</f>
        <v>16.0125</v>
      </c>
      <c r="W801" s="68">
        <f>=X801*0.06</f>
        <v>22.9698000000001</v>
      </c>
      <c r="X801" s="68">
        <f>=O801-P801</f>
        <v>382.830000000002</v>
      </c>
      <c r="Y801" s="68">
        <f>=X801-T801-U801-V801-W801</f>
        <v>50.2677000000017</v>
      </c>
      <c r="Z801" s="62">
        <f>=A801-$A$492+1</f>
        <v>61</v>
      </c>
      <c r="AA801" s="68">
        <f>=P801/10000*K801*Z801</f>
        <v>288.225</v>
      </c>
      <c r="AB801" s="62">
        <f>=Q801*Z801</f>
        <v>1176252.63</v>
      </c>
      <c r="AC801" t="s">
        <v>58</v>
      </c>
    </row>
    <row r="802" spans="1:29">
      <c r="A802" s="147">
        <v>46212</v>
      </c>
      <c r="B802" s="134" t="s">
        <v>37</v>
      </c>
      <c r="C802" s="103" t="s"/>
      <c r="D802" s="64" t="s">
        <v>38</v>
      </c>
      <c r="E802" s="64" t="s">
        <v>148</v>
      </c>
      <c r="F802" s="64" t="s">
        <v>153</v>
      </c>
      <c r="G802" s="162" t="s">
        <v>156</v>
      </c>
      <c r="H802" s="98" t="s">
        <v>180</v>
      </c>
      <c r="I802" s="73" t="s">
        <v>47</v>
      </c>
      <c r="J802" s="62">
        <v>2</v>
      </c>
      <c r="K802" s="62">
        <v>2.3</v>
      </c>
      <c r="O802">
        <v>242182.4</v>
      </c>
      <c r="P802">
        <v>236000</v>
      </c>
      <c r="Q802">
        <v>242182.4</v>
      </c>
      <c r="T802" s="68">
        <f>=P802/10000*J802*Z802</f>
        <v>5144.8</v>
      </c>
      <c r="U802">
        <v>240</v>
      </c>
      <c r="V802" s="68">
        <f>=P802*0.005/360*Z802</f>
        <v>357.277777777778</v>
      </c>
      <c r="W802" s="68">
        <f>=X802*0.06</f>
        <v>370.944</v>
      </c>
      <c r="X802" s="68">
        <f>=O802-P802</f>
        <v>6182.4</v>
      </c>
      <c r="Y802" s="68">
        <f>=X802-T802-U802-V802-W802</f>
        <v>69.3782222222166</v>
      </c>
      <c r="Z802" s="62">
        <f>=A802-$A$244+1</f>
        <v>109</v>
      </c>
      <c r="AA802" s="68">
        <f>=P802/10000*K802*Z802</f>
        <v>5916.52</v>
      </c>
      <c r="AB802" s="62">
        <f>=Q802*Z802</f>
        <v>26397881.6</v>
      </c>
      <c r="AC802" t="s">
        <v>58</v>
      </c>
    </row>
    <row r="803" spans="1:29">
      <c r="A803" s="147">
        <v>46212</v>
      </c>
      <c r="B803" s="103" t="s"/>
      <c r="C803" s="103" t="s"/>
      <c r="D803" s="64" t="s">
        <v>38</v>
      </c>
      <c r="E803" s="64" t="s">
        <v>148</v>
      </c>
      <c r="F803" s="64" t="s">
        <v>153</v>
      </c>
      <c r="G803" s="162" t="s">
        <v>215</v>
      </c>
      <c r="H803" s="98" t="s">
        <v>234</v>
      </c>
      <c r="I803" s="73" t="s">
        <v>47</v>
      </c>
      <c r="J803" s="62">
        <v>2</v>
      </c>
      <c r="K803" s="62">
        <v>2.5</v>
      </c>
      <c r="O803">
        <v>689775.17</v>
      </c>
      <c r="P803">
        <v>672350</v>
      </c>
      <c r="Q803">
        <v>689775.17</v>
      </c>
      <c r="T803" s="68">
        <f>=P803/10000*J803*Z803</f>
        <v>13312.53</v>
      </c>
      <c r="U803">
        <v>714</v>
      </c>
      <c r="V803" s="68">
        <f>=P803*0.005/360*Z803</f>
        <v>924.48125</v>
      </c>
      <c r="W803" s="68">
        <f>=X803*0.06</f>
        <v>1045.5102</v>
      </c>
      <c r="X803" s="68">
        <f>=O803-P803</f>
        <v>17425.17</v>
      </c>
      <c r="Y803" s="68">
        <f>=X803-T803-U803-V803-W803</f>
        <v>1428.64855000004</v>
      </c>
      <c r="Z803" s="62">
        <f>=A803-$A$304+1</f>
        <v>99</v>
      </c>
      <c r="AA803" s="68">
        <f>=P803/10000*K803*Z803</f>
        <v>16640.6625</v>
      </c>
      <c r="AB803" s="62">
        <f>=Q803*Z803</f>
        <v>68287741.83</v>
      </c>
      <c r="AC803" t="s">
        <v>58</v>
      </c>
    </row>
    <row r="804" spans="1:29">
      <c r="A804" s="147">
        <v>46212</v>
      </c>
      <c r="B804" s="103" t="s"/>
      <c r="C804" s="103" t="s"/>
      <c r="D804" s="64" t="s">
        <v>38</v>
      </c>
      <c r="E804" s="131" t="s">
        <v>54</v>
      </c>
      <c r="F804" s="64" t="s">
        <v>55</v>
      </c>
      <c r="G804" s="71" t="s">
        <v>191</v>
      </c>
      <c r="H804" s="98" t="s">
        <v>249</v>
      </c>
      <c r="I804" s="73" t="s">
        <v>47</v>
      </c>
      <c r="J804" s="62">
        <v>2</v>
      </c>
      <c r="K804" s="62">
        <v>2.5</v>
      </c>
      <c r="O804">
        <v>229894.5</v>
      </c>
      <c r="P804">
        <v>225000</v>
      </c>
      <c r="Q804">
        <v>229894.5</v>
      </c>
      <c r="T804" s="68">
        <f>=P804/10000*J804*Z804</f>
        <v>3960</v>
      </c>
      <c r="U804">
        <v>0</v>
      </c>
      <c r="V804" s="68">
        <f>=P804*0.005/360*Z804</f>
        <v>275</v>
      </c>
      <c r="W804" s="68">
        <f>=X804*0.06</f>
        <v>293.67</v>
      </c>
      <c r="X804" s="68">
        <f>=O804-P804</f>
        <v>4894.5</v>
      </c>
      <c r="Y804" s="68">
        <f>=X804-T804-U804-V804-W804</f>
        <v>365.83</v>
      </c>
      <c r="Z804" s="62">
        <f>=A804-$A$363+1</f>
        <v>88</v>
      </c>
      <c r="AA804" s="68">
        <f>=P804/10000*K804*Z804</f>
        <v>4950</v>
      </c>
      <c r="AB804" s="62">
        <f>=Q804*Z804</f>
        <v>20230716</v>
      </c>
      <c r="AC804" t="s">
        <v>58</v>
      </c>
    </row>
    <row r="805" spans="1:29">
      <c r="A805" s="147">
        <v>46212</v>
      </c>
      <c r="B805" s="103" t="s"/>
      <c r="C805" s="103" t="s"/>
      <c r="D805" s="64" t="s">
        <v>38</v>
      </c>
      <c r="E805" s="131" t="s">
        <v>54</v>
      </c>
      <c r="F805" s="64" t="s">
        <v>55</v>
      </c>
      <c r="G805" s="71" t="s">
        <v>191</v>
      </c>
      <c r="H805" s="98" t="s">
        <v>313</v>
      </c>
      <c r="I805" s="73" t="s">
        <v>47</v>
      </c>
      <c r="J805" s="62">
        <v>2</v>
      </c>
      <c r="K805" s="62">
        <v>2.5</v>
      </c>
      <c r="O805">
        <v>220926</v>
      </c>
      <c r="P805">
        <v>217500</v>
      </c>
      <c r="Q805">
        <v>220926</v>
      </c>
      <c r="T805" s="68">
        <f>=P805/10000*J805*Z805</f>
        <v>2784</v>
      </c>
      <c r="U805">
        <v>0</v>
      </c>
      <c r="V805" s="68">
        <f>=P805*0.005/360*Z805</f>
        <v>193.333333333333</v>
      </c>
      <c r="W805" s="68">
        <f>=X805*0.06</f>
        <v>205.56</v>
      </c>
      <c r="X805" s="68">
        <f>=O805-P805</f>
        <v>3426</v>
      </c>
      <c r="Y805" s="68">
        <f>=X805-T805-U805-V805-W805</f>
        <v>243.106666666667</v>
      </c>
      <c r="Z805" s="62">
        <f>=A805-$A$485+1</f>
        <v>64</v>
      </c>
      <c r="AA805" s="68">
        <f>=P805/10000*K805*Z805</f>
        <v>3480</v>
      </c>
      <c r="AB805" s="62">
        <f>=Q805*Z805</f>
        <v>14139264</v>
      </c>
      <c r="AC805" t="s">
        <v>58</v>
      </c>
    </row>
    <row r="806" spans="1:29">
      <c r="A806" s="147">
        <v>46212</v>
      </c>
      <c r="B806" s="103" t="s"/>
      <c r="C806" s="62">
        <f>=TODAY()-A806+1</f>
        <v>18</v>
      </c>
      <c r="D806" s="151" t="s">
        <v>38</v>
      </c>
      <c r="E806" s="151" t="s">
        <v>148</v>
      </c>
      <c r="F806" s="151" t="s">
        <v>149</v>
      </c>
      <c r="G806" s="71" t="s">
        <v>150</v>
      </c>
      <c r="H806" s="98" t="s">
        <v>366</v>
      </c>
      <c r="I806" s="65" t="s">
        <v>43</v>
      </c>
      <c r="J806" s="62">
        <v>2</v>
      </c>
      <c r="K806" s="62">
        <v>2.5</v>
      </c>
      <c r="M806">
        <v>771800</v>
      </c>
      <c r="AA806" s="157" t="s"/>
      <c r="AC806" t="s">
        <v>367</v>
      </c>
    </row>
    <row r="807" spans="1:29">
      <c r="A807" s="147">
        <v>46213</v>
      </c>
      <c r="B807" s="103" t="s"/>
      <c r="C807" s="62">
        <f>=TODAY()-A807+1</f>
        <v>7</v>
      </c>
      <c r="D807" s="151" t="s">
        <v>38</v>
      </c>
      <c r="E807" s="151" t="s">
        <v>148</v>
      </c>
      <c r="F807" s="151" t="s">
        <v>149</v>
      </c>
      <c r="G807" s="71" t="s">
        <v>150</v>
      </c>
      <c r="H807" s="98" t="s">
        <v>368</v>
      </c>
      <c r="I807" s="65" t="s">
        <v>43</v>
      </c>
      <c r="J807" s="62">
        <v>2</v>
      </c>
      <c r="K807" s="62">
        <v>2.5</v>
      </c>
      <c r="M807">
        <v>244800</v>
      </c>
      <c r="AA807" s="157" t="s"/>
      <c r="AC807" t="s">
        <v>367</v>
      </c>
    </row>
    <row r="808" spans="1:29">
      <c r="A808" s="147">
        <v>46213</v>
      </c>
      <c r="B808" s="103" t="s"/>
      <c r="C808" s="103" t="s"/>
      <c r="D808" s="64" t="s">
        <v>38</v>
      </c>
      <c r="E808" s="131" t="s">
        <v>54</v>
      </c>
      <c r="F808" s="64" t="s">
        <v>55</v>
      </c>
      <c r="G808" s="71" t="s">
        <v>191</v>
      </c>
      <c r="H808" s="98" t="s">
        <v>249</v>
      </c>
      <c r="I808" s="73" t="s">
        <v>47</v>
      </c>
      <c r="J808" s="62">
        <v>2</v>
      </c>
      <c r="K808" s="62">
        <v>2.5</v>
      </c>
      <c r="O808">
        <v>76669</v>
      </c>
      <c r="P808">
        <v>75000</v>
      </c>
      <c r="Q808">
        <v>76669</v>
      </c>
      <c r="T808" s="68">
        <f>=P808/10000*J808*Z808</f>
        <v>1335</v>
      </c>
      <c r="U808">
        <v>0</v>
      </c>
      <c r="V808" s="68">
        <f>=P808*0.005/360*Z808</f>
        <v>92.7083333333334</v>
      </c>
      <c r="W808" s="68">
        <f>=X808*0.06</f>
        <v>100.14</v>
      </c>
      <c r="X808" s="68">
        <f>=O808-P808</f>
        <v>1669</v>
      </c>
      <c r="Y808" s="68">
        <f>=X808-T808-U808-V808-W808</f>
        <v>141.151666666667</v>
      </c>
      <c r="Z808" s="62">
        <f>=A808-$A$363+1</f>
        <v>89</v>
      </c>
      <c r="AA808" s="68">
        <f>=P808/10000*K808*Z808</f>
        <v>1668.75</v>
      </c>
      <c r="AB808" s="62">
        <f>=Q808*Z808</f>
        <v>6823541</v>
      </c>
      <c r="AC808" t="s">
        <v>58</v>
      </c>
    </row>
    <row r="809" spans="1:29">
      <c r="A809" s="147">
        <v>46213</v>
      </c>
      <c r="B809" s="103" t="s"/>
      <c r="C809" s="103" t="s"/>
      <c r="D809" s="64" t="s">
        <v>38</v>
      </c>
      <c r="E809" s="131" t="s">
        <v>54</v>
      </c>
      <c r="F809" s="64" t="s">
        <v>55</v>
      </c>
      <c r="G809" s="71" t="s">
        <v>191</v>
      </c>
      <c r="H809" s="98" t="s">
        <v>313</v>
      </c>
      <c r="I809" s="73" t="s">
        <v>47</v>
      </c>
      <c r="J809" s="62">
        <v>2</v>
      </c>
      <c r="K809" s="62">
        <v>2.5</v>
      </c>
      <c r="O809">
        <v>72204.44</v>
      </c>
      <c r="P809">
        <v>71050</v>
      </c>
      <c r="Q809">
        <v>72204.44</v>
      </c>
      <c r="T809" s="68">
        <f>=P809/10000*J809*Z809</f>
        <v>923.65</v>
      </c>
      <c r="U809">
        <v>0</v>
      </c>
      <c r="V809" s="68">
        <f>=P809*0.005/360*Z809</f>
        <v>64.1423611111111</v>
      </c>
      <c r="W809" s="68">
        <f>=X809*0.06</f>
        <v>69.2664000000002</v>
      </c>
      <c r="X809" s="68">
        <f>=O809-P809</f>
        <v>1154.44</v>
      </c>
      <c r="Y809" s="68">
        <f>=X809-T809-U809-V809-W809</f>
        <v>97.381238888891</v>
      </c>
      <c r="Z809" s="62">
        <f>=A809-$A$485+1</f>
        <v>65</v>
      </c>
      <c r="AA809" s="68">
        <f>=P809/10000*K809*Z809</f>
        <v>1154.5625</v>
      </c>
      <c r="AB809" s="62">
        <f>=Q809*Z809</f>
        <v>4693288.6</v>
      </c>
      <c r="AC809" t="s">
        <v>58</v>
      </c>
    </row>
    <row r="810" spans="1:29">
      <c r="A810" s="147">
        <v>46213</v>
      </c>
      <c r="B810" s="103" t="s"/>
      <c r="C810" s="103" t="s"/>
      <c r="D810" s="64" t="s">
        <v>38</v>
      </c>
      <c r="E810" s="64" t="s">
        <v>148</v>
      </c>
      <c r="F810" s="64" t="s">
        <v>153</v>
      </c>
      <c r="G810" s="71" t="s">
        <v>215</v>
      </c>
      <c r="H810" s="98" t="s">
        <v>234</v>
      </c>
      <c r="I810" s="73" t="s">
        <v>47</v>
      </c>
      <c r="J810" s="62">
        <v>2</v>
      </c>
      <c r="K810" s="62">
        <v>2.5</v>
      </c>
      <c r="O810">
        <v>330850</v>
      </c>
      <c r="P810">
        <v>322000</v>
      </c>
      <c r="Q810">
        <v>330850</v>
      </c>
      <c r="T810" s="68">
        <f>=P810/10000*J810*Z810</f>
        <v>6440</v>
      </c>
      <c r="U810">
        <v>600</v>
      </c>
      <c r="V810" s="68">
        <f>=P810*0.005/360*Z810</f>
        <v>447.222222222222</v>
      </c>
      <c r="W810" s="68">
        <f>=X810*0.06</f>
        <v>531</v>
      </c>
      <c r="X810" s="68">
        <f>=O810-P810</f>
        <v>8850</v>
      </c>
      <c r="Y810" s="68">
        <f>=X810-T810-U810-V810-W810</f>
        <v>831.777777777777</v>
      </c>
      <c r="Z810" s="62">
        <f>=A810-$A$304+1</f>
        <v>100</v>
      </c>
      <c r="AA810" s="68">
        <f>=P810/10000*K810*Z810</f>
        <v>8050</v>
      </c>
      <c r="AB810" s="62">
        <f>=Q810*Z810</f>
        <v>33085000</v>
      </c>
      <c r="AC810" t="s">
        <v>58</v>
      </c>
    </row>
    <row r="811" spans="1:29">
      <c r="A811" s="147">
        <v>46213</v>
      </c>
      <c r="B811" s="103" t="s"/>
      <c r="D811" s="64" t="s">
        <v>38</v>
      </c>
      <c r="E811" s="64" t="s">
        <v>148</v>
      </c>
      <c r="F811" s="64" t="s">
        <v>153</v>
      </c>
      <c r="G811" s="71" t="s">
        <v>215</v>
      </c>
      <c r="H811" s="98" t="s">
        <v>255</v>
      </c>
      <c r="I811" s="73" t="s">
        <v>47</v>
      </c>
      <c r="J811" s="62">
        <v>2</v>
      </c>
      <c r="K811" s="62">
        <v>2.5</v>
      </c>
      <c r="O811">
        <v>62431.6</v>
      </c>
      <c r="P811">
        <v>61000</v>
      </c>
      <c r="Q811">
        <v>62431.6</v>
      </c>
      <c r="T811" s="68">
        <f>=P811/10000*J811*Z811</f>
        <v>1049.2</v>
      </c>
      <c r="U811">
        <v>90</v>
      </c>
      <c r="V811" s="68">
        <f>=P811*0.005/360*Z811</f>
        <v>72.8611111111111</v>
      </c>
      <c r="W811" s="68">
        <f>=X811*0.06</f>
        <v>85.8959999999999</v>
      </c>
      <c r="X811" s="68">
        <f>=O811-P811</f>
        <v>1431.6</v>
      </c>
      <c r="Y811" s="68">
        <f>=X811-T811-U811-V811-W811</f>
        <v>133.642888888887</v>
      </c>
      <c r="Z811" s="62">
        <f>=A811-$A$369+1</f>
        <v>86</v>
      </c>
      <c r="AA811" s="68">
        <f>=P811/10000*K811*Z811</f>
        <v>1311.5</v>
      </c>
      <c r="AB811" s="62">
        <f>=Q811*Z811</f>
        <v>5369117.6</v>
      </c>
      <c r="AC811" t="s">
        <v>58</v>
      </c>
    </row>
    <row r="812" spans="1:29">
      <c r="A812" s="147">
        <v>46213</v>
      </c>
      <c r="B812" s="62" t="s"/>
      <c r="C812" s="62">
        <f>=TODAY()-A812+1</f>
        <v>17</v>
      </c>
      <c r="D812" s="63" t="s">
        <v>38</v>
      </c>
      <c r="E812" s="62" t="s">
        <v>39</v>
      </c>
      <c r="F812" s="62" t="s">
        <v>137</v>
      </c>
      <c r="G812" s="108" t="s">
        <v>294</v>
      </c>
      <c r="H812" s="98" t="s">
        <v>369</v>
      </c>
      <c r="I812" s="65" t="s">
        <v>43</v>
      </c>
      <c r="J812" s="62">
        <v>2</v>
      </c>
      <c r="K812" s="62">
        <v>2.5</v>
      </c>
      <c r="M812">
        <v>1001300</v>
      </c>
      <c r="AA812" s="157" t="s"/>
      <c r="AC812" t="s">
        <v>367</v>
      </c>
    </row>
    <row r="813" spans="1:29">
      <c r="A813" s="147">
        <v>46215</v>
      </c>
      <c r="B813" s="106" t="s">
        <v>37</v>
      </c>
      <c r="C813" s="103" t="s"/>
      <c r="D813" s="62" t="s">
        <v>38</v>
      </c>
      <c r="E813" t="s">
        <v>288</v>
      </c>
      <c r="F813" t="s">
        <v>289</v>
      </c>
      <c r="G813" s="136" t="s">
        <v>301</v>
      </c>
      <c r="H813" s="98" t="s">
        <v>315</v>
      </c>
      <c r="I813" s="65" t="s">
        <v>47</v>
      </c>
      <c r="J813" s="62">
        <v>2</v>
      </c>
      <c r="K813" s="62">
        <v>2.5</v>
      </c>
      <c r="O813">
        <v>19270.23</v>
      </c>
      <c r="P813">
        <v>18900</v>
      </c>
      <c r="Q813">
        <v>19270.23</v>
      </c>
      <c r="T813" s="68">
        <f>=P813/10000*J813*Z813</f>
        <v>245.7</v>
      </c>
      <c r="U813">
        <v>63</v>
      </c>
      <c r="V813" s="68">
        <f>=P813*0.005/360*Z813</f>
        <v>17.0625</v>
      </c>
      <c r="W813" s="68">
        <f>=X813*0.06</f>
        <v>22.2138</v>
      </c>
      <c r="X813" s="68">
        <f>=O813-P813</f>
        <v>370.23</v>
      </c>
      <c r="Y813" s="68">
        <f>=X813-T813-U813-V813-W813</f>
        <v>22.2536999999996</v>
      </c>
      <c r="Z813" s="62">
        <f>=A813-$A$492+1</f>
        <v>65</v>
      </c>
      <c r="AA813" s="68">
        <f>=P813/10000*K813*Z813</f>
        <v>307.125</v>
      </c>
      <c r="AB813" s="62">
        <f>=Q813*Z813</f>
        <v>1252564.95</v>
      </c>
      <c r="AC813" t="s">
        <v>58</v>
      </c>
    </row>
    <row r="814" spans="1:29">
      <c r="A814" s="147">
        <v>46215</v>
      </c>
      <c r="B814" s="103" t="s"/>
      <c r="C814" s="103" t="s"/>
      <c r="D814" s="62" t="s">
        <v>38</v>
      </c>
      <c r="E814" s="62" t="s">
        <v>133</v>
      </c>
      <c r="F814" s="62" t="s">
        <v>134</v>
      </c>
      <c r="G814" s="64" t="s">
        <v>135</v>
      </c>
      <c r="H814" s="80" t="s">
        <v>209</v>
      </c>
      <c r="I814" s="73" t="s">
        <v>47</v>
      </c>
      <c r="J814" s="62">
        <v>2</v>
      </c>
      <c r="K814" s="62">
        <v>2.5</v>
      </c>
      <c r="O814">
        <v>22389.6</v>
      </c>
      <c r="P814">
        <v>21700</v>
      </c>
      <c r="Q814">
        <v>22389.6</v>
      </c>
      <c r="T814" s="68">
        <f>=P814/10000*J814*Z814</f>
        <v>455.7</v>
      </c>
      <c r="U814">
        <v>80</v>
      </c>
      <c r="V814" s="68">
        <f>=P814*0.005/360*Z814</f>
        <v>31.6458333333333</v>
      </c>
      <c r="W814" s="68">
        <f>=X814*0.06</f>
        <v>41.3759999999999</v>
      </c>
      <c r="X814" s="68">
        <f>=O814-P814</f>
        <v>689.599999999999</v>
      </c>
      <c r="Y814" s="68">
        <f>=X814-T814-U814-V814-W814</f>
        <v>80.8781666666653</v>
      </c>
      <c r="Z814" s="62">
        <f>=A814-$A$277+1</f>
        <v>105</v>
      </c>
      <c r="AA814" s="68">
        <f>=P814/10000*K814*Z814</f>
        <v>569.625</v>
      </c>
      <c r="AB814" s="62">
        <f>=Q814*Z814</f>
        <v>2350908</v>
      </c>
      <c r="AC814" t="s">
        <v>58</v>
      </c>
    </row>
    <row r="815" spans="1:29">
      <c r="A815" s="147">
        <v>46215</v>
      </c>
      <c r="B815" s="103" t="s"/>
      <c r="C815" s="103" t="s"/>
      <c r="D815" s="62" t="s">
        <v>38</v>
      </c>
      <c r="E815" s="62" t="s">
        <v>133</v>
      </c>
      <c r="F815" s="62" t="s">
        <v>134</v>
      </c>
      <c r="G815" s="71" t="s">
        <v>135</v>
      </c>
      <c r="H815" s="98" t="s">
        <v>237</v>
      </c>
      <c r="I815" s="73" t="s">
        <v>47</v>
      </c>
      <c r="J815" s="62">
        <v>2</v>
      </c>
      <c r="K815" s="62">
        <v>2.5</v>
      </c>
      <c r="O815">
        <v>134240.4</v>
      </c>
      <c r="P815">
        <v>130200</v>
      </c>
      <c r="Q815">
        <v>134240.4</v>
      </c>
      <c r="T815" s="68">
        <f>=P815/10000*J815*Z815</f>
        <v>2656.08</v>
      </c>
      <c r="U815">
        <v>480</v>
      </c>
      <c r="V815" s="68">
        <f>=P815*0.005/360*Z815</f>
        <v>184.45</v>
      </c>
      <c r="W815" s="68">
        <f>=X815*0.06</f>
        <v>242.424000000001</v>
      </c>
      <c r="X815" s="68">
        <f>=O815-P815</f>
        <v>4040.40000000002</v>
      </c>
      <c r="Y815" s="68">
        <f>=X815-T815-U815-V815-W815</f>
        <v>477.446000000022</v>
      </c>
      <c r="Z815" s="62">
        <f>=A815-$A$312+1</f>
        <v>102</v>
      </c>
      <c r="AA815" s="68">
        <f>=P815/10000*K815*Z815</f>
        <v>3320.1</v>
      </c>
      <c r="AB815" s="62">
        <f>=Q815*Z815</f>
        <v>13692520.8</v>
      </c>
      <c r="AC815" t="s">
        <v>58</v>
      </c>
    </row>
    <row r="816" spans="1:29">
      <c r="A816" s="147">
        <v>46215</v>
      </c>
      <c r="B816" s="103" t="s"/>
      <c r="C816" s="103" t="s"/>
      <c r="D816" s="62" t="s">
        <v>38</v>
      </c>
      <c r="E816" s="62" t="s">
        <v>133</v>
      </c>
      <c r="F816" s="62" t="s">
        <v>134</v>
      </c>
      <c r="G816" s="71" t="s">
        <v>135</v>
      </c>
      <c r="H816" s="98" t="s">
        <v>343</v>
      </c>
      <c r="I816" s="73" t="s">
        <v>47</v>
      </c>
      <c r="J816" s="62">
        <v>2</v>
      </c>
      <c r="K816" s="62">
        <v>2.5</v>
      </c>
      <c r="O816">
        <v>10165</v>
      </c>
      <c r="P816">
        <v>10000</v>
      </c>
      <c r="Q816">
        <v>10165</v>
      </c>
      <c r="T816" s="68">
        <f>=P816/10000*J816*Z816</f>
        <v>108</v>
      </c>
      <c r="U816">
        <v>20</v>
      </c>
      <c r="V816" s="68">
        <f>=P816*0.005/360*Z816</f>
        <v>7.5</v>
      </c>
      <c r="W816" s="68">
        <f>=X816*0.06</f>
        <v>9.9</v>
      </c>
      <c r="X816" s="68">
        <f>=O816-P816</f>
        <v>165</v>
      </c>
      <c r="Y816" s="68">
        <f>=X816-T816-U816-V816-W816</f>
        <v>19.6</v>
      </c>
      <c r="Z816" s="62">
        <f>=A816-$A$553+1</f>
        <v>54</v>
      </c>
      <c r="AA816" s="68">
        <f>=P816/10000*K816*Z816</f>
        <v>135</v>
      </c>
      <c r="AB816" s="62">
        <f>=Q816*Z816</f>
        <v>548910</v>
      </c>
      <c r="AC816" t="s">
        <v>58</v>
      </c>
    </row>
    <row r="817" spans="1:29">
      <c r="A817" s="147">
        <v>46215</v>
      </c>
      <c r="B817" s="103" t="s"/>
      <c r="C817" s="103" t="s"/>
      <c r="D817" s="151" t="s">
        <v>38</v>
      </c>
      <c r="E817" s="151" t="s">
        <v>148</v>
      </c>
      <c r="F817" s="151" t="s">
        <v>149</v>
      </c>
      <c r="G817" s="71" t="s">
        <v>150</v>
      </c>
      <c r="H817" s="98" t="s">
        <v>314</v>
      </c>
      <c r="I817" s="69" t="s">
        <v>47</v>
      </c>
      <c r="J817" s="62">
        <v>2</v>
      </c>
      <c r="K817" s="62">
        <v>2.5</v>
      </c>
      <c r="O817">
        <v>48000.5</v>
      </c>
      <c r="P817">
        <v>45000</v>
      </c>
      <c r="Q817">
        <v>48000.5</v>
      </c>
      <c r="T817" s="68">
        <f>=P817/10000*J817*Z817</f>
        <v>594</v>
      </c>
      <c r="U817">
        <v>150</v>
      </c>
      <c r="V817" s="68">
        <f>=P817*0.005/360*Z817</f>
        <v>41.25</v>
      </c>
      <c r="W817" s="68">
        <f>=X817*0.06</f>
        <v>180.03</v>
      </c>
      <c r="X817" s="68">
        <f>=O817-P817</f>
        <v>3000.5</v>
      </c>
      <c r="Y817" s="68">
        <f>=X817-T817-U817-V817-W817</f>
        <v>2035.22</v>
      </c>
      <c r="Z817" s="62">
        <f>=A817-$A$487+1</f>
        <v>66</v>
      </c>
      <c r="AA817" s="68">
        <f>=P817/10000*K817*Z817</f>
        <v>742.5</v>
      </c>
      <c r="AB817" s="62">
        <f>=Q817*Z817</f>
        <v>3168033</v>
      </c>
      <c r="AC817" t="s">
        <v>58</v>
      </c>
    </row>
    <row r="818" spans="1:29">
      <c r="A818" s="147">
        <v>46216</v>
      </c>
      <c r="B818" s="103" t="s"/>
      <c r="C818" s="62">
        <f>=TODAY()-A818+1</f>
        <v>14</v>
      </c>
      <c r="D818" s="151" t="s">
        <v>38</v>
      </c>
      <c r="E818" s="151" t="s">
        <v>148</v>
      </c>
      <c r="F818" s="151" t="s">
        <v>149</v>
      </c>
      <c r="G818" s="71" t="s">
        <v>150</v>
      </c>
      <c r="H818" s="98" t="s">
        <v>370</v>
      </c>
      <c r="I818" s="73" t="s">
        <v>43</v>
      </c>
      <c r="J818" s="62">
        <v>2</v>
      </c>
      <c r="K818" s="62">
        <v>2.5</v>
      </c>
      <c r="M818">
        <v>527000</v>
      </c>
      <c r="AA818" s="157" t="s"/>
      <c r="AC818" t="s">
        <v>367</v>
      </c>
    </row>
    <row r="819" spans="1:29">
      <c r="A819" s="147">
        <v>46216</v>
      </c>
      <c r="B819" s="103" t="s"/>
      <c r="C819" s="103" t="s"/>
      <c r="D819" s="78" t="s">
        <v>38</v>
      </c>
      <c r="E819" s="78" t="s">
        <v>48</v>
      </c>
      <c r="F819" s="78" t="s">
        <v>49</v>
      </c>
      <c r="G819" s="71" t="s">
        <v>52</v>
      </c>
      <c r="H819" s="71" t="s">
        <v>158</v>
      </c>
      <c r="I819" s="72" t="s">
        <v>47</v>
      </c>
      <c r="J819" s="78">
        <v>2</v>
      </c>
      <c r="K819" s="78">
        <v>3</v>
      </c>
      <c r="O819">
        <v>44310.2</v>
      </c>
      <c r="P819">
        <v>42820</v>
      </c>
      <c r="Q819">
        <v>44310.2</v>
      </c>
      <c r="T819" s="68">
        <f>=P819/10000*J819*Z819</f>
        <v>1001.988</v>
      </c>
      <c r="U819" s="62">
        <v>0</v>
      </c>
      <c r="V819" s="68">
        <f>=P819*0.005/360*Z819</f>
        <v>69.5825</v>
      </c>
      <c r="W819" s="68">
        <f>=X819*0.13</f>
        <v>193.726</v>
      </c>
      <c r="X819" s="68">
        <f>=O819-P819</f>
        <v>1490.2</v>
      </c>
      <c r="Y819" s="68">
        <f>=X819-T819-U819-V819-W819</f>
        <v>224.903499999997</v>
      </c>
      <c r="Z819" s="62">
        <f>=A819-$A$224+1</f>
        <v>117</v>
      </c>
      <c r="AA819" s="68">
        <f>=P819/10000*K819*Z819</f>
        <v>1502.982</v>
      </c>
      <c r="AB819" s="62">
        <f>=Q819*Z819</f>
        <v>5184293.4</v>
      </c>
      <c r="AC819" t="s">
        <v>312</v>
      </c>
    </row>
    <row r="820" spans="1:29">
      <c r="A820" s="147">
        <v>46216</v>
      </c>
      <c r="B820" s="103" t="s"/>
      <c r="C820" s="103" t="s"/>
      <c r="D820" s="78" t="s">
        <v>38</v>
      </c>
      <c r="E820" s="78" t="s">
        <v>48</v>
      </c>
      <c r="F820" s="78" t="s">
        <v>49</v>
      </c>
      <c r="G820" s="71" t="s">
        <v>52</v>
      </c>
      <c r="H820" s="71" t="s">
        <v>179</v>
      </c>
      <c r="I820" s="72" t="s">
        <v>47</v>
      </c>
      <c r="J820" s="78">
        <v>2</v>
      </c>
      <c r="K820" s="78">
        <v>3</v>
      </c>
      <c r="O820">
        <v>14470.4</v>
      </c>
      <c r="P820">
        <v>14000</v>
      </c>
      <c r="Q820">
        <v>14470.4</v>
      </c>
      <c r="T820" s="68">
        <f>=P820/10000*J820*Z820</f>
        <v>316.4</v>
      </c>
      <c r="U820" s="62">
        <v>0</v>
      </c>
      <c r="V820" s="68">
        <f>=P820*0.005/360*Z820</f>
        <v>21.9722222222222</v>
      </c>
      <c r="W820" s="68">
        <f>=X820*0.13</f>
        <v>61.152</v>
      </c>
      <c r="X820" s="68">
        <f>=O820-P820</f>
        <v>470.4</v>
      </c>
      <c r="Y820" s="68">
        <f>=X820-T820-U820-V820-W820</f>
        <v>70.8757777777775</v>
      </c>
      <c r="Z820" s="62">
        <f>=A820-$A$242+1</f>
        <v>113</v>
      </c>
      <c r="AA820" s="68">
        <f>=P820/10000*K820*Z820</f>
        <v>474.6</v>
      </c>
      <c r="AB820" s="62">
        <f>=Q820*Z820</f>
        <v>1635155.2</v>
      </c>
      <c r="AC820" t="s">
        <v>312</v>
      </c>
    </row>
    <row r="821" spans="1:29">
      <c r="A821" s="147">
        <v>46216</v>
      </c>
      <c r="B821" s="103" t="s"/>
      <c r="C821" s="103" t="s"/>
      <c r="D821" s="78" t="s">
        <v>38</v>
      </c>
      <c r="E821" s="78" t="s">
        <v>48</v>
      </c>
      <c r="F821" s="78" t="s">
        <v>49</v>
      </c>
      <c r="G821" s="64" t="s">
        <v>52</v>
      </c>
      <c r="H821" s="71" t="s">
        <v>205</v>
      </c>
      <c r="I821" s="72" t="s">
        <v>47</v>
      </c>
      <c r="J821" s="78">
        <v>2</v>
      </c>
      <c r="K821" s="78">
        <v>3</v>
      </c>
      <c r="O821">
        <v>17777.94</v>
      </c>
      <c r="P821">
        <v>17220</v>
      </c>
      <c r="Q821">
        <v>17777.94</v>
      </c>
      <c r="T821" s="68">
        <f>=P821/10000*J821*Z821</f>
        <v>375.396</v>
      </c>
      <c r="U821" s="62">
        <v>0</v>
      </c>
      <c r="V821" s="68">
        <f>=P821*0.005/360*Z821</f>
        <v>26.0691666666667</v>
      </c>
      <c r="W821" s="68">
        <f>=X821*0.13</f>
        <v>72.5321999999999</v>
      </c>
      <c r="X821" s="68">
        <f>=O821-P821</f>
        <v>557.939999999999</v>
      </c>
      <c r="Y821" s="68">
        <f>=X821-T821-U821-V821-W821</f>
        <v>83.9426333333322</v>
      </c>
      <c r="Z821" s="62">
        <f>=A821-$A$273+1</f>
        <v>109</v>
      </c>
      <c r="AA821" s="68">
        <f>=P821/10000*K821*Z821</f>
        <v>563.094</v>
      </c>
      <c r="AB821" s="62">
        <f>=Q821*Z821</f>
        <v>1937795.46</v>
      </c>
      <c r="AC821" t="s">
        <v>312</v>
      </c>
    </row>
    <row r="822" spans="1:29">
      <c r="A822" s="147">
        <v>46216</v>
      </c>
      <c r="B822" s="103" t="s"/>
      <c r="C822" s="103" t="s"/>
      <c r="D822" s="78" t="s">
        <v>38</v>
      </c>
      <c r="E822" s="78" t="s">
        <v>48</v>
      </c>
      <c r="F822" s="78" t="s">
        <v>49</v>
      </c>
      <c r="G822" s="64" t="s">
        <v>52</v>
      </c>
      <c r="H822" s="71" t="s">
        <v>232</v>
      </c>
      <c r="I822" s="72" t="s">
        <v>47</v>
      </c>
      <c r="J822" s="78">
        <v>2</v>
      </c>
      <c r="K822" s="78">
        <v>3</v>
      </c>
      <c r="O822">
        <v>45580.36</v>
      </c>
      <c r="P822">
        <v>44240</v>
      </c>
      <c r="Q822">
        <v>45580.36</v>
      </c>
      <c r="T822" s="68">
        <f>=P822/10000*J822*Z822</f>
        <v>902.496</v>
      </c>
      <c r="U822" s="62">
        <v>0</v>
      </c>
      <c r="V822" s="68">
        <f>=P822*0.005/360*Z822</f>
        <v>62.6733333333333</v>
      </c>
      <c r="W822" s="68">
        <f>=X822*0.13</f>
        <v>174.2468</v>
      </c>
      <c r="X822" s="68">
        <f>=O822-P822</f>
        <v>1340.36</v>
      </c>
      <c r="Y822" s="68">
        <f>=X822-T822-U822-V822-W822</f>
        <v>200.943866666667</v>
      </c>
      <c r="Z822" s="62">
        <f>=A822-$A$299+1</f>
        <v>102</v>
      </c>
      <c r="AA822" s="68">
        <f>=P822/10000*K822*Z822</f>
        <v>1353.744</v>
      </c>
      <c r="AB822" s="62">
        <f>=Q822*Z822</f>
        <v>4649196.72</v>
      </c>
      <c r="AC822" t="s">
        <v>312</v>
      </c>
    </row>
    <row r="823" spans="1:29">
      <c r="A823" s="147">
        <v>46216</v>
      </c>
      <c r="B823" s="103" t="s"/>
      <c r="C823" s="103" t="s"/>
      <c r="D823" s="62" t="s">
        <v>114</v>
      </c>
      <c r="E823" s="62" t="s">
        <v>114</v>
      </c>
      <c r="F823" s="62" t="s">
        <v>115</v>
      </c>
      <c r="G823" s="64" t="s">
        <v>116</v>
      </c>
      <c r="H823" s="71" t="s">
        <v>242</v>
      </c>
      <c r="I823" s="72" t="s">
        <v>47</v>
      </c>
      <c r="J823" s="62">
        <v>2</v>
      </c>
      <c r="K823" s="62">
        <v>2.6</v>
      </c>
      <c r="O823">
        <v>8610</v>
      </c>
      <c r="P823">
        <v>8400</v>
      </c>
      <c r="Q823">
        <v>8610</v>
      </c>
      <c r="T823" s="68">
        <f>=P823/10000*J823*Z823</f>
        <v>162.96</v>
      </c>
      <c r="U823" s="62">
        <v>0</v>
      </c>
      <c r="V823" s="68">
        <f>=P823*0.005/360*Z823</f>
        <v>11.3166666666667</v>
      </c>
      <c r="W823" s="68">
        <f>=X823*0.06</f>
        <v>12.6</v>
      </c>
      <c r="X823" s="68">
        <f>=O823-P823</f>
        <v>210</v>
      </c>
      <c r="Y823" s="68">
        <f>=X823-T823-U823-V823-W823</f>
        <v>23.1233333333333</v>
      </c>
      <c r="Z823" s="62">
        <f>=A823-$A$322+1</f>
        <v>97</v>
      </c>
      <c r="AA823" s="68">
        <f>=P823/10000*K823*Z823</f>
        <v>211.848</v>
      </c>
      <c r="AB823" s="62">
        <f>=Q823*Z823</f>
        <v>835170</v>
      </c>
      <c r="AC823" t="s">
        <v>58</v>
      </c>
    </row>
    <row r="824" spans="1:29">
      <c r="A824" s="147">
        <v>46216</v>
      </c>
      <c r="B824" s="103" t="s"/>
      <c r="C824" s="103" t="s"/>
      <c r="D824" s="62" t="s">
        <v>114</v>
      </c>
      <c r="E824" s="62" t="s">
        <v>114</v>
      </c>
      <c r="F824" s="62" t="s">
        <v>115</v>
      </c>
      <c r="G824" s="64" t="s">
        <v>116</v>
      </c>
      <c r="H824" s="71" t="s">
        <v>246</v>
      </c>
      <c r="I824" s="72" t="s">
        <v>47</v>
      </c>
      <c r="J824" s="62">
        <v>2</v>
      </c>
      <c r="K824" s="62">
        <v>2.6</v>
      </c>
      <c r="O824">
        <v>57011.1</v>
      </c>
      <c r="P824">
        <v>55650</v>
      </c>
      <c r="Q824">
        <v>57011.1</v>
      </c>
      <c r="T824" s="68">
        <f>=P824/10000*J824*Z824</f>
        <v>1057.35</v>
      </c>
      <c r="U824" s="62">
        <v>0</v>
      </c>
      <c r="V824" s="68">
        <f>=P824*0.005/360*Z824</f>
        <v>73.4270833333334</v>
      </c>
      <c r="W824" s="68">
        <f>=X824*0.06</f>
        <v>81.6659999999999</v>
      </c>
      <c r="X824" s="68">
        <f>=O824-P824</f>
        <v>1361.1</v>
      </c>
      <c r="Y824" s="68">
        <f>=X824-T824-U824-V824-W824</f>
        <v>148.656916666665</v>
      </c>
      <c r="Z824" s="62">
        <f>=A824-$A$360+1</f>
        <v>95</v>
      </c>
      <c r="AA824" s="68">
        <f>=P824/10000*K824*Z824</f>
        <v>1374.555</v>
      </c>
      <c r="AB824" s="62">
        <f>=Q824*Z824</f>
        <v>5416054.5</v>
      </c>
      <c r="AC824" t="s">
        <v>58</v>
      </c>
    </row>
    <row r="825" spans="1:29">
      <c r="A825" s="147">
        <v>46216</v>
      </c>
      <c r="B825" s="123" t="s">
        <v>37</v>
      </c>
      <c r="C825" s="103" t="s"/>
      <c r="D825" s="64" t="s">
        <v>38</v>
      </c>
      <c r="E825" s="62" t="s">
        <v>85</v>
      </c>
      <c r="F825" t="s">
        <v>120</v>
      </c>
      <c r="G825" s="136" t="s">
        <v>239</v>
      </c>
      <c r="H825" s="71" t="s">
        <v>240</v>
      </c>
      <c r="I825" s="137" t="s">
        <v>47</v>
      </c>
      <c r="J825" s="64">
        <v>2</v>
      </c>
      <c r="K825" s="78">
        <v>2.5</v>
      </c>
      <c r="L825">
        <v>-214200</v>
      </c>
      <c r="O825">
        <v>429072</v>
      </c>
      <c r="P825">
        <v>418000</v>
      </c>
      <c r="Q825">
        <v>429072</v>
      </c>
      <c r="T825" s="68">
        <f>=P825/10000*J825*Z825</f>
        <v>8025.6</v>
      </c>
      <c r="U825">
        <v>780</v>
      </c>
      <c r="V825" s="68">
        <f>=P825*0.005/360*Z825</f>
        <v>557.333333333333</v>
      </c>
      <c r="W825" s="68">
        <f>=X825*0.13</f>
        <v>1439.36</v>
      </c>
      <c r="X825" s="68">
        <f>=O825-P825</f>
        <v>11072</v>
      </c>
      <c r="Y825" s="68">
        <f>=X825-T825-U825-V825-W825</f>
        <v>269.706666666667</v>
      </c>
      <c r="Z825" s="62">
        <f>=A825-$A$318+1</f>
        <v>96</v>
      </c>
      <c r="AA825" s="68">
        <f>=P825/10000*K825*Z825</f>
        <v>10032</v>
      </c>
      <c r="AB825" s="62">
        <f>=Q825*Z825</f>
        <v>41190912</v>
      </c>
      <c r="AC825" t="s">
        <v>44</v>
      </c>
    </row>
    <row r="826" spans="1:29">
      <c r="A826" s="147">
        <v>46216</v>
      </c>
      <c r="B826" s="103" t="s"/>
      <c r="C826" s="103" t="s"/>
      <c r="D826" s="64" t="s">
        <v>38</v>
      </c>
      <c r="E826" s="64" t="s">
        <v>148</v>
      </c>
      <c r="F826" s="64" t="s">
        <v>153</v>
      </c>
      <c r="G826" s="71" t="s">
        <v>215</v>
      </c>
      <c r="H826" s="98" t="s">
        <v>234</v>
      </c>
      <c r="I826" s="73" t="s">
        <v>47</v>
      </c>
      <c r="J826" s="62">
        <v>2</v>
      </c>
      <c r="K826" s="62">
        <v>2.5</v>
      </c>
      <c r="O826">
        <v>144005</v>
      </c>
      <c r="P826">
        <v>140000</v>
      </c>
      <c r="Q826">
        <v>144005</v>
      </c>
      <c r="T826" s="68">
        <f>=P826/10000*J826*Z826</f>
        <v>2884</v>
      </c>
      <c r="U826">
        <v>300</v>
      </c>
      <c r="V826" s="68">
        <f>=P826*0.005/360*Z826</f>
        <v>200.277777777778</v>
      </c>
      <c r="W826" s="68">
        <f>=X826*0.06</f>
        <v>240.3</v>
      </c>
      <c r="X826" s="68">
        <f>=O826-P826</f>
        <v>4005</v>
      </c>
      <c r="Y826" s="68">
        <f>=X826-T826-U826-V826-W826</f>
        <v>380.422222222222</v>
      </c>
      <c r="Z826" s="62">
        <f>=A826-$A$304+1</f>
        <v>103</v>
      </c>
      <c r="AA826" s="68">
        <f>=P826/10000*K826*Z826</f>
        <v>3605</v>
      </c>
      <c r="AB826" s="62">
        <f>=Q826*Z826</f>
        <v>14832515</v>
      </c>
      <c r="AC826" t="s">
        <v>58</v>
      </c>
    </row>
    <row r="827" spans="1:29">
      <c r="A827" s="147">
        <v>46216</v>
      </c>
      <c r="B827" s="103" t="s"/>
      <c r="C827" s="103" t="s"/>
      <c r="D827" s="64" t="s">
        <v>38</v>
      </c>
      <c r="E827" s="64" t="s">
        <v>148</v>
      </c>
      <c r="F827" s="64" t="s">
        <v>153</v>
      </c>
      <c r="G827" s="71" t="s">
        <v>215</v>
      </c>
      <c r="H827" s="98" t="s">
        <v>255</v>
      </c>
      <c r="I827" s="73" t="s">
        <v>47</v>
      </c>
      <c r="J827" s="62">
        <v>2</v>
      </c>
      <c r="K827" s="62">
        <v>2.5</v>
      </c>
      <c r="O827">
        <v>128525.04</v>
      </c>
      <c r="P827">
        <v>125440</v>
      </c>
      <c r="Q827">
        <v>128525.04</v>
      </c>
      <c r="T827" s="68">
        <f>=P827/10000*J827*Z827</f>
        <v>2232.832</v>
      </c>
      <c r="U827">
        <v>220.5</v>
      </c>
      <c r="V827" s="68">
        <f>=P827*0.005/360*Z827</f>
        <v>155.057777777778</v>
      </c>
      <c r="W827" s="68">
        <f>=X827*0.06</f>
        <v>185.102400000001</v>
      </c>
      <c r="X827" s="68">
        <f>=O827-P827</f>
        <v>3085.04000000001</v>
      </c>
      <c r="Y827" s="68">
        <f>=X827-T827-U827-V827-W827</f>
        <v>291.54782222223</v>
      </c>
      <c r="Z827" s="62">
        <f>=A827-$A$369+1</f>
        <v>89</v>
      </c>
      <c r="AA827" s="68">
        <f>=P827/10000*K827*Z827</f>
        <v>2791.04</v>
      </c>
      <c r="AB827" s="62">
        <f>=Q827*Z827</f>
        <v>11438728.56</v>
      </c>
      <c r="AC827" t="s">
        <v>58</v>
      </c>
    </row>
    <row r="828" spans="1:29">
      <c r="A828" s="147">
        <v>46216</v>
      </c>
      <c r="B828" s="103" t="s"/>
      <c r="C828" s="103" t="s"/>
      <c r="D828" s="62" t="s">
        <v>38</v>
      </c>
      <c r="E828" s="62" t="s">
        <v>133</v>
      </c>
      <c r="F828" s="62" t="s">
        <v>134</v>
      </c>
      <c r="G828" s="71" t="s">
        <v>135</v>
      </c>
      <c r="H828" s="98" t="s">
        <v>144</v>
      </c>
      <c r="I828" s="73" t="s">
        <v>47</v>
      </c>
      <c r="J828" s="62">
        <v>2</v>
      </c>
      <c r="K828" s="62">
        <v>2.5</v>
      </c>
      <c r="O828">
        <v>96537</v>
      </c>
      <c r="P828">
        <v>93000</v>
      </c>
      <c r="Q828">
        <v>96537</v>
      </c>
      <c r="T828" s="68">
        <f>=P828/10000*J828*Z828</f>
        <v>2269.2</v>
      </c>
      <c r="U828">
        <v>500</v>
      </c>
      <c r="V828" s="68">
        <f>=P828*0.005/360*Z828</f>
        <v>157.583333333333</v>
      </c>
      <c r="W828" s="68">
        <f>=X828*0.06</f>
        <v>212.22</v>
      </c>
      <c r="X828" s="68">
        <f>=O828-P828</f>
        <v>3537</v>
      </c>
      <c r="Y828" s="68">
        <f>=X828-T828-U828-V828-W828</f>
        <v>397.996666666666</v>
      </c>
      <c r="Z828" s="62">
        <f>=A828-$A$211+1</f>
        <v>122</v>
      </c>
      <c r="AA828" s="68">
        <f>=P828/10000*K828*Z828</f>
        <v>2836.5</v>
      </c>
      <c r="AB828" s="62">
        <f>=Q828*Z828</f>
        <v>11777514</v>
      </c>
      <c r="AC828" t="s">
        <v>58</v>
      </c>
    </row>
    <row r="829" spans="1:29">
      <c r="A829" s="147">
        <v>46216</v>
      </c>
      <c r="B829" s="103" t="s"/>
      <c r="C829" s="103" t="s"/>
      <c r="D829" s="62" t="s">
        <v>38</v>
      </c>
      <c r="E829" s="62" t="s">
        <v>133</v>
      </c>
      <c r="F829" s="62" t="s">
        <v>134</v>
      </c>
      <c r="G829" s="71" t="s">
        <v>135</v>
      </c>
      <c r="H829" s="98" t="s">
        <v>237</v>
      </c>
      <c r="I829" s="73" t="s">
        <v>47</v>
      </c>
      <c r="J829" s="62">
        <v>2</v>
      </c>
      <c r="K829" s="62">
        <v>2.5</v>
      </c>
      <c r="O829">
        <v>39791.5</v>
      </c>
      <c r="P829">
        <v>38500</v>
      </c>
      <c r="Q829">
        <v>39791.5</v>
      </c>
      <c r="T829" s="68">
        <f>=P829/10000*J829*Z829</f>
        <v>793.1</v>
      </c>
      <c r="U829">
        <v>200</v>
      </c>
      <c r="V829" s="68">
        <f>=P829*0.005/360*Z829</f>
        <v>55.0763888888889</v>
      </c>
      <c r="W829" s="68">
        <f>=X829*0.06</f>
        <v>77.49</v>
      </c>
      <c r="X829" s="68">
        <f>=O829-P829</f>
        <v>1291.5</v>
      </c>
      <c r="Y829" s="68">
        <f>=X829-T829-U829-V829-W829</f>
        <v>165.833611111111</v>
      </c>
      <c r="Z829" s="62">
        <f>=A829-$A$312+1</f>
        <v>103</v>
      </c>
      <c r="AA829" s="68">
        <f>=P829/10000*K829*Z829</f>
        <v>991.375</v>
      </c>
      <c r="AB829" s="62">
        <f>=Q829*Z829</f>
        <v>4098524.5</v>
      </c>
      <c r="AC829" t="s">
        <v>58</v>
      </c>
    </row>
    <row r="830" spans="1:29">
      <c r="A830" s="147">
        <v>46216</v>
      </c>
      <c r="B830" s="103" t="s"/>
      <c r="C830" s="103" t="s"/>
      <c r="D830" s="62" t="s">
        <v>38</v>
      </c>
      <c r="E830" s="62" t="s">
        <v>133</v>
      </c>
      <c r="F830" s="62" t="s">
        <v>134</v>
      </c>
      <c r="G830" s="71" t="s">
        <v>135</v>
      </c>
      <c r="H830" s="98" t="s">
        <v>247</v>
      </c>
      <c r="I830" s="73" t="s">
        <v>47</v>
      </c>
      <c r="J830" s="62">
        <v>2</v>
      </c>
      <c r="K830" s="62">
        <v>2.5</v>
      </c>
      <c r="O830">
        <v>193500</v>
      </c>
      <c r="P830">
        <v>187500</v>
      </c>
      <c r="Q830">
        <v>193500</v>
      </c>
      <c r="T830" s="68">
        <f>=P830/10000*J830*Z830</f>
        <v>3600</v>
      </c>
      <c r="U830">
        <v>1000</v>
      </c>
      <c r="V830" s="68">
        <f>=P830*0.005/360*Z830</f>
        <v>250</v>
      </c>
      <c r="W830" s="68">
        <f>=X830*0.06</f>
        <v>360</v>
      </c>
      <c r="X830" s="68">
        <f>=O830-P830</f>
        <v>6000</v>
      </c>
      <c r="Y830" s="68">
        <f>=X830-T830-U830-V830-W830</f>
        <v>790</v>
      </c>
      <c r="Z830" s="62">
        <f>=A830-$A$347+1</f>
        <v>96</v>
      </c>
      <c r="AA830" s="68">
        <f>=P830/10000*K830*Z830</f>
        <v>4500</v>
      </c>
      <c r="AB830" s="62">
        <f>=Q830*Z830</f>
        <v>18576000</v>
      </c>
      <c r="AC830" t="s">
        <v>58</v>
      </c>
    </row>
    <row r="831" spans="1:29">
      <c r="A831" s="147">
        <v>46216</v>
      </c>
      <c r="B831" s="103" t="s"/>
      <c r="C831" s="62">
        <f>=TODAY()-A831+1</f>
        <v>14</v>
      </c>
      <c r="D831" t="s">
        <v>38</v>
      </c>
      <c r="E831" t="s">
        <v>63</v>
      </c>
      <c r="F831" t="s">
        <v>226</v>
      </c>
      <c r="G831" s="136" t="s">
        <v>335</v>
      </c>
      <c r="H831" s="98" t="s">
        <v>371</v>
      </c>
      <c r="I831" s="65" t="s">
        <v>43</v>
      </c>
      <c r="J831" s="62">
        <v>2</v>
      </c>
      <c r="K831" s="62">
        <v>2.5</v>
      </c>
      <c r="M831">
        <v>900000</v>
      </c>
      <c r="AA831" s="157" t="s"/>
      <c r="AC831" t="s">
        <v>367</v>
      </c>
    </row>
    <row r="832" spans="1:29">
      <c r="A832" s="147">
        <v>46217</v>
      </c>
      <c r="B832" s="103" t="s"/>
      <c r="C832" s="62">
        <f>=TODAY()-A832+1</f>
        <v>3</v>
      </c>
      <c r="D832" s="64" t="s">
        <v>38</v>
      </c>
      <c r="E832" s="62" t="s">
        <v>85</v>
      </c>
      <c r="F832" t="s">
        <v>120</v>
      </c>
      <c r="G832" s="136" t="s">
        <v>239</v>
      </c>
      <c r="H832" t="s">
        <v>372</v>
      </c>
      <c r="I832" s="65" t="s">
        <v>43</v>
      </c>
      <c r="J832" s="64">
        <v>2</v>
      </c>
      <c r="K832" s="78">
        <v>2.5</v>
      </c>
      <c r="M832">
        <v>791000</v>
      </c>
      <c r="AA832" s="157" t="s"/>
      <c r="AC832" t="s">
        <v>367</v>
      </c>
    </row>
    <row r="833" spans="1:29">
      <c r="A833" s="147">
        <v>46217</v>
      </c>
      <c r="B833" s="103" t="s"/>
      <c r="C833" s="62">
        <f>=TODAY()-A833+1</f>
        <v>3</v>
      </c>
      <c r="D833" s="64" t="s">
        <v>38</v>
      </c>
      <c r="E833" s="131" t="s">
        <v>54</v>
      </c>
      <c r="F833" s="64" t="s">
        <v>55</v>
      </c>
      <c r="G833" s="71" t="s">
        <v>191</v>
      </c>
      <c r="H833" s="98" t="s">
        <v>373</v>
      </c>
      <c r="I833" s="73" t="s">
        <v>43</v>
      </c>
      <c r="J833" s="62">
        <v>2</v>
      </c>
      <c r="K833" s="62">
        <v>2.5</v>
      </c>
      <c r="M833">
        <v>420000</v>
      </c>
      <c r="AA833" s="157" t="s"/>
      <c r="AC833" t="s">
        <v>367</v>
      </c>
    </row>
    <row r="834" spans="1:29">
      <c r="A834" s="147">
        <v>46217</v>
      </c>
      <c r="B834" s="103" t="s"/>
      <c r="C834" s="103" t="s"/>
      <c r="D834" s="64" t="s">
        <v>38</v>
      </c>
      <c r="E834" s="64" t="s">
        <v>148</v>
      </c>
      <c r="F834" s="64" t="s">
        <v>153</v>
      </c>
      <c r="G834" s="71" t="s">
        <v>211</v>
      </c>
      <c r="H834" s="98" t="s">
        <v>231</v>
      </c>
      <c r="I834" s="72" t="s">
        <v>47</v>
      </c>
      <c r="J834" s="62">
        <v>2</v>
      </c>
      <c r="K834" s="62">
        <v>2.5</v>
      </c>
      <c r="O834">
        <v>5763</v>
      </c>
      <c r="P834">
        <v>5600</v>
      </c>
      <c r="Q834">
        <v>5763</v>
      </c>
      <c r="T834" s="68">
        <f>=P834/10000*J834*Z834</f>
        <v>117.6</v>
      </c>
      <c r="U834">
        <v>12</v>
      </c>
      <c r="V834" s="68">
        <f>=P834*0.005/360*Z834</f>
        <v>8.16666666666667</v>
      </c>
      <c r="W834" s="68">
        <f>=X834*0.06</f>
        <v>9.78</v>
      </c>
      <c r="X834" s="68">
        <f>=O834-P834</f>
        <v>163</v>
      </c>
      <c r="Y834" s="68">
        <f>=X834-T834-U834-V834-W834</f>
        <v>15.4533333333333</v>
      </c>
      <c r="Z834" s="62">
        <f>=A834-$A$298+1</f>
        <v>105</v>
      </c>
      <c r="AA834" s="68">
        <f>=P834/10000*K834*Z834</f>
        <v>147</v>
      </c>
      <c r="AB834" s="62">
        <f>=Q834*Z834</f>
        <v>605115</v>
      </c>
      <c r="AC834" t="s">
        <v>58</v>
      </c>
    </row>
    <row r="835" spans="1:29">
      <c r="A835" s="147">
        <v>46217</v>
      </c>
      <c r="B835" s="103" t="s"/>
      <c r="C835" s="103" t="s"/>
      <c r="D835" s="64" t="s">
        <v>38</v>
      </c>
      <c r="E835" s="64" t="s">
        <v>148</v>
      </c>
      <c r="F835" s="64" t="s">
        <v>153</v>
      </c>
      <c r="G835" s="71" t="s">
        <v>211</v>
      </c>
      <c r="H835" s="98" t="s">
        <v>212</v>
      </c>
      <c r="I835" s="72" t="s">
        <v>47</v>
      </c>
      <c r="J835" s="62">
        <v>2</v>
      </c>
      <c r="K835" s="62">
        <v>2.5</v>
      </c>
      <c r="O835">
        <v>2882.9</v>
      </c>
      <c r="P835">
        <v>2800</v>
      </c>
      <c r="Q835">
        <v>2882.9</v>
      </c>
      <c r="T835" s="68">
        <f>=P835/10000*J835*Z835</f>
        <v>59.92</v>
      </c>
      <c r="U835">
        <v>6</v>
      </c>
      <c r="V835" s="68">
        <f>=P835*0.005/360*Z835</f>
        <v>4.16111111111111</v>
      </c>
      <c r="W835" s="68">
        <f>=X835*0.06</f>
        <v>4.97400000000001</v>
      </c>
      <c r="X835" s="68">
        <f>=O835-P835</f>
        <v>82.9000000000001</v>
      </c>
      <c r="Y835" s="68">
        <f>=X835-T835-U835-V835-W835</f>
        <v>7.84488888888897</v>
      </c>
      <c r="Z835" s="62">
        <f>=A835-$A$279+1</f>
        <v>107</v>
      </c>
      <c r="AA835" s="68">
        <f>=P835/10000*K835*Z835</f>
        <v>74.9</v>
      </c>
      <c r="AB835" s="62">
        <f>=Q835*Z835</f>
        <v>308470.3</v>
      </c>
      <c r="AC835" t="s">
        <v>58</v>
      </c>
    </row>
    <row r="836" spans="1:29">
      <c r="A836" s="147">
        <v>46217</v>
      </c>
      <c r="B836" s="103" t="s"/>
      <c r="C836" s="103" t="s"/>
      <c r="D836" s="64" t="s">
        <v>38</v>
      </c>
      <c r="E836" s="64" t="s">
        <v>148</v>
      </c>
      <c r="F836" s="64" t="s">
        <v>153</v>
      </c>
      <c r="G836" s="71" t="s">
        <v>211</v>
      </c>
      <c r="H836" s="98" t="s">
        <v>268</v>
      </c>
      <c r="I836" s="72" t="s">
        <v>47</v>
      </c>
      <c r="J836" s="62">
        <v>2</v>
      </c>
      <c r="K836" s="62">
        <v>2.5</v>
      </c>
      <c r="O836">
        <v>261791.28</v>
      </c>
      <c r="P836">
        <v>246450</v>
      </c>
      <c r="Q836">
        <v>261791.28</v>
      </c>
      <c r="T836" s="68">
        <f>=P836/10000*J836*Z836</f>
        <v>4386.81</v>
      </c>
      <c r="U836">
        <v>483</v>
      </c>
      <c r="V836" s="68">
        <f>=P836*0.005/360*Z836</f>
        <v>304.639583333333</v>
      </c>
      <c r="W836" s="68">
        <f>=X836*0.06</f>
        <v>920.4768</v>
      </c>
      <c r="X836" s="68">
        <f>=O836-P836</f>
        <v>15341.28</v>
      </c>
      <c r="Y836" s="68">
        <f>=X836-T836-U836-V836-W836</f>
        <v>9246.35361666667</v>
      </c>
      <c r="Z836" s="62">
        <f>=A836-$A$390+1</f>
        <v>89</v>
      </c>
      <c r="AA836" s="68">
        <f>=P836/10000*K836*Z836</f>
        <v>5483.5125</v>
      </c>
      <c r="AB836" s="62">
        <f>=Q836*Z836</f>
        <v>23299423.92</v>
      </c>
      <c r="AC836" t="s">
        <v>58</v>
      </c>
    </row>
    <row r="837" spans="1:29">
      <c r="A837" s="147">
        <v>46217</v>
      </c>
      <c r="B837" s="103" t="s"/>
      <c r="C837" s="103" t="s"/>
      <c r="D837" s="151" t="s">
        <v>38</v>
      </c>
      <c r="E837" s="151" t="s">
        <v>148</v>
      </c>
      <c r="F837" s="151" t="s">
        <v>149</v>
      </c>
      <c r="G837" s="71" t="s">
        <v>150</v>
      </c>
      <c r="H837" s="98" t="s">
        <v>257</v>
      </c>
      <c r="I837" s="69" t="s">
        <v>47</v>
      </c>
      <c r="J837" s="62">
        <v>2</v>
      </c>
      <c r="K837" s="62">
        <v>2.5</v>
      </c>
      <c r="O837">
        <v>195032</v>
      </c>
      <c r="P837">
        <v>190000</v>
      </c>
      <c r="Q837">
        <v>195032</v>
      </c>
      <c r="T837" s="68">
        <f>=P837/10000*J837*Z837</f>
        <v>3306</v>
      </c>
      <c r="U837">
        <v>200</v>
      </c>
      <c r="V837" s="68">
        <f>=P837*0.005/360*Z837</f>
        <v>229.583333333333</v>
      </c>
      <c r="W837" s="68">
        <f>=X837*0.06</f>
        <v>301.92</v>
      </c>
      <c r="X837" s="68">
        <f>=O837-P837</f>
        <v>5032</v>
      </c>
      <c r="Y837" s="68">
        <f>=X837-T837-U837-V837-W837</f>
        <v>994.496666666667</v>
      </c>
      <c r="Z837" s="62">
        <f>=A837-$A$375+1</f>
        <v>87</v>
      </c>
      <c r="AA837" s="68">
        <f>=P837/10000*K837*Z837</f>
        <v>4132.5</v>
      </c>
      <c r="AB837" s="62">
        <f>=Q837*Z837</f>
        <v>16967784</v>
      </c>
      <c r="AC837" t="s">
        <v>58</v>
      </c>
    </row>
    <row r="838" spans="1:29">
      <c r="A838" s="147">
        <v>46217</v>
      </c>
      <c r="B838" s="103" t="s"/>
      <c r="C838" s="103" t="s"/>
      <c r="D838" s="151" t="s">
        <v>38</v>
      </c>
      <c r="E838" s="151" t="s">
        <v>148</v>
      </c>
      <c r="F838" s="151" t="s">
        <v>149</v>
      </c>
      <c r="G838" s="71" t="s">
        <v>150</v>
      </c>
      <c r="H838" s="98" t="s">
        <v>314</v>
      </c>
      <c r="I838" s="69" t="s">
        <v>47</v>
      </c>
      <c r="J838" s="62">
        <v>2</v>
      </c>
      <c r="K838" s="62">
        <v>2.5</v>
      </c>
      <c r="O838">
        <v>96048</v>
      </c>
      <c r="P838">
        <v>94000</v>
      </c>
      <c r="Q838">
        <v>96048</v>
      </c>
      <c r="T838" s="68">
        <f>=P838/10000*J838*Z838</f>
        <v>1278.4</v>
      </c>
      <c r="U838">
        <v>60</v>
      </c>
      <c r="V838" s="68">
        <f>=P838*0.005/360*Z838</f>
        <v>88.7777777777778</v>
      </c>
      <c r="W838" s="68">
        <f>=X838*0.06</f>
        <v>122.88</v>
      </c>
      <c r="X838" s="68">
        <f>=O838-P838</f>
        <v>2048</v>
      </c>
      <c r="Y838" s="68">
        <f>=X838-T838-U838-V838-W838</f>
        <v>497.942222222222</v>
      </c>
      <c r="Z838" s="62">
        <f>=A838-$A$487+1</f>
        <v>68</v>
      </c>
      <c r="AA838" s="68">
        <f>=P838/10000*K838*Z838</f>
        <v>1598</v>
      </c>
      <c r="AB838" s="62">
        <f>=Q838*Z838</f>
        <v>6531264</v>
      </c>
      <c r="AC838" t="s">
        <v>58</v>
      </c>
    </row>
    <row r="839" spans="1:29">
      <c r="A839" s="147">
        <v>46217</v>
      </c>
      <c r="B839" s="103" t="s"/>
      <c r="C839" s="103" t="s"/>
      <c r="D839" s="151" t="s">
        <v>38</v>
      </c>
      <c r="E839" s="151" t="s">
        <v>148</v>
      </c>
      <c r="F839" s="151" t="s">
        <v>149</v>
      </c>
      <c r="G839" s="71" t="s">
        <v>150</v>
      </c>
      <c r="H839" s="98" t="s">
        <v>342</v>
      </c>
      <c r="I839" s="69" t="s">
        <v>47</v>
      </c>
      <c r="J839" s="62">
        <v>2</v>
      </c>
      <c r="K839" s="62">
        <v>2.5</v>
      </c>
      <c r="O839">
        <v>296964.8</v>
      </c>
      <c r="P839">
        <v>291400</v>
      </c>
      <c r="Q839">
        <v>296964.8</v>
      </c>
      <c r="T839" s="68">
        <f>=P839/10000*J839*Z839</f>
        <v>3321.96</v>
      </c>
      <c r="U839">
        <v>60</v>
      </c>
      <c r="V839" s="68">
        <f>=P839*0.005/360*Z839</f>
        <v>230.691666666667</v>
      </c>
      <c r="W839" s="68">
        <f>=X839*0.06</f>
        <v>333.887999999999</v>
      </c>
      <c r="X839" s="68">
        <f>=O839-P839</f>
        <v>5564.79999999999</v>
      </c>
      <c r="Y839" s="68">
        <f>=X839-T839-U839-V839-W839</f>
        <v>1618.26033333332</v>
      </c>
      <c r="Z839" s="62">
        <f>=A839-$A$551+1</f>
        <v>57</v>
      </c>
      <c r="AA839" s="68">
        <f>=P839/10000*K839*Z839</f>
        <v>4152.45</v>
      </c>
      <c r="AB839" s="62">
        <f>=Q839*Z839</f>
        <v>16926993.6</v>
      </c>
      <c r="AC839" t="s">
        <v>58</v>
      </c>
    </row>
    <row r="840" spans="1:29">
      <c r="A840" s="147">
        <v>46217</v>
      </c>
      <c r="B840" s="103" t="s"/>
      <c r="C840" s="103" t="s"/>
      <c r="D840" s="62" t="s">
        <v>38</v>
      </c>
      <c r="E840" s="62" t="s">
        <v>133</v>
      </c>
      <c r="F840" s="62" t="s">
        <v>134</v>
      </c>
      <c r="G840" s="64" t="s">
        <v>135</v>
      </c>
      <c r="H840" s="80" t="s">
        <v>152</v>
      </c>
      <c r="I840" s="73" t="s">
        <v>47</v>
      </c>
      <c r="J840" s="62">
        <v>2</v>
      </c>
      <c r="K840" s="62">
        <v>2.5</v>
      </c>
      <c r="O840">
        <v>116756</v>
      </c>
      <c r="P840">
        <v>112800</v>
      </c>
      <c r="Q840">
        <v>116756</v>
      </c>
      <c r="T840" s="68">
        <f>=P840/10000*J840*Z840</f>
        <v>2707.2</v>
      </c>
      <c r="U840">
        <v>400</v>
      </c>
      <c r="V840" s="68">
        <f>=P840*0.005/360*Z840</f>
        <v>188</v>
      </c>
      <c r="W840" s="68">
        <f>=X840*0.06</f>
        <v>237.36</v>
      </c>
      <c r="X840" s="68">
        <f>=O840-P840</f>
        <v>3956</v>
      </c>
      <c r="Y840" s="68">
        <f>=X840-T840-U840-V840-W840</f>
        <v>423.44</v>
      </c>
      <c r="Z840" s="62">
        <f>=A840-$A$215+1</f>
        <v>120</v>
      </c>
      <c r="AA840" s="68">
        <f>=P840/10000*K840*Z840</f>
        <v>3384</v>
      </c>
      <c r="AB840" s="62">
        <f>=Q840*Z840</f>
        <v>14010720</v>
      </c>
      <c r="AC840" t="s">
        <v>58</v>
      </c>
    </row>
    <row r="841" spans="1:29">
      <c r="A841" s="147">
        <v>46217</v>
      </c>
      <c r="B841" s="103" t="s"/>
      <c r="C841" s="103" t="s"/>
      <c r="D841" s="62" t="s">
        <v>38</v>
      </c>
      <c r="E841" s="62" t="s">
        <v>133</v>
      </c>
      <c r="F841" s="62" t="s">
        <v>134</v>
      </c>
      <c r="G841" s="71" t="s">
        <v>135</v>
      </c>
      <c r="H841" s="98" t="s">
        <v>209</v>
      </c>
      <c r="I841" s="73" t="s">
        <v>47</v>
      </c>
      <c r="J841" s="62">
        <v>2</v>
      </c>
      <c r="K841" s="62">
        <v>2.5</v>
      </c>
      <c r="O841">
        <v>48814</v>
      </c>
      <c r="P841">
        <v>47250</v>
      </c>
      <c r="Q841">
        <v>48814</v>
      </c>
      <c r="T841" s="68">
        <f>=P841/10000*J841*Z841</f>
        <v>1011.15</v>
      </c>
      <c r="U841">
        <v>200</v>
      </c>
      <c r="V841" s="68">
        <f>=P841*0.005/360*Z841</f>
        <v>70.21875</v>
      </c>
      <c r="W841" s="68">
        <f>=X841*0.06</f>
        <v>93.84</v>
      </c>
      <c r="X841" s="68">
        <f>=O841-P841</f>
        <v>1564</v>
      </c>
      <c r="Y841" s="68">
        <f>=X841-T841-U841-V841-W841</f>
        <v>188.79125</v>
      </c>
      <c r="Z841" s="62">
        <f>=A841-$A$277+1</f>
        <v>107</v>
      </c>
      <c r="AA841" s="68">
        <f>=P841/10000*K841*Z841</f>
        <v>1263.9375</v>
      </c>
      <c r="AB841" s="62">
        <f>=Q841*Z841</f>
        <v>5223098</v>
      </c>
      <c r="AC841" t="s">
        <v>58</v>
      </c>
    </row>
    <row r="842" spans="1:29">
      <c r="A842" s="147">
        <v>46217</v>
      </c>
      <c r="B842" s="103" t="s"/>
      <c r="C842" s="103" t="s"/>
      <c r="D842" s="62" t="s">
        <v>38</v>
      </c>
      <c r="E842" s="62" t="s">
        <v>133</v>
      </c>
      <c r="F842" s="62" t="s">
        <v>134</v>
      </c>
      <c r="G842" s="71" t="s">
        <v>135</v>
      </c>
      <c r="H842" s="98" t="s">
        <v>247</v>
      </c>
      <c r="I842" s="73" t="s">
        <v>47</v>
      </c>
      <c r="J842" s="62">
        <v>2</v>
      </c>
      <c r="K842" s="62">
        <v>2.5</v>
      </c>
      <c r="O842">
        <v>116128.5</v>
      </c>
      <c r="P842">
        <v>112500</v>
      </c>
      <c r="Q842">
        <v>116128.5</v>
      </c>
      <c r="T842" s="68">
        <f>=P842/10000*J842*Z842</f>
        <v>2182.5</v>
      </c>
      <c r="U842">
        <v>600</v>
      </c>
      <c r="V842" s="68">
        <f>=P842*0.005/360*Z842</f>
        <v>151.5625</v>
      </c>
      <c r="W842" s="68">
        <f>=X842*0.06</f>
        <v>217.710000000001</v>
      </c>
      <c r="X842" s="68">
        <f>=O842-P842</f>
        <v>3628.50000000002</v>
      </c>
      <c r="Y842" s="68">
        <f>=X842-T842-U842-V842-W842</f>
        <v>476.727500000014</v>
      </c>
      <c r="Z842" s="62">
        <f>=A842-$A$347+1</f>
        <v>97</v>
      </c>
      <c r="AA842" s="68">
        <f>=P842/10000*K842*Z842</f>
        <v>2728.125</v>
      </c>
      <c r="AB842" s="62">
        <f>=Q842*Z842</f>
        <v>11264464.5</v>
      </c>
      <c r="AC842" t="s">
        <v>58</v>
      </c>
    </row>
    <row r="843" spans="1:29">
      <c r="A843" s="148">
        <v>46217</v>
      </c>
      <c r="B843" s="103" t="s"/>
      <c r="C843" s="62">
        <f>=TODAY()-A843+1</f>
        <v>13</v>
      </c>
      <c r="D843" s="163" t="s">
        <v>38</v>
      </c>
      <c r="E843" s="163" t="s">
        <v>148</v>
      </c>
      <c r="F843" s="163" t="s">
        <v>149</v>
      </c>
      <c r="G843" s="93" t="s">
        <v>150</v>
      </c>
      <c r="H843" s="102" t="s">
        <v>374</v>
      </c>
      <c r="I843" s="73" t="s">
        <v>43</v>
      </c>
      <c r="J843" s="62">
        <v>2</v>
      </c>
      <c r="K843" s="62">
        <v>2.5</v>
      </c>
      <c r="M843">
        <v>490500</v>
      </c>
      <c r="AA843" s="157" t="s"/>
      <c r="AC843" t="s">
        <v>367</v>
      </c>
    </row>
    <row r="844" spans="1:29">
      <c r="A844" s="147">
        <v>46218</v>
      </c>
      <c r="B844" s="103" t="s"/>
      <c r="C844" s="62">
        <f>=TODAY()-A844+1</f>
        <v>2</v>
      </c>
      <c r="D844" s="64" t="s">
        <v>38</v>
      </c>
      <c r="E844" s="131" t="s">
        <v>54</v>
      </c>
      <c r="F844" s="64" t="s">
        <v>55</v>
      </c>
      <c r="G844" s="71" t="s">
        <v>191</v>
      </c>
      <c r="H844" s="98" t="s">
        <v>375</v>
      </c>
      <c r="I844" s="65" t="s">
        <v>43</v>
      </c>
      <c r="J844" s="62">
        <v>2</v>
      </c>
      <c r="K844" s="62">
        <v>2.5</v>
      </c>
      <c r="M844">
        <v>228000</v>
      </c>
      <c r="AA844" s="157" t="s"/>
      <c r="AC844" t="s">
        <v>367</v>
      </c>
    </row>
    <row r="845" spans="1:29">
      <c r="A845" s="147">
        <v>46218</v>
      </c>
      <c r="B845" s="103" t="s"/>
      <c r="C845" s="103" t="s"/>
      <c r="D845" t="s">
        <v>114</v>
      </c>
      <c r="E845" t="s">
        <v>114</v>
      </c>
      <c r="F845" t="s">
        <v>332</v>
      </c>
      <c r="G845" s="136" t="s">
        <v>333</v>
      </c>
      <c r="H845" s="98" t="s">
        <v>365</v>
      </c>
      <c r="I845" s="65" t="s">
        <v>47</v>
      </c>
      <c r="J845" s="62">
        <v>2</v>
      </c>
      <c r="K845" s="62">
        <v>2.8</v>
      </c>
      <c r="O845">
        <v>171768</v>
      </c>
      <c r="P845">
        <v>171000</v>
      </c>
      <c r="Q845">
        <v>171768</v>
      </c>
      <c r="T845" s="68">
        <f>=P845/10000*J845*Z845</f>
        <v>581.4</v>
      </c>
      <c r="U845">
        <v>0</v>
      </c>
      <c r="V845" s="68">
        <f>=P845*0.005/360*Z845</f>
        <v>40.375</v>
      </c>
      <c r="W845" s="68">
        <f>=X845*0.06</f>
        <v>46.0799999999983</v>
      </c>
      <c r="X845" s="68">
        <f>=O845-P845</f>
        <v>767.999999999971</v>
      </c>
      <c r="Y845" s="68">
        <f>=X845-T845-U845-V845-W845</f>
        <v>100.144999999973</v>
      </c>
      <c r="Z845" s="62">
        <f>=A845-$A$747+1</f>
        <v>17</v>
      </c>
      <c r="AA845" s="68">
        <f>=P845/10000*K845*Z845</f>
        <v>813.96</v>
      </c>
      <c r="AB845" s="62">
        <f>=Q845*Z845</f>
        <v>2920056</v>
      </c>
      <c r="AC845" t="s">
        <v>58</v>
      </c>
    </row>
    <row r="846" spans="1:29">
      <c r="A846" s="147">
        <v>46219</v>
      </c>
      <c r="B846" s="103" t="s"/>
      <c r="C846" s="62">
        <f>=TODAY()-A846+1</f>
        <v>11</v>
      </c>
      <c r="D846" t="s">
        <v>38</v>
      </c>
      <c r="E846" t="s">
        <v>63</v>
      </c>
      <c r="F846" t="s">
        <v>226</v>
      </c>
      <c r="G846" s="136" t="s">
        <v>335</v>
      </c>
      <c r="H846" s="98" t="s">
        <v>376</v>
      </c>
      <c r="I846" s="65" t="s">
        <v>43</v>
      </c>
      <c r="J846" s="62">
        <v>2</v>
      </c>
      <c r="K846" s="62">
        <v>2.5</v>
      </c>
      <c r="M846">
        <v>450000</v>
      </c>
      <c r="AA846" s="157" t="s"/>
      <c r="AC846" t="s">
        <v>367</v>
      </c>
    </row>
    <row r="847" spans="1:29">
      <c r="A847" s="147">
        <v>46218</v>
      </c>
      <c r="B847" s="103" t="s"/>
      <c r="C847" s="62">
        <f>=TODAY()-A847+1</f>
        <v>2</v>
      </c>
      <c r="D847" t="s">
        <v>38</v>
      </c>
      <c r="E847" t="s">
        <v>63</v>
      </c>
      <c r="F847" t="s">
        <v>226</v>
      </c>
      <c r="G847" s="136" t="s">
        <v>335</v>
      </c>
      <c r="H847" s="98" t="s">
        <v>377</v>
      </c>
      <c r="I847" s="65" t="s">
        <v>43</v>
      </c>
      <c r="J847" s="62">
        <v>2</v>
      </c>
      <c r="K847" s="62">
        <v>2.5</v>
      </c>
      <c r="M847">
        <v>195000</v>
      </c>
      <c r="AA847" s="157" t="s"/>
      <c r="AC847" t="s">
        <v>367</v>
      </c>
    </row>
    <row r="848" spans="1:29">
      <c r="A848" s="147">
        <v>46218</v>
      </c>
      <c r="B848" s="62" t="s">
        <v>37</v>
      </c>
      <c r="C848" s="103" t="s"/>
      <c r="D848" s="63" t="s">
        <v>38</v>
      </c>
      <c r="E848" s="62" t="s">
        <v>39</v>
      </c>
      <c r="F848" s="62" t="s">
        <v>137</v>
      </c>
      <c r="G848" s="108" t="s">
        <v>294</v>
      </c>
      <c r="H848" s="98" t="s">
        <v>316</v>
      </c>
      <c r="I848" s="69" t="s">
        <v>47</v>
      </c>
      <c r="J848" s="78">
        <v>2</v>
      </c>
      <c r="K848" s="62">
        <v>2.5</v>
      </c>
      <c r="O848">
        <v>1935850</v>
      </c>
      <c r="P848">
        <v>1900000</v>
      </c>
      <c r="Q848">
        <v>1935850</v>
      </c>
      <c r="T848" s="68">
        <f>=P848/10000*J848*Z848</f>
        <v>25080</v>
      </c>
      <c r="U848">
        <v>3000</v>
      </c>
      <c r="V848" s="68">
        <f>=P848*0.005/360*Z848</f>
        <v>1741.66666666667</v>
      </c>
      <c r="W848" s="68">
        <f>=X848*0.06</f>
        <v>2151</v>
      </c>
      <c r="X848" s="68">
        <f>=O848-P848</f>
        <v>35850</v>
      </c>
      <c r="Y848" s="68">
        <f>=X848-T848-U848-V848-W848</f>
        <v>3877.33333333333</v>
      </c>
      <c r="Z848" s="62">
        <f>=A848-$A$501+1</f>
        <v>66</v>
      </c>
      <c r="AA848" s="68">
        <f>=P848/10000*K848*Z848</f>
        <v>31350</v>
      </c>
      <c r="AB848" s="62">
        <f>=Q848*Z848</f>
        <v>127766100</v>
      </c>
      <c r="AC848" t="s">
        <v>58</v>
      </c>
    </row>
    <row r="849" spans="1:29">
      <c r="A849" s="147">
        <v>46218</v>
      </c>
      <c r="B849" s="103" t="s"/>
      <c r="C849" s="62">
        <f>=TODAY()-A849+1</f>
        <v>12</v>
      </c>
      <c r="D849" s="63" t="s">
        <v>38</v>
      </c>
      <c r="E849" s="62" t="s">
        <v>39</v>
      </c>
      <c r="F849" s="62" t="s">
        <v>137</v>
      </c>
      <c r="G849" s="108" t="s">
        <v>294</v>
      </c>
      <c r="H849" s="98" t="s">
        <v>378</v>
      </c>
      <c r="I849" s="65" t="s">
        <v>43</v>
      </c>
      <c r="J849" s="62">
        <v>2</v>
      </c>
      <c r="K849" s="62">
        <v>2.5</v>
      </c>
      <c r="M849">
        <v>1900000</v>
      </c>
      <c r="AA849" s="157" t="s"/>
      <c r="AC849" t="s">
        <v>367</v>
      </c>
    </row>
    <row r="850" spans="1:29">
      <c r="A850" s="147">
        <v>46219</v>
      </c>
      <c r="B850" s="103" t="s"/>
      <c r="C850" s="103" t="s"/>
      <c r="D850" t="s">
        <v>114</v>
      </c>
      <c r="E850" t="s">
        <v>114</v>
      </c>
      <c r="F850" t="s">
        <v>332</v>
      </c>
      <c r="G850" s="136" t="s">
        <v>333</v>
      </c>
      <c r="H850" s="98" t="s">
        <v>365</v>
      </c>
      <c r="I850" s="65" t="s">
        <v>47</v>
      </c>
      <c r="J850" s="62">
        <v>2</v>
      </c>
      <c r="K850" s="62">
        <v>2.8</v>
      </c>
      <c r="O850">
        <v>197943.65</v>
      </c>
      <c r="P850">
        <v>196950</v>
      </c>
      <c r="Q850">
        <v>197943.65</v>
      </c>
      <c r="T850" s="68">
        <f>=P850/10000*J850*Z850</f>
        <v>709.02</v>
      </c>
      <c r="U850">
        <v>0</v>
      </c>
      <c r="V850" s="68">
        <f>=P850*0.005/360*Z850</f>
        <v>49.2375</v>
      </c>
      <c r="W850" s="68">
        <f>=X850*0.06</f>
        <v>59.6190000000014</v>
      </c>
      <c r="X850" s="68">
        <f>=O850-P850</f>
        <v>993.650000000023</v>
      </c>
      <c r="Y850" s="68">
        <f>=X850-T850-U850-V850-W850</f>
        <v>175.773500000022</v>
      </c>
      <c r="Z850" s="62">
        <f>=A850-$A$747+1</f>
        <v>18</v>
      </c>
      <c r="AA850" s="68">
        <f>=P850/10000*K850*Z850</f>
        <v>992.628</v>
      </c>
      <c r="AB850" s="62">
        <f>=Q850*Z850</f>
        <v>3562985.7</v>
      </c>
      <c r="AC850" t="s">
        <v>58</v>
      </c>
    </row>
    <row r="851" spans="1:29">
      <c r="A851" s="147">
        <v>46219</v>
      </c>
      <c r="B851" s="123" t="s">
        <v>37</v>
      </c>
      <c r="C851" s="103" t="s"/>
      <c r="D851" s="62" t="s">
        <v>38</v>
      </c>
      <c r="E851" t="s">
        <v>288</v>
      </c>
      <c r="F851" t="s">
        <v>289</v>
      </c>
      <c r="G851" s="136" t="s">
        <v>301</v>
      </c>
      <c r="H851" s="98" t="s">
        <v>315</v>
      </c>
      <c r="I851" s="65" t="s">
        <v>47</v>
      </c>
      <c r="J851" s="62">
        <v>2</v>
      </c>
      <c r="K851" s="62">
        <v>2.5</v>
      </c>
      <c r="O851">
        <v>34041.11</v>
      </c>
      <c r="P851">
        <v>33300</v>
      </c>
      <c r="Q851">
        <v>34041.11</v>
      </c>
      <c r="T851" s="68">
        <f>=P851/10000*J851*Z851</f>
        <v>459.54</v>
      </c>
      <c r="U851">
        <v>111</v>
      </c>
      <c r="V851" s="68">
        <f>=P851*0.005/360*Z851</f>
        <v>31.9125</v>
      </c>
      <c r="W851" s="68">
        <f>=X851*0.06</f>
        <v>44.4666</v>
      </c>
      <c r="X851" s="68">
        <f>=O851-P851</f>
        <v>741.110000000001</v>
      </c>
      <c r="Y851" s="68">
        <f>=X851-T851-U851-V851-W851</f>
        <v>94.1909000000006</v>
      </c>
      <c r="Z851" s="62">
        <f>=A851-$A$492+1</f>
        <v>69</v>
      </c>
      <c r="AA851" s="68">
        <f>=P851/10000*K851*Z851</f>
        <v>574.425</v>
      </c>
      <c r="AB851" s="62">
        <f>=Q851*Z851</f>
        <v>2348836.59</v>
      </c>
      <c r="AC851" t="s">
        <v>58</v>
      </c>
    </row>
    <row r="852" spans="1:29">
      <c r="A852" s="147">
        <v>46219</v>
      </c>
      <c r="B852" s="103" t="s"/>
      <c r="C852" s="103" t="s"/>
      <c r="D852" s="62" t="s">
        <v>114</v>
      </c>
      <c r="E852" s="62" t="s">
        <v>114</v>
      </c>
      <c r="F852" s="62" t="s">
        <v>115</v>
      </c>
      <c r="G852" s="64" t="s">
        <v>116</v>
      </c>
      <c r="H852" s="71" t="s">
        <v>245</v>
      </c>
      <c r="I852" s="72" t="s">
        <v>47</v>
      </c>
      <c r="J852" s="62">
        <v>2</v>
      </c>
      <c r="K852" s="62">
        <v>2.6</v>
      </c>
      <c r="O852">
        <v>245515.53</v>
      </c>
      <c r="P852">
        <v>239343</v>
      </c>
      <c r="Q852">
        <v>245515.53</v>
      </c>
      <c r="T852" s="68">
        <f>=P852/10000*J852*Z852</f>
        <v>4738.9914</v>
      </c>
      <c r="U852" s="62">
        <v>0</v>
      </c>
      <c r="V852" s="68">
        <f>=P852*0.005/360*Z852</f>
        <v>329.096625</v>
      </c>
      <c r="W852" s="68">
        <f>=X852*0.06</f>
        <v>370.3518</v>
      </c>
      <c r="X852" s="68">
        <f>=O852-P852</f>
        <v>6172.53</v>
      </c>
      <c r="Y852" s="68">
        <f>=X852-T852-U852-V852-W852</f>
        <v>734.090174999999</v>
      </c>
      <c r="Z852" s="62">
        <f>=A852-$A$345+1</f>
        <v>99</v>
      </c>
      <c r="AA852" s="68">
        <f>=P852/10000*K852*Z852</f>
        <v>6160.68882</v>
      </c>
      <c r="AB852" s="62">
        <f>=Q852*Z852</f>
        <v>24306037.47</v>
      </c>
      <c r="AC852" t="s">
        <v>58</v>
      </c>
    </row>
    <row r="853" spans="1:29">
      <c r="A853" s="147">
        <v>46219</v>
      </c>
      <c r="B853" s="103" t="s"/>
      <c r="C853" s="103" t="s"/>
      <c r="D853" s="62" t="s">
        <v>114</v>
      </c>
      <c r="E853" s="62" t="s">
        <v>114</v>
      </c>
      <c r="F853" s="62" t="s">
        <v>115</v>
      </c>
      <c r="G853" s="64" t="s">
        <v>116</v>
      </c>
      <c r="H853" s="71" t="s">
        <v>246</v>
      </c>
      <c r="I853" s="72" t="s">
        <v>47</v>
      </c>
      <c r="J853" s="62">
        <v>2</v>
      </c>
      <c r="K853" s="62">
        <v>2.6</v>
      </c>
      <c r="O853">
        <v>550477.32</v>
      </c>
      <c r="P853">
        <v>536804</v>
      </c>
      <c r="Q853">
        <v>550477.32</v>
      </c>
      <c r="T853" s="68">
        <f>=P853/10000*J853*Z853</f>
        <v>10521.3584</v>
      </c>
      <c r="U853" s="62">
        <v>0</v>
      </c>
      <c r="V853" s="68">
        <f>=P853*0.005/360*Z853</f>
        <v>730.649888888889</v>
      </c>
      <c r="W853" s="68">
        <f>=X853*0.06</f>
        <v>820.399199999997</v>
      </c>
      <c r="X853" s="68">
        <f>=O853-P853</f>
        <v>13673.32</v>
      </c>
      <c r="Y853" s="68">
        <f>=X853-T853-U853-V853-W853</f>
        <v>1600.91251111106</v>
      </c>
      <c r="Z853" s="62">
        <f>=A853-$A$360+1</f>
        <v>98</v>
      </c>
      <c r="AA853" s="68">
        <f>=P853/10000*K853*Z853</f>
        <v>13677.76592</v>
      </c>
      <c r="AB853" s="62">
        <f>=Q853*Z853</f>
        <v>53946777.36</v>
      </c>
      <c r="AC853" t="s">
        <v>58</v>
      </c>
    </row>
    <row r="854" spans="1:29">
      <c r="A854" s="147">
        <v>46219</v>
      </c>
      <c r="B854" s="103" t="s"/>
      <c r="C854" s="103" t="s"/>
      <c r="D854" t="s">
        <v>38</v>
      </c>
      <c r="E854" t="s">
        <v>63</v>
      </c>
      <c r="F854" t="s">
        <v>226</v>
      </c>
      <c r="G854" s="136" t="s">
        <v>335</v>
      </c>
      <c r="H854" s="98" t="s">
        <v>371</v>
      </c>
      <c r="I854" s="73" t="s">
        <v>47</v>
      </c>
      <c r="J854" s="62">
        <v>2</v>
      </c>
      <c r="K854" s="62">
        <v>2.5</v>
      </c>
      <c r="O854">
        <v>271080</v>
      </c>
      <c r="P854">
        <v>270000</v>
      </c>
      <c r="Q854">
        <v>271080</v>
      </c>
      <c r="T854" s="68">
        <f>=P854/10000*J854*Z854</f>
        <v>216</v>
      </c>
      <c r="U854">
        <v>300</v>
      </c>
      <c r="V854" s="68">
        <f>=P854*0.005/360*Z854</f>
        <v>15</v>
      </c>
      <c r="W854" s="68">
        <f>=X854*0.06</f>
        <v>64.8</v>
      </c>
      <c r="X854" s="68">
        <f>=O854-P854</f>
        <v>1080</v>
      </c>
      <c r="Y854" s="68">
        <f>=X854-T854-U854-V854-W854</f>
        <v>484.2</v>
      </c>
      <c r="Z854" s="62">
        <f>=A854-$A$831+1</f>
        <v>4</v>
      </c>
      <c r="AA854" s="68">
        <f>=P854/10000*K854*Z854</f>
        <v>270</v>
      </c>
      <c r="AB854" s="62">
        <f>=Q854*Z854</f>
        <v>1084320</v>
      </c>
      <c r="AC854" t="s">
        <v>367</v>
      </c>
    </row>
    <row r="855" spans="1:29">
      <c r="A855" s="147">
        <v>46219</v>
      </c>
      <c r="B855" s="103" t="s"/>
      <c r="C855" s="103" t="s"/>
      <c r="D855" t="s">
        <v>38</v>
      </c>
      <c r="E855" t="s">
        <v>63</v>
      </c>
      <c r="F855" t="s">
        <v>226</v>
      </c>
      <c r="G855" s="136" t="s">
        <v>335</v>
      </c>
      <c r="H855" s="98" t="s">
        <v>377</v>
      </c>
      <c r="I855" s="73" t="s">
        <v>47</v>
      </c>
      <c r="J855" s="62">
        <v>2</v>
      </c>
      <c r="K855" s="62">
        <v>2.5</v>
      </c>
      <c r="O855">
        <v>65220</v>
      </c>
      <c r="P855">
        <v>65000</v>
      </c>
      <c r="Q855">
        <v>65220</v>
      </c>
      <c r="T855" s="68">
        <f>=P855/10000*J855*Z855</f>
        <v>26</v>
      </c>
      <c r="U855">
        <v>50</v>
      </c>
      <c r="V855" s="68">
        <f>=P855*0.005/360*Z855</f>
        <v>1.80555555555556</v>
      </c>
      <c r="W855" s="68">
        <f>=X855*0.06</f>
        <v>13.2000000000004</v>
      </c>
      <c r="X855" s="68">
        <f>=O855-P855</f>
        <v>220.000000000007</v>
      </c>
      <c r="Y855" s="68">
        <f>=X855-T855-U855-V855-W855</f>
        <v>128.994444444451</v>
      </c>
      <c r="Z855" s="62">
        <f>=A855-$A$847+1</f>
        <v>2</v>
      </c>
      <c r="AA855" s="68">
        <f>=P855/10000*K855*Z855</f>
        <v>32.5</v>
      </c>
      <c r="AB855" s="62">
        <f>=Q855*Z855</f>
        <v>130440</v>
      </c>
      <c r="AC855" t="s">
        <v>367</v>
      </c>
    </row>
    <row r="856" spans="1:29">
      <c r="A856" s="147">
        <v>46219</v>
      </c>
      <c r="B856" s="103" t="s"/>
      <c r="C856" s="62">
        <f>=TODAY()-A856+1</f>
        <v>11</v>
      </c>
      <c r="D856" s="62" t="s">
        <v>114</v>
      </c>
      <c r="E856" s="62" t="s">
        <v>114</v>
      </c>
      <c r="F856" s="62" t="s">
        <v>115</v>
      </c>
      <c r="G856" s="64" t="s">
        <v>116</v>
      </c>
      <c r="H856" s="71" t="s">
        <v>379</v>
      </c>
      <c r="I856" s="69" t="s">
        <v>43</v>
      </c>
      <c r="J856" s="62">
        <v>2</v>
      </c>
      <c r="K856" s="62">
        <v>2.6</v>
      </c>
      <c r="M856">
        <v>715550</v>
      </c>
      <c r="AA856" s="157" t="s"/>
      <c r="AC856" t="s">
        <v>367</v>
      </c>
    </row>
    <row r="857" spans="1:29">
      <c r="A857" s="147">
        <v>46218</v>
      </c>
      <c r="B857" s="62" t="s">
        <v>37</v>
      </c>
      <c r="C857" s="103" t="s"/>
      <c r="D857" s="63" t="s">
        <v>38</v>
      </c>
      <c r="E857" s="62" t="s">
        <v>39</v>
      </c>
      <c r="F857" s="62" t="s">
        <v>137</v>
      </c>
      <c r="G857" s="164" t="s">
        <v>294</v>
      </c>
      <c r="H857" s="98" t="s">
        <v>316</v>
      </c>
      <c r="I857" s="69" t="s">
        <v>47</v>
      </c>
      <c r="J857" s="78">
        <v>2</v>
      </c>
      <c r="K857" s="62">
        <v>2.5</v>
      </c>
      <c r="O857">
        <v>1935850</v>
      </c>
      <c r="P857">
        <v>1900000</v>
      </c>
      <c r="Q857">
        <v>1935850</v>
      </c>
      <c r="T857" s="68">
        <f>=P857/10000*J857*Z857</f>
        <v>25080</v>
      </c>
      <c r="U857">
        <v>3000</v>
      </c>
      <c r="V857" s="68">
        <f>=P857*0.005/360*Z857</f>
        <v>1741.66666666667</v>
      </c>
      <c r="W857" s="68">
        <f>=X857*0.06</f>
        <v>2151</v>
      </c>
      <c r="X857" s="68">
        <f>=O857-P857</f>
        <v>35850</v>
      </c>
      <c r="Y857" s="68">
        <f>=X857-T857-U857-V857-W857</f>
        <v>3877.33333333333</v>
      </c>
      <c r="Z857" s="62">
        <f>=A857-$A$501+1</f>
        <v>66</v>
      </c>
      <c r="AA857" s="68">
        <f>=P857/10000*K857*Z857</f>
        <v>31350</v>
      </c>
      <c r="AB857" s="62">
        <f>=Q857*Z857</f>
        <v>127766100</v>
      </c>
      <c r="AC857" t="s">
        <v>58</v>
      </c>
    </row>
    <row r="858" spans="1:29">
      <c r="A858" s="147">
        <v>46219</v>
      </c>
      <c r="B858" s="103" t="s"/>
      <c r="C858" s="62">
        <f>=TODAY()-A858+1</f>
        <v>11</v>
      </c>
      <c r="D858" s="63" t="s">
        <v>38</v>
      </c>
      <c r="E858" s="62" t="s">
        <v>39</v>
      </c>
      <c r="F858" s="62" t="s">
        <v>137</v>
      </c>
      <c r="G858" s="108" t="s">
        <v>294</v>
      </c>
      <c r="H858" s="98" t="s">
        <v>380</v>
      </c>
      <c r="I858" s="65" t="s">
        <v>43</v>
      </c>
      <c r="J858" s="62">
        <v>2</v>
      </c>
      <c r="K858" s="62">
        <v>2.5</v>
      </c>
      <c r="M858">
        <v>1900000</v>
      </c>
      <c r="AA858" s="157" t="s"/>
      <c r="AC858" t="s">
        <v>367</v>
      </c>
    </row>
    <row r="859" spans="1:29">
      <c r="A859" s="147">
        <v>46219</v>
      </c>
      <c r="B859" s="103" t="s"/>
      <c r="C859" s="103" t="s"/>
      <c r="D859" s="64" t="s">
        <v>38</v>
      </c>
      <c r="E859" s="131" t="s">
        <v>54</v>
      </c>
      <c r="F859" s="64" t="s">
        <v>55</v>
      </c>
      <c r="G859" s="71" t="s">
        <v>191</v>
      </c>
      <c r="H859" s="98" t="s">
        <v>204</v>
      </c>
      <c r="I859" s="73" t="s">
        <v>47</v>
      </c>
      <c r="J859" s="62">
        <v>2</v>
      </c>
      <c r="K859" s="62">
        <v>2.5</v>
      </c>
      <c r="O859">
        <v>479145.66</v>
      </c>
      <c r="P859">
        <v>466095</v>
      </c>
      <c r="Q859">
        <v>479145.66</v>
      </c>
      <c r="T859" s="68">
        <f>=P859/10000*J859*Z859</f>
        <v>10440.528</v>
      </c>
      <c r="U859">
        <v>0</v>
      </c>
      <c r="V859" s="68">
        <f>=P859*0.005/360*Z859</f>
        <v>725.036666666667</v>
      </c>
      <c r="W859" s="68">
        <f>=X859*0.06</f>
        <v>783.039599999999</v>
      </c>
      <c r="X859" s="68">
        <f>=O859-P859</f>
        <v>13050.66</v>
      </c>
      <c r="Y859" s="68">
        <f>=X859-T859-U859-V859</f>
        <v>1885.09533333331</v>
      </c>
      <c r="Z859" s="62">
        <f>=A859-$A$271+1</f>
        <v>112</v>
      </c>
      <c r="AA859" s="68">
        <f>=P859/10000*K859*Z859</f>
        <v>13050.66</v>
      </c>
      <c r="AB859" s="62">
        <f>=Q859*Z859</f>
        <v>53664313.92</v>
      </c>
      <c r="AC859" t="s">
        <v>58</v>
      </c>
    </row>
    <row r="860" spans="1:29">
      <c r="A860" s="147">
        <v>46219</v>
      </c>
      <c r="B860" s="103" t="s"/>
      <c r="C860" s="103" t="s"/>
      <c r="D860" s="64" t="s">
        <v>38</v>
      </c>
      <c r="E860" s="131" t="s">
        <v>54</v>
      </c>
      <c r="F860" s="64" t="s">
        <v>55</v>
      </c>
      <c r="G860" s="71" t="s">
        <v>191</v>
      </c>
      <c r="H860" s="98" t="s">
        <v>235</v>
      </c>
      <c r="I860" s="73" t="s">
        <v>47</v>
      </c>
      <c r="J860" s="62">
        <v>2</v>
      </c>
      <c r="K860" s="62">
        <v>2.5</v>
      </c>
      <c r="O860">
        <v>184609.65</v>
      </c>
      <c r="P860">
        <v>179800</v>
      </c>
      <c r="Q860">
        <v>184609.65</v>
      </c>
      <c r="T860" s="68">
        <f>=P860/10000*J860*Z860</f>
        <v>3847.72</v>
      </c>
      <c r="U860">
        <v>0</v>
      </c>
      <c r="V860" s="68">
        <f>=P860*0.005/360*Z860</f>
        <v>267.202777777778</v>
      </c>
      <c r="W860" s="68">
        <f>=X860*0.06</f>
        <v>288.579</v>
      </c>
      <c r="X860" s="68">
        <f>=O860-P860</f>
        <v>4809.65</v>
      </c>
      <c r="Y860" s="68">
        <f>=X860-T860-U860-V860</f>
        <v>694.727222222216</v>
      </c>
      <c r="Z860" s="62">
        <f>=A860-$A$305+1</f>
        <v>107</v>
      </c>
      <c r="AA860" s="68">
        <f>=P860/10000*K860*Z860</f>
        <v>4809.65</v>
      </c>
      <c r="AB860" s="62">
        <f>=Q860*Z860</f>
        <v>19753232.55</v>
      </c>
      <c r="AC860" t="s">
        <v>58</v>
      </c>
    </row>
    <row r="861" spans="1:29">
      <c r="A861" s="147">
        <v>46219</v>
      </c>
      <c r="B861" s="103" t="s"/>
      <c r="C861" s="103" t="s"/>
      <c r="D861" s="64" t="s">
        <v>38</v>
      </c>
      <c r="E861" s="131" t="s">
        <v>54</v>
      </c>
      <c r="F861" s="64" t="s">
        <v>55</v>
      </c>
      <c r="G861" s="71" t="s">
        <v>191</v>
      </c>
      <c r="H861" s="98" t="s">
        <v>225</v>
      </c>
      <c r="I861" s="73" t="s">
        <v>47</v>
      </c>
      <c r="J861" s="62">
        <v>2</v>
      </c>
      <c r="K861" s="62">
        <v>2.5</v>
      </c>
      <c r="O861">
        <v>135872.8</v>
      </c>
      <c r="P861">
        <v>132300</v>
      </c>
      <c r="Q861">
        <v>135872.8</v>
      </c>
      <c r="T861" s="68">
        <f>=P861/10000*J861*Z861</f>
        <v>2857.68</v>
      </c>
      <c r="U861">
        <v>0</v>
      </c>
      <c r="V861" s="68">
        <f>=P861*0.005/360*Z861</f>
        <v>198.45</v>
      </c>
      <c r="W861" s="68">
        <f>=X861*0.06</f>
        <v>214.367999999999</v>
      </c>
      <c r="X861" s="68">
        <f>=O861-P861</f>
        <v>3572.79999999999</v>
      </c>
      <c r="Y861" s="68">
        <f>=X861-T861-U861-V861</f>
        <v>516.669999999988</v>
      </c>
      <c r="Z861" s="62">
        <f>=A861-$A$292+1</f>
        <v>108</v>
      </c>
      <c r="AA861" s="68">
        <f>=P861/10000*K861*Z861</f>
        <v>3572.1</v>
      </c>
      <c r="AB861" s="62">
        <f>=Q861*Z861</f>
        <v>14674262.4</v>
      </c>
      <c r="AC861" t="s">
        <v>58</v>
      </c>
    </row>
    <row r="862" spans="1:29">
      <c r="A862" s="147">
        <v>46219</v>
      </c>
      <c r="B862" s="103" t="s"/>
      <c r="C862" s="62">
        <f>=TODAY()-A862+1</f>
        <v>11</v>
      </c>
      <c r="D862" s="64" t="s">
        <v>38</v>
      </c>
      <c r="E862" s="131" t="s">
        <v>54</v>
      </c>
      <c r="F862" s="64" t="s">
        <v>55</v>
      </c>
      <c r="G862" s="71" t="s">
        <v>191</v>
      </c>
      <c r="H862" s="98" t="s">
        <v>381</v>
      </c>
      <c r="I862" s="73" t="s">
        <v>43</v>
      </c>
      <c r="J862" s="64">
        <v>2</v>
      </c>
      <c r="K862" s="62">
        <v>2.5</v>
      </c>
      <c r="M862">
        <v>953700</v>
      </c>
      <c r="AA862" s="157" t="s"/>
      <c r="AC862" t="s">
        <v>367</v>
      </c>
    </row>
    <row r="863" spans="1:29">
      <c r="A863" s="147">
        <v>46220</v>
      </c>
      <c r="B863" s="103" t="s"/>
      <c r="C863" s="103" t="s"/>
      <c r="D863" s="151" t="s">
        <v>38</v>
      </c>
      <c r="E863" s="151" t="s">
        <v>148</v>
      </c>
      <c r="F863" s="151" t="s">
        <v>149</v>
      </c>
      <c r="G863" s="71" t="s">
        <v>150</v>
      </c>
      <c r="H863" s="165" t="s">
        <v>374</v>
      </c>
      <c r="I863" s="69" t="s">
        <v>47</v>
      </c>
      <c r="J863" s="62">
        <v>2</v>
      </c>
      <c r="K863" s="62">
        <v>2.5</v>
      </c>
      <c r="O863">
        <v>46668</v>
      </c>
      <c r="P863">
        <v>46500</v>
      </c>
      <c r="Q863">
        <v>46668</v>
      </c>
      <c r="T863" s="68">
        <f>=P863/10000*J863*Z863</f>
        <v>37.2</v>
      </c>
      <c r="U863">
        <v>50</v>
      </c>
      <c r="V863" s="68">
        <f>=P863*0.005/360*Z863</f>
        <v>2.58333333333333</v>
      </c>
      <c r="W863" s="68">
        <f>=X863*0.06</f>
        <v>10.08</v>
      </c>
      <c r="X863" s="68">
        <f>=O863-P863</f>
        <v>168</v>
      </c>
      <c r="Y863" s="68">
        <f>=X863-T863-U863-V863-W863</f>
        <v>68.1366666666667</v>
      </c>
      <c r="Z863" s="62">
        <f>=A863-$A$843+1</f>
        <v>4</v>
      </c>
      <c r="AA863" s="68">
        <f>=P863/10000*K863*Z863</f>
        <v>46.5</v>
      </c>
      <c r="AB863" s="62">
        <f>=Q863*Z863</f>
        <v>186672</v>
      </c>
      <c r="AC863" t="s">
        <v>367</v>
      </c>
    </row>
    <row r="864" spans="1:29">
      <c r="A864" s="147">
        <v>46220</v>
      </c>
      <c r="B864" s="103" t="s"/>
      <c r="C864" s="103" t="s"/>
      <c r="D864" s="62" t="s">
        <v>114</v>
      </c>
      <c r="E864" s="62" t="s">
        <v>114</v>
      </c>
      <c r="F864" s="62" t="s">
        <v>115</v>
      </c>
      <c r="G864" s="64" t="s">
        <v>116</v>
      </c>
      <c r="H864" s="71" t="s">
        <v>242</v>
      </c>
      <c r="I864" s="72" t="s">
        <v>47</v>
      </c>
      <c r="J864" s="62">
        <v>2</v>
      </c>
      <c r="K864" s="62">
        <v>2.6</v>
      </c>
      <c r="O864">
        <v>495793.71</v>
      </c>
      <c r="P864">
        <v>483084</v>
      </c>
      <c r="Q864">
        <v>495793.71</v>
      </c>
      <c r="T864" s="68">
        <f>=P864/10000*J864*Z864</f>
        <v>9758.2968</v>
      </c>
      <c r="U864" s="62">
        <v>0</v>
      </c>
      <c r="V864" s="68">
        <f>=P864*0.005/360*Z864</f>
        <v>677.6595</v>
      </c>
      <c r="W864" s="68">
        <f>=X864*0.06</f>
        <v>762.582599999998</v>
      </c>
      <c r="X864" s="68">
        <f>=O864-P864</f>
        <v>12709.71</v>
      </c>
      <c r="Y864" s="68">
        <f>=X864-T864-U864-V864-W864</f>
        <v>1511.17109999997</v>
      </c>
      <c r="Z864" s="62">
        <f>=A864-$A$322+1</f>
        <v>101</v>
      </c>
      <c r="AA864" s="68">
        <f>=P864/10000*K864*Z864</f>
        <v>12685.78584</v>
      </c>
      <c r="AB864" s="62">
        <f>=Q864*Z864</f>
        <v>50075164.71</v>
      </c>
      <c r="AC864" t="s">
        <v>58</v>
      </c>
    </row>
    <row r="865" spans="1:29">
      <c r="A865" s="147">
        <v>46220</v>
      </c>
      <c r="B865" s="103" t="s"/>
      <c r="C865" s="103" t="s"/>
      <c r="D865" s="62" t="s">
        <v>114</v>
      </c>
      <c r="E865" s="62" t="s">
        <v>114</v>
      </c>
      <c r="F865" s="62" t="s">
        <v>115</v>
      </c>
      <c r="G865" s="64" t="s">
        <v>116</v>
      </c>
      <c r="H865" s="71" t="s">
        <v>246</v>
      </c>
      <c r="I865" s="72" t="s">
        <v>47</v>
      </c>
      <c r="J865" s="62">
        <v>2</v>
      </c>
      <c r="K865" s="62">
        <v>2.6</v>
      </c>
      <c r="O865">
        <v>189677.96</v>
      </c>
      <c r="P865">
        <v>184906</v>
      </c>
      <c r="Q865">
        <v>189677.96</v>
      </c>
      <c r="T865" s="68">
        <f>=P865/10000*J865*Z865</f>
        <v>3661.1388</v>
      </c>
      <c r="U865" s="62">
        <v>0</v>
      </c>
      <c r="V865" s="68">
        <f>=P865*0.005/360*Z865</f>
        <v>254.24575</v>
      </c>
      <c r="W865" s="68">
        <f>=X865*0.06</f>
        <v>286.3176</v>
      </c>
      <c r="X865" s="68">
        <f>=O865-P865</f>
        <v>4771.95999999999</v>
      </c>
      <c r="Y865" s="68">
        <f>=X865-T865-U865-V865-W865</f>
        <v>570.257849999992</v>
      </c>
      <c r="Z865" s="62">
        <f>=A865-$A$360+1</f>
        <v>99</v>
      </c>
      <c r="AA865" s="68">
        <f>=P865/10000*K865*Z865</f>
        <v>4759.48044</v>
      </c>
      <c r="AB865" s="62">
        <f>=Q865*Z865</f>
        <v>18778118.04</v>
      </c>
      <c r="AC865" t="s">
        <v>58</v>
      </c>
    </row>
    <row r="866" spans="1:29">
      <c r="A866" s="147">
        <v>46220</v>
      </c>
      <c r="B866" s="103" t="s"/>
      <c r="C866" s="103" t="s"/>
      <c r="D866" s="64" t="s">
        <v>38</v>
      </c>
      <c r="E866" s="131" t="s">
        <v>54</v>
      </c>
      <c r="F866" s="64" t="s">
        <v>55</v>
      </c>
      <c r="G866" s="64" t="s">
        <v>191</v>
      </c>
      <c r="H866" s="80" t="s">
        <v>192</v>
      </c>
      <c r="I866" s="73" t="s">
        <v>47</v>
      </c>
      <c r="J866" s="62">
        <v>2</v>
      </c>
      <c r="K866" s="62">
        <v>2.5</v>
      </c>
      <c r="O866">
        <v>188986.5</v>
      </c>
      <c r="P866">
        <v>183750</v>
      </c>
      <c r="Q866">
        <v>188986.5</v>
      </c>
      <c r="T866" s="68">
        <f>=P866/10000*J866*Z866</f>
        <v>4226.25</v>
      </c>
      <c r="U866" s="62">
        <v>0</v>
      </c>
      <c r="V866" s="68">
        <f>=P866*0.005/360*Z866</f>
        <v>293.489583333333</v>
      </c>
      <c r="W866" s="68">
        <f>=X866*0.06</f>
        <v>314.19</v>
      </c>
      <c r="X866" s="68">
        <f>=O866-P866</f>
        <v>5236.5</v>
      </c>
      <c r="Y866" s="68">
        <f>=X866-T866-U866-V866</f>
        <v>716.760416666667</v>
      </c>
      <c r="Z866" s="62">
        <f>=A866-$A$260+1</f>
        <v>115</v>
      </c>
      <c r="AA866" s="68">
        <f>=P866/10000*K866*Z866</f>
        <v>5282.8125</v>
      </c>
      <c r="AB866" s="62">
        <f>=Q866*Z866</f>
        <v>21733447.5</v>
      </c>
      <c r="AC866" t="s">
        <v>58</v>
      </c>
    </row>
    <row r="867" spans="1:29">
      <c r="A867" s="147">
        <v>46220</v>
      </c>
      <c r="B867" s="103" t="s"/>
      <c r="C867" s="62">
        <f>=TODAY()-A867+1</f>
        <v>10</v>
      </c>
      <c r="D867" s="64" t="s">
        <v>38</v>
      </c>
      <c r="E867" s="62" t="s">
        <v>85</v>
      </c>
      <c r="F867" t="s">
        <v>86</v>
      </c>
      <c r="G867" s="97" t="s">
        <v>382</v>
      </c>
      <c r="H867" t="s">
        <v>383</v>
      </c>
      <c r="I867" s="73" t="s">
        <v>43</v>
      </c>
      <c r="J867" s="64">
        <v>2</v>
      </c>
      <c r="K867" s="62">
        <v>2.8</v>
      </c>
      <c r="M867">
        <v>160000</v>
      </c>
      <c r="AA867" s="157" t="s"/>
      <c r="AC867" t="s">
        <v>367</v>
      </c>
    </row>
    <row r="868" spans="1:29">
      <c r="A868" s="147">
        <v>46220</v>
      </c>
      <c r="B868" s="103" t="s"/>
      <c r="C868" s="62">
        <f>=TODAY()-A868+1</f>
        <v>4</v>
      </c>
      <c r="D868" s="64" t="s">
        <v>38</v>
      </c>
      <c r="E868" s="62" t="s">
        <v>85</v>
      </c>
      <c r="F868" t="s">
        <v>120</v>
      </c>
      <c r="G868" s="136" t="s">
        <v>239</v>
      </c>
      <c r="H868" t="s">
        <v>384</v>
      </c>
      <c r="I868" s="65" t="s">
        <v>43</v>
      </c>
      <c r="J868" s="64">
        <v>2</v>
      </c>
      <c r="K868" s="78">
        <v>2.5</v>
      </c>
      <c r="M868">
        <v>630000</v>
      </c>
      <c r="AA868" s="157" t="s"/>
      <c r="AC868" t="s">
        <v>367</v>
      </c>
    </row>
    <row r="869" spans="1:29">
      <c r="A869" s="147">
        <v>46220</v>
      </c>
      <c r="B869" s="103" t="s"/>
      <c r="C869" s="62">
        <f>=TODAY()-A869+1</f>
        <v>4</v>
      </c>
      <c r="D869" s="62" t="s">
        <v>114</v>
      </c>
      <c r="E869" s="62" t="s">
        <v>114</v>
      </c>
      <c r="F869" s="62" t="s">
        <v>115</v>
      </c>
      <c r="G869" s="64" t="s">
        <v>116</v>
      </c>
      <c r="H869" s="71" t="s">
        <v>385</v>
      </c>
      <c r="I869" s="69" t="s">
        <v>43</v>
      </c>
      <c r="J869" s="62">
        <v>2</v>
      </c>
      <c r="K869" s="62">
        <v>2.6</v>
      </c>
      <c r="M869">
        <v>592630</v>
      </c>
      <c r="AA869" s="157" t="s"/>
      <c r="AC869" t="s">
        <v>367</v>
      </c>
    </row>
    <row r="870" spans="1:29">
      <c r="A870" s="147">
        <v>46220</v>
      </c>
      <c r="B870" s="103" t="s"/>
      <c r="C870" s="103" t="s"/>
      <c r="D870" s="64" t="s">
        <v>38</v>
      </c>
      <c r="E870" s="64" t="s">
        <v>148</v>
      </c>
      <c r="F870" s="64" t="s">
        <v>153</v>
      </c>
      <c r="G870" s="71" t="s">
        <v>215</v>
      </c>
      <c r="H870" s="98" t="s">
        <v>255</v>
      </c>
      <c r="I870" s="73" t="s">
        <v>47</v>
      </c>
      <c r="J870" s="62">
        <v>2</v>
      </c>
      <c r="K870" s="62">
        <v>2.5</v>
      </c>
      <c r="O870">
        <v>406758.3</v>
      </c>
      <c r="P870">
        <v>396500</v>
      </c>
      <c r="Q870">
        <v>406758.3</v>
      </c>
      <c r="T870" s="68">
        <f>=P870/10000*J870*Z870</f>
        <v>7374.9</v>
      </c>
      <c r="U870">
        <v>780</v>
      </c>
      <c r="V870" s="68">
        <f>=P870*0.005/360*Z870</f>
        <v>512.145833333334</v>
      </c>
      <c r="W870" s="68">
        <f>=X870*0.06</f>
        <v>615.497999999999</v>
      </c>
      <c r="X870" s="68">
        <f>=O870-P870</f>
        <v>10258.3</v>
      </c>
      <c r="Y870" s="68">
        <f>=X870-T870-U870-V870-W870</f>
        <v>975.756166666656</v>
      </c>
      <c r="Z870" s="62">
        <f>=A870-$A$369+1</f>
        <v>93</v>
      </c>
      <c r="AA870" s="68">
        <f>=P870/10000*K870*Z870</f>
        <v>9218.625</v>
      </c>
      <c r="AB870" s="62">
        <f>=Q870*Z870</f>
        <v>37828521.9</v>
      </c>
      <c r="AC870" t="s">
        <v>58</v>
      </c>
    </row>
    <row r="871" spans="1:29">
      <c r="A871" s="147">
        <v>46220</v>
      </c>
      <c r="B871" s="103" t="s"/>
      <c r="C871" s="103" t="s"/>
      <c r="D871" s="62" t="s">
        <v>38</v>
      </c>
      <c r="E871" s="62" t="s">
        <v>133</v>
      </c>
      <c r="F871" s="62" t="s">
        <v>134</v>
      </c>
      <c r="G871" s="64" t="s">
        <v>135</v>
      </c>
      <c r="H871" s="80" t="s">
        <v>152</v>
      </c>
      <c r="I871" s="73" t="s">
        <v>47</v>
      </c>
      <c r="J871" s="62">
        <v>2</v>
      </c>
      <c r="K871" s="62">
        <v>2.5</v>
      </c>
      <c r="O871">
        <v>345120.5</v>
      </c>
      <c r="P871">
        <v>332760</v>
      </c>
      <c r="Q871">
        <v>345120.5</v>
      </c>
      <c r="T871" s="68">
        <f>=P871/10000*J871*Z871</f>
        <v>8185.896</v>
      </c>
      <c r="U871">
        <v>1475</v>
      </c>
      <c r="V871" s="68">
        <f>=P871*0.005/360*Z871</f>
        <v>568.465</v>
      </c>
      <c r="W871" s="68">
        <f>=X871*0.06</f>
        <v>741.63</v>
      </c>
      <c r="X871" s="68">
        <f>=O871-P871</f>
        <v>12360.5</v>
      </c>
      <c r="Y871" s="68">
        <f>=X871-T871-U871-V871-W871</f>
        <v>1389.509</v>
      </c>
      <c r="Z871" s="62">
        <f>=A871-$A$215+1</f>
        <v>123</v>
      </c>
      <c r="AA871" s="68">
        <f>=P871/10000*K871*Z871</f>
        <v>10232.37</v>
      </c>
      <c r="AB871" s="62">
        <f>=Q871*Z871</f>
        <v>42449821.5</v>
      </c>
      <c r="AC871" t="s">
        <v>58</v>
      </c>
    </row>
    <row r="872" spans="1:29">
      <c r="A872" s="147">
        <v>46220</v>
      </c>
      <c r="B872" s="103" t="s"/>
      <c r="C872" s="103" t="s"/>
      <c r="D872" s="62" t="s">
        <v>38</v>
      </c>
      <c r="E872" s="62" t="s">
        <v>133</v>
      </c>
      <c r="F872" s="62" t="s">
        <v>134</v>
      </c>
      <c r="G872" s="71" t="s">
        <v>135</v>
      </c>
      <c r="H872" s="98" t="s">
        <v>209</v>
      </c>
      <c r="I872" s="73" t="s">
        <v>47</v>
      </c>
      <c r="J872" s="62">
        <v>2</v>
      </c>
      <c r="K872" s="62">
        <v>2.5</v>
      </c>
      <c r="O872">
        <v>48849.5</v>
      </c>
      <c r="P872">
        <v>47250</v>
      </c>
      <c r="Q872">
        <v>48849.5</v>
      </c>
      <c r="T872" s="68">
        <f>=P872/10000*J872*Z872</f>
        <v>1039.5</v>
      </c>
      <c r="U872">
        <v>200</v>
      </c>
      <c r="V872" s="68">
        <f>=P872*0.005/360*Z872</f>
        <v>72.1875</v>
      </c>
      <c r="W872" s="68">
        <f>=X872*0.06</f>
        <v>95.97</v>
      </c>
      <c r="X872" s="68">
        <f>=O872-P872</f>
        <v>1599.5</v>
      </c>
      <c r="Y872" s="68">
        <f>=X872-T872-U872-V872-W872</f>
        <v>191.8425</v>
      </c>
      <c r="Z872" s="62">
        <f>=A872-$A$277+1</f>
        <v>110</v>
      </c>
      <c r="AA872" s="68">
        <f>=P872/10000*K872*Z872</f>
        <v>1299.375</v>
      </c>
      <c r="AB872" s="62">
        <f>=Q872*Z872</f>
        <v>5373445</v>
      </c>
      <c r="AC872" t="s">
        <v>58</v>
      </c>
    </row>
    <row r="873" spans="1:29">
      <c r="A873" s="148">
        <v>46220</v>
      </c>
      <c r="B873" s="103" t="s"/>
      <c r="C873" s="103" t="s"/>
      <c r="D873" t="s">
        <v>114</v>
      </c>
      <c r="E873" t="s">
        <v>114</v>
      </c>
      <c r="F873" t="s">
        <v>332</v>
      </c>
      <c r="G873" s="136" t="s">
        <v>333</v>
      </c>
      <c r="H873" s="102" t="s">
        <v>365</v>
      </c>
      <c r="I873" s="65" t="s">
        <v>47</v>
      </c>
      <c r="J873" s="62">
        <v>2</v>
      </c>
      <c r="K873" s="62">
        <v>2.8</v>
      </c>
      <c r="O873">
        <v>215337.3</v>
      </c>
      <c r="P873">
        <v>214200</v>
      </c>
      <c r="Q873">
        <v>215337.3</v>
      </c>
      <c r="T873" s="68">
        <f>=P873/10000*J873*Z873</f>
        <v>813.96</v>
      </c>
      <c r="U873">
        <v>0</v>
      </c>
      <c r="V873" s="68">
        <f>=P873*0.005/360*Z873</f>
        <v>56.525</v>
      </c>
      <c r="W873" s="68">
        <f>=X873*0.06</f>
        <v>68.2379999999993</v>
      </c>
      <c r="X873" s="68">
        <f>=O873-P873</f>
        <v>1137.29999999999</v>
      </c>
      <c r="Y873" s="68">
        <f>=X873-T873-U873-V873-W873</f>
        <v>198.576999999989</v>
      </c>
      <c r="Z873" s="62">
        <f>=A873-$A$747+1</f>
        <v>19</v>
      </c>
      <c r="AA873" s="68">
        <f>=P873/10000*K873*Z873</f>
        <v>1139.544</v>
      </c>
      <c r="AB873" s="62">
        <f>=Q873*Z873</f>
        <v>4091408.7</v>
      </c>
      <c r="AC873" t="s">
        <v>58</v>
      </c>
    </row>
    <row r="874" spans="1:29">
      <c r="A874" s="147">
        <v>46221</v>
      </c>
      <c r="B874" s="103" t="s"/>
      <c r="C874" s="103" t="s"/>
      <c r="D874" t="s">
        <v>38</v>
      </c>
      <c r="E874" t="s">
        <v>63</v>
      </c>
      <c r="F874" t="s">
        <v>226</v>
      </c>
      <c r="G874" s="136" t="s">
        <v>335</v>
      </c>
      <c r="H874" s="98" t="s">
        <v>376</v>
      </c>
      <c r="I874" s="73" t="s">
        <v>47</v>
      </c>
      <c r="J874" s="62">
        <v>2</v>
      </c>
      <c r="K874" s="62">
        <v>2.5</v>
      </c>
      <c r="O874">
        <v>70266</v>
      </c>
      <c r="P874">
        <v>70000</v>
      </c>
      <c r="Q874">
        <v>70266</v>
      </c>
      <c r="T874" s="68">
        <f>=P874/10000*J874*Z874</f>
        <v>56</v>
      </c>
      <c r="U874">
        <v>70</v>
      </c>
      <c r="V874" s="68">
        <f>=P874*0.005/360*Z874</f>
        <v>3.88888888888889</v>
      </c>
      <c r="W874" s="68">
        <f>=X874*0.06</f>
        <v>15.96</v>
      </c>
      <c r="X874" s="68">
        <f>=O874-P874</f>
        <v>266</v>
      </c>
      <c r="Y874" s="68">
        <f>=X874-T874-U874-V874-W874</f>
        <v>120.151111111111</v>
      </c>
      <c r="Z874" s="62">
        <f>=A874-$A$847+1</f>
        <v>4</v>
      </c>
      <c r="AA874" s="68">
        <f>=P874/10000*K874*Z874</f>
        <v>70</v>
      </c>
      <c r="AB874" s="62">
        <f>=Q874*Z874</f>
        <v>281064</v>
      </c>
      <c r="AC874" t="s">
        <v>367</v>
      </c>
    </row>
    <row r="875" spans="1:29">
      <c r="A875" s="147">
        <v>46221</v>
      </c>
      <c r="B875" s="103" t="s"/>
      <c r="C875" s="103" t="s"/>
      <c r="D875" t="s">
        <v>38</v>
      </c>
      <c r="E875" t="s">
        <v>63</v>
      </c>
      <c r="F875" t="s">
        <v>226</v>
      </c>
      <c r="G875" s="136" t="s">
        <v>335</v>
      </c>
      <c r="H875" s="98" t="s">
        <v>377</v>
      </c>
      <c r="I875" s="73" t="s">
        <v>47</v>
      </c>
      <c r="J875" s="62">
        <v>2</v>
      </c>
      <c r="K875" s="62">
        <v>2.5</v>
      </c>
      <c r="O875">
        <v>13044</v>
      </c>
      <c r="P875">
        <v>13000</v>
      </c>
      <c r="Q875">
        <v>13044</v>
      </c>
      <c r="T875" s="68">
        <f>=P875/10000*J875*Z875</f>
        <v>10.4</v>
      </c>
      <c r="U875">
        <v>10</v>
      </c>
      <c r="V875" s="68">
        <f>=P875*0.005/360*Z875</f>
        <v>0.722222222222222</v>
      </c>
      <c r="W875" s="68">
        <f>=X875*0.06</f>
        <v>2.63999999999989</v>
      </c>
      <c r="X875" s="68">
        <f>=O875-P875</f>
        <v>43.9999999999982</v>
      </c>
      <c r="Y875" s="68">
        <f>=X875-T875-U875-V875-W875</f>
        <v>20.2377777777761</v>
      </c>
      <c r="Z875" s="62">
        <f>=A875-$A$847+1</f>
        <v>4</v>
      </c>
      <c r="AA875" s="68">
        <f>=P875/10000*K875*Z875</f>
        <v>13</v>
      </c>
      <c r="AB875" s="62">
        <f>=Q875*Z875</f>
        <v>52176</v>
      </c>
      <c r="AC875" t="s">
        <v>367</v>
      </c>
    </row>
    <row r="876" spans="1:29">
      <c r="A876" s="147">
        <v>46221</v>
      </c>
      <c r="B876" s="103" t="s"/>
      <c r="C876" s="62">
        <f>=TODAY()-A876+1</f>
        <v>9</v>
      </c>
      <c r="D876" s="64" t="s">
        <v>38</v>
      </c>
      <c r="E876" s="131" t="s">
        <v>54</v>
      </c>
      <c r="F876" s="64" t="s">
        <v>55</v>
      </c>
      <c r="G876" s="71" t="s">
        <v>191</v>
      </c>
      <c r="H876" s="98" t="s">
        <v>386</v>
      </c>
      <c r="I876" s="73" t="s">
        <v>43</v>
      </c>
      <c r="J876" s="62">
        <v>2</v>
      </c>
      <c r="K876" s="62">
        <v>2.5</v>
      </c>
      <c r="M876">
        <v>969100</v>
      </c>
      <c r="AA876" s="157" t="s"/>
      <c r="AC876" t="s">
        <v>367</v>
      </c>
    </row>
    <row r="877" spans="1:29">
      <c r="A877" s="148">
        <v>46221</v>
      </c>
      <c r="B877" s="103" t="s"/>
      <c r="C877" s="103" t="s"/>
      <c r="D877" s="83" t="s">
        <v>38</v>
      </c>
      <c r="E877" s="166" t="s">
        <v>54</v>
      </c>
      <c r="F877" s="83" t="s">
        <v>55</v>
      </c>
      <c r="G877" s="93" t="s">
        <v>191</v>
      </c>
      <c r="H877" s="102" t="s">
        <v>192</v>
      </c>
      <c r="I877" s="73" t="s">
        <v>47</v>
      </c>
      <c r="J877" s="62">
        <v>2</v>
      </c>
      <c r="K877" s="62">
        <v>2.5</v>
      </c>
      <c r="O877">
        <v>169373.4</v>
      </c>
      <c r="P877">
        <v>164640</v>
      </c>
      <c r="Q877">
        <v>169373.4</v>
      </c>
      <c r="T877" s="68">
        <f>=P877/10000*J877*Z877</f>
        <v>3819.648</v>
      </c>
      <c r="U877" s="62">
        <v>0</v>
      </c>
      <c r="V877" s="68">
        <f>=P877*0.005/360*Z877</f>
        <v>265.253333333333</v>
      </c>
      <c r="W877" s="68">
        <f>=X877*0.06</f>
        <v>284.004</v>
      </c>
      <c r="X877" s="68">
        <f>=O877-P877</f>
        <v>4733.4</v>
      </c>
      <c r="Y877" s="68">
        <f>=X877-T877-U877-V877</f>
        <v>648.498666666661</v>
      </c>
      <c r="Z877" s="62">
        <f>=A877-$A$260+1</f>
        <v>116</v>
      </c>
      <c r="AA877" s="68">
        <f>=P877/10000*K877*Z877</f>
        <v>4774.56</v>
      </c>
      <c r="AB877" s="62">
        <f>=Q877*Z877</f>
        <v>19647314.4</v>
      </c>
      <c r="AC877" t="s">
        <v>58</v>
      </c>
    </row>
    <row r="878" spans="1:29">
      <c r="A878" s="148">
        <v>46221</v>
      </c>
      <c r="B878" s="103" t="s"/>
      <c r="C878" s="103" t="s"/>
      <c r="D878" s="83" t="s">
        <v>38</v>
      </c>
      <c r="E878" s="166" t="s">
        <v>54</v>
      </c>
      <c r="F878" s="83" t="s">
        <v>55</v>
      </c>
      <c r="G878" s="93" t="s">
        <v>191</v>
      </c>
      <c r="H878" s="102" t="s">
        <v>197</v>
      </c>
      <c r="I878" s="73" t="s">
        <v>47</v>
      </c>
      <c r="J878" s="62">
        <v>2</v>
      </c>
      <c r="K878" s="62">
        <v>2.5</v>
      </c>
      <c r="O878">
        <v>91073.4</v>
      </c>
      <c r="P878">
        <v>88550</v>
      </c>
      <c r="Q878">
        <v>91073.4</v>
      </c>
      <c r="T878" s="68">
        <f>=P878/10000*J878*Z878</f>
        <v>2036.65</v>
      </c>
      <c r="U878" s="62">
        <v>0</v>
      </c>
      <c r="V878" s="68">
        <f>=P878*0.005/360*Z878</f>
        <v>141.434027777778</v>
      </c>
      <c r="W878" s="68">
        <f>=X878*0.06</f>
        <v>151.404000000001</v>
      </c>
      <c r="X878" s="68">
        <f>=O878-P878</f>
        <v>2523.40000000001</v>
      </c>
      <c r="Y878" s="68">
        <f>=X878-T878-U878-V878</f>
        <v>345.315972222231</v>
      </c>
      <c r="Z878" s="62">
        <f>=A878-$A$265+1</f>
        <v>115</v>
      </c>
      <c r="AA878" s="68">
        <f>=P878/10000*K878*Z878</f>
        <v>2545.8125</v>
      </c>
      <c r="AB878" s="62">
        <f>=Q878*Z878</f>
        <v>10473441</v>
      </c>
      <c r="AC878" t="s">
        <v>58</v>
      </c>
    </row>
    <row r="879" spans="1:29">
      <c r="A879" s="148">
        <v>46221</v>
      </c>
      <c r="B879" s="103" t="s"/>
      <c r="C879" s="103" t="s"/>
      <c r="D879" s="83" t="s">
        <v>38</v>
      </c>
      <c r="E879" s="166" t="s">
        <v>54</v>
      </c>
      <c r="F879" s="83" t="s">
        <v>55</v>
      </c>
      <c r="G879" s="93" t="s">
        <v>191</v>
      </c>
      <c r="H879" s="102" t="s">
        <v>204</v>
      </c>
      <c r="I879" s="73" t="s">
        <v>47</v>
      </c>
      <c r="J879" s="62">
        <v>2</v>
      </c>
      <c r="K879" s="62">
        <v>2.5</v>
      </c>
      <c r="O879">
        <v>91051.4</v>
      </c>
      <c r="P879">
        <v>88550</v>
      </c>
      <c r="Q879">
        <v>91051.4</v>
      </c>
      <c r="T879" s="68">
        <f>=P879/10000*J879*Z879</f>
        <v>2018.94</v>
      </c>
      <c r="U879" s="62">
        <v>0</v>
      </c>
      <c r="V879" s="68">
        <f>=P879*0.005/360*Z879</f>
        <v>140.204166666667</v>
      </c>
      <c r="W879" s="68">
        <f>=X879*0.06</f>
        <v>150.084</v>
      </c>
      <c r="X879" s="68">
        <f>=O879-P879</f>
        <v>2501.39999999999</v>
      </c>
      <c r="Y879" s="68">
        <f>=X879-T879-U879-V879</f>
        <v>342.255833333328</v>
      </c>
      <c r="Z879" s="62">
        <f>=A879-$A$271+1</f>
        <v>114</v>
      </c>
      <c r="AA879" s="68">
        <f>=P879/10000*K879*Z879</f>
        <v>2523.675</v>
      </c>
      <c r="AB879" s="62">
        <f>=Q879*Z879</f>
        <v>10379859.6</v>
      </c>
      <c r="AC879" t="s">
        <v>58</v>
      </c>
    </row>
    <row r="880" spans="1:29">
      <c r="A880" s="148">
        <v>46221</v>
      </c>
      <c r="B880" s="103" t="s"/>
      <c r="C880" s="103" t="s"/>
      <c r="D880" s="83" t="s">
        <v>38</v>
      </c>
      <c r="E880" s="166" t="s">
        <v>54</v>
      </c>
      <c r="F880" s="83" t="s">
        <v>55</v>
      </c>
      <c r="G880" s="93" t="s">
        <v>191</v>
      </c>
      <c r="H880" s="102" t="s">
        <v>210</v>
      </c>
      <c r="I880" s="73" t="s">
        <v>47</v>
      </c>
      <c r="J880" s="62">
        <v>2</v>
      </c>
      <c r="K880" s="62">
        <v>2.5</v>
      </c>
      <c r="O880">
        <v>643731.85</v>
      </c>
      <c r="P880">
        <v>626500</v>
      </c>
      <c r="Q880">
        <v>643731.85</v>
      </c>
      <c r="T880" s="68">
        <f>=P880/10000*J880*Z880</f>
        <v>13908.3</v>
      </c>
      <c r="U880">
        <v>0</v>
      </c>
      <c r="V880" s="68">
        <f>=P880*0.005/360*Z880</f>
        <v>965.854166666667</v>
      </c>
      <c r="W880" s="68">
        <f>=X880*0.06</f>
        <v>1033.911</v>
      </c>
      <c r="X880" s="68">
        <f>=O880-P880</f>
        <v>17231.85</v>
      </c>
      <c r="Y880" s="68">
        <f>=X880-T880-U880-V880</f>
        <v>2357.69583333331</v>
      </c>
      <c r="Z880" s="62">
        <f>=A880-$A$278+1</f>
        <v>111</v>
      </c>
      <c r="AA880" s="68">
        <f>=P880/10000*K880*Z880</f>
        <v>17385.375</v>
      </c>
      <c r="AB880" s="62">
        <f>=Q880*Z880</f>
        <v>71454235.35</v>
      </c>
      <c r="AC880" t="s">
        <v>58</v>
      </c>
    </row>
    <row r="881" spans="1:29">
      <c r="A881" s="147">
        <v>46222</v>
      </c>
      <c r="B881" s="103" t="s"/>
      <c r="C881" s="103" t="s"/>
      <c r="D881" s="64" t="s">
        <v>38</v>
      </c>
      <c r="E881" s="167" t="s">
        <v>54</v>
      </c>
      <c r="F881" s="64" t="s">
        <v>55</v>
      </c>
      <c r="G881" s="71" t="s">
        <v>191</v>
      </c>
      <c r="H881" s="98" t="s">
        <v>381</v>
      </c>
      <c r="I881" s="65" t="s">
        <v>47</v>
      </c>
      <c r="J881" s="62">
        <v>2</v>
      </c>
      <c r="K881" s="62">
        <v>2.5</v>
      </c>
      <c r="O881">
        <v>464126.4</v>
      </c>
      <c r="P881">
        <v>463200</v>
      </c>
      <c r="Q881">
        <v>464126.4</v>
      </c>
      <c r="T881" s="68">
        <f>=P881/10000*J881*Z881</f>
        <v>370.56</v>
      </c>
      <c r="U881">
        <v>0</v>
      </c>
      <c r="V881" s="68">
        <f>=P881*0.005/360*Z881</f>
        <v>25.7333333333333</v>
      </c>
      <c r="W881" s="68">
        <f>=X881*0.06</f>
        <v>55.5840000000014</v>
      </c>
      <c r="X881" s="68">
        <f>=O881-P881</f>
        <v>926.400000000023</v>
      </c>
      <c r="Y881" s="68">
        <f>=X881-T881-U881-V881</f>
        <v>530.10666666669</v>
      </c>
      <c r="Z881" s="62">
        <f>=A881-$A$862+1</f>
        <v>4</v>
      </c>
      <c r="AA881" s="68">
        <f>=P881/10000*K881*Z881</f>
        <v>463.2</v>
      </c>
      <c r="AB881" s="62">
        <f>=Q881*Z881</f>
        <v>1856505.6</v>
      </c>
      <c r="AC881" t="s">
        <v>58</v>
      </c>
    </row>
    <row r="882" spans="1:29">
      <c r="A882" s="147">
        <v>46222</v>
      </c>
      <c r="B882" s="103" t="s"/>
      <c r="C882" s="103" t="s"/>
      <c r="D882" s="64" t="s">
        <v>38</v>
      </c>
      <c r="E882" s="167" t="s">
        <v>54</v>
      </c>
      <c r="F882" s="64" t="s">
        <v>55</v>
      </c>
      <c r="G882" s="71" t="s">
        <v>191</v>
      </c>
      <c r="H882" s="98" t="s">
        <v>386</v>
      </c>
      <c r="I882" s="65" t="s">
        <v>47</v>
      </c>
      <c r="J882" s="62">
        <v>2</v>
      </c>
      <c r="K882" s="62">
        <v>2.5</v>
      </c>
      <c r="O882">
        <v>176352</v>
      </c>
      <c r="P882">
        <v>176000</v>
      </c>
      <c r="Q882">
        <v>176352</v>
      </c>
      <c r="T882" s="68">
        <f>=P882/10000*J882*Z882</f>
        <v>70.4</v>
      </c>
      <c r="U882">
        <v>0</v>
      </c>
      <c r="V882" s="68">
        <f>=P882*0.005/360*Z882</f>
        <v>4.88888888888889</v>
      </c>
      <c r="W882" s="68">
        <f>=X882*0.06</f>
        <v>21.12</v>
      </c>
      <c r="X882" s="68">
        <f>=O882-P882</f>
        <v>352</v>
      </c>
      <c r="Y882" s="68">
        <f>=X882-T882-U882-V882</f>
        <v>276.711111111111</v>
      </c>
      <c r="Z882" s="62">
        <f>=A882-$A$876+1</f>
        <v>2</v>
      </c>
      <c r="AA882" s="68">
        <f>=P882/10000*K882*Z882</f>
        <v>88</v>
      </c>
      <c r="AB882" s="62">
        <f>=Q882*Z882</f>
        <v>352704</v>
      </c>
      <c r="AC882" t="s">
        <v>58</v>
      </c>
    </row>
    <row r="883" spans="1:29">
      <c r="A883" s="147">
        <v>46223</v>
      </c>
      <c r="B883" s="103" t="s"/>
      <c r="C883" s="103" t="s"/>
      <c r="D883" s="62" t="s">
        <v>38</v>
      </c>
      <c r="E883" s="62" t="s">
        <v>133</v>
      </c>
      <c r="F883" s="62" t="s">
        <v>134</v>
      </c>
      <c r="G883" s="71" t="s">
        <v>135</v>
      </c>
      <c r="H883" s="98" t="s">
        <v>147</v>
      </c>
      <c r="I883" s="73" t="s">
        <v>47</v>
      </c>
      <c r="J883" s="62">
        <v>2</v>
      </c>
      <c r="K883" s="62">
        <v>2.5</v>
      </c>
      <c r="O883">
        <v>364588</v>
      </c>
      <c r="P883">
        <v>352000</v>
      </c>
      <c r="Q883">
        <v>364588</v>
      </c>
      <c r="T883" s="68">
        <f>=P883/10000*J883*Z883</f>
        <v>8870.4</v>
      </c>
      <c r="U883">
        <v>1000</v>
      </c>
      <c r="V883" s="68">
        <f>=P883*0.005/360*Z883</f>
        <v>616</v>
      </c>
      <c r="W883" s="68">
        <f>=X883*0.06</f>
        <v>755.28</v>
      </c>
      <c r="X883" s="68">
        <f>=O883-P883</f>
        <v>12588</v>
      </c>
      <c r="Y883" s="68">
        <f>=X883-T883-U883-V883-W883</f>
        <v>1346.32</v>
      </c>
      <c r="Z883" s="62">
        <f>=A883-$A$215+1</f>
        <v>126</v>
      </c>
      <c r="AA883" s="68">
        <f>=P883/10000*K883*Z883</f>
        <v>11088</v>
      </c>
      <c r="AB883" s="62">
        <f>=Q883*Z883</f>
        <v>45938088</v>
      </c>
      <c r="AC883" t="s">
        <v>58</v>
      </c>
    </row>
    <row r="884" spans="1:29">
      <c r="A884" s="147">
        <v>46223</v>
      </c>
      <c r="B884" s="103" t="s"/>
      <c r="C884" s="103" t="s"/>
      <c r="D884" s="62" t="s">
        <v>38</v>
      </c>
      <c r="E884" s="62" t="s">
        <v>133</v>
      </c>
      <c r="F884" s="62" t="s">
        <v>134</v>
      </c>
      <c r="G884" s="64" t="s">
        <v>135</v>
      </c>
      <c r="H884" s="80" t="s">
        <v>174</v>
      </c>
      <c r="I884" s="73" t="s">
        <v>47</v>
      </c>
      <c r="J884" s="62">
        <v>2</v>
      </c>
      <c r="K884" s="62">
        <v>2.5</v>
      </c>
      <c r="O884">
        <v>86958</v>
      </c>
      <c r="P884">
        <v>84000</v>
      </c>
      <c r="Q884">
        <v>86958</v>
      </c>
      <c r="T884" s="68">
        <f>=P884/10000*J884*Z884</f>
        <v>2066.4</v>
      </c>
      <c r="U884">
        <v>250</v>
      </c>
      <c r="V884" s="68">
        <f>=P884*0.005/360*Z884</f>
        <v>143.5</v>
      </c>
      <c r="W884" s="68">
        <f>=X884*0.06</f>
        <v>177.48</v>
      </c>
      <c r="X884" s="68">
        <f>=O884-P884</f>
        <v>2958</v>
      </c>
      <c r="Y884" s="68">
        <f>=X884-T884-U884-V884</f>
        <v>498.1</v>
      </c>
      <c r="Z884" s="62">
        <f>=A884-$A$233+1</f>
        <v>123</v>
      </c>
      <c r="AA884" s="68">
        <f>=P884/10000*K884*Z884</f>
        <v>2583</v>
      </c>
      <c r="AB884" s="62">
        <f>=Q884*Z884</f>
        <v>10695834</v>
      </c>
      <c r="AC884" t="s">
        <v>58</v>
      </c>
    </row>
    <row r="885" spans="1:29">
      <c r="A885" s="147">
        <v>46223</v>
      </c>
      <c r="B885" s="103" t="s"/>
      <c r="C885" s="103" t="s"/>
      <c r="D885" t="s">
        <v>114</v>
      </c>
      <c r="E885" t="s">
        <v>114</v>
      </c>
      <c r="F885" t="s">
        <v>332</v>
      </c>
      <c r="G885" s="136" t="s">
        <v>333</v>
      </c>
      <c r="H885" s="98" t="s">
        <v>365</v>
      </c>
      <c r="I885" s="65" t="s">
        <v>47</v>
      </c>
      <c r="J885" s="62">
        <v>2</v>
      </c>
      <c r="K885" s="62">
        <v>2.8</v>
      </c>
      <c r="O885">
        <v>217432.4</v>
      </c>
      <c r="P885">
        <v>216050</v>
      </c>
      <c r="Q885">
        <v>217432.4</v>
      </c>
      <c r="T885" s="68">
        <f>=P885/10000*J885*Z885</f>
        <v>950.62</v>
      </c>
      <c r="U885">
        <v>0</v>
      </c>
      <c r="V885" s="68">
        <f>=P885*0.005/360*Z885</f>
        <v>66.0152777777778</v>
      </c>
      <c r="W885" s="68">
        <f>=X885*0.06</f>
        <v>82.9439999999997</v>
      </c>
      <c r="X885" s="68">
        <f>=O885-P885</f>
        <v>1382.39999999999</v>
      </c>
      <c r="Y885" s="68">
        <f>=X885-T885-U885-V885-W885</f>
        <v>282.820722222217</v>
      </c>
      <c r="Z885" s="62">
        <f>=A885-$A$747+1</f>
        <v>22</v>
      </c>
      <c r="AA885" s="68">
        <f>=P885/10000*K885*Z885</f>
        <v>1330.868</v>
      </c>
      <c r="AB885" s="62">
        <f>=Q885*Z885</f>
        <v>4783512.8</v>
      </c>
      <c r="AC885" t="s">
        <v>58</v>
      </c>
    </row>
    <row r="886" spans="1:29">
      <c r="A886" s="147">
        <v>46223</v>
      </c>
      <c r="B886" s="103" t="s"/>
      <c r="C886" s="62">
        <f>=TODAY()-A886+1</f>
        <v>7</v>
      </c>
      <c r="D886" s="64" t="s">
        <v>38</v>
      </c>
      <c r="E886" s="62" t="s">
        <v>85</v>
      </c>
      <c r="F886" t="s">
        <v>86</v>
      </c>
      <c r="G886" s="97" t="s">
        <v>382</v>
      </c>
      <c r="H886" t="s">
        <v>387</v>
      </c>
      <c r="I886" s="73" t="s">
        <v>43</v>
      </c>
      <c r="J886" s="64">
        <v>2</v>
      </c>
      <c r="K886" s="62">
        <v>2.8</v>
      </c>
      <c r="M886">
        <v>1209000</v>
      </c>
      <c r="AA886" s="157" t="s"/>
      <c r="AC886" t="s">
        <v>367</v>
      </c>
    </row>
    <row r="887" spans="1:29">
      <c r="A887" s="147">
        <v>46223</v>
      </c>
      <c r="B887" s="103" t="s"/>
      <c r="C887" s="62">
        <f>=TODAY()-A887+1</f>
        <v>1</v>
      </c>
      <c r="D887" s="64" t="s">
        <v>38</v>
      </c>
      <c r="E887" t="s">
        <v>388</v>
      </c>
      <c r="F887" t="s">
        <v>389</v>
      </c>
      <c r="G887" s="136" t="s">
        <v>390</v>
      </c>
      <c r="H887" t="s">
        <v>391</v>
      </c>
      <c r="I887" s="73" t="s">
        <v>43</v>
      </c>
      <c r="J887" s="64">
        <v>2</v>
      </c>
      <c r="K887" s="62">
        <v>2.8</v>
      </c>
      <c r="M887">
        <v>680000</v>
      </c>
      <c r="AA887" s="157" t="s"/>
      <c r="AC887" t="s">
        <v>367</v>
      </c>
    </row>
    <row r="888" spans="1:29">
      <c r="A888" s="147">
        <v>46223</v>
      </c>
      <c r="B888" s="103" t="s"/>
      <c r="C888" s="103" t="s"/>
      <c r="D888" s="64" t="s">
        <v>38</v>
      </c>
      <c r="E888" s="62" t="s">
        <v>48</v>
      </c>
      <c r="F888" s="62" t="s">
        <v>222</v>
      </c>
      <c r="G888" s="97" t="s">
        <v>223</v>
      </c>
      <c r="H888" s="98" t="s">
        <v>224</v>
      </c>
      <c r="I888" s="65" t="s">
        <v>47</v>
      </c>
      <c r="J888" s="62">
        <v>2</v>
      </c>
      <c r="K888" s="62">
        <v>2.5</v>
      </c>
      <c r="O888">
        <v>515766</v>
      </c>
      <c r="P888">
        <v>500550</v>
      </c>
      <c r="Q888">
        <v>515766</v>
      </c>
      <c r="T888" s="68">
        <f>=P888/10000*J888*Z888</f>
        <v>11212.32</v>
      </c>
      <c r="U888">
        <v>900</v>
      </c>
      <c r="V888" s="68">
        <f>=P888*0.005/360*Z888</f>
        <v>778.633333333334</v>
      </c>
      <c r="W888" s="68">
        <f>=X888*0.06</f>
        <v>912.96</v>
      </c>
      <c r="X888" s="68">
        <f>=O888-P888</f>
        <v>15216</v>
      </c>
      <c r="Y888" s="68">
        <f>=X888-T888-U888-V888</f>
        <v>2325.04666666667</v>
      </c>
      <c r="Z888" s="62">
        <f>=A888-$A$291+1</f>
        <v>112</v>
      </c>
      <c r="AA888" s="68">
        <f>=P888/10000*K888*Z888</f>
        <v>14015.4</v>
      </c>
      <c r="AB888" s="62">
        <f>=Q888*Z888</f>
        <v>57765792</v>
      </c>
      <c r="AC888" t="s">
        <v>58</v>
      </c>
    </row>
    <row r="889" spans="1:29">
      <c r="A889" s="147">
        <v>46223</v>
      </c>
      <c r="B889" s="103" t="s"/>
      <c r="C889" s="103" t="s"/>
      <c r="D889" t="s">
        <v>38</v>
      </c>
      <c r="E889" t="s">
        <v>63</v>
      </c>
      <c r="F889" t="s">
        <v>226</v>
      </c>
      <c r="G889" s="136" t="s">
        <v>335</v>
      </c>
      <c r="H889" s="98" t="s">
        <v>376</v>
      </c>
      <c r="I889" s="73" t="s">
        <v>47</v>
      </c>
      <c r="J889" s="62">
        <v>2</v>
      </c>
      <c r="K889" s="62">
        <v>2.5</v>
      </c>
      <c r="O889">
        <v>50200</v>
      </c>
      <c r="P889">
        <v>50000</v>
      </c>
      <c r="Q889">
        <v>50200</v>
      </c>
      <c r="T889" s="68">
        <f>=P889/10000*J889*Z889</f>
        <v>60</v>
      </c>
      <c r="U889">
        <v>60</v>
      </c>
      <c r="V889" s="68">
        <f>=P889*0.005/360*Z889</f>
        <v>4.16666666666667</v>
      </c>
      <c r="W889" s="68">
        <f>=X889*0.06</f>
        <v>12</v>
      </c>
      <c r="X889" s="68">
        <f>=O889-P889</f>
        <v>200</v>
      </c>
      <c r="Y889" s="68">
        <f>=X889-T889-U889-V889-W889</f>
        <v>63.8333333333333</v>
      </c>
      <c r="Z889" s="62">
        <f>=A889-$A$847+1</f>
        <v>6</v>
      </c>
      <c r="AA889" s="68">
        <f>=P889/10000*K889*Z889</f>
        <v>75</v>
      </c>
      <c r="AB889" s="62">
        <f>=Q889*Z889</f>
        <v>301200</v>
      </c>
      <c r="AC889" t="s">
        <v>367</v>
      </c>
    </row>
    <row r="890" spans="1:29">
      <c r="A890" s="148">
        <v>46223</v>
      </c>
      <c r="B890" s="103" t="s"/>
      <c r="C890" s="62">
        <f>=TODAY()-A890+1</f>
        <v>7</v>
      </c>
      <c r="D890" s="118" t="s">
        <v>38</v>
      </c>
      <c r="E890" s="62" t="s">
        <v>39</v>
      </c>
      <c r="F890" s="62" t="s">
        <v>137</v>
      </c>
      <c r="G890" s="108" t="s">
        <v>294</v>
      </c>
      <c r="H890" s="98" t="s">
        <v>392</v>
      </c>
      <c r="I890" s="65" t="s">
        <v>43</v>
      </c>
      <c r="J890" s="111">
        <v>2</v>
      </c>
      <c r="K890" s="62">
        <v>2.5</v>
      </c>
      <c r="M890">
        <v>1780050</v>
      </c>
      <c r="AA890" s="157" t="s"/>
      <c r="AC890" t="s">
        <v>367</v>
      </c>
    </row>
    <row r="891" spans="1:29">
      <c r="A891" s="148">
        <v>46223</v>
      </c>
      <c r="B891" s="103" t="s"/>
      <c r="C891" s="62" t="s"/>
      <c r="D891" s="111" t="s">
        <v>38</v>
      </c>
      <c r="E891" s="62" t="s">
        <v>48</v>
      </c>
      <c r="F891" s="62" t="s">
        <v>73</v>
      </c>
      <c r="G891" s="64" t="s">
        <v>181</v>
      </c>
      <c r="H891" s="64" t="s">
        <v>182</v>
      </c>
      <c r="I891" s="77" t="s">
        <v>47</v>
      </c>
      <c r="J891" s="111">
        <v>2</v>
      </c>
      <c r="K891" s="78">
        <v>2.5</v>
      </c>
      <c r="O891">
        <v>216866</v>
      </c>
      <c r="P891">
        <v>210600</v>
      </c>
      <c r="Q891">
        <v>216866</v>
      </c>
      <c r="T891" s="68">
        <f>=P891/10000*J891*Z891</f>
        <v>5012.28</v>
      </c>
      <c r="U891" s="62">
        <v>0</v>
      </c>
      <c r="V891" s="68">
        <f>=P891*0.005/360*Z891</f>
        <v>348.075</v>
      </c>
      <c r="W891" s="68">
        <f>=X891*0.13</f>
        <v>814.58</v>
      </c>
      <c r="X891" s="68">
        <f>=O891-P891</f>
        <v>6266</v>
      </c>
      <c r="Y891" s="68">
        <f>=X891-T891-U891-V891-W891</f>
        <v>91.0650000000002</v>
      </c>
      <c r="Z891" s="62">
        <f>=A891-$A$246+1</f>
        <v>119</v>
      </c>
      <c r="AA891" s="68">
        <f>=P891/10000*K891*Z891</f>
        <v>6265.35</v>
      </c>
      <c r="AB891" s="62">
        <f>=Q891*Z891</f>
        <v>25807054</v>
      </c>
      <c r="AC891" t="s">
        <v>312</v>
      </c>
    </row>
    <row r="892" spans="1:29">
      <c r="A892" s="147">
        <v>46225</v>
      </c>
      <c r="B892" s="103" t="s"/>
      <c r="C892" s="62">
        <f>=TODAY()-A892+1</f>
        <v>5</v>
      </c>
      <c r="D892" s="64" t="s">
        <v>38</v>
      </c>
      <c r="E892" t="s">
        <v>388</v>
      </c>
      <c r="F892" t="s">
        <v>389</v>
      </c>
      <c r="G892" s="136" t="s">
        <v>390</v>
      </c>
      <c r="H892" t="s">
        <v>393</v>
      </c>
      <c r="I892" s="65" t="s">
        <v>43</v>
      </c>
      <c r="J892" s="64">
        <v>2</v>
      </c>
      <c r="K892" s="62">
        <v>2.8</v>
      </c>
      <c r="M892">
        <v>1020000</v>
      </c>
      <c r="AA892" s="157" t="s"/>
      <c r="AC892" t="s">
        <v>367</v>
      </c>
    </row>
    <row r="893" spans="1:29">
      <c r="A893" s="147">
        <v>46224</v>
      </c>
      <c r="B893" s="103" t="s"/>
      <c r="C893" s="103" t="s"/>
      <c r="D893" s="64" t="s">
        <v>38</v>
      </c>
      <c r="E893" s="64" t="s">
        <v>148</v>
      </c>
      <c r="F893" s="64" t="s">
        <v>153</v>
      </c>
      <c r="G893" s="71" t="s">
        <v>211</v>
      </c>
      <c r="H893" s="98" t="s">
        <v>269</v>
      </c>
      <c r="I893" s="72" t="s">
        <v>47</v>
      </c>
      <c r="J893" s="62">
        <v>2</v>
      </c>
      <c r="K893" s="62">
        <v>2.5</v>
      </c>
      <c r="O893">
        <v>312891</v>
      </c>
      <c r="P893">
        <v>305000</v>
      </c>
      <c r="Q893">
        <v>312891</v>
      </c>
      <c r="T893" s="68">
        <f>=P893/10000*J893*Z893</f>
        <v>5734</v>
      </c>
      <c r="U893">
        <v>600</v>
      </c>
      <c r="V893" s="68">
        <f>=P893*0.005/360*Z893</f>
        <v>398.194444444444</v>
      </c>
      <c r="W893" s="68">
        <f>=X893*0.06</f>
        <v>473.46</v>
      </c>
      <c r="X893" s="68">
        <f>=O893-P893</f>
        <v>7891</v>
      </c>
      <c r="Y893" s="68">
        <f>=X893-T893-U893-V893-W893</f>
        <v>685.345555555556</v>
      </c>
      <c r="Z893" s="62">
        <f>=A893-$A$391+1</f>
        <v>94</v>
      </c>
      <c r="AA893" s="68">
        <f>=P893/10000*K893*Z893</f>
        <v>7167.5</v>
      </c>
      <c r="AB893" s="62">
        <f>=Q893*Z893</f>
        <v>29411754</v>
      </c>
      <c r="AC893" t="s">
        <v>58</v>
      </c>
    </row>
    <row r="894" spans="1:29">
      <c r="A894" s="148">
        <v>46224</v>
      </c>
      <c r="B894" s="103" t="s"/>
      <c r="C894" s="62">
        <f>=TODAY()-A894+1</f>
        <v>6</v>
      </c>
      <c r="D894" s="62" t="s">
        <v>114</v>
      </c>
      <c r="E894" s="62" t="s">
        <v>114</v>
      </c>
      <c r="F894" s="62" t="s">
        <v>115</v>
      </c>
      <c r="G894" s="83" t="s">
        <v>116</v>
      </c>
      <c r="H894" s="93" t="s">
        <v>394</v>
      </c>
      <c r="I894" s="69" t="s">
        <v>43</v>
      </c>
      <c r="J894" s="62">
        <v>2</v>
      </c>
      <c r="K894" s="62">
        <v>2.6</v>
      </c>
      <c r="M894">
        <v>238500</v>
      </c>
      <c r="AA894" s="157" t="s"/>
      <c r="AC894" t="s">
        <v>367</v>
      </c>
    </row>
    <row r="895" spans="1:29">
      <c r="A895" s="147">
        <v>46225</v>
      </c>
      <c r="B895" s="103" t="s"/>
      <c r="C895" s="62">
        <f>=TODAY()-A895+1</f>
        <v>1</v>
      </c>
      <c r="D895" s="62" t="s">
        <v>114</v>
      </c>
      <c r="E895" s="62" t="s">
        <v>114</v>
      </c>
      <c r="F895" s="62" t="s">
        <v>115</v>
      </c>
      <c r="G895" s="64" t="s">
        <v>116</v>
      </c>
      <c r="H895" s="71" t="s">
        <v>395</v>
      </c>
      <c r="I895" s="69" t="s">
        <v>43</v>
      </c>
      <c r="J895" s="62">
        <v>2</v>
      </c>
      <c r="K895" s="62">
        <v>2.6</v>
      </c>
      <c r="M895">
        <v>381600</v>
      </c>
      <c r="AA895" s="157" t="s"/>
      <c r="AC895" t="s">
        <v>367</v>
      </c>
    </row>
    <row r="896" spans="1:29">
      <c r="A896" s="147">
        <v>46224</v>
      </c>
      <c r="B896" s="103" t="s"/>
      <c r="C896" s="103" t="s"/>
      <c r="D896" s="62" t="s">
        <v>114</v>
      </c>
      <c r="E896" s="62" t="s">
        <v>114</v>
      </c>
      <c r="F896" s="62" t="s">
        <v>115</v>
      </c>
      <c r="G896" s="64" t="s">
        <v>116</v>
      </c>
      <c r="H896" s="71" t="s">
        <v>242</v>
      </c>
      <c r="I896" s="72" t="s">
        <v>47</v>
      </c>
      <c r="J896" s="62">
        <v>2</v>
      </c>
      <c r="K896" s="62">
        <v>2.6</v>
      </c>
      <c r="O896">
        <v>316330</v>
      </c>
      <c r="P896">
        <v>308000</v>
      </c>
      <c r="Q896">
        <v>316330</v>
      </c>
      <c r="T896" s="68">
        <f>=P896/10000*J896*Z896</f>
        <v>6468</v>
      </c>
      <c r="U896" s="62">
        <v>0</v>
      </c>
      <c r="V896" s="68">
        <f>=P896*0.005/360*Z896</f>
        <v>449.166666666667</v>
      </c>
      <c r="W896" s="68">
        <f>=X896*0.06</f>
        <v>499.8</v>
      </c>
      <c r="X896" s="68">
        <f>=O896-P896</f>
        <v>8330</v>
      </c>
      <c r="Y896" s="68">
        <f>=X896-T896-U896-V896-W896</f>
        <v>913.033333333334</v>
      </c>
      <c r="Z896" s="62">
        <f>=A896-$A$322+1</f>
        <v>105</v>
      </c>
      <c r="AA896" s="68">
        <f>=P896/10000*K896*Z896</f>
        <v>8408.4</v>
      </c>
      <c r="AB896" s="62">
        <f>=Q896*Z896</f>
        <v>33214650</v>
      </c>
      <c r="AC896" t="s">
        <v>58</v>
      </c>
    </row>
    <row r="897" spans="1:29">
      <c r="A897" s="147">
        <v>46224</v>
      </c>
      <c r="B897" s="103" t="s"/>
      <c r="C897" s="103" t="s"/>
      <c r="D897" s="62" t="s">
        <v>114</v>
      </c>
      <c r="E897" s="62" t="s">
        <v>114</v>
      </c>
      <c r="F897" s="62" t="s">
        <v>115</v>
      </c>
      <c r="G897" s="64" t="s">
        <v>116</v>
      </c>
      <c r="H897" s="71" t="s">
        <v>246</v>
      </c>
      <c r="I897" s="72" t="s">
        <v>47</v>
      </c>
      <c r="J897" s="62">
        <v>2</v>
      </c>
      <c r="K897" s="62">
        <v>2.6</v>
      </c>
      <c r="O897">
        <v>382798.8</v>
      </c>
      <c r="P897">
        <v>372900</v>
      </c>
      <c r="Q897">
        <v>382798.8</v>
      </c>
      <c r="T897" s="68">
        <f>=P897/10000*J897*Z897</f>
        <v>7681.74</v>
      </c>
      <c r="U897" s="62">
        <v>0</v>
      </c>
      <c r="V897" s="68">
        <f>=P897*0.005/360*Z897</f>
        <v>533.454166666667</v>
      </c>
      <c r="W897" s="68">
        <f>=X897*0.06</f>
        <v>593.927999999999</v>
      </c>
      <c r="X897" s="68">
        <f>=O897-P897</f>
        <v>9898.79999999999</v>
      </c>
      <c r="Y897" s="68">
        <f>=X897-T897-U897-V897-W897</f>
        <v>1089.67783333332</v>
      </c>
      <c r="Z897" s="62">
        <f>=A897-$A$360+1</f>
        <v>103</v>
      </c>
      <c r="AA897" s="68">
        <f>=P897/10000*K897*Z897</f>
        <v>9986.262</v>
      </c>
      <c r="AB897" s="62">
        <f>=Q897*Z897</f>
        <v>39428276.4</v>
      </c>
      <c r="AC897" t="s">
        <v>58</v>
      </c>
    </row>
    <row r="898" spans="1:27">
      <c r="A898" s="147">
        <v>46224</v>
      </c>
      <c r="B898" s="103" t="s"/>
      <c r="C898" s="62">
        <f>=TODAY()-A898+1</f>
        <v>6</v>
      </c>
      <c r="D898" s="151" t="s">
        <v>38</v>
      </c>
      <c r="E898" s="151" t="s">
        <v>148</v>
      </c>
      <c r="F898" s="151" t="s">
        <v>149</v>
      </c>
      <c r="G898" s="71" t="s">
        <v>150</v>
      </c>
      <c r="H898" s="98" t="s">
        <v>396</v>
      </c>
      <c r="I898" s="69" t="s">
        <v>43</v>
      </c>
      <c r="J898" s="62">
        <v>2</v>
      </c>
      <c r="K898" s="62">
        <v>2.5</v>
      </c>
      <c r="M898">
        <v>144500</v>
      </c>
      <c r="AA898" s="157" t="s"/>
    </row>
    <row r="899" spans="1:29">
      <c r="A899" s="147">
        <v>46224</v>
      </c>
      <c r="B899" s="103" t="s"/>
      <c r="C899" s="103" t="s"/>
      <c r="D899" t="s">
        <v>38</v>
      </c>
      <c r="E899" t="s">
        <v>63</v>
      </c>
      <c r="F899" t="s">
        <v>226</v>
      </c>
      <c r="G899" s="136" t="s">
        <v>335</v>
      </c>
      <c r="H899" s="98" t="s">
        <v>376</v>
      </c>
      <c r="I899" s="73" t="s">
        <v>47</v>
      </c>
      <c r="J899" s="62">
        <v>2</v>
      </c>
      <c r="K899" s="62">
        <v>2.5</v>
      </c>
      <c r="O899">
        <v>12045.6</v>
      </c>
      <c r="P899">
        <v>12000</v>
      </c>
      <c r="Q899">
        <v>12045.6</v>
      </c>
      <c r="T899" s="68">
        <f>=P899/10000*J899*Z899</f>
        <v>16.8</v>
      </c>
      <c r="U899">
        <v>14.4</v>
      </c>
      <c r="V899" s="68">
        <f>=P899*0.005/360*Z899</f>
        <v>1.16666666666667</v>
      </c>
      <c r="W899" s="68">
        <f>=X899*0.06</f>
        <v>2.73599999999991</v>
      </c>
      <c r="X899" s="68">
        <f>=O899-P899</f>
        <v>45.5999999999986</v>
      </c>
      <c r="Y899" s="68">
        <f>=X899-T899-U899-V899-W899</f>
        <v>10.497333333332</v>
      </c>
      <c r="Z899" s="62">
        <f>=A899-$A$847+1</f>
        <v>7</v>
      </c>
      <c r="AA899" s="68">
        <f>=P899/10000*K899*Z899</f>
        <v>21</v>
      </c>
      <c r="AB899" s="62">
        <f>=Q899*Z899</f>
        <v>84319.2</v>
      </c>
      <c r="AC899" t="s">
        <v>367</v>
      </c>
    </row>
    <row r="900" spans="1:29">
      <c r="A900" s="147">
        <v>46224</v>
      </c>
      <c r="B900" s="103" t="s"/>
      <c r="C900" s="103" t="s"/>
      <c r="D900" t="s">
        <v>38</v>
      </c>
      <c r="E900" t="s">
        <v>63</v>
      </c>
      <c r="F900" t="s">
        <v>226</v>
      </c>
      <c r="G900" s="136" t="s">
        <v>335</v>
      </c>
      <c r="H900" s="98" t="s">
        <v>377</v>
      </c>
      <c r="I900" s="73" t="s">
        <v>47</v>
      </c>
      <c r="J900" s="62">
        <v>2</v>
      </c>
      <c r="K900" s="62">
        <v>2.5</v>
      </c>
      <c r="O900">
        <v>26088</v>
      </c>
      <c r="P900">
        <v>26000</v>
      </c>
      <c r="Q900">
        <v>26088</v>
      </c>
      <c r="T900" s="68">
        <f>=P900/10000*J900*Z900</f>
        <v>36.4</v>
      </c>
      <c r="U900">
        <v>24</v>
      </c>
      <c r="V900" s="68">
        <f>=P900*0.005/360*Z900</f>
        <v>2.52777777777778</v>
      </c>
      <c r="W900" s="68">
        <f>=X900*0.06</f>
        <v>5.28</v>
      </c>
      <c r="X900" s="68">
        <f>=O900-P900</f>
        <v>88</v>
      </c>
      <c r="Y900" s="68">
        <f>=X900-T900-U900-V900-W900</f>
        <v>19.7922222222222</v>
      </c>
      <c r="Z900" s="62">
        <f>=A900-$A$847+1</f>
        <v>7</v>
      </c>
      <c r="AA900" s="68">
        <f>=P900/10000*K900*Z900</f>
        <v>45.5</v>
      </c>
      <c r="AB900" s="62">
        <f>=Q900*Z900</f>
        <v>182616</v>
      </c>
      <c r="AC900" t="s">
        <v>367</v>
      </c>
    </row>
    <row r="901" spans="1:29">
      <c r="A901" s="147">
        <v>46225</v>
      </c>
      <c r="B901" s="103" t="s"/>
      <c r="C901" s="103" t="s"/>
      <c r="D901" s="78" t="s">
        <v>38</v>
      </c>
      <c r="E901" s="78" t="s">
        <v>48</v>
      </c>
      <c r="F901" s="78" t="s">
        <v>49</v>
      </c>
      <c r="G901" s="64" t="s">
        <v>52</v>
      </c>
      <c r="H901" s="71" t="s">
        <v>397</v>
      </c>
      <c r="I901" s="72" t="s">
        <v>43</v>
      </c>
      <c r="J901" s="62">
        <v>2</v>
      </c>
      <c r="K901" s="62">
        <v>3</v>
      </c>
      <c r="M901">
        <v>522250</v>
      </c>
      <c r="AA901" s="157" t="s"/>
      <c r="AC901" t="s">
        <v>367</v>
      </c>
    </row>
    <row r="902" spans="1:29">
      <c r="A902" s="147">
        <v>46225</v>
      </c>
      <c r="B902" s="103" t="s"/>
      <c r="C902" s="62">
        <f>=TODAY()-A902+1</f>
        <v>5</v>
      </c>
      <c r="D902" s="64" t="s">
        <v>38</v>
      </c>
      <c r="E902" s="62" t="s">
        <v>85</v>
      </c>
      <c r="F902" t="s">
        <v>86</v>
      </c>
      <c r="G902" s="97" t="s">
        <v>382</v>
      </c>
      <c r="H902" t="s">
        <v>398</v>
      </c>
      <c r="I902" s="73" t="s">
        <v>43</v>
      </c>
      <c r="J902" s="64">
        <v>2</v>
      </c>
      <c r="K902" s="62">
        <v>2.8</v>
      </c>
      <c r="M902">
        <v>1100000</v>
      </c>
      <c r="AA902" s="157" t="s"/>
      <c r="AC902" t="s">
        <v>367</v>
      </c>
    </row>
    <row r="903" spans="1:29">
      <c r="A903" s="147">
        <v>46225</v>
      </c>
      <c r="B903" s="103" t="s"/>
      <c r="C903" s="103" t="s"/>
      <c r="D903" s="64" t="s">
        <v>38</v>
      </c>
      <c r="E903" s="64" t="s">
        <v>148</v>
      </c>
      <c r="F903" s="64" t="s">
        <v>153</v>
      </c>
      <c r="G903" s="71" t="s">
        <v>211</v>
      </c>
      <c r="H903" s="98" t="s">
        <v>269</v>
      </c>
      <c r="I903" s="72" t="s">
        <v>47</v>
      </c>
      <c r="J903" s="62">
        <v>2</v>
      </c>
      <c r="K903" s="62">
        <v>2.5</v>
      </c>
      <c r="O903">
        <v>256696.08</v>
      </c>
      <c r="P903">
        <v>250100</v>
      </c>
      <c r="Q903">
        <v>256696.08</v>
      </c>
      <c r="T903" s="68">
        <f>=P903/10000*J903*Z903</f>
        <v>4751.9</v>
      </c>
      <c r="U903">
        <v>492</v>
      </c>
      <c r="V903" s="68">
        <f>=P903*0.005/360*Z903</f>
        <v>329.993055555556</v>
      </c>
      <c r="W903" s="68">
        <f>=X903*0.06</f>
        <v>395.764800000001</v>
      </c>
      <c r="X903" s="68">
        <f>=O903-P903</f>
        <v>6596.08000000002</v>
      </c>
      <c r="Y903" s="68">
        <f>=X903-T903-U903-V903-W903</f>
        <v>626.422144444459</v>
      </c>
      <c r="Z903" s="62">
        <f>=A903-$A$391+1</f>
        <v>95</v>
      </c>
      <c r="AA903" s="68">
        <f>=P903/10000*K903*Z903</f>
        <v>5939.875</v>
      </c>
      <c r="AB903" s="62">
        <f>=Q903*Z903</f>
        <v>24386127.6</v>
      </c>
      <c r="AC903" t="s">
        <v>58</v>
      </c>
    </row>
    <row r="904" spans="1:29">
      <c r="A904" s="147">
        <v>46225</v>
      </c>
      <c r="B904" s="103" t="s"/>
      <c r="C904" s="103" t="s"/>
      <c r="D904" s="62" t="s">
        <v>114</v>
      </c>
      <c r="E904" s="62" t="s">
        <v>114</v>
      </c>
      <c r="F904" s="62" t="s">
        <v>115</v>
      </c>
      <c r="G904" s="64" t="s">
        <v>116</v>
      </c>
      <c r="H904" s="71" t="s">
        <v>385</v>
      </c>
      <c r="I904" s="72" t="s">
        <v>47</v>
      </c>
      <c r="J904" s="62">
        <v>2</v>
      </c>
      <c r="K904" s="62">
        <v>2.6</v>
      </c>
      <c r="O904">
        <v>24128.16</v>
      </c>
      <c r="P904">
        <v>24080</v>
      </c>
      <c r="Q904">
        <v>24128.16</v>
      </c>
      <c r="T904" s="68">
        <f>=P904/10000*J904*Z904</f>
        <v>28.896</v>
      </c>
      <c r="U904" s="62">
        <v>0</v>
      </c>
      <c r="V904" s="68">
        <f>=P904*0.005/360*Z904</f>
        <v>2.00666666666667</v>
      </c>
      <c r="W904" s="68">
        <f>=X904*0.06</f>
        <v>2.88959999999999</v>
      </c>
      <c r="X904" s="68">
        <f>=O904-P904</f>
        <v>48.1599999999999</v>
      </c>
      <c r="Y904" s="68">
        <f>=X904-T904-U904-V904-W904</f>
        <v>14.3677333333332</v>
      </c>
      <c r="Z904" s="62">
        <f>=A904-$A$869+1</f>
        <v>6</v>
      </c>
      <c r="AA904" s="68">
        <f>=P904/10000*K904*Z904</f>
        <v>37.5648</v>
      </c>
      <c r="AB904" s="62">
        <f>=Q904*Z904</f>
        <v>144768.96</v>
      </c>
      <c r="AC904" t="s">
        <v>367</v>
      </c>
    </row>
    <row r="905" spans="1:29">
      <c r="A905" s="147">
        <v>46225</v>
      </c>
      <c r="B905" s="103" t="s"/>
      <c r="C905" s="103" t="s"/>
      <c r="D905" s="78" t="s">
        <v>38</v>
      </c>
      <c r="E905" s="78" t="s">
        <v>48</v>
      </c>
      <c r="F905" s="78" t="s">
        <v>49</v>
      </c>
      <c r="G905" s="71" t="s">
        <v>52</v>
      </c>
      <c r="H905" s="71" t="s">
        <v>158</v>
      </c>
      <c r="I905" s="72" t="s">
        <v>47</v>
      </c>
      <c r="J905" s="78">
        <v>2</v>
      </c>
      <c r="K905" s="78">
        <v>3</v>
      </c>
      <c r="O905">
        <v>58598</v>
      </c>
      <c r="P905">
        <v>56480</v>
      </c>
      <c r="Q905">
        <v>58598</v>
      </c>
      <c r="T905" s="68">
        <f>=P905/10000*J905*Z905</f>
        <v>1423.296</v>
      </c>
      <c r="U905" s="62">
        <v>0</v>
      </c>
      <c r="V905" s="68">
        <f>=P905*0.005/360*Z905</f>
        <v>98.84</v>
      </c>
      <c r="W905" s="68">
        <f>=X905*0.13</f>
        <v>275.34</v>
      </c>
      <c r="X905" s="68">
        <f>=O905-P905</f>
        <v>2118</v>
      </c>
      <c r="Y905" s="68">
        <f>=X905-T905-U905-V905-W905</f>
        <v>320.524</v>
      </c>
      <c r="Z905" s="62">
        <f>=A905-$A$224+1</f>
        <v>126</v>
      </c>
      <c r="AA905" s="68">
        <f>=P905/10000*K905*Z905</f>
        <v>2134.944</v>
      </c>
      <c r="AB905" s="62">
        <f>=Q905*Z905</f>
        <v>7383348</v>
      </c>
      <c r="AC905" t="s">
        <v>312</v>
      </c>
    </row>
    <row r="906" spans="1:29">
      <c r="A906" s="147">
        <v>46225</v>
      </c>
      <c r="B906" s="103" t="s"/>
      <c r="C906" s="103" t="s"/>
      <c r="D906" s="78" t="s">
        <v>38</v>
      </c>
      <c r="E906" s="78" t="s">
        <v>48</v>
      </c>
      <c r="F906" s="78" t="s">
        <v>49</v>
      </c>
      <c r="G906" s="71" t="s">
        <v>52</v>
      </c>
      <c r="H906" s="71" t="s">
        <v>179</v>
      </c>
      <c r="I906" s="72" t="s">
        <v>47</v>
      </c>
      <c r="J906" s="78">
        <v>2</v>
      </c>
      <c r="K906" s="78">
        <v>3</v>
      </c>
      <c r="O906">
        <v>14508.2</v>
      </c>
      <c r="P906">
        <v>14000</v>
      </c>
      <c r="Q906">
        <v>14508.2</v>
      </c>
      <c r="T906" s="68">
        <f>=P906/10000*J906*Z906</f>
        <v>341.6</v>
      </c>
      <c r="U906" s="62">
        <v>0</v>
      </c>
      <c r="V906" s="68">
        <f>=P906*0.005/360*Z906</f>
        <v>23.7222222222222</v>
      </c>
      <c r="W906" s="68">
        <f>=X906*0.13</f>
        <v>66.0659999999999</v>
      </c>
      <c r="X906" s="68">
        <f>=O906-P906</f>
        <v>508.199999999999</v>
      </c>
      <c r="Y906" s="68">
        <f>=X906-T906-U906-V906-W906</f>
        <v>76.8117777777769</v>
      </c>
      <c r="Z906" s="62">
        <f>=A906-$A$242+1</f>
        <v>122</v>
      </c>
      <c r="AA906" s="68">
        <f>=P906/10000*K906*Z906</f>
        <v>512.4</v>
      </c>
      <c r="AB906" s="62">
        <f>=Q906*Z906</f>
        <v>1770000.4</v>
      </c>
      <c r="AC906" t="s">
        <v>312</v>
      </c>
    </row>
    <row r="907" spans="1:29">
      <c r="A907" s="147">
        <v>46225</v>
      </c>
      <c r="B907" s="103" t="s"/>
      <c r="C907" s="103" t="s"/>
      <c r="D907" s="78" t="s">
        <v>38</v>
      </c>
      <c r="E907" s="78" t="s">
        <v>48</v>
      </c>
      <c r="F907" s="78" t="s">
        <v>49</v>
      </c>
      <c r="G907" s="64" t="s">
        <v>52</v>
      </c>
      <c r="H907" s="71" t="s">
        <v>232</v>
      </c>
      <c r="I907" s="72" t="s">
        <v>47</v>
      </c>
      <c r="J907" s="78">
        <v>2</v>
      </c>
      <c r="K907" s="78">
        <v>3</v>
      </c>
      <c r="O907">
        <v>14823.55</v>
      </c>
      <c r="P907">
        <v>14350</v>
      </c>
      <c r="Q907">
        <v>14823.55</v>
      </c>
      <c r="T907" s="68">
        <f>=P907/10000*J907*Z907</f>
        <v>318.57</v>
      </c>
      <c r="U907" s="62">
        <v>0</v>
      </c>
      <c r="V907" s="68">
        <f>=P907*0.005/360*Z907</f>
        <v>22.1229166666667</v>
      </c>
      <c r="W907" s="68">
        <f>=X907*0.13</f>
        <v>61.5614999999999</v>
      </c>
      <c r="X907" s="68">
        <f>=O907-P907</f>
        <v>473.549999999999</v>
      </c>
      <c r="Y907" s="68">
        <f>=X907-T907-U907-V907-W907</f>
        <v>71.2955833333327</v>
      </c>
      <c r="Z907" s="62">
        <f>=A907-$A$299+1</f>
        <v>111</v>
      </c>
      <c r="AA907" s="68">
        <f>=P907/10000*K907*Z907</f>
        <v>477.855</v>
      </c>
      <c r="AB907" s="62">
        <f>=Q907*Z907</f>
        <v>1645414.05</v>
      </c>
      <c r="AC907" t="s">
        <v>312</v>
      </c>
    </row>
    <row r="908" spans="1:29">
      <c r="A908" s="147">
        <v>46226</v>
      </c>
      <c r="B908" s="103" t="s"/>
      <c r="C908" s="103" t="s"/>
      <c r="D908" t="s">
        <v>38</v>
      </c>
      <c r="E908" t="s">
        <v>63</v>
      </c>
      <c r="F908" t="s">
        <v>226</v>
      </c>
      <c r="G908" s="136" t="s">
        <v>335</v>
      </c>
      <c r="H908" s="98" t="s">
        <v>371</v>
      </c>
      <c r="I908" s="73" t="s">
        <v>47</v>
      </c>
      <c r="J908" s="62">
        <v>2</v>
      </c>
      <c r="K908" s="62">
        <v>2.5</v>
      </c>
      <c r="O908">
        <v>90428</v>
      </c>
      <c r="P908">
        <v>90000</v>
      </c>
      <c r="Q908">
        <v>90428</v>
      </c>
      <c r="T908" s="68">
        <f>=P908/10000*J908*Z908</f>
        <v>198</v>
      </c>
      <c r="U908">
        <v>120</v>
      </c>
      <c r="V908" s="68">
        <f>=P908*0.005/360*Z908</f>
        <v>13.75</v>
      </c>
      <c r="W908" s="68">
        <f>=X908*0.06</f>
        <v>25.68</v>
      </c>
      <c r="X908" s="68">
        <f>=O908-P908</f>
        <v>428</v>
      </c>
      <c r="Y908" s="68">
        <f>=X908-T908-U908-V908-W908</f>
        <v>70.57</v>
      </c>
      <c r="Z908" s="62">
        <f>=A908-$A$831+1</f>
        <v>11</v>
      </c>
      <c r="AA908" s="68">
        <f>=P908/10000*K908*Z908</f>
        <v>247.5</v>
      </c>
      <c r="AB908" s="62">
        <f>=Q908*Z908</f>
        <v>994708</v>
      </c>
      <c r="AC908" t="s">
        <v>367</v>
      </c>
    </row>
    <row r="909" spans="1:29">
      <c r="A909" s="147">
        <v>46226</v>
      </c>
      <c r="B909" s="103" t="s"/>
      <c r="C909" s="103" t="s"/>
      <c r="D909" t="s">
        <v>38</v>
      </c>
      <c r="E909" t="s">
        <v>63</v>
      </c>
      <c r="F909" t="s">
        <v>226</v>
      </c>
      <c r="G909" s="136" t="s">
        <v>335</v>
      </c>
      <c r="H909" s="98" t="s">
        <v>376</v>
      </c>
      <c r="I909" s="73" t="s">
        <v>47</v>
      </c>
      <c r="J909" s="62">
        <v>2</v>
      </c>
      <c r="K909" s="62">
        <v>2.5</v>
      </c>
      <c r="O909">
        <v>38144.4</v>
      </c>
      <c r="P909">
        <v>38000</v>
      </c>
      <c r="Q909">
        <v>38144.4</v>
      </c>
      <c r="T909" s="68">
        <f>=P909/10000*J909*Z909</f>
        <v>68.4</v>
      </c>
      <c r="U909">
        <v>45.6</v>
      </c>
      <c r="V909" s="68">
        <f>=P909*0.005/360*Z909</f>
        <v>4.75</v>
      </c>
      <c r="W909" s="68">
        <f>=X909*0.06</f>
        <v>8.66400000000009</v>
      </c>
      <c r="X909" s="68">
        <f>=O909-P909</f>
        <v>144.400000000001</v>
      </c>
      <c r="Y909" s="68">
        <f>=X909-T909-U909-V909-W909</f>
        <v>16.9860000000014</v>
      </c>
      <c r="Z909" s="62">
        <f>=A909-$A$847+1</f>
        <v>9</v>
      </c>
      <c r="AA909" s="68">
        <f>=P909/10000*K909*Z909</f>
        <v>85.5</v>
      </c>
      <c r="AB909" s="62">
        <f>=Q909*Z909</f>
        <v>343299.6</v>
      </c>
      <c r="AC909" t="s">
        <v>367</v>
      </c>
    </row>
    <row r="910" spans="1:29">
      <c r="A910" s="168">
        <v>46227</v>
      </c>
      <c r="B910" s="103" t="s"/>
      <c r="C910" s="62">
        <f>=TODAY()-A910+1</f>
        <v>3</v>
      </c>
      <c r="D910" s="64" t="s">
        <v>38</v>
      </c>
      <c r="E910" s="167" t="s">
        <v>54</v>
      </c>
      <c r="F910" s="64" t="s">
        <v>55</v>
      </c>
      <c r="G910" s="71" t="s">
        <v>191</v>
      </c>
      <c r="H910" s="98" t="s">
        <v>399</v>
      </c>
      <c r="I910" s="65" t="s">
        <v>43</v>
      </c>
      <c r="J910" s="62">
        <v>2</v>
      </c>
      <c r="K910" s="62">
        <v>2.5</v>
      </c>
      <c r="M910">
        <v>800000</v>
      </c>
      <c r="AA910" s="157" t="s"/>
      <c r="AC910" t="s">
        <v>367</v>
      </c>
    </row>
    <row r="911" spans="1:29">
      <c r="A911" s="147">
        <v>46227</v>
      </c>
      <c r="B911" s="103" t="s"/>
      <c r="C911" s="103" t="s"/>
      <c r="D911" s="62" t="s">
        <v>38</v>
      </c>
      <c r="E911" s="62" t="s">
        <v>85</v>
      </c>
      <c r="F911" s="62" t="s">
        <v>120</v>
      </c>
      <c r="G911" s="71" t="s">
        <v>339</v>
      </c>
      <c r="H911" t="s">
        <v>362</v>
      </c>
      <c r="I911" s="69" t="s">
        <v>47</v>
      </c>
      <c r="J911" s="62">
        <v>2</v>
      </c>
      <c r="K911" s="62">
        <v>2.6</v>
      </c>
      <c r="O911">
        <v>1078814.5</v>
      </c>
      <c r="P911">
        <v>1058500</v>
      </c>
      <c r="Q911">
        <v>1078814.5</v>
      </c>
      <c r="T911" s="68">
        <f>=P911/10000*J911*Z911</f>
        <v>12278.6</v>
      </c>
      <c r="U911">
        <v>2900</v>
      </c>
      <c r="V911" s="68">
        <f>=P911*0.005/360*Z911</f>
        <v>852.680555555556</v>
      </c>
      <c r="W911" s="68">
        <f>=X911*0.06</f>
        <v>1218.87</v>
      </c>
      <c r="X911" s="68">
        <f>=O911-P911</f>
        <v>20314.5</v>
      </c>
      <c r="Y911" s="68">
        <f>=X911-T911-U911-V911-W911</f>
        <v>3064.34944444445</v>
      </c>
      <c r="Z911" s="62">
        <f>=A911-$A$608+1</f>
        <v>58</v>
      </c>
      <c r="AA911" s="68">
        <f>=P911/10000*K911*Z911</f>
        <v>15962.18</v>
      </c>
      <c r="AB911" s="62">
        <f>=Q911*Z911</f>
        <v>62571241</v>
      </c>
      <c r="AC911" t="s">
        <v>58</v>
      </c>
    </row>
    <row r="912" spans="1:29">
      <c r="A912" s="147">
        <v>46227</v>
      </c>
      <c r="B912" s="103" t="s"/>
      <c r="C912" s="103" t="s"/>
      <c r="D912" t="s">
        <v>38</v>
      </c>
      <c r="E912" t="s">
        <v>63</v>
      </c>
      <c r="F912" t="s">
        <v>226</v>
      </c>
      <c r="G912" s="136" t="s">
        <v>335</v>
      </c>
      <c r="H912" s="98" t="s">
        <v>371</v>
      </c>
      <c r="I912" s="73" t="s">
        <v>47</v>
      </c>
      <c r="J912" s="62">
        <v>2</v>
      </c>
      <c r="K912" s="62">
        <v>2.5</v>
      </c>
      <c r="O912">
        <v>135675</v>
      </c>
      <c r="P912">
        <v>135000</v>
      </c>
      <c r="Q912">
        <v>135675</v>
      </c>
      <c r="T912" s="68">
        <f>=P912/10000*J912*Z912</f>
        <v>324</v>
      </c>
      <c r="U912">
        <v>180</v>
      </c>
      <c r="V912" s="68">
        <f>=P912*0.005/360*Z912</f>
        <v>22.5</v>
      </c>
      <c r="W912" s="68">
        <f>=X912*0.06</f>
        <v>40.5</v>
      </c>
      <c r="X912" s="68">
        <f>=O912-P912</f>
        <v>675</v>
      </c>
      <c r="Y912" s="68">
        <f>=X912-T912-U912-V912-W912</f>
        <v>108</v>
      </c>
      <c r="Z912" s="62">
        <f>=A912-$A$831+1</f>
        <v>12</v>
      </c>
      <c r="AA912" s="68">
        <f>=P912/10000*K912*Z912</f>
        <v>405</v>
      </c>
      <c r="AB912" s="62">
        <f>=Q912*Z912</f>
        <v>1628100</v>
      </c>
      <c r="AC912" t="s">
        <v>367</v>
      </c>
    </row>
    <row r="913" spans="1:29">
      <c r="A913" s="147">
        <v>46227</v>
      </c>
      <c r="B913" s="103" t="s"/>
      <c r="C913" s="103" t="s"/>
      <c r="D913" t="s">
        <v>38</v>
      </c>
      <c r="E913" t="s">
        <v>63</v>
      </c>
      <c r="F913" t="s">
        <v>226</v>
      </c>
      <c r="G913" s="136" t="s">
        <v>335</v>
      </c>
      <c r="H913" s="98" t="s">
        <v>376</v>
      </c>
      <c r="I913" s="73" t="s">
        <v>47</v>
      </c>
      <c r="J913" s="62">
        <v>2</v>
      </c>
      <c r="K913" s="62">
        <v>2.5</v>
      </c>
      <c r="O913">
        <v>30121.5</v>
      </c>
      <c r="P913">
        <v>30000</v>
      </c>
      <c r="Q913">
        <v>30121.5</v>
      </c>
      <c r="T913" s="68">
        <f>=P913/10000*J913*Z913</f>
        <v>60</v>
      </c>
      <c r="U913">
        <v>36</v>
      </c>
      <c r="V913" s="68">
        <f>=P913*0.005/360*Z913</f>
        <v>4.16666666666667</v>
      </c>
      <c r="W913" s="68">
        <f>=X913*0.06</f>
        <v>7.29</v>
      </c>
      <c r="X913" s="68">
        <f>=O913-P913</f>
        <v>121.5</v>
      </c>
      <c r="Y913" s="68">
        <f>=X913-T913-U913-V913-W913</f>
        <v>14.0433333333333</v>
      </c>
      <c r="Z913" s="62">
        <f>=A913-$A$847+1</f>
        <v>10</v>
      </c>
      <c r="AA913" s="68">
        <f>=P913/10000*K913*Z913</f>
        <v>75</v>
      </c>
      <c r="AB913" s="62">
        <f>=Q913*Z913</f>
        <v>301215</v>
      </c>
      <c r="AC913" t="s">
        <v>367</v>
      </c>
    </row>
    <row r="914" spans="1:29">
      <c r="A914" s="147">
        <v>46227</v>
      </c>
      <c r="B914" s="103" t="s"/>
      <c r="C914" s="103" t="s"/>
      <c r="D914" s="64" t="s">
        <v>38</v>
      </c>
      <c r="E914" s="62" t="s">
        <v>85</v>
      </c>
      <c r="F914" t="s">
        <v>120</v>
      </c>
      <c r="G914" s="136" t="s">
        <v>239</v>
      </c>
      <c r="H914" t="s">
        <v>384</v>
      </c>
      <c r="I914" s="137" t="s">
        <v>47</v>
      </c>
      <c r="J914" s="64">
        <v>2</v>
      </c>
      <c r="K914" s="78">
        <v>2.5</v>
      </c>
      <c r="O914">
        <v>63378</v>
      </c>
      <c r="P914">
        <v>63000</v>
      </c>
      <c r="Q914">
        <v>63378</v>
      </c>
      <c r="T914" s="68">
        <f>=P914/10000*J914*Z914</f>
        <v>100.8</v>
      </c>
      <c r="U914">
        <v>168</v>
      </c>
      <c r="V914" s="68">
        <f>=P914*0.005/360*Z914</f>
        <v>7</v>
      </c>
      <c r="W914" s="68">
        <f>=X914*0.13</f>
        <v>49.14</v>
      </c>
      <c r="X914" s="68">
        <f>=O914-P914</f>
        <v>378</v>
      </c>
      <c r="Y914" s="68">
        <f>=X914-T914-U914-V914-W914</f>
        <v>53.06</v>
      </c>
      <c r="Z914" s="62">
        <f>=A914-$A$868+1</f>
        <v>8</v>
      </c>
      <c r="AA914" s="68">
        <f>=P914/10000*K914*Z914</f>
        <v>126</v>
      </c>
      <c r="AB914" s="62">
        <f>=Q914*Z914</f>
        <v>507024</v>
      </c>
      <c r="AC914" t="s">
        <v>367</v>
      </c>
    </row>
    <row r="915" spans="1:29">
      <c r="A915" s="147">
        <v>46227</v>
      </c>
      <c r="B915" s="103" t="s"/>
      <c r="C915" s="103" t="s"/>
      <c r="D915" s="78" t="s">
        <v>38</v>
      </c>
      <c r="E915" s="62" t="s">
        <v>133</v>
      </c>
      <c r="F915" s="62" t="s">
        <v>134</v>
      </c>
      <c r="G915" s="64" t="s">
        <v>135</v>
      </c>
      <c r="H915" s="80" t="s">
        <v>174</v>
      </c>
      <c r="I915" s="73" t="s">
        <v>47</v>
      </c>
      <c r="J915" s="62">
        <v>2</v>
      </c>
      <c r="K915" s="62">
        <v>2.5</v>
      </c>
      <c r="O915">
        <v>261126</v>
      </c>
      <c r="P915">
        <v>252000</v>
      </c>
      <c r="Q915">
        <v>261126</v>
      </c>
      <c r="T915" s="68">
        <f>=P915/10000*J915*Z915</f>
        <v>6400.8</v>
      </c>
      <c r="U915">
        <v>750</v>
      </c>
      <c r="V915" s="68">
        <f>=P915*0.005/360*Z915</f>
        <v>444.5</v>
      </c>
      <c r="W915" s="68">
        <f>=X915*0.06</f>
        <v>547.56</v>
      </c>
      <c r="X915" s="68">
        <f>=O915-P915</f>
        <v>9126</v>
      </c>
      <c r="Y915" s="68">
        <f>=X915-T915-U915-V915</f>
        <v>1530.7</v>
      </c>
      <c r="Z915" s="62">
        <f>=A915-$A$233+1</f>
        <v>127</v>
      </c>
      <c r="AA915" s="68">
        <f>=P915/10000*K915*Z915</f>
        <v>8001</v>
      </c>
      <c r="AB915" s="62">
        <f>=Q915*Z915</f>
        <v>33163002</v>
      </c>
      <c r="AC915" t="s">
        <v>58</v>
      </c>
    </row>
    <row r="916" spans="1:29">
      <c r="A916" s="147">
        <v>46228</v>
      </c>
      <c r="B916" s="103" t="s"/>
      <c r="C916" s="103" t="s"/>
      <c r="D916" s="78" t="s">
        <v>38</v>
      </c>
      <c r="E916" s="62" t="s">
        <v>133</v>
      </c>
      <c r="F916" s="62" t="s">
        <v>134</v>
      </c>
      <c r="G916" s="64" t="s">
        <v>135</v>
      </c>
      <c r="H916" s="80" t="s">
        <v>174</v>
      </c>
      <c r="I916" s="65" t="s">
        <v>47</v>
      </c>
      <c r="J916" s="62">
        <v>2</v>
      </c>
      <c r="K916" s="62">
        <v>2.5</v>
      </c>
      <c r="O916">
        <v>87063</v>
      </c>
      <c r="P916">
        <v>84000</v>
      </c>
      <c r="Q916">
        <v>87063</v>
      </c>
      <c r="T916" s="68">
        <f>=P916/10000*J916*Z916</f>
        <v>2150.4</v>
      </c>
      <c r="U916">
        <v>250</v>
      </c>
      <c r="V916" s="68">
        <f>=P916*0.005/360*Z916</f>
        <v>149.333333333333</v>
      </c>
      <c r="W916" s="68">
        <f>=X916*0.06</f>
        <v>183.78</v>
      </c>
      <c r="X916" s="68">
        <f>=O916-P916</f>
        <v>3063</v>
      </c>
      <c r="Y916" s="68">
        <f>=X916-T916-U916-V916</f>
        <v>513.266666666667</v>
      </c>
      <c r="Z916" s="62">
        <f>=A916-$A$233+1</f>
        <v>128</v>
      </c>
      <c r="AA916" s="68">
        <f>=P916/10000*K916*Z916</f>
        <v>2688</v>
      </c>
      <c r="AB916" s="62">
        <f>=Q916*Z916</f>
        <v>11144064</v>
      </c>
      <c r="AC916" t="s">
        <v>58</v>
      </c>
    </row>
    <row r="917" spans="1:27">
      <c r="A917" s="169" t="s"/>
      <c r="B917" s="103" t="s"/>
      <c r="C917" s="103" t="s"/>
      <c r="I917" s="170" t="s"/>
      <c r="AA917" s="157" t="s"/>
    </row>
    <row r="918" spans="1:27">
      <c r="A918" s="169" t="s"/>
      <c r="B918" s="103" t="s"/>
      <c r="C918" s="103" t="s"/>
      <c r="I918" s="170" t="s"/>
      <c r="AA918" s="157" t="s"/>
    </row>
    <row r="919" spans="1:27">
      <c r="A919" s="169" t="s"/>
      <c r="B919" s="103" t="s"/>
      <c r="C919" s="103" t="s"/>
      <c r="I919" s="170" t="s"/>
      <c r="AA919" s="157" t="s"/>
    </row>
    <row r="920" spans="1:27">
      <c r="A920" s="169" t="s"/>
      <c r="B920" s="103" t="s"/>
      <c r="C920" s="103" t="s"/>
      <c r="I920" s="170" t="s"/>
      <c r="AA920" s="157" t="s"/>
    </row>
    <row r="921" spans="1:27">
      <c r="A921" s="169" t="s"/>
      <c r="B921" s="103" t="s"/>
      <c r="C921" s="103" t="s"/>
      <c r="I921" s="170" t="s"/>
      <c r="AA921" s="157" t="s"/>
    </row>
    <row r="922" spans="1:27">
      <c r="A922" s="169" t="s"/>
      <c r="B922" s="103" t="s"/>
      <c r="C922" s="103" t="s"/>
      <c r="I922" s="170" t="s"/>
      <c r="AA922" s="157" t="s"/>
    </row>
    <row r="923" spans="1:27">
      <c r="A923" s="169" t="s"/>
      <c r="B923" s="103" t="s"/>
      <c r="C923" s="103" t="s"/>
      <c r="I923" s="170" t="s"/>
      <c r="AA923" s="157" t="s"/>
    </row>
    <row r="924" spans="1:27">
      <c r="A924" s="169" t="s"/>
      <c r="B924" s="103" t="s"/>
      <c r="C924" s="103" t="s"/>
      <c r="I924" s="170" t="s"/>
      <c r="AA924" s="157" t="s"/>
    </row>
    <row r="925" spans="1:27">
      <c r="A925" s="169" t="s"/>
      <c r="B925" s="103" t="s"/>
      <c r="C925" s="103" t="s"/>
      <c r="I925" s="170" t="s"/>
      <c r="AA925" s="157" t="s"/>
    </row>
    <row r="926" spans="1:27">
      <c r="A926" s="169" t="s"/>
      <c r="B926" s="103" t="s"/>
      <c r="C926" s="103" t="s"/>
      <c r="I926" s="170" t="s"/>
      <c r="AA926" s="157" t="s"/>
    </row>
    <row r="927" spans="1:27">
      <c r="A927" s="169" t="s"/>
      <c r="B927" s="103" t="s"/>
      <c r="C927" s="103" t="s"/>
      <c r="I927" s="170" t="s"/>
      <c r="AA927" s="157" t="s"/>
    </row>
    <row r="928" spans="1:27">
      <c r="A928" s="169" t="s"/>
      <c r="B928" s="103" t="s"/>
      <c r="C928" s="103" t="s"/>
      <c r="I928" s="170" t="s"/>
      <c r="AA928" s="157" t="s"/>
    </row>
    <row r="929" spans="1:27">
      <c r="A929" s="169" t="s"/>
      <c r="B929" s="103" t="s"/>
      <c r="C929" s="103" t="s"/>
      <c r="I929" s="170" t="s"/>
      <c r="AA929" s="157" t="s"/>
    </row>
    <row r="930" spans="1:27">
      <c r="A930" s="169" t="s"/>
      <c r="B930" s="103" t="s"/>
      <c r="C930" s="103" t="s"/>
      <c r="I930" s="170" t="s"/>
      <c r="AA930" s="157" t="s"/>
    </row>
    <row r="931" spans="1:27">
      <c r="A931" s="169" t="s"/>
      <c r="B931" s="103" t="s"/>
      <c r="C931" s="103" t="s"/>
      <c r="I931" s="170" t="s"/>
      <c r="AA931" s="157" t="s"/>
    </row>
    <row r="932" spans="1:27">
      <c r="A932" s="169" t="s"/>
      <c r="B932" s="103" t="s"/>
      <c r="C932" s="103" t="s"/>
      <c r="I932" s="170" t="s"/>
      <c r="AA932" s="157" t="s"/>
    </row>
    <row r="933" spans="1:27">
      <c r="A933" s="169" t="s"/>
      <c r="B933" s="103" t="s"/>
      <c r="C933" s="103" t="s"/>
      <c r="I933" s="170" t="s"/>
      <c r="AA933" s="157" t="s"/>
    </row>
    <row r="934" spans="1:27">
      <c r="A934" s="169" t="s"/>
      <c r="B934" s="103" t="s"/>
      <c r="C934" s="103" t="s"/>
      <c r="I934" s="170" t="s"/>
      <c r="AA934" s="157" t="s"/>
    </row>
    <row r="935" spans="1:27">
      <c r="A935" s="169" t="s"/>
      <c r="B935" s="103" t="s"/>
      <c r="C935" s="103" t="s"/>
      <c r="I935" s="170" t="s"/>
      <c r="AA935" s="157" t="s"/>
    </row>
    <row r="936" spans="1:27">
      <c r="A936" s="169" t="s"/>
      <c r="B936" s="103" t="s"/>
      <c r="C936" s="103" t="s"/>
      <c r="I936" s="170" t="s"/>
      <c r="AA936" s="157" t="s"/>
    </row>
    <row r="937" spans="1:27">
      <c r="A937" s="169" t="s"/>
      <c r="B937" s="103" t="s"/>
      <c r="C937" s="103" t="s"/>
      <c r="I937" s="170" t="s"/>
      <c r="AA937" s="157" t="s"/>
    </row>
    <row r="938" spans="1:27">
      <c r="A938" s="169" t="s"/>
      <c r="B938" s="103" t="s"/>
      <c r="C938" s="103" t="s"/>
      <c r="I938" s="170" t="s"/>
      <c r="AA938" s="157" t="s"/>
    </row>
    <row r="939" spans="1:27">
      <c r="A939" s="169" t="s"/>
      <c r="B939" s="103" t="s"/>
      <c r="C939" s="103" t="s"/>
      <c r="I939" s="170" t="s"/>
      <c r="AA939" s="157" t="s"/>
    </row>
    <row r="940" spans="1:27">
      <c r="A940" s="169" t="s"/>
      <c r="B940" s="103" t="s"/>
      <c r="C940" s="103" t="s"/>
      <c r="I940" s="170" t="s"/>
      <c r="AA940" s="157" t="s"/>
    </row>
    <row r="941" spans="1:27">
      <c r="A941" s="169" t="s"/>
      <c r="B941" s="103" t="s"/>
      <c r="C941" s="103" t="s"/>
      <c r="I941" s="170" t="s"/>
      <c r="AA941" s="157" t="s"/>
    </row>
    <row r="942" spans="1:27">
      <c r="A942" s="169" t="s"/>
      <c r="B942" s="103" t="s"/>
      <c r="C942" s="103" t="s"/>
      <c r="I942" s="170" t="s"/>
      <c r="AA942" s="157" t="s"/>
    </row>
    <row r="943" spans="1:27">
      <c r="A943" s="169" t="s"/>
      <c r="B943" s="103" t="s"/>
      <c r="C943" s="103" t="s"/>
      <c r="I943" s="170" t="s"/>
      <c r="AA943" s="157" t="s"/>
    </row>
    <row r="944" spans="1:27">
      <c r="A944" s="169" t="s"/>
      <c r="B944" s="103" t="s"/>
      <c r="C944" s="103" t="s"/>
      <c r="I944" s="170" t="s"/>
      <c r="AA944" s="157" t="s"/>
    </row>
    <row r="945" spans="1:27">
      <c r="A945" s="169" t="s"/>
      <c r="B945" s="103" t="s"/>
      <c r="C945" s="103" t="s"/>
      <c r="I945" s="170" t="s"/>
      <c r="AA945" s="157" t="s"/>
    </row>
    <row r="946" spans="1:27">
      <c r="A946" s="169" t="s"/>
      <c r="B946" s="103" t="s"/>
      <c r="C946" s="103" t="s"/>
      <c r="I946" s="170" t="s"/>
      <c r="AA946" s="157" t="s"/>
    </row>
    <row r="947" spans="1:27">
      <c r="A947" s="169" t="s"/>
      <c r="B947" s="103" t="s"/>
      <c r="C947" s="103" t="s"/>
      <c r="I947" s="170" t="s"/>
      <c r="AA947" s="157" t="s"/>
    </row>
    <row r="948" spans="1:27">
      <c r="A948" s="169" t="s"/>
      <c r="B948" s="103" t="s"/>
      <c r="C948" s="103" t="s"/>
      <c r="I948" s="170" t="s"/>
      <c r="AA948" s="157" t="s"/>
    </row>
    <row r="949" spans="1:27">
      <c r="A949" s="169" t="s"/>
      <c r="B949" s="103" t="s"/>
      <c r="C949" s="103" t="s"/>
      <c r="I949" s="170" t="s"/>
      <c r="AA949" s="157" t="s"/>
    </row>
    <row r="950" spans="1:27">
      <c r="A950" s="169" t="s"/>
      <c r="B950" s="103" t="s"/>
      <c r="C950" s="103" t="s"/>
      <c r="I950" s="170" t="s"/>
      <c r="AA950" s="157" t="s"/>
    </row>
    <row r="951" spans="1:27">
      <c r="A951" s="169" t="s"/>
      <c r="B951" s="103" t="s"/>
      <c r="C951" s="103" t="s"/>
      <c r="I951" s="170" t="s"/>
      <c r="AA951" s="157" t="s"/>
    </row>
    <row r="952" spans="1:27">
      <c r="A952" s="169" t="s"/>
      <c r="B952" s="103" t="s"/>
      <c r="C952" s="103" t="s"/>
      <c r="I952" s="170" t="s"/>
      <c r="AA952" s="157" t="s"/>
    </row>
    <row r="953" spans="1:27">
      <c r="A953" s="169" t="s"/>
      <c r="B953" s="103" t="s"/>
      <c r="C953" s="103" t="s"/>
      <c r="I953" s="170" t="s"/>
      <c r="AA953" s="157" t="s"/>
    </row>
    <row r="954" spans="1:27">
      <c r="A954" s="169" t="s"/>
      <c r="B954" s="103" t="s"/>
      <c r="C954" s="103" t="s"/>
      <c r="I954" s="170" t="s"/>
      <c r="AA954" s="157" t="s"/>
    </row>
    <row r="955" spans="1:27">
      <c r="A955" s="169" t="s"/>
      <c r="B955" s="103" t="s"/>
      <c r="C955" s="103" t="s"/>
      <c r="I955" s="170" t="s"/>
      <c r="AA955" s="157" t="s"/>
    </row>
    <row r="956" spans="1:27">
      <c r="A956" s="169" t="s"/>
      <c r="B956" s="103" t="s"/>
      <c r="C956" s="103" t="s"/>
      <c r="I956" s="170" t="s"/>
      <c r="AA956" s="157" t="s"/>
    </row>
    <row r="957" spans="1:27">
      <c r="A957" s="169" t="s"/>
      <c r="B957" s="103" t="s"/>
      <c r="C957" s="103" t="s"/>
      <c r="I957" s="170" t="s"/>
      <c r="AA957" s="157" t="s"/>
    </row>
    <row r="958" spans="1:27">
      <c r="A958" s="169" t="s"/>
      <c r="B958" s="103" t="s"/>
      <c r="C958" s="103" t="s"/>
      <c r="I958" s="170" t="s"/>
      <c r="AA958" s="157" t="s"/>
    </row>
    <row r="959" spans="1:27">
      <c r="A959" s="169" t="s"/>
      <c r="B959" s="103" t="s"/>
      <c r="C959" s="103" t="s"/>
      <c r="I959" s="170" t="s"/>
      <c r="AA959" s="157" t="s"/>
    </row>
    <row r="960" spans="1:27">
      <c r="A960" s="169" t="s"/>
      <c r="B960" s="103" t="s"/>
      <c r="C960" s="103" t="s"/>
      <c r="I960" s="170" t="s"/>
      <c r="AA960" s="157" t="s"/>
    </row>
    <row r="961" spans="1:27">
      <c r="A961" s="169" t="s"/>
      <c r="B961" s="103" t="s"/>
      <c r="C961" s="103" t="s"/>
      <c r="I961" s="170" t="s"/>
      <c r="AA961" s="157" t="s"/>
    </row>
    <row r="962" spans="1:27">
      <c r="A962" s="169" t="s"/>
      <c r="B962" s="103" t="s"/>
      <c r="C962" s="103" t="s"/>
      <c r="I962" s="170" t="s"/>
      <c r="AA962" s="157" t="s"/>
    </row>
    <row r="963" spans="1:27">
      <c r="A963" s="169" t="s"/>
      <c r="B963" s="103" t="s"/>
      <c r="C963" s="103" t="s"/>
      <c r="I963" s="170" t="s"/>
      <c r="AA963" s="157" t="s"/>
    </row>
    <row r="964" spans="1:27">
      <c r="A964" s="169" t="s"/>
      <c r="B964" s="103" t="s"/>
      <c r="C964" s="103" t="s"/>
      <c r="I964" s="170" t="s"/>
      <c r="AA964" s="157" t="s"/>
    </row>
    <row r="965" spans="1:27">
      <c r="A965" s="169" t="s"/>
      <c r="B965" s="103" t="s"/>
      <c r="C965" s="103" t="s"/>
      <c r="I965" s="170" t="s"/>
      <c r="AA965" s="157" t="s"/>
    </row>
    <row r="966" spans="1:27">
      <c r="A966" s="169" t="s"/>
      <c r="B966" s="103" t="s"/>
      <c r="C966" s="103" t="s"/>
      <c r="I966" s="170" t="s"/>
      <c r="AA966" s="157" t="s"/>
    </row>
    <row r="967" spans="1:27">
      <c r="A967" s="169" t="s"/>
      <c r="B967" s="103" t="s"/>
      <c r="C967" s="103" t="s"/>
      <c r="I967" s="170" t="s"/>
      <c r="AA967" s="157" t="s"/>
    </row>
    <row r="968" spans="1:27">
      <c r="A968" s="169" t="s"/>
      <c r="B968" s="103" t="s"/>
      <c r="C968" s="103" t="s"/>
      <c r="I968" s="170" t="s"/>
      <c r="AA968" s="157" t="s"/>
    </row>
    <row r="969" spans="1:27">
      <c r="A969" s="169" t="s"/>
      <c r="B969" s="103" t="s"/>
      <c r="C969" s="103" t="s"/>
      <c r="I969" s="170" t="s"/>
      <c r="AA969" s="157" t="s"/>
    </row>
    <row r="970" spans="1:27">
      <c r="A970" s="169" t="s"/>
      <c r="B970" s="103" t="s"/>
      <c r="C970" s="103" t="s"/>
      <c r="I970" s="170" t="s"/>
      <c r="AA970" s="157" t="s"/>
    </row>
    <row r="971" spans="1:27">
      <c r="A971" s="169" t="s"/>
      <c r="B971" s="103" t="s"/>
      <c r="C971" s="103" t="s"/>
      <c r="I971" s="170" t="s"/>
      <c r="AA971" s="157" t="s"/>
    </row>
    <row r="972" spans="1:27">
      <c r="A972" s="169" t="s"/>
      <c r="B972" s="103" t="s"/>
      <c r="C972" s="103" t="s"/>
      <c r="I972" s="170" t="s"/>
      <c r="AA972" s="157" t="s"/>
    </row>
    <row r="973" spans="1:27">
      <c r="A973" s="169" t="s"/>
      <c r="B973" s="103" t="s"/>
      <c r="C973" s="103" t="s"/>
      <c r="I973" s="170" t="s"/>
      <c r="AA973" s="157" t="s"/>
    </row>
    <row r="974" spans="1:27">
      <c r="A974" s="169" t="s"/>
      <c r="B974" s="103" t="s"/>
      <c r="C974" s="103" t="s"/>
      <c r="I974" s="170" t="s"/>
      <c r="AA974" s="157" t="s"/>
    </row>
    <row r="975" spans="1:27">
      <c r="A975" s="169" t="s"/>
      <c r="B975" s="103" t="s"/>
      <c r="C975" s="103" t="s"/>
      <c r="I975" s="170" t="s"/>
      <c r="AA975" s="157" t="s"/>
    </row>
    <row r="976" spans="1:27">
      <c r="A976" s="169" t="s"/>
      <c r="B976" s="103" t="s"/>
      <c r="C976" s="103" t="s"/>
      <c r="I976" s="170" t="s"/>
      <c r="AA976" s="157" t="s"/>
    </row>
    <row r="977" spans="1:27">
      <c r="A977" s="169" t="s"/>
      <c r="B977" s="103" t="s"/>
      <c r="C977" s="103" t="s"/>
      <c r="I977" s="170" t="s"/>
      <c r="AA977" s="157" t="s"/>
    </row>
    <row r="978" spans="1:27">
      <c r="A978" s="169" t="s"/>
      <c r="B978" s="103" t="s"/>
      <c r="C978" s="103" t="s"/>
      <c r="I978" s="170" t="s"/>
      <c r="AA978" s="157" t="s"/>
    </row>
    <row r="979" spans="1:27">
      <c r="A979" s="169" t="s"/>
      <c r="B979" s="103" t="s"/>
      <c r="C979" s="103" t="s"/>
      <c r="I979" s="170" t="s"/>
      <c r="AA979" s="157" t="s"/>
    </row>
    <row r="980" spans="1:27">
      <c r="A980" s="169" t="s"/>
      <c r="B980" s="103" t="s"/>
      <c r="C980" s="103" t="s"/>
      <c r="I980" s="170" t="s"/>
      <c r="AA980" s="157" t="s"/>
    </row>
    <row r="981" spans="1:27">
      <c r="A981" s="169" t="s"/>
      <c r="B981" s="103" t="s"/>
      <c r="C981" s="103" t="s"/>
      <c r="I981" s="170" t="s"/>
      <c r="AA981" s="157" t="s"/>
    </row>
    <row r="982" spans="1:27">
      <c r="A982" s="169" t="s"/>
      <c r="B982" s="103" t="s"/>
      <c r="C982" s="103" t="s"/>
      <c r="I982" s="170" t="s"/>
      <c r="AA982" s="157" t="s"/>
    </row>
    <row r="983" spans="1:27">
      <c r="A983" s="169" t="s"/>
      <c r="B983" s="103" t="s"/>
      <c r="C983" s="103" t="s"/>
      <c r="I983" s="170" t="s"/>
      <c r="AA983" s="157" t="s"/>
    </row>
    <row r="984" spans="1:27">
      <c r="A984" s="169" t="s"/>
      <c r="B984" s="103" t="s"/>
      <c r="C984" s="103" t="s"/>
      <c r="I984" s="170" t="s"/>
      <c r="AA984" s="157" t="s"/>
    </row>
    <row r="985" spans="1:27">
      <c r="A985" s="169" t="s"/>
      <c r="B985" s="103" t="s"/>
      <c r="C985" s="103" t="s"/>
      <c r="I985" s="170" t="s"/>
      <c r="AA985" s="157" t="s"/>
    </row>
    <row r="986" spans="1:27">
      <c r="A986" s="169" t="s"/>
      <c r="B986" s="103" t="s"/>
      <c r="C986" s="103" t="s"/>
      <c r="I986" s="170" t="s"/>
      <c r="AA986" s="157" t="s"/>
    </row>
    <row r="987" spans="1:27">
      <c r="A987" s="169" t="s"/>
      <c r="B987" s="103" t="s"/>
      <c r="C987" s="103" t="s"/>
      <c r="I987" s="170" t="s"/>
      <c r="AA987" s="157" t="s"/>
    </row>
    <row r="988" spans="1:27">
      <c r="A988" s="169" t="s"/>
      <c r="B988" s="103" t="s"/>
      <c r="C988" s="103" t="s"/>
      <c r="I988" s="170" t="s"/>
      <c r="AA988" s="157" t="s"/>
    </row>
    <row r="989" spans="1:27">
      <c r="A989" s="169" t="s"/>
      <c r="B989" s="103" t="s"/>
      <c r="C989" s="103" t="s"/>
      <c r="I989" s="170" t="s"/>
      <c r="AA989" s="157" t="s"/>
    </row>
    <row r="990" spans="1:27">
      <c r="A990" s="169" t="s"/>
      <c r="B990" s="103" t="s"/>
      <c r="C990" s="103" t="s"/>
      <c r="I990" s="170" t="s"/>
      <c r="AA990" s="157" t="s"/>
    </row>
    <row r="991" spans="1:27">
      <c r="A991" s="169" t="s"/>
      <c r="B991" s="103" t="s"/>
      <c r="C991" s="103" t="s"/>
      <c r="I991" s="170" t="s"/>
      <c r="AA991" s="157" t="s"/>
    </row>
    <row r="992" spans="1:27">
      <c r="A992" s="169" t="s"/>
      <c r="B992" s="103" t="s"/>
      <c r="C992" s="103" t="s"/>
      <c r="I992" s="170" t="s"/>
      <c r="AA992" s="157" t="s"/>
    </row>
    <row r="993" spans="1:27">
      <c r="A993" s="169" t="s"/>
      <c r="B993" s="103" t="s"/>
      <c r="C993" s="103" t="s"/>
      <c r="I993" s="170" t="s"/>
      <c r="AA993" s="157" t="s"/>
    </row>
    <row r="994" spans="1:27">
      <c r="A994" s="169" t="s"/>
      <c r="B994" s="103" t="s"/>
      <c r="C994" s="103" t="s"/>
      <c r="I994" s="170" t="s"/>
      <c r="AA994" s="157" t="s"/>
    </row>
    <row r="995" spans="1:27">
      <c r="A995" s="169" t="s"/>
      <c r="B995" s="103" t="s"/>
      <c r="C995" s="103" t="s"/>
      <c r="I995" s="170" t="s"/>
      <c r="AA995" s="157" t="s"/>
    </row>
    <row r="996" spans="1:27">
      <c r="A996" s="169" t="s"/>
      <c r="B996" s="103" t="s"/>
      <c r="C996" s="103" t="s"/>
      <c r="I996" s="170" t="s"/>
      <c r="AA996" s="157" t="s"/>
    </row>
    <row r="997" spans="1:27">
      <c r="A997" s="169" t="s"/>
      <c r="B997" s="103" t="s"/>
      <c r="C997" s="103" t="s"/>
      <c r="I997" s="170" t="s"/>
      <c r="AA997" s="157" t="s"/>
    </row>
    <row r="998" spans="1:27">
      <c r="A998" s="169" t="s"/>
      <c r="B998" s="103" t="s"/>
      <c r="C998" s="103" t="s"/>
      <c r="I998" s="170" t="s"/>
      <c r="AA998" s="157" t="s"/>
    </row>
    <row r="999" spans="1:27">
      <c r="A999" s="169" t="s"/>
      <c r="B999" s="103" t="s"/>
      <c r="C999" s="103" t="s"/>
      <c r="I999" s="170" t="s"/>
      <c r="AA999" s="157" t="s"/>
    </row>
    <row r="1000" spans="1:27">
      <c r="A1000" s="169" t="s"/>
      <c r="B1000" s="103" t="s"/>
      <c r="C1000" s="103" t="s"/>
      <c r="I1000" s="170" t="s"/>
      <c r="AA1000" s="157" t="s"/>
    </row>
    <row r="1001" spans="1:27">
      <c r="A1001" s="169" t="s"/>
      <c r="B1001" s="103" t="s"/>
      <c r="C1001" s="103" t="s"/>
      <c r="I1001" s="170" t="s"/>
      <c r="AA1001" s="157" t="s"/>
    </row>
    <row r="1002" spans="1:27">
      <c r="A1002" s="169" t="s"/>
      <c r="B1002" s="103" t="s"/>
      <c r="C1002" s="103" t="s"/>
      <c r="I1002" s="170" t="s"/>
      <c r="AA1002" s="157" t="s"/>
    </row>
    <row r="1003" spans="1:27">
      <c r="A1003" s="169" t="s"/>
      <c r="B1003" s="103" t="s"/>
      <c r="C1003" s="103" t="s"/>
      <c r="I1003" s="170" t="s"/>
      <c r="AA1003" s="157" t="s"/>
    </row>
    <row r="1004" spans="1:27">
      <c r="A1004" s="169" t="s"/>
      <c r="B1004" s="103" t="s"/>
      <c r="C1004" s="103" t="s"/>
      <c r="I1004" s="170" t="s"/>
      <c r="AA1004" s="157" t="s"/>
    </row>
    <row r="1005" spans="1:27">
      <c r="A1005" s="169" t="s"/>
      <c r="B1005" s="103" t="s"/>
      <c r="C1005" s="103" t="s"/>
      <c r="I1005" s="170" t="s"/>
      <c r="AA1005" s="157" t="s"/>
    </row>
    <row r="1006" spans="1:27">
      <c r="A1006" s="169" t="s"/>
      <c r="B1006" s="103" t="s"/>
      <c r="C1006" s="103" t="s"/>
      <c r="I1006" s="170" t="s"/>
      <c r="AA1006" s="157" t="s"/>
    </row>
    <row r="1007" spans="1:27">
      <c r="A1007" s="169" t="s"/>
      <c r="B1007" s="103" t="s"/>
      <c r="C1007" s="103" t="s"/>
      <c r="I1007" s="170" t="s"/>
      <c r="AA1007" s="157" t="s"/>
    </row>
    <row r="1008" spans="1:27">
      <c r="A1008" s="169" t="s"/>
      <c r="B1008" s="103" t="s"/>
      <c r="C1008" s="103" t="s"/>
      <c r="I1008" s="170" t="s"/>
      <c r="AA1008" s="157" t="s"/>
    </row>
    <row r="1009" spans="1:27">
      <c r="A1009" s="169" t="s"/>
      <c r="B1009" s="103" t="s"/>
      <c r="C1009" s="103" t="s"/>
      <c r="I1009" s="170" t="s"/>
      <c r="AA1009" s="157" t="s"/>
    </row>
    <row r="1010" spans="1:27">
      <c r="A1010" s="169" t="s"/>
      <c r="B1010" s="103" t="s"/>
      <c r="C1010" s="103" t="s"/>
      <c r="I1010" s="170" t="s"/>
      <c r="AA1010" s="157" t="s"/>
    </row>
    <row r="1011" spans="1:27">
      <c r="A1011" s="169" t="s"/>
      <c r="B1011" s="103" t="s"/>
      <c r="C1011" s="103" t="s"/>
      <c r="I1011" s="170" t="s"/>
      <c r="AA1011" s="157" t="s"/>
    </row>
    <row r="1012" spans="1:27">
      <c r="A1012" s="169" t="s"/>
      <c r="B1012" s="103" t="s"/>
      <c r="C1012" s="103" t="s"/>
      <c r="I1012" s="170" t="s"/>
      <c r="AA1012" s="157" t="s"/>
    </row>
    <row r="1013" spans="1:27">
      <c r="A1013" s="169" t="s"/>
      <c r="B1013" s="103" t="s"/>
      <c r="C1013" s="103" t="s"/>
      <c r="I1013" s="170" t="s"/>
      <c r="AA1013" s="157" t="s"/>
    </row>
    <row r="1014" spans="1:27">
      <c r="A1014" s="169" t="s"/>
      <c r="B1014" s="103" t="s"/>
      <c r="C1014" s="103" t="s"/>
      <c r="I1014" s="170" t="s"/>
      <c r="AA1014" s="157" t="s"/>
    </row>
    <row r="1015" spans="1:27">
      <c r="A1015" s="169" t="s"/>
      <c r="B1015" s="103" t="s"/>
      <c r="C1015" s="103" t="s"/>
      <c r="I1015" s="170" t="s"/>
      <c r="AA1015" s="157" t="s"/>
    </row>
    <row r="1016" spans="1:27">
      <c r="A1016" s="169" t="s"/>
      <c r="B1016" s="103" t="s"/>
      <c r="C1016" s="103" t="s"/>
      <c r="I1016" s="170" t="s"/>
      <c r="AA1016" s="157" t="s"/>
    </row>
    <row r="1017" spans="1:27">
      <c r="A1017" s="169" t="s"/>
      <c r="B1017" s="103" t="s"/>
      <c r="C1017" s="103" t="s"/>
      <c r="I1017" s="170" t="s"/>
      <c r="AA1017" s="157" t="s"/>
    </row>
    <row r="1018" spans="1:27">
      <c r="A1018" s="169" t="s"/>
      <c r="B1018" s="103" t="s"/>
      <c r="C1018" s="103" t="s"/>
      <c r="I1018" s="170" t="s"/>
      <c r="AA1018" s="157" t="s"/>
    </row>
    <row r="1019" spans="1:27">
      <c r="A1019" s="169" t="s"/>
      <c r="B1019" s="103" t="s"/>
      <c r="C1019" s="103" t="s"/>
      <c r="I1019" s="170" t="s"/>
      <c r="AA1019" s="157" t="s"/>
    </row>
    <row r="1020" spans="1:27">
      <c r="A1020" s="169" t="s"/>
      <c r="B1020" s="103" t="s"/>
      <c r="C1020" s="103" t="s"/>
      <c r="I1020" s="170" t="s"/>
      <c r="AA1020" s="157" t="s"/>
    </row>
    <row r="1021" spans="1:27">
      <c r="A1021" s="169" t="s"/>
      <c r="B1021" s="103" t="s"/>
      <c r="C1021" s="103" t="s"/>
      <c r="I1021" s="170" t="s"/>
      <c r="AA1021" s="157" t="s"/>
    </row>
    <row r="1022" spans="1:27">
      <c r="A1022" s="169" t="s"/>
      <c r="B1022" s="103" t="s"/>
      <c r="C1022" s="103" t="s"/>
      <c r="I1022" s="170" t="s"/>
      <c r="AA1022" s="157" t="s"/>
    </row>
    <row r="1023" spans="1:27">
      <c r="A1023" s="169" t="s"/>
      <c r="B1023" s="103" t="s"/>
      <c r="C1023" s="103" t="s"/>
      <c r="I1023" s="170" t="s"/>
      <c r="AA1023" s="157" t="s"/>
    </row>
    <row r="1024" spans="1:27">
      <c r="A1024" s="169" t="s"/>
      <c r="B1024" s="103" t="s"/>
      <c r="C1024" s="103" t="s"/>
      <c r="I1024" s="170" t="s"/>
      <c r="AA1024" s="157" t="s"/>
    </row>
    <row r="1025" spans="1:27">
      <c r="A1025" s="169" t="s"/>
      <c r="B1025" s="103" t="s"/>
      <c r="C1025" s="103" t="s"/>
      <c r="I1025" s="170" t="s"/>
      <c r="AA1025" s="157" t="s"/>
    </row>
    <row r="1026" spans="1:27">
      <c r="A1026" s="169" t="s"/>
      <c r="B1026" s="103" t="s"/>
      <c r="C1026" s="103" t="s"/>
      <c r="I1026" s="170" t="s"/>
      <c r="AA1026" s="157" t="s"/>
    </row>
    <row r="1027" spans="1:27">
      <c r="A1027" s="169" t="s"/>
      <c r="B1027" s="103" t="s"/>
      <c r="C1027" s="103" t="s"/>
      <c r="I1027" s="170" t="s"/>
      <c r="AA1027" s="157" t="s"/>
    </row>
    <row r="1028" spans="1:27">
      <c r="A1028" s="169" t="s"/>
      <c r="B1028" s="103" t="s"/>
      <c r="C1028" s="103" t="s"/>
      <c r="I1028" s="170" t="s"/>
      <c r="AA1028" s="157" t="s"/>
    </row>
    <row r="1029" spans="1:27">
      <c r="A1029" s="169" t="s"/>
      <c r="B1029" s="103" t="s"/>
      <c r="C1029" s="103" t="s"/>
      <c r="I1029" s="170" t="s"/>
      <c r="AA1029" s="157" t="s"/>
    </row>
    <row r="1030" spans="1:27">
      <c r="A1030" s="169" t="s"/>
      <c r="B1030" s="103" t="s"/>
      <c r="C1030" s="103" t="s"/>
      <c r="I1030" s="170" t="s"/>
      <c r="AA1030" s="157" t="s"/>
    </row>
    <row r="1031" spans="1:27">
      <c r="A1031" s="169" t="s"/>
      <c r="B1031" s="103" t="s"/>
      <c r="C1031" s="103" t="s"/>
      <c r="I1031" s="170" t="s"/>
      <c r="AA1031" s="157" t="s"/>
    </row>
    <row r="1032" spans="1:27">
      <c r="A1032" s="169" t="s"/>
      <c r="B1032" s="103" t="s"/>
      <c r="C1032" s="103" t="s"/>
      <c r="I1032" s="170" t="s"/>
      <c r="AA1032" s="157" t="s"/>
    </row>
    <row r="1033" spans="1:27">
      <c r="A1033" s="169" t="s"/>
      <c r="B1033" s="103" t="s"/>
      <c r="C1033" s="103" t="s"/>
      <c r="I1033" s="170" t="s"/>
      <c r="AA1033" s="157" t="s"/>
    </row>
    <row r="1034" spans="1:27">
      <c r="A1034" s="169" t="s"/>
      <c r="B1034" s="103" t="s"/>
      <c r="C1034" s="103" t="s"/>
      <c r="I1034" s="170" t="s"/>
      <c r="AA1034" s="157" t="s"/>
    </row>
    <row r="1035" spans="1:27">
      <c r="A1035" s="169" t="s"/>
      <c r="B1035" s="103" t="s"/>
      <c r="C1035" s="103" t="s"/>
      <c r="I1035" s="170" t="s"/>
      <c r="AA1035" s="157" t="s"/>
    </row>
    <row r="1036" spans="1:27">
      <c r="A1036" s="169" t="s"/>
      <c r="B1036" s="103" t="s"/>
      <c r="C1036" s="103" t="s"/>
      <c r="I1036" s="170" t="s"/>
      <c r="AA1036" s="157" t="s"/>
    </row>
    <row r="1037" spans="1:27">
      <c r="A1037" s="169" t="s"/>
      <c r="B1037" s="103" t="s"/>
      <c r="C1037" s="103" t="s"/>
      <c r="I1037" s="170" t="s"/>
      <c r="AA1037" s="157" t="s"/>
    </row>
    <row r="1038" spans="1:27">
      <c r="A1038" s="169" t="s"/>
      <c r="B1038" s="103" t="s"/>
      <c r="C1038" s="103" t="s"/>
      <c r="I1038" s="170" t="s"/>
      <c r="AA1038" s="157" t="s"/>
    </row>
    <row r="1039" spans="1:27">
      <c r="A1039" s="169" t="s"/>
      <c r="B1039" s="103" t="s"/>
      <c r="C1039" s="103" t="s"/>
      <c r="I1039" s="170" t="s"/>
      <c r="AA1039" s="157" t="s"/>
    </row>
    <row r="1040" spans="1:27">
      <c r="A1040" s="169" t="s"/>
      <c r="B1040" s="103" t="s"/>
      <c r="C1040" s="103" t="s"/>
      <c r="I1040" s="170" t="s"/>
      <c r="AA1040" s="157" t="s"/>
    </row>
    <row r="1041" spans="1:27">
      <c r="A1041" s="169" t="s"/>
      <c r="B1041" s="103" t="s"/>
      <c r="C1041" s="103" t="s"/>
      <c r="I1041" s="170" t="s"/>
      <c r="AA1041" s="157" t="s"/>
    </row>
    <row r="1042" spans="1:27">
      <c r="A1042" s="169" t="s"/>
      <c r="B1042" s="103" t="s"/>
      <c r="C1042" s="103" t="s"/>
      <c r="I1042" s="170" t="s"/>
      <c r="AA1042" s="157" t="s"/>
    </row>
    <row r="1043" spans="1:27">
      <c r="A1043" s="169" t="s"/>
      <c r="B1043" s="103" t="s"/>
      <c r="C1043" s="103" t="s"/>
      <c r="I1043" s="170" t="s"/>
      <c r="AA1043" s="157" t="s"/>
    </row>
    <row r="1044" spans="1:27">
      <c r="A1044" s="169" t="s"/>
      <c r="B1044" s="103" t="s"/>
      <c r="C1044" s="103" t="s"/>
      <c r="I1044" s="170" t="s"/>
      <c r="AA1044" s="157" t="s"/>
    </row>
    <row r="1045" spans="1:27">
      <c r="A1045" s="169" t="s"/>
      <c r="B1045" s="103" t="s"/>
      <c r="C1045" s="103" t="s"/>
      <c r="I1045" s="170" t="s"/>
      <c r="AA1045" s="157" t="s"/>
    </row>
    <row r="1046" spans="1:27">
      <c r="A1046" s="169" t="s"/>
      <c r="B1046" s="103" t="s"/>
      <c r="C1046" s="103" t="s"/>
      <c r="I1046" s="170" t="s"/>
      <c r="AA1046" s="157" t="s"/>
    </row>
    <row r="1047" spans="1:27">
      <c r="A1047" s="169" t="s"/>
      <c r="B1047" s="103" t="s"/>
      <c r="C1047" s="103" t="s"/>
      <c r="I1047" s="170" t="s"/>
      <c r="AA1047" s="157" t="s"/>
    </row>
    <row r="1048" spans="1:27">
      <c r="A1048" s="169" t="s"/>
      <c r="B1048" s="103" t="s"/>
      <c r="C1048" s="103" t="s"/>
      <c r="I1048" s="170" t="s"/>
      <c r="AA1048" s="157" t="s"/>
    </row>
    <row r="1049" spans="1:27">
      <c r="A1049" s="169" t="s"/>
      <c r="B1049" s="103" t="s"/>
      <c r="C1049" s="103" t="s"/>
      <c r="I1049" s="170" t="s"/>
      <c r="AA1049" s="157" t="s"/>
    </row>
    <row r="1050" spans="1:27">
      <c r="A1050" s="169" t="s"/>
      <c r="B1050" s="103" t="s"/>
      <c r="C1050" s="103" t="s"/>
      <c r="I1050" s="170" t="s"/>
      <c r="AA1050" s="157" t="s"/>
    </row>
    <row r="1051" spans="1:27">
      <c r="A1051" s="169" t="s"/>
      <c r="B1051" s="103" t="s"/>
      <c r="C1051" s="103" t="s"/>
      <c r="I1051" s="170" t="s"/>
      <c r="AA1051" s="157" t="s"/>
    </row>
    <row r="1052" spans="1:27">
      <c r="A1052" s="169" t="s"/>
      <c r="B1052" s="103" t="s"/>
      <c r="C1052" s="103" t="s"/>
      <c r="I1052" s="170" t="s"/>
      <c r="AA1052" s="157" t="s"/>
    </row>
    <row r="1053" spans="1:27">
      <c r="A1053" s="169" t="s"/>
      <c r="B1053" s="103" t="s"/>
      <c r="C1053" s="103" t="s"/>
      <c r="I1053" s="170" t="s"/>
      <c r="AA1053" s="157" t="s"/>
    </row>
    <row r="1054" spans="1:27">
      <c r="A1054" s="169" t="s"/>
      <c r="B1054" s="103" t="s"/>
      <c r="C1054" s="103" t="s"/>
      <c r="I1054" s="170" t="s"/>
      <c r="AA1054" s="157" t="s"/>
    </row>
    <row r="1055" spans="1:27">
      <c r="A1055" s="169" t="s"/>
      <c r="B1055" s="103" t="s"/>
      <c r="C1055" s="103" t="s"/>
      <c r="I1055" s="170" t="s"/>
      <c r="AA1055" s="157" t="s"/>
    </row>
    <row r="1056" spans="1:27">
      <c r="A1056" s="169" t="s"/>
      <c r="B1056" s="103" t="s"/>
      <c r="C1056" s="103" t="s"/>
      <c r="I1056" s="170" t="s"/>
      <c r="AA1056" s="157" t="s"/>
    </row>
    <row r="1057" spans="1:27">
      <c r="A1057" s="169" t="s"/>
      <c r="B1057" s="103" t="s"/>
      <c r="C1057" s="103" t="s"/>
      <c r="I1057" s="170" t="s"/>
      <c r="AA1057" s="157" t="s"/>
    </row>
    <row r="1058" spans="1:27">
      <c r="A1058" s="169" t="s"/>
      <c r="B1058" s="103" t="s"/>
      <c r="C1058" s="103" t="s"/>
      <c r="I1058" s="170" t="s"/>
      <c r="AA1058" s="157" t="s"/>
    </row>
    <row r="1059" spans="1:27">
      <c r="A1059" s="169" t="s"/>
      <c r="B1059" s="103" t="s"/>
      <c r="C1059" s="103" t="s"/>
      <c r="I1059" s="170" t="s"/>
      <c r="AA1059" s="157" t="s"/>
    </row>
    <row r="1060" spans="1:27">
      <c r="A1060" s="169" t="s"/>
      <c r="B1060" s="103" t="s"/>
      <c r="C1060" s="103" t="s"/>
      <c r="I1060" s="170" t="s"/>
      <c r="AA1060" s="157" t="s"/>
    </row>
    <row r="1061" spans="1:27">
      <c r="A1061" s="169" t="s"/>
      <c r="B1061" s="103" t="s"/>
      <c r="C1061" s="103" t="s"/>
      <c r="I1061" s="170" t="s"/>
      <c r="AA1061" s="157" t="s"/>
    </row>
    <row r="1062" spans="1:27">
      <c r="A1062" s="169" t="s"/>
      <c r="B1062" s="103" t="s"/>
      <c r="C1062" s="103" t="s"/>
      <c r="I1062" s="170" t="s"/>
      <c r="AA1062" s="157" t="s"/>
    </row>
    <row r="1063" spans="1:27">
      <c r="A1063" s="169" t="s"/>
      <c r="B1063" s="103" t="s"/>
      <c r="C1063" s="103" t="s"/>
      <c r="I1063" s="170" t="s"/>
      <c r="AA1063" s="157" t="s"/>
    </row>
    <row r="1064" spans="1:27">
      <c r="A1064" s="169" t="s"/>
      <c r="B1064" s="103" t="s"/>
      <c r="C1064" s="103" t="s"/>
      <c r="I1064" s="170" t="s"/>
      <c r="AA1064" s="157" t="s"/>
    </row>
    <row r="1065" spans="1:27">
      <c r="A1065" s="169" t="s"/>
      <c r="B1065" s="103" t="s"/>
      <c r="C1065" s="103" t="s"/>
      <c r="I1065" s="170" t="s"/>
      <c r="AA1065" s="157" t="s"/>
    </row>
    <row r="1066" spans="1:27">
      <c r="A1066" s="169" t="s"/>
      <c r="B1066" s="103" t="s"/>
      <c r="C1066" s="103" t="s"/>
      <c r="I1066" s="170" t="s"/>
      <c r="AA1066" s="157" t="s"/>
    </row>
    <row r="1067" spans="1:27">
      <c r="A1067" s="169" t="s"/>
      <c r="B1067" s="103" t="s"/>
      <c r="C1067" s="103" t="s"/>
      <c r="I1067" s="170" t="s"/>
      <c r="AA1067" s="157" t="s"/>
    </row>
    <row r="1068" spans="1:27">
      <c r="A1068" s="169" t="s"/>
      <c r="B1068" s="103" t="s"/>
      <c r="C1068" s="103" t="s"/>
      <c r="I1068" s="170" t="s"/>
      <c r="AA1068" s="157" t="s"/>
    </row>
    <row r="1069" spans="1:27">
      <c r="A1069" s="169" t="s"/>
      <c r="B1069" s="103" t="s"/>
      <c r="C1069" s="103" t="s"/>
      <c r="I1069" s="170" t="s"/>
      <c r="AA1069" s="157" t="s"/>
    </row>
    <row r="1070" spans="1:27">
      <c r="A1070" s="169" t="s"/>
      <c r="B1070" s="103" t="s"/>
      <c r="C1070" s="103" t="s"/>
      <c r="I1070" s="170" t="s"/>
      <c r="AA1070" s="157" t="s"/>
    </row>
    <row r="1071" spans="1:27">
      <c r="A1071" s="169" t="s"/>
      <c r="B1071" s="103" t="s"/>
      <c r="C1071" s="103" t="s"/>
      <c r="I1071" s="170" t="s"/>
      <c r="AA1071" s="157" t="s"/>
    </row>
    <row r="1072" spans="1:27">
      <c r="A1072" s="169" t="s"/>
      <c r="B1072" s="103" t="s"/>
      <c r="C1072" s="103" t="s"/>
      <c r="I1072" s="170" t="s"/>
      <c r="AA1072" s="157" t="s"/>
    </row>
    <row r="1073" spans="1:27">
      <c r="A1073" s="169" t="s"/>
      <c r="B1073" s="103" t="s"/>
      <c r="C1073" s="103" t="s"/>
      <c r="I1073" s="170" t="s"/>
      <c r="AA1073" s="157" t="s"/>
    </row>
    <row r="1074" spans="1:27">
      <c r="A1074" s="169" t="s"/>
      <c r="B1074" s="103" t="s"/>
      <c r="C1074" s="103" t="s"/>
      <c r="I1074" s="170" t="s"/>
      <c r="AA1074" s="157" t="s"/>
    </row>
    <row r="1075" spans="1:27">
      <c r="A1075" s="169" t="s"/>
      <c r="B1075" s="103" t="s"/>
      <c r="C1075" s="103" t="s"/>
      <c r="I1075" s="170" t="s"/>
      <c r="AA1075" s="157" t="s"/>
    </row>
    <row r="1076" spans="1:27">
      <c r="A1076" s="169" t="s"/>
      <c r="B1076" s="103" t="s"/>
      <c r="C1076" s="103" t="s"/>
      <c r="I1076" s="170" t="s"/>
      <c r="AA1076" s="157" t="s"/>
    </row>
    <row r="1077" spans="1:27">
      <c r="A1077" s="169" t="s"/>
      <c r="B1077" s="103" t="s"/>
      <c r="C1077" s="103" t="s"/>
      <c r="I1077" s="170" t="s"/>
      <c r="AA1077" s="157" t="s"/>
    </row>
    <row r="1078" spans="1:27">
      <c r="A1078" s="169" t="s"/>
      <c r="B1078" s="103" t="s"/>
      <c r="C1078" s="103" t="s"/>
      <c r="I1078" s="170" t="s"/>
      <c r="AA1078" s="157" t="s"/>
    </row>
    <row r="1079" spans="1:27">
      <c r="A1079" s="169" t="s"/>
      <c r="B1079" s="103" t="s"/>
      <c r="C1079" s="103" t="s"/>
      <c r="I1079" s="170" t="s"/>
      <c r="AA1079" s="157" t="s"/>
    </row>
    <row r="1080" spans="1:27">
      <c r="A1080" s="169" t="s"/>
      <c r="B1080" s="103" t="s"/>
      <c r="C1080" s="103" t="s"/>
      <c r="I1080" s="170" t="s"/>
      <c r="AA1080" s="157" t="s"/>
    </row>
    <row r="1081" spans="1:27">
      <c r="A1081" s="169" t="s"/>
      <c r="B1081" s="103" t="s"/>
      <c r="C1081" s="103" t="s"/>
      <c r="I1081" s="170" t="s"/>
      <c r="AA1081" s="157" t="s"/>
    </row>
    <row r="1082" spans="1:27">
      <c r="A1082" s="169" t="s"/>
      <c r="B1082" s="103" t="s"/>
      <c r="C1082" s="103" t="s"/>
      <c r="I1082" s="170" t="s"/>
      <c r="AA1082" s="157" t="s"/>
    </row>
    <row r="1083" spans="1:27">
      <c r="A1083" s="169" t="s"/>
      <c r="B1083" s="103" t="s"/>
      <c r="C1083" s="103" t="s"/>
      <c r="I1083" s="170" t="s"/>
      <c r="AA1083" s="157" t="s"/>
    </row>
    <row r="1084" spans="1:27">
      <c r="A1084" s="169" t="s"/>
      <c r="B1084" s="103" t="s"/>
      <c r="C1084" s="103" t="s"/>
      <c r="I1084" s="170" t="s"/>
      <c r="AA1084" s="157" t="s"/>
    </row>
    <row r="1085" spans="1:27">
      <c r="A1085" s="169" t="s"/>
      <c r="B1085" s="103" t="s"/>
      <c r="C1085" s="103" t="s"/>
      <c r="I1085" s="170" t="s"/>
      <c r="AA1085" s="157" t="s"/>
    </row>
    <row r="1086" spans="1:27">
      <c r="A1086" s="169" t="s"/>
      <c r="B1086" s="103" t="s"/>
      <c r="C1086" s="103" t="s"/>
      <c r="I1086" s="170" t="s"/>
      <c r="AA1086" s="157" t="s"/>
    </row>
    <row r="1087" spans="1:27">
      <c r="A1087" s="169" t="s"/>
      <c r="B1087" s="103" t="s"/>
      <c r="C1087" s="103" t="s"/>
      <c r="I1087" s="170" t="s"/>
      <c r="AA1087" s="157" t="s"/>
    </row>
    <row r="1088" spans="1:27">
      <c r="A1088" s="169" t="s"/>
      <c r="B1088" s="103" t="s"/>
      <c r="C1088" s="103" t="s"/>
      <c r="I1088" s="170" t="s"/>
      <c r="AA1088" s="157" t="s"/>
    </row>
    <row r="1089" spans="1:27">
      <c r="A1089" s="169" t="s"/>
      <c r="B1089" s="103" t="s"/>
      <c r="C1089" s="103" t="s"/>
      <c r="I1089" s="170" t="s"/>
      <c r="AA1089" s="157" t="s"/>
    </row>
    <row r="1090" spans="1:27">
      <c r="A1090" s="169" t="s"/>
      <c r="B1090" s="103" t="s"/>
      <c r="C1090" s="103" t="s"/>
      <c r="I1090" s="170" t="s"/>
      <c r="AA1090" s="157" t="s"/>
    </row>
    <row r="1091" spans="1:27">
      <c r="A1091" s="169" t="s"/>
      <c r="B1091" s="103" t="s"/>
      <c r="C1091" s="103" t="s"/>
      <c r="I1091" s="170" t="s"/>
      <c r="AA1091" s="157" t="s"/>
    </row>
    <row r="1092" spans="1:27">
      <c r="A1092" s="169" t="s"/>
      <c r="B1092" s="103" t="s"/>
      <c r="C1092" s="103" t="s"/>
      <c r="I1092" s="170" t="s"/>
      <c r="AA1092" s="157" t="s"/>
    </row>
    <row r="1093" spans="1:27">
      <c r="A1093" s="169" t="s"/>
      <c r="B1093" s="103" t="s"/>
      <c r="C1093" s="103" t="s"/>
      <c r="I1093" s="170" t="s"/>
      <c r="AA1093" s="157" t="s"/>
    </row>
    <row r="1094" spans="1:27">
      <c r="A1094" s="169" t="s"/>
      <c r="B1094" s="103" t="s"/>
      <c r="C1094" s="103" t="s"/>
      <c r="I1094" s="170" t="s"/>
      <c r="AA1094" s="157" t="s"/>
    </row>
    <row r="1095" spans="1:27">
      <c r="A1095" s="169" t="s"/>
      <c r="B1095" s="103" t="s"/>
      <c r="C1095" s="103" t="s"/>
      <c r="I1095" s="170" t="s"/>
      <c r="AA1095" s="157" t="s"/>
    </row>
    <row r="1096" spans="1:27">
      <c r="A1096" s="169" t="s"/>
      <c r="B1096" s="103" t="s"/>
      <c r="C1096" s="103" t="s"/>
      <c r="I1096" s="170" t="s"/>
      <c r="AA1096" s="157" t="s"/>
    </row>
    <row r="1097" spans="1:27">
      <c r="A1097" s="169" t="s"/>
      <c r="B1097" s="103" t="s"/>
      <c r="C1097" s="103" t="s"/>
      <c r="I1097" s="170" t="s"/>
      <c r="AA1097" s="157" t="s"/>
    </row>
    <row r="1098" spans="1:27">
      <c r="A1098" s="169" t="s"/>
      <c r="B1098" s="103" t="s"/>
      <c r="C1098" s="103" t="s"/>
      <c r="I1098" s="170" t="s"/>
      <c r="AA1098" s="157" t="s"/>
    </row>
    <row r="1099" spans="1:27">
      <c r="A1099" s="169" t="s"/>
      <c r="B1099" s="103" t="s"/>
      <c r="C1099" s="103" t="s"/>
      <c r="I1099" s="170" t="s"/>
      <c r="AA1099" s="157" t="s"/>
    </row>
    <row r="1100" spans="1:27">
      <c r="A1100" s="169" t="s"/>
      <c r="B1100" s="103" t="s"/>
      <c r="C1100" s="103" t="s"/>
      <c r="I1100" s="170" t="s"/>
      <c r="AA1100" s="157" t="s"/>
    </row>
    <row r="1101" spans="1:27">
      <c r="A1101" s="169" t="s"/>
      <c r="B1101" s="103" t="s"/>
      <c r="C1101" s="103" t="s"/>
      <c r="I1101" s="170" t="s"/>
      <c r="AA1101" s="157" t="s"/>
    </row>
    <row r="1102" spans="1:27">
      <c r="A1102" s="169" t="s"/>
      <c r="B1102" s="103" t="s"/>
      <c r="C1102" s="103" t="s"/>
      <c r="I1102" s="170" t="s"/>
      <c r="AA1102" s="157" t="s"/>
    </row>
    <row r="1103" spans="1:27">
      <c r="A1103" s="169" t="s"/>
      <c r="B1103" s="103" t="s"/>
      <c r="C1103" s="103" t="s"/>
      <c r="I1103" s="170" t="s"/>
      <c r="AA1103" s="157" t="s"/>
    </row>
    <row r="1104" spans="1:27">
      <c r="A1104" s="169" t="s"/>
      <c r="B1104" s="103" t="s"/>
      <c r="C1104" s="103" t="s"/>
      <c r="I1104" s="170" t="s"/>
      <c r="AA1104" s="157" t="s"/>
    </row>
    <row r="1105" spans="1:27">
      <c r="A1105" s="169" t="s"/>
      <c r="B1105" s="103" t="s"/>
      <c r="C1105" s="103" t="s"/>
      <c r="I1105" s="170" t="s"/>
      <c r="AA1105" s="157" t="s"/>
    </row>
    <row r="1106" spans="1:27">
      <c r="A1106" s="169" t="s"/>
      <c r="B1106" s="103" t="s"/>
      <c r="C1106" s="103" t="s"/>
      <c r="I1106" s="170" t="s"/>
      <c r="AA1106" s="157" t="s"/>
    </row>
    <row r="1107" spans="1:27">
      <c r="A1107" s="169" t="s"/>
      <c r="B1107" s="103" t="s"/>
      <c r="C1107" s="103" t="s"/>
      <c r="I1107" s="170" t="s"/>
      <c r="AA1107" s="157" t="s"/>
    </row>
    <row r="1108" spans="1:27">
      <c r="A1108" s="169" t="s"/>
      <c r="B1108" s="103" t="s"/>
      <c r="C1108" s="103" t="s"/>
      <c r="I1108" s="170" t="s"/>
      <c r="AA1108" s="157" t="s"/>
    </row>
    <row r="1109" spans="1:27">
      <c r="A1109" s="169" t="s"/>
      <c r="B1109" s="103" t="s"/>
      <c r="C1109" s="103" t="s"/>
      <c r="I1109" s="170" t="s"/>
      <c r="AA1109" s="157" t="s"/>
    </row>
    <row r="1110" spans="1:27">
      <c r="A1110" s="169" t="s"/>
      <c r="B1110" s="103" t="s"/>
      <c r="C1110" s="103" t="s"/>
      <c r="I1110" s="170" t="s"/>
      <c r="AA1110" s="157" t="s"/>
    </row>
    <row r="1111" spans="1:27">
      <c r="A1111" s="169" t="s"/>
      <c r="B1111" s="103" t="s"/>
      <c r="C1111" s="103" t="s"/>
      <c r="I1111" s="170" t="s"/>
      <c r="AA1111" s="157" t="s"/>
    </row>
    <row r="1112" spans="1:27">
      <c r="A1112" s="169" t="s"/>
      <c r="B1112" s="103" t="s"/>
      <c r="C1112" s="103" t="s"/>
      <c r="I1112" s="170" t="s"/>
      <c r="AA1112" s="157" t="s"/>
    </row>
    <row r="1113" spans="1:27">
      <c r="A1113" s="169" t="s"/>
      <c r="B1113" s="103" t="s"/>
      <c r="C1113" s="103" t="s"/>
      <c r="I1113" s="170" t="s"/>
      <c r="AA1113" s="157" t="s"/>
    </row>
    <row r="1114" spans="1:27">
      <c r="A1114" s="169" t="s"/>
      <c r="B1114" s="103" t="s"/>
      <c r="C1114" s="103" t="s"/>
      <c r="I1114" s="170" t="s"/>
      <c r="AA1114" s="157" t="s"/>
    </row>
    <row r="1115" spans="1:27">
      <c r="A1115" s="169" t="s"/>
      <c r="B1115" s="103" t="s"/>
      <c r="C1115" s="103" t="s"/>
      <c r="I1115" s="170" t="s"/>
      <c r="AA1115" s="157" t="s"/>
    </row>
    <row r="1116" spans="1:27">
      <c r="A1116" s="169" t="s"/>
      <c r="B1116" s="103" t="s"/>
      <c r="C1116" s="103" t="s"/>
      <c r="I1116" s="170" t="s"/>
      <c r="AA1116" s="157" t="s"/>
    </row>
    <row r="1117" spans="1:27">
      <c r="A1117" s="169" t="s"/>
      <c r="B1117" s="103" t="s"/>
      <c r="C1117" s="103" t="s"/>
      <c r="I1117" s="170" t="s"/>
      <c r="AA1117" s="157" t="s"/>
    </row>
    <row r="1118" spans="1:27">
      <c r="A1118" s="169" t="s"/>
      <c r="B1118" s="103" t="s"/>
      <c r="C1118" s="103" t="s"/>
      <c r="I1118" s="170" t="s"/>
      <c r="AA1118" s="157" t="s"/>
    </row>
    <row r="1119" spans="1:27">
      <c r="A1119" s="169" t="s"/>
      <c r="B1119" s="103" t="s"/>
      <c r="C1119" s="103" t="s"/>
      <c r="I1119" s="170" t="s"/>
      <c r="AA1119" s="157" t="s"/>
    </row>
    <row r="1120" spans="1:27">
      <c r="A1120" s="169" t="s"/>
      <c r="B1120" s="103" t="s"/>
      <c r="C1120" s="103" t="s"/>
      <c r="I1120" s="170" t="s"/>
      <c r="AA1120" s="157" t="s"/>
    </row>
    <row r="1121" spans="1:27">
      <c r="A1121" s="169" t="s"/>
      <c r="B1121" s="103" t="s"/>
      <c r="C1121" s="103" t="s"/>
      <c r="I1121" s="170" t="s"/>
      <c r="AA1121" s="157" t="s"/>
    </row>
    <row r="1122" spans="1:27">
      <c r="A1122" s="169" t="s"/>
      <c r="B1122" s="103" t="s"/>
      <c r="C1122" s="103" t="s"/>
      <c r="I1122" s="170" t="s"/>
      <c r="AA1122" s="157" t="s"/>
    </row>
    <row r="1123" spans="1:27">
      <c r="A1123" s="169" t="s"/>
      <c r="B1123" s="103" t="s"/>
      <c r="C1123" s="103" t="s"/>
      <c r="I1123" s="170" t="s"/>
      <c r="AA1123" s="157" t="s"/>
    </row>
    <row r="1124" spans="1:27">
      <c r="A1124" s="169" t="s"/>
      <c r="B1124" s="103" t="s"/>
      <c r="C1124" s="103" t="s"/>
      <c r="I1124" s="170" t="s"/>
      <c r="AA1124" s="157" t="s"/>
    </row>
    <row r="1125" spans="1:27">
      <c r="A1125" s="169" t="s"/>
      <c r="B1125" s="103" t="s"/>
      <c r="C1125" s="103" t="s"/>
      <c r="I1125" s="170" t="s"/>
      <c r="AA1125" s="157" t="s"/>
    </row>
    <row r="1126" spans="1:27">
      <c r="A1126" s="169" t="s"/>
      <c r="B1126" s="103" t="s"/>
      <c r="C1126" s="103" t="s"/>
      <c r="I1126" s="170" t="s"/>
      <c r="AA1126" s="157" t="s"/>
    </row>
    <row r="1127" spans="1:27">
      <c r="A1127" s="169" t="s"/>
      <c r="B1127" s="103" t="s"/>
      <c r="C1127" s="103" t="s"/>
      <c r="I1127" s="170" t="s"/>
      <c r="AA1127" s="157" t="s"/>
    </row>
    <row r="1128" spans="1:27">
      <c r="A1128" s="169" t="s"/>
      <c r="B1128" s="103" t="s"/>
      <c r="C1128" s="103" t="s"/>
      <c r="I1128" s="170" t="s"/>
      <c r="AA1128" s="157" t="s"/>
    </row>
    <row r="1129" spans="1:27">
      <c r="A1129" s="169" t="s"/>
      <c r="B1129" s="103" t="s"/>
      <c r="C1129" s="103" t="s"/>
      <c r="I1129" s="170" t="s"/>
      <c r="AA1129" s="157" t="s"/>
    </row>
    <row r="1130" spans="1:27">
      <c r="A1130" s="169" t="s"/>
      <c r="B1130" s="103" t="s"/>
      <c r="C1130" s="103" t="s"/>
      <c r="I1130" s="170" t="s"/>
      <c r="AA1130" s="157" t="s"/>
    </row>
    <row r="1131" spans="1:27">
      <c r="A1131" s="169" t="s"/>
      <c r="B1131" s="103" t="s"/>
      <c r="C1131" s="103" t="s"/>
      <c r="I1131" s="170" t="s"/>
      <c r="AA1131" s="157" t="s"/>
    </row>
    <row r="1132" spans="1:27">
      <c r="A1132" s="169" t="s"/>
      <c r="B1132" s="103" t="s"/>
      <c r="C1132" s="103" t="s"/>
      <c r="I1132" s="170" t="s"/>
      <c r="AA1132" s="157" t="s"/>
    </row>
    <row r="1133" spans="1:27">
      <c r="A1133" s="169" t="s"/>
      <c r="B1133" s="103" t="s"/>
      <c r="C1133" s="103" t="s"/>
      <c r="I1133" s="170" t="s"/>
      <c r="AA1133" s="157" t="s"/>
    </row>
    <row r="1134" spans="1:27">
      <c r="A1134" s="169" t="s"/>
      <c r="B1134" s="103" t="s"/>
      <c r="C1134" s="103" t="s"/>
      <c r="I1134" s="170" t="s"/>
      <c r="AA1134" s="157" t="s"/>
    </row>
    <row r="1135" spans="1:27">
      <c r="A1135" s="169" t="s"/>
      <c r="B1135" s="103" t="s"/>
      <c r="C1135" s="103" t="s"/>
      <c r="I1135" s="170" t="s"/>
      <c r="AA1135" s="157" t="s"/>
    </row>
    <row r="1136" spans="1:27">
      <c r="A1136" s="169" t="s"/>
      <c r="B1136" s="103" t="s"/>
      <c r="C1136" s="103" t="s"/>
      <c r="I1136" s="170" t="s"/>
      <c r="AA1136" s="157" t="s"/>
    </row>
    <row r="1137" spans="1:27">
      <c r="A1137" s="169" t="s"/>
      <c r="B1137" s="103" t="s"/>
      <c r="C1137" s="103" t="s"/>
      <c r="I1137" s="170" t="s"/>
      <c r="AA1137" s="157" t="s"/>
    </row>
    <row r="1138" spans="1:27">
      <c r="A1138" s="169" t="s"/>
      <c r="B1138" s="103" t="s"/>
      <c r="C1138" s="103" t="s"/>
      <c r="I1138" s="170" t="s"/>
      <c r="AA1138" s="157" t="s"/>
    </row>
    <row r="1139" spans="1:27">
      <c r="A1139" s="169" t="s"/>
      <c r="B1139" s="103" t="s"/>
      <c r="C1139" s="103" t="s"/>
      <c r="I1139" s="170" t="s"/>
      <c r="AA1139" s="157" t="s"/>
    </row>
    <row r="1140" spans="1:27">
      <c r="A1140" s="169" t="s"/>
      <c r="B1140" s="103" t="s"/>
      <c r="C1140" s="103" t="s"/>
      <c r="I1140" s="170" t="s"/>
      <c r="AA1140" s="157" t="s"/>
    </row>
    <row r="1141" spans="1:27">
      <c r="A1141" s="169" t="s"/>
      <c r="B1141" s="103" t="s"/>
      <c r="C1141" s="103" t="s"/>
      <c r="I1141" s="170" t="s"/>
      <c r="AA1141" s="157" t="s"/>
    </row>
    <row r="1142" spans="1:27">
      <c r="A1142" s="169" t="s"/>
      <c r="B1142" s="103" t="s"/>
      <c r="C1142" s="103" t="s"/>
      <c r="I1142" s="170" t="s"/>
      <c r="AA1142" s="157" t="s"/>
    </row>
    <row r="1143" spans="1:27">
      <c r="A1143" s="169" t="s"/>
      <c r="B1143" s="103" t="s"/>
      <c r="C1143" s="103" t="s"/>
      <c r="I1143" s="170" t="s"/>
      <c r="AA1143" s="157" t="s"/>
    </row>
    <row r="1144" spans="1:27">
      <c r="A1144" s="169" t="s"/>
      <c r="B1144" s="103" t="s"/>
      <c r="C1144" s="103" t="s"/>
      <c r="I1144" s="170" t="s"/>
      <c r="AA1144" s="157" t="s"/>
    </row>
    <row r="1145" spans="1:27">
      <c r="A1145" s="169" t="s"/>
      <c r="B1145" s="103" t="s"/>
      <c r="C1145" s="103" t="s"/>
      <c r="I1145" s="170" t="s"/>
      <c r="AA1145" s="157" t="s"/>
    </row>
    <row r="1146" spans="1:27">
      <c r="A1146" s="169" t="s"/>
      <c r="B1146" s="103" t="s"/>
      <c r="C1146" s="103" t="s"/>
      <c r="I1146" s="170" t="s"/>
      <c r="AA1146" s="157" t="s"/>
    </row>
    <row r="1147" spans="1:27">
      <c r="A1147" s="169" t="s"/>
      <c r="B1147" s="103" t="s"/>
      <c r="C1147" s="103" t="s"/>
      <c r="I1147" s="170" t="s"/>
      <c r="AA1147" s="157" t="s"/>
    </row>
    <row r="1148" spans="1:27">
      <c r="A1148" s="169" t="s"/>
      <c r="B1148" s="103" t="s"/>
      <c r="C1148" s="103" t="s"/>
      <c r="I1148" s="170" t="s"/>
      <c r="AA1148" s="157" t="s"/>
    </row>
    <row r="1149" spans="1:27">
      <c r="A1149" s="169" t="s"/>
      <c r="B1149" s="103" t="s"/>
      <c r="C1149" s="103" t="s"/>
      <c r="I1149" s="170" t="s"/>
      <c r="AA1149" s="157" t="s"/>
    </row>
    <row r="1150" spans="1:27">
      <c r="A1150" s="169" t="s"/>
      <c r="B1150" s="103" t="s"/>
      <c r="C1150" s="103" t="s"/>
      <c r="I1150" s="170" t="s"/>
      <c r="AA1150" s="157" t="s"/>
    </row>
    <row r="1151" spans="1:27">
      <c r="A1151" s="169" t="s"/>
      <c r="B1151" s="103" t="s"/>
      <c r="C1151" s="103" t="s"/>
      <c r="I1151" s="170" t="s"/>
      <c r="AA1151" s="157" t="s"/>
    </row>
    <row r="1152" spans="1:27">
      <c r="A1152" s="169" t="s"/>
      <c r="B1152" s="103" t="s"/>
      <c r="C1152" s="103" t="s"/>
      <c r="I1152" s="170" t="s"/>
      <c r="AA1152" s="157" t="s"/>
    </row>
    <row r="1153" spans="1:27">
      <c r="A1153" s="169" t="s"/>
      <c r="B1153" s="103" t="s"/>
      <c r="C1153" s="103" t="s"/>
      <c r="I1153" s="170" t="s"/>
      <c r="AA1153" s="157" t="s"/>
    </row>
    <row r="1154" spans="1:27">
      <c r="A1154" s="169" t="s"/>
      <c r="B1154" s="103" t="s"/>
      <c r="C1154" s="103" t="s"/>
      <c r="I1154" s="170" t="s"/>
      <c r="AA1154" s="157" t="s"/>
    </row>
    <row r="1155" spans="1:27">
      <c r="A1155" s="169" t="s"/>
      <c r="B1155" s="103" t="s"/>
      <c r="C1155" s="103" t="s"/>
      <c r="I1155" s="170" t="s"/>
      <c r="AA1155" s="157" t="s"/>
    </row>
    <row r="1156" spans="1:27">
      <c r="A1156" s="169" t="s"/>
      <c r="B1156" s="103" t="s"/>
      <c r="C1156" s="103" t="s"/>
      <c r="I1156" s="170" t="s"/>
      <c r="AA1156" s="157" t="s"/>
    </row>
    <row r="1157" spans="1:27">
      <c r="A1157" s="169" t="s"/>
      <c r="B1157" s="103" t="s"/>
      <c r="C1157" s="103" t="s"/>
      <c r="I1157" s="170" t="s"/>
      <c r="AA1157" s="157" t="s"/>
    </row>
    <row r="1158" spans="1:27">
      <c r="A1158" s="169" t="s"/>
      <c r="B1158" s="103" t="s"/>
      <c r="C1158" s="103" t="s"/>
      <c r="I1158" s="170" t="s"/>
      <c r="AA1158" s="157" t="s"/>
    </row>
    <row r="1159" spans="1:27">
      <c r="A1159" s="169" t="s"/>
      <c r="B1159" s="103" t="s"/>
      <c r="C1159" s="103" t="s"/>
      <c r="I1159" s="170" t="s"/>
      <c r="AA1159" s="157" t="s"/>
    </row>
    <row r="1160" spans="1:27">
      <c r="A1160" s="169" t="s"/>
      <c r="B1160" s="103" t="s"/>
      <c r="C1160" s="103" t="s"/>
      <c r="I1160" s="170" t="s"/>
      <c r="AA1160" s="157" t="s"/>
    </row>
    <row r="1161" spans="1:27">
      <c r="A1161" s="169" t="s"/>
      <c r="B1161" s="103" t="s"/>
      <c r="C1161" s="103" t="s"/>
      <c r="I1161" s="170" t="s"/>
      <c r="AA1161" s="157" t="s"/>
    </row>
    <row r="1162" spans="1:27">
      <c r="A1162" s="169" t="s"/>
      <c r="B1162" s="103" t="s"/>
      <c r="C1162" s="103" t="s"/>
      <c r="I1162" s="170" t="s"/>
      <c r="AA1162" s="157" t="s"/>
    </row>
    <row r="1163" spans="1:27">
      <c r="A1163" s="169" t="s"/>
      <c r="B1163" s="103" t="s"/>
      <c r="C1163" s="103" t="s"/>
      <c r="I1163" s="170" t="s"/>
      <c r="AA1163" s="157" t="s"/>
    </row>
    <row r="1164" spans="1:27">
      <c r="A1164" s="169" t="s"/>
      <c r="B1164" s="103" t="s"/>
      <c r="C1164" s="103" t="s"/>
      <c r="I1164" s="170" t="s"/>
      <c r="AA1164" s="157" t="s"/>
    </row>
    <row r="1165" spans="1:27">
      <c r="A1165" s="169" t="s"/>
      <c r="B1165" s="103" t="s"/>
      <c r="C1165" s="103" t="s"/>
      <c r="I1165" s="170" t="s"/>
      <c r="AA1165" s="157" t="s"/>
    </row>
    <row r="1166" spans="1:27">
      <c r="A1166" s="169" t="s"/>
      <c r="B1166" s="103" t="s"/>
      <c r="C1166" s="103" t="s"/>
      <c r="I1166" s="170" t="s"/>
      <c r="AA1166" s="157" t="s"/>
    </row>
    <row r="1167" spans="1:27">
      <c r="A1167" s="169" t="s"/>
      <c r="B1167" s="103" t="s"/>
      <c r="C1167" s="103" t="s"/>
      <c r="I1167" s="170" t="s"/>
      <c r="AA1167" s="157" t="s"/>
    </row>
    <row r="1168" spans="1:27">
      <c r="A1168" s="169" t="s"/>
      <c r="B1168" s="103" t="s"/>
      <c r="C1168" s="103" t="s"/>
      <c r="I1168" s="170" t="s"/>
      <c r="AA1168" s="157" t="s"/>
    </row>
    <row r="1169" spans="1:27">
      <c r="A1169" s="169" t="s"/>
      <c r="B1169" s="103" t="s"/>
      <c r="C1169" s="103" t="s"/>
      <c r="I1169" s="170" t="s"/>
      <c r="AA1169" s="157" t="s"/>
    </row>
    <row r="1170" spans="1:27">
      <c r="A1170" s="169" t="s"/>
      <c r="B1170" s="103" t="s"/>
      <c r="C1170" s="103" t="s"/>
      <c r="I1170" s="170" t="s"/>
      <c r="AA1170" s="157" t="s"/>
    </row>
    <row r="1171" spans="1:27">
      <c r="A1171" s="169" t="s"/>
      <c r="B1171" s="103" t="s"/>
      <c r="C1171" s="103" t="s"/>
      <c r="I1171" s="170" t="s"/>
      <c r="AA1171" s="157" t="s"/>
    </row>
    <row r="1172" spans="1:27">
      <c r="A1172" s="169" t="s"/>
      <c r="B1172" s="103" t="s"/>
      <c r="C1172" s="103" t="s"/>
      <c r="I1172" s="170" t="s"/>
      <c r="AA1172" s="157" t="s"/>
    </row>
    <row r="1173" spans="1:27">
      <c r="A1173" s="169" t="s"/>
      <c r="B1173" s="103" t="s"/>
      <c r="C1173" s="103" t="s"/>
      <c r="I1173" s="170" t="s"/>
      <c r="AA1173" s="157" t="s"/>
    </row>
    <row r="1174" spans="1:27">
      <c r="A1174" s="169" t="s"/>
      <c r="B1174" s="103" t="s"/>
      <c r="C1174" s="103" t="s"/>
      <c r="I1174" s="170" t="s"/>
      <c r="AA1174" s="157" t="s"/>
    </row>
    <row r="1175" spans="1:27">
      <c r="A1175" s="169" t="s"/>
      <c r="B1175" s="103" t="s"/>
      <c r="C1175" s="103" t="s"/>
      <c r="I1175" s="170" t="s"/>
      <c r="AA1175" s="157" t="s"/>
    </row>
    <row r="1176" spans="1:27">
      <c r="A1176" s="169" t="s"/>
      <c r="B1176" s="103" t="s"/>
      <c r="C1176" s="103" t="s"/>
      <c r="I1176" s="170" t="s"/>
      <c r="AA1176" s="157" t="s"/>
    </row>
    <row r="1177" spans="1:27">
      <c r="A1177" s="169" t="s"/>
      <c r="B1177" s="103" t="s"/>
      <c r="C1177" s="103" t="s"/>
      <c r="I1177" s="170" t="s"/>
      <c r="AA1177" s="157" t="s"/>
    </row>
    <row r="1178" spans="1:27">
      <c r="A1178" s="169" t="s"/>
      <c r="B1178" s="103" t="s"/>
      <c r="C1178" s="103" t="s"/>
      <c r="I1178" s="170" t="s"/>
      <c r="AA1178" s="157" t="s"/>
    </row>
    <row r="1179" spans="1:27">
      <c r="A1179" s="169" t="s"/>
      <c r="B1179" s="103" t="s"/>
      <c r="C1179" s="103" t="s"/>
      <c r="I1179" s="170" t="s"/>
      <c r="AA1179" s="157" t="s"/>
    </row>
    <row r="1180" spans="1:27">
      <c r="A1180" s="169" t="s"/>
      <c r="B1180" s="103" t="s"/>
      <c r="C1180" s="103" t="s"/>
      <c r="I1180" s="170" t="s"/>
      <c r="AA1180" s="157" t="s"/>
    </row>
    <row r="1181" spans="1:27">
      <c r="A1181" s="169" t="s"/>
      <c r="B1181" s="103" t="s"/>
      <c r="C1181" s="103" t="s"/>
      <c r="I1181" s="170" t="s"/>
      <c r="AA1181" s="157" t="s"/>
    </row>
    <row r="1182" spans="1:27">
      <c r="A1182" s="169" t="s"/>
      <c r="B1182" s="103" t="s"/>
      <c r="C1182" s="103" t="s"/>
      <c r="I1182" s="170" t="s"/>
      <c r="AA1182" s="157" t="s"/>
    </row>
    <row r="1183" spans="1:27">
      <c r="A1183" s="169" t="s"/>
      <c r="B1183" s="103" t="s"/>
      <c r="C1183" s="103" t="s"/>
      <c r="I1183" s="170" t="s"/>
      <c r="AA1183" s="157" t="s"/>
    </row>
    <row r="1184" spans="1:27">
      <c r="A1184" s="169" t="s"/>
      <c r="B1184" s="103" t="s"/>
      <c r="C1184" s="103" t="s"/>
      <c r="I1184" s="170" t="s"/>
      <c r="AA1184" s="157" t="s"/>
    </row>
    <row r="1185" spans="1:27">
      <c r="A1185" s="169" t="s"/>
      <c r="B1185" s="103" t="s"/>
      <c r="C1185" s="103" t="s"/>
      <c r="I1185" s="170" t="s"/>
      <c r="AA1185" s="157" t="s"/>
    </row>
    <row r="1186" spans="1:27">
      <c r="A1186" s="169" t="s"/>
      <c r="B1186" s="103" t="s"/>
      <c r="C1186" s="103" t="s"/>
      <c r="I1186" s="170" t="s"/>
      <c r="AA1186" s="157" t="s"/>
    </row>
    <row r="1187" spans="1:27">
      <c r="A1187" s="169" t="s"/>
      <c r="B1187" s="103" t="s"/>
      <c r="C1187" s="103" t="s"/>
      <c r="I1187" s="170" t="s"/>
      <c r="AA1187" s="157" t="s"/>
    </row>
    <row r="1188" spans="1:27">
      <c r="A1188" s="169" t="s"/>
      <c r="B1188" s="103" t="s"/>
      <c r="C1188" s="103" t="s"/>
      <c r="I1188" s="170" t="s"/>
      <c r="AA1188" s="157" t="s"/>
    </row>
    <row r="1189" spans="1:27">
      <c r="A1189" s="169" t="s"/>
      <c r="B1189" s="103" t="s"/>
      <c r="C1189" s="103" t="s"/>
      <c r="I1189" s="170" t="s"/>
      <c r="AA1189" s="157" t="s"/>
    </row>
    <row r="1190" spans="1:27">
      <c r="A1190" s="169" t="s"/>
      <c r="B1190" s="103" t="s"/>
      <c r="C1190" s="103" t="s"/>
      <c r="I1190" s="170" t="s"/>
      <c r="AA1190" s="157" t="s"/>
    </row>
    <row r="1191" spans="1:27">
      <c r="A1191" s="169" t="s"/>
      <c r="B1191" s="103" t="s"/>
      <c r="C1191" s="103" t="s"/>
      <c r="I1191" s="170" t="s"/>
      <c r="AA1191" s="157" t="s"/>
    </row>
    <row r="1192" spans="1:27">
      <c r="A1192" s="169" t="s"/>
      <c r="B1192" s="103" t="s"/>
      <c r="C1192" s="103" t="s"/>
      <c r="I1192" s="170" t="s"/>
      <c r="AA1192" s="157" t="s"/>
    </row>
    <row r="1193" spans="1:27">
      <c r="A1193" s="169" t="s"/>
      <c r="B1193" s="103" t="s"/>
      <c r="C1193" s="103" t="s"/>
      <c r="I1193" s="170" t="s"/>
      <c r="AA1193" s="157" t="s"/>
    </row>
    <row r="1194" spans="1:27">
      <c r="A1194" s="169" t="s"/>
      <c r="B1194" s="103" t="s"/>
      <c r="C1194" s="103" t="s"/>
      <c r="I1194" s="170" t="s"/>
      <c r="AA1194" s="157" t="s"/>
    </row>
    <row r="1195" spans="1:27">
      <c r="A1195" s="169" t="s"/>
      <c r="B1195" s="103" t="s"/>
      <c r="C1195" s="103" t="s"/>
      <c r="I1195" s="170" t="s"/>
      <c r="AA1195" s="157" t="s"/>
    </row>
    <row r="1196" spans="1:27">
      <c r="A1196" s="169" t="s"/>
      <c r="B1196" s="103" t="s"/>
      <c r="C1196" s="103" t="s"/>
      <c r="I1196" s="170" t="s"/>
      <c r="AA1196" s="157" t="s"/>
    </row>
    <row r="1197" spans="1:27">
      <c r="A1197" s="169" t="s"/>
      <c r="B1197" s="103" t="s"/>
      <c r="C1197" s="103" t="s"/>
      <c r="I1197" s="170" t="s"/>
      <c r="AA1197" s="157" t="s"/>
    </row>
    <row r="1198" spans="1:27">
      <c r="A1198" s="169" t="s"/>
      <c r="B1198" s="103" t="s"/>
      <c r="C1198" s="103" t="s"/>
      <c r="I1198" s="170" t="s"/>
      <c r="AA1198" s="157" t="s"/>
    </row>
    <row r="1199" spans="1:27">
      <c r="A1199" s="169" t="s"/>
      <c r="B1199" s="103" t="s"/>
      <c r="C1199" s="103" t="s"/>
      <c r="I1199" s="170" t="s"/>
      <c r="AA1199" s="157" t="s"/>
    </row>
    <row r="1200" spans="1:27">
      <c r="A1200" s="169" t="s"/>
      <c r="B1200" s="103" t="s"/>
      <c r="C1200" s="103" t="s"/>
      <c r="I1200" s="170" t="s"/>
      <c r="AA1200" s="157" t="s"/>
    </row>
    <row r="1201" spans="1:27">
      <c r="A1201" s="169" t="s"/>
      <c r="B1201" s="103" t="s"/>
      <c r="C1201" s="103" t="s"/>
      <c r="I1201" s="170" t="s"/>
      <c r="AA1201" s="157" t="s"/>
    </row>
    <row r="1202" spans="1:27">
      <c r="A1202" s="169" t="s"/>
      <c r="B1202" s="103" t="s"/>
      <c r="C1202" s="103" t="s"/>
      <c r="I1202" s="170" t="s"/>
      <c r="AA1202" s="157" t="s"/>
    </row>
    <row r="1203" spans="1:27">
      <c r="A1203" s="169" t="s"/>
      <c r="B1203" s="103" t="s"/>
      <c r="C1203" s="103" t="s"/>
      <c r="I1203" s="170" t="s"/>
      <c r="AA1203" s="157" t="s"/>
    </row>
    <row r="1204" spans="1:27">
      <c r="A1204" s="169" t="s"/>
      <c r="B1204" s="103" t="s"/>
      <c r="C1204" s="103" t="s"/>
      <c r="I1204" s="170" t="s"/>
      <c r="AA1204" s="157" t="s"/>
    </row>
    <row r="1205" spans="1:27">
      <c r="A1205" s="169" t="s"/>
      <c r="B1205" s="103" t="s"/>
      <c r="C1205" s="103" t="s"/>
      <c r="I1205" s="170" t="s"/>
      <c r="AA1205" s="157" t="s"/>
    </row>
    <row r="1206" spans="1:27">
      <c r="A1206" s="169" t="s"/>
      <c r="B1206" s="103" t="s"/>
      <c r="C1206" s="103" t="s"/>
      <c r="I1206" s="170" t="s"/>
      <c r="AA1206" s="157" t="s"/>
    </row>
    <row r="1207" spans="1:27">
      <c r="A1207" s="169" t="s"/>
      <c r="B1207" s="103" t="s"/>
      <c r="C1207" s="103" t="s"/>
      <c r="I1207" s="170" t="s"/>
      <c r="AA1207" s="157" t="s"/>
    </row>
    <row r="1208" spans="1:27">
      <c r="A1208" s="169" t="s"/>
      <c r="B1208" s="103" t="s"/>
      <c r="C1208" s="103" t="s"/>
      <c r="I1208" s="170" t="s"/>
      <c r="AA1208" s="157" t="s"/>
    </row>
    <row r="1209" spans="1:27">
      <c r="A1209" s="169" t="s"/>
      <c r="B1209" s="103" t="s"/>
      <c r="C1209" s="103" t="s"/>
      <c r="I1209" s="170" t="s"/>
      <c r="AA1209" s="157" t="s"/>
    </row>
    <row r="1210" spans="1:27">
      <c r="A1210" s="169" t="s"/>
      <c r="B1210" s="103" t="s"/>
      <c r="C1210" s="103" t="s"/>
      <c r="I1210" s="170" t="s"/>
      <c r="AA1210" s="157" t="s"/>
    </row>
    <row r="1211" spans="1:27">
      <c r="A1211" s="169" t="s"/>
      <c r="B1211" s="103" t="s"/>
      <c r="C1211" s="103" t="s"/>
      <c r="I1211" s="170" t="s"/>
      <c r="AA1211" s="157" t="s"/>
    </row>
    <row r="1212" spans="1:27">
      <c r="A1212" s="169" t="s"/>
      <c r="B1212" s="103" t="s"/>
      <c r="C1212" s="103" t="s"/>
      <c r="I1212" s="170" t="s"/>
      <c r="AA1212" s="157" t="s"/>
    </row>
    <row r="1213" spans="1:27">
      <c r="A1213" s="169" t="s"/>
      <c r="B1213" s="103" t="s"/>
      <c r="C1213" s="103" t="s"/>
      <c r="I1213" s="170" t="s"/>
      <c r="AA1213" s="157" t="s"/>
    </row>
    <row r="1214" spans="1:27">
      <c r="A1214" s="169" t="s"/>
      <c r="B1214" s="103" t="s"/>
      <c r="C1214" s="103" t="s"/>
      <c r="I1214" s="170" t="s"/>
      <c r="AA1214" s="157" t="s"/>
    </row>
    <row r="1215" spans="1:27">
      <c r="A1215" s="169" t="s"/>
      <c r="B1215" s="103" t="s"/>
      <c r="C1215" s="103" t="s"/>
      <c r="I1215" s="170" t="s"/>
      <c r="AA1215" s="157" t="s"/>
    </row>
    <row r="1216" spans="1:27">
      <c r="A1216" s="169" t="s"/>
      <c r="B1216" s="103" t="s"/>
      <c r="C1216" s="103" t="s"/>
      <c r="I1216" s="170" t="s"/>
      <c r="AA1216" s="157" t="s"/>
    </row>
    <row r="1217" spans="1:27">
      <c r="A1217" s="169" t="s"/>
      <c r="B1217" s="103" t="s"/>
      <c r="C1217" s="103" t="s"/>
      <c r="I1217" s="170" t="s"/>
      <c r="AA1217" s="157" t="s"/>
    </row>
    <row r="1218" spans="1:27">
      <c r="A1218" s="169" t="s"/>
      <c r="B1218" s="103" t="s"/>
      <c r="C1218" s="103" t="s"/>
      <c r="I1218" s="170" t="s"/>
      <c r="AA1218" s="157" t="s"/>
    </row>
    <row r="1219" spans="1:27">
      <c r="A1219" s="169" t="s"/>
      <c r="B1219" s="103" t="s"/>
      <c r="C1219" s="103" t="s"/>
      <c r="I1219" s="170" t="s"/>
      <c r="AA1219" s="157" t="s"/>
    </row>
    <row r="1220" spans="1:27">
      <c r="A1220" s="169" t="s"/>
      <c r="B1220" s="103" t="s"/>
      <c r="C1220" s="103" t="s"/>
      <c r="I1220" s="170" t="s"/>
      <c r="AA1220" s="157" t="s"/>
    </row>
    <row r="1221" spans="1:27">
      <c r="A1221" s="169" t="s"/>
      <c r="B1221" s="103" t="s"/>
      <c r="C1221" s="103" t="s"/>
      <c r="I1221" s="170" t="s"/>
      <c r="AA1221" s="157" t="s"/>
    </row>
    <row r="1222" spans="1:27">
      <c r="A1222" s="169" t="s"/>
      <c r="B1222" s="103" t="s"/>
      <c r="C1222" s="103" t="s"/>
      <c r="I1222" s="170" t="s"/>
      <c r="AA1222" s="157" t="s"/>
    </row>
    <row r="1223" spans="1:27">
      <c r="A1223" s="169" t="s"/>
      <c r="B1223" s="103" t="s"/>
      <c r="C1223" s="103" t="s"/>
      <c r="I1223" s="170" t="s"/>
      <c r="AA1223" s="157" t="s"/>
    </row>
    <row r="1224" spans="1:27">
      <c r="A1224" s="169" t="s"/>
      <c r="B1224" s="103" t="s"/>
      <c r="C1224" s="103" t="s"/>
      <c r="I1224" s="170" t="s"/>
      <c r="AA1224" s="157" t="s"/>
    </row>
    <row r="1225" spans="1:27">
      <c r="A1225" s="169" t="s"/>
      <c r="B1225" s="103" t="s"/>
      <c r="C1225" s="103" t="s"/>
      <c r="I1225" s="170" t="s"/>
      <c r="AA1225" s="157" t="s"/>
    </row>
    <row r="1226" spans="1:27">
      <c r="A1226" s="169" t="s"/>
      <c r="B1226" s="103" t="s"/>
      <c r="C1226" s="103" t="s"/>
      <c r="I1226" s="170" t="s"/>
      <c r="AA1226" s="157" t="s"/>
    </row>
    <row r="1227" spans="1:27">
      <c r="A1227" s="169" t="s"/>
      <c r="B1227" s="103" t="s"/>
      <c r="C1227" s="103" t="s"/>
      <c r="I1227" s="170" t="s"/>
      <c r="AA1227" s="157" t="s"/>
    </row>
    <row r="1228" spans="1:27">
      <c r="A1228" s="169" t="s"/>
      <c r="B1228" s="103" t="s"/>
      <c r="C1228" s="103" t="s"/>
      <c r="I1228" s="170" t="s"/>
      <c r="AA1228" s="157" t="s"/>
    </row>
    <row r="1229" spans="1:27">
      <c r="A1229" s="169" t="s"/>
      <c r="B1229" s="103" t="s"/>
      <c r="C1229" s="103" t="s"/>
      <c r="I1229" s="170" t="s"/>
      <c r="AA1229" s="157" t="s"/>
    </row>
    <row r="1230" spans="1:27">
      <c r="A1230" s="169" t="s"/>
      <c r="B1230" s="103" t="s"/>
      <c r="C1230" s="103" t="s"/>
      <c r="I1230" s="170" t="s"/>
      <c r="AA1230" s="157" t="s"/>
    </row>
    <row r="1231" spans="1:27">
      <c r="A1231" s="169" t="s"/>
      <c r="B1231" s="103" t="s"/>
      <c r="C1231" s="103" t="s"/>
      <c r="I1231" s="170" t="s"/>
      <c r="AA1231" s="157" t="s"/>
    </row>
    <row r="1232" spans="1:27">
      <c r="A1232" s="169" t="s"/>
      <c r="B1232" s="103" t="s"/>
      <c r="C1232" s="103" t="s"/>
      <c r="I1232" s="170" t="s"/>
      <c r="AA1232" s="157" t="s"/>
    </row>
    <row r="1233" spans="1:27">
      <c r="A1233" s="169" t="s"/>
      <c r="B1233" s="103" t="s"/>
      <c r="C1233" s="103" t="s"/>
      <c r="I1233" s="170" t="s"/>
      <c r="AA1233" s="157" t="s"/>
    </row>
    <row r="1234" spans="1:27">
      <c r="A1234" s="169" t="s"/>
      <c r="B1234" s="103" t="s"/>
      <c r="C1234" s="103" t="s"/>
      <c r="I1234" s="170" t="s"/>
      <c r="AA1234" s="157" t="s"/>
    </row>
    <row r="1235" spans="1:27">
      <c r="A1235" s="169" t="s"/>
      <c r="B1235" s="103" t="s"/>
      <c r="C1235" s="103" t="s"/>
      <c r="I1235" s="170" t="s"/>
      <c r="AA1235" s="157" t="s"/>
    </row>
    <row r="1236" spans="1:27">
      <c r="A1236" s="169" t="s"/>
      <c r="B1236" s="103" t="s"/>
      <c r="C1236" s="103" t="s"/>
      <c r="I1236" s="170" t="s"/>
      <c r="AA1236" s="157" t="s"/>
    </row>
    <row r="1237" spans="1:27">
      <c r="A1237" s="169" t="s"/>
      <c r="B1237" s="103" t="s"/>
      <c r="C1237" s="103" t="s"/>
      <c r="I1237" s="170" t="s"/>
      <c r="AA1237" s="157" t="s"/>
    </row>
    <row r="1238" spans="1:27">
      <c r="A1238" s="169" t="s"/>
      <c r="B1238" s="103" t="s"/>
      <c r="C1238" s="103" t="s"/>
      <c r="I1238" s="170" t="s"/>
      <c r="AA1238" s="157" t="s"/>
    </row>
    <row r="1239" spans="1:27">
      <c r="A1239" s="169" t="s"/>
      <c r="B1239" s="103" t="s"/>
      <c r="C1239" s="103" t="s"/>
      <c r="I1239" s="170" t="s"/>
      <c r="AA1239" s="157" t="s"/>
    </row>
    <row r="1240" spans="1:27">
      <c r="A1240" s="169" t="s"/>
      <c r="B1240" s="103" t="s"/>
      <c r="C1240" s="103" t="s"/>
      <c r="I1240" s="170" t="s"/>
      <c r="AA1240" s="157" t="s"/>
    </row>
    <row r="1241" spans="1:27">
      <c r="A1241" s="169" t="s"/>
      <c r="B1241" s="103" t="s"/>
      <c r="C1241" s="103" t="s"/>
      <c r="I1241" s="170" t="s"/>
      <c r="AA1241" s="157" t="s"/>
    </row>
    <row r="1242" spans="1:27">
      <c r="A1242" s="169" t="s"/>
      <c r="B1242" s="103" t="s"/>
      <c r="C1242" s="103" t="s"/>
      <c r="I1242" s="170" t="s"/>
      <c r="AA1242" s="157" t="s"/>
    </row>
    <row r="1243" spans="1:27">
      <c r="A1243" s="169" t="s"/>
      <c r="B1243" s="103" t="s"/>
      <c r="C1243" s="103" t="s"/>
      <c r="I1243" s="170" t="s"/>
      <c r="AA1243" s="157" t="s"/>
    </row>
    <row r="1244" spans="1:27">
      <c r="A1244" s="169" t="s"/>
      <c r="B1244" s="103" t="s"/>
      <c r="C1244" s="103" t="s"/>
      <c r="I1244" s="170" t="s"/>
      <c r="AA1244" s="157" t="s"/>
    </row>
    <row r="1245" spans="1:27">
      <c r="A1245" s="169" t="s"/>
      <c r="B1245" s="103" t="s"/>
      <c r="C1245" s="103" t="s"/>
      <c r="I1245" s="170" t="s"/>
      <c r="AA1245" s="157" t="s"/>
    </row>
    <row r="1246" spans="1:27">
      <c r="A1246" s="169" t="s"/>
      <c r="B1246" s="103" t="s"/>
      <c r="C1246" s="103" t="s"/>
      <c r="I1246" s="170" t="s"/>
      <c r="AA1246" s="157" t="s"/>
    </row>
    <row r="1247" spans="1:27">
      <c r="A1247" s="169" t="s"/>
      <c r="B1247" s="103" t="s"/>
      <c r="C1247" s="103" t="s"/>
      <c r="I1247" s="170" t="s"/>
      <c r="AA1247" s="157" t="s"/>
    </row>
    <row r="1248" spans="1:27">
      <c r="A1248" s="169" t="s"/>
      <c r="B1248" s="103" t="s"/>
      <c r="C1248" s="103" t="s"/>
      <c r="I1248" s="170" t="s"/>
      <c r="AA1248" s="157" t="s"/>
    </row>
    <row r="1249" spans="1:27">
      <c r="A1249" s="169" t="s"/>
      <c r="B1249" s="103" t="s"/>
      <c r="C1249" s="103" t="s"/>
      <c r="I1249" s="170" t="s"/>
      <c r="AA1249" s="157" t="s"/>
    </row>
    <row r="1250" spans="1:27">
      <c r="A1250" s="169" t="s"/>
      <c r="B1250" s="103" t="s"/>
      <c r="C1250" s="103" t="s"/>
      <c r="I1250" s="170" t="s"/>
      <c r="AA1250" s="157" t="s"/>
    </row>
    <row r="1251" spans="1:27">
      <c r="A1251" s="169" t="s"/>
      <c r="B1251" s="103" t="s"/>
      <c r="C1251" s="103" t="s"/>
      <c r="I1251" s="170" t="s"/>
      <c r="AA1251" s="157" t="s"/>
    </row>
    <row r="1252" spans="1:27">
      <c r="A1252" s="169" t="s"/>
      <c r="B1252" s="103" t="s"/>
      <c r="C1252" s="103" t="s"/>
      <c r="I1252" s="170" t="s"/>
      <c r="AA1252" s="157" t="s"/>
    </row>
    <row r="1253" spans="1:27">
      <c r="A1253" s="169" t="s"/>
      <c r="B1253" s="103" t="s"/>
      <c r="C1253" s="103" t="s"/>
      <c r="I1253" s="170" t="s"/>
      <c r="AA1253" s="157" t="s"/>
    </row>
    <row r="1254" spans="1:27">
      <c r="A1254" s="169" t="s"/>
      <c r="B1254" s="103" t="s"/>
      <c r="C1254" s="103" t="s"/>
      <c r="I1254" s="170" t="s"/>
      <c r="AA1254" s="157" t="s"/>
    </row>
    <row r="1255" spans="1:27">
      <c r="A1255" s="169" t="s"/>
      <c r="B1255" s="103" t="s"/>
      <c r="C1255" s="103" t="s"/>
      <c r="I1255" s="170" t="s"/>
      <c r="AA1255" s="157" t="s"/>
    </row>
    <row r="1256" spans="1:27">
      <c r="A1256" s="169" t="s"/>
      <c r="B1256" s="103" t="s"/>
      <c r="C1256" s="103" t="s"/>
      <c r="I1256" s="170" t="s"/>
      <c r="AA1256" s="157" t="s"/>
    </row>
    <row r="1257" spans="1:27">
      <c r="A1257" s="169" t="s"/>
      <c r="B1257" s="103" t="s"/>
      <c r="C1257" s="103" t="s"/>
      <c r="I1257" s="170" t="s"/>
      <c r="AA1257" s="157" t="s"/>
    </row>
    <row r="1258" spans="1:27">
      <c r="A1258" s="169" t="s"/>
      <c r="B1258" s="103" t="s"/>
      <c r="C1258" s="103" t="s"/>
      <c r="I1258" s="170" t="s"/>
      <c r="AA1258" s="157" t="s"/>
    </row>
    <row r="1259" spans="1:27">
      <c r="A1259" s="169" t="s"/>
      <c r="B1259" s="103" t="s"/>
      <c r="C1259" s="103" t="s"/>
      <c r="I1259" s="170" t="s"/>
      <c r="AA1259" s="157" t="s"/>
    </row>
    <row r="1260" spans="1:27">
      <c r="A1260" s="169" t="s"/>
      <c r="B1260" s="103" t="s"/>
      <c r="C1260" s="103" t="s"/>
      <c r="I1260" s="170" t="s"/>
      <c r="AA1260" s="157" t="s"/>
    </row>
    <row r="1261" spans="1:27">
      <c r="A1261" s="169" t="s"/>
      <c r="B1261" s="103" t="s"/>
      <c r="C1261" s="103" t="s"/>
      <c r="I1261" s="170" t="s"/>
      <c r="AA1261" s="157" t="s"/>
    </row>
    <row r="1262" spans="1:27">
      <c r="A1262" s="169" t="s"/>
      <c r="B1262" s="103" t="s"/>
      <c r="C1262" s="103" t="s"/>
      <c r="I1262" s="170" t="s"/>
      <c r="AA1262" s="157" t="s"/>
    </row>
    <row r="1263" spans="1:27">
      <c r="A1263" s="169" t="s"/>
      <c r="B1263" s="103" t="s"/>
      <c r="C1263" s="103" t="s"/>
      <c r="I1263" s="170" t="s"/>
      <c r="AA1263" s="157" t="s"/>
    </row>
    <row r="1264" spans="1:27">
      <c r="A1264" s="169" t="s"/>
      <c r="B1264" s="103" t="s"/>
      <c r="C1264" s="103" t="s"/>
      <c r="I1264" s="170" t="s"/>
      <c r="AA1264" s="157" t="s"/>
    </row>
    <row r="1265" spans="1:27">
      <c r="A1265" s="169" t="s"/>
      <c r="B1265" s="103" t="s"/>
      <c r="C1265" s="103" t="s"/>
      <c r="I1265" s="170" t="s"/>
      <c r="AA1265" s="157" t="s"/>
    </row>
    <row r="1266" spans="1:27">
      <c r="A1266" s="169" t="s"/>
      <c r="B1266" s="103" t="s"/>
      <c r="C1266" s="103" t="s"/>
      <c r="I1266" s="170" t="s"/>
      <c r="AA1266" s="157" t="s"/>
    </row>
    <row r="1267" spans="1:27">
      <c r="A1267" s="169" t="s"/>
      <c r="B1267" s="103" t="s"/>
      <c r="C1267" s="103" t="s"/>
      <c r="I1267" s="170" t="s"/>
      <c r="AA1267" s="157" t="s"/>
    </row>
    <row r="1268" spans="1:27">
      <c r="A1268" s="169" t="s"/>
      <c r="B1268" s="103" t="s"/>
      <c r="C1268" s="103" t="s"/>
      <c r="I1268" s="170" t="s"/>
      <c r="AA1268" s="157" t="s"/>
    </row>
    <row r="1269" spans="1:27">
      <c r="A1269" s="169" t="s"/>
      <c r="B1269" s="103" t="s"/>
      <c r="C1269" s="103" t="s"/>
      <c r="I1269" s="170" t="s"/>
      <c r="AA1269" s="157" t="s"/>
    </row>
    <row r="1270" spans="1:27">
      <c r="A1270" s="169" t="s"/>
      <c r="B1270" s="103" t="s"/>
      <c r="C1270" s="103" t="s"/>
      <c r="I1270" s="170" t="s"/>
      <c r="AA1270" s="157" t="s"/>
    </row>
    <row r="1271" spans="1:27">
      <c r="A1271" s="169" t="s"/>
      <c r="B1271" s="103" t="s"/>
      <c r="C1271" s="103" t="s"/>
      <c r="I1271" s="170" t="s"/>
      <c r="AA1271" s="157" t="s"/>
    </row>
    <row r="1272" spans="1:27">
      <c r="A1272" s="169" t="s"/>
      <c r="B1272" s="103" t="s"/>
      <c r="C1272" s="103" t="s"/>
      <c r="I1272" s="170" t="s"/>
      <c r="AA1272" s="157" t="s"/>
    </row>
    <row r="1273" spans="1:27">
      <c r="A1273" s="169" t="s"/>
      <c r="B1273" s="103" t="s"/>
      <c r="C1273" s="103" t="s"/>
      <c r="I1273" s="170" t="s"/>
      <c r="AA1273" s="157" t="s"/>
    </row>
    <row r="1274" spans="1:27">
      <c r="A1274" s="169" t="s"/>
      <c r="B1274" s="103" t="s"/>
      <c r="C1274" s="103" t="s"/>
      <c r="I1274" s="170" t="s"/>
      <c r="AA1274" s="157" t="s"/>
    </row>
    <row r="1275" spans="1:27">
      <c r="A1275" s="169" t="s"/>
      <c r="B1275" s="103" t="s"/>
      <c r="C1275" s="103" t="s"/>
      <c r="I1275" s="170" t="s"/>
      <c r="AA1275" s="157" t="s"/>
    </row>
    <row r="1276" spans="1:27">
      <c r="A1276" s="169" t="s"/>
      <c r="B1276" s="103" t="s"/>
      <c r="C1276" s="103" t="s"/>
      <c r="I1276" s="170" t="s"/>
      <c r="AA1276" s="157" t="s"/>
    </row>
    <row r="1277" spans="1:27">
      <c r="A1277" s="169" t="s"/>
      <c r="B1277" s="103" t="s"/>
      <c r="C1277" s="103" t="s"/>
      <c r="I1277" s="170" t="s"/>
      <c r="AA1277" s="157" t="s"/>
    </row>
    <row r="1278" spans="1:27">
      <c r="A1278" s="169" t="s"/>
      <c r="B1278" s="103" t="s"/>
      <c r="C1278" s="103" t="s"/>
      <c r="I1278" s="170" t="s"/>
      <c r="AA1278" s="157" t="s"/>
    </row>
    <row r="1279" spans="1:27">
      <c r="A1279" s="169" t="s"/>
      <c r="B1279" s="103" t="s"/>
      <c r="C1279" s="103" t="s"/>
      <c r="I1279" s="170" t="s"/>
      <c r="AA1279" s="157" t="s"/>
    </row>
    <row r="1280" spans="1:27">
      <c r="A1280" s="169" t="s"/>
      <c r="B1280" s="103" t="s"/>
      <c r="C1280" s="103" t="s"/>
      <c r="I1280" s="170" t="s"/>
      <c r="AA1280" s="157" t="s"/>
    </row>
    <row r="1281" spans="1:27">
      <c r="A1281" s="169" t="s"/>
      <c r="B1281" s="103" t="s"/>
      <c r="C1281" s="103" t="s"/>
      <c r="I1281" s="170" t="s"/>
      <c r="AA1281" s="157" t="s"/>
    </row>
    <row r="1282" spans="1:27">
      <c r="A1282" s="169" t="s"/>
      <c r="B1282" s="103" t="s"/>
      <c r="C1282" s="103" t="s"/>
      <c r="I1282" s="170" t="s"/>
      <c r="AA1282" s="157" t="s"/>
    </row>
    <row r="1283" spans="1:27">
      <c r="A1283" s="169" t="s"/>
      <c r="B1283" s="103" t="s"/>
      <c r="C1283" s="103" t="s"/>
      <c r="I1283" s="170" t="s"/>
      <c r="AA1283" s="157" t="s"/>
    </row>
    <row r="1284" spans="1:27">
      <c r="A1284" s="169" t="s"/>
      <c r="B1284" s="103" t="s"/>
      <c r="C1284" s="103" t="s"/>
      <c r="I1284" s="170" t="s"/>
      <c r="AA1284" s="157" t="s"/>
    </row>
    <row r="1285" spans="1:27">
      <c r="A1285" s="169" t="s"/>
      <c r="B1285" s="103" t="s"/>
      <c r="C1285" s="103" t="s"/>
      <c r="I1285" s="170" t="s"/>
      <c r="AA1285" s="157" t="s"/>
    </row>
    <row r="1286" spans="1:27">
      <c r="A1286" s="169" t="s"/>
      <c r="B1286" s="103" t="s"/>
      <c r="C1286" s="103" t="s"/>
      <c r="I1286" s="170" t="s"/>
      <c r="AA1286" s="157" t="s"/>
    </row>
    <row r="1287" spans="1:27">
      <c r="A1287" s="169" t="s"/>
      <c r="B1287" s="103" t="s"/>
      <c r="C1287" s="103" t="s"/>
      <c r="I1287" s="170" t="s"/>
      <c r="AA1287" s="157" t="s"/>
    </row>
    <row r="1288" spans="1:27">
      <c r="A1288" s="169" t="s"/>
      <c r="B1288" s="103" t="s"/>
      <c r="C1288" s="103" t="s"/>
      <c r="I1288" s="170" t="s"/>
      <c r="AA1288" s="157" t="s"/>
    </row>
    <row r="1289" spans="1:27">
      <c r="A1289" s="169" t="s"/>
      <c r="B1289" s="103" t="s"/>
      <c r="C1289" s="103" t="s"/>
      <c r="I1289" s="170" t="s"/>
      <c r="AA1289" s="157" t="s"/>
    </row>
    <row r="1290" spans="1:27">
      <c r="A1290" s="169" t="s"/>
      <c r="B1290" s="103" t="s"/>
      <c r="C1290" s="103" t="s"/>
      <c r="I1290" s="170" t="s"/>
      <c r="AA1290" s="157" t="s"/>
    </row>
    <row r="1291" spans="1:27">
      <c r="A1291" s="169" t="s"/>
      <c r="B1291" s="103" t="s"/>
      <c r="C1291" s="103" t="s"/>
      <c r="I1291" s="170" t="s"/>
      <c r="AA1291" s="157" t="s"/>
    </row>
    <row r="1292" spans="1:27">
      <c r="A1292" s="169" t="s"/>
      <c r="B1292" s="103" t="s"/>
      <c r="C1292" s="103" t="s"/>
      <c r="I1292" s="170" t="s"/>
      <c r="AA1292" s="157" t="s"/>
    </row>
    <row r="1293" spans="1:27">
      <c r="A1293" s="169" t="s"/>
      <c r="B1293" s="103" t="s"/>
      <c r="C1293" s="103" t="s"/>
      <c r="I1293" s="170" t="s"/>
      <c r="AA1293" s="157" t="s"/>
    </row>
    <row r="1294" spans="1:27">
      <c r="A1294" s="169" t="s"/>
      <c r="B1294" s="103" t="s"/>
      <c r="C1294" s="103" t="s"/>
      <c r="I1294" s="170" t="s"/>
      <c r="AA1294" s="157" t="s"/>
    </row>
    <row r="1295" spans="1:27">
      <c r="A1295" s="169" t="s"/>
      <c r="B1295" s="103" t="s"/>
      <c r="C1295" s="103" t="s"/>
      <c r="I1295" s="170" t="s"/>
      <c r="AA1295" s="157" t="s"/>
    </row>
    <row r="1296" spans="1:27">
      <c r="A1296" s="169" t="s"/>
      <c r="B1296" s="103" t="s"/>
      <c r="C1296" s="103" t="s"/>
      <c r="I1296" s="170" t="s"/>
      <c r="AA1296" s="157" t="s"/>
    </row>
    <row r="1297" spans="1:27">
      <c r="A1297" s="169" t="s"/>
      <c r="B1297" s="103" t="s"/>
      <c r="C1297" s="103" t="s"/>
      <c r="I1297" s="170" t="s"/>
      <c r="AA1297" s="157" t="s"/>
    </row>
    <row r="1298" spans="1:27">
      <c r="A1298" s="169" t="s"/>
      <c r="B1298" s="103" t="s"/>
      <c r="C1298" s="103" t="s"/>
      <c r="I1298" s="170" t="s"/>
      <c r="AA1298" s="157" t="s"/>
    </row>
    <row r="1299" spans="1:27">
      <c r="A1299" s="169" t="s"/>
      <c r="B1299" s="103" t="s"/>
      <c r="C1299" s="103" t="s"/>
      <c r="I1299" s="170" t="s"/>
      <c r="AA1299" s="157" t="s"/>
    </row>
    <row r="1300" spans="1:27">
      <c r="A1300" s="169" t="s"/>
      <c r="B1300" s="103" t="s"/>
      <c r="C1300" s="103" t="s"/>
      <c r="I1300" s="170" t="s"/>
      <c r="AA1300" s="157" t="s"/>
    </row>
    <row r="1301" spans="1:27">
      <c r="A1301" s="169" t="s"/>
      <c r="B1301" s="103" t="s"/>
      <c r="C1301" s="103" t="s"/>
      <c r="I1301" s="170" t="s"/>
      <c r="AA1301" s="157" t="s"/>
    </row>
    <row r="1302" spans="1:27">
      <c r="A1302" s="169" t="s"/>
      <c r="B1302" s="103" t="s"/>
      <c r="C1302" s="103" t="s"/>
      <c r="I1302" s="170" t="s"/>
      <c r="AA1302" s="157" t="s"/>
    </row>
    <row r="1303" spans="1:27">
      <c r="A1303" s="169" t="s"/>
      <c r="B1303" s="103" t="s"/>
      <c r="C1303" s="103" t="s"/>
      <c r="I1303" s="170" t="s"/>
      <c r="AA1303" s="157" t="s"/>
    </row>
    <row r="1304" spans="1:27">
      <c r="A1304" s="169" t="s"/>
      <c r="B1304" s="103" t="s"/>
      <c r="C1304" s="103" t="s"/>
      <c r="I1304" s="170" t="s"/>
      <c r="AA1304" s="157" t="s"/>
    </row>
    <row r="1305" spans="1:27">
      <c r="A1305" s="169" t="s"/>
      <c r="B1305" s="103" t="s"/>
      <c r="C1305" s="103" t="s"/>
      <c r="I1305" s="170" t="s"/>
      <c r="AA1305" s="157" t="s"/>
    </row>
    <row r="1306" spans="1:27">
      <c r="A1306" s="169" t="s"/>
      <c r="B1306" s="103" t="s"/>
      <c r="C1306" s="103" t="s"/>
      <c r="I1306" s="170" t="s"/>
      <c r="AA1306" s="157" t="s"/>
    </row>
    <row r="1307" spans="1:27">
      <c r="A1307" s="169" t="s"/>
      <c r="B1307" s="103" t="s"/>
      <c r="C1307" s="103" t="s"/>
      <c r="I1307" s="170" t="s"/>
      <c r="AA1307" s="157" t="s"/>
    </row>
    <row r="1308" spans="1:27">
      <c r="A1308" s="169" t="s"/>
      <c r="B1308" s="103" t="s"/>
      <c r="C1308" s="103" t="s"/>
      <c r="I1308" s="170" t="s"/>
      <c r="AA1308" s="157" t="s"/>
    </row>
    <row r="1309" spans="1:27">
      <c r="A1309" s="169" t="s"/>
      <c r="B1309" s="103" t="s"/>
      <c r="C1309" s="103" t="s"/>
      <c r="I1309" s="170" t="s"/>
      <c r="AA1309" s="157" t="s"/>
    </row>
    <row r="1310" spans="1:27">
      <c r="A1310" s="169" t="s"/>
      <c r="B1310" s="103" t="s"/>
      <c r="C1310" s="103" t="s"/>
      <c r="I1310" s="170" t="s"/>
      <c r="AA1310" s="157" t="s"/>
    </row>
    <row r="1311" spans="1:27">
      <c r="A1311" s="169" t="s"/>
      <c r="B1311" s="103" t="s"/>
      <c r="C1311" s="103" t="s"/>
      <c r="I1311" s="170" t="s"/>
      <c r="AA1311" s="157" t="s"/>
    </row>
    <row r="1312" spans="1:27">
      <c r="A1312" s="169" t="s"/>
      <c r="B1312" s="103" t="s"/>
      <c r="C1312" s="103" t="s"/>
      <c r="I1312" s="170" t="s"/>
      <c r="AA1312" s="157" t="s"/>
    </row>
    <row r="1313" spans="1:27">
      <c r="A1313" s="169" t="s"/>
      <c r="B1313" s="103" t="s"/>
      <c r="C1313" s="103" t="s"/>
      <c r="I1313" s="170" t="s"/>
      <c r="AA1313" s="157" t="s"/>
    </row>
    <row r="1314" spans="1:27">
      <c r="A1314" s="169" t="s"/>
      <c r="B1314" s="103" t="s"/>
      <c r="C1314" s="103" t="s"/>
      <c r="I1314" s="170" t="s"/>
      <c r="AA1314" s="157" t="s"/>
    </row>
    <row r="1315" spans="1:27">
      <c r="A1315" s="169" t="s"/>
      <c r="B1315" s="103" t="s"/>
      <c r="C1315" s="103" t="s"/>
      <c r="I1315" s="170" t="s"/>
      <c r="AA1315" s="157" t="s"/>
    </row>
    <row r="1316" spans="1:27">
      <c r="A1316" s="169" t="s"/>
      <c r="B1316" s="103" t="s"/>
      <c r="C1316" s="103" t="s"/>
      <c r="I1316" s="170" t="s"/>
      <c r="AA1316" s="157" t="s"/>
    </row>
    <row r="1317" spans="1:27">
      <c r="A1317" s="169" t="s"/>
      <c r="B1317" s="103" t="s"/>
      <c r="C1317" s="103" t="s"/>
      <c r="I1317" s="170" t="s"/>
      <c r="AA1317" s="157" t="s"/>
    </row>
    <row r="1318" spans="1:27">
      <c r="A1318" s="169" t="s"/>
      <c r="B1318" s="103" t="s"/>
      <c r="C1318" s="103" t="s"/>
      <c r="I1318" s="170" t="s"/>
      <c r="AA1318" s="157" t="s"/>
    </row>
    <row r="1319" spans="1:27">
      <c r="A1319" s="169" t="s"/>
      <c r="B1319" s="103" t="s"/>
      <c r="C1319" s="103" t="s"/>
      <c r="I1319" s="170" t="s"/>
      <c r="AA1319" s="157" t="s"/>
    </row>
    <row r="1320" spans="1:27">
      <c r="A1320" s="169" t="s"/>
      <c r="B1320" s="103" t="s"/>
      <c r="C1320" s="103" t="s"/>
      <c r="I1320" s="170" t="s"/>
      <c r="AA1320" s="157" t="s"/>
    </row>
    <row r="1321" spans="1:27">
      <c r="A1321" s="169" t="s"/>
      <c r="B1321" s="103" t="s"/>
      <c r="C1321" s="103" t="s"/>
      <c r="I1321" s="170" t="s"/>
      <c r="AA1321" s="157" t="s"/>
    </row>
    <row r="1322" spans="1:27">
      <c r="A1322" s="169" t="s"/>
      <c r="B1322" s="103" t="s"/>
      <c r="C1322" s="103" t="s"/>
      <c r="I1322" s="170" t="s"/>
      <c r="AA1322" s="157" t="s"/>
    </row>
    <row r="1323" spans="1:27">
      <c r="A1323" s="169" t="s"/>
      <c r="B1323" s="103" t="s"/>
      <c r="C1323" s="103" t="s"/>
      <c r="I1323" s="170" t="s"/>
      <c r="AA1323" s="157" t="s"/>
    </row>
    <row r="1324" spans="1:27">
      <c r="A1324" s="169" t="s"/>
      <c r="B1324" s="103" t="s"/>
      <c r="C1324" s="103" t="s"/>
      <c r="I1324" s="170" t="s"/>
      <c r="AA1324" s="157" t="s"/>
    </row>
    <row r="1325" spans="1:27">
      <c r="A1325" s="169" t="s"/>
      <c r="B1325" s="103" t="s"/>
      <c r="C1325" s="103" t="s"/>
      <c r="I1325" s="170" t="s"/>
      <c r="AA1325" s="157" t="s"/>
    </row>
    <row r="1326" spans="1:27">
      <c r="A1326" s="169" t="s"/>
      <c r="B1326" s="103" t="s"/>
      <c r="C1326" s="103" t="s"/>
      <c r="I1326" s="170" t="s"/>
      <c r="AA1326" s="157" t="s"/>
    </row>
    <row r="1327" spans="1:27">
      <c r="A1327" s="169" t="s"/>
      <c r="B1327" s="103" t="s"/>
      <c r="C1327" s="103" t="s"/>
      <c r="I1327" s="170" t="s"/>
      <c r="AA1327" s="157" t="s"/>
    </row>
    <row r="1328" spans="1:27">
      <c r="A1328" s="169" t="s"/>
      <c r="B1328" s="103" t="s"/>
      <c r="C1328" s="103" t="s"/>
      <c r="I1328" s="170" t="s"/>
      <c r="AA1328" s="157" t="s"/>
    </row>
    <row r="1329" spans="1:27">
      <c r="A1329" s="169" t="s"/>
      <c r="B1329" s="103" t="s"/>
      <c r="C1329" s="103" t="s"/>
      <c r="I1329" s="170" t="s"/>
      <c r="AA1329" s="157" t="s"/>
    </row>
    <row r="1330" spans="1:27">
      <c r="A1330" s="169" t="s"/>
      <c r="B1330" s="103" t="s"/>
      <c r="C1330" s="103" t="s"/>
      <c r="I1330" s="170" t="s"/>
      <c r="AA1330" s="157" t="s"/>
    </row>
    <row r="1331" spans="1:27">
      <c r="A1331" s="169" t="s"/>
      <c r="B1331" s="103" t="s"/>
      <c r="C1331" s="103" t="s"/>
      <c r="I1331" s="170" t="s"/>
      <c r="AA1331" s="157" t="s"/>
    </row>
    <row r="1332" spans="1:27">
      <c r="A1332" s="169" t="s"/>
      <c r="B1332" s="103" t="s"/>
      <c r="C1332" s="103" t="s"/>
      <c r="I1332" s="170" t="s"/>
      <c r="AA1332" s="157" t="s"/>
    </row>
    <row r="1333" spans="1:27">
      <c r="A1333" s="169" t="s"/>
      <c r="B1333" s="103" t="s"/>
      <c r="C1333" s="103" t="s"/>
      <c r="I1333" s="170" t="s"/>
      <c r="AA1333" s="157" t="s"/>
    </row>
    <row r="1334" spans="1:27">
      <c r="A1334" s="169" t="s"/>
      <c r="B1334" s="103" t="s"/>
      <c r="C1334" s="103" t="s"/>
      <c r="I1334" s="170" t="s"/>
      <c r="AA1334" s="157" t="s"/>
    </row>
    <row r="1335" spans="1:27">
      <c r="A1335" s="169" t="s"/>
      <c r="B1335" s="103" t="s"/>
      <c r="C1335" s="103" t="s"/>
      <c r="I1335" s="170" t="s"/>
      <c r="AA1335" s="157" t="s"/>
    </row>
    <row r="1336" spans="1:27">
      <c r="A1336" s="169" t="s"/>
      <c r="B1336" s="103" t="s"/>
      <c r="C1336" s="103" t="s"/>
      <c r="I1336" s="170" t="s"/>
      <c r="AA1336" s="157" t="s"/>
    </row>
    <row r="1337" spans="1:27">
      <c r="A1337" s="169" t="s"/>
      <c r="B1337" s="103" t="s"/>
      <c r="C1337" s="103" t="s"/>
      <c r="I1337" s="170" t="s"/>
      <c r="AA1337" s="157" t="s"/>
    </row>
    <row r="1338" spans="1:27">
      <c r="A1338" s="169" t="s"/>
      <c r="B1338" s="103" t="s"/>
      <c r="C1338" s="103" t="s"/>
      <c r="I1338" s="170" t="s"/>
      <c r="AA1338" s="157" t="s"/>
    </row>
    <row r="1339" spans="1:27">
      <c r="A1339" s="169" t="s"/>
      <c r="B1339" s="103" t="s"/>
      <c r="C1339" s="103" t="s"/>
      <c r="I1339" s="170" t="s"/>
      <c r="AA1339" s="157" t="s"/>
    </row>
    <row r="1340" spans="1:27">
      <c r="A1340" s="169" t="s"/>
      <c r="B1340" s="103" t="s"/>
      <c r="C1340" s="103" t="s"/>
      <c r="I1340" s="170" t="s"/>
      <c r="AA1340" s="157" t="s"/>
    </row>
    <row r="1341" spans="1:27">
      <c r="A1341" s="169" t="s"/>
      <c r="B1341" s="103" t="s"/>
      <c r="C1341" s="103" t="s"/>
      <c r="I1341" s="170" t="s"/>
      <c r="AA1341" s="157" t="s"/>
    </row>
    <row r="1342" spans="1:27">
      <c r="A1342" s="169" t="s"/>
      <c r="B1342" s="103" t="s"/>
      <c r="C1342" s="103" t="s"/>
      <c r="I1342" s="170" t="s"/>
      <c r="AA1342" s="157" t="s"/>
    </row>
    <row r="1343" spans="1:27">
      <c r="A1343" s="169" t="s"/>
      <c r="B1343" s="103" t="s"/>
      <c r="C1343" s="103" t="s"/>
      <c r="I1343" s="170" t="s"/>
      <c r="AA1343" s="157" t="s"/>
    </row>
    <row r="1344" spans="1:27">
      <c r="A1344" s="169" t="s"/>
      <c r="B1344" s="103" t="s"/>
      <c r="C1344" s="103" t="s"/>
      <c r="I1344" s="170" t="s"/>
      <c r="AA1344" s="157" t="s"/>
    </row>
    <row r="1345" spans="1:27">
      <c r="A1345" s="169" t="s"/>
      <c r="B1345" s="103" t="s"/>
      <c r="C1345" s="103" t="s"/>
      <c r="I1345" s="170" t="s"/>
      <c r="AA1345" s="157" t="s"/>
    </row>
    <row r="1346" spans="1:27">
      <c r="A1346" s="169" t="s"/>
      <c r="B1346" s="103" t="s"/>
      <c r="C1346" s="103" t="s"/>
      <c r="I1346" s="170" t="s"/>
      <c r="AA1346" s="157" t="s"/>
    </row>
    <row r="1347" spans="1:27">
      <c r="A1347" s="169" t="s"/>
      <c r="B1347" s="103" t="s"/>
      <c r="C1347" s="103" t="s"/>
      <c r="I1347" s="170" t="s"/>
      <c r="AA1347" s="157" t="s"/>
    </row>
    <row r="1348" spans="1:27">
      <c r="A1348" s="169" t="s"/>
      <c r="B1348" s="103" t="s"/>
      <c r="C1348" s="103" t="s"/>
      <c r="I1348" s="170" t="s"/>
      <c r="AA1348" s="157" t="s"/>
    </row>
    <row r="1349" spans="1:27">
      <c r="A1349" s="169" t="s"/>
      <c r="B1349" s="103" t="s"/>
      <c r="C1349" s="103" t="s"/>
      <c r="I1349" s="170" t="s"/>
      <c r="AA1349" s="157" t="s"/>
    </row>
    <row r="1350" spans="1:27">
      <c r="A1350" s="169" t="s"/>
      <c r="B1350" s="103" t="s"/>
      <c r="C1350" s="103" t="s"/>
      <c r="I1350" s="170" t="s"/>
      <c r="AA1350" s="157" t="s"/>
    </row>
    <row r="1351" spans="1:27">
      <c r="A1351" s="169" t="s"/>
      <c r="B1351" s="103" t="s"/>
      <c r="C1351" s="103" t="s"/>
      <c r="I1351" s="170" t="s"/>
      <c r="AA1351" s="157" t="s"/>
    </row>
    <row r="1352" spans="1:27">
      <c r="A1352" s="169" t="s"/>
      <c r="B1352" s="103" t="s"/>
      <c r="C1352" s="103" t="s"/>
      <c r="I1352" s="170" t="s"/>
      <c r="AA1352" s="157" t="s"/>
    </row>
    <row r="1353" spans="1:27">
      <c r="A1353" s="169" t="s"/>
      <c r="B1353" s="103" t="s"/>
      <c r="C1353" s="103" t="s"/>
      <c r="I1353" s="170" t="s"/>
      <c r="AA1353" s="157" t="s"/>
    </row>
    <row r="1354" spans="1:27">
      <c r="A1354" s="169" t="s"/>
      <c r="B1354" s="103" t="s"/>
      <c r="C1354" s="103" t="s"/>
      <c r="I1354" s="170" t="s"/>
      <c r="AA1354" s="157" t="s"/>
    </row>
    <row r="1355" spans="1:27">
      <c r="A1355" s="169" t="s"/>
      <c r="B1355" s="103" t="s"/>
      <c r="C1355" s="103" t="s"/>
      <c r="I1355" s="170" t="s"/>
      <c r="AA1355" s="157" t="s"/>
    </row>
    <row r="1356" spans="1:27">
      <c r="A1356" s="169" t="s"/>
      <c r="B1356" s="103" t="s"/>
      <c r="C1356" s="103" t="s"/>
      <c r="I1356" s="170" t="s"/>
      <c r="AA1356" s="157" t="s"/>
    </row>
    <row r="1357" spans="1:27">
      <c r="A1357" s="169" t="s"/>
      <c r="B1357" s="103" t="s"/>
      <c r="C1357" s="103" t="s"/>
      <c r="I1357" s="170" t="s"/>
      <c r="AA1357" s="157" t="s"/>
    </row>
    <row r="1358" spans="1:27">
      <c r="A1358" s="169" t="s"/>
      <c r="B1358" s="103" t="s"/>
      <c r="C1358" s="103" t="s"/>
      <c r="I1358" s="170" t="s"/>
      <c r="AA1358" s="157" t="s"/>
    </row>
    <row r="1359" spans="1:27">
      <c r="A1359" s="169" t="s"/>
      <c r="B1359" s="103" t="s"/>
      <c r="C1359" s="103" t="s"/>
      <c r="I1359" s="170" t="s"/>
      <c r="AA1359" s="157" t="s"/>
    </row>
    <row r="1360" spans="1:27">
      <c r="A1360" s="169" t="s"/>
      <c r="B1360" s="103" t="s"/>
      <c r="C1360" s="103" t="s"/>
      <c r="I1360" s="170" t="s"/>
      <c r="AA1360" s="157" t="s"/>
    </row>
    <row r="1361" spans="1:27">
      <c r="A1361" s="169" t="s"/>
      <c r="B1361" s="103" t="s"/>
      <c r="C1361" s="103" t="s"/>
      <c r="I1361" s="170" t="s"/>
      <c r="AA1361" s="157" t="s"/>
    </row>
    <row r="1362" spans="1:27">
      <c r="A1362" s="169" t="s"/>
      <c r="B1362" s="103" t="s"/>
      <c r="C1362" s="103" t="s"/>
      <c r="I1362" s="170" t="s"/>
      <c r="AA1362" s="157" t="s"/>
    </row>
    <row r="1363" spans="1:27">
      <c r="A1363" s="169" t="s"/>
      <c r="B1363" s="103" t="s"/>
      <c r="C1363" s="103" t="s"/>
      <c r="I1363" s="170" t="s"/>
      <c r="AA1363" s="157" t="s"/>
    </row>
    <row r="1364" spans="1:27">
      <c r="A1364" s="169" t="s"/>
      <c r="B1364" s="103" t="s"/>
      <c r="C1364" s="103" t="s"/>
      <c r="I1364" s="170" t="s"/>
      <c r="AA1364" s="157" t="s"/>
    </row>
    <row r="1365" spans="1:27">
      <c r="A1365" s="169" t="s"/>
      <c r="B1365" s="103" t="s"/>
      <c r="C1365" s="103" t="s"/>
      <c r="I1365" s="170" t="s"/>
      <c r="AA1365" s="157" t="s"/>
    </row>
    <row r="1366" spans="1:27">
      <c r="A1366" s="169" t="s"/>
      <c r="B1366" s="103" t="s"/>
      <c r="C1366" s="103" t="s"/>
      <c r="I1366" s="170" t="s"/>
      <c r="AA1366" s="157" t="s"/>
    </row>
    <row r="1367" spans="1:27">
      <c r="A1367" s="169" t="s"/>
      <c r="B1367" s="103" t="s"/>
      <c r="C1367" s="103" t="s"/>
      <c r="I1367" s="170" t="s"/>
      <c r="AA1367" s="157" t="s"/>
    </row>
    <row r="1368" spans="1:27">
      <c r="A1368" s="169" t="s"/>
      <c r="B1368" s="103" t="s"/>
      <c r="C1368" s="103" t="s"/>
      <c r="I1368" s="170" t="s"/>
      <c r="AA1368" s="157" t="s"/>
    </row>
    <row r="1369" spans="1:27">
      <c r="A1369" s="169" t="s"/>
      <c r="B1369" s="103" t="s"/>
      <c r="C1369" s="103" t="s"/>
      <c r="I1369" s="170" t="s"/>
      <c r="AA1369" s="157" t="s"/>
    </row>
    <row r="1370" spans="1:27">
      <c r="A1370" s="169" t="s"/>
      <c r="B1370" s="103" t="s"/>
      <c r="C1370" s="103" t="s"/>
      <c r="I1370" s="170" t="s"/>
      <c r="AA1370" s="157" t="s"/>
    </row>
    <row r="1371" spans="1:27">
      <c r="A1371" s="169" t="s"/>
      <c r="B1371" s="103" t="s"/>
      <c r="C1371" s="103" t="s"/>
      <c r="I1371" s="170" t="s"/>
      <c r="AA1371" s="157" t="s"/>
    </row>
    <row r="1372" spans="1:27">
      <c r="A1372" s="169" t="s"/>
      <c r="B1372" s="103" t="s"/>
      <c r="C1372" s="103" t="s"/>
      <c r="I1372" s="170" t="s"/>
      <c r="AA1372" s="157" t="s"/>
    </row>
    <row r="1373" spans="1:27">
      <c r="A1373" s="169" t="s"/>
      <c r="B1373" s="103" t="s"/>
      <c r="C1373" s="103" t="s"/>
      <c r="I1373" s="170" t="s"/>
      <c r="AA1373" s="157" t="s"/>
    </row>
    <row r="1374" spans="1:27">
      <c r="A1374" s="169" t="s"/>
      <c r="B1374" s="103" t="s"/>
      <c r="C1374" s="103" t="s"/>
      <c r="I1374" s="170" t="s"/>
      <c r="AA1374" s="157" t="s"/>
    </row>
    <row r="1375" spans="1:27">
      <c r="A1375" s="169" t="s"/>
      <c r="B1375" s="103" t="s"/>
      <c r="C1375" s="103" t="s"/>
      <c r="I1375" s="170" t="s"/>
      <c r="AA1375" s="157" t="s"/>
    </row>
    <row r="1376" spans="1:27">
      <c r="A1376" s="169" t="s"/>
      <c r="B1376" s="103" t="s"/>
      <c r="C1376" s="103" t="s"/>
      <c r="I1376" s="170" t="s"/>
      <c r="AA1376" s="157" t="s"/>
    </row>
    <row r="1377" spans="1:27">
      <c r="A1377" s="169" t="s"/>
      <c r="B1377" s="103" t="s"/>
      <c r="C1377" s="103" t="s"/>
      <c r="I1377" s="170" t="s"/>
      <c r="AA1377" s="157" t="s"/>
    </row>
    <row r="1378" spans="1:27">
      <c r="A1378" s="169" t="s"/>
      <c r="B1378" s="103" t="s"/>
      <c r="C1378" s="103" t="s"/>
      <c r="I1378" s="170" t="s"/>
      <c r="AA1378" s="157" t="s"/>
    </row>
    <row r="1379" spans="1:27">
      <c r="A1379" s="169" t="s"/>
      <c r="B1379" s="103" t="s"/>
      <c r="C1379" s="103" t="s"/>
      <c r="I1379" s="170" t="s"/>
      <c r="AA1379" s="157" t="s"/>
    </row>
    <row r="1380" spans="1:27">
      <c r="A1380" s="169" t="s"/>
      <c r="B1380" s="103" t="s"/>
      <c r="C1380" s="103" t="s"/>
      <c r="I1380" s="170" t="s"/>
      <c r="AA1380" s="157" t="s"/>
    </row>
    <row r="1381" spans="1:27">
      <c r="A1381" s="169" t="s"/>
      <c r="B1381" s="103" t="s"/>
      <c r="C1381" s="103" t="s"/>
      <c r="I1381" s="170" t="s"/>
      <c r="AA1381" s="157" t="s"/>
    </row>
    <row r="1382" spans="1:27">
      <c r="A1382" s="169" t="s"/>
      <c r="B1382" s="103" t="s"/>
      <c r="C1382" s="103" t="s"/>
      <c r="I1382" s="170" t="s"/>
      <c r="AA1382" s="157" t="s"/>
    </row>
    <row r="1383" spans="1:27">
      <c r="A1383" s="169" t="s"/>
      <c r="B1383" s="103" t="s"/>
      <c r="C1383" s="103" t="s"/>
      <c r="I1383" s="170" t="s"/>
      <c r="AA1383" s="157" t="s"/>
    </row>
    <row r="1384" spans="1:27">
      <c r="A1384" s="169" t="s"/>
      <c r="B1384" s="103" t="s"/>
      <c r="C1384" s="103" t="s"/>
      <c r="I1384" s="170" t="s"/>
      <c r="AA1384" s="157" t="s"/>
    </row>
    <row r="1385" spans="1:27">
      <c r="A1385" s="169" t="s"/>
      <c r="B1385" s="103" t="s"/>
      <c r="C1385" s="103" t="s"/>
      <c r="I1385" s="170" t="s"/>
      <c r="AA1385" s="157" t="s"/>
    </row>
    <row r="1386" spans="1:27">
      <c r="A1386" s="169" t="s"/>
      <c r="B1386" s="103" t="s"/>
      <c r="C1386" s="103" t="s"/>
      <c r="I1386" s="170" t="s"/>
      <c r="AA1386" s="157" t="s"/>
    </row>
    <row r="1387" spans="1:27">
      <c r="A1387" s="169" t="s"/>
      <c r="B1387" s="103" t="s"/>
      <c r="C1387" s="103" t="s"/>
      <c r="I1387" s="170" t="s"/>
      <c r="AA1387" s="157" t="s"/>
    </row>
    <row r="1388" spans="1:27">
      <c r="A1388" s="169" t="s"/>
      <c r="B1388" s="103" t="s"/>
      <c r="C1388" s="103" t="s"/>
      <c r="I1388" s="170" t="s"/>
      <c r="AA1388" s="157" t="s"/>
    </row>
    <row r="1389" spans="1:27">
      <c r="A1389" s="169" t="s"/>
      <c r="B1389" s="103" t="s"/>
      <c r="C1389" s="103" t="s"/>
      <c r="I1389" s="170" t="s"/>
      <c r="AA1389" s="157" t="s"/>
    </row>
    <row r="1390" spans="1:27">
      <c r="A1390" s="169" t="s"/>
      <c r="B1390" s="103" t="s"/>
      <c r="C1390" s="103" t="s"/>
      <c r="I1390" s="170" t="s"/>
      <c r="AA1390" s="157" t="s"/>
    </row>
    <row r="1391" spans="1:27">
      <c r="A1391" s="169" t="s"/>
      <c r="B1391" s="103" t="s"/>
      <c r="C1391" s="103" t="s"/>
      <c r="I1391" s="170" t="s"/>
      <c r="AA1391" s="157" t="s"/>
    </row>
    <row r="1392" spans="1:27">
      <c r="A1392" s="169" t="s"/>
      <c r="B1392" s="103" t="s"/>
      <c r="C1392" s="103" t="s"/>
      <c r="I1392" s="170" t="s"/>
      <c r="AA1392" s="157" t="s"/>
    </row>
    <row r="1393" spans="1:27">
      <c r="A1393" s="169" t="s"/>
      <c r="B1393" s="103" t="s"/>
      <c r="C1393" s="103" t="s"/>
      <c r="I1393" s="170" t="s"/>
      <c r="AA1393" s="157" t="s"/>
    </row>
    <row r="1394" spans="1:27">
      <c r="A1394" s="169" t="s"/>
      <c r="B1394" s="103" t="s"/>
      <c r="C1394" s="103" t="s"/>
      <c r="I1394" s="170" t="s"/>
      <c r="AA1394" s="157" t="s"/>
    </row>
    <row r="1395" spans="1:27">
      <c r="A1395" s="169" t="s"/>
      <c r="B1395" s="103" t="s"/>
      <c r="C1395" s="103" t="s"/>
      <c r="I1395" s="170" t="s"/>
      <c r="AA1395" s="157" t="s"/>
    </row>
    <row r="1396" spans="1:27">
      <c r="A1396" s="169" t="s"/>
      <c r="B1396" s="103" t="s"/>
      <c r="C1396" s="103" t="s"/>
      <c r="I1396" s="170" t="s"/>
      <c r="AA1396" s="157" t="s"/>
    </row>
    <row r="1397" spans="1:27">
      <c r="A1397" s="169" t="s"/>
      <c r="B1397" s="103" t="s"/>
      <c r="C1397" s="103" t="s"/>
      <c r="I1397" s="170" t="s"/>
      <c r="AA1397" s="157" t="s"/>
    </row>
    <row r="1398" spans="1:27">
      <c r="A1398" s="169" t="s"/>
      <c r="B1398" s="103" t="s"/>
      <c r="C1398" s="103" t="s"/>
      <c r="I1398" s="170" t="s"/>
      <c r="AA1398" s="157" t="s"/>
    </row>
    <row r="1399" spans="1:27">
      <c r="A1399" s="169" t="s"/>
      <c r="B1399" s="103" t="s"/>
      <c r="C1399" s="103" t="s"/>
      <c r="I1399" s="170" t="s"/>
      <c r="AA1399" s="157" t="s"/>
    </row>
    <row r="1400" spans="1:27">
      <c r="A1400" s="169" t="s"/>
      <c r="B1400" s="103" t="s"/>
      <c r="C1400" s="103" t="s"/>
      <c r="I1400" s="170" t="s"/>
      <c r="AA1400" s="157" t="s"/>
    </row>
    <row r="1401" spans="1:27">
      <c r="A1401" s="169" t="s"/>
      <c r="B1401" s="103" t="s"/>
      <c r="C1401" s="103" t="s"/>
      <c r="I1401" s="170" t="s"/>
      <c r="AA1401" s="157" t="s"/>
    </row>
    <row r="1402" spans="1:27">
      <c r="A1402" s="169" t="s"/>
      <c r="B1402" s="103" t="s"/>
      <c r="C1402" s="103" t="s"/>
      <c r="I1402" s="170" t="s"/>
      <c r="AA1402" s="157" t="s"/>
    </row>
    <row r="1403" spans="1:27">
      <c r="A1403" s="169" t="s"/>
      <c r="B1403" s="103" t="s"/>
      <c r="C1403" s="103" t="s"/>
      <c r="I1403" s="170" t="s"/>
      <c r="AA1403" s="157" t="s"/>
    </row>
    <row r="1404" spans="1:27">
      <c r="A1404" s="169" t="s"/>
      <c r="B1404" s="103" t="s"/>
      <c r="C1404" s="103" t="s"/>
      <c r="I1404" s="170" t="s"/>
      <c r="AA1404" s="157" t="s"/>
    </row>
    <row r="1405" spans="1:27">
      <c r="A1405" s="169" t="s"/>
      <c r="B1405" s="103" t="s"/>
      <c r="C1405" s="103" t="s"/>
      <c r="I1405" s="170" t="s"/>
      <c r="AA1405" s="157" t="s"/>
    </row>
    <row r="1406" spans="1:27">
      <c r="A1406" s="169" t="s"/>
      <c r="B1406" s="103" t="s"/>
      <c r="C1406" s="103" t="s"/>
      <c r="I1406" s="170" t="s"/>
      <c r="AA1406" s="157" t="s"/>
    </row>
    <row r="1407" spans="1:27">
      <c r="A1407" s="169" t="s"/>
      <c r="B1407" s="103" t="s"/>
      <c r="C1407" s="103" t="s"/>
      <c r="I1407" s="170" t="s"/>
      <c r="AA1407" s="157" t="s"/>
    </row>
    <row r="1408" spans="1:27">
      <c r="A1408" s="169" t="s"/>
      <c r="B1408" s="103" t="s"/>
      <c r="C1408" s="103" t="s"/>
      <c r="I1408" s="170" t="s"/>
      <c r="AA1408" s="157" t="s"/>
    </row>
    <row r="1409" spans="1:27">
      <c r="A1409" s="169" t="s"/>
      <c r="B1409" s="103" t="s"/>
      <c r="C1409" s="103" t="s"/>
      <c r="I1409" s="170" t="s"/>
      <c r="AA1409" s="157" t="s"/>
    </row>
    <row r="1410" spans="1:27">
      <c r="A1410" s="169" t="s"/>
      <c r="B1410" s="103" t="s"/>
      <c r="C1410" s="103" t="s"/>
      <c r="I1410" s="170" t="s"/>
      <c r="AA1410" s="157" t="s"/>
    </row>
    <row r="1411" spans="1:27">
      <c r="A1411" s="169" t="s"/>
      <c r="B1411" s="103" t="s"/>
      <c r="C1411" s="103" t="s"/>
      <c r="I1411" s="170" t="s"/>
      <c r="AA1411" s="157" t="s"/>
    </row>
    <row r="1412" spans="1:27">
      <c r="A1412" s="169" t="s"/>
      <c r="B1412" s="103" t="s"/>
      <c r="C1412" s="103" t="s"/>
      <c r="I1412" s="170" t="s"/>
      <c r="AA1412" s="157" t="s"/>
    </row>
    <row r="1413" spans="1:27">
      <c r="A1413" s="169" t="s"/>
      <c r="B1413" s="103" t="s"/>
      <c r="C1413" s="103" t="s"/>
      <c r="I1413" s="170" t="s"/>
      <c r="AA1413" s="157" t="s"/>
    </row>
    <row r="1414" spans="1:27">
      <c r="A1414" s="169" t="s"/>
      <c r="B1414" s="103" t="s"/>
      <c r="C1414" s="103" t="s"/>
      <c r="I1414" s="170" t="s"/>
      <c r="AA1414" s="157" t="s"/>
    </row>
    <row r="1415" spans="1:27">
      <c r="A1415" s="169" t="s"/>
      <c r="B1415" s="103" t="s"/>
      <c r="C1415" s="103" t="s"/>
      <c r="I1415" s="170" t="s"/>
      <c r="AA1415" s="157" t="s"/>
    </row>
    <row r="1416" spans="1:27">
      <c r="A1416" s="169" t="s"/>
      <c r="B1416" s="103" t="s"/>
      <c r="C1416" s="103" t="s"/>
      <c r="I1416" s="170" t="s"/>
      <c r="AA1416" s="157" t="s"/>
    </row>
    <row r="1417" spans="1:27">
      <c r="A1417" s="169" t="s"/>
      <c r="B1417" s="103" t="s"/>
      <c r="C1417" s="103" t="s"/>
      <c r="I1417" s="170" t="s"/>
      <c r="AA1417" s="157" t="s"/>
    </row>
    <row r="1418" spans="1:27">
      <c r="A1418" s="169" t="s"/>
      <c r="B1418" s="103" t="s"/>
      <c r="C1418" s="103" t="s"/>
      <c r="I1418" s="170" t="s"/>
      <c r="AA1418" s="157" t="s"/>
    </row>
    <row r="1419" spans="1:27">
      <c r="A1419" s="169" t="s"/>
      <c r="B1419" s="103" t="s"/>
      <c r="C1419" s="103" t="s"/>
      <c r="I1419" s="170" t="s"/>
      <c r="AA1419" s="157" t="s"/>
    </row>
    <row r="1420" spans="1:27">
      <c r="A1420" s="169" t="s"/>
      <c r="B1420" s="103" t="s"/>
      <c r="C1420" s="103" t="s"/>
      <c r="I1420" s="170" t="s"/>
      <c r="AA1420" s="157" t="s"/>
    </row>
    <row r="1421" spans="1:27">
      <c r="A1421" s="169" t="s"/>
      <c r="B1421" s="103" t="s"/>
      <c r="C1421" s="103" t="s"/>
      <c r="I1421" s="170" t="s"/>
      <c r="AA1421" s="157" t="s"/>
    </row>
    <row r="1422" spans="1:27">
      <c r="A1422" s="169" t="s"/>
      <c r="B1422" s="103" t="s"/>
      <c r="C1422" s="103" t="s"/>
      <c r="I1422" s="170" t="s"/>
      <c r="AA1422" s="157" t="s"/>
    </row>
    <row r="1423" spans="1:27">
      <c r="A1423" s="169" t="s"/>
      <c r="B1423" s="103" t="s"/>
      <c r="C1423" s="103" t="s"/>
      <c r="I1423" s="170" t="s"/>
      <c r="AA1423" s="157" t="s"/>
    </row>
    <row r="1424" spans="1:27">
      <c r="A1424" s="169" t="s"/>
      <c r="B1424" s="103" t="s"/>
      <c r="C1424" s="103" t="s"/>
      <c r="I1424" s="170" t="s"/>
      <c r="AA1424" s="157" t="s"/>
    </row>
    <row r="1425" spans="1:27">
      <c r="A1425" s="169" t="s"/>
      <c r="B1425" s="103" t="s"/>
      <c r="C1425" s="103" t="s"/>
      <c r="I1425" s="170" t="s"/>
      <c r="AA1425" s="157" t="s"/>
    </row>
    <row r="1426" spans="1:27">
      <c r="A1426" s="169" t="s"/>
      <c r="B1426" s="103" t="s"/>
      <c r="C1426" s="103" t="s"/>
      <c r="I1426" s="170" t="s"/>
      <c r="AA1426" s="157" t="s"/>
    </row>
    <row r="1427" spans="1:27">
      <c r="A1427" s="169" t="s"/>
      <c r="B1427" s="103" t="s"/>
      <c r="C1427" s="103" t="s"/>
      <c r="I1427" s="170" t="s"/>
      <c r="AA1427" s="157" t="s"/>
    </row>
    <row r="1428" spans="1:27">
      <c r="A1428" s="169" t="s"/>
      <c r="B1428" s="103" t="s"/>
      <c r="C1428" s="103" t="s"/>
      <c r="I1428" s="170" t="s"/>
      <c r="AA1428" s="157" t="s"/>
    </row>
    <row r="1429" spans="1:27">
      <c r="A1429" s="169" t="s"/>
      <c r="B1429" s="103" t="s"/>
      <c r="C1429" s="103" t="s"/>
      <c r="I1429" s="170" t="s"/>
      <c r="AA1429" s="157" t="s"/>
    </row>
    <row r="1430" spans="1:27">
      <c r="A1430" s="169" t="s"/>
      <c r="B1430" s="103" t="s"/>
      <c r="C1430" s="103" t="s"/>
      <c r="I1430" s="170" t="s"/>
      <c r="AA1430" s="157" t="s"/>
    </row>
    <row r="1431" spans="1:27">
      <c r="A1431" s="169" t="s"/>
      <c r="B1431" s="103" t="s"/>
      <c r="C1431" s="103" t="s"/>
      <c r="I1431" s="170" t="s"/>
      <c r="AA1431" s="157" t="s"/>
    </row>
    <row r="1432" spans="1:27">
      <c r="A1432" s="169" t="s"/>
      <c r="B1432" s="103" t="s"/>
      <c r="C1432" s="103" t="s"/>
      <c r="I1432" s="170" t="s"/>
      <c r="AA1432" s="157" t="s"/>
    </row>
    <row r="1433" spans="1:27">
      <c r="A1433" s="169" t="s"/>
      <c r="B1433" s="103" t="s"/>
      <c r="C1433" s="103" t="s"/>
      <c r="I1433" s="170" t="s"/>
      <c r="AA1433" s="157" t="s"/>
    </row>
    <row r="1434" spans="1:27">
      <c r="A1434" s="169" t="s"/>
      <c r="B1434" s="103" t="s"/>
      <c r="C1434" s="103" t="s"/>
      <c r="I1434" s="170" t="s"/>
      <c r="AA1434" s="157" t="s"/>
    </row>
    <row r="1435" spans="1:27">
      <c r="A1435" s="169" t="s"/>
      <c r="B1435" s="103" t="s"/>
      <c r="C1435" s="103" t="s"/>
      <c r="I1435" s="170" t="s"/>
      <c r="AA1435" s="157" t="s"/>
    </row>
    <row r="1436" spans="1:27">
      <c r="A1436" s="169" t="s"/>
      <c r="B1436" s="103" t="s"/>
      <c r="C1436" s="103" t="s"/>
      <c r="I1436" s="170" t="s"/>
      <c r="AA1436" s="157" t="s"/>
    </row>
    <row r="1437" spans="1:27">
      <c r="A1437" s="169" t="s"/>
      <c r="B1437" s="103" t="s"/>
      <c r="C1437" s="103" t="s"/>
      <c r="I1437" s="170" t="s"/>
      <c r="AA1437" s="157" t="s"/>
    </row>
    <row r="1438" spans="1:27">
      <c r="A1438" s="169" t="s"/>
      <c r="B1438" s="103" t="s"/>
      <c r="C1438" s="103" t="s"/>
      <c r="I1438" s="170" t="s"/>
      <c r="AA1438" s="157" t="s"/>
    </row>
    <row r="1439" spans="1:27">
      <c r="A1439" s="169" t="s"/>
      <c r="B1439" s="103" t="s"/>
      <c r="C1439" s="103" t="s"/>
      <c r="I1439" s="170" t="s"/>
      <c r="AA1439" s="157" t="s"/>
    </row>
    <row r="1440" spans="1:27">
      <c r="A1440" s="169" t="s"/>
      <c r="B1440" s="103" t="s"/>
      <c r="C1440" s="103" t="s"/>
      <c r="I1440" s="170" t="s"/>
      <c r="AA1440" s="157" t="s"/>
    </row>
    <row r="1441" spans="1:27">
      <c r="A1441" s="169" t="s"/>
      <c r="B1441" s="103" t="s"/>
      <c r="C1441" s="103" t="s"/>
      <c r="I1441" s="170" t="s"/>
      <c r="AA1441" s="157" t="s"/>
    </row>
    <row r="1442" spans="1:27">
      <c r="A1442" s="169" t="s"/>
      <c r="B1442" s="103" t="s"/>
      <c r="C1442" s="103" t="s"/>
      <c r="I1442" s="170" t="s"/>
      <c r="AA1442" s="157" t="s"/>
    </row>
    <row r="1443" spans="1:27">
      <c r="A1443" s="169" t="s"/>
      <c r="B1443" s="103" t="s"/>
      <c r="C1443" s="103" t="s"/>
      <c r="I1443" s="170" t="s"/>
      <c r="AA1443" s="157" t="s"/>
    </row>
    <row r="1444" spans="1:27">
      <c r="A1444" s="169" t="s"/>
      <c r="B1444" s="103" t="s"/>
      <c r="C1444" s="103" t="s"/>
      <c r="I1444" s="170" t="s"/>
      <c r="AA1444" s="157" t="s"/>
    </row>
    <row r="1445" spans="1:27">
      <c r="A1445" s="169" t="s"/>
      <c r="B1445" s="103" t="s"/>
      <c r="C1445" s="103" t="s"/>
      <c r="I1445" s="170" t="s"/>
      <c r="AA1445" s="157" t="s"/>
    </row>
    <row r="1446" spans="1:27">
      <c r="A1446" s="169" t="s"/>
      <c r="B1446" s="103" t="s"/>
      <c r="C1446" s="103" t="s"/>
      <c r="I1446" s="170" t="s"/>
      <c r="AA1446" s="157" t="s"/>
    </row>
    <row r="1447" spans="1:27">
      <c r="A1447" s="169" t="s"/>
      <c r="B1447" s="103" t="s"/>
      <c r="C1447" s="103" t="s"/>
      <c r="I1447" s="170" t="s"/>
      <c r="AA1447" s="157" t="s"/>
    </row>
    <row r="1448" spans="1:27">
      <c r="A1448" s="169" t="s"/>
      <c r="B1448" s="103" t="s"/>
      <c r="C1448" s="103" t="s"/>
      <c r="I1448" s="170" t="s"/>
      <c r="AA1448" s="157" t="s"/>
    </row>
    <row r="1449" spans="1:27">
      <c r="A1449" s="169" t="s"/>
      <c r="B1449" s="103" t="s"/>
      <c r="C1449" s="103" t="s"/>
      <c r="I1449" s="170" t="s"/>
      <c r="AA1449" s="157" t="s"/>
    </row>
    <row r="1450" spans="1:27">
      <c r="A1450" s="169" t="s"/>
      <c r="B1450" s="103" t="s"/>
      <c r="C1450" s="103" t="s"/>
      <c r="I1450" s="170" t="s"/>
      <c r="AA1450" s="157" t="s"/>
    </row>
    <row r="1451" spans="1:27">
      <c r="A1451" s="169" t="s"/>
      <c r="B1451" s="103" t="s"/>
      <c r="C1451" s="103" t="s"/>
      <c r="I1451" s="170" t="s"/>
      <c r="AA1451" s="157" t="s"/>
    </row>
    <row r="1452" spans="1:27">
      <c r="A1452" s="169" t="s"/>
      <c r="B1452" s="103" t="s"/>
      <c r="C1452" s="103" t="s"/>
      <c r="I1452" s="170" t="s"/>
      <c r="AA1452" s="157" t="s"/>
    </row>
    <row r="1453" spans="1:27">
      <c r="A1453" s="169" t="s"/>
      <c r="B1453" s="103" t="s"/>
      <c r="C1453" s="103" t="s"/>
      <c r="I1453" s="170" t="s"/>
      <c r="AA1453" s="157" t="s"/>
    </row>
    <row r="1454" spans="1:27">
      <c r="A1454" s="169" t="s"/>
      <c r="B1454" s="103" t="s"/>
      <c r="C1454" s="103" t="s"/>
      <c r="I1454" s="170" t="s"/>
      <c r="AA1454" s="157" t="s"/>
    </row>
    <row r="1455" spans="1:27">
      <c r="A1455" s="169" t="s"/>
      <c r="B1455" s="103" t="s"/>
      <c r="C1455" s="103" t="s"/>
      <c r="I1455" s="170" t="s"/>
      <c r="AA1455" s="157" t="s"/>
    </row>
    <row r="1456" spans="1:27">
      <c r="A1456" s="169" t="s"/>
      <c r="B1456" s="103" t="s"/>
      <c r="C1456" s="103" t="s"/>
      <c r="I1456" s="170" t="s"/>
      <c r="AA1456" s="157" t="s"/>
    </row>
    <row r="1457" spans="1:27">
      <c r="A1457" s="169" t="s"/>
      <c r="B1457" s="103" t="s"/>
      <c r="C1457" s="103" t="s"/>
      <c r="I1457" s="170" t="s"/>
      <c r="AA1457" s="157" t="s"/>
    </row>
    <row r="1458" spans="1:27">
      <c r="A1458" s="169" t="s"/>
      <c r="B1458" s="103" t="s"/>
      <c r="C1458" s="103" t="s"/>
      <c r="I1458" s="170" t="s"/>
      <c r="AA1458" s="157" t="s"/>
    </row>
    <row r="1459" spans="1:27">
      <c r="A1459" s="169" t="s"/>
      <c r="B1459" s="103" t="s"/>
      <c r="C1459" s="103" t="s"/>
      <c r="I1459" s="170" t="s"/>
      <c r="AA1459" s="157" t="s"/>
    </row>
    <row r="1460" spans="1:27">
      <c r="A1460" s="169" t="s"/>
      <c r="B1460" s="103" t="s"/>
      <c r="C1460" s="103" t="s"/>
      <c r="I1460" s="170" t="s"/>
      <c r="AA1460" s="157" t="s"/>
    </row>
    <row r="1461" spans="1:27">
      <c r="A1461" s="169" t="s"/>
      <c r="B1461" s="103" t="s"/>
      <c r="C1461" s="103" t="s"/>
      <c r="I1461" s="170" t="s"/>
      <c r="AA1461" s="157" t="s"/>
    </row>
    <row r="1462" spans="1:27">
      <c r="A1462" s="169" t="s"/>
      <c r="B1462" s="103" t="s"/>
      <c r="C1462" s="103" t="s"/>
      <c r="I1462" s="170" t="s"/>
      <c r="AA1462" s="157" t="s"/>
    </row>
    <row r="1463" spans="1:27">
      <c r="A1463" s="169" t="s"/>
      <c r="B1463" s="103" t="s"/>
      <c r="C1463" s="103" t="s"/>
      <c r="I1463" s="170" t="s"/>
      <c r="AA1463" s="157" t="s"/>
    </row>
    <row r="1464" spans="1:27">
      <c r="A1464" s="169" t="s"/>
      <c r="B1464" s="103" t="s"/>
      <c r="C1464" s="103" t="s"/>
      <c r="I1464" s="170" t="s"/>
      <c r="AA1464" s="157" t="s"/>
    </row>
    <row r="1465" spans="1:27">
      <c r="A1465" s="169" t="s"/>
      <c r="B1465" s="103" t="s"/>
      <c r="C1465" s="103" t="s"/>
      <c r="I1465" s="170" t="s"/>
      <c r="AA1465" s="157" t="s"/>
    </row>
    <row r="1466" spans="1:27">
      <c r="A1466" s="169" t="s"/>
      <c r="B1466" s="103" t="s"/>
      <c r="C1466" s="103" t="s"/>
      <c r="I1466" s="170" t="s"/>
      <c r="AA1466" s="157" t="s"/>
    </row>
    <row r="1467" spans="1:27">
      <c r="A1467" s="169" t="s"/>
      <c r="B1467" s="103" t="s"/>
      <c r="C1467" s="103" t="s"/>
      <c r="I1467" s="170" t="s"/>
      <c r="AA1467" s="157" t="s"/>
    </row>
    <row r="1468" spans="1:27">
      <c r="A1468" s="169" t="s"/>
      <c r="B1468" s="103" t="s"/>
      <c r="C1468" s="103" t="s"/>
      <c r="I1468" s="170" t="s"/>
      <c r="AA1468" s="157" t="s"/>
    </row>
    <row r="1469" spans="1:27">
      <c r="A1469" s="169" t="s"/>
      <c r="B1469" s="103" t="s"/>
      <c r="C1469" s="103" t="s"/>
      <c r="I1469" s="170" t="s"/>
      <c r="AA1469" s="157" t="s"/>
    </row>
    <row r="1470" spans="1:27">
      <c r="A1470" s="169" t="s"/>
      <c r="B1470" s="103" t="s"/>
      <c r="C1470" s="103" t="s"/>
      <c r="I1470" s="170" t="s"/>
      <c r="AA1470" s="157" t="s"/>
    </row>
    <row r="1471" spans="1:27">
      <c r="A1471" s="169" t="s"/>
      <c r="B1471" s="103" t="s"/>
      <c r="C1471" s="103" t="s"/>
      <c r="I1471" s="170" t="s"/>
      <c r="AA1471" s="157" t="s"/>
    </row>
    <row r="1472" spans="1:27">
      <c r="A1472" s="169" t="s"/>
      <c r="B1472" s="103" t="s"/>
      <c r="C1472" s="103" t="s"/>
      <c r="I1472" s="170" t="s"/>
      <c r="AA1472" s="157" t="s"/>
    </row>
    <row r="1473" spans="1:27">
      <c r="A1473" s="169" t="s"/>
      <c r="B1473" s="103" t="s"/>
      <c r="C1473" s="103" t="s"/>
      <c r="I1473" s="170" t="s"/>
      <c r="AA1473" s="157" t="s"/>
    </row>
    <row r="1474" spans="1:27">
      <c r="A1474" s="169" t="s"/>
      <c r="B1474" s="103" t="s"/>
      <c r="C1474" s="103" t="s"/>
      <c r="I1474" s="170" t="s"/>
      <c r="AA1474" s="157" t="s"/>
    </row>
    <row r="1475" spans="1:27">
      <c r="A1475" s="169" t="s"/>
      <c r="B1475" s="103" t="s"/>
      <c r="C1475" s="103" t="s"/>
      <c r="I1475" s="170" t="s"/>
      <c r="AA1475" s="157" t="s"/>
    </row>
    <row r="1476" spans="1:27">
      <c r="A1476" s="169" t="s"/>
      <c r="B1476" s="103" t="s"/>
      <c r="C1476" s="103" t="s"/>
      <c r="I1476" s="170" t="s"/>
      <c r="AA1476" s="157" t="s"/>
    </row>
    <row r="1477" spans="1:27">
      <c r="A1477" s="169" t="s"/>
      <c r="B1477" s="103" t="s"/>
      <c r="C1477" s="103" t="s"/>
      <c r="I1477" s="170" t="s"/>
      <c r="AA1477" s="157" t="s"/>
    </row>
    <row r="1478" spans="1:27">
      <c r="A1478" s="169" t="s"/>
      <c r="B1478" s="103" t="s"/>
      <c r="C1478" s="103" t="s"/>
      <c r="I1478" s="170" t="s"/>
      <c r="AA1478" s="157" t="s"/>
    </row>
    <row r="1479" spans="1:27">
      <c r="A1479" s="169" t="s"/>
      <c r="B1479" s="103" t="s"/>
      <c r="C1479" s="103" t="s"/>
      <c r="I1479" s="170" t="s"/>
      <c r="AA1479" s="157" t="s"/>
    </row>
    <row r="1480" spans="1:27">
      <c r="A1480" s="169" t="s"/>
      <c r="B1480" s="103" t="s"/>
      <c r="C1480" s="103" t="s"/>
      <c r="I1480" s="170" t="s"/>
      <c r="AA1480" s="157" t="s"/>
    </row>
    <row r="1481" spans="1:27">
      <c r="A1481" s="169" t="s"/>
      <c r="B1481" s="103" t="s"/>
      <c r="C1481" s="103" t="s"/>
      <c r="I1481" s="170" t="s"/>
      <c r="AA1481" s="157" t="s"/>
    </row>
    <row r="1482" spans="1:27">
      <c r="A1482" s="169" t="s"/>
      <c r="B1482" s="103" t="s"/>
      <c r="C1482" s="103" t="s"/>
      <c r="I1482" s="170" t="s"/>
      <c r="AA1482" s="157" t="s"/>
    </row>
    <row r="1483" spans="1:27">
      <c r="A1483" s="169" t="s"/>
      <c r="B1483" s="103" t="s"/>
      <c r="C1483" s="103" t="s"/>
      <c r="I1483" s="170" t="s"/>
      <c r="AA1483" s="157" t="s"/>
    </row>
    <row r="1484" spans="1:27">
      <c r="A1484" s="169" t="s"/>
      <c r="B1484" s="103" t="s"/>
      <c r="C1484" s="103" t="s"/>
      <c r="I1484" s="170" t="s"/>
      <c r="AA1484" s="157" t="s"/>
    </row>
    <row r="1485" spans="1:27">
      <c r="A1485" s="169" t="s"/>
      <c r="B1485" s="103" t="s"/>
      <c r="C1485" s="103" t="s"/>
      <c r="I1485" s="170" t="s"/>
      <c r="AA1485" s="157" t="s"/>
    </row>
    <row r="1486" spans="1:27">
      <c r="A1486" s="169" t="s"/>
      <c r="B1486" s="103" t="s"/>
      <c r="C1486" s="103" t="s"/>
      <c r="I1486" s="170" t="s"/>
      <c r="AA1486" s="157" t="s"/>
    </row>
    <row r="1487" spans="1:27">
      <c r="A1487" s="169" t="s"/>
      <c r="B1487" s="103" t="s"/>
      <c r="C1487" s="103" t="s"/>
      <c r="I1487" s="170" t="s"/>
      <c r="AA1487" s="157" t="s"/>
    </row>
    <row r="1488" spans="1:27">
      <c r="A1488" s="169" t="s"/>
      <c r="B1488" s="103" t="s"/>
      <c r="C1488" s="103" t="s"/>
      <c r="I1488" s="170" t="s"/>
      <c r="AA1488" s="157" t="s"/>
    </row>
    <row r="1489" spans="1:27">
      <c r="A1489" s="169" t="s"/>
      <c r="B1489" s="103" t="s"/>
      <c r="C1489" s="103" t="s"/>
      <c r="I1489" s="170" t="s"/>
      <c r="AA1489" s="157" t="s"/>
    </row>
    <row r="1490" spans="1:27">
      <c r="A1490" s="169" t="s"/>
      <c r="B1490" s="103" t="s"/>
      <c r="C1490" s="103" t="s"/>
      <c r="I1490" s="170" t="s"/>
      <c r="AA1490" s="157" t="s"/>
    </row>
    <row r="1491" spans="1:27">
      <c r="A1491" s="169" t="s"/>
      <c r="B1491" s="103" t="s"/>
      <c r="C1491" s="103" t="s"/>
      <c r="I1491" s="170" t="s"/>
      <c r="AA1491" s="157" t="s"/>
    </row>
    <row r="1492" spans="1:27">
      <c r="A1492" s="169" t="s"/>
      <c r="B1492" s="103" t="s"/>
      <c r="C1492" s="103" t="s"/>
      <c r="I1492" s="170" t="s"/>
      <c r="AA1492" s="157" t="s"/>
    </row>
    <row r="1493" spans="1:27">
      <c r="A1493" s="169" t="s"/>
      <c r="B1493" s="103" t="s"/>
      <c r="C1493" s="103" t="s"/>
      <c r="I1493" s="170" t="s"/>
      <c r="AA1493" s="157" t="s"/>
    </row>
    <row r="1494" spans="1:27">
      <c r="A1494" s="169" t="s"/>
      <c r="B1494" s="103" t="s"/>
      <c r="C1494" s="103" t="s"/>
      <c r="I1494" s="170" t="s"/>
      <c r="AA1494" s="157" t="s"/>
    </row>
    <row r="1495" spans="1:27">
      <c r="A1495" s="169" t="s"/>
      <c r="B1495" s="103" t="s"/>
      <c r="C1495" s="103" t="s"/>
      <c r="I1495" s="170" t="s"/>
      <c r="AA1495" s="157" t="s"/>
    </row>
    <row r="1496" spans="1:27">
      <c r="A1496" s="169" t="s"/>
      <c r="B1496" s="103" t="s"/>
      <c r="C1496" s="103" t="s"/>
      <c r="I1496" s="170" t="s"/>
      <c r="AA1496" s="157" t="s"/>
    </row>
    <row r="1497" spans="1:27">
      <c r="A1497" s="169" t="s"/>
      <c r="B1497" s="103" t="s"/>
      <c r="C1497" s="103" t="s"/>
      <c r="I1497" s="170" t="s"/>
      <c r="AA1497" s="157" t="s"/>
    </row>
    <row r="1498" spans="1:27">
      <c r="A1498" s="169" t="s"/>
      <c r="B1498" s="103" t="s"/>
      <c r="C1498" s="103" t="s"/>
      <c r="I1498" s="170" t="s"/>
      <c r="AA1498" s="157" t="s"/>
    </row>
    <row r="1499" spans="1:27">
      <c r="A1499" s="169" t="s"/>
      <c r="B1499" s="103" t="s"/>
      <c r="C1499" s="103" t="s"/>
      <c r="I1499" s="170" t="s"/>
      <c r="AA1499" s="157" t="s"/>
    </row>
    <row r="1500" spans="1:27">
      <c r="A1500" s="169" t="s"/>
      <c r="B1500" s="103" t="s"/>
      <c r="C1500" s="103" t="s"/>
      <c r="I1500" s="170" t="s"/>
      <c r="AA1500" s="157" t="s"/>
    </row>
    <row r="1501" spans="1:27">
      <c r="A1501" s="169" t="s"/>
      <c r="B1501" s="103" t="s"/>
      <c r="C1501" s="103" t="s"/>
      <c r="I1501" s="170" t="s"/>
      <c r="AA1501" s="157" t="s"/>
    </row>
    <row r="1502" spans="1:27">
      <c r="A1502" s="169" t="s"/>
      <c r="B1502" s="103" t="s"/>
      <c r="C1502" s="103" t="s"/>
      <c r="I1502" s="170" t="s"/>
      <c r="AA1502" s="157" t="s"/>
    </row>
    <row r="1503" spans="1:27">
      <c r="A1503" s="169" t="s"/>
      <c r="B1503" s="103" t="s"/>
      <c r="C1503" s="103" t="s"/>
      <c r="I1503" s="170" t="s"/>
      <c r="AA1503" s="157" t="s"/>
    </row>
    <row r="1504" spans="1:27">
      <c r="A1504" s="169" t="s"/>
      <c r="B1504" s="103" t="s"/>
      <c r="C1504" s="103" t="s"/>
      <c r="I1504" s="170" t="s"/>
      <c r="AA1504" s="157" t="s"/>
    </row>
    <row r="1505" spans="1:27">
      <c r="A1505" s="169" t="s"/>
      <c r="B1505" s="103" t="s"/>
      <c r="C1505" s="103" t="s"/>
      <c r="I1505" s="170" t="s"/>
      <c r="AA1505" s="157" t="s"/>
    </row>
    <row r="1506" spans="1:27">
      <c r="A1506" s="169" t="s"/>
      <c r="B1506" s="103" t="s"/>
      <c r="C1506" s="103" t="s"/>
      <c r="I1506" s="170" t="s"/>
      <c r="AA1506" s="157" t="s"/>
    </row>
    <row r="1507" spans="1:27">
      <c r="A1507" s="169" t="s"/>
      <c r="B1507" s="103" t="s"/>
      <c r="C1507" s="103" t="s"/>
      <c r="I1507" s="170" t="s"/>
      <c r="AA1507" s="157" t="s"/>
    </row>
    <row r="1508" spans="1:27">
      <c r="A1508" s="169" t="s"/>
      <c r="B1508" s="103" t="s"/>
      <c r="C1508" s="103" t="s"/>
      <c r="I1508" s="170" t="s"/>
      <c r="AA1508" s="157" t="s"/>
    </row>
    <row r="1509" spans="1:27">
      <c r="A1509" s="169" t="s"/>
      <c r="B1509" s="103" t="s"/>
      <c r="C1509" s="103" t="s"/>
      <c r="I1509" s="170" t="s"/>
      <c r="AA1509" s="157" t="s"/>
    </row>
    <row r="1510" spans="1:27">
      <c r="A1510" s="169" t="s"/>
      <c r="B1510" s="103" t="s"/>
      <c r="C1510" s="103" t="s"/>
      <c r="I1510" s="170" t="s"/>
      <c r="AA1510" s="157" t="s"/>
    </row>
    <row r="1511" spans="1:27">
      <c r="A1511" s="169" t="s"/>
      <c r="B1511" s="103" t="s"/>
      <c r="C1511" s="103" t="s"/>
      <c r="I1511" s="170" t="s"/>
      <c r="AA1511" s="157" t="s"/>
    </row>
    <row r="1512" spans="1:27">
      <c r="A1512" s="169" t="s"/>
      <c r="B1512" s="103" t="s"/>
      <c r="C1512" s="103" t="s"/>
      <c r="I1512" s="170" t="s"/>
      <c r="AA1512" s="157" t="s"/>
    </row>
    <row r="1513" spans="1:27">
      <c r="A1513" s="169" t="s"/>
      <c r="B1513" s="103" t="s"/>
      <c r="C1513" s="103" t="s"/>
      <c r="I1513" s="170" t="s"/>
      <c r="AA1513" s="157" t="s"/>
    </row>
    <row r="1514" spans="1:27">
      <c r="A1514" s="169" t="s"/>
      <c r="B1514" s="103" t="s"/>
      <c r="C1514" s="103" t="s"/>
      <c r="I1514" s="170" t="s"/>
      <c r="AA1514" s="157" t="s"/>
    </row>
    <row r="1515" spans="1:27">
      <c r="A1515" s="169" t="s"/>
      <c r="B1515" s="103" t="s"/>
      <c r="C1515" s="103" t="s"/>
      <c r="I1515" s="170" t="s"/>
      <c r="AA1515" s="157" t="s"/>
    </row>
    <row r="1516" spans="1:27">
      <c r="A1516" s="169" t="s"/>
      <c r="B1516" s="103" t="s"/>
      <c r="C1516" s="103" t="s"/>
      <c r="I1516" s="170" t="s"/>
      <c r="AA1516" s="157" t="s"/>
    </row>
    <row r="1517" spans="1:27">
      <c r="A1517" s="169" t="s"/>
      <c r="B1517" s="103" t="s"/>
      <c r="C1517" s="103" t="s"/>
      <c r="I1517" s="170" t="s"/>
      <c r="AA1517" s="157" t="s"/>
    </row>
    <row r="1518" spans="1:27">
      <c r="A1518" s="169" t="s"/>
      <c r="B1518" s="103" t="s"/>
      <c r="C1518" s="103" t="s"/>
      <c r="I1518" s="170" t="s"/>
      <c r="AA1518" s="157" t="s"/>
    </row>
    <row r="1519" spans="1:27">
      <c r="A1519" s="169" t="s"/>
      <c r="B1519" s="103" t="s"/>
      <c r="C1519" s="103" t="s"/>
      <c r="I1519" s="170" t="s"/>
      <c r="AA1519" s="157" t="s"/>
    </row>
    <row r="1520" spans="1:27">
      <c r="A1520" s="169" t="s"/>
      <c r="B1520" s="103" t="s"/>
      <c r="C1520" s="103" t="s"/>
      <c r="I1520" s="170" t="s"/>
      <c r="AA1520" s="157" t="s"/>
    </row>
    <row r="1521" spans="1:27">
      <c r="A1521" s="169" t="s"/>
      <c r="B1521" s="103" t="s"/>
      <c r="C1521" s="103" t="s"/>
      <c r="I1521" s="170" t="s"/>
      <c r="AA1521" s="157" t="s"/>
    </row>
    <row r="1522" spans="1:27">
      <c r="A1522" s="169" t="s"/>
      <c r="B1522" s="103" t="s"/>
      <c r="C1522" s="103" t="s"/>
      <c r="I1522" s="170" t="s"/>
      <c r="AA1522" s="157" t="s"/>
    </row>
    <row r="1523" spans="1:27">
      <c r="A1523" s="169" t="s"/>
      <c r="B1523" s="103" t="s"/>
      <c r="C1523" s="103" t="s"/>
      <c r="I1523" s="170" t="s"/>
      <c r="AA1523" s="157" t="s"/>
    </row>
    <row r="1524" spans="1:27">
      <c r="A1524" s="169" t="s"/>
      <c r="B1524" s="103" t="s"/>
      <c r="C1524" s="103" t="s"/>
      <c r="I1524" s="170" t="s"/>
      <c r="AA1524" s="157" t="s"/>
    </row>
    <row r="1525" spans="1:27">
      <c r="A1525" s="169" t="s"/>
      <c r="B1525" s="103" t="s"/>
      <c r="C1525" s="103" t="s"/>
      <c r="I1525" s="170" t="s"/>
      <c r="AA1525" s="157" t="s"/>
    </row>
    <row r="1526" spans="1:27">
      <c r="A1526" s="169" t="s"/>
      <c r="B1526" s="103" t="s"/>
      <c r="C1526" s="103" t="s"/>
      <c r="I1526" s="170" t="s"/>
      <c r="AA1526" s="157" t="s"/>
    </row>
    <row r="1527" spans="1:27">
      <c r="A1527" s="169" t="s"/>
      <c r="B1527" s="103" t="s"/>
      <c r="C1527" s="103" t="s"/>
      <c r="I1527" s="170" t="s"/>
      <c r="AA1527" s="157" t="s"/>
    </row>
    <row r="1528" spans="1:27">
      <c r="A1528" s="169" t="s"/>
      <c r="B1528" s="103" t="s"/>
      <c r="C1528" s="103" t="s"/>
      <c r="I1528" s="170" t="s"/>
      <c r="AA1528" s="157" t="s"/>
    </row>
    <row r="1529" spans="1:27">
      <c r="A1529" s="169" t="s"/>
      <c r="B1529" s="103" t="s"/>
      <c r="C1529" s="103" t="s"/>
      <c r="I1529" s="170" t="s"/>
      <c r="AA1529" s="157" t="s"/>
    </row>
    <row r="1530" spans="1:27">
      <c r="A1530" s="169" t="s"/>
      <c r="B1530" s="103" t="s"/>
      <c r="C1530" s="103" t="s"/>
      <c r="I1530" s="170" t="s"/>
      <c r="AA1530" s="157" t="s"/>
    </row>
    <row r="1531" spans="1:27">
      <c r="A1531" s="169" t="s"/>
      <c r="B1531" s="103" t="s"/>
      <c r="C1531" s="103" t="s"/>
      <c r="I1531" s="170" t="s"/>
      <c r="AA1531" s="157" t="s"/>
    </row>
    <row r="1532" spans="1:27">
      <c r="A1532" s="169" t="s"/>
      <c r="B1532" s="103" t="s"/>
      <c r="C1532" s="103" t="s"/>
      <c r="I1532" s="170" t="s"/>
      <c r="AA1532" s="157" t="s"/>
    </row>
    <row r="1533" spans="1:27">
      <c r="A1533" s="169" t="s"/>
      <c r="B1533" s="103" t="s"/>
      <c r="C1533" s="103" t="s"/>
      <c r="I1533" s="170" t="s"/>
      <c r="AA1533" s="157" t="s"/>
    </row>
    <row r="1534" spans="1:27">
      <c r="A1534" s="169" t="s"/>
      <c r="B1534" s="103" t="s"/>
      <c r="C1534" s="103" t="s"/>
      <c r="I1534" s="170" t="s"/>
      <c r="AA1534" s="157" t="s"/>
    </row>
    <row r="1535" spans="1:27">
      <c r="A1535" s="169" t="s"/>
      <c r="B1535" s="103" t="s"/>
      <c r="C1535" s="103" t="s"/>
      <c r="I1535" s="170" t="s"/>
      <c r="AA1535" s="157" t="s"/>
    </row>
    <row r="1536" spans="1:27">
      <c r="A1536" s="169" t="s"/>
      <c r="B1536" s="103" t="s"/>
      <c r="C1536" s="103" t="s"/>
      <c r="I1536" s="170" t="s"/>
      <c r="AA1536" s="157" t="s"/>
    </row>
    <row r="1537" spans="1:27">
      <c r="A1537" s="169" t="s"/>
      <c r="B1537" s="103" t="s"/>
      <c r="C1537" s="103" t="s"/>
      <c r="I1537" s="170" t="s"/>
      <c r="AA1537" s="157" t="s"/>
    </row>
    <row r="1538" spans="1:27">
      <c r="A1538" s="169" t="s"/>
      <c r="B1538" s="103" t="s"/>
      <c r="C1538" s="103" t="s"/>
      <c r="I1538" s="170" t="s"/>
      <c r="AA1538" s="157" t="s"/>
    </row>
    <row r="1539" spans="1:27">
      <c r="A1539" s="169" t="s"/>
      <c r="B1539" s="103" t="s"/>
      <c r="C1539" s="103" t="s"/>
      <c r="I1539" s="170" t="s"/>
      <c r="AA1539" s="157" t="s"/>
    </row>
    <row r="1540" spans="1:27">
      <c r="A1540" s="169" t="s"/>
      <c r="B1540" s="103" t="s"/>
      <c r="C1540" s="103" t="s"/>
      <c r="I1540" s="170" t="s"/>
      <c r="AA1540" s="157" t="s"/>
    </row>
    <row r="1541" spans="1:27">
      <c r="A1541" s="169" t="s"/>
      <c r="B1541" s="103" t="s"/>
      <c r="C1541" s="103" t="s"/>
      <c r="I1541" s="170" t="s"/>
      <c r="AA1541" s="157" t="s"/>
    </row>
    <row r="1542" spans="1:27">
      <c r="A1542" s="169" t="s"/>
      <c r="B1542" s="103" t="s"/>
      <c r="C1542" s="103" t="s"/>
      <c r="I1542" s="170" t="s"/>
      <c r="AA1542" s="157" t="s"/>
    </row>
    <row r="1543" spans="1:27">
      <c r="A1543" s="169" t="s"/>
      <c r="B1543" s="103" t="s"/>
      <c r="C1543" s="103" t="s"/>
      <c r="I1543" s="170" t="s"/>
      <c r="AA1543" s="157" t="s"/>
    </row>
    <row r="1544" spans="1:27">
      <c r="A1544" s="169" t="s"/>
      <c r="B1544" s="103" t="s"/>
      <c r="C1544" s="103" t="s"/>
      <c r="I1544" s="170" t="s"/>
      <c r="AA1544" s="157" t="s"/>
    </row>
    <row r="1545" spans="1:27">
      <c r="A1545" s="169" t="s"/>
      <c r="B1545" s="103" t="s"/>
      <c r="C1545" s="103" t="s"/>
      <c r="I1545" s="170" t="s"/>
      <c r="AA1545" s="157" t="s"/>
    </row>
    <row r="1546" spans="1:27">
      <c r="A1546" s="169" t="s"/>
      <c r="B1546" s="103" t="s"/>
      <c r="C1546" s="103" t="s"/>
      <c r="I1546" s="170" t="s"/>
      <c r="AA1546" s="157" t="s"/>
    </row>
    <row r="1547" spans="1:27">
      <c r="A1547" s="169" t="s"/>
      <c r="B1547" s="103" t="s"/>
      <c r="C1547" s="103" t="s"/>
      <c r="I1547" s="170" t="s"/>
      <c r="AA1547" s="157" t="s"/>
    </row>
    <row r="1548" spans="1:27">
      <c r="A1548" s="169" t="s"/>
      <c r="B1548" s="103" t="s"/>
      <c r="C1548" s="103" t="s"/>
      <c r="I1548" s="170" t="s"/>
      <c r="AA1548" s="157" t="s"/>
    </row>
    <row r="1549" spans="1:27">
      <c r="A1549" s="169" t="s"/>
      <c r="B1549" s="103" t="s"/>
      <c r="C1549" s="103" t="s"/>
      <c r="I1549" s="170" t="s"/>
      <c r="AA1549" s="157" t="s"/>
    </row>
    <row r="1550" spans="1:27">
      <c r="A1550" s="169" t="s"/>
      <c r="B1550" s="103" t="s"/>
      <c r="C1550" s="103" t="s"/>
      <c r="I1550" s="170" t="s"/>
      <c r="AA1550" s="157" t="s"/>
    </row>
    <row r="1551" spans="1:27">
      <c r="A1551" s="169" t="s"/>
      <c r="B1551" s="103" t="s"/>
      <c r="C1551" s="103" t="s"/>
      <c r="I1551" s="170" t="s"/>
      <c r="AA1551" s="157" t="s"/>
    </row>
    <row r="1552" spans="1:27">
      <c r="A1552" s="169" t="s"/>
      <c r="B1552" s="103" t="s"/>
      <c r="C1552" s="103" t="s"/>
      <c r="I1552" s="170" t="s"/>
      <c r="AA1552" s="157" t="s"/>
    </row>
    <row r="1553" spans="1:27">
      <c r="A1553" s="169" t="s"/>
      <c r="B1553" s="103" t="s"/>
      <c r="C1553" s="103" t="s"/>
      <c r="I1553" s="170" t="s"/>
      <c r="AA1553" s="157" t="s"/>
    </row>
    <row r="1554" spans="1:27">
      <c r="A1554" s="169" t="s"/>
      <c r="B1554" s="103" t="s"/>
      <c r="C1554" s="103" t="s"/>
      <c r="I1554" s="170" t="s"/>
      <c r="AA1554" s="157" t="s"/>
    </row>
    <row r="1555" spans="1:27">
      <c r="A1555" s="169" t="s"/>
      <c r="B1555" s="103" t="s"/>
      <c r="C1555" s="103" t="s"/>
      <c r="I1555" s="170" t="s"/>
      <c r="AA1555" s="157" t="s"/>
    </row>
    <row r="1556" spans="1:27">
      <c r="A1556" s="169" t="s"/>
      <c r="B1556" s="103" t="s"/>
      <c r="C1556" s="103" t="s"/>
      <c r="I1556" s="170" t="s"/>
      <c r="AA1556" s="157" t="s"/>
    </row>
    <row r="1557" spans="1:27">
      <c r="A1557" s="169" t="s"/>
      <c r="B1557" s="103" t="s"/>
      <c r="C1557" s="103" t="s"/>
      <c r="I1557" s="170" t="s"/>
      <c r="AA1557" s="157" t="s"/>
    </row>
    <row r="1558" spans="1:27">
      <c r="A1558" s="169" t="s"/>
      <c r="B1558" s="103" t="s"/>
      <c r="C1558" s="103" t="s"/>
      <c r="I1558" s="170" t="s"/>
      <c r="AA1558" s="157" t="s"/>
    </row>
    <row r="1559" spans="1:27">
      <c r="A1559" s="169" t="s"/>
      <c r="B1559" s="103" t="s"/>
      <c r="C1559" s="103" t="s"/>
      <c r="I1559" s="170" t="s"/>
      <c r="AA1559" s="157" t="s"/>
    </row>
    <row r="1560" spans="1:27">
      <c r="A1560" s="169" t="s"/>
      <c r="B1560" s="103" t="s"/>
      <c r="C1560" s="103" t="s"/>
      <c r="I1560" s="170" t="s"/>
      <c r="AA1560" s="157" t="s"/>
    </row>
    <row r="1561" spans="1:27">
      <c r="A1561" s="169" t="s"/>
      <c r="B1561" s="103" t="s"/>
      <c r="C1561" s="103" t="s"/>
      <c r="I1561" s="170" t="s"/>
      <c r="AA1561" s="157" t="s"/>
    </row>
    <row r="1562" spans="1:27">
      <c r="A1562" s="169" t="s"/>
      <c r="B1562" s="103" t="s"/>
      <c r="C1562" s="103" t="s"/>
      <c r="I1562" s="170" t="s"/>
      <c r="AA1562" s="157" t="s"/>
    </row>
    <row r="1563" spans="1:27">
      <c r="A1563" s="169" t="s"/>
      <c r="B1563" s="103" t="s"/>
      <c r="C1563" s="103" t="s"/>
      <c r="I1563" s="170" t="s"/>
      <c r="AA1563" s="157" t="s"/>
    </row>
    <row r="1564" spans="1:27">
      <c r="A1564" s="169" t="s"/>
      <c r="B1564" s="103" t="s"/>
      <c r="C1564" s="103" t="s"/>
      <c r="I1564" s="170" t="s"/>
      <c r="AA1564" s="157" t="s"/>
    </row>
    <row r="1565" spans="1:27">
      <c r="A1565" s="169" t="s"/>
      <c r="B1565" s="103" t="s"/>
      <c r="C1565" s="103" t="s"/>
      <c r="I1565" s="170" t="s"/>
      <c r="AA1565" s="157" t="s"/>
    </row>
    <row r="1566" spans="1:27">
      <c r="A1566" s="169" t="s"/>
      <c r="B1566" s="103" t="s"/>
      <c r="C1566" s="103" t="s"/>
      <c r="I1566" s="170" t="s"/>
      <c r="AA1566" s="157" t="s"/>
    </row>
    <row r="1567" spans="1:27">
      <c r="A1567" s="169" t="s"/>
      <c r="B1567" s="103" t="s"/>
      <c r="C1567" s="103" t="s"/>
      <c r="I1567" s="170" t="s"/>
      <c r="AA1567" s="157" t="s"/>
    </row>
    <row r="1568" spans="1:27">
      <c r="A1568" s="169" t="s"/>
      <c r="B1568" s="103" t="s"/>
      <c r="C1568" s="103" t="s"/>
      <c r="I1568" s="170" t="s"/>
      <c r="AA1568" s="157" t="s"/>
    </row>
    <row r="1569" spans="1:27">
      <c r="A1569" s="169" t="s"/>
      <c r="B1569" s="103" t="s"/>
      <c r="C1569" s="103" t="s"/>
      <c r="I1569" s="170" t="s"/>
      <c r="AA1569" s="157" t="s"/>
    </row>
    <row r="1570" spans="1:27">
      <c r="A1570" s="169" t="s"/>
      <c r="B1570" s="103" t="s"/>
      <c r="C1570" s="103" t="s"/>
      <c r="I1570" s="170" t="s"/>
      <c r="AA1570" s="157" t="s"/>
    </row>
    <row r="1571" spans="1:27">
      <c r="A1571" s="169" t="s"/>
      <c r="B1571" s="103" t="s"/>
      <c r="C1571" s="103" t="s"/>
      <c r="I1571" s="170" t="s"/>
      <c r="AA1571" s="157" t="s"/>
    </row>
    <row r="1572" spans="1:27">
      <c r="A1572" s="169" t="s"/>
      <c r="B1572" s="103" t="s"/>
      <c r="C1572" s="103" t="s"/>
      <c r="I1572" s="170" t="s"/>
      <c r="AA1572" s="157" t="s"/>
    </row>
    <row r="1573" spans="1:27">
      <c r="A1573" s="169" t="s"/>
      <c r="B1573" s="103" t="s"/>
      <c r="C1573" s="103" t="s"/>
      <c r="I1573" s="170" t="s"/>
      <c r="AA1573" s="157" t="s"/>
    </row>
    <row r="1574" spans="1:27">
      <c r="A1574" s="169" t="s"/>
      <c r="B1574" s="103" t="s"/>
      <c r="C1574" s="103" t="s"/>
      <c r="I1574" s="170" t="s"/>
      <c r="AA1574" s="157" t="s"/>
    </row>
    <row r="1575" spans="1:27">
      <c r="A1575" s="169" t="s"/>
      <c r="B1575" s="103" t="s"/>
      <c r="C1575" s="103" t="s"/>
      <c r="I1575" s="170" t="s"/>
      <c r="AA1575" s="157" t="s"/>
    </row>
    <row r="1576" spans="1:27">
      <c r="A1576" s="169" t="s"/>
      <c r="B1576" s="103" t="s"/>
      <c r="C1576" s="103" t="s"/>
      <c r="I1576" s="170" t="s"/>
      <c r="AA1576" s="157" t="s"/>
    </row>
    <row r="1577" spans="1:27">
      <c r="A1577" s="169" t="s"/>
      <c r="B1577" s="103" t="s"/>
      <c r="C1577" s="103" t="s"/>
      <c r="I1577" s="170" t="s"/>
      <c r="AA1577" s="157" t="s"/>
    </row>
    <row r="1578" spans="1:27">
      <c r="A1578" s="169" t="s"/>
      <c r="B1578" s="103" t="s"/>
      <c r="C1578" s="103" t="s"/>
      <c r="I1578" s="170" t="s"/>
      <c r="AA1578" s="157" t="s"/>
    </row>
    <row r="1579" spans="1:27">
      <c r="A1579" s="169" t="s"/>
      <c r="B1579" s="103" t="s"/>
      <c r="C1579" s="103" t="s"/>
      <c r="I1579" s="170" t="s"/>
      <c r="AA1579" s="157" t="s"/>
    </row>
    <row r="1580" spans="1:27">
      <c r="A1580" s="169" t="s"/>
      <c r="B1580" s="103" t="s"/>
      <c r="C1580" s="103" t="s"/>
      <c r="I1580" s="170" t="s"/>
      <c r="AA1580" s="157" t="s"/>
    </row>
    <row r="1581" spans="1:27">
      <c r="A1581" s="169" t="s"/>
      <c r="B1581" s="103" t="s"/>
      <c r="C1581" s="103" t="s"/>
      <c r="I1581" s="170" t="s"/>
      <c r="AA1581" s="157" t="s"/>
    </row>
    <row r="1582" spans="1:27">
      <c r="A1582" s="169" t="s"/>
      <c r="B1582" s="103" t="s"/>
      <c r="C1582" s="103" t="s"/>
      <c r="I1582" s="170" t="s"/>
      <c r="AA1582" s="157" t="s"/>
    </row>
    <row r="1583" spans="1:27">
      <c r="A1583" s="169" t="s"/>
      <c r="B1583" s="103" t="s"/>
      <c r="C1583" s="103" t="s"/>
      <c r="I1583" s="170" t="s"/>
      <c r="AA1583" s="157" t="s"/>
    </row>
    <row r="1584" spans="1:27">
      <c r="A1584" s="169" t="s"/>
      <c r="B1584" s="103" t="s"/>
      <c r="C1584" s="103" t="s"/>
      <c r="I1584" s="170" t="s"/>
      <c r="AA1584" s="157" t="s"/>
    </row>
    <row r="1585" spans="1:27">
      <c r="A1585" s="169" t="s"/>
      <c r="B1585" s="103" t="s"/>
      <c r="C1585" s="103" t="s"/>
      <c r="I1585" s="170" t="s"/>
      <c r="AA1585" s="157" t="s"/>
    </row>
    <row r="1586" spans="1:27">
      <c r="A1586" s="169" t="s"/>
      <c r="B1586" s="103" t="s"/>
      <c r="C1586" s="103" t="s"/>
      <c r="I1586" s="170" t="s"/>
      <c r="AA1586" s="157" t="s"/>
    </row>
    <row r="1587" spans="1:27">
      <c r="A1587" s="169" t="s"/>
      <c r="B1587" s="103" t="s"/>
      <c r="C1587" s="103" t="s"/>
      <c r="I1587" s="170" t="s"/>
      <c r="AA1587" s="157" t="s"/>
    </row>
    <row r="1588" spans="1:27">
      <c r="A1588" s="169" t="s"/>
      <c r="B1588" s="103" t="s"/>
      <c r="C1588" s="103" t="s"/>
      <c r="I1588" s="170" t="s"/>
      <c r="AA1588" s="157" t="s"/>
    </row>
    <row r="1589" spans="1:27">
      <c r="A1589" s="169" t="s"/>
      <c r="B1589" s="103" t="s"/>
      <c r="C1589" s="103" t="s"/>
      <c r="I1589" s="170" t="s"/>
      <c r="AA1589" s="157" t="s"/>
    </row>
    <row r="1590" spans="1:27">
      <c r="A1590" s="169" t="s"/>
      <c r="B1590" s="103" t="s"/>
      <c r="C1590" s="103" t="s"/>
      <c r="I1590" s="170" t="s"/>
      <c r="AA1590" s="157" t="s"/>
    </row>
    <row r="1591" spans="1:27">
      <c r="A1591" s="169" t="s"/>
      <c r="B1591" s="103" t="s"/>
      <c r="C1591" s="103" t="s"/>
      <c r="I1591" s="170" t="s"/>
      <c r="AA1591" s="157" t="s"/>
    </row>
    <row r="1592" spans="1:27">
      <c r="A1592" s="169" t="s"/>
      <c r="B1592" s="103" t="s"/>
      <c r="C1592" s="103" t="s"/>
      <c r="I1592" s="170" t="s"/>
      <c r="AA1592" s="157" t="s"/>
    </row>
    <row r="1593" spans="1:27">
      <c r="A1593" s="169" t="s"/>
      <c r="B1593" s="103" t="s"/>
      <c r="C1593" s="103" t="s"/>
      <c r="I1593" s="170" t="s"/>
      <c r="AA1593" s="157" t="s"/>
    </row>
    <row r="1594" spans="1:27">
      <c r="A1594" s="169" t="s"/>
      <c r="B1594" s="103" t="s"/>
      <c r="C1594" s="103" t="s"/>
      <c r="I1594" s="170" t="s"/>
      <c r="AA1594" s="157" t="s"/>
    </row>
    <row r="1595" spans="1:27">
      <c r="A1595" s="169" t="s"/>
      <c r="B1595" s="103" t="s"/>
      <c r="C1595" s="103" t="s"/>
      <c r="I1595" s="170" t="s"/>
      <c r="AA1595" s="157" t="s"/>
    </row>
    <row r="1596" spans="1:27">
      <c r="A1596" s="169" t="s"/>
      <c r="B1596" s="103" t="s"/>
      <c r="C1596" s="103" t="s"/>
      <c r="I1596" s="170" t="s"/>
      <c r="AA1596" s="157" t="s"/>
    </row>
    <row r="1597" spans="1:27">
      <c r="A1597" s="169" t="s"/>
      <c r="B1597" s="103" t="s"/>
      <c r="C1597" s="103" t="s"/>
      <c r="I1597" s="170" t="s"/>
      <c r="AA1597" s="157" t="s"/>
    </row>
    <row r="1598" spans="1:27">
      <c r="A1598" s="169" t="s"/>
      <c r="B1598" s="103" t="s"/>
      <c r="C1598" s="103" t="s"/>
      <c r="I1598" s="170" t="s"/>
      <c r="AA1598" s="157" t="s"/>
    </row>
    <row r="1599" spans="1:27">
      <c r="A1599" s="169" t="s"/>
      <c r="B1599" s="103" t="s"/>
      <c r="C1599" s="103" t="s"/>
      <c r="I1599" s="170" t="s"/>
      <c r="AA1599" s="157" t="s"/>
    </row>
    <row r="1600" spans="1:27">
      <c r="A1600" s="169" t="s"/>
      <c r="B1600" s="103" t="s"/>
      <c r="C1600" s="103" t="s"/>
      <c r="I1600" s="170" t="s"/>
      <c r="AA1600" s="157" t="s"/>
    </row>
    <row r="1601" spans="1:27">
      <c r="A1601" s="169" t="s"/>
      <c r="B1601" s="103" t="s"/>
      <c r="C1601" s="103" t="s"/>
      <c r="I1601" s="170" t="s"/>
      <c r="AA1601" s="157" t="s"/>
    </row>
    <row r="1602" spans="1:27">
      <c r="A1602" s="169" t="s"/>
      <c r="B1602" s="103" t="s"/>
      <c r="C1602" s="103" t="s"/>
      <c r="I1602" s="170" t="s"/>
      <c r="AA1602" s="157" t="s"/>
    </row>
    <row r="1603" spans="1:27">
      <c r="A1603" s="169" t="s"/>
      <c r="B1603" s="103" t="s"/>
      <c r="C1603" s="103" t="s"/>
      <c r="I1603" s="170" t="s"/>
      <c r="AA1603" s="157" t="s"/>
    </row>
    <row r="1604" spans="1:27">
      <c r="A1604" s="169" t="s"/>
      <c r="B1604" s="103" t="s"/>
      <c r="C1604" s="103" t="s"/>
      <c r="I1604" s="170" t="s"/>
      <c r="AA1604" s="157" t="s"/>
    </row>
    <row r="1605" spans="1:27">
      <c r="A1605" s="169" t="s"/>
      <c r="B1605" s="103" t="s"/>
      <c r="C1605" s="103" t="s"/>
      <c r="I1605" s="170" t="s"/>
      <c r="AA1605" s="157" t="s"/>
    </row>
    <row r="1606" spans="1:27">
      <c r="A1606" s="169" t="s"/>
      <c r="B1606" s="103" t="s"/>
      <c r="C1606" s="103" t="s"/>
      <c r="I1606" s="170" t="s"/>
      <c r="AA1606" s="157" t="s"/>
    </row>
    <row r="1607" spans="1:27">
      <c r="A1607" s="169" t="s"/>
      <c r="B1607" s="103" t="s"/>
      <c r="C1607" s="103" t="s"/>
      <c r="I1607" s="170" t="s"/>
      <c r="AA1607" s="157" t="s"/>
    </row>
    <row r="1608" spans="1:27">
      <c r="A1608" s="169" t="s"/>
      <c r="B1608" s="103" t="s"/>
      <c r="C1608" s="103" t="s"/>
      <c r="I1608" s="170" t="s"/>
      <c r="AA1608" s="157" t="s"/>
    </row>
    <row r="1609" spans="1:27">
      <c r="A1609" s="169" t="s"/>
      <c r="B1609" s="103" t="s"/>
      <c r="C1609" s="103" t="s"/>
      <c r="I1609" s="170" t="s"/>
      <c r="AA1609" s="157" t="s"/>
    </row>
    <row r="1610" spans="1:27">
      <c r="A1610" s="169" t="s"/>
      <c r="B1610" s="103" t="s"/>
      <c r="C1610" s="103" t="s"/>
      <c r="I1610" s="170" t="s"/>
      <c r="AA1610" s="157" t="s"/>
    </row>
    <row r="1611" spans="1:27">
      <c r="A1611" s="169" t="s"/>
      <c r="B1611" s="103" t="s"/>
      <c r="C1611" s="103" t="s"/>
      <c r="I1611" s="170" t="s"/>
      <c r="AA1611" s="157" t="s"/>
    </row>
    <row r="1612" spans="1:27">
      <c r="A1612" s="169" t="s"/>
      <c r="B1612" s="103" t="s"/>
      <c r="C1612" s="103" t="s"/>
      <c r="I1612" s="170" t="s"/>
      <c r="AA1612" s="157" t="s"/>
    </row>
    <row r="1613" spans="1:27">
      <c r="A1613" s="169" t="s"/>
      <c r="B1613" s="103" t="s"/>
      <c r="C1613" s="103" t="s"/>
      <c r="I1613" s="170" t="s"/>
      <c r="AA1613" s="157" t="s"/>
    </row>
    <row r="1614" spans="1:27">
      <c r="A1614" s="169" t="s"/>
      <c r="B1614" s="103" t="s"/>
      <c r="C1614" s="103" t="s"/>
      <c r="I1614" s="170" t="s"/>
      <c r="AA1614" s="157" t="s"/>
    </row>
    <row r="1615" spans="1:27">
      <c r="A1615" s="169" t="s"/>
      <c r="B1615" s="103" t="s"/>
      <c r="C1615" s="103" t="s"/>
      <c r="I1615" s="170" t="s"/>
      <c r="AA1615" s="157" t="s"/>
    </row>
    <row r="1616" spans="1:27">
      <c r="A1616" s="169" t="s"/>
      <c r="B1616" s="103" t="s"/>
      <c r="C1616" s="103" t="s"/>
      <c r="I1616" s="170" t="s"/>
      <c r="AA1616" s="157" t="s"/>
    </row>
    <row r="1617" spans="1:27">
      <c r="A1617" s="169" t="s"/>
      <c r="B1617" s="103" t="s"/>
      <c r="C1617" s="103" t="s"/>
      <c r="I1617" s="170" t="s"/>
      <c r="AA1617" s="157" t="s"/>
    </row>
    <row r="1618" spans="1:27">
      <c r="A1618" s="169" t="s"/>
      <c r="B1618" s="103" t="s"/>
      <c r="C1618" s="103" t="s"/>
      <c r="I1618" s="170" t="s"/>
      <c r="AA1618" s="157" t="s"/>
    </row>
    <row r="1619" spans="1:27">
      <c r="A1619" s="169" t="s"/>
      <c r="B1619" s="103" t="s"/>
      <c r="C1619" s="103" t="s"/>
      <c r="I1619" s="170" t="s"/>
      <c r="AA1619" s="157" t="s"/>
    </row>
    <row r="1620" spans="1:27">
      <c r="A1620" s="169" t="s"/>
      <c r="B1620" s="103" t="s"/>
      <c r="C1620" s="103" t="s"/>
      <c r="I1620" s="170" t="s"/>
      <c r="AA1620" s="157" t="s"/>
    </row>
    <row r="1621" spans="1:27">
      <c r="A1621" s="169" t="s"/>
      <c r="B1621" s="103" t="s"/>
      <c r="C1621" s="103" t="s"/>
      <c r="I1621" s="170" t="s"/>
      <c r="AA1621" s="157" t="s"/>
    </row>
    <row r="1622" spans="1:27">
      <c r="A1622" s="169" t="s"/>
      <c r="B1622" s="103" t="s"/>
      <c r="C1622" s="103" t="s"/>
      <c r="I1622" s="170" t="s"/>
      <c r="AA1622" s="157" t="s"/>
    </row>
    <row r="1623" spans="1:27">
      <c r="A1623" s="169" t="s"/>
      <c r="B1623" s="103" t="s"/>
      <c r="C1623" s="103" t="s"/>
      <c r="I1623" s="170" t="s"/>
      <c r="AA1623" s="157" t="s"/>
    </row>
    <row r="1624" spans="1:27">
      <c r="A1624" s="169" t="s"/>
      <c r="B1624" s="103" t="s"/>
      <c r="C1624" s="103" t="s"/>
      <c r="I1624" s="170" t="s"/>
      <c r="AA1624" s="157" t="s"/>
    </row>
    <row r="1625" spans="1:27">
      <c r="A1625" s="169" t="s"/>
      <c r="B1625" s="103" t="s"/>
      <c r="C1625" s="103" t="s"/>
      <c r="I1625" s="170" t="s"/>
      <c r="AA1625" s="157" t="s"/>
    </row>
    <row r="1626" spans="1:27">
      <c r="A1626" s="169" t="s"/>
      <c r="B1626" s="103" t="s"/>
      <c r="C1626" s="103" t="s"/>
      <c r="I1626" s="170" t="s"/>
      <c r="AA1626" s="157" t="s"/>
    </row>
    <row r="1627" spans="1:27">
      <c r="A1627" s="169" t="s"/>
      <c r="B1627" s="103" t="s"/>
      <c r="C1627" s="103" t="s"/>
      <c r="I1627" s="170" t="s"/>
      <c r="AA1627" s="157" t="s"/>
    </row>
    <row r="1628" spans="1:27">
      <c r="A1628" s="169" t="s"/>
      <c r="B1628" s="103" t="s"/>
      <c r="C1628" s="103" t="s"/>
      <c r="I1628" s="170" t="s"/>
      <c r="AA1628" s="157" t="s"/>
    </row>
    <row r="1629" spans="1:27">
      <c r="A1629" s="169" t="s"/>
      <c r="B1629" s="103" t="s"/>
      <c r="C1629" s="103" t="s"/>
      <c r="I1629" s="170" t="s"/>
      <c r="AA1629" s="157" t="s"/>
    </row>
    <row r="1630" spans="1:27">
      <c r="A1630" s="169" t="s"/>
      <c r="B1630" s="103" t="s"/>
      <c r="C1630" s="103" t="s"/>
      <c r="I1630" s="170" t="s"/>
      <c r="AA1630" s="157" t="s"/>
    </row>
    <row r="1631" spans="1:27">
      <c r="A1631" s="169" t="s"/>
      <c r="B1631" s="103" t="s"/>
      <c r="C1631" s="103" t="s"/>
      <c r="I1631" s="170" t="s"/>
      <c r="AA1631" s="157" t="s"/>
    </row>
    <row r="1632" spans="1:27">
      <c r="A1632" s="169" t="s"/>
      <c r="B1632" s="103" t="s"/>
      <c r="C1632" s="103" t="s"/>
      <c r="I1632" s="170" t="s"/>
      <c r="AA1632" s="157" t="s"/>
    </row>
    <row r="1633" spans="1:27">
      <c r="A1633" s="169" t="s"/>
      <c r="B1633" s="103" t="s"/>
      <c r="C1633" s="103" t="s"/>
      <c r="I1633" s="170" t="s"/>
      <c r="AA1633" s="157" t="s"/>
    </row>
    <row r="1634" spans="1:27">
      <c r="A1634" s="169" t="s"/>
      <c r="B1634" s="103" t="s"/>
      <c r="C1634" s="103" t="s"/>
      <c r="I1634" s="170" t="s"/>
      <c r="AA1634" s="157" t="s"/>
    </row>
    <row r="1635" spans="1:27">
      <c r="A1635" s="169" t="s"/>
      <c r="B1635" s="103" t="s"/>
      <c r="C1635" s="103" t="s"/>
      <c r="I1635" s="170" t="s"/>
      <c r="AA1635" s="157" t="s"/>
    </row>
    <row r="1636" spans="1:27">
      <c r="A1636" s="169" t="s"/>
      <c r="B1636" s="103" t="s"/>
      <c r="C1636" s="103" t="s"/>
      <c r="I1636" s="170" t="s"/>
      <c r="AA1636" s="157" t="s"/>
    </row>
    <row r="1637" spans="1:27">
      <c r="A1637" s="169" t="s"/>
      <c r="B1637" s="103" t="s"/>
      <c r="C1637" s="103" t="s"/>
      <c r="I1637" s="170" t="s"/>
      <c r="AA1637" s="157" t="s"/>
    </row>
    <row r="1638" spans="1:27">
      <c r="A1638" s="169" t="s"/>
      <c r="B1638" s="103" t="s"/>
      <c r="C1638" s="103" t="s"/>
      <c r="I1638" s="170" t="s"/>
      <c r="AA1638" s="157" t="s"/>
    </row>
    <row r="1639" spans="1:27">
      <c r="A1639" s="169" t="s"/>
      <c r="B1639" s="103" t="s"/>
      <c r="C1639" s="103" t="s"/>
      <c r="I1639" s="170" t="s"/>
      <c r="AA1639" s="157" t="s"/>
    </row>
    <row r="1640" spans="1:27">
      <c r="A1640" s="169" t="s"/>
      <c r="B1640" s="103" t="s"/>
      <c r="C1640" s="103" t="s"/>
      <c r="I1640" s="170" t="s"/>
      <c r="AA1640" s="157" t="s"/>
    </row>
    <row r="1641" spans="1:27">
      <c r="A1641" s="169" t="s"/>
      <c r="B1641" s="103" t="s"/>
      <c r="C1641" s="103" t="s"/>
      <c r="I1641" s="170" t="s"/>
      <c r="AA1641" s="157" t="s"/>
    </row>
    <row r="1642" spans="1:27">
      <c r="A1642" s="169" t="s"/>
      <c r="B1642" s="103" t="s"/>
      <c r="C1642" s="103" t="s"/>
      <c r="I1642" s="170" t="s"/>
      <c r="AA1642" s="157" t="s"/>
    </row>
    <row r="1643" spans="1:27">
      <c r="A1643" s="169" t="s"/>
      <c r="B1643" s="103" t="s"/>
      <c r="C1643" s="103" t="s"/>
      <c r="I1643" s="170" t="s"/>
      <c r="AA1643" s="157" t="s"/>
    </row>
    <row r="1644" spans="1:27">
      <c r="A1644" s="169" t="s"/>
      <c r="B1644" s="103" t="s"/>
      <c r="C1644" s="103" t="s"/>
      <c r="I1644" s="170" t="s"/>
      <c r="AA1644" s="157" t="s"/>
    </row>
    <row r="1645" spans="1:27">
      <c r="A1645" s="169" t="s"/>
      <c r="B1645" s="103" t="s"/>
      <c r="C1645" s="103" t="s"/>
      <c r="I1645" s="170" t="s"/>
      <c r="AA1645" s="157" t="s"/>
    </row>
    <row r="1646" spans="1:27">
      <c r="A1646" s="169" t="s"/>
      <c r="B1646" s="103" t="s"/>
      <c r="C1646" s="103" t="s"/>
      <c r="I1646" s="170" t="s"/>
      <c r="AA1646" s="157" t="s"/>
    </row>
    <row r="1647" spans="1:27">
      <c r="A1647" s="169" t="s"/>
      <c r="B1647" s="103" t="s"/>
      <c r="C1647" s="103" t="s"/>
      <c r="I1647" s="170" t="s"/>
      <c r="AA1647" s="157" t="s"/>
    </row>
    <row r="1648" spans="1:27">
      <c r="A1648" s="169" t="s"/>
      <c r="B1648" s="103" t="s"/>
      <c r="C1648" s="103" t="s"/>
      <c r="I1648" s="170" t="s"/>
      <c r="AA1648" s="157" t="s"/>
    </row>
    <row r="1649" spans="1:27">
      <c r="A1649" s="169" t="s"/>
      <c r="B1649" s="103" t="s"/>
      <c r="C1649" s="103" t="s"/>
      <c r="I1649" s="170" t="s"/>
      <c r="AA1649" s="157" t="s"/>
    </row>
    <row r="1650" spans="1:27">
      <c r="A1650" s="169" t="s"/>
      <c r="B1650" s="103" t="s"/>
      <c r="C1650" s="103" t="s"/>
      <c r="I1650" s="170" t="s"/>
      <c r="AA1650" s="157" t="s"/>
    </row>
    <row r="1651" spans="1:27">
      <c r="A1651" s="169" t="s"/>
      <c r="B1651" s="103" t="s"/>
      <c r="C1651" s="103" t="s"/>
      <c r="I1651" s="170" t="s"/>
      <c r="AA1651" s="157" t="s"/>
    </row>
    <row r="1652" spans="1:27">
      <c r="A1652" s="169" t="s"/>
      <c r="B1652" s="103" t="s"/>
      <c r="C1652" s="103" t="s"/>
      <c r="I1652" s="170" t="s"/>
      <c r="AA1652" s="157" t="s"/>
    </row>
    <row r="1653" spans="1:27">
      <c r="A1653" s="169" t="s"/>
      <c r="B1653" s="103" t="s"/>
      <c r="C1653" s="103" t="s"/>
      <c r="I1653" s="170" t="s"/>
      <c r="AA1653" s="157" t="s"/>
    </row>
    <row r="1654" spans="1:27">
      <c r="A1654" s="169" t="s"/>
      <c r="B1654" s="103" t="s"/>
      <c r="C1654" s="103" t="s"/>
      <c r="I1654" s="170" t="s"/>
      <c r="AA1654" s="157" t="s"/>
    </row>
    <row r="1655" spans="1:27">
      <c r="A1655" s="169" t="s"/>
      <c r="B1655" s="103" t="s"/>
      <c r="C1655" s="103" t="s"/>
      <c r="I1655" s="170" t="s"/>
      <c r="AA1655" s="157" t="s"/>
    </row>
    <row r="1656" spans="1:27">
      <c r="A1656" s="169" t="s"/>
      <c r="B1656" s="103" t="s"/>
      <c r="C1656" s="103" t="s"/>
      <c r="I1656" s="170" t="s"/>
      <c r="AA1656" s="157" t="s"/>
    </row>
    <row r="1657" spans="1:27">
      <c r="A1657" s="169" t="s"/>
      <c r="B1657" s="103" t="s"/>
      <c r="C1657" s="103" t="s"/>
      <c r="I1657" s="170" t="s"/>
      <c r="AA1657" s="157" t="s"/>
    </row>
    <row r="1658" spans="1:27">
      <c r="A1658" s="169" t="s"/>
      <c r="B1658" s="103" t="s"/>
      <c r="C1658" s="103" t="s"/>
      <c r="I1658" s="170" t="s"/>
      <c r="AA1658" s="157" t="s"/>
    </row>
    <row r="1659" spans="1:27">
      <c r="A1659" s="169" t="s"/>
      <c r="B1659" s="103" t="s"/>
      <c r="C1659" s="103" t="s"/>
      <c r="I1659" s="170" t="s"/>
      <c r="AA1659" s="157" t="s"/>
    </row>
    <row r="1660" spans="1:27">
      <c r="A1660" s="169" t="s"/>
      <c r="B1660" s="103" t="s"/>
      <c r="C1660" s="103" t="s"/>
      <c r="I1660" s="170" t="s"/>
      <c r="AA1660" s="157" t="s"/>
    </row>
    <row r="1661" spans="1:27">
      <c r="A1661" s="169" t="s"/>
      <c r="B1661" s="103" t="s"/>
      <c r="C1661" s="103" t="s"/>
      <c r="I1661" s="170" t="s"/>
      <c r="AA1661" s="157" t="s"/>
    </row>
    <row r="1662" spans="1:27">
      <c r="A1662" s="169" t="s"/>
      <c r="B1662" s="103" t="s"/>
      <c r="C1662" s="103" t="s"/>
      <c r="I1662" s="170" t="s"/>
      <c r="AA1662" s="157" t="s"/>
    </row>
    <row r="1663" spans="1:27">
      <c r="A1663" s="169" t="s"/>
      <c r="B1663" s="103" t="s"/>
      <c r="C1663" s="103" t="s"/>
      <c r="I1663" s="170" t="s"/>
      <c r="AA1663" s="157" t="s"/>
    </row>
    <row r="1664" spans="1:27">
      <c r="A1664" s="169" t="s"/>
      <c r="B1664" s="103" t="s"/>
      <c r="C1664" s="103" t="s"/>
      <c r="I1664" s="170" t="s"/>
      <c r="AA1664" s="157" t="s"/>
    </row>
    <row r="1665" spans="1:27">
      <c r="A1665" s="169" t="s"/>
      <c r="B1665" s="103" t="s"/>
      <c r="C1665" s="103" t="s"/>
      <c r="I1665" s="170" t="s"/>
      <c r="AA1665" s="157" t="s"/>
    </row>
    <row r="1666" spans="1:27">
      <c r="A1666" s="169" t="s"/>
      <c r="B1666" s="103" t="s"/>
      <c r="C1666" s="103" t="s"/>
      <c r="I1666" s="170" t="s"/>
      <c r="AA1666" s="157" t="s"/>
    </row>
    <row r="1667" spans="1:27">
      <c r="A1667" s="169" t="s"/>
      <c r="B1667" s="103" t="s"/>
      <c r="C1667" s="103" t="s"/>
      <c r="I1667" s="170" t="s"/>
      <c r="AA1667" s="157" t="s"/>
    </row>
    <row r="1668" spans="1:27">
      <c r="A1668" s="169" t="s"/>
      <c r="B1668" s="103" t="s"/>
      <c r="C1668" s="103" t="s"/>
      <c r="I1668" s="170" t="s"/>
      <c r="AA1668" s="157" t="s"/>
    </row>
    <row r="1669" spans="1:27">
      <c r="A1669" s="169" t="s"/>
      <c r="B1669" s="103" t="s"/>
      <c r="C1669" s="103" t="s"/>
      <c r="I1669" s="170" t="s"/>
      <c r="AA1669" s="157" t="s"/>
    </row>
    <row r="1670" spans="1:27">
      <c r="A1670" s="169" t="s"/>
      <c r="B1670" s="103" t="s"/>
      <c r="C1670" s="103" t="s"/>
      <c r="I1670" s="170" t="s"/>
      <c r="AA1670" s="157" t="s"/>
    </row>
    <row r="1671" spans="1:27">
      <c r="A1671" s="169" t="s"/>
      <c r="B1671" s="103" t="s"/>
      <c r="C1671" s="103" t="s"/>
      <c r="I1671" s="170" t="s"/>
      <c r="AA1671" s="157" t="s"/>
    </row>
    <row r="1672" spans="1:27">
      <c r="A1672" s="169" t="s"/>
      <c r="B1672" s="103" t="s"/>
      <c r="C1672" s="103" t="s"/>
      <c r="I1672" s="170" t="s"/>
      <c r="AA1672" s="157" t="s"/>
    </row>
    <row r="1673" spans="1:27">
      <c r="A1673" s="169" t="s"/>
      <c r="B1673" s="103" t="s"/>
      <c r="C1673" s="103" t="s"/>
      <c r="I1673" s="170" t="s"/>
      <c r="AA1673" s="157" t="s"/>
    </row>
    <row r="1674" spans="1:27">
      <c r="A1674" s="169" t="s"/>
      <c r="B1674" s="103" t="s"/>
      <c r="C1674" s="103" t="s"/>
      <c r="I1674" s="170" t="s"/>
      <c r="AA1674" s="157" t="s"/>
    </row>
    <row r="1675" spans="1:27">
      <c r="A1675" s="169" t="s"/>
      <c r="B1675" s="103" t="s"/>
      <c r="C1675" s="103" t="s"/>
      <c r="I1675" s="170" t="s"/>
      <c r="AA1675" s="157" t="s"/>
    </row>
    <row r="1676" spans="1:27">
      <c r="A1676" s="169" t="s"/>
      <c r="B1676" s="103" t="s"/>
      <c r="C1676" s="103" t="s"/>
      <c r="I1676" s="170" t="s"/>
      <c r="AA1676" s="157" t="s"/>
    </row>
    <row r="1677" spans="1:27">
      <c r="A1677" s="169" t="s"/>
      <c r="B1677" s="103" t="s"/>
      <c r="C1677" s="103" t="s"/>
      <c r="I1677" s="170" t="s"/>
      <c r="AA1677" s="157" t="s"/>
    </row>
    <row r="1678" spans="1:27">
      <c r="A1678" s="169" t="s"/>
      <c r="B1678" s="103" t="s"/>
      <c r="C1678" s="103" t="s"/>
      <c r="I1678" s="170" t="s"/>
      <c r="AA1678" s="157" t="s"/>
    </row>
    <row r="1679" spans="1:27">
      <c r="A1679" s="169" t="s"/>
      <c r="B1679" s="103" t="s"/>
      <c r="C1679" s="103" t="s"/>
      <c r="I1679" s="170" t="s"/>
      <c r="AA1679" s="157" t="s"/>
    </row>
    <row r="1680" spans="1:27">
      <c r="A1680" s="169" t="s"/>
      <c r="B1680" s="103" t="s"/>
      <c r="C1680" s="103" t="s"/>
      <c r="I1680" s="170" t="s"/>
      <c r="AA1680" s="157" t="s"/>
    </row>
    <row r="1681" spans="1:27">
      <c r="A1681" s="169" t="s"/>
      <c r="B1681" s="103" t="s"/>
      <c r="C1681" s="103" t="s"/>
      <c r="I1681" s="170" t="s"/>
      <c r="AA1681" s="157" t="s"/>
    </row>
    <row r="1682" spans="1:27">
      <c r="A1682" s="169" t="s"/>
      <c r="B1682" s="103" t="s"/>
      <c r="C1682" s="103" t="s"/>
      <c r="I1682" s="170" t="s"/>
      <c r="AA1682" s="157" t="s"/>
    </row>
    <row r="1683" spans="1:27">
      <c r="A1683" s="169" t="s"/>
      <c r="B1683" s="103" t="s"/>
      <c r="C1683" s="103" t="s"/>
      <c r="I1683" s="170" t="s"/>
      <c r="AA1683" s="157" t="s"/>
    </row>
    <row r="1684" spans="1:27">
      <c r="A1684" s="169" t="s"/>
      <c r="B1684" s="103" t="s"/>
      <c r="C1684" s="103" t="s"/>
      <c r="I1684" s="170" t="s"/>
      <c r="AA1684" s="157" t="s"/>
    </row>
    <row r="1685" spans="1:27">
      <c r="A1685" s="169" t="s"/>
      <c r="B1685" s="103" t="s"/>
      <c r="C1685" s="103" t="s"/>
      <c r="I1685" s="170" t="s"/>
      <c r="AA1685" s="157" t="s"/>
    </row>
    <row r="1686" spans="1:27">
      <c r="A1686" s="169" t="s"/>
      <c r="B1686" s="103" t="s"/>
      <c r="C1686" s="103" t="s"/>
      <c r="I1686" s="170" t="s"/>
      <c r="AA1686" s="157" t="s"/>
    </row>
    <row r="1687" spans="1:27">
      <c r="A1687" s="169" t="s"/>
      <c r="B1687" s="103" t="s"/>
      <c r="C1687" s="103" t="s"/>
      <c r="I1687" s="170" t="s"/>
      <c r="AA1687" s="157" t="s"/>
    </row>
    <row r="1688" spans="1:27">
      <c r="A1688" s="169" t="s"/>
      <c r="B1688" s="103" t="s"/>
      <c r="C1688" s="103" t="s"/>
      <c r="I1688" s="170" t="s"/>
      <c r="AA1688" s="157" t="s"/>
    </row>
    <row r="1689" spans="1:27">
      <c r="A1689" s="169" t="s"/>
      <c r="B1689" s="103" t="s"/>
      <c r="C1689" s="103" t="s"/>
      <c r="I1689" s="170" t="s"/>
      <c r="AA1689" s="157" t="s"/>
    </row>
    <row r="1690" spans="1:27">
      <c r="A1690" s="169" t="s"/>
      <c r="B1690" s="103" t="s"/>
      <c r="C1690" s="103" t="s"/>
      <c r="I1690" s="170" t="s"/>
      <c r="AA1690" s="157" t="s"/>
    </row>
    <row r="1691" spans="1:27">
      <c r="A1691" s="169" t="s"/>
      <c r="B1691" s="103" t="s"/>
      <c r="C1691" s="103" t="s"/>
      <c r="I1691" s="170" t="s"/>
      <c r="AA1691" s="157" t="s"/>
    </row>
    <row r="1692" spans="1:27">
      <c r="A1692" s="169" t="s"/>
      <c r="B1692" s="103" t="s"/>
      <c r="C1692" s="103" t="s"/>
      <c r="I1692" s="170" t="s"/>
      <c r="AA1692" s="157" t="s"/>
    </row>
    <row r="1693" spans="1:27">
      <c r="A1693" s="169" t="s"/>
      <c r="B1693" s="103" t="s"/>
      <c r="C1693" s="103" t="s"/>
      <c r="I1693" s="170" t="s"/>
      <c r="AA1693" s="157" t="s"/>
    </row>
    <row r="1694" spans="1:27">
      <c r="A1694" s="169" t="s"/>
      <c r="B1694" s="103" t="s"/>
      <c r="C1694" s="103" t="s"/>
      <c r="I1694" s="170" t="s"/>
      <c r="AA1694" s="157" t="s"/>
    </row>
    <row r="1695" spans="1:27">
      <c r="A1695" s="169" t="s"/>
      <c r="B1695" s="103" t="s"/>
      <c r="C1695" s="103" t="s"/>
      <c r="I1695" s="170" t="s"/>
      <c r="AA1695" s="157" t="s"/>
    </row>
    <row r="1696" spans="1:27">
      <c r="A1696" s="169" t="s"/>
      <c r="B1696" s="103" t="s"/>
      <c r="C1696" s="103" t="s"/>
      <c r="I1696" s="170" t="s"/>
      <c r="AA1696" s="157" t="s"/>
    </row>
    <row r="1697" spans="1:27">
      <c r="A1697" s="169" t="s"/>
      <c r="B1697" s="103" t="s"/>
      <c r="C1697" s="103" t="s"/>
      <c r="I1697" s="170" t="s"/>
      <c r="AA1697" s="157" t="s"/>
    </row>
    <row r="1698" spans="1:27">
      <c r="A1698" s="169" t="s"/>
      <c r="B1698" s="103" t="s"/>
      <c r="C1698" s="103" t="s"/>
      <c r="I1698" s="170" t="s"/>
      <c r="AA1698" s="157" t="s"/>
    </row>
    <row r="1699" spans="1:27">
      <c r="A1699" s="169" t="s"/>
      <c r="B1699" s="103" t="s"/>
      <c r="C1699" s="103" t="s"/>
      <c r="I1699" s="170" t="s"/>
      <c r="AA1699" s="157" t="s"/>
    </row>
    <row r="1700" spans="1:27">
      <c r="A1700" s="169" t="s"/>
      <c r="B1700" s="103" t="s"/>
      <c r="C1700" s="103" t="s"/>
      <c r="I1700" s="170" t="s"/>
      <c r="AA1700" s="157" t="s"/>
    </row>
    <row r="1701" spans="1:27">
      <c r="A1701" s="169" t="s"/>
      <c r="B1701" s="103" t="s"/>
      <c r="C1701" s="103" t="s"/>
      <c r="I1701" s="170" t="s"/>
      <c r="AA1701" s="157" t="s"/>
    </row>
    <row r="1702" spans="1:27">
      <c r="A1702" s="169" t="s"/>
      <c r="B1702" s="103" t="s"/>
      <c r="C1702" s="103" t="s"/>
      <c r="I1702" s="170" t="s"/>
      <c r="AA1702" s="157" t="s"/>
    </row>
    <row r="1703" spans="1:27">
      <c r="A1703" s="169" t="s"/>
      <c r="B1703" s="103" t="s"/>
      <c r="C1703" s="103" t="s"/>
      <c r="I1703" s="170" t="s"/>
      <c r="AA1703" s="157" t="s"/>
    </row>
    <row r="1704" spans="1:27">
      <c r="A1704" s="169" t="s"/>
      <c r="B1704" s="103" t="s"/>
      <c r="C1704" s="103" t="s"/>
      <c r="I1704" s="170" t="s"/>
      <c r="AA1704" s="157" t="s"/>
    </row>
    <row r="1705" spans="1:27">
      <c r="A1705" s="169" t="s"/>
      <c r="B1705" s="103" t="s"/>
      <c r="C1705" s="103" t="s"/>
      <c r="I1705" s="170" t="s"/>
      <c r="AA1705" s="157" t="s"/>
    </row>
    <row r="1706" spans="1:27">
      <c r="A1706" s="169" t="s"/>
      <c r="B1706" s="103" t="s"/>
      <c r="C1706" s="103" t="s"/>
      <c r="I1706" s="170" t="s"/>
      <c r="AA1706" s="157" t="s"/>
    </row>
    <row r="1707" spans="1:27">
      <c r="A1707" s="169" t="s"/>
      <c r="B1707" s="103" t="s"/>
      <c r="C1707" s="103" t="s"/>
      <c r="I1707" s="170" t="s"/>
      <c r="AA1707" s="157" t="s"/>
    </row>
    <row r="1708" spans="1:27">
      <c r="A1708" s="169" t="s"/>
      <c r="B1708" s="103" t="s"/>
      <c r="C1708" s="103" t="s"/>
      <c r="I1708" s="170" t="s"/>
      <c r="AA1708" s="157" t="s"/>
    </row>
    <row r="1709" spans="1:27">
      <c r="A1709" s="169" t="s"/>
      <c r="B1709" s="103" t="s"/>
      <c r="C1709" s="103" t="s"/>
      <c r="I1709" s="170" t="s"/>
      <c r="AA1709" s="157" t="s"/>
    </row>
    <row r="1710" spans="1:27">
      <c r="A1710" s="169" t="s"/>
      <c r="B1710" s="103" t="s"/>
      <c r="C1710" s="103" t="s"/>
      <c r="I1710" s="170" t="s"/>
      <c r="AA1710" s="157" t="s"/>
    </row>
    <row r="1711" spans="1:27">
      <c r="A1711" s="169" t="s"/>
      <c r="B1711" s="103" t="s"/>
      <c r="C1711" s="103" t="s"/>
      <c r="I1711" s="170" t="s"/>
      <c r="AA1711" s="157" t="s"/>
    </row>
    <row r="1712" spans="1:27">
      <c r="A1712" s="169" t="s"/>
      <c r="B1712" s="103" t="s"/>
      <c r="C1712" s="103" t="s"/>
      <c r="I1712" s="170" t="s"/>
      <c r="AA1712" s="157" t="s"/>
    </row>
    <row r="1713" spans="1:27">
      <c r="A1713" s="169" t="s"/>
      <c r="B1713" s="103" t="s"/>
      <c r="C1713" s="103" t="s"/>
      <c r="I1713" s="170" t="s"/>
      <c r="AA1713" s="157" t="s"/>
    </row>
    <row r="1714" spans="1:27">
      <c r="A1714" s="169" t="s"/>
      <c r="B1714" s="103" t="s"/>
      <c r="C1714" s="103" t="s"/>
      <c r="I1714" s="170" t="s"/>
      <c r="AA1714" s="157" t="s"/>
    </row>
    <row r="1715" spans="1:27">
      <c r="A1715" s="169" t="s"/>
      <c r="B1715" s="103" t="s"/>
      <c r="C1715" s="103" t="s"/>
      <c r="I1715" s="170" t="s"/>
      <c r="AA1715" s="157" t="s"/>
    </row>
    <row r="1716" spans="1:27">
      <c r="A1716" s="169" t="s"/>
      <c r="B1716" s="103" t="s"/>
      <c r="C1716" s="103" t="s"/>
      <c r="I1716" s="170" t="s"/>
      <c r="AA1716" s="157" t="s"/>
    </row>
    <row r="1717" spans="1:27">
      <c r="A1717" s="169" t="s"/>
      <c r="B1717" s="103" t="s"/>
      <c r="C1717" s="103" t="s"/>
      <c r="I1717" s="170" t="s"/>
      <c r="AA1717" s="157" t="s"/>
    </row>
    <row r="1718" spans="1:27">
      <c r="A1718" s="169" t="s"/>
      <c r="B1718" s="103" t="s"/>
      <c r="C1718" s="103" t="s"/>
      <c r="I1718" s="170" t="s"/>
      <c r="AA1718" s="157" t="s"/>
    </row>
    <row r="1719" spans="1:27">
      <c r="A1719" s="169" t="s"/>
      <c r="B1719" s="103" t="s"/>
      <c r="C1719" s="103" t="s"/>
      <c r="I1719" s="170" t="s"/>
      <c r="AA1719" s="157" t="s"/>
    </row>
    <row r="1720" spans="1:27">
      <c r="A1720" s="169" t="s"/>
      <c r="B1720" s="103" t="s"/>
      <c r="C1720" s="103" t="s"/>
      <c r="I1720" s="170" t="s"/>
      <c r="AA1720" s="157" t="s"/>
    </row>
    <row r="1721" spans="1:27">
      <c r="A1721" s="169" t="s"/>
      <c r="B1721" s="103" t="s"/>
      <c r="C1721" s="103" t="s"/>
      <c r="I1721" s="170" t="s"/>
      <c r="AA1721" s="157" t="s"/>
    </row>
    <row r="1722" spans="1:27">
      <c r="A1722" s="169" t="s"/>
      <c r="B1722" s="103" t="s"/>
      <c r="C1722" s="103" t="s"/>
      <c r="I1722" s="170" t="s"/>
      <c r="AA1722" s="157" t="s"/>
    </row>
    <row r="1723" spans="1:27">
      <c r="A1723" s="169" t="s"/>
      <c r="B1723" s="103" t="s"/>
      <c r="C1723" s="103" t="s"/>
      <c r="I1723" s="170" t="s"/>
      <c r="AA1723" s="157" t="s"/>
    </row>
    <row r="1724" spans="1:27">
      <c r="A1724" s="169" t="s"/>
      <c r="B1724" s="103" t="s"/>
      <c r="C1724" s="103" t="s"/>
      <c r="I1724" s="170" t="s"/>
      <c r="AA1724" s="157" t="s"/>
    </row>
    <row r="1725" spans="1:27">
      <c r="A1725" s="169" t="s"/>
      <c r="B1725" s="103" t="s"/>
      <c r="C1725" s="103" t="s"/>
      <c r="I1725" s="170" t="s"/>
      <c r="AA1725" s="157" t="s"/>
    </row>
    <row r="1726" spans="1:27">
      <c r="A1726" s="169" t="s"/>
      <c r="B1726" s="103" t="s"/>
      <c r="C1726" s="103" t="s"/>
      <c r="I1726" s="170" t="s"/>
      <c r="AA1726" s="157" t="s"/>
    </row>
    <row r="1727" spans="1:27">
      <c r="A1727" s="169" t="s"/>
      <c r="B1727" s="103" t="s"/>
      <c r="C1727" s="103" t="s"/>
      <c r="I1727" s="170" t="s"/>
      <c r="AA1727" s="157" t="s"/>
    </row>
    <row r="1728" spans="1:27">
      <c r="A1728" s="169" t="s"/>
      <c r="B1728" s="103" t="s"/>
      <c r="C1728" s="103" t="s"/>
      <c r="I1728" s="170" t="s"/>
      <c r="AA1728" s="157" t="s"/>
    </row>
    <row r="1729" spans="1:27">
      <c r="A1729" s="169" t="s"/>
      <c r="B1729" s="103" t="s"/>
      <c r="C1729" s="103" t="s"/>
      <c r="I1729" s="170" t="s"/>
      <c r="AA1729" s="157" t="s"/>
    </row>
    <row r="1730" spans="1:27">
      <c r="A1730" s="169" t="s"/>
      <c r="B1730" s="103" t="s"/>
      <c r="C1730" s="103" t="s"/>
      <c r="I1730" s="170" t="s"/>
      <c r="AA1730" s="157" t="s"/>
    </row>
    <row r="1731" spans="1:27">
      <c r="A1731" s="169" t="s"/>
      <c r="B1731" s="103" t="s"/>
      <c r="C1731" s="103" t="s"/>
      <c r="I1731" s="170" t="s"/>
      <c r="AA1731" s="157" t="s"/>
    </row>
    <row r="1732" spans="1:27">
      <c r="A1732" s="169" t="s"/>
      <c r="B1732" s="103" t="s"/>
      <c r="C1732" s="103" t="s"/>
      <c r="I1732" s="170" t="s"/>
      <c r="AA1732" s="157" t="s"/>
    </row>
    <row r="1733" spans="1:27">
      <c r="A1733" s="169" t="s"/>
      <c r="B1733" s="103" t="s"/>
      <c r="C1733" s="103" t="s"/>
      <c r="I1733" s="170" t="s"/>
      <c r="AA1733" s="157" t="s"/>
    </row>
    <row r="1734" spans="1:27">
      <c r="A1734" s="169" t="s"/>
      <c r="B1734" s="103" t="s"/>
      <c r="C1734" s="103" t="s"/>
      <c r="I1734" s="170" t="s"/>
      <c r="AA1734" s="157" t="s"/>
    </row>
    <row r="1735" spans="1:27">
      <c r="A1735" s="169" t="s"/>
      <c r="B1735" s="103" t="s"/>
      <c r="C1735" s="103" t="s"/>
      <c r="I1735" s="170" t="s"/>
      <c r="AA1735" s="157" t="s"/>
    </row>
    <row r="1736" spans="1:27">
      <c r="A1736" s="169" t="s"/>
      <c r="B1736" s="103" t="s"/>
      <c r="C1736" s="103" t="s"/>
      <c r="I1736" s="170" t="s"/>
      <c r="AA1736" s="157" t="s"/>
    </row>
    <row r="1737" spans="1:27">
      <c r="A1737" s="169" t="s"/>
      <c r="B1737" s="103" t="s"/>
      <c r="C1737" s="103" t="s"/>
      <c r="I1737" s="170" t="s"/>
      <c r="AA1737" s="157" t="s"/>
    </row>
    <row r="1738" spans="1:27">
      <c r="A1738" s="169" t="s"/>
      <c r="B1738" s="103" t="s"/>
      <c r="C1738" s="103" t="s"/>
      <c r="I1738" s="170" t="s"/>
      <c r="AA1738" s="157" t="s"/>
    </row>
    <row r="1739" spans="1:27">
      <c r="A1739" s="169" t="s"/>
      <c r="B1739" s="103" t="s"/>
      <c r="C1739" s="103" t="s"/>
      <c r="I1739" s="170" t="s"/>
      <c r="AA1739" s="157" t="s"/>
    </row>
    <row r="1740" spans="1:27">
      <c r="A1740" s="169" t="s"/>
      <c r="B1740" s="103" t="s"/>
      <c r="C1740" s="103" t="s"/>
      <c r="I1740" s="170" t="s"/>
      <c r="AA1740" s="157" t="s"/>
    </row>
    <row r="1741" spans="1:27">
      <c r="A1741" s="169" t="s"/>
      <c r="B1741" s="103" t="s"/>
      <c r="C1741" s="103" t="s"/>
      <c r="I1741" s="170" t="s"/>
      <c r="AA1741" s="157" t="s"/>
    </row>
    <row r="1742" spans="1:27">
      <c r="A1742" s="169" t="s"/>
      <c r="B1742" s="103" t="s"/>
      <c r="C1742" s="103" t="s"/>
      <c r="I1742" s="170" t="s"/>
      <c r="AA1742" s="157" t="s"/>
    </row>
    <row r="1743" spans="1:27">
      <c r="A1743" s="169" t="s"/>
      <c r="B1743" s="103" t="s"/>
      <c r="C1743" s="103" t="s"/>
      <c r="I1743" s="170" t="s"/>
      <c r="AA1743" s="157" t="s"/>
    </row>
    <row r="1744" spans="1:27">
      <c r="A1744" s="169" t="s"/>
      <c r="B1744" s="103" t="s"/>
      <c r="C1744" s="103" t="s"/>
      <c r="I1744" s="170" t="s"/>
      <c r="AA1744" s="157" t="s"/>
    </row>
    <row r="1745" spans="1:27">
      <c r="A1745" s="169" t="s"/>
      <c r="B1745" s="103" t="s"/>
      <c r="C1745" s="103" t="s"/>
      <c r="I1745" s="170" t="s"/>
      <c r="AA1745" s="157" t="s"/>
    </row>
    <row r="1746" spans="1:27">
      <c r="A1746" s="169" t="s"/>
      <c r="B1746" s="103" t="s"/>
      <c r="C1746" s="103" t="s"/>
      <c r="I1746" s="170" t="s"/>
      <c r="AA1746" s="157" t="s"/>
    </row>
    <row r="1747" spans="1:27">
      <c r="A1747" s="169" t="s"/>
      <c r="B1747" s="103" t="s"/>
      <c r="C1747" s="103" t="s"/>
      <c r="I1747" s="170" t="s"/>
      <c r="AA1747" s="157" t="s"/>
    </row>
    <row r="1748" spans="1:27">
      <c r="A1748" s="169" t="s"/>
      <c r="B1748" s="103" t="s"/>
      <c r="C1748" s="103" t="s"/>
      <c r="I1748" s="170" t="s"/>
      <c r="AA1748" s="157" t="s"/>
    </row>
    <row r="1749" spans="1:27">
      <c r="A1749" s="169" t="s"/>
      <c r="B1749" s="103" t="s"/>
      <c r="C1749" s="103" t="s"/>
      <c r="I1749" s="170" t="s"/>
      <c r="AA1749" s="157" t="s"/>
    </row>
    <row r="1750" spans="1:27">
      <c r="A1750" s="169" t="s"/>
      <c r="B1750" s="103" t="s"/>
      <c r="C1750" s="103" t="s"/>
      <c r="I1750" s="170" t="s"/>
      <c r="AA1750" s="157" t="s"/>
    </row>
    <row r="1751" spans="1:27">
      <c r="A1751" s="169" t="s"/>
      <c r="B1751" s="103" t="s"/>
      <c r="C1751" s="103" t="s"/>
      <c r="I1751" s="170" t="s"/>
      <c r="AA1751" s="157" t="s"/>
    </row>
    <row r="1752" spans="1:27">
      <c r="A1752" s="169" t="s"/>
      <c r="B1752" s="103" t="s"/>
      <c r="C1752" s="103" t="s"/>
      <c r="I1752" s="170" t="s"/>
      <c r="AA1752" s="157" t="s"/>
    </row>
    <row r="1753" spans="1:27">
      <c r="A1753" s="169" t="s"/>
      <c r="B1753" s="103" t="s"/>
      <c r="C1753" s="103" t="s"/>
      <c r="I1753" s="170" t="s"/>
      <c r="AA1753" s="157" t="s"/>
    </row>
    <row r="1754" spans="1:27">
      <c r="A1754" s="169" t="s"/>
      <c r="B1754" s="103" t="s"/>
      <c r="C1754" s="103" t="s"/>
      <c r="I1754" s="170" t="s"/>
      <c r="AA1754" s="157" t="s"/>
    </row>
    <row r="1755" spans="1:27">
      <c r="A1755" s="169" t="s"/>
      <c r="B1755" s="103" t="s"/>
      <c r="C1755" s="103" t="s"/>
      <c r="I1755" s="170" t="s"/>
      <c r="AA1755" s="157" t="s"/>
    </row>
    <row r="1756" spans="1:27">
      <c r="A1756" s="169" t="s"/>
      <c r="B1756" s="103" t="s"/>
      <c r="C1756" s="103" t="s"/>
      <c r="I1756" s="170" t="s"/>
      <c r="AA1756" s="157" t="s"/>
    </row>
    <row r="1757" spans="1:27">
      <c r="A1757" s="169" t="s"/>
      <c r="B1757" s="103" t="s"/>
      <c r="C1757" s="103" t="s"/>
      <c r="I1757" s="170" t="s"/>
      <c r="AA1757" s="157" t="s"/>
    </row>
    <row r="1758" spans="1:27">
      <c r="A1758" s="169" t="s"/>
      <c r="B1758" s="103" t="s"/>
      <c r="C1758" s="103" t="s"/>
      <c r="I1758" s="170" t="s"/>
      <c r="AA1758" s="157" t="s"/>
    </row>
    <row r="1759" spans="1:27">
      <c r="A1759" s="169" t="s"/>
      <c r="B1759" s="103" t="s"/>
      <c r="C1759" s="103" t="s"/>
      <c r="I1759" s="170" t="s"/>
      <c r="AA1759" s="157" t="s"/>
    </row>
    <row r="1760" spans="1:27">
      <c r="A1760" s="169" t="s"/>
      <c r="B1760" s="103" t="s"/>
      <c r="C1760" s="103" t="s"/>
      <c r="I1760" s="170" t="s"/>
      <c r="AA1760" s="157" t="s"/>
    </row>
    <row r="1761" spans="1:27">
      <c r="A1761" s="169" t="s"/>
      <c r="B1761" s="103" t="s"/>
      <c r="C1761" s="103" t="s"/>
      <c r="I1761" s="170" t="s"/>
      <c r="AA1761" s="157" t="s"/>
    </row>
    <row r="1762" spans="1:27">
      <c r="A1762" s="169" t="s"/>
      <c r="B1762" s="103" t="s"/>
      <c r="C1762" s="103" t="s"/>
      <c r="I1762" s="170" t="s"/>
      <c r="AA1762" s="157" t="s"/>
    </row>
    <row r="1763" spans="1:27">
      <c r="A1763" s="169" t="s"/>
      <c r="B1763" s="103" t="s"/>
      <c r="C1763" s="103" t="s"/>
      <c r="I1763" s="170" t="s"/>
      <c r="AA1763" s="157" t="s"/>
    </row>
    <row r="1764" spans="1:27">
      <c r="A1764" s="169" t="s"/>
      <c r="B1764" s="103" t="s"/>
      <c r="C1764" s="103" t="s"/>
      <c r="I1764" s="170" t="s"/>
      <c r="AA1764" s="157" t="s"/>
    </row>
    <row r="1765" spans="1:27">
      <c r="A1765" s="169" t="s"/>
      <c r="B1765" s="103" t="s"/>
      <c r="C1765" s="103" t="s"/>
      <c r="I1765" s="170" t="s"/>
      <c r="AA1765" s="157" t="s"/>
    </row>
    <row r="1766" spans="1:27">
      <c r="A1766" s="169" t="s"/>
      <c r="B1766" s="103" t="s"/>
      <c r="C1766" s="103" t="s"/>
      <c r="I1766" s="170" t="s"/>
      <c r="AA1766" s="157" t="s"/>
    </row>
    <row r="1767" spans="1:27">
      <c r="A1767" s="169" t="s"/>
      <c r="B1767" s="103" t="s"/>
      <c r="C1767" s="103" t="s"/>
      <c r="I1767" s="170" t="s"/>
      <c r="AA1767" s="157" t="s"/>
    </row>
    <row r="1768" spans="1:27">
      <c r="A1768" s="169" t="s"/>
      <c r="B1768" s="103" t="s"/>
      <c r="C1768" s="103" t="s"/>
      <c r="I1768" s="170" t="s"/>
      <c r="AA1768" s="157" t="s"/>
    </row>
    <row r="1769" spans="1:27">
      <c r="A1769" s="169" t="s"/>
      <c r="B1769" s="103" t="s"/>
      <c r="C1769" s="103" t="s"/>
      <c r="I1769" s="170" t="s"/>
      <c r="AA1769" s="157" t="s"/>
    </row>
    <row r="1770" spans="1:27">
      <c r="A1770" s="169" t="s"/>
      <c r="B1770" s="103" t="s"/>
      <c r="C1770" s="103" t="s"/>
      <c r="I1770" s="170" t="s"/>
      <c r="AA1770" s="157" t="s"/>
    </row>
    <row r="1771" spans="1:27">
      <c r="A1771" s="169" t="s"/>
      <c r="B1771" s="103" t="s"/>
      <c r="C1771" s="103" t="s"/>
      <c r="I1771" s="170" t="s"/>
      <c r="AA1771" s="157" t="s"/>
    </row>
    <row r="1772" spans="1:27">
      <c r="A1772" s="169" t="s"/>
      <c r="B1772" s="103" t="s"/>
      <c r="C1772" s="103" t="s"/>
      <c r="I1772" s="170" t="s"/>
      <c r="AA1772" s="157" t="s"/>
    </row>
    <row r="1773" spans="1:27">
      <c r="A1773" s="169" t="s"/>
      <c r="B1773" s="103" t="s"/>
      <c r="C1773" s="103" t="s"/>
      <c r="I1773" s="170" t="s"/>
      <c r="AA1773" s="157" t="s"/>
    </row>
    <row r="1774" spans="1:27">
      <c r="A1774" s="169" t="s"/>
      <c r="B1774" s="103" t="s"/>
      <c r="C1774" s="103" t="s"/>
      <c r="I1774" s="170" t="s"/>
      <c r="AA1774" s="157" t="s"/>
    </row>
    <row r="1775" spans="1:27">
      <c r="A1775" s="169" t="s"/>
      <c r="B1775" s="103" t="s"/>
      <c r="C1775" s="103" t="s"/>
      <c r="I1775" s="170" t="s"/>
      <c r="AA1775" s="157" t="s"/>
    </row>
    <row r="1776" spans="1:27">
      <c r="A1776" s="169" t="s"/>
      <c r="B1776" s="103" t="s"/>
      <c r="C1776" s="103" t="s"/>
      <c r="I1776" s="170" t="s"/>
      <c r="AA1776" s="157" t="s"/>
    </row>
    <row r="1777" spans="1:27">
      <c r="A1777" s="169" t="s"/>
      <c r="B1777" s="103" t="s"/>
      <c r="C1777" s="103" t="s"/>
      <c r="I1777" s="170" t="s"/>
      <c r="AA1777" s="157" t="s"/>
    </row>
    <row r="1778" spans="1:27">
      <c r="A1778" s="169" t="s"/>
      <c r="B1778" s="103" t="s"/>
      <c r="C1778" s="103" t="s"/>
      <c r="I1778" s="170" t="s"/>
      <c r="AA1778" s="157" t="s"/>
    </row>
    <row r="1779" spans="1:27">
      <c r="A1779" s="169" t="s"/>
      <c r="B1779" s="103" t="s"/>
      <c r="C1779" s="103" t="s"/>
      <c r="I1779" s="170" t="s"/>
      <c r="AA1779" s="157" t="s"/>
    </row>
    <row r="1780" spans="1:27">
      <c r="A1780" s="169" t="s"/>
      <c r="B1780" s="103" t="s"/>
      <c r="C1780" s="103" t="s"/>
      <c r="I1780" s="170" t="s"/>
      <c r="AA1780" s="157" t="s"/>
    </row>
    <row r="1781" spans="1:27">
      <c r="A1781" s="169" t="s"/>
      <c r="B1781" s="103" t="s"/>
      <c r="C1781" s="103" t="s"/>
      <c r="I1781" s="170" t="s"/>
      <c r="AA1781" s="157" t="s"/>
    </row>
    <row r="1782" spans="1:27">
      <c r="A1782" s="169" t="s"/>
      <c r="B1782" s="103" t="s"/>
      <c r="C1782" s="103" t="s"/>
      <c r="I1782" s="170" t="s"/>
      <c r="AA1782" s="157" t="s"/>
    </row>
    <row r="1783" spans="1:27">
      <c r="A1783" s="169" t="s"/>
      <c r="B1783" s="103" t="s"/>
      <c r="C1783" s="103" t="s"/>
      <c r="I1783" s="170" t="s"/>
      <c r="AA1783" s="157" t="s"/>
    </row>
    <row r="1784" spans="1:27">
      <c r="A1784" s="169" t="s"/>
      <c r="B1784" s="103" t="s"/>
      <c r="C1784" s="103" t="s"/>
      <c r="I1784" s="170" t="s"/>
      <c r="AA1784" s="157" t="s"/>
    </row>
    <row r="1785" spans="1:27">
      <c r="A1785" s="169" t="s"/>
      <c r="B1785" s="103" t="s"/>
      <c r="C1785" s="103" t="s"/>
      <c r="I1785" s="170" t="s"/>
      <c r="AA1785" s="157" t="s"/>
    </row>
    <row r="1786" spans="1:27">
      <c r="A1786" s="169" t="s"/>
      <c r="B1786" s="103" t="s"/>
      <c r="C1786" s="103" t="s"/>
      <c r="I1786" s="170" t="s"/>
      <c r="AA1786" s="157" t="s"/>
    </row>
    <row r="1787" spans="1:27">
      <c r="A1787" s="169" t="s"/>
      <c r="B1787" s="103" t="s"/>
      <c r="C1787" s="103" t="s"/>
      <c r="I1787" s="170" t="s"/>
      <c r="AA1787" s="157" t="s"/>
    </row>
    <row r="1788" spans="1:27">
      <c r="A1788" s="169" t="s"/>
      <c r="B1788" s="103" t="s"/>
      <c r="C1788" s="103" t="s"/>
      <c r="I1788" s="170" t="s"/>
      <c r="AA1788" s="157" t="s"/>
    </row>
    <row r="1789" spans="1:27">
      <c r="A1789" s="169" t="s"/>
      <c r="B1789" s="103" t="s"/>
      <c r="C1789" s="103" t="s"/>
      <c r="I1789" s="170" t="s"/>
      <c r="AA1789" s="157" t="s"/>
    </row>
    <row r="1790" spans="1:27">
      <c r="A1790" s="169" t="s"/>
      <c r="B1790" s="103" t="s"/>
      <c r="C1790" s="103" t="s"/>
      <c r="I1790" s="170" t="s"/>
      <c r="AA1790" s="157" t="s"/>
    </row>
    <row r="1791" spans="1:27">
      <c r="A1791" s="169" t="s"/>
      <c r="B1791" s="103" t="s"/>
      <c r="C1791" s="103" t="s"/>
      <c r="I1791" s="170" t="s"/>
      <c r="AA1791" s="157" t="s"/>
    </row>
    <row r="1792" spans="1:27">
      <c r="A1792" s="169" t="s"/>
      <c r="B1792" s="103" t="s"/>
      <c r="C1792" s="103" t="s"/>
      <c r="I1792" s="170" t="s"/>
      <c r="AA1792" s="157" t="s"/>
    </row>
    <row r="1793" spans="1:27">
      <c r="A1793" s="169" t="s"/>
      <c r="B1793" s="103" t="s"/>
      <c r="C1793" s="103" t="s"/>
      <c r="I1793" s="170" t="s"/>
      <c r="AA1793" s="157" t="s"/>
    </row>
    <row r="1794" spans="1:27">
      <c r="A1794" s="169" t="s"/>
      <c r="B1794" s="103" t="s"/>
      <c r="C1794" s="103" t="s"/>
      <c r="I1794" s="170" t="s"/>
      <c r="AA1794" s="157" t="s"/>
    </row>
    <row r="1795" spans="1:27">
      <c r="A1795" s="169" t="s"/>
      <c r="B1795" s="103" t="s"/>
      <c r="C1795" s="103" t="s"/>
      <c r="I1795" s="170" t="s"/>
      <c r="AA1795" s="157" t="s"/>
    </row>
    <row r="1796" spans="1:27">
      <c r="A1796" s="169" t="s"/>
      <c r="B1796" s="103" t="s"/>
      <c r="C1796" s="103" t="s"/>
      <c r="I1796" s="170" t="s"/>
      <c r="AA1796" s="157" t="s"/>
    </row>
    <row r="1797" spans="1:27">
      <c r="A1797" s="169" t="s"/>
      <c r="B1797" s="103" t="s"/>
      <c r="C1797" s="103" t="s"/>
      <c r="I1797" s="170" t="s"/>
      <c r="AA1797" s="157" t="s"/>
    </row>
    <row r="1798" spans="1:27">
      <c r="A1798" s="169" t="s"/>
      <c r="B1798" s="103" t="s"/>
      <c r="C1798" s="103" t="s"/>
      <c r="I1798" s="170" t="s"/>
      <c r="AA1798" s="157" t="s"/>
    </row>
    <row r="1799" spans="1:27">
      <c r="A1799" s="169" t="s"/>
      <c r="B1799" s="103" t="s"/>
      <c r="C1799" s="103" t="s"/>
      <c r="I1799" s="170" t="s"/>
      <c r="AA1799" s="157" t="s"/>
    </row>
    <row r="1800" spans="1:27">
      <c r="A1800" s="169" t="s"/>
      <c r="B1800" s="103" t="s"/>
      <c r="C1800" s="103" t="s"/>
      <c r="I1800" s="170" t="s"/>
      <c r="AA1800" s="157" t="s"/>
    </row>
    <row r="1801" spans="1:27">
      <c r="A1801" s="169" t="s"/>
      <c r="B1801" s="103" t="s"/>
      <c r="C1801" s="103" t="s"/>
      <c r="I1801" s="170" t="s"/>
      <c r="AA1801" s="157" t="s"/>
    </row>
    <row r="1802" spans="1:27">
      <c r="A1802" s="169" t="s"/>
      <c r="B1802" s="103" t="s"/>
      <c r="C1802" s="103" t="s"/>
      <c r="I1802" s="170" t="s"/>
      <c r="AA1802" s="157" t="s"/>
    </row>
    <row r="1803" spans="1:27">
      <c r="A1803" s="169" t="s"/>
      <c r="B1803" s="103" t="s"/>
      <c r="C1803" s="103" t="s"/>
      <c r="I1803" s="170" t="s"/>
      <c r="AA1803" s="157" t="s"/>
    </row>
    <row r="1804" spans="1:27">
      <c r="A1804" s="169" t="s"/>
      <c r="B1804" s="103" t="s"/>
      <c r="C1804" s="103" t="s"/>
      <c r="I1804" s="170" t="s"/>
      <c r="AA1804" s="157" t="s"/>
    </row>
    <row r="1805" spans="1:27">
      <c r="A1805" s="169" t="s"/>
      <c r="B1805" s="103" t="s"/>
      <c r="C1805" s="103" t="s"/>
      <c r="I1805" s="170" t="s"/>
      <c r="AA1805" s="157" t="s"/>
    </row>
    <row r="1806" spans="1:27">
      <c r="A1806" s="169" t="s"/>
      <c r="B1806" s="103" t="s"/>
      <c r="C1806" s="103" t="s"/>
      <c r="I1806" s="170" t="s"/>
      <c r="AA1806" s="157" t="s"/>
    </row>
    <row r="1807" spans="1:27">
      <c r="A1807" s="169" t="s"/>
      <c r="B1807" s="103" t="s"/>
      <c r="C1807" s="103" t="s"/>
      <c r="I1807" s="170" t="s"/>
      <c r="AA1807" s="157" t="s"/>
    </row>
    <row r="1808" spans="1:27">
      <c r="A1808" s="169" t="s"/>
      <c r="B1808" s="103" t="s"/>
      <c r="C1808" s="103" t="s"/>
      <c r="I1808" s="170" t="s"/>
      <c r="AA1808" s="157" t="s"/>
    </row>
    <row r="1809" spans="1:27">
      <c r="A1809" s="169" t="s"/>
      <c r="B1809" s="103" t="s"/>
      <c r="C1809" s="103" t="s"/>
      <c r="I1809" s="170" t="s"/>
      <c r="AA1809" s="157" t="s"/>
    </row>
    <row r="1810" spans="1:27">
      <c r="A1810" s="169" t="s"/>
      <c r="B1810" s="103" t="s"/>
      <c r="C1810" s="103" t="s"/>
      <c r="I1810" s="170" t="s"/>
      <c r="AA1810" s="157" t="s"/>
    </row>
    <row r="1811" spans="1:27">
      <c r="A1811" s="169" t="s"/>
      <c r="B1811" s="103" t="s"/>
      <c r="C1811" s="103" t="s"/>
      <c r="I1811" s="170" t="s"/>
      <c r="AA1811" s="157" t="s"/>
    </row>
    <row r="1812" spans="1:27">
      <c r="A1812" s="169" t="s"/>
      <c r="B1812" s="103" t="s"/>
      <c r="C1812" s="103" t="s"/>
      <c r="I1812" s="170" t="s"/>
      <c r="AA1812" s="157" t="s"/>
    </row>
    <row r="1813" spans="1:27">
      <c r="A1813" s="169" t="s"/>
      <c r="B1813" s="103" t="s"/>
      <c r="C1813" s="103" t="s"/>
      <c r="I1813" s="170" t="s"/>
      <c r="AA1813" s="157" t="s"/>
    </row>
    <row r="1814" spans="1:27">
      <c r="A1814" s="169" t="s"/>
      <c r="B1814" s="103" t="s"/>
      <c r="C1814" s="103" t="s"/>
      <c r="I1814" s="170" t="s"/>
      <c r="AA1814" s="157" t="s"/>
    </row>
    <row r="1815" spans="1:27">
      <c r="A1815" s="169" t="s"/>
      <c r="B1815" s="103" t="s"/>
      <c r="C1815" s="103" t="s"/>
      <c r="I1815" s="170" t="s"/>
      <c r="AA1815" s="157" t="s"/>
    </row>
    <row r="1816" spans="1:27">
      <c r="A1816" s="169" t="s"/>
      <c r="B1816" s="103" t="s"/>
      <c r="C1816" s="103" t="s"/>
      <c r="I1816" s="170" t="s"/>
      <c r="AA1816" s="157" t="s"/>
    </row>
    <row r="1817" spans="1:27">
      <c r="A1817" s="169" t="s"/>
      <c r="B1817" s="103" t="s"/>
      <c r="C1817" s="103" t="s"/>
      <c r="I1817" s="170" t="s"/>
      <c r="AA1817" s="157" t="s"/>
    </row>
    <row r="1818" spans="1:27">
      <c r="A1818" s="169" t="s"/>
      <c r="B1818" s="103" t="s"/>
      <c r="C1818" s="103" t="s"/>
      <c r="I1818" s="170" t="s"/>
      <c r="AA1818" s="157" t="s"/>
    </row>
    <row r="1819" spans="1:27">
      <c r="A1819" s="169" t="s"/>
      <c r="B1819" s="103" t="s"/>
      <c r="C1819" s="103" t="s"/>
      <c r="I1819" s="170" t="s"/>
      <c r="AA1819" s="157" t="s"/>
    </row>
    <row r="1820" spans="1:27">
      <c r="A1820" s="169" t="s"/>
      <c r="B1820" s="103" t="s"/>
      <c r="C1820" s="103" t="s"/>
      <c r="I1820" s="170" t="s"/>
      <c r="AA1820" s="157" t="s"/>
    </row>
    <row r="1821" spans="1:27">
      <c r="A1821" s="169" t="s"/>
      <c r="B1821" s="103" t="s"/>
      <c r="C1821" s="103" t="s"/>
      <c r="I1821" s="170" t="s"/>
      <c r="AA1821" s="157" t="s"/>
    </row>
    <row r="1822" spans="1:27">
      <c r="A1822" s="169" t="s"/>
      <c r="B1822" s="103" t="s"/>
      <c r="C1822" s="103" t="s"/>
      <c r="I1822" s="170" t="s"/>
      <c r="AA1822" s="157" t="s"/>
    </row>
    <row r="1823" spans="1:27">
      <c r="A1823" s="169" t="s"/>
      <c r="B1823" s="103" t="s"/>
      <c r="C1823" s="103" t="s"/>
      <c r="I1823" s="170" t="s"/>
      <c r="AA1823" s="157" t="s"/>
    </row>
    <row r="1824" spans="1:27">
      <c r="A1824" s="169" t="s"/>
      <c r="B1824" s="103" t="s"/>
      <c r="C1824" s="103" t="s"/>
      <c r="I1824" s="170" t="s"/>
      <c r="AA1824" s="157" t="s"/>
    </row>
    <row r="1825" spans="1:27">
      <c r="A1825" s="169" t="s"/>
      <c r="B1825" s="103" t="s"/>
      <c r="C1825" s="103" t="s"/>
      <c r="I1825" s="170" t="s"/>
      <c r="AA1825" s="157" t="s"/>
    </row>
    <row r="1826" spans="1:27">
      <c r="A1826" s="169" t="s"/>
      <c r="B1826" s="103" t="s"/>
      <c r="C1826" s="103" t="s"/>
      <c r="I1826" s="170" t="s"/>
      <c r="AA1826" s="157" t="s"/>
    </row>
    <row r="1827" spans="1:27">
      <c r="A1827" s="169" t="s"/>
      <c r="B1827" s="103" t="s"/>
      <c r="C1827" s="103" t="s"/>
      <c r="I1827" s="170" t="s"/>
      <c r="AA1827" s="157" t="s"/>
    </row>
    <row r="1828" spans="1:27">
      <c r="A1828" s="169" t="s"/>
      <c r="B1828" s="103" t="s"/>
      <c r="C1828" s="103" t="s"/>
      <c r="I1828" s="170" t="s"/>
      <c r="AA1828" s="157" t="s"/>
    </row>
    <row r="1829" spans="1:27">
      <c r="A1829" s="169" t="s"/>
      <c r="B1829" s="103" t="s"/>
      <c r="C1829" s="103" t="s"/>
      <c r="I1829" s="170" t="s"/>
      <c r="AA1829" s="157" t="s"/>
    </row>
    <row r="1830" spans="1:27">
      <c r="A1830" s="169" t="s"/>
      <c r="B1830" s="103" t="s"/>
      <c r="C1830" s="103" t="s"/>
      <c r="I1830" s="170" t="s"/>
      <c r="AA1830" s="157" t="s"/>
    </row>
    <row r="1831" spans="1:27">
      <c r="A1831" s="169" t="s"/>
      <c r="B1831" s="103" t="s"/>
      <c r="C1831" s="103" t="s"/>
      <c r="I1831" s="170" t="s"/>
      <c r="AA1831" s="157" t="s"/>
    </row>
    <row r="1832" spans="1:27">
      <c r="A1832" s="169" t="s"/>
      <c r="B1832" s="103" t="s"/>
      <c r="C1832" s="103" t="s"/>
      <c r="I1832" s="170" t="s"/>
      <c r="AA1832" s="157" t="s"/>
    </row>
    <row r="1833" spans="1:27">
      <c r="A1833" s="169" t="s"/>
      <c r="B1833" s="103" t="s"/>
      <c r="C1833" s="103" t="s"/>
      <c r="I1833" s="170" t="s"/>
      <c r="AA1833" s="157" t="s"/>
    </row>
    <row r="1834" spans="1:27">
      <c r="A1834" s="169" t="s"/>
      <c r="B1834" s="103" t="s"/>
      <c r="C1834" s="103" t="s"/>
      <c r="I1834" s="170" t="s"/>
      <c r="AA1834" s="157" t="s"/>
    </row>
    <row r="1835" spans="1:27">
      <c r="A1835" s="169" t="s"/>
      <c r="B1835" s="103" t="s"/>
      <c r="C1835" s="103" t="s"/>
      <c r="I1835" s="170" t="s"/>
      <c r="AA1835" s="157" t="s"/>
    </row>
    <row r="1836" spans="1:27">
      <c r="A1836" s="169" t="s"/>
      <c r="B1836" s="103" t="s"/>
      <c r="C1836" s="103" t="s"/>
      <c r="I1836" s="170" t="s"/>
      <c r="AA1836" s="157" t="s"/>
    </row>
    <row r="1837" spans="1:27">
      <c r="A1837" s="169" t="s"/>
      <c r="B1837" s="103" t="s"/>
      <c r="C1837" s="103" t="s"/>
      <c r="I1837" s="170" t="s"/>
      <c r="AA1837" s="157" t="s"/>
    </row>
    <row r="1838" spans="1:27">
      <c r="A1838" s="169" t="s"/>
      <c r="B1838" s="103" t="s"/>
      <c r="C1838" s="103" t="s"/>
      <c r="I1838" s="170" t="s"/>
      <c r="AA1838" s="157" t="s"/>
    </row>
    <row r="1839" spans="1:27">
      <c r="A1839" s="169" t="s"/>
      <c r="B1839" s="103" t="s"/>
      <c r="C1839" s="103" t="s"/>
      <c r="I1839" s="170" t="s"/>
      <c r="AA1839" s="157" t="s"/>
    </row>
    <row r="1840" spans="1:27">
      <c r="A1840" s="169" t="s"/>
      <c r="B1840" s="103" t="s"/>
      <c r="C1840" s="103" t="s"/>
      <c r="I1840" s="170" t="s"/>
      <c r="AA1840" s="157" t="s"/>
    </row>
    <row r="1841" spans="1:27">
      <c r="A1841" s="169" t="s"/>
      <c r="B1841" s="103" t="s"/>
      <c r="C1841" s="103" t="s"/>
      <c r="I1841" s="170" t="s"/>
      <c r="AA1841" s="157" t="s"/>
    </row>
    <row r="1842" spans="1:27">
      <c r="A1842" s="169" t="s"/>
      <c r="B1842" s="103" t="s"/>
      <c r="C1842" s="103" t="s"/>
      <c r="I1842" s="170" t="s"/>
      <c r="AA1842" s="157" t="s"/>
    </row>
    <row r="1843" spans="1:27">
      <c r="A1843" s="169" t="s"/>
      <c r="B1843" s="103" t="s"/>
      <c r="C1843" s="103" t="s"/>
      <c r="I1843" s="170" t="s"/>
      <c r="AA1843" s="157" t="s"/>
    </row>
    <row r="1844" spans="1:27">
      <c r="A1844" s="169" t="s"/>
      <c r="B1844" s="103" t="s"/>
      <c r="C1844" s="103" t="s"/>
      <c r="I1844" s="170" t="s"/>
      <c r="AA1844" s="157" t="s"/>
    </row>
    <row r="1845" spans="1:27">
      <c r="A1845" s="169" t="s"/>
      <c r="B1845" s="103" t="s"/>
      <c r="C1845" s="103" t="s"/>
      <c r="I1845" s="170" t="s"/>
      <c r="AA1845" s="157" t="s"/>
    </row>
    <row r="1846" spans="1:27">
      <c r="A1846" s="169" t="s"/>
      <c r="B1846" s="103" t="s"/>
      <c r="C1846" s="103" t="s"/>
      <c r="I1846" s="170" t="s"/>
      <c r="AA1846" s="157" t="s"/>
    </row>
    <row r="1847" spans="1:27">
      <c r="A1847" s="169" t="s"/>
      <c r="B1847" s="103" t="s"/>
      <c r="C1847" s="103" t="s"/>
      <c r="I1847" s="170" t="s"/>
      <c r="AA1847" s="157" t="s"/>
    </row>
    <row r="1848" spans="1:27">
      <c r="A1848" s="169" t="s"/>
      <c r="B1848" s="103" t="s"/>
      <c r="C1848" s="103" t="s"/>
      <c r="I1848" s="170" t="s"/>
      <c r="AA1848" s="157" t="s"/>
    </row>
    <row r="1849" spans="1:27">
      <c r="A1849" s="169" t="s"/>
      <c r="B1849" s="103" t="s"/>
      <c r="C1849" s="103" t="s"/>
      <c r="I1849" s="170" t="s"/>
      <c r="AA1849" s="157" t="s"/>
    </row>
    <row r="1850" spans="1:27">
      <c r="A1850" s="169" t="s"/>
      <c r="B1850" s="103" t="s"/>
      <c r="C1850" s="103" t="s"/>
      <c r="I1850" s="170" t="s"/>
      <c r="AA1850" s="157" t="s"/>
    </row>
    <row r="1851" spans="1:27">
      <c r="A1851" s="169" t="s"/>
      <c r="B1851" s="103" t="s"/>
      <c r="C1851" s="103" t="s"/>
      <c r="I1851" s="170" t="s"/>
      <c r="AA1851" s="157" t="s"/>
    </row>
    <row r="1852" spans="1:27">
      <c r="A1852" s="169" t="s"/>
      <c r="B1852" s="103" t="s"/>
      <c r="C1852" s="103" t="s"/>
      <c r="I1852" s="170" t="s"/>
      <c r="AA1852" s="157" t="s"/>
    </row>
    <row r="1853" spans="1:27">
      <c r="A1853" s="169" t="s"/>
      <c r="B1853" s="103" t="s"/>
      <c r="C1853" s="103" t="s"/>
      <c r="I1853" s="170" t="s"/>
      <c r="AA1853" s="157" t="s"/>
    </row>
    <row r="1854" spans="1:27">
      <c r="A1854" s="169" t="s"/>
      <c r="B1854" s="103" t="s"/>
      <c r="C1854" s="103" t="s"/>
      <c r="I1854" s="170" t="s"/>
      <c r="AA1854" s="157" t="s"/>
    </row>
    <row r="1855" spans="1:27">
      <c r="A1855" s="169" t="s"/>
      <c r="B1855" s="103" t="s"/>
      <c r="C1855" s="103" t="s"/>
      <c r="I1855" s="170" t="s"/>
      <c r="AA1855" s="157" t="s"/>
    </row>
    <row r="1856" spans="1:27">
      <c r="A1856" s="169" t="s"/>
      <c r="B1856" s="103" t="s"/>
      <c r="C1856" s="103" t="s"/>
      <c r="I1856" s="170" t="s"/>
      <c r="AA1856" s="157" t="s"/>
    </row>
    <row r="1857" spans="1:27">
      <c r="A1857" s="169" t="s"/>
      <c r="B1857" s="103" t="s"/>
      <c r="C1857" s="103" t="s"/>
      <c r="I1857" s="170" t="s"/>
      <c r="AA1857" s="157" t="s"/>
    </row>
    <row r="1858" spans="1:27">
      <c r="A1858" s="169" t="s"/>
      <c r="B1858" s="103" t="s"/>
      <c r="C1858" s="103" t="s"/>
      <c r="I1858" s="170" t="s"/>
      <c r="AA1858" s="157" t="s"/>
    </row>
    <row r="1859" spans="1:27">
      <c r="A1859" s="169" t="s"/>
      <c r="B1859" s="103" t="s"/>
      <c r="C1859" s="103" t="s"/>
      <c r="I1859" s="170" t="s"/>
      <c r="AA1859" s="157" t="s"/>
    </row>
    <row r="1860" spans="1:27">
      <c r="A1860" s="169" t="s"/>
      <c r="B1860" s="103" t="s"/>
      <c r="C1860" s="103" t="s"/>
      <c r="I1860" s="170" t="s"/>
      <c r="AA1860" s="157" t="s"/>
    </row>
    <row r="1861" spans="1:27">
      <c r="A1861" s="169" t="s"/>
      <c r="B1861" s="103" t="s"/>
      <c r="C1861" s="103" t="s"/>
      <c r="I1861" s="170" t="s"/>
      <c r="AA1861" s="157" t="s"/>
    </row>
    <row r="1862" spans="1:27">
      <c r="A1862" s="169" t="s"/>
      <c r="B1862" s="103" t="s"/>
      <c r="C1862" s="103" t="s"/>
      <c r="I1862" s="170" t="s"/>
      <c r="AA1862" s="157" t="s"/>
    </row>
    <row r="1863" spans="1:27">
      <c r="A1863" s="169" t="s"/>
      <c r="B1863" s="103" t="s"/>
      <c r="C1863" s="103" t="s"/>
      <c r="I1863" s="170" t="s"/>
      <c r="AA1863" s="157" t="s"/>
    </row>
    <row r="1864" spans="1:27">
      <c r="A1864" s="169" t="s"/>
      <c r="B1864" s="103" t="s"/>
      <c r="C1864" s="103" t="s"/>
      <c r="I1864" s="170" t="s"/>
      <c r="AA1864" s="157" t="s"/>
    </row>
    <row r="1865" spans="1:27">
      <c r="A1865" s="169" t="s"/>
      <c r="B1865" s="103" t="s"/>
      <c r="C1865" s="103" t="s"/>
      <c r="I1865" s="170" t="s"/>
      <c r="AA1865" s="157" t="s"/>
    </row>
    <row r="1866" spans="1:27">
      <c r="A1866" s="169" t="s"/>
      <c r="B1866" s="103" t="s"/>
      <c r="C1866" s="103" t="s"/>
      <c r="I1866" s="170" t="s"/>
      <c r="AA1866" s="157" t="s"/>
    </row>
    <row r="1867" spans="1:27">
      <c r="A1867" s="169" t="s"/>
      <c r="B1867" s="103" t="s"/>
      <c r="C1867" s="103" t="s"/>
      <c r="I1867" s="170" t="s"/>
      <c r="AA1867" s="157" t="s"/>
    </row>
    <row r="1868" spans="1:27">
      <c r="A1868" s="169" t="s"/>
      <c r="B1868" s="103" t="s"/>
      <c r="C1868" s="103" t="s"/>
      <c r="I1868" s="170" t="s"/>
      <c r="AA1868" s="157" t="s"/>
    </row>
    <row r="1869" spans="1:27">
      <c r="A1869" s="169" t="s"/>
      <c r="B1869" s="103" t="s"/>
      <c r="C1869" s="103" t="s"/>
      <c r="I1869" s="170" t="s"/>
      <c r="AA1869" s="157" t="s"/>
    </row>
    <row r="1870" spans="1:27">
      <c r="A1870" s="169" t="s"/>
      <c r="B1870" s="103" t="s"/>
      <c r="C1870" s="103" t="s"/>
      <c r="I1870" s="170" t="s"/>
      <c r="AA1870" s="157" t="s"/>
    </row>
    <row r="1871" spans="1:27">
      <c r="A1871" s="169" t="s"/>
      <c r="B1871" s="103" t="s"/>
      <c r="C1871" s="103" t="s"/>
      <c r="I1871" s="170" t="s"/>
      <c r="AA1871" s="157" t="s"/>
    </row>
    <row r="1872" spans="1:27">
      <c r="A1872" s="169" t="s"/>
      <c r="B1872" s="103" t="s"/>
      <c r="C1872" s="103" t="s"/>
      <c r="I1872" s="170" t="s"/>
      <c r="AA1872" s="157" t="s"/>
    </row>
    <row r="1873" spans="1:27">
      <c r="A1873" s="169" t="s"/>
      <c r="B1873" s="103" t="s"/>
      <c r="C1873" s="103" t="s"/>
      <c r="I1873" s="170" t="s"/>
      <c r="AA1873" s="157" t="s"/>
    </row>
    <row r="1874" spans="1:27">
      <c r="A1874" s="169" t="s"/>
      <c r="B1874" s="103" t="s"/>
      <c r="C1874" s="103" t="s"/>
      <c r="I1874" s="170" t="s"/>
      <c r="AA1874" s="157" t="s"/>
    </row>
    <row r="1875" spans="1:27">
      <c r="A1875" s="169" t="s"/>
      <c r="B1875" s="103" t="s"/>
      <c r="C1875" s="103" t="s"/>
      <c r="I1875" s="170" t="s"/>
      <c r="AA1875" s="157" t="s"/>
    </row>
    <row r="1876" spans="1:27">
      <c r="A1876" s="169" t="s"/>
      <c r="B1876" s="103" t="s"/>
      <c r="C1876" s="103" t="s"/>
      <c r="I1876" s="170" t="s"/>
      <c r="AA1876" s="157" t="s"/>
    </row>
    <row r="1877" spans="1:27">
      <c r="A1877" s="169" t="s"/>
      <c r="B1877" s="103" t="s"/>
      <c r="C1877" s="103" t="s"/>
      <c r="I1877" s="170" t="s"/>
      <c r="AA1877" s="157" t="s"/>
    </row>
    <row r="1878" spans="1:27">
      <c r="A1878" s="169" t="s"/>
      <c r="B1878" s="103" t="s"/>
      <c r="C1878" s="103" t="s"/>
      <c r="I1878" s="170" t="s"/>
      <c r="AA1878" s="157" t="s"/>
    </row>
    <row r="1879" spans="1:27">
      <c r="A1879" s="169" t="s"/>
      <c r="B1879" s="103" t="s"/>
      <c r="C1879" s="103" t="s"/>
      <c r="I1879" s="170" t="s"/>
      <c r="AA1879" s="157" t="s"/>
    </row>
    <row r="1880" spans="1:27">
      <c r="A1880" s="169" t="s"/>
      <c r="B1880" s="103" t="s"/>
      <c r="C1880" s="103" t="s"/>
      <c r="I1880" s="170" t="s"/>
      <c r="AA1880" s="157" t="s"/>
    </row>
    <row r="1881" spans="1:27">
      <c r="A1881" s="169" t="s"/>
      <c r="B1881" s="103" t="s"/>
      <c r="C1881" s="103" t="s"/>
      <c r="I1881" s="170" t="s"/>
      <c r="AA1881" s="157" t="s"/>
    </row>
    <row r="1882" spans="1:27">
      <c r="A1882" s="169" t="s"/>
      <c r="B1882" s="103" t="s"/>
      <c r="C1882" s="103" t="s"/>
      <c r="I1882" s="170" t="s"/>
      <c r="AA1882" s="157" t="s"/>
    </row>
    <row r="1883" spans="1:27">
      <c r="A1883" s="169" t="s"/>
      <c r="B1883" s="103" t="s"/>
      <c r="C1883" s="103" t="s"/>
      <c r="I1883" s="170" t="s"/>
      <c r="AA1883" s="157" t="s"/>
    </row>
    <row r="1884" spans="1:27">
      <c r="A1884" s="169" t="s"/>
      <c r="B1884" s="103" t="s"/>
      <c r="C1884" s="103" t="s"/>
      <c r="I1884" s="170" t="s"/>
      <c r="AA1884" s="157" t="s"/>
    </row>
    <row r="1885" spans="1:27">
      <c r="A1885" s="169" t="s"/>
      <c r="B1885" s="103" t="s"/>
      <c r="C1885" s="103" t="s"/>
      <c r="I1885" s="170" t="s"/>
      <c r="AA1885" s="157" t="s"/>
    </row>
    <row r="1886" spans="1:27">
      <c r="A1886" s="169" t="s"/>
      <c r="B1886" s="103" t="s"/>
      <c r="C1886" s="103" t="s"/>
      <c r="I1886" s="170" t="s"/>
      <c r="AA1886" s="157" t="s"/>
    </row>
    <row r="1887" spans="1:27">
      <c r="A1887" s="169" t="s"/>
      <c r="B1887" s="103" t="s"/>
      <c r="C1887" s="103" t="s"/>
      <c r="I1887" s="170" t="s"/>
      <c r="AA1887" s="157" t="s"/>
    </row>
    <row r="1888" spans="1:27">
      <c r="A1888" s="169" t="s"/>
      <c r="B1888" s="103" t="s"/>
      <c r="C1888" s="103" t="s"/>
      <c r="I1888" s="170" t="s"/>
      <c r="AA1888" s="157" t="s"/>
    </row>
    <row r="1889" spans="1:27">
      <c r="A1889" s="169" t="s"/>
      <c r="B1889" s="103" t="s"/>
      <c r="C1889" s="103" t="s"/>
      <c r="I1889" s="170" t="s"/>
      <c r="AA1889" s="157" t="s"/>
    </row>
    <row r="1890" spans="1:27">
      <c r="A1890" s="169" t="s"/>
      <c r="B1890" s="103" t="s"/>
      <c r="C1890" s="103" t="s"/>
      <c r="I1890" s="170" t="s"/>
      <c r="AA1890" s="157" t="s"/>
    </row>
    <row r="1891" spans="1:27">
      <c r="A1891" s="169" t="s"/>
      <c r="B1891" s="103" t="s"/>
      <c r="C1891" s="103" t="s"/>
      <c r="I1891" s="170" t="s"/>
      <c r="AA1891" s="157" t="s"/>
    </row>
    <row r="1892" spans="1:27">
      <c r="A1892" s="169" t="s"/>
      <c r="B1892" s="103" t="s"/>
      <c r="C1892" s="103" t="s"/>
      <c r="I1892" s="170" t="s"/>
      <c r="AA1892" s="157" t="s"/>
    </row>
    <row r="1893" spans="1:27">
      <c r="A1893" s="169" t="s"/>
      <c r="B1893" s="103" t="s"/>
      <c r="C1893" s="103" t="s"/>
      <c r="I1893" s="170" t="s"/>
      <c r="AA1893" s="157" t="s"/>
    </row>
    <row r="1894" spans="1:27">
      <c r="A1894" s="169" t="s"/>
      <c r="B1894" s="103" t="s"/>
      <c r="C1894" s="103" t="s"/>
      <c r="I1894" s="170" t="s"/>
      <c r="AA1894" s="157" t="s"/>
    </row>
    <row r="1895" spans="1:27">
      <c r="A1895" s="169" t="s"/>
      <c r="B1895" s="103" t="s"/>
      <c r="C1895" s="103" t="s"/>
      <c r="I1895" s="170" t="s"/>
      <c r="AA1895" s="157" t="s"/>
    </row>
    <row r="1896" spans="1:27">
      <c r="A1896" s="169" t="s"/>
      <c r="B1896" s="103" t="s"/>
      <c r="C1896" s="103" t="s"/>
      <c r="I1896" s="170" t="s"/>
      <c r="AA1896" s="157" t="s"/>
    </row>
    <row r="1897" spans="1:27">
      <c r="A1897" s="169" t="s"/>
      <c r="B1897" s="103" t="s"/>
      <c r="C1897" s="103" t="s"/>
      <c r="I1897" s="170" t="s"/>
      <c r="AA1897" s="157" t="s"/>
    </row>
    <row r="1898" spans="1:27">
      <c r="A1898" s="169" t="s"/>
      <c r="B1898" s="103" t="s"/>
      <c r="C1898" s="103" t="s"/>
      <c r="I1898" s="170" t="s"/>
      <c r="AA1898" s="157" t="s"/>
    </row>
    <row r="1899" spans="1:27">
      <c r="A1899" s="169" t="s"/>
      <c r="B1899" s="103" t="s"/>
      <c r="C1899" s="103" t="s"/>
      <c r="I1899" s="170" t="s"/>
      <c r="AA1899" s="157" t="s"/>
    </row>
    <row r="1900" spans="1:27">
      <c r="A1900" s="169" t="s"/>
      <c r="B1900" s="103" t="s"/>
      <c r="C1900" s="103" t="s"/>
      <c r="I1900" s="170" t="s"/>
      <c r="AA1900" s="157" t="s"/>
    </row>
    <row r="1901" spans="1:27">
      <c r="A1901" s="169" t="s"/>
      <c r="B1901" s="103" t="s"/>
      <c r="C1901" s="103" t="s"/>
      <c r="I1901" s="170" t="s"/>
      <c r="AA1901" s="157" t="s"/>
    </row>
    <row r="1902" spans="1:27">
      <c r="A1902" s="169" t="s"/>
      <c r="B1902" s="103" t="s"/>
      <c r="C1902" s="103" t="s"/>
      <c r="I1902" s="170" t="s"/>
      <c r="AA1902" s="157" t="s"/>
    </row>
    <row r="1903" spans="1:27">
      <c r="A1903" s="169" t="s"/>
      <c r="B1903" s="103" t="s"/>
      <c r="C1903" s="103" t="s"/>
      <c r="I1903" s="170" t="s"/>
      <c r="AA1903" s="157" t="s"/>
    </row>
    <row r="1904" spans="1:27">
      <c r="A1904" s="169" t="s"/>
      <c r="B1904" s="103" t="s"/>
      <c r="C1904" s="103" t="s"/>
      <c r="I1904" s="170" t="s"/>
      <c r="AA1904" s="157" t="s"/>
    </row>
    <row r="1905" spans="1:27">
      <c r="A1905" s="169" t="s"/>
      <c r="B1905" s="103" t="s"/>
      <c r="C1905" s="103" t="s"/>
      <c r="I1905" s="170" t="s"/>
      <c r="AA1905" s="157" t="s"/>
    </row>
    <row r="1906" spans="1:27">
      <c r="A1906" s="169" t="s"/>
      <c r="B1906" s="103" t="s"/>
      <c r="C1906" s="103" t="s"/>
      <c r="I1906" s="170" t="s"/>
      <c r="AA1906" s="157" t="s"/>
    </row>
    <row r="1907" spans="1:27">
      <c r="A1907" s="169" t="s"/>
      <c r="B1907" s="103" t="s"/>
      <c r="C1907" s="103" t="s"/>
      <c r="I1907" s="170" t="s"/>
      <c r="AA1907" s="157" t="s"/>
    </row>
    <row r="1908" spans="1:27">
      <c r="A1908" s="169" t="s"/>
      <c r="B1908" s="103" t="s"/>
      <c r="C1908" s="103" t="s"/>
      <c r="I1908" s="170" t="s"/>
      <c r="AA1908" s="157" t="s"/>
    </row>
    <row r="1909" spans="1:27">
      <c r="A1909" s="169" t="s"/>
      <c r="B1909" s="103" t="s"/>
      <c r="C1909" s="103" t="s"/>
      <c r="I1909" s="170" t="s"/>
      <c r="AA1909" s="157" t="s"/>
    </row>
    <row r="1910" spans="1:27">
      <c r="A1910" s="169" t="s"/>
      <c r="B1910" s="103" t="s"/>
      <c r="C1910" s="103" t="s"/>
      <c r="I1910" s="170" t="s"/>
      <c r="AA1910" s="157" t="s"/>
    </row>
    <row r="1911" spans="1:27">
      <c r="A1911" s="169" t="s"/>
      <c r="B1911" s="103" t="s"/>
      <c r="C1911" s="103" t="s"/>
      <c r="I1911" s="170" t="s"/>
      <c r="AA1911" s="157" t="s"/>
    </row>
    <row r="1912" spans="1:27">
      <c r="A1912" s="169" t="s"/>
      <c r="B1912" s="103" t="s"/>
      <c r="C1912" s="103" t="s"/>
      <c r="I1912" s="170" t="s"/>
      <c r="AA1912" s="157" t="s"/>
    </row>
    <row r="1913" spans="1:27">
      <c r="A1913" s="169" t="s"/>
      <c r="B1913" s="103" t="s"/>
      <c r="C1913" s="103" t="s"/>
      <c r="I1913" s="170" t="s"/>
      <c r="AA1913" s="157" t="s"/>
    </row>
    <row r="1914" spans="1:27">
      <c r="A1914" s="169" t="s"/>
      <c r="B1914" s="103" t="s"/>
      <c r="C1914" s="103" t="s"/>
      <c r="I1914" s="170" t="s"/>
      <c r="AA1914" s="157" t="s"/>
    </row>
    <row r="1915" spans="1:27">
      <c r="A1915" s="169" t="s"/>
      <c r="B1915" s="103" t="s"/>
      <c r="C1915" s="103" t="s"/>
      <c r="I1915" s="170" t="s"/>
      <c r="AA1915" s="157" t="s"/>
    </row>
    <row r="1916" spans="1:27">
      <c r="A1916" s="169" t="s"/>
      <c r="B1916" s="103" t="s"/>
      <c r="C1916" s="103" t="s"/>
      <c r="I1916" s="170" t="s"/>
      <c r="AA1916" s="157" t="s"/>
    </row>
    <row r="1917" spans="1:27">
      <c r="A1917" s="169" t="s"/>
      <c r="B1917" s="103" t="s"/>
      <c r="C1917" s="103" t="s"/>
      <c r="I1917" s="170" t="s"/>
      <c r="AA1917" s="157" t="s"/>
    </row>
    <row r="1918" spans="1:27">
      <c r="A1918" s="169" t="s"/>
      <c r="B1918" s="103" t="s"/>
      <c r="C1918" s="103" t="s"/>
      <c r="I1918" s="170" t="s"/>
      <c r="AA1918" s="157" t="s"/>
    </row>
    <row r="1919" spans="1:27">
      <c r="A1919" s="169" t="s"/>
      <c r="B1919" s="103" t="s"/>
      <c r="C1919" s="103" t="s"/>
      <c r="I1919" s="170" t="s"/>
      <c r="AA1919" s="157" t="s"/>
    </row>
    <row r="1920" spans="1:27">
      <c r="A1920" s="169" t="s"/>
      <c r="B1920" s="103" t="s"/>
      <c r="C1920" s="103" t="s"/>
      <c r="I1920" s="170" t="s"/>
      <c r="AA1920" s="157" t="s"/>
    </row>
    <row r="1921" spans="1:27">
      <c r="A1921" s="169" t="s"/>
      <c r="B1921" s="103" t="s"/>
      <c r="C1921" s="103" t="s"/>
      <c r="I1921" s="170" t="s"/>
      <c r="AA1921" s="157" t="s"/>
    </row>
    <row r="1922" spans="1:27">
      <c r="A1922" s="169" t="s"/>
      <c r="B1922" s="103" t="s"/>
      <c r="C1922" s="103" t="s"/>
      <c r="I1922" s="170" t="s"/>
      <c r="AA1922" s="157" t="s"/>
    </row>
    <row r="1923" spans="1:27">
      <c r="A1923" s="169" t="s"/>
      <c r="B1923" s="103" t="s"/>
      <c r="C1923" s="103" t="s"/>
      <c r="I1923" s="170" t="s"/>
      <c r="AA1923" s="157" t="s"/>
    </row>
    <row r="1924" spans="1:27">
      <c r="A1924" s="169" t="s"/>
      <c r="B1924" s="103" t="s"/>
      <c r="C1924" s="103" t="s"/>
      <c r="I1924" s="170" t="s"/>
      <c r="AA1924" s="157" t="s"/>
    </row>
    <row r="1925" spans="1:27">
      <c r="A1925" s="169" t="s"/>
      <c r="B1925" s="103" t="s"/>
      <c r="C1925" s="103" t="s"/>
      <c r="I1925" s="170" t="s"/>
      <c r="AA1925" s="157" t="s"/>
    </row>
    <row r="1926" spans="1:27">
      <c r="A1926" s="169" t="s"/>
      <c r="B1926" s="103" t="s"/>
      <c r="C1926" s="103" t="s"/>
      <c r="I1926" s="170" t="s"/>
      <c r="AA1926" s="157" t="s"/>
    </row>
    <row r="1927" spans="1:27">
      <c r="A1927" s="169" t="s"/>
      <c r="B1927" s="103" t="s"/>
      <c r="C1927" s="103" t="s"/>
      <c r="I1927" s="170" t="s"/>
      <c r="AA1927" s="157" t="s"/>
    </row>
    <row r="1928" spans="1:27">
      <c r="A1928" s="169" t="s"/>
      <c r="B1928" s="103" t="s"/>
      <c r="C1928" s="103" t="s"/>
      <c r="I1928" s="170" t="s"/>
      <c r="AA1928" s="157" t="s"/>
    </row>
    <row r="1929" spans="1:27">
      <c r="A1929" s="169" t="s"/>
      <c r="B1929" s="103" t="s"/>
      <c r="C1929" s="103" t="s"/>
      <c r="I1929" s="170" t="s"/>
      <c r="AA1929" s="157" t="s"/>
    </row>
    <row r="1930" spans="1:27">
      <c r="A1930" s="169" t="s"/>
      <c r="B1930" s="103" t="s"/>
      <c r="C1930" s="103" t="s"/>
      <c r="I1930" s="170" t="s"/>
      <c r="AA1930" s="157" t="s"/>
    </row>
    <row r="1931" spans="1:27">
      <c r="A1931" s="169" t="s"/>
      <c r="B1931" s="103" t="s"/>
      <c r="C1931" s="103" t="s"/>
      <c r="I1931" s="170" t="s"/>
      <c r="AA1931" s="157" t="s"/>
    </row>
    <row r="1932" spans="1:27">
      <c r="A1932" s="169" t="s"/>
      <c r="B1932" s="103" t="s"/>
      <c r="C1932" s="103" t="s"/>
      <c r="I1932" s="170" t="s"/>
      <c r="AA1932" s="157" t="s"/>
    </row>
    <row r="1933" spans="1:27">
      <c r="A1933" s="169" t="s"/>
      <c r="B1933" s="103" t="s"/>
      <c r="C1933" s="103" t="s"/>
      <c r="I1933" s="170" t="s"/>
      <c r="AA1933" s="157" t="s"/>
    </row>
    <row r="1934" spans="1:27">
      <c r="A1934" s="169" t="s"/>
      <c r="B1934" s="103" t="s"/>
      <c r="C1934" s="103" t="s"/>
      <c r="I1934" s="170" t="s"/>
      <c r="AA1934" s="157" t="s"/>
    </row>
    <row r="1935" spans="1:27">
      <c r="A1935" s="169" t="s"/>
      <c r="B1935" s="103" t="s"/>
      <c r="C1935" s="103" t="s"/>
      <c r="I1935" s="170" t="s"/>
      <c r="AA1935" s="157" t="s"/>
    </row>
    <row r="1936" spans="1:27">
      <c r="A1936" s="169" t="s"/>
      <c r="B1936" s="103" t="s"/>
      <c r="C1936" s="103" t="s"/>
      <c r="I1936" s="170" t="s"/>
      <c r="AA1936" s="157" t="s"/>
    </row>
    <row r="1937" spans="1:27">
      <c r="A1937" s="169" t="s"/>
      <c r="B1937" s="103" t="s"/>
      <c r="C1937" s="103" t="s"/>
      <c r="I1937" s="170" t="s"/>
      <c r="AA1937" s="157" t="s"/>
    </row>
    <row r="1938" spans="1:27">
      <c r="A1938" s="169" t="s"/>
      <c r="B1938" s="103" t="s"/>
      <c r="C1938" s="103" t="s"/>
      <c r="I1938" s="170" t="s"/>
      <c r="AA1938" s="157" t="s"/>
    </row>
    <row r="1939" spans="1:27">
      <c r="A1939" s="169" t="s"/>
      <c r="B1939" s="103" t="s"/>
      <c r="C1939" s="103" t="s"/>
      <c r="I1939" s="170" t="s"/>
      <c r="AA1939" s="157" t="s"/>
    </row>
    <row r="1940" spans="1:27">
      <c r="A1940" s="169" t="s"/>
      <c r="B1940" s="103" t="s"/>
      <c r="C1940" s="103" t="s"/>
      <c r="I1940" s="170" t="s"/>
      <c r="AA1940" s="157" t="s"/>
    </row>
    <row r="1941" spans="1:27">
      <c r="A1941" s="169" t="s"/>
      <c r="B1941" s="103" t="s"/>
      <c r="C1941" s="103" t="s"/>
      <c r="I1941" s="170" t="s"/>
      <c r="AA1941" s="157" t="s"/>
    </row>
    <row r="1942" spans="1:27">
      <c r="A1942" s="169" t="s"/>
      <c r="B1942" s="103" t="s"/>
      <c r="C1942" s="103" t="s"/>
      <c r="I1942" s="170" t="s"/>
      <c r="AA1942" s="157" t="s"/>
    </row>
    <row r="1943" spans="1:27">
      <c r="A1943" s="169" t="s"/>
      <c r="B1943" s="103" t="s"/>
      <c r="C1943" s="103" t="s"/>
      <c r="I1943" s="170" t="s"/>
      <c r="AA1943" s="157" t="s"/>
    </row>
    <row r="1944" spans="1:27">
      <c r="A1944" s="169" t="s"/>
      <c r="B1944" s="103" t="s"/>
      <c r="C1944" s="103" t="s"/>
      <c r="I1944" s="170" t="s"/>
      <c r="AA1944" s="157" t="s"/>
    </row>
    <row r="1945" spans="1:27">
      <c r="A1945" s="169" t="s"/>
      <c r="B1945" s="103" t="s"/>
      <c r="C1945" s="103" t="s"/>
      <c r="I1945" s="170" t="s"/>
      <c r="AA1945" s="157" t="s"/>
    </row>
    <row r="1946" spans="1:27">
      <c r="A1946" s="169" t="s"/>
      <c r="B1946" s="103" t="s"/>
      <c r="C1946" s="103" t="s"/>
      <c r="I1946" s="170" t="s"/>
      <c r="AA1946" s="157" t="s"/>
    </row>
    <row r="1947" spans="1:27">
      <c r="A1947" s="169" t="s"/>
      <c r="B1947" s="103" t="s"/>
      <c r="C1947" s="103" t="s"/>
      <c r="I1947" s="170" t="s"/>
      <c r="AA1947" s="157" t="s"/>
    </row>
    <row r="1948" spans="1:27">
      <c r="A1948" s="169" t="s"/>
      <c r="B1948" s="103" t="s"/>
      <c r="C1948" s="103" t="s"/>
      <c r="I1948" s="170" t="s"/>
      <c r="AA1948" s="157" t="s"/>
    </row>
    <row r="1949" spans="1:27">
      <c r="A1949" s="169" t="s"/>
      <c r="B1949" s="103" t="s"/>
      <c r="C1949" s="103" t="s"/>
      <c r="I1949" s="170" t="s"/>
      <c r="AA1949" s="157" t="s"/>
    </row>
    <row r="1950" spans="1:27">
      <c r="A1950" s="169" t="s"/>
      <c r="B1950" s="103" t="s"/>
      <c r="C1950" s="103" t="s"/>
      <c r="I1950" s="170" t="s"/>
      <c r="AA1950" s="157" t="s"/>
    </row>
    <row r="1951" spans="1:27">
      <c r="A1951" s="169" t="s"/>
      <c r="B1951" s="103" t="s"/>
      <c r="C1951" s="103" t="s"/>
      <c r="I1951" s="170" t="s"/>
      <c r="AA1951" s="157" t="s"/>
    </row>
    <row r="1952" spans="1:27">
      <c r="A1952" s="169" t="s"/>
      <c r="B1952" s="103" t="s"/>
      <c r="C1952" s="103" t="s"/>
      <c r="I1952" s="170" t="s"/>
      <c r="AA1952" s="157" t="s"/>
    </row>
    <row r="1953" spans="1:27">
      <c r="A1953" s="169" t="s"/>
      <c r="B1953" s="103" t="s"/>
      <c r="C1953" s="103" t="s"/>
      <c r="I1953" s="170" t="s"/>
      <c r="AA1953" s="157" t="s"/>
    </row>
    <row r="1954" spans="1:27">
      <c r="A1954" s="169" t="s"/>
      <c r="B1954" s="103" t="s"/>
      <c r="C1954" s="103" t="s"/>
      <c r="I1954" s="170" t="s"/>
      <c r="AA1954" s="157" t="s"/>
    </row>
    <row r="1955" spans="1:27">
      <c r="A1955" s="169" t="s"/>
      <c r="B1955" s="103" t="s"/>
      <c r="C1955" s="103" t="s"/>
      <c r="I1955" s="170" t="s"/>
      <c r="AA1955" s="157" t="s"/>
    </row>
    <row r="1956" spans="1:27">
      <c r="A1956" s="169" t="s"/>
      <c r="B1956" s="103" t="s"/>
      <c r="C1956" s="103" t="s"/>
      <c r="I1956" s="170" t="s"/>
      <c r="AA1956" s="157" t="s"/>
    </row>
    <row r="1957" spans="1:27">
      <c r="A1957" s="169" t="s"/>
      <c r="B1957" s="103" t="s"/>
      <c r="C1957" s="103" t="s"/>
      <c r="I1957" s="170" t="s"/>
      <c r="AA1957" s="157" t="s"/>
    </row>
    <row r="1958" spans="1:27">
      <c r="A1958" s="169" t="s"/>
      <c r="B1958" s="103" t="s"/>
      <c r="C1958" s="103" t="s"/>
      <c r="I1958" s="170" t="s"/>
      <c r="AA1958" s="157" t="s"/>
    </row>
    <row r="1959" spans="1:27">
      <c r="A1959" s="169" t="s"/>
      <c r="B1959" s="103" t="s"/>
      <c r="C1959" s="103" t="s"/>
      <c r="I1959" s="170" t="s"/>
      <c r="AA1959" s="157" t="s"/>
    </row>
    <row r="1960" spans="1:27">
      <c r="A1960" s="169" t="s"/>
      <c r="B1960" s="103" t="s"/>
      <c r="C1960" s="103" t="s"/>
      <c r="I1960" s="170" t="s"/>
      <c r="AA1960" s="157" t="s"/>
    </row>
    <row r="1961" spans="1:27">
      <c r="A1961" s="169" t="s"/>
      <c r="B1961" s="103" t="s"/>
      <c r="C1961" s="103" t="s"/>
      <c r="I1961" s="170" t="s"/>
      <c r="AA1961" s="157" t="s"/>
    </row>
    <row r="1962" spans="1:27">
      <c r="A1962" s="169" t="s"/>
      <c r="B1962" s="103" t="s"/>
      <c r="C1962" s="103" t="s"/>
      <c r="I1962" s="170" t="s"/>
      <c r="AA1962" s="157" t="s"/>
    </row>
    <row r="1963" spans="1:27">
      <c r="A1963" s="169" t="s"/>
      <c r="B1963" s="103" t="s"/>
      <c r="C1963" s="103" t="s"/>
      <c r="I1963" s="170" t="s"/>
      <c r="AA1963" s="157" t="s"/>
    </row>
    <row r="1964" spans="1:27">
      <c r="A1964" s="169" t="s"/>
      <c r="B1964" s="103" t="s"/>
      <c r="C1964" s="103" t="s"/>
      <c r="I1964" s="170" t="s"/>
      <c r="AA1964" s="157" t="s"/>
    </row>
    <row r="1965" spans="1:27">
      <c r="A1965" s="169" t="s"/>
      <c r="B1965" s="103" t="s"/>
      <c r="C1965" s="103" t="s"/>
      <c r="I1965" s="170" t="s"/>
      <c r="AA1965" s="157" t="s"/>
    </row>
    <row r="1966" spans="1:27">
      <c r="A1966" s="169" t="s"/>
      <c r="B1966" s="103" t="s"/>
      <c r="C1966" s="103" t="s"/>
      <c r="I1966" s="170" t="s"/>
      <c r="AA1966" s="157" t="s"/>
    </row>
    <row r="1967" spans="1:27">
      <c r="A1967" s="169" t="s"/>
      <c r="B1967" s="103" t="s"/>
      <c r="C1967" s="103" t="s"/>
      <c r="I1967" s="170" t="s"/>
      <c r="AA1967" s="157" t="s"/>
    </row>
    <row r="1968" spans="1:27">
      <c r="A1968" s="169" t="s"/>
      <c r="B1968" s="103" t="s"/>
      <c r="C1968" s="103" t="s"/>
      <c r="I1968" s="170" t="s"/>
      <c r="AA1968" s="157" t="s"/>
    </row>
    <row r="1969" spans="1:27">
      <c r="A1969" s="169" t="s"/>
      <c r="B1969" s="103" t="s"/>
      <c r="C1969" s="103" t="s"/>
      <c r="I1969" s="170" t="s"/>
      <c r="AA1969" s="157" t="s"/>
    </row>
    <row r="1970" spans="1:27">
      <c r="A1970" s="169" t="s"/>
      <c r="B1970" s="103" t="s"/>
      <c r="C1970" s="103" t="s"/>
      <c r="I1970" s="170" t="s"/>
      <c r="AA1970" s="157" t="s"/>
    </row>
    <row r="1971" spans="1:27">
      <c r="A1971" s="169" t="s"/>
      <c r="B1971" s="103" t="s"/>
      <c r="C1971" s="103" t="s"/>
      <c r="I1971" s="170" t="s"/>
      <c r="AA1971" s="157" t="s"/>
    </row>
    <row r="1972" spans="1:27">
      <c r="A1972" s="169" t="s"/>
      <c r="B1972" s="103" t="s"/>
      <c r="C1972" s="103" t="s"/>
      <c r="I1972" s="170" t="s"/>
      <c r="AA1972" s="157" t="s"/>
    </row>
    <row r="1973" spans="1:27">
      <c r="A1973" s="169" t="s"/>
      <c r="B1973" s="103" t="s"/>
      <c r="C1973" s="103" t="s"/>
      <c r="I1973" s="170" t="s"/>
      <c r="AA1973" s="157" t="s"/>
    </row>
    <row r="1974" spans="1:27">
      <c r="A1974" s="169" t="s"/>
      <c r="B1974" s="103" t="s"/>
      <c r="C1974" s="103" t="s"/>
      <c r="I1974" s="170" t="s"/>
      <c r="AA1974" s="157" t="s"/>
    </row>
    <row r="1975" spans="1:27">
      <c r="A1975" s="169" t="s"/>
      <c r="B1975" s="103" t="s"/>
      <c r="C1975" s="103" t="s"/>
      <c r="I1975" s="170" t="s"/>
      <c r="AA1975" s="157" t="s"/>
    </row>
    <row r="1976" spans="1:27">
      <c r="A1976" s="169" t="s"/>
      <c r="B1976" s="103" t="s"/>
      <c r="C1976" s="103" t="s"/>
      <c r="I1976" s="170" t="s"/>
      <c r="AA1976" s="157" t="s"/>
    </row>
    <row r="1977" spans="1:27">
      <c r="A1977" s="169" t="s"/>
      <c r="B1977" s="103" t="s"/>
      <c r="C1977" s="103" t="s"/>
      <c r="I1977" s="170" t="s"/>
      <c r="AA1977" s="157" t="s"/>
    </row>
    <row r="1978" spans="1:27">
      <c r="A1978" s="169" t="s"/>
      <c r="B1978" s="103" t="s"/>
      <c r="C1978" s="103" t="s"/>
      <c r="I1978" s="170" t="s"/>
      <c r="AA1978" s="157" t="s"/>
    </row>
    <row r="1979" spans="1:27">
      <c r="A1979" s="169" t="s"/>
      <c r="B1979" s="103" t="s"/>
      <c r="C1979" s="103" t="s"/>
      <c r="I1979" s="170" t="s"/>
      <c r="AA1979" s="157" t="s"/>
    </row>
    <row r="1980" spans="1:27">
      <c r="A1980" s="169" t="s"/>
      <c r="B1980" s="103" t="s"/>
      <c r="C1980" s="103" t="s"/>
      <c r="I1980" s="170" t="s"/>
      <c r="AA1980" s="157" t="s"/>
    </row>
    <row r="1981" spans="1:27">
      <c r="A1981" s="169" t="s"/>
      <c r="B1981" s="103" t="s"/>
      <c r="C1981" s="103" t="s"/>
      <c r="I1981" s="170" t="s"/>
      <c r="AA1981" s="157" t="s"/>
    </row>
    <row r="1982" spans="1:27">
      <c r="A1982" s="169" t="s"/>
      <c r="B1982" s="103" t="s"/>
      <c r="C1982" s="103" t="s"/>
      <c r="I1982" s="170" t="s"/>
      <c r="AA1982" s="157" t="s"/>
    </row>
    <row r="1983" spans="1:27">
      <c r="A1983" s="169" t="s"/>
      <c r="B1983" s="103" t="s"/>
      <c r="C1983" s="103" t="s"/>
      <c r="I1983" s="170" t="s"/>
      <c r="AA1983" s="157" t="s"/>
    </row>
    <row r="1984" spans="1:27">
      <c r="A1984" s="169" t="s"/>
      <c r="B1984" s="103" t="s"/>
      <c r="C1984" s="103" t="s"/>
      <c r="I1984" s="170" t="s"/>
      <c r="AA1984" s="157" t="s"/>
    </row>
    <row r="1985" spans="1:27">
      <c r="A1985" s="169" t="s"/>
      <c r="B1985" s="103" t="s"/>
      <c r="C1985" s="103" t="s"/>
      <c r="I1985" s="170" t="s"/>
      <c r="AA1985" s="157" t="s"/>
    </row>
    <row r="1986" spans="1:27">
      <c r="A1986" s="169" t="s"/>
      <c r="B1986" s="103" t="s"/>
      <c r="C1986" s="103" t="s"/>
      <c r="I1986" s="170" t="s"/>
      <c r="AA1986" s="157" t="s"/>
    </row>
    <row r="1987" spans="1:27">
      <c r="A1987" s="169" t="s"/>
      <c r="B1987" s="103" t="s"/>
      <c r="C1987" s="103" t="s"/>
      <c r="I1987" s="170" t="s"/>
      <c r="AA1987" s="157" t="s"/>
    </row>
    <row r="1988" spans="1:27">
      <c r="A1988" s="169" t="s"/>
      <c r="B1988" s="103" t="s"/>
      <c r="C1988" s="103" t="s"/>
      <c r="I1988" s="170" t="s"/>
      <c r="AA1988" s="157" t="s"/>
    </row>
    <row r="1989" spans="1:27">
      <c r="A1989" s="169" t="s"/>
      <c r="B1989" s="103" t="s"/>
      <c r="C1989" s="103" t="s"/>
      <c r="I1989" s="170" t="s"/>
      <c r="AA1989" s="157" t="s"/>
    </row>
    <row r="1990" spans="1:27">
      <c r="A1990" s="169" t="s"/>
      <c r="B1990" s="103" t="s"/>
      <c r="C1990" s="103" t="s"/>
      <c r="I1990" s="170" t="s"/>
      <c r="AA1990" s="157" t="s"/>
    </row>
    <row r="1991" spans="1:27">
      <c r="A1991" s="169" t="s"/>
      <c r="B1991" s="103" t="s"/>
      <c r="C1991" s="103" t="s"/>
      <c r="I1991" s="170" t="s"/>
      <c r="AA1991" s="157" t="s"/>
    </row>
    <row r="1992" spans="1:27">
      <c r="A1992" s="169" t="s"/>
      <c r="B1992" s="103" t="s"/>
      <c r="C1992" s="103" t="s"/>
      <c r="I1992" s="170" t="s"/>
      <c r="AA1992" s="157" t="s"/>
    </row>
    <row r="1993" spans="1:27">
      <c r="A1993" s="169" t="s"/>
      <c r="B1993" s="103" t="s"/>
      <c r="C1993" s="103" t="s"/>
      <c r="I1993" s="170" t="s"/>
      <c r="AA1993" s="157" t="s"/>
    </row>
    <row r="1994" spans="1:27">
      <c r="A1994" s="169" t="s"/>
      <c r="B1994" s="103" t="s"/>
      <c r="C1994" s="103" t="s"/>
      <c r="I1994" s="170" t="s"/>
      <c r="AA1994" s="157" t="s"/>
    </row>
    <row r="1995" spans="1:27">
      <c r="A1995" s="169" t="s"/>
      <c r="B1995" s="103" t="s"/>
      <c r="C1995" s="103" t="s"/>
      <c r="I1995" s="170" t="s"/>
      <c r="AA1995" s="157" t="s"/>
    </row>
    <row r="1996" spans="1:27">
      <c r="A1996" s="169" t="s"/>
      <c r="B1996" s="103" t="s"/>
      <c r="C1996" s="103" t="s"/>
      <c r="I1996" s="170" t="s"/>
      <c r="AA1996" s="157" t="s"/>
    </row>
    <row r="1997" spans="1:27">
      <c r="A1997" s="169" t="s"/>
      <c r="B1997" s="103" t="s"/>
      <c r="C1997" s="103" t="s"/>
      <c r="I1997" s="170" t="s"/>
      <c r="AA1997" s="157" t="s"/>
    </row>
    <row r="1998" spans="1:27">
      <c r="A1998" s="169" t="s"/>
      <c r="B1998" s="103" t="s"/>
      <c r="C1998" s="103" t="s"/>
      <c r="I1998" s="170" t="s"/>
      <c r="AA1998" s="157" t="s"/>
    </row>
    <row r="1999" spans="1:27">
      <c r="A1999" s="169" t="s"/>
      <c r="B1999" s="103" t="s"/>
      <c r="C1999" s="103" t="s"/>
      <c r="I1999" s="170" t="s"/>
      <c r="AA1999" s="157" t="s"/>
    </row>
    <row r="2000" spans="1:27">
      <c r="A2000" s="169" t="s"/>
      <c r="B2000" s="103" t="s"/>
      <c r="C2000" s="103" t="s"/>
      <c r="I2000" s="170" t="s"/>
      <c r="AA2000" s="157" t="s"/>
    </row>
    <row r="2001" spans="1:27">
      <c r="A2001" s="169" t="s"/>
      <c r="B2001" s="103" t="s"/>
      <c r="C2001" s="103" t="s"/>
      <c r="I2001" s="170" t="s"/>
      <c r="AA2001" s="157" t="s"/>
    </row>
    <row r="2002" spans="1:27">
      <c r="A2002" s="169" t="s"/>
      <c r="B2002" s="103" t="s"/>
      <c r="C2002" s="103" t="s"/>
      <c r="I2002" s="170" t="s"/>
      <c r="AA2002" s="157" t="s"/>
    </row>
    <row r="2003" spans="1:27">
      <c r="A2003" s="169" t="s"/>
      <c r="B2003" s="103" t="s"/>
      <c r="C2003" s="103" t="s"/>
      <c r="I2003" s="170" t="s"/>
      <c r="AA2003" s="157" t="s"/>
    </row>
    <row r="2004" spans="1:27">
      <c r="A2004" s="169" t="s"/>
      <c r="B2004" s="103" t="s"/>
      <c r="C2004" s="103" t="s"/>
      <c r="I2004" s="170" t="s"/>
      <c r="AA2004" s="157" t="s"/>
    </row>
    <row r="2005" spans="1:27">
      <c r="A2005" s="169" t="s"/>
      <c r="B2005" s="103" t="s"/>
      <c r="C2005" s="103" t="s"/>
      <c r="I2005" s="170" t="s"/>
      <c r="AA2005" s="157" t="s"/>
    </row>
    <row r="2006" spans="1:27">
      <c r="A2006" s="169" t="s"/>
      <c r="B2006" s="103" t="s"/>
      <c r="C2006" s="103" t="s"/>
      <c r="I2006" s="170" t="s"/>
      <c r="AA2006" s="157" t="s"/>
    </row>
    <row r="2007" spans="1:27">
      <c r="A2007" s="169" t="s"/>
      <c r="B2007" s="103" t="s"/>
      <c r="C2007" s="103" t="s"/>
      <c r="I2007" s="170" t="s"/>
      <c r="AA2007" s="157" t="s"/>
    </row>
    <row r="2008" spans="1:27">
      <c r="A2008" s="169" t="s"/>
      <c r="B2008" s="103" t="s"/>
      <c r="C2008" s="103" t="s"/>
      <c r="I2008" s="170" t="s"/>
      <c r="AA2008" s="157" t="s"/>
    </row>
    <row r="2009" spans="1:27">
      <c r="A2009" s="169" t="s"/>
      <c r="B2009" s="103" t="s"/>
      <c r="C2009" s="103" t="s"/>
      <c r="I2009" s="170" t="s"/>
      <c r="AA2009" s="157" t="s"/>
    </row>
    <row r="2010" spans="1:27">
      <c r="A2010" s="169" t="s"/>
      <c r="B2010" s="103" t="s"/>
      <c r="C2010" s="103" t="s"/>
      <c r="I2010" s="170" t="s"/>
      <c r="AA2010" s="157" t="s"/>
    </row>
    <row r="2011" spans="1:27">
      <c r="A2011" s="169" t="s"/>
      <c r="B2011" s="103" t="s"/>
      <c r="C2011" s="103" t="s"/>
      <c r="I2011" s="170" t="s"/>
      <c r="AA2011" s="157" t="s"/>
    </row>
    <row r="2012" spans="1:27">
      <c r="A2012" s="169" t="s"/>
      <c r="B2012" s="103" t="s"/>
      <c r="C2012" s="103" t="s"/>
      <c r="I2012" s="170" t="s"/>
      <c r="AA2012" s="157" t="s"/>
    </row>
    <row r="2013" spans="1:27">
      <c r="A2013" s="169" t="s"/>
      <c r="B2013" s="103" t="s"/>
      <c r="C2013" s="103" t="s"/>
      <c r="I2013" s="170" t="s"/>
      <c r="AA2013" s="157" t="s"/>
    </row>
    <row r="2014" spans="1:27">
      <c r="A2014" s="169" t="s"/>
      <c r="B2014" s="103" t="s"/>
      <c r="C2014" s="103" t="s"/>
      <c r="I2014" s="170" t="s"/>
      <c r="AA2014" s="157" t="s"/>
    </row>
    <row r="2015" spans="1:27">
      <c r="A2015" s="169" t="s"/>
      <c r="B2015" s="103" t="s"/>
      <c r="C2015" s="103" t="s"/>
      <c r="I2015" s="170" t="s"/>
      <c r="AA2015" s="157" t="s"/>
    </row>
    <row r="2016" spans="1:27">
      <c r="A2016" s="169" t="s"/>
      <c r="B2016" s="103" t="s"/>
      <c r="C2016" s="103" t="s"/>
      <c r="I2016" s="170" t="s"/>
      <c r="AA2016" s="157" t="s"/>
    </row>
    <row r="2017" spans="1:27">
      <c r="A2017" s="169" t="s"/>
      <c r="B2017" s="103" t="s"/>
      <c r="C2017" s="103" t="s"/>
      <c r="I2017" s="170" t="s"/>
      <c r="AA2017" s="157" t="s"/>
    </row>
    <row r="2018" spans="1:27">
      <c r="A2018" s="169" t="s"/>
      <c r="B2018" s="103" t="s"/>
      <c r="C2018" s="103" t="s"/>
      <c r="I2018" s="170" t="s"/>
      <c r="AA2018" s="157" t="s"/>
    </row>
    <row r="2019" spans="1:27">
      <c r="A2019" s="169" t="s"/>
      <c r="B2019" s="103" t="s"/>
      <c r="C2019" s="103" t="s"/>
      <c r="I2019" s="170" t="s"/>
      <c r="AA2019" s="157" t="s"/>
    </row>
    <row r="2020" spans="1:27">
      <c r="A2020" s="169" t="s"/>
      <c r="B2020" s="103" t="s"/>
      <c r="C2020" s="103" t="s"/>
      <c r="I2020" s="170" t="s"/>
      <c r="AA2020" s="157" t="s"/>
    </row>
    <row r="2021" spans="1:27">
      <c r="A2021" s="169" t="s"/>
      <c r="B2021" s="103" t="s"/>
      <c r="C2021" s="103" t="s"/>
      <c r="I2021" s="170" t="s"/>
      <c r="AA2021" s="157" t="s"/>
    </row>
    <row r="2022" spans="1:27">
      <c r="A2022" s="169" t="s"/>
      <c r="B2022" s="103" t="s"/>
      <c r="C2022" s="103" t="s"/>
      <c r="I2022" s="170" t="s"/>
      <c r="AA2022" s="157" t="s"/>
    </row>
    <row r="2023" spans="1:27">
      <c r="A2023" s="169" t="s"/>
      <c r="B2023" s="103" t="s"/>
      <c r="C2023" s="103" t="s"/>
      <c r="I2023" s="170" t="s"/>
      <c r="AA2023" s="157" t="s"/>
    </row>
    <row r="2024" spans="1:27">
      <c r="A2024" s="169" t="s"/>
      <c r="B2024" s="103" t="s"/>
      <c r="C2024" s="103" t="s"/>
      <c r="I2024" s="170" t="s"/>
      <c r="AA2024" s="157" t="s"/>
    </row>
    <row r="2025" spans="1:27">
      <c r="A2025" s="169" t="s"/>
      <c r="B2025" s="103" t="s"/>
      <c r="C2025" s="103" t="s"/>
      <c r="I2025" s="170" t="s"/>
      <c r="AA2025" s="157" t="s"/>
    </row>
    <row r="2026" spans="1:27">
      <c r="A2026" s="169" t="s"/>
      <c r="B2026" s="103" t="s"/>
      <c r="C2026" s="103" t="s"/>
      <c r="I2026" s="170" t="s"/>
      <c r="AA2026" s="157" t="s"/>
    </row>
    <row r="2027" spans="1:27">
      <c r="A2027" s="169" t="s"/>
      <c r="B2027" s="103" t="s"/>
      <c r="C2027" s="103" t="s"/>
      <c r="I2027" s="170" t="s"/>
      <c r="AA2027" s="157" t="s"/>
    </row>
    <row r="2028" spans="1:27">
      <c r="A2028" s="169" t="s"/>
      <c r="B2028" s="103" t="s"/>
      <c r="C2028" s="103" t="s"/>
      <c r="I2028" s="170" t="s"/>
      <c r="AA2028" s="157" t="s"/>
    </row>
    <row r="2029" spans="1:27">
      <c r="A2029" s="169" t="s"/>
      <c r="B2029" s="103" t="s"/>
      <c r="C2029" s="103" t="s"/>
      <c r="I2029" s="170" t="s"/>
      <c r="AA2029" s="157" t="s"/>
    </row>
    <row r="2030" spans="1:27">
      <c r="A2030" s="169" t="s"/>
      <c r="B2030" s="103" t="s"/>
      <c r="C2030" s="103" t="s"/>
      <c r="I2030" s="170" t="s"/>
      <c r="AA2030" s="157" t="s"/>
    </row>
    <row r="2031" spans="1:27">
      <c r="A2031" s="169" t="s"/>
      <c r="B2031" s="103" t="s"/>
      <c r="C2031" s="103" t="s"/>
      <c r="I2031" s="170" t="s"/>
      <c r="AA2031" s="157" t="s"/>
    </row>
    <row r="2032" spans="1:27">
      <c r="A2032" s="169" t="s"/>
      <c r="B2032" s="103" t="s"/>
      <c r="C2032" s="103" t="s"/>
      <c r="I2032" s="170" t="s"/>
      <c r="AA2032" s="157" t="s"/>
    </row>
    <row r="2033" spans="1:27">
      <c r="A2033" s="169" t="s"/>
      <c r="B2033" s="103" t="s"/>
      <c r="C2033" s="103" t="s"/>
      <c r="I2033" s="170" t="s"/>
      <c r="AA2033" s="157" t="s"/>
    </row>
    <row r="2034" spans="1:27">
      <c r="A2034" s="169" t="s"/>
      <c r="B2034" s="103" t="s"/>
      <c r="C2034" s="103" t="s"/>
      <c r="I2034" s="170" t="s"/>
      <c r="AA2034" s="157" t="s"/>
    </row>
    <row r="2035" spans="1:27">
      <c r="A2035" s="169" t="s"/>
      <c r="B2035" s="103" t="s"/>
      <c r="C2035" s="103" t="s"/>
      <c r="I2035" s="170" t="s"/>
      <c r="AA2035" s="157" t="s"/>
    </row>
    <row r="2036" spans="1:27">
      <c r="A2036" s="169" t="s"/>
      <c r="B2036" s="103" t="s"/>
      <c r="C2036" s="103" t="s"/>
      <c r="I2036" s="170" t="s"/>
      <c r="AA2036" s="157" t="s"/>
    </row>
    <row r="2037" spans="1:27">
      <c r="A2037" s="169" t="s"/>
      <c r="B2037" s="103" t="s"/>
      <c r="C2037" s="103" t="s"/>
      <c r="I2037" s="170" t="s"/>
      <c r="AA2037" s="157" t="s"/>
    </row>
    <row r="2038" spans="1:27">
      <c r="A2038" s="169" t="s"/>
      <c r="B2038" s="103" t="s"/>
      <c r="C2038" s="103" t="s"/>
      <c r="I2038" s="170" t="s"/>
      <c r="AA2038" s="157" t="s"/>
    </row>
    <row r="2039" spans="1:27">
      <c r="A2039" s="169" t="s"/>
      <c r="B2039" s="103" t="s"/>
      <c r="C2039" s="103" t="s"/>
      <c r="I2039" s="170" t="s"/>
      <c r="AA2039" s="157" t="s"/>
    </row>
    <row r="2040" spans="1:27">
      <c r="A2040" s="169" t="s"/>
      <c r="B2040" s="103" t="s"/>
      <c r="C2040" s="103" t="s"/>
      <c r="I2040" s="170" t="s"/>
      <c r="AA2040" s="157" t="s"/>
    </row>
    <row r="2041" spans="1:27">
      <c r="A2041" s="169" t="s"/>
      <c r="B2041" s="103" t="s"/>
      <c r="C2041" s="103" t="s"/>
      <c r="I2041" s="170" t="s"/>
      <c r="AA2041" s="157" t="s"/>
    </row>
    <row r="2042" spans="1:27">
      <c r="A2042" s="169" t="s"/>
      <c r="B2042" s="103" t="s"/>
      <c r="C2042" s="103" t="s"/>
      <c r="I2042" s="170" t="s"/>
      <c r="AA2042" s="157" t="s"/>
    </row>
    <row r="2043" spans="1:27">
      <c r="A2043" s="169" t="s"/>
      <c r="B2043" s="103" t="s"/>
      <c r="C2043" s="103" t="s"/>
      <c r="I2043" s="170" t="s"/>
      <c r="AA2043" s="157" t="s"/>
    </row>
    <row r="2044" spans="1:27">
      <c r="A2044" s="169" t="s"/>
      <c r="B2044" s="103" t="s"/>
      <c r="C2044" s="103" t="s"/>
      <c r="I2044" s="170" t="s"/>
      <c r="AA2044" s="157" t="s"/>
    </row>
    <row r="2045" spans="1:27">
      <c r="A2045" s="169" t="s"/>
      <c r="B2045" s="103" t="s"/>
      <c r="C2045" s="103" t="s"/>
      <c r="I2045" s="170" t="s"/>
      <c r="AA2045" s="157" t="s"/>
    </row>
    <row r="2046" spans="1:27">
      <c r="A2046" s="169" t="s"/>
      <c r="B2046" s="103" t="s"/>
      <c r="C2046" s="103" t="s"/>
      <c r="I2046" s="170" t="s"/>
      <c r="AA2046" s="157" t="s"/>
    </row>
    <row r="2047" spans="1:27">
      <c r="A2047" s="169" t="s"/>
      <c r="B2047" s="103" t="s"/>
      <c r="C2047" s="103" t="s"/>
      <c r="I2047" s="170" t="s"/>
      <c r="AA2047" s="157" t="s"/>
    </row>
    <row r="2048" spans="1:27">
      <c r="A2048" s="169" t="s"/>
      <c r="B2048" s="103" t="s"/>
      <c r="C2048" s="103" t="s"/>
      <c r="I2048" s="170" t="s"/>
      <c r="AA2048" s="157" t="s"/>
    </row>
    <row r="2049" spans="1:27">
      <c r="A2049" s="169" t="s"/>
      <c r="B2049" s="103" t="s"/>
      <c r="C2049" s="103" t="s"/>
      <c r="I2049" s="170" t="s"/>
      <c r="AA2049" s="157" t="s"/>
    </row>
    <row r="2050" spans="1:27">
      <c r="A2050" s="169" t="s"/>
      <c r="B2050" s="103" t="s"/>
      <c r="C2050" s="103" t="s"/>
      <c r="I2050" s="170" t="s"/>
      <c r="AA2050" s="157" t="s"/>
    </row>
    <row r="2051" spans="1:27">
      <c r="A2051" s="169" t="s"/>
      <c r="B2051" s="103" t="s"/>
      <c r="C2051" s="103" t="s"/>
      <c r="I2051" s="170" t="s"/>
      <c r="AA2051" s="157" t="s"/>
    </row>
    <row r="2052" spans="1:27">
      <c r="A2052" s="169" t="s"/>
      <c r="B2052" s="103" t="s"/>
      <c r="C2052" s="103" t="s"/>
      <c r="I2052" s="170" t="s"/>
      <c r="AA2052" s="157" t="s"/>
    </row>
    <row r="2053" spans="1:27">
      <c r="A2053" s="169" t="s"/>
      <c r="B2053" s="103" t="s"/>
      <c r="C2053" s="103" t="s"/>
      <c r="I2053" s="170" t="s"/>
      <c r="AA2053" s="157" t="s"/>
    </row>
    <row r="2054" spans="1:27">
      <c r="A2054" s="169" t="s"/>
      <c r="B2054" s="103" t="s"/>
      <c r="C2054" s="103" t="s"/>
      <c r="I2054" s="170" t="s"/>
      <c r="AA2054" s="157" t="s"/>
    </row>
    <row r="2055" spans="1:27">
      <c r="A2055" s="169" t="s"/>
      <c r="B2055" s="103" t="s"/>
      <c r="C2055" s="103" t="s"/>
      <c r="I2055" s="170" t="s"/>
      <c r="AA2055" s="157" t="s"/>
    </row>
    <row r="2056" spans="1:27">
      <c r="A2056" s="169" t="s"/>
      <c r="B2056" s="103" t="s"/>
      <c r="C2056" s="103" t="s"/>
      <c r="I2056" s="170" t="s"/>
      <c r="AA2056" s="157" t="s"/>
    </row>
    <row r="2057" spans="1:27">
      <c r="A2057" s="169" t="s"/>
      <c r="B2057" s="103" t="s"/>
      <c r="C2057" s="103" t="s"/>
      <c r="I2057" s="170" t="s"/>
      <c r="AA2057" s="157" t="s"/>
    </row>
    <row r="2058" spans="1:27">
      <c r="A2058" s="169" t="s"/>
      <c r="B2058" s="103" t="s"/>
      <c r="C2058" s="103" t="s"/>
      <c r="I2058" s="170" t="s"/>
      <c r="AA2058" s="157" t="s"/>
    </row>
    <row r="2059" spans="1:27">
      <c r="A2059" s="169" t="s"/>
      <c r="B2059" s="103" t="s"/>
      <c r="C2059" s="103" t="s"/>
      <c r="I2059" s="170" t="s"/>
      <c r="AA2059" s="157" t="s"/>
    </row>
    <row r="2060" spans="1:27">
      <c r="A2060" s="169" t="s"/>
      <c r="B2060" s="103" t="s"/>
      <c r="C2060" s="103" t="s"/>
      <c r="I2060" s="170" t="s"/>
      <c r="AA2060" s="157" t="s"/>
    </row>
    <row r="2061" spans="1:27">
      <c r="A2061" s="169" t="s"/>
      <c r="B2061" s="103" t="s"/>
      <c r="C2061" s="103" t="s"/>
      <c r="I2061" s="170" t="s"/>
      <c r="AA2061" s="157" t="s"/>
    </row>
    <row r="2062" spans="1:27">
      <c r="A2062" s="169" t="s"/>
      <c r="B2062" s="103" t="s"/>
      <c r="C2062" s="103" t="s"/>
      <c r="I2062" s="170" t="s"/>
      <c r="AA2062" s="157" t="s"/>
    </row>
    <row r="2063" spans="1:27">
      <c r="A2063" s="169" t="s"/>
      <c r="B2063" s="103" t="s"/>
      <c r="C2063" s="103" t="s"/>
      <c r="I2063" s="170" t="s"/>
      <c r="AA2063" s="157" t="s"/>
    </row>
    <row r="2064" spans="1:27">
      <c r="A2064" s="169" t="s"/>
      <c r="B2064" s="103" t="s"/>
      <c r="C2064" s="103" t="s"/>
      <c r="I2064" s="170" t="s"/>
      <c r="AA2064" s="157" t="s"/>
    </row>
    <row r="2065" spans="1:27">
      <c r="A2065" s="169" t="s"/>
      <c r="B2065" s="103" t="s"/>
      <c r="C2065" s="103" t="s"/>
      <c r="I2065" s="170" t="s"/>
      <c r="AA2065" s="157" t="s"/>
    </row>
    <row r="2066" spans="1:27">
      <c r="A2066" s="169" t="s"/>
      <c r="B2066" s="103" t="s"/>
      <c r="C2066" s="103" t="s"/>
      <c r="I2066" s="170" t="s"/>
      <c r="AA2066" s="157" t="s"/>
    </row>
    <row r="2067" spans="1:27">
      <c r="A2067" s="169" t="s"/>
      <c r="B2067" s="103" t="s"/>
      <c r="C2067" s="103" t="s"/>
      <c r="I2067" s="170" t="s"/>
      <c r="AA2067" s="157" t="s"/>
    </row>
    <row r="2068" spans="1:27">
      <c r="A2068" s="169" t="s"/>
      <c r="B2068" s="103" t="s"/>
      <c r="C2068" s="103" t="s"/>
      <c r="I2068" s="170" t="s"/>
      <c r="AA2068" s="157" t="s"/>
    </row>
    <row r="2069" spans="1:27">
      <c r="A2069" s="169" t="s"/>
      <c r="B2069" s="103" t="s"/>
      <c r="C2069" s="103" t="s"/>
      <c r="I2069" s="170" t="s"/>
      <c r="AA2069" s="157" t="s"/>
    </row>
    <row r="2070" spans="1:27">
      <c r="A2070" s="169" t="s"/>
      <c r="B2070" s="103" t="s"/>
      <c r="C2070" s="103" t="s"/>
      <c r="I2070" s="170" t="s"/>
      <c r="AA2070" s="157" t="s"/>
    </row>
    <row r="2071" spans="1:27">
      <c r="A2071" s="169" t="s"/>
      <c r="B2071" s="103" t="s"/>
      <c r="C2071" s="103" t="s"/>
      <c r="I2071" s="170" t="s"/>
      <c r="AA2071" s="157" t="s"/>
    </row>
    <row r="2072" spans="1:27">
      <c r="A2072" s="169" t="s"/>
      <c r="B2072" s="103" t="s"/>
      <c r="C2072" s="103" t="s"/>
      <c r="I2072" s="170" t="s"/>
      <c r="AA2072" s="157" t="s"/>
    </row>
    <row r="2073" spans="1:27">
      <c r="A2073" s="169" t="s"/>
      <c r="B2073" s="103" t="s"/>
      <c r="C2073" s="103" t="s"/>
      <c r="I2073" s="170" t="s"/>
      <c r="AA2073" s="157" t="s"/>
    </row>
    <row r="2074" spans="1:27">
      <c r="A2074" s="169" t="s"/>
      <c r="B2074" s="103" t="s"/>
      <c r="C2074" s="103" t="s"/>
      <c r="I2074" s="170" t="s"/>
      <c r="AA2074" s="157" t="s"/>
    </row>
    <row r="2075" spans="1:27">
      <c r="A2075" s="169" t="s"/>
      <c r="B2075" s="103" t="s"/>
      <c r="C2075" s="103" t="s"/>
      <c r="I2075" s="170" t="s"/>
      <c r="AA2075" s="157" t="s"/>
    </row>
    <row r="2076" spans="1:27">
      <c r="A2076" s="169" t="s"/>
      <c r="B2076" s="103" t="s"/>
      <c r="C2076" s="103" t="s"/>
      <c r="I2076" s="170" t="s"/>
      <c r="AA2076" s="157" t="s"/>
    </row>
    <row r="2077" spans="1:27">
      <c r="A2077" s="169" t="s"/>
      <c r="B2077" s="103" t="s"/>
      <c r="C2077" s="103" t="s"/>
      <c r="I2077" s="170" t="s"/>
      <c r="AA2077" s="157" t="s"/>
    </row>
    <row r="2078" spans="1:27">
      <c r="A2078" s="169" t="s"/>
      <c r="B2078" s="103" t="s"/>
      <c r="C2078" s="103" t="s"/>
      <c r="I2078" s="170" t="s"/>
      <c r="AA2078" s="157" t="s"/>
    </row>
    <row r="2079" spans="1:27">
      <c r="A2079" s="169" t="s"/>
      <c r="B2079" s="103" t="s"/>
      <c r="C2079" s="103" t="s"/>
      <c r="I2079" s="170" t="s"/>
      <c r="AA2079" s="157" t="s"/>
    </row>
    <row r="2080" spans="1:27">
      <c r="A2080" s="169" t="s"/>
      <c r="B2080" s="103" t="s"/>
      <c r="C2080" s="103" t="s"/>
      <c r="I2080" s="170" t="s"/>
      <c r="AA2080" s="157" t="s"/>
    </row>
    <row r="2081" spans="1:27">
      <c r="A2081" s="169" t="s"/>
      <c r="B2081" s="103" t="s"/>
      <c r="C2081" s="103" t="s"/>
      <c r="I2081" s="170" t="s"/>
      <c r="AA2081" s="157" t="s"/>
    </row>
    <row r="2082" spans="1:27">
      <c r="A2082" s="169" t="s"/>
      <c r="B2082" s="103" t="s"/>
      <c r="C2082" s="103" t="s"/>
      <c r="I2082" s="170" t="s"/>
      <c r="AA2082" s="157" t="s"/>
    </row>
    <row r="2083" spans="1:27">
      <c r="A2083" s="169" t="s"/>
      <c r="B2083" s="103" t="s"/>
      <c r="C2083" s="103" t="s"/>
      <c r="I2083" s="170" t="s"/>
      <c r="AA2083" s="157" t="s"/>
    </row>
    <row r="2084" spans="1:27">
      <c r="A2084" s="169" t="s"/>
      <c r="B2084" s="103" t="s"/>
      <c r="C2084" s="103" t="s"/>
      <c r="I2084" s="170" t="s"/>
      <c r="AA2084" s="157" t="s"/>
    </row>
    <row r="2085" spans="1:27">
      <c r="A2085" s="169" t="s"/>
      <c r="B2085" s="103" t="s"/>
      <c r="C2085" s="103" t="s"/>
      <c r="I2085" s="170" t="s"/>
      <c r="AA2085" s="157" t="s"/>
    </row>
    <row r="2086" spans="1:27">
      <c r="A2086" s="169" t="s"/>
      <c r="B2086" s="103" t="s"/>
      <c r="C2086" s="103" t="s"/>
      <c r="I2086" s="170" t="s"/>
      <c r="AA2086" s="157" t="s"/>
    </row>
    <row r="2087" spans="1:27">
      <c r="A2087" s="169" t="s"/>
      <c r="B2087" s="103" t="s"/>
      <c r="C2087" s="103" t="s"/>
      <c r="I2087" s="170" t="s"/>
      <c r="AA2087" s="157" t="s"/>
    </row>
    <row r="2088" spans="1:27">
      <c r="A2088" s="169" t="s"/>
      <c r="B2088" s="103" t="s"/>
      <c r="C2088" s="103" t="s"/>
      <c r="I2088" s="170" t="s"/>
      <c r="AA2088" s="157" t="s"/>
    </row>
    <row r="2089" spans="1:27">
      <c r="A2089" s="169" t="s"/>
      <c r="B2089" s="103" t="s"/>
      <c r="C2089" s="103" t="s"/>
      <c r="I2089" s="170" t="s"/>
      <c r="AA2089" s="157" t="s"/>
    </row>
    <row r="2090" spans="1:27">
      <c r="A2090" s="169" t="s"/>
      <c r="B2090" s="103" t="s"/>
      <c r="C2090" s="103" t="s"/>
      <c r="I2090" s="170" t="s"/>
      <c r="AA2090" s="157" t="s"/>
    </row>
    <row r="2091" spans="1:27">
      <c r="A2091" s="169" t="s"/>
      <c r="B2091" s="103" t="s"/>
      <c r="C2091" s="103" t="s"/>
      <c r="I2091" s="170" t="s"/>
      <c r="AA2091" s="157" t="s"/>
    </row>
    <row r="2092" spans="1:27">
      <c r="A2092" s="169" t="s"/>
      <c r="B2092" s="103" t="s"/>
      <c r="C2092" s="103" t="s"/>
      <c r="I2092" s="170" t="s"/>
      <c r="AA2092" s="157" t="s"/>
    </row>
    <row r="2093" spans="1:27">
      <c r="A2093" s="169" t="s"/>
      <c r="B2093" s="103" t="s"/>
      <c r="C2093" s="103" t="s"/>
      <c r="I2093" s="170" t="s"/>
      <c r="AA2093" s="157" t="s"/>
    </row>
    <row r="2094" spans="1:27">
      <c r="A2094" s="169" t="s"/>
      <c r="B2094" s="103" t="s"/>
      <c r="C2094" s="103" t="s"/>
      <c r="I2094" s="170" t="s"/>
      <c r="AA2094" s="157" t="s"/>
    </row>
    <row r="2095" spans="1:27">
      <c r="A2095" s="169" t="s"/>
      <c r="B2095" s="103" t="s"/>
      <c r="C2095" s="103" t="s"/>
      <c r="I2095" s="170" t="s"/>
      <c r="AA2095" s="157" t="s"/>
    </row>
    <row r="2096" spans="1:27">
      <c r="A2096" s="169" t="s"/>
      <c r="B2096" s="103" t="s"/>
      <c r="C2096" s="103" t="s"/>
      <c r="I2096" s="170" t="s"/>
      <c r="AA2096" s="157" t="s"/>
    </row>
    <row r="2097" spans="1:27">
      <c r="A2097" s="169" t="s"/>
      <c r="B2097" s="103" t="s"/>
      <c r="C2097" s="103" t="s"/>
      <c r="I2097" s="170" t="s"/>
      <c r="AA2097" s="157" t="s"/>
    </row>
    <row r="2098" spans="1:27">
      <c r="A2098" s="169" t="s"/>
      <c r="B2098" s="103" t="s"/>
      <c r="C2098" s="103" t="s"/>
      <c r="I2098" s="170" t="s"/>
      <c r="AA2098" s="157" t="s"/>
    </row>
    <row r="2099" spans="1:27">
      <c r="A2099" s="169" t="s"/>
      <c r="B2099" s="103" t="s"/>
      <c r="C2099" s="103" t="s"/>
      <c r="I2099" s="170" t="s"/>
      <c r="AA2099" s="157" t="s"/>
    </row>
    <row r="2100" spans="1:27">
      <c r="A2100" s="169" t="s"/>
      <c r="B2100" s="103" t="s"/>
      <c r="C2100" s="103" t="s"/>
      <c r="I2100" s="170" t="s"/>
      <c r="AA2100" s="157" t="s"/>
    </row>
    <row r="2101" spans="1:27">
      <c r="A2101" s="169" t="s"/>
      <c r="B2101" s="103" t="s"/>
      <c r="C2101" s="103" t="s"/>
      <c r="I2101" s="170" t="s"/>
      <c r="AA2101" s="157" t="s"/>
    </row>
    <row r="2102" spans="1:27">
      <c r="A2102" s="169" t="s"/>
      <c r="B2102" s="103" t="s"/>
      <c r="C2102" s="103" t="s"/>
      <c r="I2102" s="170" t="s"/>
      <c r="AA2102" s="157" t="s"/>
    </row>
    <row r="2103" spans="1:27">
      <c r="A2103" s="169" t="s"/>
      <c r="B2103" s="103" t="s"/>
      <c r="C2103" s="103" t="s"/>
      <c r="I2103" s="170" t="s"/>
      <c r="AA2103" s="157" t="s"/>
    </row>
    <row r="2104" spans="1:27">
      <c r="A2104" s="169" t="s"/>
      <c r="B2104" s="103" t="s"/>
      <c r="C2104" s="103" t="s"/>
      <c r="I2104" s="170" t="s"/>
      <c r="AA2104" s="157" t="s"/>
    </row>
    <row r="2105" spans="1:27">
      <c r="A2105" s="169" t="s"/>
      <c r="B2105" s="103" t="s"/>
      <c r="C2105" s="103" t="s"/>
      <c r="I2105" s="170" t="s"/>
      <c r="AA2105" s="157" t="s"/>
    </row>
    <row r="2106" spans="1:27">
      <c r="A2106" s="169" t="s"/>
      <c r="B2106" s="103" t="s"/>
      <c r="C2106" s="103" t="s"/>
      <c r="I2106" s="170" t="s"/>
      <c r="AA2106" s="157" t="s"/>
    </row>
    <row r="2107" spans="1:27">
      <c r="A2107" s="169" t="s"/>
      <c r="B2107" s="103" t="s"/>
      <c r="C2107" s="103" t="s"/>
      <c r="I2107" s="170" t="s"/>
      <c r="AA2107" s="157" t="s"/>
    </row>
    <row r="2108" spans="1:27">
      <c r="A2108" s="169" t="s"/>
      <c r="B2108" s="103" t="s"/>
      <c r="C2108" s="103" t="s"/>
      <c r="I2108" s="170" t="s"/>
      <c r="AA2108" s="157" t="s"/>
    </row>
    <row r="2109" spans="1:27">
      <c r="A2109" s="169" t="s"/>
      <c r="B2109" s="103" t="s"/>
      <c r="C2109" s="103" t="s"/>
      <c r="I2109" s="170" t="s"/>
      <c r="AA2109" s="157" t="s"/>
    </row>
    <row r="2110" spans="1:27">
      <c r="A2110" s="169" t="s"/>
      <c r="B2110" s="103" t="s"/>
      <c r="C2110" s="103" t="s"/>
      <c r="I2110" s="170" t="s"/>
      <c r="AA2110" s="157" t="s"/>
    </row>
    <row r="2111" spans="1:27">
      <c r="A2111" s="169" t="s"/>
      <c r="B2111" s="103" t="s"/>
      <c r="C2111" s="103" t="s"/>
      <c r="I2111" s="170" t="s"/>
      <c r="AA2111" s="157" t="s"/>
    </row>
    <row r="2112" spans="1:27">
      <c r="A2112" s="169" t="s"/>
      <c r="B2112" s="103" t="s"/>
      <c r="C2112" s="103" t="s"/>
      <c r="I2112" s="170" t="s"/>
      <c r="AA2112" s="157" t="s"/>
    </row>
    <row r="2113" spans="1:27">
      <c r="A2113" s="169" t="s"/>
      <c r="B2113" s="103" t="s"/>
      <c r="C2113" s="103" t="s"/>
      <c r="I2113" s="170" t="s"/>
      <c r="AA2113" s="157" t="s"/>
    </row>
    <row r="2114" spans="1:27">
      <c r="A2114" s="169" t="s"/>
      <c r="B2114" s="103" t="s"/>
      <c r="C2114" s="103" t="s"/>
      <c r="I2114" s="170" t="s"/>
      <c r="AA2114" s="157" t="s"/>
    </row>
    <row r="2115" spans="1:27">
      <c r="A2115" s="169" t="s"/>
      <c r="B2115" s="103" t="s"/>
      <c r="C2115" s="103" t="s"/>
      <c r="I2115" s="170" t="s"/>
      <c r="AA2115" s="157" t="s"/>
    </row>
    <row r="2116" spans="1:27">
      <c r="A2116" s="169" t="s"/>
      <c r="B2116" s="103" t="s"/>
      <c r="C2116" s="103" t="s"/>
      <c r="I2116" s="170" t="s"/>
      <c r="AA2116" s="157" t="s"/>
    </row>
    <row r="2117" spans="1:27">
      <c r="A2117" s="169" t="s"/>
      <c r="B2117" s="103" t="s"/>
      <c r="C2117" s="103" t="s"/>
      <c r="I2117" s="170" t="s"/>
      <c r="AA2117" s="157" t="s"/>
    </row>
    <row r="2118" spans="1:27">
      <c r="A2118" s="169" t="s"/>
      <c r="B2118" s="103" t="s"/>
      <c r="C2118" s="103" t="s"/>
      <c r="I2118" s="170" t="s"/>
      <c r="AA2118" s="157" t="s"/>
    </row>
    <row r="2119" spans="1:27">
      <c r="A2119" s="169" t="s"/>
      <c r="B2119" s="103" t="s"/>
      <c r="C2119" s="103" t="s"/>
      <c r="I2119" s="170" t="s"/>
      <c r="AA2119" s="157" t="s"/>
    </row>
    <row r="2120" spans="1:27">
      <c r="A2120" s="169" t="s"/>
      <c r="B2120" s="103" t="s"/>
      <c r="C2120" s="103" t="s"/>
      <c r="I2120" s="170" t="s"/>
      <c r="AA2120" s="157" t="s"/>
    </row>
    <row r="2121" spans="1:27">
      <c r="A2121" s="169" t="s"/>
      <c r="B2121" s="103" t="s"/>
      <c r="C2121" s="103" t="s"/>
      <c r="I2121" s="170" t="s"/>
      <c r="AA2121" s="157" t="s"/>
    </row>
    <row r="2122" spans="1:27">
      <c r="A2122" s="169" t="s"/>
      <c r="B2122" s="103" t="s"/>
      <c r="C2122" s="103" t="s"/>
      <c r="D2122" s="103" t="s"/>
      <c r="I2122" s="170" t="s"/>
      <c r="AA2122" s="157" t="s"/>
    </row>
    <row r="2123" spans="1:27">
      <c r="A2123" s="169" t="s"/>
      <c r="B2123" s="103" t="s"/>
      <c r="C2123" s="103" t="s"/>
      <c r="D2123" s="103" t="s"/>
      <c r="I2123" s="170" t="s"/>
      <c r="AA2123" s="157" t="s"/>
    </row>
    <row r="2124" spans="1:27">
      <c r="A2124" s="169" t="s"/>
      <c r="B2124" s="103" t="s"/>
      <c r="C2124" s="103" t="s"/>
      <c r="D2124" s="103" t="s"/>
      <c r="I2124" s="170" t="s"/>
      <c r="AA2124" s="157" t="s"/>
    </row>
    <row r="2125" spans="1:27">
      <c r="A2125" s="169" t="s"/>
      <c r="B2125" s="103" t="s"/>
      <c r="C2125" s="103" t="s"/>
      <c r="D2125" s="103" t="s"/>
      <c r="I2125" s="170" t="s"/>
      <c r="AA2125" s="157" t="s"/>
    </row>
    <row r="2126" spans="1:27">
      <c r="A2126" s="169" t="s"/>
      <c r="B2126" s="103" t="s"/>
      <c r="C2126" s="103" t="s"/>
      <c r="D2126" s="103" t="s"/>
      <c r="I2126" s="170" t="s"/>
      <c r="AA2126" s="157" t="s"/>
    </row>
    <row r="2127" spans="1:27">
      <c r="A2127" s="169" t="s"/>
      <c r="B2127" s="103" t="s"/>
      <c r="C2127" s="103" t="s"/>
      <c r="D2127" s="103" t="s"/>
      <c r="I2127" s="170" t="s"/>
      <c r="AA2127" s="157" t="s"/>
    </row>
    <row r="2128" spans="1:27">
      <c r="A2128" s="169" t="s"/>
      <c r="B2128" s="103" t="s"/>
      <c r="C2128" s="103" t="s"/>
      <c r="D2128" s="103" t="s"/>
      <c r="I2128" s="170" t="s"/>
      <c r="AA2128" s="157" t="s"/>
    </row>
    <row r="2129" spans="1:27">
      <c r="A2129" s="169" t="s"/>
      <c r="B2129" s="103" t="s"/>
      <c r="C2129" s="103" t="s"/>
      <c r="D2129" s="103" t="s"/>
      <c r="I2129" s="170" t="s"/>
      <c r="AA2129" s="157" t="s"/>
    </row>
    <row r="2130" spans="1:27">
      <c r="A2130" s="169" t="s"/>
      <c r="B2130" s="103" t="s"/>
      <c r="C2130" s="103" t="s"/>
      <c r="D2130" s="103" t="s"/>
      <c r="I2130" s="170" t="s"/>
      <c r="AA2130" s="157" t="s"/>
    </row>
    <row r="2131" spans="1:27">
      <c r="A2131" s="169" t="s"/>
      <c r="B2131" s="103" t="s"/>
      <c r="C2131" s="103" t="s"/>
      <c r="D2131" s="103" t="s"/>
      <c r="I2131" s="170" t="s"/>
      <c r="AA2131" s="157" t="s"/>
    </row>
    <row r="2132" spans="1:27">
      <c r="A2132" s="169" t="s"/>
      <c r="B2132" s="103" t="s"/>
      <c r="C2132" s="103" t="s"/>
      <c r="D2132" s="103" t="s"/>
      <c r="I2132" s="170" t="s"/>
      <c r="AA2132" s="157" t="s"/>
    </row>
    <row r="2133" spans="1:27">
      <c r="A2133" s="169" t="s"/>
      <c r="B2133" s="103" t="s"/>
      <c r="C2133" s="103" t="s"/>
      <c r="D2133" s="103" t="s"/>
      <c r="I2133" s="170" t="s"/>
      <c r="AA2133" s="157" t="s"/>
    </row>
    <row r="2134" spans="1:27">
      <c r="A2134" s="169" t="s"/>
      <c r="B2134" s="103" t="s"/>
      <c r="C2134" s="103" t="s"/>
      <c r="D2134" s="103" t="s"/>
      <c r="I2134" s="170" t="s"/>
      <c r="AA2134" s="157" t="s"/>
    </row>
    <row r="2135" spans="1:27">
      <c r="A2135" s="169" t="s"/>
      <c r="B2135" s="103" t="s"/>
      <c r="C2135" s="103" t="s"/>
      <c r="D2135" s="103" t="s"/>
      <c r="I2135" s="170" t="s"/>
      <c r="AA2135" s="157" t="s"/>
    </row>
    <row r="2136" spans="1:27">
      <c r="A2136" s="169" t="s"/>
      <c r="B2136" s="103" t="s"/>
      <c r="C2136" s="103" t="s"/>
      <c r="D2136" s="103" t="s"/>
      <c r="I2136" s="170" t="s"/>
      <c r="AA2136" s="157" t="s"/>
    </row>
    <row r="2137" spans="1:27">
      <c r="A2137" s="169" t="s"/>
      <c r="B2137" s="103" t="s"/>
      <c r="C2137" s="103" t="s"/>
      <c r="D2137" s="103" t="s"/>
      <c r="I2137" s="170" t="s"/>
      <c r="AA2137" s="157" t="s"/>
    </row>
    <row r="2138" spans="1:27">
      <c r="A2138" s="169" t="s"/>
      <c r="B2138" s="103" t="s"/>
      <c r="C2138" s="103" t="s"/>
      <c r="D2138" s="103" t="s"/>
      <c r="I2138" s="170" t="s"/>
      <c r="AA2138" s="157" t="s"/>
    </row>
    <row r="2139" spans="1:27">
      <c r="A2139" s="169" t="s"/>
      <c r="B2139" s="103" t="s"/>
      <c r="C2139" s="103" t="s"/>
      <c r="D2139" s="103" t="s"/>
      <c r="I2139" s="170" t="s"/>
      <c r="AA2139" s="157" t="s"/>
    </row>
    <row r="2140" spans="1:27">
      <c r="A2140" s="169" t="s"/>
      <c r="B2140" s="103" t="s"/>
      <c r="C2140" s="103" t="s"/>
      <c r="D2140" s="103" t="s"/>
      <c r="I2140" s="170" t="s"/>
      <c r="AA2140" s="157" t="s"/>
    </row>
    <row r="2141" spans="1:27">
      <c r="A2141" s="169" t="s"/>
      <c r="B2141" s="103" t="s"/>
      <c r="C2141" s="103" t="s"/>
      <c r="D2141" s="103" t="s"/>
      <c r="I2141" s="170" t="s"/>
      <c r="AA2141" s="157" t="s"/>
    </row>
    <row r="2142" spans="1:27">
      <c r="A2142" s="169" t="s"/>
      <c r="B2142" s="103" t="s"/>
      <c r="C2142" s="103" t="s"/>
      <c r="D2142" s="103" t="s"/>
      <c r="I2142" s="170" t="s"/>
      <c r="AA2142" s="157" t="s"/>
    </row>
    <row r="2143" spans="1:27">
      <c r="A2143" s="169" t="s"/>
      <c r="B2143" s="103" t="s"/>
      <c r="C2143" s="103" t="s"/>
      <c r="D2143" s="103" t="s"/>
      <c r="I2143" s="170" t="s"/>
      <c r="AA2143" s="157" t="s"/>
    </row>
    <row r="2144" spans="1:27">
      <c r="A2144" s="169" t="s"/>
      <c r="B2144" s="103" t="s"/>
      <c r="C2144" s="103" t="s"/>
      <c r="D2144" s="103" t="s"/>
      <c r="I2144" s="170" t="s"/>
      <c r="AA2144" s="157" t="s"/>
    </row>
    <row r="2145" spans="1:27">
      <c r="A2145" s="169" t="s"/>
      <c r="B2145" s="103" t="s"/>
      <c r="C2145" s="103" t="s"/>
      <c r="D2145" s="103" t="s"/>
      <c r="I2145" s="170" t="s"/>
      <c r="AA2145" s="157" t="s"/>
    </row>
    <row r="2146" spans="1:27">
      <c r="A2146" s="169" t="s"/>
      <c r="B2146" s="103" t="s"/>
      <c r="C2146" s="103" t="s"/>
      <c r="D2146" s="103" t="s"/>
      <c r="I2146" s="170" t="s"/>
      <c r="AA2146" s="157" t="s"/>
    </row>
    <row r="2147" spans="1:27">
      <c r="A2147" s="169" t="s"/>
      <c r="B2147" s="103" t="s"/>
      <c r="C2147" s="103" t="s"/>
      <c r="D2147" s="103" t="s"/>
      <c r="I2147" s="170" t="s"/>
      <c r="AA2147" s="157" t="s"/>
    </row>
    <row r="2148" spans="1:27">
      <c r="A2148" s="169" t="s"/>
      <c r="B2148" s="103" t="s"/>
      <c r="C2148" s="103" t="s"/>
      <c r="D2148" s="103" t="s"/>
      <c r="I2148" s="170" t="s"/>
      <c r="AA2148" s="157" t="s"/>
    </row>
    <row r="2149" spans="1:27">
      <c r="A2149" s="169" t="s"/>
      <c r="B2149" s="103" t="s"/>
      <c r="C2149" s="103" t="s"/>
      <c r="D2149" s="103" t="s"/>
      <c r="I2149" s="170" t="s"/>
      <c r="AA2149" s="157" t="s"/>
    </row>
    <row r="2150" spans="1:27">
      <c r="A2150" s="169" t="s"/>
      <c r="B2150" s="103" t="s"/>
      <c r="C2150" s="103" t="s"/>
      <c r="D2150" s="103" t="s"/>
      <c r="I2150" s="170" t="s"/>
      <c r="AA2150" s="157" t="s"/>
    </row>
    <row r="2151" spans="1:27">
      <c r="A2151" s="169" t="s"/>
      <c r="B2151" s="103" t="s"/>
      <c r="C2151" s="103" t="s"/>
      <c r="D2151" s="103" t="s"/>
      <c r="I2151" s="170" t="s"/>
      <c r="AA2151" s="157" t="s"/>
    </row>
    <row r="2152" spans="1:27">
      <c r="A2152" s="169" t="s"/>
      <c r="B2152" s="103" t="s"/>
      <c r="C2152" s="103" t="s"/>
      <c r="D2152" s="103" t="s"/>
      <c r="I2152" s="170" t="s"/>
      <c r="AA2152" s="157" t="s"/>
    </row>
    <row r="2153" spans="1:27">
      <c r="A2153" s="169" t="s"/>
      <c r="B2153" s="103" t="s"/>
      <c r="C2153" s="103" t="s"/>
      <c r="D2153" s="103" t="s"/>
      <c r="I2153" s="170" t="s"/>
      <c r="AA2153" s="157" t="s"/>
    </row>
    <row r="2154" spans="1:27">
      <c r="A2154" s="169" t="s"/>
      <c r="B2154" s="103" t="s"/>
      <c r="C2154" s="103" t="s"/>
      <c r="D2154" s="103" t="s"/>
      <c r="I2154" s="170" t="s"/>
      <c r="AA2154" s="157" t="s"/>
    </row>
    <row r="2155" spans="1:27">
      <c r="A2155" s="169" t="s"/>
      <c r="B2155" s="103" t="s"/>
      <c r="C2155" s="103" t="s"/>
      <c r="D2155" s="103" t="s"/>
      <c r="I2155" s="170" t="s"/>
      <c r="AA2155" s="157" t="s"/>
    </row>
    <row r="2156" spans="1:27">
      <c r="A2156" s="169" t="s"/>
      <c r="B2156" s="103" t="s"/>
      <c r="C2156" s="103" t="s"/>
      <c r="D2156" s="103" t="s"/>
      <c r="I2156" s="170" t="s"/>
      <c r="AA2156" s="157" t="s"/>
    </row>
    <row r="2157" spans="1:27">
      <c r="A2157" s="169" t="s"/>
      <c r="B2157" s="103" t="s"/>
      <c r="C2157" s="103" t="s"/>
      <c r="D2157" s="103" t="s"/>
      <c r="I2157" s="170" t="s"/>
      <c r="AA2157" s="157" t="s"/>
    </row>
    <row r="2158" spans="1:27">
      <c r="A2158" s="169" t="s"/>
      <c r="B2158" s="103" t="s"/>
      <c r="C2158" s="103" t="s"/>
      <c r="D2158" s="103" t="s"/>
      <c r="I2158" s="170" t="s"/>
      <c r="AA2158" s="157" t="s"/>
    </row>
    <row r="2159" spans="1:27">
      <c r="A2159" s="169" t="s"/>
      <c r="B2159" s="103" t="s"/>
      <c r="C2159" s="103" t="s"/>
      <c r="D2159" s="103" t="s"/>
      <c r="I2159" s="170" t="s"/>
      <c r="AA2159" s="157" t="s"/>
    </row>
    <row r="2160" spans="1:27">
      <c r="A2160" s="169" t="s"/>
      <c r="B2160" s="103" t="s"/>
      <c r="C2160" s="103" t="s"/>
      <c r="D2160" s="103" t="s"/>
      <c r="I2160" s="170" t="s"/>
      <c r="AA2160" s="157" t="s"/>
    </row>
    <row r="2161" spans="1:27">
      <c r="A2161" s="169" t="s"/>
      <c r="B2161" s="103" t="s"/>
      <c r="C2161" s="103" t="s"/>
      <c r="D2161" s="103" t="s"/>
      <c r="I2161" s="170" t="s"/>
      <c r="AA2161" s="157" t="s"/>
    </row>
    <row r="2162" spans="1:27">
      <c r="A2162" s="169" t="s"/>
      <c r="B2162" s="103" t="s"/>
      <c r="C2162" s="103" t="s"/>
      <c r="D2162" s="103" t="s"/>
      <c r="I2162" s="170" t="s"/>
      <c r="AA2162" s="157" t="s"/>
    </row>
    <row r="2163" spans="1:27">
      <c r="A2163" s="169" t="s"/>
      <c r="B2163" s="103" t="s"/>
      <c r="C2163" s="103" t="s"/>
      <c r="D2163" s="103" t="s"/>
      <c r="I2163" s="170" t="s"/>
      <c r="AA2163" s="157" t="s"/>
    </row>
    <row r="2164" spans="1:27">
      <c r="A2164" s="169" t="s"/>
      <c r="B2164" s="103" t="s"/>
      <c r="C2164" s="103" t="s"/>
      <c r="D2164" s="103" t="s"/>
      <c r="I2164" s="170" t="s"/>
      <c r="AA2164" s="157" t="s"/>
    </row>
    <row r="2165" spans="1:27">
      <c r="A2165" s="169" t="s"/>
      <c r="B2165" s="103" t="s"/>
      <c r="C2165" s="103" t="s"/>
      <c r="D2165" s="103" t="s"/>
      <c r="I2165" s="170" t="s"/>
      <c r="AA2165" s="157" t="s"/>
    </row>
    <row r="2166" spans="1:27">
      <c r="A2166" s="169" t="s"/>
      <c r="B2166" s="103" t="s"/>
      <c r="C2166" s="103" t="s"/>
      <c r="D2166" s="103" t="s"/>
      <c r="I2166" s="170" t="s"/>
      <c r="AA2166" s="157" t="s"/>
    </row>
    <row r="2167" spans="1:27">
      <c r="A2167" s="169" t="s"/>
      <c r="B2167" s="103" t="s"/>
      <c r="C2167" s="103" t="s"/>
      <c r="D2167" s="103" t="s"/>
      <c r="I2167" s="170" t="s"/>
      <c r="AA2167" s="157" t="s"/>
    </row>
    <row r="2168" spans="1:27">
      <c r="A2168" s="169" t="s"/>
      <c r="B2168" s="103" t="s"/>
      <c r="C2168" s="103" t="s"/>
      <c r="D2168" s="103" t="s"/>
      <c r="I2168" s="170" t="s"/>
      <c r="AA2168" s="157" t="s"/>
    </row>
    <row r="2169" spans="1:27">
      <c r="A2169" s="169" t="s"/>
      <c r="B2169" s="103" t="s"/>
      <c r="C2169" s="103" t="s"/>
      <c r="D2169" s="103" t="s"/>
      <c r="I2169" s="170" t="s"/>
      <c r="AA2169" s="157" t="s"/>
    </row>
    <row r="2170" spans="1:27">
      <c r="A2170" s="169" t="s"/>
      <c r="B2170" s="103" t="s"/>
      <c r="C2170" s="103" t="s"/>
      <c r="D2170" s="103" t="s"/>
      <c r="I2170" s="170" t="s"/>
      <c r="AA2170" s="157" t="s"/>
    </row>
    <row r="2171" spans="1:27">
      <c r="A2171" s="169" t="s"/>
      <c r="B2171" s="103" t="s"/>
      <c r="C2171" s="103" t="s"/>
      <c r="D2171" s="103" t="s"/>
      <c r="I2171" s="170" t="s"/>
      <c r="AA2171" s="157" t="s"/>
    </row>
    <row r="2172" spans="1:27">
      <c r="A2172" s="169" t="s"/>
      <c r="B2172" s="103" t="s"/>
      <c r="C2172" s="103" t="s"/>
      <c r="D2172" s="103" t="s"/>
      <c r="I2172" s="170" t="s"/>
      <c r="AA2172" s="157" t="s"/>
    </row>
    <row r="2173" spans="1:27">
      <c r="A2173" s="169" t="s"/>
      <c r="B2173" s="103" t="s"/>
      <c r="C2173" s="103" t="s"/>
      <c r="D2173" s="103" t="s"/>
      <c r="I2173" s="170" t="s"/>
      <c r="AA2173" s="157" t="s"/>
    </row>
    <row r="2174" spans="1:27">
      <c r="A2174" s="169" t="s"/>
      <c r="B2174" s="103" t="s"/>
      <c r="C2174" s="103" t="s"/>
      <c r="D2174" s="103" t="s"/>
      <c r="I2174" s="170" t="s"/>
      <c r="AA2174" s="157" t="s"/>
    </row>
    <row r="2175" spans="1:27">
      <c r="A2175" s="169" t="s"/>
      <c r="B2175" s="103" t="s"/>
      <c r="C2175" s="103" t="s"/>
      <c r="D2175" s="103" t="s"/>
      <c r="I2175" s="170" t="s"/>
      <c r="AA2175" s="157" t="s"/>
    </row>
    <row r="2176" spans="1:27">
      <c r="A2176" s="169" t="s"/>
      <c r="B2176" s="103" t="s"/>
      <c r="C2176" s="103" t="s"/>
      <c r="D2176" s="103" t="s"/>
      <c r="I2176" s="170" t="s"/>
      <c r="AA2176" s="157" t="s"/>
    </row>
    <row r="2177" spans="1:27">
      <c r="A2177" s="169" t="s"/>
      <c r="B2177" s="103" t="s"/>
      <c r="C2177" s="103" t="s"/>
      <c r="D2177" s="103" t="s"/>
      <c r="I2177" s="170" t="s"/>
      <c r="AA2177" s="157" t="s"/>
    </row>
    <row r="2178" spans="1:27">
      <c r="A2178" s="169" t="s"/>
      <c r="B2178" s="103" t="s"/>
      <c r="C2178" s="103" t="s"/>
      <c r="D2178" s="103" t="s"/>
      <c r="I2178" s="170" t="s"/>
      <c r="AA2178" s="157" t="s"/>
    </row>
    <row r="2179" spans="1:27">
      <c r="A2179" s="169" t="s"/>
      <c r="B2179" s="103" t="s"/>
      <c r="C2179" s="103" t="s"/>
      <c r="D2179" s="103" t="s"/>
      <c r="I2179" s="170" t="s"/>
      <c r="AA2179" s="157" t="s"/>
    </row>
    <row r="2180" spans="1:27">
      <c r="A2180" s="169" t="s"/>
      <c r="B2180" s="103" t="s"/>
      <c r="C2180" s="103" t="s"/>
      <c r="D2180" s="103" t="s"/>
      <c r="I2180" s="170" t="s"/>
      <c r="AA2180" s="157" t="s"/>
    </row>
    <row r="2181" spans="1:27">
      <c r="A2181" s="169" t="s"/>
      <c r="B2181" s="103" t="s"/>
      <c r="C2181" s="103" t="s"/>
      <c r="D2181" s="103" t="s"/>
      <c r="I2181" s="170" t="s"/>
      <c r="AA2181" s="157" t="s"/>
    </row>
    <row r="2182" spans="1:27">
      <c r="A2182" s="169" t="s"/>
      <c r="B2182" s="103" t="s"/>
      <c r="C2182" s="103" t="s"/>
      <c r="D2182" s="103" t="s"/>
      <c r="I2182" s="170" t="s"/>
      <c r="AA2182" s="157" t="s"/>
    </row>
    <row r="2183" spans="1:27">
      <c r="A2183" s="169" t="s"/>
      <c r="B2183" s="103" t="s"/>
      <c r="C2183" s="103" t="s"/>
      <c r="D2183" s="103" t="s"/>
      <c r="I2183" s="170" t="s"/>
      <c r="AA2183" s="157" t="s"/>
    </row>
    <row r="2184" spans="1:27">
      <c r="A2184" s="169" t="s"/>
      <c r="B2184" s="103" t="s"/>
      <c r="C2184" s="103" t="s"/>
      <c r="D2184" s="103" t="s"/>
      <c r="I2184" s="170" t="s"/>
      <c r="AA2184" s="157" t="s"/>
    </row>
    <row r="2185" spans="1:27">
      <c r="A2185" s="169" t="s"/>
      <c r="B2185" s="103" t="s"/>
      <c r="C2185" s="103" t="s"/>
      <c r="D2185" s="103" t="s"/>
      <c r="I2185" s="170" t="s"/>
      <c r="AA2185" s="157" t="s"/>
    </row>
    <row r="2186" spans="1:27">
      <c r="A2186" s="169" t="s"/>
      <c r="B2186" s="103" t="s"/>
      <c r="C2186" s="103" t="s"/>
      <c r="D2186" s="103" t="s"/>
      <c r="I2186" s="170" t="s"/>
      <c r="AA2186" s="157" t="s"/>
    </row>
    <row r="2187" spans="1:27">
      <c r="A2187" s="169" t="s"/>
      <c r="B2187" s="103" t="s"/>
      <c r="C2187" s="103" t="s"/>
      <c r="D2187" s="103" t="s"/>
      <c r="I2187" s="170" t="s"/>
      <c r="AA2187" s="157" t="s"/>
    </row>
    <row r="2188" spans="1:27">
      <c r="A2188" s="169" t="s"/>
      <c r="B2188" s="103" t="s"/>
      <c r="C2188" s="103" t="s"/>
      <c r="D2188" s="103" t="s"/>
      <c r="I2188" s="170" t="s"/>
      <c r="AA2188" s="157" t="s"/>
    </row>
    <row r="2189" spans="1:27">
      <c r="A2189" s="169" t="s"/>
      <c r="B2189" s="103" t="s"/>
      <c r="C2189" s="103" t="s"/>
      <c r="D2189" s="103" t="s"/>
      <c r="I2189" s="170" t="s"/>
      <c r="AA2189" s="157" t="s"/>
    </row>
    <row r="2190" spans="1:27">
      <c r="A2190" s="169" t="s"/>
      <c r="B2190" s="103" t="s"/>
      <c r="C2190" s="103" t="s"/>
      <c r="D2190" s="103" t="s"/>
      <c r="I2190" s="170" t="s"/>
      <c r="AA2190" s="157" t="s"/>
    </row>
    <row r="2191" spans="1:27">
      <c r="A2191" s="169" t="s"/>
      <c r="B2191" s="103" t="s"/>
      <c r="C2191" s="103" t="s"/>
      <c r="D2191" s="103" t="s"/>
      <c r="I2191" s="170" t="s"/>
      <c r="AA2191" s="157" t="s"/>
    </row>
    <row r="2192" spans="27:27">
      <c r="AA2192" s="157" t="s"/>
    </row>
    <row r="2193" spans="27:27">
      <c r="AA2193" s="157" t="s"/>
    </row>
    <row r="2194" spans="27:27">
      <c r="AA2194" s="157" t="s"/>
    </row>
    <row r="2195" spans="27:27">
      <c r="AA2195" s="157" t="s"/>
    </row>
    <row r="2196" spans="27:27">
      <c r="AA2196" s="157" t="s"/>
    </row>
    <row r="2197" spans="27:27">
      <c r="AA2197" s="157" t="s"/>
    </row>
    <row r="2198" spans="1:27">
      <c r="A2198" s="169" t="s"/>
      <c r="B2198" s="103" t="s"/>
      <c r="C2198" s="103" t="s"/>
      <c r="D2198" s="103" t="s"/>
      <c r="I2198" s="170" t="s"/>
      <c r="AA2198" s="157" t="s"/>
    </row>
    <row r="2199" spans="1:27">
      <c r="A2199" s="169" t="s"/>
      <c r="B2199" s="103" t="s"/>
      <c r="C2199" s="103" t="s"/>
      <c r="D2199" s="103" t="s"/>
      <c r="I2199" s="170" t="s"/>
      <c r="AA2199" s="157" t="s"/>
    </row>
    <row r="2200" spans="1:27">
      <c r="A2200" s="169" t="s"/>
      <c r="B2200" s="103" t="s"/>
      <c r="C2200" s="103" t="s"/>
      <c r="D2200" s="103" t="s"/>
      <c r="I2200" s="170" t="s"/>
      <c r="AA2200" s="157" t="s"/>
    </row>
    <row r="2201" spans="1:27">
      <c r="A2201" s="169" t="s"/>
      <c r="B2201" s="103" t="s"/>
      <c r="C2201" s="103" t="s"/>
      <c r="D2201" s="103" t="s"/>
      <c r="I2201" s="170" t="s"/>
      <c r="AA2201" s="157" t="s"/>
    </row>
    <row r="2202" spans="1:27">
      <c r="A2202" s="169" t="s"/>
      <c r="B2202" s="103" t="s"/>
      <c r="C2202" s="103" t="s"/>
      <c r="D2202" s="103" t="s"/>
      <c r="I2202" s="170" t="s"/>
      <c r="AA2202" s="157" t="s"/>
    </row>
    <row r="2203" spans="1:27">
      <c r="A2203" s="169" t="s"/>
      <c r="B2203" s="103" t="s"/>
      <c r="C2203" s="103" t="s"/>
      <c r="D2203" s="103" t="s"/>
      <c r="I2203" s="170" t="s"/>
      <c r="AA2203" s="157" t="s"/>
    </row>
    <row r="2204" spans="27:27">
      <c r="AA2204" s="157" t="s"/>
    </row>
    <row r="2205" spans="27:27">
      <c r="AA2205" s="157" t="s"/>
    </row>
    <row r="2206" spans="27:27">
      <c r="AA2206" s="157" t="s"/>
    </row>
    <row r="2207" spans="27:27">
      <c r="AA2207" s="157" t="s"/>
    </row>
    <row r="2208" spans="27:27">
      <c r="AA2208" s="157" t="s"/>
    </row>
    <row r="2209" spans="27:27">
      <c r="AA2209" s="157" t="s"/>
    </row>
    <row r="2210" spans="27:27">
      <c r="AA2210" s="157" t="s"/>
    </row>
    <row r="2211" spans="27:27">
      <c r="AA2211" s="157" t="s"/>
    </row>
    <row r="2212" spans="27:27">
      <c r="AA2212" s="157" t="s"/>
    </row>
    <row r="2213" spans="27:27">
      <c r="AA2213" s="157" t="s"/>
    </row>
    <row r="2214" spans="1:27">
      <c r="A2214" s="169" t="s"/>
      <c r="B2214" s="103" t="s"/>
      <c r="C2214" s="103" t="s"/>
      <c r="D2214" s="103" t="s"/>
      <c r="I2214" s="4" t="s"/>
      <c r="AA2214" s="157" t="s"/>
    </row>
    <row r="2215" spans="27:27">
      <c r="AA2215" s="157" t="s"/>
    </row>
    <row r="2216" spans="27:27">
      <c r="AA2216" s="157" t="s"/>
    </row>
    <row r="2217" spans="27:27">
      <c r="AA2217" s="157" t="s"/>
    </row>
    <row r="2218" spans="27:27">
      <c r="AA2218" s="157" t="s"/>
    </row>
    <row r="2219" spans="27:27">
      <c r="AA2219" s="157" t="s"/>
    </row>
    <row r="2220" spans="27:27">
      <c r="AA2220" s="157" t="s"/>
    </row>
    <row r="2221" spans="27:27">
      <c r="AA2221" s="157" t="s"/>
    </row>
    <row r="2222" spans="27:27">
      <c r="AA2222" s="157" t="s"/>
    </row>
    <row r="2223" spans="27:27">
      <c r="AA2223" s="157" t="s"/>
    </row>
    <row r="2224" spans="27:27">
      <c r="AA2224" s="157" t="s"/>
    </row>
    <row r="2225" spans="27:27">
      <c r="AA2225" s="157" t="s"/>
    </row>
    <row r="2226" spans="27:27">
      <c r="AA2226" s="157" t="s"/>
    </row>
    <row r="2227" spans="27:27">
      <c r="AA2227" s="157" t="s"/>
    </row>
    <row r="2228" spans="27:27">
      <c r="AA2228" s="157" t="s"/>
    </row>
    <row r="2229" spans="27:27">
      <c r="AA2229" s="157" t="s"/>
    </row>
    <row r="2230" spans="27:27">
      <c r="AA2230" s="157" t="s"/>
    </row>
    <row r="2231" spans="27:27">
      <c r="AA2231" s="157" t="s"/>
    </row>
    <row r="2232" spans="27:27">
      <c r="AA2232" s="157" t="s"/>
    </row>
    <row r="2233" spans="27:27">
      <c r="AA2233" s="157" t="s"/>
    </row>
    <row r="2234" spans="27:27">
      <c r="AA2234" s="157" t="s"/>
    </row>
    <row r="2235" spans="27:27">
      <c r="AA2235" s="157" t="s"/>
    </row>
    <row r="2236" spans="27:27">
      <c r="AA2236" s="157" t="s"/>
    </row>
    <row r="2237" spans="27:27">
      <c r="AA2237" s="157" t="s"/>
    </row>
    <row r="2238" spans="27:27">
      <c r="AA2238" s="157" t="s"/>
    </row>
    <row r="2239" spans="27:27">
      <c r="AA2239" s="157" t="s"/>
    </row>
    <row r="2240" spans="27:27">
      <c r="AA2240" s="157" t="s"/>
    </row>
    <row r="2241" spans="27:27">
      <c r="AA2241" s="157" t="s"/>
    </row>
    <row r="2242" spans="27:27">
      <c r="AA2242" s="157" t="s"/>
    </row>
    <row r="2243" spans="27:27">
      <c r="AA2243" s="157" t="s"/>
    </row>
    <row r="2244" spans="27:27">
      <c r="AA2244" s="157" t="s"/>
    </row>
    <row r="2245" spans="27:27">
      <c r="AA2245" s="157" t="s"/>
    </row>
    <row r="2246" spans="27:27">
      <c r="AA2246" s="157" t="s"/>
    </row>
    <row r="2247" spans="27:27">
      <c r="AA2247" s="157" t="s"/>
    </row>
    <row r="2248" spans="27:27">
      <c r="AA2248" s="157" t="s"/>
    </row>
    <row r="2249" spans="27:27">
      <c r="AA2249" s="157" t="s"/>
    </row>
    <row r="2250" spans="27:27">
      <c r="AA2250" s="157" t="s"/>
    </row>
    <row r="2251" spans="27:27">
      <c r="AA2251" s="157" t="s"/>
    </row>
    <row r="2252" spans="27:27">
      <c r="AA2252" s="157" t="s"/>
    </row>
    <row r="2253" spans="27:27">
      <c r="AA2253" s="157" t="s"/>
    </row>
    <row r="2254" spans="27:27">
      <c r="AA2254" s="157" t="s"/>
    </row>
    <row r="2255" spans="27:27">
      <c r="AA2255" s="157" t="s"/>
    </row>
    <row r="2256" spans="27:27">
      <c r="AA2256" s="157" t="s"/>
    </row>
    <row r="2257" spans="27:27">
      <c r="AA2257" s="157" t="s"/>
    </row>
    <row r="2258" spans="27:27">
      <c r="AA2258" s="157" t="s"/>
    </row>
    <row r="2259" spans="27:27">
      <c r="AA2259" s="157" t="s"/>
    </row>
    <row r="2260" spans="27:27">
      <c r="AA2260" s="157" t="s"/>
    </row>
    <row r="2261" spans="27:27">
      <c r="AA2261" s="157" t="s"/>
    </row>
    <row r="2262" spans="27:27">
      <c r="AA2262" s="157" t="s"/>
    </row>
    <row r="2263" spans="27:27">
      <c r="AA2263" s="157" t="s"/>
    </row>
    <row r="2264" spans="27:27">
      <c r="AA2264" s="157" t="s"/>
    </row>
    <row r="2265" spans="27:27">
      <c r="AA2265" s="157" t="s"/>
    </row>
    <row r="2266" spans="27:27">
      <c r="AA2266" s="157" t="s"/>
    </row>
    <row r="2267" spans="27:27">
      <c r="AA2267" s="157" t="s"/>
    </row>
    <row r="2268" spans="27:27">
      <c r="AA2268" s="157" t="s"/>
    </row>
    <row r="2269" spans="27:27">
      <c r="AA2269" s="157" t="s"/>
    </row>
    <row r="2270" spans="27:27">
      <c r="AA2270" s="157" t="s"/>
    </row>
    <row r="2271" spans="27:27">
      <c r="AA2271" s="157" t="s"/>
    </row>
    <row r="2272" spans="27:27">
      <c r="AA2272" s="157" t="s"/>
    </row>
    <row r="2273" spans="27:27">
      <c r="AA2273" s="157" t="s"/>
    </row>
    <row r="2274" spans="27:27">
      <c r="AA2274" s="157" t="s"/>
    </row>
    <row r="2275" spans="27:27">
      <c r="AA2275" s="157" t="s"/>
    </row>
    <row r="2276" spans="27:27">
      <c r="AA2276" s="157" t="s"/>
    </row>
    <row r="2277" spans="27:27">
      <c r="AA2277" s="157" t="s"/>
    </row>
    <row r="2278" spans="27:27">
      <c r="AA2278" s="157" t="s"/>
    </row>
    <row r="2279" spans="27:27">
      <c r="AA2279" s="157" t="s"/>
    </row>
    <row r="2280" spans="27:27">
      <c r="AA2280" s="157" t="s"/>
    </row>
    <row r="2281" spans="27:27">
      <c r="AA2281" s="157" t="s"/>
    </row>
    <row r="2282" spans="27:27">
      <c r="AA2282" s="157" t="s"/>
    </row>
    <row r="2283" spans="27:27">
      <c r="AA2283" s="157" t="s"/>
    </row>
    <row r="2284" spans="27:27">
      <c r="AA2284" s="157" t="s"/>
    </row>
    <row r="2285" spans="27:27">
      <c r="AA2285" s="157" t="s"/>
    </row>
    <row r="2286" spans="27:27">
      <c r="AA2286" s="157" t="s"/>
    </row>
    <row r="2287" spans="27:27">
      <c r="AA2287" s="157" t="s"/>
    </row>
    <row r="2288" spans="27:27">
      <c r="AA2288" s="157" t="s"/>
    </row>
    <row r="2289" spans="27:27">
      <c r="AA2289" s="157" t="s"/>
    </row>
    <row r="2290" spans="27:27">
      <c r="AA2290" s="157" t="s"/>
    </row>
    <row r="2291" spans="27:27">
      <c r="AA2291" s="157" t="s"/>
    </row>
    <row r="2292" spans="27:27">
      <c r="AA2292" s="157" t="s"/>
    </row>
    <row r="2293" spans="27:27">
      <c r="AA2293" s="157" t="s"/>
    </row>
    <row r="2294" spans="27:27">
      <c r="AA2294" s="157" t="s"/>
    </row>
    <row r="2295" spans="27:27">
      <c r="AA2295" s="157" t="s"/>
    </row>
    <row r="2296" spans="27:27">
      <c r="AA2296" s="157" t="s"/>
    </row>
    <row r="2297" spans="27:27">
      <c r="AA2297" s="157" t="s"/>
    </row>
    <row r="2298" spans="27:27">
      <c r="AA2298" s="157" t="s"/>
    </row>
    <row r="2299" spans="27:27">
      <c r="AA2299" s="157" t="s"/>
    </row>
    <row r="2300" spans="27:27">
      <c r="AA2300" s="157" t="s"/>
    </row>
    <row r="2301" spans="27:27">
      <c r="AA2301" s="157" t="s"/>
    </row>
    <row r="2302" spans="27:27">
      <c r="AA2302" s="157" t="s"/>
    </row>
    <row r="2303" spans="27:27">
      <c r="AA2303" s="157" t="s"/>
    </row>
    <row r="2304" spans="27:27">
      <c r="AA2304" s="157" t="s"/>
    </row>
    <row r="2305" spans="27:27">
      <c r="AA2305" s="157" t="s"/>
    </row>
    <row r="2306" spans="27:27">
      <c r="AA2306" s="157" t="s"/>
    </row>
    <row r="2307" spans="27:27">
      <c r="AA2307" s="157" t="s"/>
    </row>
    <row r="2308" spans="27:27">
      <c r="AA2308" s="157" t="s"/>
    </row>
    <row r="2309" spans="27:27">
      <c r="AA2309" s="157" t="s"/>
    </row>
    <row r="2310" spans="27:27">
      <c r="AA2310" s="157" t="s"/>
    </row>
    <row r="2311" spans="27:27">
      <c r="AA2311" s="157" t="s"/>
    </row>
    <row r="2312" spans="27:27">
      <c r="AA2312" s="157" t="s"/>
    </row>
    <row r="2313" spans="27:27">
      <c r="AA2313" s="157" t="s"/>
    </row>
    <row r="2314" spans="27:27">
      <c r="AA2314" s="157" t="s"/>
    </row>
    <row r="2315" spans="27:27">
      <c r="AA2315" s="157" t="s"/>
    </row>
    <row r="2316" spans="27:27">
      <c r="AA2316" s="157" t="s"/>
    </row>
    <row r="2317" spans="27:27">
      <c r="AA2317" s="157" t="s"/>
    </row>
    <row r="2318" spans="27:27">
      <c r="AA2318" s="157" t="s"/>
    </row>
    <row r="2319" spans="27:27">
      <c r="AA2319" s="157" t="s"/>
    </row>
    <row r="2320" spans="27:27">
      <c r="AA2320" s="157" t="s"/>
    </row>
    <row r="2321" spans="27:27">
      <c r="AA2321" s="157" t="s"/>
    </row>
    <row r="2322" spans="27:27">
      <c r="AA2322" s="157" t="s"/>
    </row>
    <row r="2323" spans="27:27">
      <c r="AA2323" s="157" t="s"/>
    </row>
    <row r="2324" spans="27:27">
      <c r="AA2324" s="157" t="s"/>
    </row>
    <row r="2325" spans="27:27">
      <c r="AA2325" s="157" t="s"/>
    </row>
    <row r="2326" spans="27:27">
      <c r="AA2326" s="157" t="s"/>
    </row>
    <row r="2327" spans="27:27">
      <c r="AA2327" s="157" t="s"/>
    </row>
    <row r="2328" spans="27:27">
      <c r="AA2328" s="157" t="s"/>
    </row>
    <row r="2329" spans="27:27">
      <c r="AA2329" s="157" t="s"/>
    </row>
    <row r="2330" spans="27:27">
      <c r="AA2330" s="157" t="s"/>
    </row>
    <row r="2331" spans="27:27">
      <c r="AA2331" s="157" t="s"/>
    </row>
    <row r="2332" spans="27:27">
      <c r="AA2332" s="157" t="s"/>
    </row>
    <row r="2333" spans="27:27">
      <c r="AA2333" s="157" t="s"/>
    </row>
    <row r="2334" spans="27:27">
      <c r="AA2334" s="157" t="s"/>
    </row>
    <row r="2335" spans="27:27">
      <c r="AA2335" s="157" t="s"/>
    </row>
    <row r="2336" spans="27:27">
      <c r="AA2336" s="157" t="s"/>
    </row>
    <row r="2337" spans="27:27">
      <c r="AA2337" s="157" t="s"/>
    </row>
    <row r="2338" spans="27:27">
      <c r="AA2338" s="157" t="s"/>
    </row>
    <row r="2339" spans="27:27">
      <c r="AA2339" s="157" t="s"/>
    </row>
    <row r="2340" spans="27:27">
      <c r="AA2340" s="157" t="s"/>
    </row>
    <row r="2341" spans="27:27">
      <c r="AA2341" s="157" t="s"/>
    </row>
    <row r="2342" spans="27:27">
      <c r="AA2342" s="157" t="s"/>
    </row>
    <row r="2343" spans="27:27">
      <c r="AA2343" s="157" t="s"/>
    </row>
    <row r="2344" spans="27:27">
      <c r="AA2344" s="157" t="s"/>
    </row>
    <row r="2345" spans="27:27">
      <c r="AA2345" s="157" t="s"/>
    </row>
    <row r="2346" spans="27:27">
      <c r="AA2346" s="157" t="s"/>
    </row>
    <row r="2347" spans="27:27">
      <c r="AA2347" s="157" t="s"/>
    </row>
    <row r="2348" spans="27:27">
      <c r="AA2348" s="157" t="s"/>
    </row>
    <row r="2349" spans="27:27">
      <c r="AA2349" s="157" t="s"/>
    </row>
    <row r="2350" spans="27:27">
      <c r="AA2350" s="157" t="s"/>
    </row>
    <row r="2351" spans="27:27">
      <c r="AA2351" s="157" t="s"/>
    </row>
    <row r="2352" spans="27:27">
      <c r="AA2352" s="157" t="s"/>
    </row>
    <row r="2353" spans="27:27">
      <c r="AA2353" s="157" t="s"/>
    </row>
    <row r="2354" spans="27:27">
      <c r="AA2354" s="157" t="s"/>
    </row>
    <row r="2355" spans="27:27">
      <c r="AA2355" s="157" t="s"/>
    </row>
  </sheetData>
  <pageMargins left="0.7" right="0.7" top="0.75" bottom="0.75" header="0.3" footer="0.3"/>
  <pageSetup paperSize="9" orientation="portrait"/>
  <headerFooter/>
  <legacyDrawing r:id="rId0"/>
</worksheet>
</file>

<file path=xl/worksheets/sheet3.xml><?xml version="1.0" encoding="utf-8"?>
<worksheet xmlns="http://schemas.openxmlformats.org/spreadsheetml/2006/main">
  <sheetPr/>
  <dimension ref="Q2169"/>
  <sheetViews>
    <sheetView showGridLines="true" tabSelected="false" workbookViewId="0">
      <pane ySplit="1" topLeftCell="A2" activePane="bottomLeft" state="frozen"/>
    </sheetView>
  </sheetViews>
  <sheetFormatPr defaultColWidth="9" defaultRowHeight="13.5"/>
  <cols>
    <col min="1" max="1" width="11.5"/>
    <col min="2" max="2" width="8.46094" customWidth="true"/>
    <col min="3" max="3" width="37.3008" customWidth="true"/>
    <col min="4" max="4" width="29.625" customWidth="true"/>
    <col min="5" max="5" width="21.0898" customWidth="true"/>
    <col min="6" max="6" width="11.2812" customWidth="true"/>
    <col min="7" max="7" width="7.97266" customWidth="true"/>
    <col min="8" max="8" width="10.1797" customWidth="true"/>
    <col min="9" max="9" width="52.7422" customWidth="true"/>
    <col min="10" max="10" width="8.70312" customWidth="true"/>
    <col min="11" max="11" width="6.99219" customWidth="true"/>
    <col min="12" max="12" width="8.21094" customWidth="true"/>
    <col min="13" max="13" width="10.6016" customWidth="true"/>
    <col min="14" max="14" width="17" customWidth="true"/>
    <col min="15" max="15" width="12.0195" customWidth="true"/>
    <col min="16" max="16" width="11.5"/>
    <col min="17" max="17" width="9.5625" customWidth="true"/>
    <col min="18" max="18" width="5.76172" customWidth="true"/>
    <col min="19" max="19" width="6.5" customWidth="true"/>
    <col min="20" max="20" width="8.21094" customWidth="true"/>
  </cols>
  <sheetData>
    <row r="1" spans="1:26" s="575" customFormat="true">
      <c r="A1" s="171" t="s">
        <v>400</v>
      </c>
      <c r="B1" s="172" t="s">
        <v>18</v>
      </c>
      <c r="C1" s="173" t="s">
        <v>23</v>
      </c>
      <c r="D1" s="174" t="s">
        <v>401</v>
      </c>
      <c r="E1" s="175" t="s">
        <v>402</v>
      </c>
      <c r="F1" s="176" t="s">
        <v>403</v>
      </c>
      <c r="G1" s="177" t="s">
        <v>404</v>
      </c>
      <c r="H1" s="177" t="s">
        <v>405</v>
      </c>
      <c r="I1" s="178" t="s">
        <v>406</v>
      </c>
      <c r="J1" s="179" t="s">
        <v>407</v>
      </c>
      <c r="K1" s="180" t="s">
        <v>3765</v>
      </c>
      <c r="L1" s="181" t="s">
        <v>408</v>
      </c>
      <c r="M1" s="182" t="s">
        <v>409</v>
      </c>
      <c r="N1" s="175" t="s">
        <v>410</v>
      </c>
      <c r="O1" s="183" t="s">
        <v>411</v>
      </c>
      <c r="P1" s="180" t="s">
        <v>3766</v>
      </c>
      <c r="Q1" s="180" t="s">
        <v>412</v>
      </c>
      <c r="R1" s="180" t="s">
        <v>413</v>
      </c>
      <c r="S1" s="180" t="s">
        <v>414</v>
      </c>
      <c r="T1" s="180" t="s">
        <v>415</v>
      </c>
      <c r="U1" s="184" t="s">
        <v>416</v>
      </c>
      <c r="V1" s="185" t="s">
        <v>417</v>
      </c>
      <c r="W1" s="184" t="s">
        <v>418</v>
      </c>
      <c r="X1" s="186" t="s">
        <v>3767</v>
      </c>
      <c r="Y1" s="186" t="s">
        <v>3768</v>
      </c>
      <c r="Z1" s="187" t="s">
        <v>419</v>
      </c>
    </row>
    <row r="2" spans="1:26" s="190" customFormat="true">
      <c r="A2" s="188">
        <v>45670</v>
      </c>
      <c r="B2" s="71">
        <f>=TODAY()-A2+1</f>
        <v>560</v>
      </c>
      <c r="C2" s="71" t="s">
        <v>42</v>
      </c>
      <c r="D2" s="71" t="s">
        <v>41</v>
      </c>
      <c r="E2" s="112" t="s"/>
      <c r="F2" s="112" t="s">
        <v>420</v>
      </c>
      <c r="G2" s="112" t="s">
        <v>421</v>
      </c>
      <c r="H2" s="112" t="s">
        <v>422</v>
      </c>
      <c r="I2" s="112" t="s">
        <v>423</v>
      </c>
      <c r="J2" s="112">
        <v>200</v>
      </c>
      <c r="K2" s="71" t="s"/>
      <c r="L2" s="112">
        <v>7155</v>
      </c>
      <c r="M2" s="112">
        <f>=J2*L2</f>
        <v>1431000</v>
      </c>
      <c r="N2" s="71">
        <v>2.5</v>
      </c>
      <c r="O2" s="189">
        <f>=ROUND(IF((TODAY()-A2+1)*N2*(L2/10000)+L2&lt;L2*1.002,L2*1.002,(TODAY()-A2+1)*N2*(L2/10000)+L2),2)</f>
        <v>8156.7</v>
      </c>
      <c r="P2" s="112">
        <v>200</v>
      </c>
      <c r="Q2" s="71">
        <f>=J2-P2</f>
        <v>0</v>
      </c>
      <c r="R2" s="112">
        <v>200</v>
      </c>
      <c r="S2" s="112">
        <f>=P2-R2</f>
        <v>0</v>
      </c>
      <c r="T2" s="71">
        <f>=S2*L2</f>
        <v>0</v>
      </c>
      <c r="U2" s="190">
        <f>=J2-P2</f>
        <v>0</v>
      </c>
      <c r="V2" s="190" t="s"/>
      <c r="W2" s="190" t="s"/>
      <c r="X2" s="190" t="s"/>
      <c r="Y2" s="190" t="s"/>
      <c r="Z2" s="190" t="s"/>
    </row>
    <row r="3" spans="1:26" s="190" customFormat="true">
      <c r="A3" s="188">
        <v>45671</v>
      </c>
      <c r="B3" s="71">
        <f>=TODAY()-A3+1</f>
        <v>554</v>
      </c>
      <c r="C3" s="71" t="s">
        <v>45</v>
      </c>
      <c r="D3" s="71" t="s">
        <v>41</v>
      </c>
      <c r="E3" s="112" t="s"/>
      <c r="F3" s="112" t="s">
        <v>424</v>
      </c>
      <c r="G3" s="112" t="s">
        <v>421</v>
      </c>
      <c r="H3" s="112" t="s">
        <v>422</v>
      </c>
      <c r="I3" s="112" t="s">
        <v>425</v>
      </c>
      <c r="J3" s="112">
        <v>93</v>
      </c>
      <c r="K3" s="71" t="s"/>
      <c r="L3" s="112">
        <v>7065</v>
      </c>
      <c r="M3" s="112">
        <f>=J3*L3</f>
        <v>657045</v>
      </c>
      <c r="N3" s="71">
        <v>2.5</v>
      </c>
      <c r="O3" s="189">
        <f>=ROUND(IF((TODAY()-A3+1)*N3*(L3/10000)+L3&lt;L3*1.002,L3*1.002,(TODAY()-A3+1)*N3*(L3/10000)+L3),2)</f>
        <v>8045.27</v>
      </c>
      <c r="P3" s="112">
        <v>93</v>
      </c>
      <c r="Q3" s="71">
        <f>=J3-P3</f>
        <v>0</v>
      </c>
      <c r="R3" s="112">
        <v>93</v>
      </c>
      <c r="S3" s="112">
        <f>=P3-R3</f>
        <v>0</v>
      </c>
      <c r="T3" s="71">
        <f>=S3*L3</f>
        <v>0</v>
      </c>
      <c r="U3" s="190">
        <f>=J3-P3</f>
        <v>0</v>
      </c>
      <c r="V3" s="190" t="s"/>
      <c r="W3" s="190" t="s"/>
      <c r="X3" s="190" t="s"/>
      <c r="Y3" s="190" t="s"/>
      <c r="Z3" s="190" t="s"/>
    </row>
    <row r="4" spans="1:26" s="190" customFormat="true">
      <c r="A4" s="188">
        <v>45671</v>
      </c>
      <c r="B4" s="71">
        <f>=TODAY()-A4+1</f>
        <v>554</v>
      </c>
      <c r="C4" s="71" t="s">
        <v>45</v>
      </c>
      <c r="D4" s="71" t="s">
        <v>41</v>
      </c>
      <c r="E4" s="112" t="s"/>
      <c r="F4" s="112" t="s">
        <v>426</v>
      </c>
      <c r="G4" s="112" t="s">
        <v>421</v>
      </c>
      <c r="H4" s="112" t="s">
        <v>422</v>
      </c>
      <c r="I4" s="112" t="s">
        <v>427</v>
      </c>
      <c r="J4" s="112">
        <v>158</v>
      </c>
      <c r="K4" s="71" t="s"/>
      <c r="L4" s="112">
        <v>7119</v>
      </c>
      <c r="M4" s="112">
        <f>=J4*L4</f>
        <v>1124802</v>
      </c>
      <c r="N4" s="71">
        <v>2.5</v>
      </c>
      <c r="O4" s="189">
        <f>=ROUND(IF((TODAY()-A4+1)*N4*(L4/10000)+L4&lt;L4*1.002,L4*1.002,(TODAY()-A4+1)*N4*(L4/10000)+L4),2)</f>
        <v>8106.76</v>
      </c>
      <c r="P4" s="112">
        <v>158</v>
      </c>
      <c r="Q4" s="71">
        <f>=J4-P4</f>
        <v>0</v>
      </c>
      <c r="R4" s="112">
        <v>158</v>
      </c>
      <c r="S4" s="112">
        <f>=P4-R4</f>
        <v>0</v>
      </c>
      <c r="T4" s="71">
        <f>=S4*L4</f>
        <v>0</v>
      </c>
      <c r="U4" s="190">
        <f>=J4-P4</f>
        <v>0</v>
      </c>
      <c r="V4" s="190" t="s"/>
      <c r="W4" s="190" t="s"/>
      <c r="X4" s="190" t="s"/>
      <c r="Y4" s="190" t="s"/>
      <c r="Z4" s="190" t="s"/>
    </row>
    <row r="5" spans="1:26" s="190" customFormat="true">
      <c r="A5" s="188">
        <v>45671</v>
      </c>
      <c r="B5" s="71">
        <f>=TODAY()-A5+1</f>
        <v>554</v>
      </c>
      <c r="C5" s="71" t="s">
        <v>45</v>
      </c>
      <c r="D5" s="71" t="s">
        <v>41</v>
      </c>
      <c r="E5" s="112" t="s"/>
      <c r="F5" s="112" t="s">
        <v>420</v>
      </c>
      <c r="G5" s="112" t="s">
        <v>421</v>
      </c>
      <c r="H5" s="112" t="s">
        <v>422</v>
      </c>
      <c r="I5" s="112" t="s">
        <v>423</v>
      </c>
      <c r="J5" s="112">
        <v>140</v>
      </c>
      <c r="K5" s="71" t="s"/>
      <c r="L5" s="112">
        <v>7119</v>
      </c>
      <c r="M5" s="112">
        <f>=J5*L5</f>
        <v>996660</v>
      </c>
      <c r="N5" s="71">
        <v>2.5</v>
      </c>
      <c r="O5" s="189">
        <f>=ROUND(IF((TODAY()-A5+1)*N5*(L5/10000)+L5&lt;L5*1.002,L5*1.002,(TODAY()-A5+1)*N5*(L5/10000)+L5),2)</f>
        <v>8106.76</v>
      </c>
      <c r="P5" s="112">
        <v>140</v>
      </c>
      <c r="Q5" s="71">
        <f>=J5-P5</f>
        <v>0</v>
      </c>
      <c r="R5" s="112">
        <v>140</v>
      </c>
      <c r="S5" s="112">
        <f>=P5-R5</f>
        <v>0</v>
      </c>
      <c r="T5" s="71">
        <f>=S5*L5</f>
        <v>0</v>
      </c>
      <c r="U5" s="190">
        <f>=J5-P5</f>
        <v>0</v>
      </c>
      <c r="V5" s="190" t="s"/>
      <c r="W5" s="190" t="s"/>
      <c r="X5" s="190" t="s"/>
      <c r="Y5" s="190" t="s"/>
      <c r="Z5" s="190" t="s"/>
    </row>
    <row r="6" spans="1:26" s="190" customFormat="true">
      <c r="A6" s="98">
        <v>45737</v>
      </c>
      <c r="B6" s="71">
        <f>=TODAY()-A6+1</f>
        <v>488</v>
      </c>
      <c r="C6" s="78" t="s">
        <v>51</v>
      </c>
      <c r="D6" s="71" t="s">
        <v>50</v>
      </c>
      <c r="E6" s="71" t="s"/>
      <c r="F6" s="71" t="s"/>
      <c r="G6" s="64" t="s">
        <v>428</v>
      </c>
      <c r="H6" s="64" t="s">
        <v>429</v>
      </c>
      <c r="I6" s="64" t="s">
        <v>430</v>
      </c>
      <c r="J6" s="64">
        <v>50</v>
      </c>
      <c r="K6" s="64" t="s"/>
      <c r="L6" s="64">
        <v>840</v>
      </c>
      <c r="M6" s="112">
        <f>=J6*L6</f>
        <v>42000</v>
      </c>
      <c r="N6" s="71">
        <v>2.5</v>
      </c>
      <c r="O6" s="191">
        <f>=ROUND(IF((TODAY()-A6+1)*N6*(L6/10000)+L6&lt;L6*1.002,L6*1.002,(TODAY()-A6+1)*N6*(L6/10000)+L6),2)</f>
        <v>942.69</v>
      </c>
      <c r="P6" s="71">
        <v>50</v>
      </c>
      <c r="Q6" s="71">
        <f>=J6-P6</f>
        <v>0</v>
      </c>
      <c r="R6" s="71">
        <v>50</v>
      </c>
      <c r="S6" s="112">
        <f>=P6-R6</f>
        <v>0</v>
      </c>
      <c r="T6" s="71">
        <f>=S6*L6</f>
        <v>0</v>
      </c>
      <c r="U6" s="190">
        <f>=J6-P6</f>
        <v>0</v>
      </c>
      <c r="V6" s="190" t="s"/>
      <c r="W6" s="190" t="s"/>
      <c r="X6" s="190" t="s"/>
      <c r="Y6" s="190" t="s"/>
      <c r="Z6" s="190" t="s"/>
    </row>
    <row r="7" spans="1:26" s="190" customFormat="true">
      <c r="A7" s="98">
        <v>45737</v>
      </c>
      <c r="B7" s="71">
        <f>=TODAY()-A7+1</f>
        <v>488</v>
      </c>
      <c r="C7" s="78" t="s">
        <v>51</v>
      </c>
      <c r="D7" s="71" t="s">
        <v>50</v>
      </c>
      <c r="E7" s="71" t="s"/>
      <c r="F7" s="71" t="s"/>
      <c r="G7" s="64" t="s">
        <v>428</v>
      </c>
      <c r="H7" s="64" t="s">
        <v>429</v>
      </c>
      <c r="I7" s="64" t="s">
        <v>431</v>
      </c>
      <c r="J7" s="64">
        <v>50</v>
      </c>
      <c r="K7" s="64" t="s"/>
      <c r="L7" s="64">
        <v>800.1</v>
      </c>
      <c r="M7" s="112">
        <f>=J7*L7</f>
        <v>40005</v>
      </c>
      <c r="N7" s="71">
        <v>2.5</v>
      </c>
      <c r="O7" s="191">
        <f>=ROUND(IF((TODAY()-A7+1)*N7*(L7/10000)+L7&lt;L7*1.002,L7*1.002,(TODAY()-A7+1)*N7*(L7/10000)+L7),2)</f>
        <v>897.91</v>
      </c>
      <c r="P7" s="71">
        <v>50</v>
      </c>
      <c r="Q7" s="71">
        <f>=J7-P7</f>
        <v>0</v>
      </c>
      <c r="R7" s="71">
        <v>50</v>
      </c>
      <c r="S7" s="112">
        <f>=P7-R7</f>
        <v>0</v>
      </c>
      <c r="T7" s="71">
        <f>=S7*L7</f>
        <v>0</v>
      </c>
      <c r="U7" s="190">
        <f>=J7-P7</f>
        <v>0</v>
      </c>
      <c r="V7" s="190" t="s"/>
      <c r="W7" s="190" t="s"/>
      <c r="X7" s="190" t="s"/>
      <c r="Y7" s="190" t="s"/>
      <c r="Z7" s="190" t="s"/>
    </row>
    <row r="8" spans="1:26" s="190" customFormat="true">
      <c r="A8" s="98">
        <v>45737</v>
      </c>
      <c r="B8" s="71">
        <f>=TODAY()-A8+1</f>
        <v>488</v>
      </c>
      <c r="C8" s="78" t="s">
        <v>51</v>
      </c>
      <c r="D8" s="71" t="s">
        <v>50</v>
      </c>
      <c r="E8" s="71" t="s"/>
      <c r="F8" s="71" t="s"/>
      <c r="G8" s="64" t="s">
        <v>428</v>
      </c>
      <c r="H8" s="64" t="s">
        <v>422</v>
      </c>
      <c r="I8" s="64" t="s">
        <v>432</v>
      </c>
      <c r="J8" s="64">
        <v>6</v>
      </c>
      <c r="K8" s="64" t="s"/>
      <c r="L8" s="64">
        <v>7021</v>
      </c>
      <c r="M8" s="112">
        <f>=J8*L8</f>
        <v>42126</v>
      </c>
      <c r="N8" s="71">
        <v>2.5</v>
      </c>
      <c r="O8" s="191">
        <f>=ROUND(IF((TODAY()-A8+1)*N8*(L8/10000)+L8&lt;L8*1.002,L8*1.002,(TODAY()-A8+1)*N8*(L8/10000)+L8),2)</f>
        <v>7879.32</v>
      </c>
      <c r="P8" s="71">
        <v>6</v>
      </c>
      <c r="Q8" s="71">
        <f>=J8-P8</f>
        <v>0</v>
      </c>
      <c r="R8" s="71">
        <v>6</v>
      </c>
      <c r="S8" s="112">
        <f>=P8-R8</f>
        <v>0</v>
      </c>
      <c r="T8" s="71">
        <f>=S8*L8</f>
        <v>0</v>
      </c>
      <c r="U8" s="190">
        <f>=J8-P8</f>
        <v>0</v>
      </c>
      <c r="V8" s="190" t="s"/>
      <c r="W8" s="190" t="s"/>
      <c r="X8" s="190" t="s"/>
      <c r="Y8" s="190" t="s"/>
      <c r="Z8" s="190" t="s"/>
    </row>
    <row r="9" spans="1:26" s="190" customFormat="true">
      <c r="A9" s="98">
        <v>45737</v>
      </c>
      <c r="B9" s="71">
        <f>=TODAY()-A9+1</f>
        <v>488</v>
      </c>
      <c r="C9" s="78" t="s">
        <v>51</v>
      </c>
      <c r="D9" s="71" t="s">
        <v>50</v>
      </c>
      <c r="E9" s="71" t="s"/>
      <c r="F9" s="71" t="s"/>
      <c r="G9" s="64" t="s">
        <v>428</v>
      </c>
      <c r="H9" s="64" t="s">
        <v>422</v>
      </c>
      <c r="I9" s="64" t="s">
        <v>433</v>
      </c>
      <c r="J9" s="64">
        <v>6</v>
      </c>
      <c r="K9" s="64" t="s"/>
      <c r="L9" s="64">
        <v>15960</v>
      </c>
      <c r="M9" s="112">
        <f>=J9*L9</f>
        <v>95760</v>
      </c>
      <c r="N9" s="71">
        <v>2.5</v>
      </c>
      <c r="O9" s="191">
        <f>=ROUND(IF((TODAY()-A9+1)*N9*(L9/10000)+L9&lt;L9*1.002,L9*1.002,(TODAY()-A9+1)*N9*(L9/10000)+L9),2)</f>
        <v>17911.11</v>
      </c>
      <c r="P9" s="71">
        <v>6</v>
      </c>
      <c r="Q9" s="71">
        <f>=J9-P9</f>
        <v>0</v>
      </c>
      <c r="R9" s="71">
        <v>6</v>
      </c>
      <c r="S9" s="112">
        <f>=P9-R9</f>
        <v>0</v>
      </c>
      <c r="T9" s="71">
        <f>=S9*L9</f>
        <v>0</v>
      </c>
      <c r="U9" s="190">
        <f>=J9-P9</f>
        <v>0</v>
      </c>
      <c r="V9" s="190" t="s"/>
      <c r="W9" s="190" t="s"/>
      <c r="X9" s="190" t="s"/>
      <c r="Y9" s="190" t="s"/>
      <c r="Z9" s="190" t="s"/>
    </row>
    <row r="10" spans="1:26" s="218" customFormat="true" ht="24" customHeight="true">
      <c r="A10" s="98">
        <v>45737</v>
      </c>
      <c r="B10" s="71">
        <f>=TODAY()-A10+1</f>
        <v>488</v>
      </c>
      <c r="C10" s="78" t="s">
        <v>51</v>
      </c>
      <c r="D10" s="71" t="s">
        <v>50</v>
      </c>
      <c r="E10" s="192" t="s"/>
      <c r="F10" s="192" t="s"/>
      <c r="G10" s="64" t="s">
        <v>428</v>
      </c>
      <c r="H10" s="64" t="s">
        <v>422</v>
      </c>
      <c r="I10" s="64" t="s">
        <v>434</v>
      </c>
      <c r="J10" s="193">
        <v>12</v>
      </c>
      <c r="K10" s="64" t="s"/>
      <c r="L10" s="193">
        <v>15750</v>
      </c>
      <c r="M10" s="112">
        <f>=J10*L10</f>
        <v>189000</v>
      </c>
      <c r="N10" s="71">
        <v>2.5</v>
      </c>
      <c r="O10" s="191">
        <f>=ROUND(IF((TODAY()-A10+1)*N10*(L10/10000)+L10&lt;L10*1.002,L10*1.002,(TODAY()-A10+1)*N10*(L10/10000)+L10),2)</f>
        <v>17675.44</v>
      </c>
      <c r="P10" s="192">
        <v>12</v>
      </c>
      <c r="Q10" s="71">
        <f>=J10-P10</f>
        <v>0</v>
      </c>
      <c r="R10" s="71">
        <v>12</v>
      </c>
      <c r="S10" s="112">
        <f>=P10-R10</f>
        <v>0</v>
      </c>
      <c r="T10" s="71">
        <f>=S10*L10</f>
        <v>0</v>
      </c>
      <c r="U10" s="190">
        <f>=J10-P10</f>
        <v>0</v>
      </c>
      <c r="V10" s="190" t="s"/>
      <c r="W10" s="190" t="s"/>
      <c r="X10" s="190" t="s"/>
      <c r="Y10" s="190" t="s"/>
      <c r="Z10" s="190" t="s"/>
    </row>
    <row r="11" spans="1:26" s="218" customFormat="true" ht="24" customHeight="true">
      <c r="A11" s="98">
        <v>45737</v>
      </c>
      <c r="B11" s="71">
        <f>=TODAY()-A11+1</f>
        <v>488</v>
      </c>
      <c r="C11" s="78" t="s">
        <v>51</v>
      </c>
      <c r="D11" s="71" t="s">
        <v>50</v>
      </c>
      <c r="E11" s="192" t="s"/>
      <c r="F11" s="192" t="s"/>
      <c r="G11" s="64" t="s">
        <v>428</v>
      </c>
      <c r="H11" s="64" t="s">
        <v>422</v>
      </c>
      <c r="I11" s="64" t="s">
        <v>435</v>
      </c>
      <c r="J11" s="193">
        <v>7</v>
      </c>
      <c r="K11" s="64" t="s"/>
      <c r="L11" s="193">
        <v>14315</v>
      </c>
      <c r="M11" s="112">
        <f>=J11*L11</f>
        <v>100205</v>
      </c>
      <c r="N11" s="71">
        <v>2.5</v>
      </c>
      <c r="O11" s="191">
        <f>=ROUND(IF((TODAY()-A11+1)*N11*(L11/10000)+L11&lt;L11*1.002,L11*1.002,(TODAY()-A11+1)*N11*(L11/10000)+L11),2)</f>
        <v>16065.01</v>
      </c>
      <c r="P11" s="192">
        <v>7</v>
      </c>
      <c r="Q11" s="71">
        <f>=J11-P11</f>
        <v>0</v>
      </c>
      <c r="R11" s="71">
        <v>7</v>
      </c>
      <c r="S11" s="112">
        <f>=P11-R11</f>
        <v>0</v>
      </c>
      <c r="T11" s="71">
        <f>=S11*L11</f>
        <v>0</v>
      </c>
      <c r="U11" s="190">
        <f>=J11-P11</f>
        <v>0</v>
      </c>
      <c r="V11" s="190" t="s"/>
      <c r="W11" s="190" t="s"/>
      <c r="X11" s="190" t="s"/>
      <c r="Y11" s="190" t="s"/>
      <c r="Z11" s="190" t="s"/>
    </row>
    <row r="12" spans="1:26" s="218" customFormat="true" ht="24" customHeight="true">
      <c r="A12" s="98">
        <v>45737</v>
      </c>
      <c r="B12" s="71">
        <f>=TODAY()-A12+1</f>
        <v>488</v>
      </c>
      <c r="C12" s="78" t="s">
        <v>51</v>
      </c>
      <c r="D12" s="71" t="s">
        <v>50</v>
      </c>
      <c r="E12" s="192" t="s"/>
      <c r="F12" s="192" t="s"/>
      <c r="G12" s="64" t="s">
        <v>428</v>
      </c>
      <c r="H12" s="64" t="s">
        <v>422</v>
      </c>
      <c r="I12" s="64" t="s">
        <v>436</v>
      </c>
      <c r="J12" s="193">
        <v>50</v>
      </c>
      <c r="K12" s="64" t="s"/>
      <c r="L12" s="193">
        <v>1865.5</v>
      </c>
      <c r="M12" s="112">
        <f>=J12*L12</f>
        <v>93275</v>
      </c>
      <c r="N12" s="71">
        <v>2.5</v>
      </c>
      <c r="O12" s="191">
        <f>=ROUND(IF((TODAY()-A12+1)*N12*(L12/10000)+L12&lt;L12*1.002,L12*1.002,(TODAY()-A12+1)*N12*(L12/10000)+L12),2)</f>
        <v>2093.56</v>
      </c>
      <c r="P12" s="192">
        <v>50</v>
      </c>
      <c r="Q12" s="71">
        <f>=J12-P12</f>
        <v>0</v>
      </c>
      <c r="R12" s="71">
        <v>50</v>
      </c>
      <c r="S12" s="112">
        <f>=P12-R12</f>
        <v>0</v>
      </c>
      <c r="T12" s="71">
        <f>=S12*L12</f>
        <v>0</v>
      </c>
      <c r="U12" s="190">
        <f>=J12-P12</f>
        <v>0</v>
      </c>
      <c r="V12" s="190" t="s"/>
      <c r="W12" s="190" t="s"/>
      <c r="X12" s="190" t="s"/>
      <c r="Y12" s="190" t="s"/>
      <c r="Z12" s="190" t="s"/>
    </row>
    <row r="13" spans="1:26" s="218" customFormat="true" ht="24" customHeight="true">
      <c r="A13" s="98">
        <v>45737</v>
      </c>
      <c r="B13" s="71">
        <f>=TODAY()-A13+1</f>
        <v>488</v>
      </c>
      <c r="C13" s="78" t="s">
        <v>51</v>
      </c>
      <c r="D13" s="71" t="s">
        <v>50</v>
      </c>
      <c r="E13" s="192" t="s"/>
      <c r="F13" s="192" t="s"/>
      <c r="G13" s="64" t="s">
        <v>428</v>
      </c>
      <c r="H13" s="64" t="s">
        <v>422</v>
      </c>
      <c r="I13" s="64" t="s">
        <v>437</v>
      </c>
      <c r="J13" s="193">
        <v>100</v>
      </c>
      <c r="K13" s="64" t="s"/>
      <c r="L13" s="193">
        <v>1869</v>
      </c>
      <c r="M13" s="112">
        <f>=J13*L13</f>
        <v>186900</v>
      </c>
      <c r="N13" s="71">
        <v>2.5</v>
      </c>
      <c r="O13" s="191">
        <f>=ROUND(IF((TODAY()-A13+1)*N13*(L13/10000)+L13&lt;L13*1.002,L13*1.002,(TODAY()-A13+1)*N13*(L13/10000)+L13),2)</f>
        <v>2097.49</v>
      </c>
      <c r="P13" s="192">
        <v>100</v>
      </c>
      <c r="Q13" s="71">
        <f>=J13-P13</f>
        <v>0</v>
      </c>
      <c r="R13" s="71">
        <v>100</v>
      </c>
      <c r="S13" s="112">
        <f>=P13-R13</f>
        <v>0</v>
      </c>
      <c r="T13" s="71">
        <f>=S13*L13</f>
        <v>0</v>
      </c>
      <c r="U13" s="190">
        <f>=J13-P13</f>
        <v>0</v>
      </c>
      <c r="V13" s="190" t="s"/>
      <c r="W13" s="190" t="s"/>
      <c r="X13" s="190" t="s"/>
      <c r="Y13" s="190" t="s"/>
      <c r="Z13" s="190" t="s"/>
    </row>
    <row r="14" spans="1:26" s="218" customFormat="true" ht="24" customHeight="true">
      <c r="A14" s="98">
        <v>45737</v>
      </c>
      <c r="B14" s="71">
        <f>=TODAY()-A14+1</f>
        <v>488</v>
      </c>
      <c r="C14" s="78" t="s">
        <v>51</v>
      </c>
      <c r="D14" s="71" t="s">
        <v>50</v>
      </c>
      <c r="E14" s="192" t="s"/>
      <c r="F14" s="192" t="s"/>
      <c r="G14" s="64" t="s">
        <v>428</v>
      </c>
      <c r="H14" s="64" t="s">
        <v>422</v>
      </c>
      <c r="I14" s="64" t="s">
        <v>438</v>
      </c>
      <c r="J14" s="193">
        <v>30</v>
      </c>
      <c r="K14" s="64" t="s"/>
      <c r="L14" s="193">
        <v>1169</v>
      </c>
      <c r="M14" s="112">
        <f>=J14*L14</f>
        <v>35070</v>
      </c>
      <c r="N14" s="71">
        <v>2.5</v>
      </c>
      <c r="O14" s="191">
        <f>=ROUND(IF((TODAY()-A14+1)*N14*(L14/10000)+L14&lt;L14*1.002,L14*1.002,(TODAY()-A14+1)*N14*(L14/10000)+L14),2)</f>
        <v>1311.91</v>
      </c>
      <c r="P14" s="192">
        <v>30</v>
      </c>
      <c r="Q14" s="71">
        <f>=J14-P14</f>
        <v>0</v>
      </c>
      <c r="R14" s="71">
        <v>30</v>
      </c>
      <c r="S14" s="112">
        <f>=P14-R14</f>
        <v>0</v>
      </c>
      <c r="T14" s="71">
        <f>=S14*L14</f>
        <v>0</v>
      </c>
      <c r="U14" s="190">
        <f>=J14-P14</f>
        <v>0</v>
      </c>
      <c r="V14" s="190" t="s"/>
      <c r="W14" s="190" t="s"/>
      <c r="X14" s="190" t="s"/>
      <c r="Y14" s="190" t="s"/>
      <c r="Z14" s="190" t="s"/>
    </row>
    <row r="15" spans="1:26" s="190" customFormat="true">
      <c r="A15" s="98">
        <v>45737</v>
      </c>
      <c r="B15" s="71">
        <f>=TODAY()-A15+1</f>
        <v>488</v>
      </c>
      <c r="C15" s="78" t="s">
        <v>51</v>
      </c>
      <c r="D15" s="71" t="s">
        <v>50</v>
      </c>
      <c r="E15" s="71" t="s"/>
      <c r="F15" s="71" t="s"/>
      <c r="G15" s="64" t="s">
        <v>428</v>
      </c>
      <c r="H15" s="64" t="s">
        <v>422</v>
      </c>
      <c r="I15" s="64" t="s">
        <v>439</v>
      </c>
      <c r="J15" s="64">
        <v>20</v>
      </c>
      <c r="K15" s="64" t="s"/>
      <c r="L15" s="64">
        <v>994</v>
      </c>
      <c r="M15" s="112">
        <f>=J15*L15</f>
        <v>19880</v>
      </c>
      <c r="N15" s="71">
        <v>2.5</v>
      </c>
      <c r="O15" s="191">
        <f>=ROUND(IF((TODAY()-A15+1)*N15*(L15/10000)+L15&lt;L15*1.002,L15*1.002,(TODAY()-A15+1)*N15*(L15/10000)+L15),2)</f>
        <v>1115.52</v>
      </c>
      <c r="P15" s="71">
        <v>20</v>
      </c>
      <c r="Q15" s="71">
        <f>=J15-P15</f>
        <v>0</v>
      </c>
      <c r="R15" s="71">
        <v>20</v>
      </c>
      <c r="S15" s="112">
        <f>=P15-R15</f>
        <v>0</v>
      </c>
      <c r="T15" s="71">
        <f>=S15*L15</f>
        <v>0</v>
      </c>
      <c r="U15" s="190">
        <f>=J15-P15</f>
        <v>0</v>
      </c>
      <c r="V15" s="190" t="s"/>
      <c r="W15" s="190" t="s"/>
      <c r="X15" s="190" t="s"/>
      <c r="Y15" s="190" t="s"/>
      <c r="Z15" s="190" t="s"/>
    </row>
    <row r="16" spans="1:26" s="190" customFormat="true">
      <c r="A16" s="98">
        <v>45737</v>
      </c>
      <c r="B16" s="71">
        <f>=TODAY()-A16+1</f>
        <v>488</v>
      </c>
      <c r="C16" s="78" t="s">
        <v>51</v>
      </c>
      <c r="D16" s="71" t="s">
        <v>50</v>
      </c>
      <c r="E16" s="71" t="s"/>
      <c r="F16" s="71" t="s"/>
      <c r="G16" s="64" t="s">
        <v>428</v>
      </c>
      <c r="H16" s="64" t="s">
        <v>422</v>
      </c>
      <c r="I16" s="64" t="s">
        <v>440</v>
      </c>
      <c r="J16" s="64">
        <v>60</v>
      </c>
      <c r="K16" s="64" t="s"/>
      <c r="L16" s="64">
        <v>1186.5</v>
      </c>
      <c r="M16" s="112">
        <f>=J16*L16</f>
        <v>71190</v>
      </c>
      <c r="N16" s="71">
        <v>2.5</v>
      </c>
      <c r="O16" s="191">
        <f>=ROUND(IF((TODAY()-A16+1)*N16*(L16/10000)+L16&lt;L16*1.002,L16*1.002,(TODAY()-A16+1)*N16*(L16/10000)+L16),2)</f>
        <v>1331.55</v>
      </c>
      <c r="P16" s="71">
        <v>60</v>
      </c>
      <c r="Q16" s="71">
        <f>=J16-P16</f>
        <v>0</v>
      </c>
      <c r="R16" s="71">
        <v>60</v>
      </c>
      <c r="S16" s="112">
        <f>=P16-R16</f>
        <v>0</v>
      </c>
      <c r="T16" s="71">
        <f>=S16*L16</f>
        <v>0</v>
      </c>
      <c r="U16" s="190">
        <f>=J16-P16</f>
        <v>0</v>
      </c>
      <c r="V16" s="190" t="s"/>
      <c r="W16" s="190" t="s"/>
      <c r="X16" s="190" t="s"/>
      <c r="Y16" s="190" t="s"/>
      <c r="Z16" s="190" t="s"/>
    </row>
    <row r="17" spans="1:26" s="190" customFormat="true">
      <c r="A17" s="98">
        <v>45737</v>
      </c>
      <c r="B17" s="71">
        <f>=TODAY()-A17+1</f>
        <v>488</v>
      </c>
      <c r="C17" s="78" t="s">
        <v>51</v>
      </c>
      <c r="D17" s="71" t="s">
        <v>50</v>
      </c>
      <c r="E17" s="64" t="s"/>
      <c r="F17" s="71" t="s"/>
      <c r="G17" s="64" t="s">
        <v>428</v>
      </c>
      <c r="H17" s="64" t="s">
        <v>422</v>
      </c>
      <c r="I17" s="64" t="s">
        <v>441</v>
      </c>
      <c r="J17" s="64">
        <v>35</v>
      </c>
      <c r="K17" s="64" t="s"/>
      <c r="L17" s="64">
        <v>1771</v>
      </c>
      <c r="M17" s="112">
        <f>=J17*L17</f>
        <v>61985</v>
      </c>
      <c r="N17" s="71">
        <v>2.5</v>
      </c>
      <c r="O17" s="191">
        <f>=ROUND(IF((TODAY()-A17+1)*N17*(L17/10000)+L17&lt;L17*1.002,L17*1.002,(TODAY()-A17+1)*N17*(L17/10000)+L17),2)</f>
        <v>1987.5</v>
      </c>
      <c r="P17" s="71">
        <v>35</v>
      </c>
      <c r="Q17" s="71">
        <f>=J17-P17</f>
        <v>0</v>
      </c>
      <c r="R17" s="71">
        <v>35</v>
      </c>
      <c r="S17" s="112">
        <f>=P17-R17</f>
        <v>0</v>
      </c>
      <c r="T17" s="71">
        <f>=S17*L17</f>
        <v>0</v>
      </c>
      <c r="U17" s="190">
        <f>=J17-P17</f>
        <v>0</v>
      </c>
      <c r="V17" s="190" t="s"/>
      <c r="W17" s="190" t="s"/>
      <c r="X17" s="190" t="s"/>
      <c r="Y17" s="190" t="s"/>
      <c r="Z17" s="190" t="s"/>
    </row>
    <row r="18" spans="1:26" s="190" customFormat="true">
      <c r="A18" s="98">
        <v>45737</v>
      </c>
      <c r="B18" s="71">
        <f>=TODAY()-A18+1</f>
        <v>488</v>
      </c>
      <c r="C18" s="78" t="s">
        <v>51</v>
      </c>
      <c r="D18" s="71" t="s">
        <v>50</v>
      </c>
      <c r="E18" s="94" t="s"/>
      <c r="F18" s="71" t="s"/>
      <c r="G18" s="64" t="s">
        <v>428</v>
      </c>
      <c r="H18" s="64" t="s">
        <v>422</v>
      </c>
      <c r="I18" s="64" t="s">
        <v>442</v>
      </c>
      <c r="J18" s="64">
        <v>65</v>
      </c>
      <c r="K18" s="64" t="s"/>
      <c r="L18" s="64">
        <v>2310</v>
      </c>
      <c r="M18" s="112">
        <f>=J18*L18</f>
        <v>150150</v>
      </c>
      <c r="N18" s="71">
        <v>2.5</v>
      </c>
      <c r="O18" s="191">
        <f>=ROUND(IF((TODAY()-A18+1)*N18*(L18/10000)+L18&lt;L18*1.002,L18*1.002,(TODAY()-A18+1)*N18*(L18/10000)+L18),2)</f>
        <v>2592.4</v>
      </c>
      <c r="P18" s="71">
        <v>65</v>
      </c>
      <c r="Q18" s="71">
        <f>=J18-P18</f>
        <v>0</v>
      </c>
      <c r="R18" s="64">
        <v>65</v>
      </c>
      <c r="S18" s="112">
        <f>=P18-R18</f>
        <v>0</v>
      </c>
      <c r="T18" s="71">
        <f>=S18*L18</f>
        <v>0</v>
      </c>
      <c r="U18" s="190">
        <f>=J18-P18</f>
        <v>0</v>
      </c>
      <c r="V18" s="190" t="s"/>
      <c r="W18" s="190" t="s"/>
      <c r="X18" s="190" t="s"/>
      <c r="Y18" s="190" t="s"/>
      <c r="Z18" s="190" t="s"/>
    </row>
    <row r="19" spans="1:26" s="190" customFormat="true">
      <c r="A19" s="98">
        <v>45737</v>
      </c>
      <c r="B19" s="71">
        <f>=TODAY()-A19+1</f>
        <v>488</v>
      </c>
      <c r="C19" s="78" t="s">
        <v>51</v>
      </c>
      <c r="D19" s="71" t="s">
        <v>50</v>
      </c>
      <c r="E19" s="64" t="s"/>
      <c r="F19" s="71" t="s"/>
      <c r="G19" s="64" t="s">
        <v>428</v>
      </c>
      <c r="H19" s="64" t="s">
        <v>422</v>
      </c>
      <c r="I19" s="64" t="s">
        <v>443</v>
      </c>
      <c r="J19" s="64">
        <v>35</v>
      </c>
      <c r="K19" s="64" t="s"/>
      <c r="L19" s="64">
        <v>2240</v>
      </c>
      <c r="M19" s="112">
        <f>=J19*L19</f>
        <v>78400</v>
      </c>
      <c r="N19" s="71">
        <v>2.5</v>
      </c>
      <c r="O19" s="191">
        <f>=ROUND(IF((TODAY()-A19+1)*N19*(L19/10000)+L19&lt;L19*1.002,L19*1.002,(TODAY()-A19+1)*N19*(L19/10000)+L19),2)</f>
        <v>2513.84</v>
      </c>
      <c r="P19" s="71">
        <v>35</v>
      </c>
      <c r="Q19" s="71">
        <f>=J19-P19</f>
        <v>0</v>
      </c>
      <c r="R19" s="71">
        <v>35</v>
      </c>
      <c r="S19" s="112">
        <f>=P19-R19</f>
        <v>0</v>
      </c>
      <c r="T19" s="71">
        <f>=S19*L19</f>
        <v>0</v>
      </c>
      <c r="U19" s="190">
        <f>=J19-P19</f>
        <v>0</v>
      </c>
      <c r="V19" s="190" t="s"/>
      <c r="W19" s="190" t="s"/>
      <c r="X19" s="190" t="s"/>
      <c r="Y19" s="190" t="s"/>
      <c r="Z19" s="190" t="s"/>
    </row>
    <row r="20" spans="1:26" s="190" customFormat="true">
      <c r="A20" s="98">
        <v>45737</v>
      </c>
      <c r="B20" s="71">
        <f>=TODAY()-A20+1</f>
        <v>488</v>
      </c>
      <c r="C20" s="78" t="s">
        <v>51</v>
      </c>
      <c r="D20" s="71" t="s">
        <v>50</v>
      </c>
      <c r="E20" s="64" t="s"/>
      <c r="F20" s="71" t="s"/>
      <c r="G20" s="64" t="s">
        <v>428</v>
      </c>
      <c r="H20" s="64" t="s">
        <v>422</v>
      </c>
      <c r="I20" s="64" t="s">
        <v>444</v>
      </c>
      <c r="J20" s="64">
        <v>10</v>
      </c>
      <c r="K20" s="64" t="s"/>
      <c r="L20" s="64">
        <v>3475.5</v>
      </c>
      <c r="M20" s="112">
        <f>=J20*L20</f>
        <v>34755</v>
      </c>
      <c r="N20" s="71">
        <v>2.5</v>
      </c>
      <c r="O20" s="191">
        <f>=ROUND(IF((TODAY()-A20+1)*N20*(L20/10000)+L20&lt;L20*1.002,L20*1.002,(TODAY()-A20+1)*N20*(L20/10000)+L20),2)</f>
        <v>3900.38</v>
      </c>
      <c r="P20" s="71">
        <v>10</v>
      </c>
      <c r="Q20" s="71">
        <f>=J20-P20</f>
        <v>0</v>
      </c>
      <c r="R20" s="71">
        <v>10</v>
      </c>
      <c r="S20" s="112">
        <f>=P20-R20</f>
        <v>0</v>
      </c>
      <c r="T20" s="71">
        <f>=S20*L20</f>
        <v>0</v>
      </c>
      <c r="U20" s="190">
        <f>=J20-P20</f>
        <v>0</v>
      </c>
      <c r="V20" s="190" t="s"/>
      <c r="W20" s="190" t="s"/>
      <c r="X20" s="190" t="s"/>
      <c r="Y20" s="190" t="s"/>
      <c r="Z20" s="190" t="s"/>
    </row>
    <row r="21" spans="1:26" s="190" customFormat="true">
      <c r="A21" s="98">
        <v>45737</v>
      </c>
      <c r="B21" s="71">
        <f>=TODAY()-A21+1</f>
        <v>488</v>
      </c>
      <c r="C21" s="78" t="s">
        <v>51</v>
      </c>
      <c r="D21" s="71" t="s">
        <v>50</v>
      </c>
      <c r="E21" s="194" t="s"/>
      <c r="F21" s="71" t="s"/>
      <c r="G21" s="64" t="s">
        <v>428</v>
      </c>
      <c r="H21" s="64" t="s">
        <v>422</v>
      </c>
      <c r="I21" s="64" t="s">
        <v>445</v>
      </c>
      <c r="J21" s="64">
        <v>10</v>
      </c>
      <c r="K21" s="64" t="s"/>
      <c r="L21" s="64">
        <v>3451</v>
      </c>
      <c r="M21" s="112">
        <f>=J21*L21</f>
        <v>34510</v>
      </c>
      <c r="N21" s="71">
        <v>2.5</v>
      </c>
      <c r="O21" s="191">
        <f>=ROUND(IF((TODAY()-A21+1)*N21*(L21/10000)+L21&lt;L21*1.002,L21*1.002,(TODAY()-A21+1)*N21*(L21/10000)+L21),2)</f>
        <v>3872.88</v>
      </c>
      <c r="P21" s="71">
        <v>10</v>
      </c>
      <c r="Q21" s="71">
        <f>=J21-P21</f>
        <v>0</v>
      </c>
      <c r="R21" s="71">
        <v>10</v>
      </c>
      <c r="S21" s="112">
        <f>=P21-R21</f>
        <v>0</v>
      </c>
      <c r="T21" s="71">
        <f>=S21*L21</f>
        <v>0</v>
      </c>
      <c r="U21" s="190">
        <f>=J21-P21</f>
        <v>0</v>
      </c>
      <c r="V21" s="190" t="s"/>
      <c r="W21" s="190" t="s"/>
      <c r="X21" s="190" t="s"/>
      <c r="Y21" s="190" t="s"/>
      <c r="Z21" s="190" t="s"/>
    </row>
    <row r="22" spans="1:26" s="190" customFormat="true">
      <c r="A22" s="98">
        <v>45737</v>
      </c>
      <c r="B22" s="71">
        <f>=TODAY()-A22+1</f>
        <v>488</v>
      </c>
      <c r="C22" s="78" t="s">
        <v>51</v>
      </c>
      <c r="D22" s="71" t="s">
        <v>50</v>
      </c>
      <c r="E22" s="64" t="s"/>
      <c r="F22" s="71" t="s"/>
      <c r="G22" s="64" t="s">
        <v>428</v>
      </c>
      <c r="H22" s="64" t="s">
        <v>422</v>
      </c>
      <c r="I22" s="64" t="s">
        <v>446</v>
      </c>
      <c r="J22" s="64">
        <v>20</v>
      </c>
      <c r="K22" s="64" t="s"/>
      <c r="L22" s="64">
        <v>4287.5</v>
      </c>
      <c r="M22" s="112">
        <f>=J22*L22</f>
        <v>85750</v>
      </c>
      <c r="N22" s="71">
        <v>2.5</v>
      </c>
      <c r="O22" s="195">
        <f>=ROUND(IF((TODAY()-A22+1)*N22*(L22/10000)+L22&lt;L22*1.002,L22*1.002,(TODAY()-A22+1)*N22*(L22/10000)+L22),2)</f>
        <v>4811.65</v>
      </c>
      <c r="P22" s="71">
        <v>20</v>
      </c>
      <c r="Q22" s="71">
        <f>=J22-P22</f>
        <v>0</v>
      </c>
      <c r="R22" s="71">
        <v>20</v>
      </c>
      <c r="S22" s="112">
        <f>=P22-R22</f>
        <v>0</v>
      </c>
      <c r="T22" s="71">
        <f>=S22*L22</f>
        <v>0</v>
      </c>
      <c r="U22" s="190">
        <f>=J22-P22</f>
        <v>0</v>
      </c>
      <c r="V22" s="190" t="s"/>
      <c r="W22" s="190" t="s"/>
      <c r="X22" s="190" t="s"/>
      <c r="Y22" s="190" t="s"/>
      <c r="Z22" s="190" t="s"/>
    </row>
    <row r="23" spans="1:26" s="190" customFormat="true">
      <c r="A23" s="98">
        <v>45737</v>
      </c>
      <c r="B23" s="71">
        <f>=TODAY()-A23+1</f>
        <v>488</v>
      </c>
      <c r="C23" s="78" t="s">
        <v>51</v>
      </c>
      <c r="D23" s="71" t="s">
        <v>50</v>
      </c>
      <c r="E23" s="64" t="s"/>
      <c r="F23" s="71" t="s"/>
      <c r="G23" s="64" t="s">
        <v>428</v>
      </c>
      <c r="H23" s="64" t="s">
        <v>422</v>
      </c>
      <c r="I23" s="64" t="s">
        <v>447</v>
      </c>
      <c r="J23" s="64">
        <v>10</v>
      </c>
      <c r="K23" s="64" t="s"/>
      <c r="L23" s="64">
        <v>4347</v>
      </c>
      <c r="M23" s="112">
        <f>=J23*L23</f>
        <v>43470</v>
      </c>
      <c r="N23" s="71">
        <v>2.5</v>
      </c>
      <c r="O23" s="195">
        <f>=ROUND(IF((TODAY()-A23+1)*N23*(L23/10000)+L23&lt;L23*1.002,L23*1.002,(TODAY()-A23+1)*N23*(L23/10000)+L23),2)</f>
        <v>4878.42</v>
      </c>
      <c r="P23" s="71">
        <v>10</v>
      </c>
      <c r="Q23" s="71">
        <f>=J23-P23</f>
        <v>0</v>
      </c>
      <c r="R23" s="71">
        <v>10</v>
      </c>
      <c r="S23" s="112">
        <f>=P23-R23</f>
        <v>0</v>
      </c>
      <c r="T23" s="71">
        <f>=S23*L23</f>
        <v>0</v>
      </c>
      <c r="U23" s="190">
        <f>=J23-P23</f>
        <v>0</v>
      </c>
      <c r="V23" s="190" t="s"/>
      <c r="W23" s="190" t="s"/>
      <c r="X23" s="190" t="s"/>
      <c r="Y23" s="190" t="s"/>
      <c r="Z23" s="190" t="s"/>
    </row>
    <row r="24" spans="1:26" s="190" customFormat="true">
      <c r="A24" s="98">
        <v>45737</v>
      </c>
      <c r="B24" s="71">
        <f>=TODAY()-A24+1</f>
        <v>488</v>
      </c>
      <c r="C24" s="78" t="s">
        <v>51</v>
      </c>
      <c r="D24" s="71" t="s">
        <v>50</v>
      </c>
      <c r="E24" s="64" t="s"/>
      <c r="F24" s="71" t="s"/>
      <c r="G24" s="64" t="s">
        <v>428</v>
      </c>
      <c r="H24" s="64" t="s">
        <v>422</v>
      </c>
      <c r="I24" s="64" t="s">
        <v>448</v>
      </c>
      <c r="J24" s="64">
        <v>10</v>
      </c>
      <c r="K24" s="64" t="s"/>
      <c r="L24" s="64">
        <v>4284</v>
      </c>
      <c r="M24" s="112">
        <f>=J24*L24</f>
        <v>42840</v>
      </c>
      <c r="N24" s="71">
        <v>2.5</v>
      </c>
      <c r="O24" s="195">
        <f>=ROUND(IF((TODAY()-A24+1)*N24*(L24/10000)+L24&lt;L24*1.002,L24*1.002,(TODAY()-A24+1)*N24*(L24/10000)+L24),2)</f>
        <v>4807.72</v>
      </c>
      <c r="P24" s="71">
        <v>10</v>
      </c>
      <c r="Q24" s="71">
        <f>=J24-P24</f>
        <v>0</v>
      </c>
      <c r="R24" s="71">
        <v>10</v>
      </c>
      <c r="S24" s="112">
        <f>=P24-R24</f>
        <v>0</v>
      </c>
      <c r="T24" s="71">
        <f>=S24*L24</f>
        <v>0</v>
      </c>
      <c r="U24" s="190">
        <f>=J24-P24</f>
        <v>0</v>
      </c>
      <c r="V24" s="190" t="s"/>
      <c r="W24" s="190" t="s"/>
      <c r="X24" s="190" t="s"/>
      <c r="Y24" s="190" t="s"/>
      <c r="Z24" s="190" t="s"/>
    </row>
    <row r="25" spans="1:26" s="190" customFormat="true">
      <c r="A25" s="98">
        <v>45737</v>
      </c>
      <c r="B25" s="71">
        <f>=TODAY()-A25+1</f>
        <v>488</v>
      </c>
      <c r="C25" s="78" t="s">
        <v>51</v>
      </c>
      <c r="D25" s="71" t="s">
        <v>50</v>
      </c>
      <c r="E25" s="64" t="s"/>
      <c r="F25" s="71" t="s"/>
      <c r="G25" s="64" t="s">
        <v>428</v>
      </c>
      <c r="H25" s="64" t="s">
        <v>449</v>
      </c>
      <c r="I25" s="64" t="s">
        <v>450</v>
      </c>
      <c r="J25" s="64">
        <v>20</v>
      </c>
      <c r="K25" s="64" t="s"/>
      <c r="L25" s="64">
        <v>793.1</v>
      </c>
      <c r="M25" s="112">
        <f>=J25*L25</f>
        <v>15862</v>
      </c>
      <c r="N25" s="71">
        <v>2.5</v>
      </c>
      <c r="O25" s="195">
        <f>=ROUND(IF((TODAY()-A25+1)*N25*(L25/10000)+L25&lt;L25*1.002,L25*1.002,(TODAY()-A25+1)*N25*(L25/10000)+L25),2)</f>
        <v>890.06</v>
      </c>
      <c r="P25" s="71">
        <v>20</v>
      </c>
      <c r="Q25" s="71">
        <f>=J25-P25</f>
        <v>0</v>
      </c>
      <c r="R25" s="71">
        <v>20</v>
      </c>
      <c r="S25" s="112">
        <f>=P25-R25</f>
        <v>0</v>
      </c>
      <c r="T25" s="71">
        <f>=S25*L25</f>
        <v>0</v>
      </c>
      <c r="U25" s="190">
        <f>=J25-P25</f>
        <v>0</v>
      </c>
      <c r="V25" s="190" t="s"/>
      <c r="W25" s="190" t="s"/>
      <c r="X25" s="190" t="s"/>
      <c r="Y25" s="190" t="s"/>
      <c r="Z25" s="190" t="s"/>
    </row>
    <row r="26" spans="1:26" s="190" customFormat="true">
      <c r="A26" s="98">
        <v>45737</v>
      </c>
      <c r="B26" s="71">
        <f>=TODAY()-A26+1</f>
        <v>488</v>
      </c>
      <c r="C26" s="78" t="s">
        <v>51</v>
      </c>
      <c r="D26" s="71" t="s">
        <v>50</v>
      </c>
      <c r="E26" s="94" t="s"/>
      <c r="F26" s="71" t="s"/>
      <c r="G26" s="64" t="s">
        <v>428</v>
      </c>
      <c r="H26" s="64" t="s">
        <v>449</v>
      </c>
      <c r="I26" s="64" t="s">
        <v>451</v>
      </c>
      <c r="J26" s="64">
        <v>70</v>
      </c>
      <c r="K26" s="64" t="s"/>
      <c r="L26" s="64">
        <v>791</v>
      </c>
      <c r="M26" s="112">
        <f>=J26*L26</f>
        <v>55370</v>
      </c>
      <c r="N26" s="71">
        <v>2.5</v>
      </c>
      <c r="O26" s="195">
        <f>=ROUND(IF((TODAY()-A26+1)*N26*(L26/10000)+L26&lt;L26*1.002,L26*1.002,(TODAY()-A26+1)*N26*(L26/10000)+L26),2)</f>
        <v>887.7</v>
      </c>
      <c r="P26" s="71">
        <v>70</v>
      </c>
      <c r="Q26" s="71">
        <f>=J26-P26</f>
        <v>0</v>
      </c>
      <c r="R26" s="64">
        <v>70</v>
      </c>
      <c r="S26" s="112">
        <f>=P26-R26</f>
        <v>0</v>
      </c>
      <c r="T26" s="71">
        <f>=S26*L26</f>
        <v>0</v>
      </c>
      <c r="U26" s="190">
        <f>=J26-P26</f>
        <v>0</v>
      </c>
      <c r="V26" s="190" t="s"/>
      <c r="W26" s="190" t="s"/>
      <c r="X26" s="190" t="s"/>
      <c r="Y26" s="190" t="s"/>
      <c r="Z26" s="190" t="s"/>
    </row>
    <row r="27" spans="1:26" s="190" customFormat="true">
      <c r="A27" s="98">
        <v>45737</v>
      </c>
      <c r="B27" s="71">
        <f>=TODAY()-A27+1</f>
        <v>488</v>
      </c>
      <c r="C27" s="78" t="s">
        <v>51</v>
      </c>
      <c r="D27" s="71" t="s">
        <v>50</v>
      </c>
      <c r="E27" s="94" t="s"/>
      <c r="F27" s="71" t="s"/>
      <c r="G27" s="64" t="s">
        <v>428</v>
      </c>
      <c r="H27" s="64" t="s">
        <v>449</v>
      </c>
      <c r="I27" s="64" t="s">
        <v>452</v>
      </c>
      <c r="J27" s="64">
        <v>85</v>
      </c>
      <c r="K27" s="64" t="s"/>
      <c r="L27" s="64">
        <v>894.6</v>
      </c>
      <c r="M27" s="112">
        <f>=J27*L27</f>
        <v>76041</v>
      </c>
      <c r="N27" s="71">
        <v>2.5</v>
      </c>
      <c r="O27" s="195">
        <f>=ROUND(IF((TODAY()-A27+1)*N27*(L27/10000)+L27&lt;L27*1.002,L27*1.002,(TODAY()-A27+1)*N27*(L27/10000)+L27),2)</f>
        <v>1003.96</v>
      </c>
      <c r="P27" s="71">
        <v>85</v>
      </c>
      <c r="Q27" s="71">
        <f>=J27-P27</f>
        <v>0</v>
      </c>
      <c r="R27" s="64">
        <v>85</v>
      </c>
      <c r="S27" s="112">
        <f>=P27-R27</f>
        <v>0</v>
      </c>
      <c r="T27" s="71">
        <f>=S27*L27</f>
        <v>0</v>
      </c>
      <c r="U27" s="190">
        <f>=J27-P27</f>
        <v>0</v>
      </c>
      <c r="V27" s="190" t="s"/>
      <c r="W27" s="190" t="s"/>
      <c r="X27" s="190" t="s"/>
      <c r="Y27" s="190" t="s"/>
      <c r="Z27" s="190" t="s"/>
    </row>
    <row r="28" spans="1:26" s="190" customFormat="true">
      <c r="A28" s="98">
        <v>45737</v>
      </c>
      <c r="B28" s="71">
        <f>=TODAY()-A28+1</f>
        <v>488</v>
      </c>
      <c r="C28" s="78" t="s">
        <v>51</v>
      </c>
      <c r="D28" s="71" t="s">
        <v>50</v>
      </c>
      <c r="E28" s="94" t="s"/>
      <c r="F28" s="71" t="s"/>
      <c r="G28" s="64" t="s">
        <v>428</v>
      </c>
      <c r="H28" s="64" t="s">
        <v>449</v>
      </c>
      <c r="I28" s="64" t="s">
        <v>453</v>
      </c>
      <c r="J28" s="64">
        <v>90</v>
      </c>
      <c r="K28" s="64" t="s"/>
      <c r="L28" s="64">
        <v>882</v>
      </c>
      <c r="M28" s="112">
        <f>=J28*L28</f>
        <v>79380</v>
      </c>
      <c r="N28" s="71">
        <v>2.5</v>
      </c>
      <c r="O28" s="195">
        <f>=ROUND(IF((TODAY()-A28+1)*N28*(L28/10000)+L28&lt;L28*1.002,L28*1.002,(TODAY()-A28+1)*N28*(L28/10000)+L28),2)</f>
        <v>989.82</v>
      </c>
      <c r="P28" s="71">
        <v>90</v>
      </c>
      <c r="Q28" s="71">
        <f>=J28-P28</f>
        <v>0</v>
      </c>
      <c r="R28" s="64">
        <v>90</v>
      </c>
      <c r="S28" s="112">
        <f>=P28-R28</f>
        <v>0</v>
      </c>
      <c r="T28" s="71">
        <f>=S28*L28</f>
        <v>0</v>
      </c>
      <c r="U28" s="190">
        <f>=J28-P28</f>
        <v>0</v>
      </c>
      <c r="V28" s="190" t="s"/>
      <c r="W28" s="190" t="s"/>
      <c r="X28" s="190" t="s"/>
      <c r="Y28" s="190" t="s"/>
      <c r="Z28" s="190" t="s"/>
    </row>
    <row r="29" spans="1:26" s="190" customFormat="true">
      <c r="A29" s="98">
        <v>45737</v>
      </c>
      <c r="B29" s="71">
        <f>=TODAY()-A29+1</f>
        <v>488</v>
      </c>
      <c r="C29" s="71" t="s">
        <v>53</v>
      </c>
      <c r="D29" s="71" t="s">
        <v>52</v>
      </c>
      <c r="E29" s="64" t="s"/>
      <c r="F29" s="71" t="s"/>
      <c r="G29" s="64" t="s">
        <v>428</v>
      </c>
      <c r="H29" s="64" t="s">
        <v>422</v>
      </c>
      <c r="I29" s="71" t="s">
        <v>454</v>
      </c>
      <c r="J29" s="71">
        <v>25</v>
      </c>
      <c r="K29" s="71" t="s"/>
      <c r="L29" s="71">
        <v>431</v>
      </c>
      <c r="M29" s="112">
        <f>=J29*L29</f>
        <v>10775</v>
      </c>
      <c r="N29" s="71">
        <v>3</v>
      </c>
      <c r="O29" s="195">
        <f>=ROUND(IF((TODAY()-A29+1)*N29*(L29/10000)+L29&lt;L29*1.002,L29*1.002,(TODAY()-A29+1)*N29*(L29/10000)+L29),2)</f>
        <v>494.23</v>
      </c>
      <c r="P29" s="71">
        <v>25</v>
      </c>
      <c r="Q29" s="71">
        <f>=J29-P29</f>
        <v>0</v>
      </c>
      <c r="R29" s="71">
        <v>25</v>
      </c>
      <c r="S29" s="112">
        <f>=P29-R29</f>
        <v>0</v>
      </c>
      <c r="T29" s="71">
        <f>=S29*L29</f>
        <v>0</v>
      </c>
      <c r="U29" s="190">
        <f>=J29-P29</f>
        <v>0</v>
      </c>
      <c r="V29" s="190" t="s"/>
      <c r="W29" s="190" t="s"/>
      <c r="X29" s="190" t="s"/>
      <c r="Y29" s="190" t="s"/>
      <c r="Z29" s="190" t="s"/>
    </row>
    <row r="30" spans="1:26" s="190" customFormat="true">
      <c r="A30" s="98">
        <v>45737</v>
      </c>
      <c r="B30" s="71">
        <f>=TODAY()-A30+1</f>
        <v>488</v>
      </c>
      <c r="C30" s="71" t="s">
        <v>53</v>
      </c>
      <c r="D30" s="71" t="s">
        <v>52</v>
      </c>
      <c r="E30" s="71" t="s"/>
      <c r="F30" s="71" t="s"/>
      <c r="G30" s="64" t="s">
        <v>428</v>
      </c>
      <c r="H30" s="64" t="s">
        <v>429</v>
      </c>
      <c r="I30" s="71" t="s">
        <v>455</v>
      </c>
      <c r="J30" s="71">
        <v>11</v>
      </c>
      <c r="K30" s="71" t="s"/>
      <c r="L30" s="71">
        <v>840</v>
      </c>
      <c r="M30" s="112">
        <f>=J30*L30</f>
        <v>9240</v>
      </c>
      <c r="N30" s="71">
        <v>3</v>
      </c>
      <c r="O30" s="195">
        <f>=ROUND(IF((TODAY()-A30+1)*N30*(L30/10000)+L30&lt;L30*1.002,L30*1.002,(TODAY()-A30+1)*N30*(L30/10000)+L30),2)</f>
        <v>963.23</v>
      </c>
      <c r="P30" s="71">
        <v>11</v>
      </c>
      <c r="Q30" s="71">
        <f>=J30-P30</f>
        <v>0</v>
      </c>
      <c r="R30" s="71">
        <v>11</v>
      </c>
      <c r="S30" s="112">
        <f>=P30-R30</f>
        <v>0</v>
      </c>
      <c r="T30" s="71">
        <f>=S30*L30</f>
        <v>0</v>
      </c>
      <c r="U30" s="190">
        <f>=J30-P30</f>
        <v>0</v>
      </c>
      <c r="V30" s="190" t="s"/>
      <c r="W30" s="190" t="s"/>
      <c r="X30" s="190" t="s"/>
      <c r="Y30" s="190" t="s"/>
      <c r="Z30" s="190" t="s"/>
    </row>
    <row r="31" spans="1:26" s="190" customFormat="true">
      <c r="A31" s="98">
        <v>45737</v>
      </c>
      <c r="B31" s="71">
        <f>=TODAY()-A31+1</f>
        <v>488</v>
      </c>
      <c r="C31" s="71" t="s">
        <v>53</v>
      </c>
      <c r="D31" s="71" t="s">
        <v>52</v>
      </c>
      <c r="E31" s="71" t="s"/>
      <c r="F31" s="71" t="s"/>
      <c r="G31" s="64" t="s">
        <v>428</v>
      </c>
      <c r="H31" s="64" t="s">
        <v>429</v>
      </c>
      <c r="I31" s="71" t="s">
        <v>456</v>
      </c>
      <c r="J31" s="71">
        <v>111</v>
      </c>
      <c r="K31" s="71" t="s"/>
      <c r="L31" s="71">
        <v>801</v>
      </c>
      <c r="M31" s="112">
        <f>=J31*L31</f>
        <v>88911</v>
      </c>
      <c r="N31" s="71">
        <v>3</v>
      </c>
      <c r="O31" s="195">
        <f>=ROUND(IF((TODAY()-A31+1)*N31*(L31/10000)+L31&lt;L31*1.002,L31*1.002,(TODAY()-A31+1)*N31*(L31/10000)+L31),2)</f>
        <v>918.51</v>
      </c>
      <c r="P31" s="71">
        <v>111</v>
      </c>
      <c r="Q31" s="71">
        <f>=J31-P31</f>
        <v>0</v>
      </c>
      <c r="R31" s="71">
        <v>111</v>
      </c>
      <c r="S31" s="112">
        <f>=P31-R31</f>
        <v>0</v>
      </c>
      <c r="T31" s="71">
        <f>=S31*L31</f>
        <v>0</v>
      </c>
      <c r="U31" s="190">
        <f>=J31-P31</f>
        <v>0</v>
      </c>
      <c r="V31" s="190" t="s"/>
      <c r="W31" s="190" t="s"/>
      <c r="X31" s="190" t="s"/>
      <c r="Y31" s="190" t="s"/>
      <c r="Z31" s="190" t="s"/>
    </row>
    <row r="32" spans="1:26" s="190" customFormat="true">
      <c r="A32" s="98">
        <v>45737</v>
      </c>
      <c r="B32" s="71">
        <f>=TODAY()-A32+1</f>
        <v>488</v>
      </c>
      <c r="C32" s="71" t="s">
        <v>53</v>
      </c>
      <c r="D32" s="71" t="s">
        <v>52</v>
      </c>
      <c r="E32" s="71" t="s"/>
      <c r="F32" s="71" t="s"/>
      <c r="G32" s="64" t="s">
        <v>428</v>
      </c>
      <c r="H32" s="64" t="s">
        <v>429</v>
      </c>
      <c r="I32" s="71" t="s">
        <v>457</v>
      </c>
      <c r="J32" s="71">
        <v>9</v>
      </c>
      <c r="K32" s="71" t="s"/>
      <c r="L32" s="71">
        <v>1079</v>
      </c>
      <c r="M32" s="112">
        <f>=J32*L32</f>
        <v>9711</v>
      </c>
      <c r="N32" s="71">
        <v>3</v>
      </c>
      <c r="O32" s="195">
        <f>=ROUND(IF((TODAY()-A32+1)*N32*(L32/10000)+L32&lt;L32*1.002,L32*1.002,(TODAY()-A32+1)*N32*(L32/10000)+L32),2)</f>
        <v>1237.29</v>
      </c>
      <c r="P32" s="71">
        <v>9</v>
      </c>
      <c r="Q32" s="71">
        <f>=J32-P32</f>
        <v>0</v>
      </c>
      <c r="R32" s="71">
        <v>9</v>
      </c>
      <c r="S32" s="112">
        <f>=P32-R32</f>
        <v>0</v>
      </c>
      <c r="T32" s="71">
        <f>=S32*L32</f>
        <v>0</v>
      </c>
      <c r="U32" s="190">
        <f>=J32-P32</f>
        <v>0</v>
      </c>
      <c r="V32" s="190" t="s"/>
      <c r="W32" s="190" t="s"/>
      <c r="X32" s="190" t="s"/>
      <c r="Y32" s="190" t="s"/>
      <c r="Z32" s="190" t="s"/>
    </row>
    <row r="33" spans="1:26" s="190" customFormat="true">
      <c r="A33" s="98">
        <v>45737</v>
      </c>
      <c r="B33" s="71">
        <f>=TODAY()-A33+1</f>
        <v>488</v>
      </c>
      <c r="C33" s="71" t="s">
        <v>53</v>
      </c>
      <c r="D33" s="71" t="s">
        <v>52</v>
      </c>
      <c r="E33" s="71" t="s"/>
      <c r="F33" s="71" t="s"/>
      <c r="G33" s="64" t="s">
        <v>428</v>
      </c>
      <c r="H33" s="64" t="s">
        <v>429</v>
      </c>
      <c r="I33" s="71" t="s">
        <v>458</v>
      </c>
      <c r="J33" s="71">
        <v>6</v>
      </c>
      <c r="K33" s="71" t="s"/>
      <c r="L33" s="71">
        <v>1799</v>
      </c>
      <c r="M33" s="112">
        <f>=J33*L33</f>
        <v>10794</v>
      </c>
      <c r="N33" s="71">
        <v>3</v>
      </c>
      <c r="O33" s="195">
        <f>=ROUND(IF((TODAY()-A33+1)*N33*(L33/10000)+L33&lt;L33*1.002,L33*1.002,(TODAY()-A33+1)*N33*(L33/10000)+L33),2)</f>
        <v>2062.91</v>
      </c>
      <c r="P33" s="71">
        <v>6</v>
      </c>
      <c r="Q33" s="71">
        <f>=J33-P33</f>
        <v>0</v>
      </c>
      <c r="R33" s="71">
        <v>6</v>
      </c>
      <c r="S33" s="112">
        <f>=P33-R33</f>
        <v>0</v>
      </c>
      <c r="T33" s="71">
        <f>=S33*L33</f>
        <v>0</v>
      </c>
      <c r="U33" s="190">
        <f>=J33-P33</f>
        <v>0</v>
      </c>
      <c r="V33" s="190" t="s"/>
      <c r="W33" s="190" t="s"/>
      <c r="X33" s="190" t="s"/>
      <c r="Y33" s="190" t="s"/>
      <c r="Z33" s="190" t="s"/>
    </row>
    <row r="34" spans="1:26" s="190" customFormat="true">
      <c r="A34" s="98">
        <v>45737</v>
      </c>
      <c r="B34" s="71">
        <f>=TODAY()-A34+1</f>
        <v>488</v>
      </c>
      <c r="C34" s="71" t="s">
        <v>53</v>
      </c>
      <c r="D34" s="71" t="s">
        <v>52</v>
      </c>
      <c r="E34" s="71" t="s"/>
      <c r="F34" s="71" t="s"/>
      <c r="G34" s="64" t="s">
        <v>428</v>
      </c>
      <c r="H34" s="64" t="s">
        <v>429</v>
      </c>
      <c r="I34" s="71" t="s">
        <v>459</v>
      </c>
      <c r="J34" s="71">
        <v>54</v>
      </c>
      <c r="K34" s="71" t="s"/>
      <c r="L34" s="71">
        <v>1302</v>
      </c>
      <c r="M34" s="112">
        <f>=J34*L34</f>
        <v>70308</v>
      </c>
      <c r="N34" s="71">
        <v>3</v>
      </c>
      <c r="O34" s="195">
        <f>=ROUND(IF((TODAY()-A34+1)*N34*(L34/10000)+L34&lt;L34*1.002,L34*1.002,(TODAY()-A34+1)*N34*(L34/10000)+L34),2)</f>
        <v>1493</v>
      </c>
      <c r="P34" s="71">
        <v>54</v>
      </c>
      <c r="Q34" s="71">
        <f>=J34-P34</f>
        <v>0</v>
      </c>
      <c r="R34" s="71">
        <v>54</v>
      </c>
      <c r="S34" s="112">
        <f>=P34-R34</f>
        <v>0</v>
      </c>
      <c r="T34" s="71">
        <f>=S34*L34</f>
        <v>0</v>
      </c>
      <c r="U34" s="190">
        <f>=J34-P34</f>
        <v>0</v>
      </c>
      <c r="V34" s="190" t="s"/>
      <c r="W34" s="190" t="s"/>
      <c r="X34" s="190" t="s"/>
      <c r="Y34" s="190" t="s"/>
      <c r="Z34" s="190" t="s"/>
    </row>
    <row r="35" spans="1:26" s="190" customFormat="true">
      <c r="A35" s="98">
        <v>45737</v>
      </c>
      <c r="B35" s="71">
        <f>=TODAY()-A35+1</f>
        <v>488</v>
      </c>
      <c r="C35" s="71" t="s">
        <v>53</v>
      </c>
      <c r="D35" s="71" t="s">
        <v>52</v>
      </c>
      <c r="E35" s="71" t="s"/>
      <c r="F35" s="71" t="s"/>
      <c r="G35" s="64" t="s">
        <v>428</v>
      </c>
      <c r="H35" s="64" t="s">
        <v>422</v>
      </c>
      <c r="I35" s="71" t="s">
        <v>432</v>
      </c>
      <c r="J35" s="71">
        <v>6</v>
      </c>
      <c r="K35" s="71" t="s"/>
      <c r="L35" s="71">
        <v>7028</v>
      </c>
      <c r="M35" s="112">
        <f>=J35*L35</f>
        <v>42168</v>
      </c>
      <c r="N35" s="71">
        <v>3</v>
      </c>
      <c r="O35" s="195">
        <f>=ROUND(IF((TODAY()-A35+1)*N35*(L35/10000)+L35&lt;L35*1.002,L35*1.002,(TODAY()-A35+1)*N35*(L35/10000)+L35),2)</f>
        <v>8059.01</v>
      </c>
      <c r="P35" s="71">
        <v>6</v>
      </c>
      <c r="Q35" s="71">
        <f>=J35-P35</f>
        <v>0</v>
      </c>
      <c r="R35" s="71">
        <v>6</v>
      </c>
      <c r="S35" s="112">
        <f>=P35-R35</f>
        <v>0</v>
      </c>
      <c r="T35" s="71">
        <f>=S35*L35</f>
        <v>0</v>
      </c>
      <c r="U35" s="190">
        <f>=J35-P35</f>
        <v>0</v>
      </c>
      <c r="V35" s="190" t="s"/>
      <c r="W35" s="190" t="s"/>
      <c r="X35" s="190" t="s"/>
      <c r="Y35" s="190" t="s"/>
      <c r="Z35" s="190" t="s"/>
    </row>
    <row r="36" spans="1:26" s="190" customFormat="true">
      <c r="A36" s="98">
        <v>45737</v>
      </c>
      <c r="B36" s="71">
        <f>=TODAY()-A36+1</f>
        <v>488</v>
      </c>
      <c r="C36" s="71" t="s">
        <v>53</v>
      </c>
      <c r="D36" s="71" t="s">
        <v>52</v>
      </c>
      <c r="E36" s="71" t="s"/>
      <c r="F36" s="71" t="s"/>
      <c r="G36" s="64" t="s">
        <v>428</v>
      </c>
      <c r="H36" s="64" t="s">
        <v>422</v>
      </c>
      <c r="I36" s="71" t="s">
        <v>435</v>
      </c>
      <c r="J36" s="71">
        <v>5</v>
      </c>
      <c r="K36" s="71" t="s"/>
      <c r="L36" s="71">
        <v>14336</v>
      </c>
      <c r="M36" s="112">
        <f>=J36*L36</f>
        <v>71680</v>
      </c>
      <c r="N36" s="71">
        <v>3</v>
      </c>
      <c r="O36" s="195">
        <f>=ROUND(IF((TODAY()-A36+1)*N36*(L36/10000)+L36&lt;L36*1.002,L36*1.002,(TODAY()-A36+1)*N36*(L36/10000)+L36),2)</f>
        <v>16439.09</v>
      </c>
      <c r="P36" s="71">
        <v>5</v>
      </c>
      <c r="Q36" s="71">
        <f>=J36-P36</f>
        <v>0</v>
      </c>
      <c r="R36" s="71">
        <v>5</v>
      </c>
      <c r="S36" s="112">
        <f>=P36-R36</f>
        <v>0</v>
      </c>
      <c r="T36" s="71">
        <f>=S36*L36</f>
        <v>0</v>
      </c>
      <c r="U36" s="190">
        <f>=J36-P36</f>
        <v>0</v>
      </c>
      <c r="V36" s="190" t="s"/>
      <c r="W36" s="190" t="s"/>
      <c r="X36" s="190" t="s"/>
      <c r="Y36" s="190" t="s"/>
      <c r="Z36" s="190" t="s"/>
    </row>
    <row r="37" spans="1:26" s="190" customFormat="true">
      <c r="A37" s="98">
        <v>45737</v>
      </c>
      <c r="B37" s="71">
        <f>=TODAY()-A37+1</f>
        <v>488</v>
      </c>
      <c r="C37" s="71" t="s">
        <v>53</v>
      </c>
      <c r="D37" s="71" t="s">
        <v>52</v>
      </c>
      <c r="E37" s="71" t="s"/>
      <c r="F37" s="71" t="s"/>
      <c r="G37" s="64" t="s">
        <v>428</v>
      </c>
      <c r="H37" s="64" t="s">
        <v>422</v>
      </c>
      <c r="I37" s="71" t="s">
        <v>437</v>
      </c>
      <c r="J37" s="71">
        <v>50</v>
      </c>
      <c r="K37" s="71" t="s"/>
      <c r="L37" s="71">
        <v>1869</v>
      </c>
      <c r="M37" s="112">
        <f>=J37*L37</f>
        <v>93450</v>
      </c>
      <c r="N37" s="71">
        <v>3</v>
      </c>
      <c r="O37" s="195">
        <f>=ROUND(IF((TODAY()-A37+1)*N37*(L37/10000)+L37&lt;L37*1.002,L37*1.002,(TODAY()-A37+1)*N37*(L37/10000)+L37),2)</f>
        <v>2143.18</v>
      </c>
      <c r="P37" s="71">
        <v>50</v>
      </c>
      <c r="Q37" s="71">
        <f>=J37-P37</f>
        <v>0</v>
      </c>
      <c r="R37" s="71">
        <v>50</v>
      </c>
      <c r="S37" s="112">
        <f>=P37-R37</f>
        <v>0</v>
      </c>
      <c r="T37" s="71">
        <f>=S37*L37</f>
        <v>0</v>
      </c>
      <c r="U37" s="190">
        <f>=J37-P37</f>
        <v>0</v>
      </c>
      <c r="V37" s="190" t="s"/>
      <c r="W37" s="190" t="s"/>
      <c r="X37" s="190" t="s"/>
      <c r="Y37" s="190" t="s"/>
      <c r="Z37" s="190" t="s"/>
    </row>
    <row r="38" spans="1:26" s="190" customFormat="true">
      <c r="A38" s="98">
        <v>45737</v>
      </c>
      <c r="B38" s="71">
        <f>=TODAY()-A38+1</f>
        <v>488</v>
      </c>
      <c r="C38" s="71" t="s">
        <v>53</v>
      </c>
      <c r="D38" s="71" t="s">
        <v>52</v>
      </c>
      <c r="E38" s="71" t="s"/>
      <c r="F38" s="71" t="s"/>
      <c r="G38" s="64" t="s">
        <v>428</v>
      </c>
      <c r="H38" s="64" t="s">
        <v>422</v>
      </c>
      <c r="I38" s="71" t="s">
        <v>460</v>
      </c>
      <c r="J38" s="71">
        <v>5</v>
      </c>
      <c r="K38" s="71" t="s"/>
      <c r="L38" s="71">
        <v>994</v>
      </c>
      <c r="M38" s="112">
        <f>=J38*L38</f>
        <v>4970</v>
      </c>
      <c r="N38" s="71">
        <v>3</v>
      </c>
      <c r="O38" s="195">
        <f>=ROUND(IF((TODAY()-A38+1)*N38*(L38/10000)+L38&lt;L38*1.002,L38*1.002,(TODAY()-A38+1)*N38*(L38/10000)+L38),2)</f>
        <v>1139.82</v>
      </c>
      <c r="P38" s="71">
        <v>5</v>
      </c>
      <c r="Q38" s="71">
        <f>=J38-P38</f>
        <v>0</v>
      </c>
      <c r="R38" s="71">
        <v>5</v>
      </c>
      <c r="S38" s="112">
        <f>=P38-R38</f>
        <v>0</v>
      </c>
      <c r="T38" s="71">
        <f>=S38*L38</f>
        <v>0</v>
      </c>
      <c r="U38" s="190">
        <f>=J38-P38</f>
        <v>0</v>
      </c>
      <c r="V38" s="190" t="s"/>
      <c r="W38" s="190" t="s"/>
      <c r="X38" s="190" t="s"/>
      <c r="Y38" s="190" t="s"/>
      <c r="Z38" s="190" t="s"/>
    </row>
    <row r="39" spans="1:26" s="190" customFormat="true">
      <c r="A39" s="98">
        <v>45737</v>
      </c>
      <c r="B39" s="71">
        <f>=TODAY()-A39+1</f>
        <v>488</v>
      </c>
      <c r="C39" s="71" t="s">
        <v>53</v>
      </c>
      <c r="D39" s="71" t="s">
        <v>52</v>
      </c>
      <c r="E39" s="71" t="s"/>
      <c r="F39" s="71" t="s"/>
      <c r="G39" s="64" t="s">
        <v>428</v>
      </c>
      <c r="H39" s="64" t="s">
        <v>422</v>
      </c>
      <c r="I39" s="71" t="s">
        <v>439</v>
      </c>
      <c r="J39" s="71">
        <v>24</v>
      </c>
      <c r="K39" s="71" t="s"/>
      <c r="L39" s="71">
        <v>998</v>
      </c>
      <c r="M39" s="112">
        <f>=J39*L39</f>
        <v>23952</v>
      </c>
      <c r="N39" s="71">
        <v>3</v>
      </c>
      <c r="O39" s="195">
        <f>=ROUND(IF((TODAY()-A39+1)*N39*(L39/10000)+L39&lt;L39*1.002,L39*1.002,(TODAY()-A39+1)*N39*(L39/10000)+L39),2)</f>
        <v>1144.41</v>
      </c>
      <c r="P39" s="71">
        <v>24</v>
      </c>
      <c r="Q39" s="71">
        <f>=J39-P39</f>
        <v>0</v>
      </c>
      <c r="R39" s="71">
        <v>24</v>
      </c>
      <c r="S39" s="112">
        <f>=P39-R39</f>
        <v>0</v>
      </c>
      <c r="T39" s="71">
        <f>=S39*L39</f>
        <v>0</v>
      </c>
      <c r="U39" s="190">
        <f>=J39-P39</f>
        <v>0</v>
      </c>
      <c r="V39" s="190" t="s"/>
      <c r="W39" s="190" t="s"/>
      <c r="X39" s="190" t="s"/>
      <c r="Y39" s="190" t="s"/>
      <c r="Z39" s="190" t="s"/>
    </row>
    <row r="40" spans="1:26" s="190" customFormat="true">
      <c r="A40" s="98">
        <v>45737</v>
      </c>
      <c r="B40" s="71">
        <f>=TODAY()-A40+1</f>
        <v>488</v>
      </c>
      <c r="C40" s="71" t="s">
        <v>53</v>
      </c>
      <c r="D40" s="71" t="s">
        <v>52</v>
      </c>
      <c r="E40" s="71" t="s"/>
      <c r="F40" s="71" t="s"/>
      <c r="G40" s="64" t="s">
        <v>428</v>
      </c>
      <c r="H40" s="64" t="s">
        <v>422</v>
      </c>
      <c r="I40" s="71" t="s">
        <v>461</v>
      </c>
      <c r="J40" s="71">
        <v>10</v>
      </c>
      <c r="K40" s="71" t="s"/>
      <c r="L40" s="71">
        <v>1538</v>
      </c>
      <c r="M40" s="112">
        <f>=J40*L40</f>
        <v>15380</v>
      </c>
      <c r="N40" s="71">
        <v>3</v>
      </c>
      <c r="O40" s="195">
        <f>=ROUND(IF((TODAY()-A40+1)*N40*(L40/10000)+L40&lt;L40*1.002,L40*1.002,(TODAY()-A40+1)*N40*(L40/10000)+L40),2)</f>
        <v>1763.62</v>
      </c>
      <c r="P40" s="71">
        <v>10</v>
      </c>
      <c r="Q40" s="71">
        <f>=J40-P40</f>
        <v>0</v>
      </c>
      <c r="R40" s="71">
        <v>10</v>
      </c>
      <c r="S40" s="112">
        <f>=P40-R40</f>
        <v>0</v>
      </c>
      <c r="T40" s="71">
        <f>=S40*L40</f>
        <v>0</v>
      </c>
      <c r="U40" s="190">
        <f>=J40-P40</f>
        <v>0</v>
      </c>
      <c r="V40" s="190" t="s"/>
      <c r="W40" s="190" t="s"/>
      <c r="X40" s="190" t="s"/>
      <c r="Y40" s="190" t="s"/>
      <c r="Z40" s="190" t="s"/>
    </row>
    <row r="41" spans="1:26" s="190" customFormat="true">
      <c r="A41" s="98">
        <v>45737</v>
      </c>
      <c r="B41" s="71">
        <f>=TODAY()-A41+1</f>
        <v>488</v>
      </c>
      <c r="C41" s="71" t="s">
        <v>53</v>
      </c>
      <c r="D41" s="71" t="s">
        <v>52</v>
      </c>
      <c r="E41" s="71" t="s"/>
      <c r="F41" s="71" t="s"/>
      <c r="G41" s="64" t="s">
        <v>428</v>
      </c>
      <c r="H41" s="64" t="s">
        <v>422</v>
      </c>
      <c r="I41" s="71" t="s">
        <v>441</v>
      </c>
      <c r="J41" s="71">
        <v>15</v>
      </c>
      <c r="K41" s="71" t="s"/>
      <c r="L41" s="71">
        <v>1771</v>
      </c>
      <c r="M41" s="112">
        <f>=J41*L41</f>
        <v>26565</v>
      </c>
      <c r="N41" s="71">
        <v>3</v>
      </c>
      <c r="O41" s="195">
        <f>=ROUND(IF((TODAY()-A41+1)*N41*(L41/10000)+L41&lt;L41*1.002,L41*1.002,(TODAY()-A41+1)*N41*(L41/10000)+L41),2)</f>
        <v>2030.81</v>
      </c>
      <c r="P41" s="71">
        <v>15</v>
      </c>
      <c r="Q41" s="71">
        <f>=J41-P41</f>
        <v>0</v>
      </c>
      <c r="R41" s="71">
        <v>15</v>
      </c>
      <c r="S41" s="112">
        <f>=P41-R41</f>
        <v>0</v>
      </c>
      <c r="T41" s="71">
        <f>=S41*L41</f>
        <v>0</v>
      </c>
      <c r="U41" s="190">
        <f>=J41-P41</f>
        <v>0</v>
      </c>
      <c r="V41" s="190" t="s"/>
      <c r="W41" s="190" t="s"/>
      <c r="X41" s="190" t="s"/>
      <c r="Y41" s="190" t="s"/>
      <c r="Z41" s="190" t="s"/>
    </row>
    <row r="42" spans="1:26" s="190" customFormat="true">
      <c r="A42" s="98">
        <v>45737</v>
      </c>
      <c r="B42" s="71">
        <f>=TODAY()-A42+1</f>
        <v>488</v>
      </c>
      <c r="C42" s="71" t="s">
        <v>53</v>
      </c>
      <c r="D42" s="71" t="s">
        <v>52</v>
      </c>
      <c r="E42" s="71" t="s"/>
      <c r="F42" s="71" t="s"/>
      <c r="G42" s="64" t="s">
        <v>428</v>
      </c>
      <c r="H42" s="64" t="s">
        <v>422</v>
      </c>
      <c r="I42" s="71" t="s">
        <v>442</v>
      </c>
      <c r="J42" s="71">
        <v>6</v>
      </c>
      <c r="K42" s="71" t="s"/>
      <c r="L42" s="71">
        <v>2317</v>
      </c>
      <c r="M42" s="112">
        <f>=J42*L42</f>
        <v>13902</v>
      </c>
      <c r="N42" s="71">
        <v>3</v>
      </c>
      <c r="O42" s="195">
        <f>=ROUND(IF((TODAY()-A42+1)*N42*(L42/10000)+L42&lt;L42*1.002,L42*1.002,(TODAY()-A42+1)*N42*(L42/10000)+L42),2)</f>
        <v>2656.9</v>
      </c>
      <c r="P42" s="71">
        <v>6</v>
      </c>
      <c r="Q42" s="71">
        <f>=J42-P42</f>
        <v>0</v>
      </c>
      <c r="R42" s="71">
        <v>6</v>
      </c>
      <c r="S42" s="112">
        <f>=P42-R42</f>
        <v>0</v>
      </c>
      <c r="T42" s="71">
        <f>=S42*L42</f>
        <v>0</v>
      </c>
      <c r="U42" s="190">
        <f>=J42-P42</f>
        <v>0</v>
      </c>
      <c r="V42" s="190" t="s"/>
      <c r="W42" s="190" t="s"/>
      <c r="X42" s="190" t="s"/>
      <c r="Y42" s="190" t="s"/>
      <c r="Z42" s="190" t="s"/>
    </row>
    <row r="43" spans="1:26" s="190" customFormat="true">
      <c r="A43" s="98">
        <v>45737</v>
      </c>
      <c r="B43" s="71">
        <f>=TODAY()-A43+1</f>
        <v>488</v>
      </c>
      <c r="C43" s="71" t="s">
        <v>53</v>
      </c>
      <c r="D43" s="71" t="s">
        <v>52</v>
      </c>
      <c r="E43" s="71" t="s"/>
      <c r="F43" s="71" t="s"/>
      <c r="G43" s="64" t="s">
        <v>428</v>
      </c>
      <c r="H43" s="64" t="s">
        <v>422</v>
      </c>
      <c r="I43" s="71" t="s">
        <v>443</v>
      </c>
      <c r="J43" s="71">
        <v>6</v>
      </c>
      <c r="K43" s="71" t="s"/>
      <c r="L43" s="71">
        <v>2251</v>
      </c>
      <c r="M43" s="112">
        <f>=J43*L43</f>
        <v>13506</v>
      </c>
      <c r="N43" s="71">
        <v>3</v>
      </c>
      <c r="O43" s="195">
        <f>=ROUND(IF((TODAY()-A43+1)*N43*(L43/10000)+L43&lt;L43*1.002,L43*1.002,(TODAY()-A43+1)*N43*(L43/10000)+L43),2)</f>
        <v>2581.22</v>
      </c>
      <c r="P43" s="71">
        <v>6</v>
      </c>
      <c r="Q43" s="71">
        <f>=J43-P43</f>
        <v>0</v>
      </c>
      <c r="R43" s="71">
        <v>6</v>
      </c>
      <c r="S43" s="112">
        <f>=P43-R43</f>
        <v>0</v>
      </c>
      <c r="T43" s="71">
        <f>=S43*L43</f>
        <v>0</v>
      </c>
      <c r="U43" s="190">
        <f>=J43-P43</f>
        <v>0</v>
      </c>
      <c r="V43" s="190" t="s"/>
      <c r="W43" s="190" t="s"/>
      <c r="X43" s="190" t="s"/>
      <c r="Y43" s="190" t="s"/>
      <c r="Z43" s="190" t="s"/>
    </row>
    <row r="44" spans="1:26" s="190" customFormat="true">
      <c r="A44" s="98">
        <v>45737</v>
      </c>
      <c r="B44" s="71">
        <f>=TODAY()-A44+1</f>
        <v>488</v>
      </c>
      <c r="C44" s="71" t="s">
        <v>53</v>
      </c>
      <c r="D44" s="71" t="s">
        <v>52</v>
      </c>
      <c r="E44" s="71" t="s"/>
      <c r="F44" s="71" t="s"/>
      <c r="G44" s="64" t="s">
        <v>428</v>
      </c>
      <c r="H44" s="64" t="s">
        <v>422</v>
      </c>
      <c r="I44" s="71" t="s">
        <v>462</v>
      </c>
      <c r="J44" s="71">
        <v>30</v>
      </c>
      <c r="K44" s="71" t="s"/>
      <c r="L44" s="71">
        <v>788</v>
      </c>
      <c r="M44" s="112">
        <f>=J44*L44</f>
        <v>23640</v>
      </c>
      <c r="N44" s="71">
        <v>3</v>
      </c>
      <c r="O44" s="195">
        <f>=ROUND(IF((TODAY()-A44+1)*N44*(L44/10000)+L44&lt;L44*1.002,L44*1.002,(TODAY()-A44+1)*N44*(L44/10000)+L44),2)</f>
        <v>903.6</v>
      </c>
      <c r="P44" s="71">
        <v>30</v>
      </c>
      <c r="Q44" s="71">
        <f>=J44-P44</f>
        <v>0</v>
      </c>
      <c r="R44" s="71">
        <v>30</v>
      </c>
      <c r="S44" s="112">
        <f>=P44-R44</f>
        <v>0</v>
      </c>
      <c r="T44" s="71">
        <f>=S44*L44</f>
        <v>0</v>
      </c>
      <c r="U44" s="190">
        <f>=J44-P44</f>
        <v>0</v>
      </c>
      <c r="V44" s="190" t="s"/>
      <c r="W44" s="190" t="s"/>
      <c r="X44" s="190" t="s"/>
      <c r="Y44" s="190" t="s"/>
      <c r="Z44" s="190" t="s"/>
    </row>
    <row r="45" spans="1:26" s="190" customFormat="true">
      <c r="A45" s="98">
        <v>45737</v>
      </c>
      <c r="B45" s="71">
        <f>=TODAY()-A45+1</f>
        <v>488</v>
      </c>
      <c r="C45" s="71" t="s">
        <v>53</v>
      </c>
      <c r="D45" s="71" t="s">
        <v>52</v>
      </c>
      <c r="E45" s="71" t="s"/>
      <c r="F45" s="71" t="s"/>
      <c r="G45" s="64" t="s">
        <v>428</v>
      </c>
      <c r="H45" s="64" t="s">
        <v>422</v>
      </c>
      <c r="I45" s="71" t="s">
        <v>463</v>
      </c>
      <c r="J45" s="71">
        <v>58</v>
      </c>
      <c r="K45" s="71" t="s"/>
      <c r="L45" s="71">
        <v>777</v>
      </c>
      <c r="M45" s="112">
        <f>=J45*L45</f>
        <v>45066</v>
      </c>
      <c r="N45" s="71">
        <v>3</v>
      </c>
      <c r="O45" s="195">
        <f>=ROUND(IF((TODAY()-A45+1)*N45*(L45/10000)+L45&lt;L45*1.002,L45*1.002,(TODAY()-A45+1)*N45*(L45/10000)+L45),2)</f>
        <v>890.99</v>
      </c>
      <c r="P45" s="71">
        <v>58</v>
      </c>
      <c r="Q45" s="71">
        <f>=J45-P45</f>
        <v>0</v>
      </c>
      <c r="R45" s="71">
        <v>58</v>
      </c>
      <c r="S45" s="112">
        <f>=P45-R45</f>
        <v>0</v>
      </c>
      <c r="T45" s="71">
        <f>=S45*L45</f>
        <v>0</v>
      </c>
      <c r="U45" s="190">
        <f>=J45-P45</f>
        <v>0</v>
      </c>
      <c r="V45" s="190" t="s"/>
      <c r="W45" s="190" t="s"/>
      <c r="X45" s="190" t="s"/>
      <c r="Y45" s="190" t="s"/>
      <c r="Z45" s="190" t="s"/>
    </row>
    <row r="46" spans="1:26" s="190" customFormat="true">
      <c r="A46" s="98">
        <v>45737</v>
      </c>
      <c r="B46" s="71">
        <f>=TODAY()-A46+1</f>
        <v>488</v>
      </c>
      <c r="C46" s="71" t="s">
        <v>53</v>
      </c>
      <c r="D46" s="71" t="s">
        <v>52</v>
      </c>
      <c r="E46" s="71" t="s"/>
      <c r="F46" s="71" t="s"/>
      <c r="G46" s="64" t="s">
        <v>428</v>
      </c>
      <c r="H46" s="64" t="s">
        <v>449</v>
      </c>
      <c r="I46" s="71" t="s">
        <v>464</v>
      </c>
      <c r="J46" s="71">
        <v>7</v>
      </c>
      <c r="K46" s="71" t="s"/>
      <c r="L46" s="71">
        <v>1204</v>
      </c>
      <c r="M46" s="112">
        <f>=J46*L46</f>
        <v>8428</v>
      </c>
      <c r="N46" s="71">
        <v>3</v>
      </c>
      <c r="O46" s="195">
        <f>=ROUND(IF((TODAY()-A46+1)*N46*(L46/10000)+L46&lt;L46*1.002,L46*1.002,(TODAY()-A46+1)*N46*(L46/10000)+L46),2)</f>
        <v>1380.63</v>
      </c>
      <c r="P46" s="71">
        <v>7</v>
      </c>
      <c r="Q46" s="71">
        <f>=J46-P46</f>
        <v>0</v>
      </c>
      <c r="R46" s="71">
        <v>7</v>
      </c>
      <c r="S46" s="112">
        <f>=P46-R46</f>
        <v>0</v>
      </c>
      <c r="T46" s="71">
        <f>=S46*L46</f>
        <v>0</v>
      </c>
      <c r="U46" s="190">
        <f>=J46-P46</f>
        <v>0</v>
      </c>
      <c r="V46" s="190" t="s"/>
      <c r="W46" s="190" t="s"/>
      <c r="X46" s="190" t="s"/>
      <c r="Y46" s="190" t="s"/>
      <c r="Z46" s="190" t="s"/>
    </row>
    <row r="47" spans="1:26" s="190" customFormat="true">
      <c r="A47" s="98">
        <v>45737</v>
      </c>
      <c r="B47" s="71">
        <f>=TODAY()-A47+1</f>
        <v>488</v>
      </c>
      <c r="C47" s="71" t="s">
        <v>53</v>
      </c>
      <c r="D47" s="71" t="s">
        <v>52</v>
      </c>
      <c r="E47" s="71" t="s"/>
      <c r="F47" s="71" t="s"/>
      <c r="G47" s="64" t="s">
        <v>428</v>
      </c>
      <c r="H47" s="64" t="s">
        <v>429</v>
      </c>
      <c r="I47" s="71" t="s">
        <v>465</v>
      </c>
      <c r="J47" s="71">
        <v>6</v>
      </c>
      <c r="K47" s="71" t="s"/>
      <c r="L47" s="71">
        <v>4116</v>
      </c>
      <c r="M47" s="112">
        <f>=J47*L47</f>
        <v>24696</v>
      </c>
      <c r="N47" s="71">
        <v>3</v>
      </c>
      <c r="O47" s="195">
        <f>=ROUND(IF((TODAY()-A47+1)*N47*(L47/10000)+L47&lt;L47*1.002,L47*1.002,(TODAY()-A47+1)*N47*(L47/10000)+L47),2)</f>
        <v>4719.82</v>
      </c>
      <c r="P47" s="71">
        <v>6</v>
      </c>
      <c r="Q47" s="71">
        <f>=J47-P47</f>
        <v>0</v>
      </c>
      <c r="R47" s="71">
        <v>6</v>
      </c>
      <c r="S47" s="112">
        <f>=P47-R47</f>
        <v>0</v>
      </c>
      <c r="T47" s="71">
        <f>=S47*L47</f>
        <v>0</v>
      </c>
      <c r="U47" s="190">
        <f>=J47-P47</f>
        <v>0</v>
      </c>
      <c r="V47" s="190" t="s"/>
      <c r="W47" s="190" t="s"/>
      <c r="X47" s="190" t="s"/>
      <c r="Y47" s="190" t="s"/>
      <c r="Z47" s="190" t="s"/>
    </row>
    <row r="48" spans="1:26" s="218" customFormat="true">
      <c r="A48" s="98">
        <v>45749</v>
      </c>
      <c r="B48" s="71">
        <f>=TODAY()-A48+1</f>
        <v>476</v>
      </c>
      <c r="C48" s="71" t="s">
        <v>57</v>
      </c>
      <c r="D48" s="71" t="s">
        <v>56</v>
      </c>
      <c r="E48" s="71" t="s">
        <v>37</v>
      </c>
      <c r="F48" s="71" t="s">
        <v>466</v>
      </c>
      <c r="G48" s="64" t="s">
        <v>428</v>
      </c>
      <c r="H48" s="64" t="s">
        <v>422</v>
      </c>
      <c r="I48" s="71" t="s">
        <v>467</v>
      </c>
      <c r="J48" s="71">
        <v>910</v>
      </c>
      <c r="K48" s="71" t="s"/>
      <c r="L48" s="71">
        <v>840</v>
      </c>
      <c r="M48" s="112">
        <f>=J48*L48</f>
        <v>764400</v>
      </c>
      <c r="N48" s="71">
        <v>2.5</v>
      </c>
      <c r="O48" s="195">
        <f>=ROUND(IF((TODAY()-A48+1)*N48*(L48/10000)+L48&lt;L48*1.002,L48*1.002,(TODAY()-A48+1)*N48*(L48/10000)+L48),2)</f>
        <v>940.17</v>
      </c>
      <c r="P48" s="71">
        <v>910</v>
      </c>
      <c r="Q48" s="71">
        <f>=J48-P48</f>
        <v>0</v>
      </c>
      <c r="R48" s="71">
        <v>910</v>
      </c>
      <c r="S48" s="112">
        <f>=P48-R48</f>
        <v>0</v>
      </c>
      <c r="T48" s="71">
        <f>=S48*L48</f>
        <v>0</v>
      </c>
      <c r="U48" s="190">
        <f>=J48-P48</f>
        <v>0</v>
      </c>
      <c r="V48" s="190" t="s"/>
      <c r="W48" s="190" t="s"/>
      <c r="X48" s="190" t="s"/>
      <c r="Y48" s="190" t="s"/>
      <c r="Z48" s="190" t="s"/>
    </row>
    <row r="49" spans="1:26" s="576" customFormat="true">
      <c r="A49" s="80">
        <v>45840</v>
      </c>
      <c r="B49" s="71">
        <f>=TODAY()-A49+1</f>
        <v>385</v>
      </c>
      <c r="C49" s="64" t="s">
        <v>59</v>
      </c>
      <c r="D49" s="64" t="s">
        <v>50</v>
      </c>
      <c r="E49" s="196" t="s">
        <v>468</v>
      </c>
      <c r="F49" s="140" t="s">
        <v>469</v>
      </c>
      <c r="G49" s="64" t="s">
        <v>428</v>
      </c>
      <c r="H49" s="64" t="s">
        <v>470</v>
      </c>
      <c r="I49" s="64" t="s">
        <v>471</v>
      </c>
      <c r="J49" s="64">
        <v>2</v>
      </c>
      <c r="K49" s="64" t="s"/>
      <c r="L49" s="64">
        <v>2984</v>
      </c>
      <c r="M49" s="197">
        <f>=J49*L49</f>
        <v>5968</v>
      </c>
      <c r="N49" s="64">
        <v>3</v>
      </c>
      <c r="O49" s="198">
        <f>=ROUND(IF((TODAY()-A49+1)*N49*(L49/10000)+L49&lt;L49*1.002,L49*1.002,(TODAY()-A49+1)*N49*(L49/10000)+L49),2)</f>
        <v>3329.55</v>
      </c>
      <c r="P49" s="64">
        <v>2</v>
      </c>
      <c r="Q49" s="64">
        <f>=J49-P49</f>
        <v>0</v>
      </c>
      <c r="R49" s="199">
        <v>2</v>
      </c>
      <c r="S49" s="112">
        <f>=P49-R49</f>
        <v>0</v>
      </c>
      <c r="T49" s="71">
        <f>=S49*L49</f>
        <v>0</v>
      </c>
      <c r="U49" s="190">
        <f>=J49-P49</f>
        <v>0</v>
      </c>
      <c r="V49" s="87" t="s"/>
      <c r="W49" s="87" t="s"/>
      <c r="X49" s="87" t="s"/>
      <c r="Y49" s="87" t="s"/>
      <c r="Z49" s="87" t="s"/>
    </row>
    <row r="50" spans="1:26" s="576" customFormat="true">
      <c r="A50" s="80">
        <v>45840</v>
      </c>
      <c r="B50" s="71">
        <f>=TODAY()-A50+1</f>
        <v>385</v>
      </c>
      <c r="C50" s="64" t="s">
        <v>59</v>
      </c>
      <c r="D50" s="64" t="s">
        <v>50</v>
      </c>
      <c r="E50" s="196" t="s">
        <v>472</v>
      </c>
      <c r="F50" s="140" t="s">
        <v>469</v>
      </c>
      <c r="G50" s="64" t="s">
        <v>428</v>
      </c>
      <c r="H50" s="64" t="s">
        <v>470</v>
      </c>
      <c r="I50" s="64" t="s">
        <v>473</v>
      </c>
      <c r="J50" s="64">
        <v>3</v>
      </c>
      <c r="K50" s="64" t="s"/>
      <c r="L50" s="64">
        <v>2984</v>
      </c>
      <c r="M50" s="197">
        <f>=J50*L50</f>
        <v>8952</v>
      </c>
      <c r="N50" s="64">
        <v>3</v>
      </c>
      <c r="O50" s="198">
        <f>=ROUND(IF((TODAY()-A50+1)*N50*(L50/10000)+L50&lt;L50*1.002,L50*1.002,(TODAY()-A50+1)*N50*(L50/10000)+L50),2)</f>
        <v>3329.55</v>
      </c>
      <c r="P50" s="64">
        <v>3</v>
      </c>
      <c r="Q50" s="64">
        <f>=J50-P50</f>
        <v>0</v>
      </c>
      <c r="R50" s="200">
        <v>3</v>
      </c>
      <c r="S50" s="112">
        <f>=P50-R50</f>
        <v>0</v>
      </c>
      <c r="T50" s="71">
        <f>=S50*L50</f>
        <v>0</v>
      </c>
      <c r="U50" s="190">
        <f>=J50-P50</f>
        <v>0</v>
      </c>
      <c r="V50" s="87" t="s"/>
      <c r="W50" s="87" t="s"/>
      <c r="X50" s="87" t="s"/>
      <c r="Y50" s="87" t="s"/>
      <c r="Z50" s="87" t="s"/>
    </row>
    <row r="51" spans="1:26" s="576" customFormat="true">
      <c r="A51" s="80">
        <v>45840</v>
      </c>
      <c r="B51" s="71">
        <f>=TODAY()-A51+1</f>
        <v>385</v>
      </c>
      <c r="C51" s="64" t="s">
        <v>59</v>
      </c>
      <c r="D51" s="64" t="s">
        <v>50</v>
      </c>
      <c r="E51" s="196" t="s">
        <v>474</v>
      </c>
      <c r="F51" s="140" t="s">
        <v>469</v>
      </c>
      <c r="G51" s="64" t="s">
        <v>428</v>
      </c>
      <c r="H51" s="64" t="s">
        <v>470</v>
      </c>
      <c r="I51" s="64" t="s">
        <v>475</v>
      </c>
      <c r="J51" s="64">
        <v>15</v>
      </c>
      <c r="K51" s="64" t="s"/>
      <c r="L51" s="64">
        <v>3280</v>
      </c>
      <c r="M51" s="197">
        <f>=J51*L51</f>
        <v>49200</v>
      </c>
      <c r="N51" s="64">
        <v>3</v>
      </c>
      <c r="O51" s="198">
        <f>=ROUND(IF((TODAY()-A51+1)*N51*(L51/10000)+L51&lt;L51*1.002,L51*1.002,(TODAY()-A51+1)*N51*(L51/10000)+L51),2)</f>
        <v>3659.82</v>
      </c>
      <c r="P51" s="64">
        <v>15</v>
      </c>
      <c r="Q51" s="64">
        <f>=J51-P51</f>
        <v>0</v>
      </c>
      <c r="R51" s="201">
        <v>15</v>
      </c>
      <c r="S51" s="112">
        <f>=P51-R51</f>
        <v>0</v>
      </c>
      <c r="T51" s="71">
        <f>=S51*L51</f>
        <v>0</v>
      </c>
      <c r="U51" s="190">
        <f>=J51-P51</f>
        <v>0</v>
      </c>
      <c r="V51" s="87" t="s"/>
      <c r="W51" s="87" t="s"/>
      <c r="X51" s="87" t="s"/>
      <c r="Y51" s="87" t="s"/>
      <c r="Z51" s="87" t="s"/>
    </row>
    <row r="52" spans="1:26" s="576" customFormat="true">
      <c r="A52" s="80">
        <v>45840</v>
      </c>
      <c r="B52" s="71">
        <f>=TODAY()-A52+1</f>
        <v>385</v>
      </c>
      <c r="C52" s="64" t="s">
        <v>59</v>
      </c>
      <c r="D52" s="64" t="s">
        <v>50</v>
      </c>
      <c r="E52" s="196" t="s">
        <v>476</v>
      </c>
      <c r="F52" s="140" t="s">
        <v>469</v>
      </c>
      <c r="G52" s="64" t="s">
        <v>428</v>
      </c>
      <c r="H52" s="64" t="s">
        <v>470</v>
      </c>
      <c r="I52" s="64" t="s">
        <v>477</v>
      </c>
      <c r="J52" s="64">
        <v>5</v>
      </c>
      <c r="K52" s="64" t="s"/>
      <c r="L52" s="64">
        <v>3120</v>
      </c>
      <c r="M52" s="197">
        <f>=J52*L52</f>
        <v>15600</v>
      </c>
      <c r="N52" s="64">
        <v>3</v>
      </c>
      <c r="O52" s="198">
        <f>=ROUND(IF((TODAY()-A52+1)*N52*(L52/10000)+L52&lt;L52*1.002,L52*1.002,(TODAY()-A52+1)*N52*(L52/10000)+L52),2)</f>
        <v>3481.3</v>
      </c>
      <c r="P52" s="64">
        <v>5</v>
      </c>
      <c r="Q52" s="64">
        <f>=J52-P52</f>
        <v>0</v>
      </c>
      <c r="R52" s="202">
        <v>5</v>
      </c>
      <c r="S52" s="112">
        <f>=P52-R52</f>
        <v>0</v>
      </c>
      <c r="T52" s="71">
        <f>=S52*L52</f>
        <v>0</v>
      </c>
      <c r="U52" s="190">
        <f>=J52-P52</f>
        <v>0</v>
      </c>
      <c r="V52" s="87" t="s"/>
      <c r="W52" s="87" t="s"/>
      <c r="X52" s="87" t="s"/>
      <c r="Y52" s="87" t="s"/>
      <c r="Z52" s="87" t="s"/>
    </row>
    <row r="53" spans="1:26" s="576" customFormat="true">
      <c r="A53" s="80">
        <v>45840</v>
      </c>
      <c r="B53" s="71">
        <f>=TODAY()-A53+1</f>
        <v>385</v>
      </c>
      <c r="C53" s="64" t="s">
        <v>59</v>
      </c>
      <c r="D53" s="64" t="s">
        <v>50</v>
      </c>
      <c r="E53" s="196" t="s">
        <v>478</v>
      </c>
      <c r="F53" s="140" t="s">
        <v>469</v>
      </c>
      <c r="G53" s="64" t="s">
        <v>428</v>
      </c>
      <c r="H53" s="64" t="s">
        <v>429</v>
      </c>
      <c r="I53" s="64" t="s">
        <v>479</v>
      </c>
      <c r="J53" s="64">
        <v>5</v>
      </c>
      <c r="K53" s="64" t="s"/>
      <c r="L53" s="64">
        <v>1856</v>
      </c>
      <c r="M53" s="197">
        <f>=J53*L53</f>
        <v>9280</v>
      </c>
      <c r="N53" s="64">
        <v>3</v>
      </c>
      <c r="O53" s="198">
        <f>=ROUND(IF((TODAY()-A53+1)*N53*(L53/10000)+L53&lt;L53*1.002,L53*1.002,(TODAY()-A53+1)*N53*(L53/10000)+L53),2)</f>
        <v>2070.92</v>
      </c>
      <c r="P53" s="64">
        <v>5</v>
      </c>
      <c r="Q53" s="64">
        <f>=J53-P53</f>
        <v>0</v>
      </c>
      <c r="R53" s="64">
        <v>0</v>
      </c>
      <c r="S53" s="112">
        <f>=P53-R53</f>
        <v>5</v>
      </c>
      <c r="T53" s="71">
        <f>=S53*L53</f>
        <v>9280</v>
      </c>
      <c r="U53" s="190">
        <f>=J53-P53</f>
        <v>0</v>
      </c>
      <c r="V53" s="87" t="s"/>
      <c r="W53" s="87" t="s"/>
      <c r="X53" s="87" t="s"/>
      <c r="Y53" s="87" t="s"/>
      <c r="Z53" s="87" t="s"/>
    </row>
    <row r="54" spans="1:26" s="576" customFormat="true">
      <c r="A54" s="80">
        <v>45840</v>
      </c>
      <c r="B54" s="71">
        <f>=TODAY()-A54+1</f>
        <v>385</v>
      </c>
      <c r="C54" s="64" t="s">
        <v>59</v>
      </c>
      <c r="D54" s="64" t="s">
        <v>50</v>
      </c>
      <c r="E54" s="196" t="s">
        <v>480</v>
      </c>
      <c r="F54" s="140" t="s">
        <v>469</v>
      </c>
      <c r="G54" s="64" t="s">
        <v>428</v>
      </c>
      <c r="H54" s="64" t="s">
        <v>422</v>
      </c>
      <c r="I54" s="64" t="s">
        <v>481</v>
      </c>
      <c r="J54" s="64">
        <v>13</v>
      </c>
      <c r="K54" s="64" t="s"/>
      <c r="L54" s="64">
        <v>1320</v>
      </c>
      <c r="M54" s="197">
        <f>=J54*L54</f>
        <v>17160</v>
      </c>
      <c r="N54" s="64">
        <v>3</v>
      </c>
      <c r="O54" s="198">
        <f>=ROUND(IF((TODAY()-A54+1)*N54*(L54/10000)+L54&lt;L54*1.002,L54*1.002,(TODAY()-A54+1)*N54*(L54/10000)+L54),2)</f>
        <v>1472.86</v>
      </c>
      <c r="P54" s="64">
        <v>13</v>
      </c>
      <c r="Q54" s="64">
        <f>=J54-P54</f>
        <v>0</v>
      </c>
      <c r="R54" s="64">
        <v>0</v>
      </c>
      <c r="S54" s="112">
        <f>=P54-R54</f>
        <v>13</v>
      </c>
      <c r="T54" s="71">
        <f>=S54*L54</f>
        <v>17160</v>
      </c>
      <c r="U54" s="190">
        <f>=J54-P54</f>
        <v>0</v>
      </c>
      <c r="V54" s="87" t="s"/>
      <c r="W54" s="87" t="s"/>
      <c r="X54" s="87" t="s"/>
      <c r="Y54" s="87" t="s"/>
      <c r="Z54" s="87" t="s"/>
    </row>
    <row r="55" spans="1:26" s="576" customFormat="true">
      <c r="A55" s="80">
        <v>45840</v>
      </c>
      <c r="B55" s="71">
        <f>=TODAY()-A55+1</f>
        <v>385</v>
      </c>
      <c r="C55" s="64" t="s">
        <v>59</v>
      </c>
      <c r="D55" s="64" t="s">
        <v>50</v>
      </c>
      <c r="E55" s="196" t="s">
        <v>482</v>
      </c>
      <c r="F55" s="140" t="s">
        <v>469</v>
      </c>
      <c r="G55" s="64" t="s">
        <v>428</v>
      </c>
      <c r="H55" s="64" t="s">
        <v>422</v>
      </c>
      <c r="I55" s="64" t="s">
        <v>483</v>
      </c>
      <c r="J55" s="64">
        <v>5</v>
      </c>
      <c r="K55" s="64" t="s"/>
      <c r="L55" s="64">
        <v>1320</v>
      </c>
      <c r="M55" s="197">
        <f>=J55*L55</f>
        <v>6600</v>
      </c>
      <c r="N55" s="64">
        <v>3</v>
      </c>
      <c r="O55" s="198">
        <f>=ROUND(IF((TODAY()-A55+1)*N55*(L55/10000)+L55&lt;L55*1.002,L55*1.002,(TODAY()-A55+1)*N55*(L55/10000)+L55),2)</f>
        <v>1472.86</v>
      </c>
      <c r="P55" s="64">
        <v>5</v>
      </c>
      <c r="Q55" s="64">
        <f>=J55-P55</f>
        <v>0</v>
      </c>
      <c r="R55" s="64">
        <v>0</v>
      </c>
      <c r="S55" s="112">
        <f>=P55-R55</f>
        <v>5</v>
      </c>
      <c r="T55" s="71">
        <f>=S55*L55</f>
        <v>6600</v>
      </c>
      <c r="U55" s="190">
        <f>=J55-P55</f>
        <v>0</v>
      </c>
      <c r="V55" s="87" t="s"/>
      <c r="W55" s="87" t="s"/>
      <c r="X55" s="87" t="s"/>
      <c r="Y55" s="87" t="s"/>
      <c r="Z55" s="87" t="s"/>
    </row>
    <row r="56" spans="1:26" s="576" customFormat="true">
      <c r="A56" s="80">
        <v>45840</v>
      </c>
      <c r="B56" s="71">
        <f>=TODAY()-A56+1</f>
        <v>385</v>
      </c>
      <c r="C56" s="64" t="s">
        <v>59</v>
      </c>
      <c r="D56" s="64" t="s">
        <v>50</v>
      </c>
      <c r="E56" s="196" t="s">
        <v>484</v>
      </c>
      <c r="F56" s="140" t="s">
        <v>469</v>
      </c>
      <c r="G56" s="64" t="s">
        <v>428</v>
      </c>
      <c r="H56" s="64" t="s">
        <v>422</v>
      </c>
      <c r="I56" s="64" t="s">
        <v>485</v>
      </c>
      <c r="J56" s="64">
        <v>14</v>
      </c>
      <c r="K56" s="64" t="s"/>
      <c r="L56" s="64">
        <v>1104</v>
      </c>
      <c r="M56" s="197">
        <f>=J56*L56</f>
        <v>15456</v>
      </c>
      <c r="N56" s="64">
        <v>3</v>
      </c>
      <c r="O56" s="198">
        <f>=ROUND(IF((TODAY()-A56+1)*N56*(L56/10000)+L56&lt;L56*1.002,L56*1.002,(TODAY()-A56+1)*N56*(L56/10000)+L56),2)</f>
        <v>1231.84</v>
      </c>
      <c r="P56" s="64">
        <v>14</v>
      </c>
      <c r="Q56" s="64">
        <f>=J56-P56</f>
        <v>0</v>
      </c>
      <c r="R56" s="64">
        <v>0</v>
      </c>
      <c r="S56" s="112">
        <f>=P56-R56</f>
        <v>14</v>
      </c>
      <c r="T56" s="71">
        <f>=S56*L56</f>
        <v>15456</v>
      </c>
      <c r="U56" s="190">
        <f>=J56-P56</f>
        <v>0</v>
      </c>
      <c r="V56" s="87" t="s"/>
      <c r="W56" s="87" t="s"/>
      <c r="X56" s="87" t="s"/>
      <c r="Y56" s="87" t="s"/>
      <c r="Z56" s="87" t="s"/>
    </row>
    <row r="57" spans="1:26" s="576" customFormat="true">
      <c r="A57" s="80">
        <v>45840</v>
      </c>
      <c r="B57" s="71">
        <f>=TODAY()-A57+1</f>
        <v>385</v>
      </c>
      <c r="C57" s="64" t="s">
        <v>59</v>
      </c>
      <c r="D57" s="64" t="s">
        <v>50</v>
      </c>
      <c r="E57" s="196" t="s">
        <v>486</v>
      </c>
      <c r="F57" s="140" t="s">
        <v>469</v>
      </c>
      <c r="G57" s="64" t="s">
        <v>428</v>
      </c>
      <c r="H57" s="64" t="s">
        <v>422</v>
      </c>
      <c r="I57" s="64" t="s">
        <v>487</v>
      </c>
      <c r="J57" s="64">
        <v>16</v>
      </c>
      <c r="K57" s="64" t="s"/>
      <c r="L57" s="64">
        <v>1104</v>
      </c>
      <c r="M57" s="197">
        <f>=J57*L57</f>
        <v>17664</v>
      </c>
      <c r="N57" s="64">
        <v>3</v>
      </c>
      <c r="O57" s="198">
        <f>=ROUND(IF((TODAY()-A57+1)*N57*(L57/10000)+L57&lt;L57*1.002,L57*1.002,(TODAY()-A57+1)*N57*(L57/10000)+L57),2)</f>
        <v>1231.84</v>
      </c>
      <c r="P57" s="64">
        <v>16</v>
      </c>
      <c r="Q57" s="64">
        <f>=J57-P57</f>
        <v>0</v>
      </c>
      <c r="R57" s="64">
        <v>0</v>
      </c>
      <c r="S57" s="112">
        <f>=P57-R57</f>
        <v>16</v>
      </c>
      <c r="T57" s="71">
        <f>=S57*L57</f>
        <v>17664</v>
      </c>
      <c r="U57" s="190">
        <f>=J57-P57</f>
        <v>0</v>
      </c>
      <c r="V57" s="87" t="s"/>
      <c r="W57" s="87" t="s"/>
      <c r="X57" s="87" t="s"/>
      <c r="Y57" s="87" t="s"/>
      <c r="Z57" s="87" t="s"/>
    </row>
    <row r="58" spans="1:26" s="576" customFormat="true">
      <c r="A58" s="80">
        <v>45840</v>
      </c>
      <c r="B58" s="71">
        <f>=TODAY()-A58+1</f>
        <v>385</v>
      </c>
      <c r="C58" s="64" t="s">
        <v>59</v>
      </c>
      <c r="D58" s="64" t="s">
        <v>50</v>
      </c>
      <c r="E58" s="196" t="s">
        <v>488</v>
      </c>
      <c r="F58" s="140" t="s">
        <v>469</v>
      </c>
      <c r="G58" s="64" t="s">
        <v>428</v>
      </c>
      <c r="H58" s="64" t="s">
        <v>429</v>
      </c>
      <c r="I58" s="64" t="s">
        <v>489</v>
      </c>
      <c r="J58" s="64">
        <v>6</v>
      </c>
      <c r="K58" s="64" t="s"/>
      <c r="L58" s="64">
        <v>2704</v>
      </c>
      <c r="M58" s="197">
        <f>=J58*L58</f>
        <v>16224</v>
      </c>
      <c r="N58" s="64">
        <v>3</v>
      </c>
      <c r="O58" s="198">
        <f>=ROUND(IF((TODAY()-A58+1)*N58*(L58/10000)+L58&lt;L58*1.002,L58*1.002,(TODAY()-A58+1)*N58*(L58/10000)+L58),2)</f>
        <v>3017.12</v>
      </c>
      <c r="P58" s="64">
        <v>6</v>
      </c>
      <c r="Q58" s="64">
        <f>=J58-P58</f>
        <v>0</v>
      </c>
      <c r="R58" s="64">
        <v>0</v>
      </c>
      <c r="S58" s="112">
        <f>=P58-R58</f>
        <v>6</v>
      </c>
      <c r="T58" s="71">
        <f>=S58*L58</f>
        <v>16224</v>
      </c>
      <c r="U58" s="190">
        <f>=J58-P58</f>
        <v>0</v>
      </c>
      <c r="V58" s="87" t="s"/>
      <c r="W58" s="87" t="s"/>
      <c r="X58" s="87" t="s"/>
      <c r="Y58" s="87" t="s"/>
      <c r="Z58" s="87" t="s"/>
    </row>
    <row r="59" spans="1:26" s="576" customFormat="true">
      <c r="A59" s="80">
        <v>45840</v>
      </c>
      <c r="B59" s="71">
        <f>=TODAY()-A59+1</f>
        <v>385</v>
      </c>
      <c r="C59" s="64" t="s">
        <v>59</v>
      </c>
      <c r="D59" s="64" t="s">
        <v>50</v>
      </c>
      <c r="E59" s="196" t="s">
        <v>490</v>
      </c>
      <c r="F59" s="140" t="s">
        <v>469</v>
      </c>
      <c r="G59" s="64" t="s">
        <v>428</v>
      </c>
      <c r="H59" s="64" t="s">
        <v>422</v>
      </c>
      <c r="I59" s="64" t="s">
        <v>491</v>
      </c>
      <c r="J59" s="64">
        <v>10</v>
      </c>
      <c r="K59" s="64" t="s"/>
      <c r="L59" s="64">
        <v>2656</v>
      </c>
      <c r="M59" s="197">
        <f>=J59*L59</f>
        <v>26560</v>
      </c>
      <c r="N59" s="64">
        <v>3</v>
      </c>
      <c r="O59" s="198">
        <f>=ROUND(IF((TODAY()-A59+1)*N59*(L59/10000)+L59&lt;L59*1.002,L59*1.002,(TODAY()-A59+1)*N59*(L59/10000)+L59),2)</f>
        <v>2963.56</v>
      </c>
      <c r="P59" s="64">
        <v>10</v>
      </c>
      <c r="Q59" s="64">
        <f>=J59-P59</f>
        <v>0</v>
      </c>
      <c r="S59" s="112">
        <f>=P59-R59</f>
        <v>10</v>
      </c>
      <c r="T59" s="71">
        <f>=S59*L59</f>
        <v>26560</v>
      </c>
      <c r="U59" s="190">
        <f>=J59-P59</f>
        <v>0</v>
      </c>
      <c r="V59" s="87" t="s"/>
      <c r="W59" s="87" t="s"/>
      <c r="X59" s="87" t="s"/>
      <c r="Y59" s="87" t="s"/>
      <c r="Z59" s="87" t="s"/>
    </row>
    <row r="60" spans="1:26" s="576" customFormat="true">
      <c r="A60" s="80">
        <v>45840</v>
      </c>
      <c r="B60" s="71">
        <f>=TODAY()-A60+1</f>
        <v>385</v>
      </c>
      <c r="C60" s="64" t="s">
        <v>59</v>
      </c>
      <c r="D60" s="64" t="s">
        <v>50</v>
      </c>
      <c r="E60" s="64" t="s">
        <v>492</v>
      </c>
      <c r="F60" s="140" t="s">
        <v>469</v>
      </c>
      <c r="G60" s="64" t="s">
        <v>428</v>
      </c>
      <c r="H60" s="64" t="s">
        <v>422</v>
      </c>
      <c r="I60" s="64" t="s">
        <v>493</v>
      </c>
      <c r="J60" s="64">
        <v>25</v>
      </c>
      <c r="K60" s="64" t="s"/>
      <c r="L60" s="64">
        <v>2056</v>
      </c>
      <c r="M60" s="197">
        <f>=J60*L60</f>
        <v>51400</v>
      </c>
      <c r="N60" s="64">
        <v>3</v>
      </c>
      <c r="O60" s="198">
        <f>=ROUND(IF((TODAY()-A60+1)*N60*(L60/10000)+L60&lt;L60*1.002,L60*1.002,(TODAY()-A60+1)*N60*(L60/10000)+L60),2)</f>
        <v>2294.08</v>
      </c>
      <c r="P60" s="64">
        <v>25</v>
      </c>
      <c r="Q60" s="64">
        <f>=J60-P60</f>
        <v>0</v>
      </c>
      <c r="S60" s="112">
        <f>=P60-R60</f>
        <v>25</v>
      </c>
      <c r="T60" s="71">
        <f>=S60*L60</f>
        <v>51400</v>
      </c>
      <c r="U60" s="190">
        <f>=J60-P60</f>
        <v>0</v>
      </c>
      <c r="V60" s="87" t="s"/>
      <c r="W60" s="87" t="s"/>
      <c r="X60" s="87" t="s"/>
      <c r="Y60" s="87" t="s"/>
      <c r="Z60" s="87" t="s"/>
    </row>
    <row r="61" spans="1:26" s="576" customFormat="true">
      <c r="A61" s="80">
        <v>45840</v>
      </c>
      <c r="B61" s="71">
        <f>=TODAY()-A61+1</f>
        <v>385</v>
      </c>
      <c r="C61" s="64" t="s">
        <v>59</v>
      </c>
      <c r="D61" s="64" t="s">
        <v>50</v>
      </c>
      <c r="E61" s="64" t="s">
        <v>494</v>
      </c>
      <c r="F61" s="140" t="s">
        <v>469</v>
      </c>
      <c r="G61" s="64" t="s">
        <v>428</v>
      </c>
      <c r="H61" s="64" t="s">
        <v>422</v>
      </c>
      <c r="I61" s="64" t="s">
        <v>495</v>
      </c>
      <c r="J61" s="64">
        <v>5</v>
      </c>
      <c r="K61" s="64" t="s"/>
      <c r="L61" s="64">
        <v>2056</v>
      </c>
      <c r="M61" s="197">
        <f>=J61*L61</f>
        <v>10280</v>
      </c>
      <c r="N61" s="64">
        <v>3</v>
      </c>
      <c r="O61" s="198">
        <f>=ROUND(IF((TODAY()-A61+1)*N61*(L61/10000)+L61&lt;L61*1.002,L61*1.002,(TODAY()-A61+1)*N61*(L61/10000)+L61),2)</f>
        <v>2294.08</v>
      </c>
      <c r="P61" s="64">
        <v>5</v>
      </c>
      <c r="Q61" s="64">
        <f>=J61-P61</f>
        <v>0</v>
      </c>
      <c r="R61" s="64">
        <v>0</v>
      </c>
      <c r="S61" s="112">
        <f>=P61-R61</f>
        <v>5</v>
      </c>
      <c r="T61" s="71">
        <f>=S61*L61</f>
        <v>10280</v>
      </c>
      <c r="U61" s="190">
        <f>=J61-P61</f>
        <v>0</v>
      </c>
      <c r="V61" s="87" t="s"/>
      <c r="W61" s="87" t="s"/>
      <c r="X61" s="87" t="s"/>
      <c r="Y61" s="87" t="s"/>
      <c r="Z61" s="87" t="s"/>
    </row>
    <row r="62" spans="1:26" s="576" customFormat="true">
      <c r="A62" s="80">
        <v>45840</v>
      </c>
      <c r="B62" s="71">
        <f>=TODAY()-A62+1</f>
        <v>385</v>
      </c>
      <c r="C62" s="64" t="s">
        <v>59</v>
      </c>
      <c r="D62" s="64" t="s">
        <v>50</v>
      </c>
      <c r="E62" s="196" t="s">
        <v>496</v>
      </c>
      <c r="F62" s="140" t="s">
        <v>469</v>
      </c>
      <c r="G62" s="64" t="s">
        <v>428</v>
      </c>
      <c r="H62" s="64" t="s">
        <v>422</v>
      </c>
      <c r="I62" s="64" t="s">
        <v>497</v>
      </c>
      <c r="J62" s="64">
        <v>10</v>
      </c>
      <c r="K62" s="64" t="s"/>
      <c r="L62" s="64">
        <v>5640</v>
      </c>
      <c r="M62" s="197">
        <f>=J62*L62</f>
        <v>56400</v>
      </c>
      <c r="N62" s="64">
        <v>3</v>
      </c>
      <c r="O62" s="198">
        <f>=ROUND(IF((TODAY()-A62+1)*N62*(L62/10000)+L62&lt;L62*1.002,L62*1.002,(TODAY()-A62+1)*N62*(L62/10000)+L62),2)</f>
        <v>6293.11</v>
      </c>
      <c r="P62" s="64">
        <v>10</v>
      </c>
      <c r="Q62" s="64">
        <f>=J62-P62</f>
        <v>0</v>
      </c>
      <c r="R62" s="97">
        <v>10</v>
      </c>
      <c r="S62" s="112">
        <f>=P62-R62</f>
        <v>0</v>
      </c>
      <c r="T62" s="71">
        <f>=S62*L62</f>
        <v>0</v>
      </c>
      <c r="U62" s="190">
        <f>=J62-P62</f>
        <v>0</v>
      </c>
      <c r="V62" s="87" t="s"/>
      <c r="W62" s="87" t="s"/>
      <c r="X62" s="87" t="s"/>
      <c r="Y62" s="87" t="s"/>
      <c r="Z62" s="87" t="s"/>
    </row>
    <row r="63" spans="1:26" s="576" customFormat="true">
      <c r="A63" s="80">
        <v>45840</v>
      </c>
      <c r="B63" s="71">
        <f>=TODAY()-A63+1</f>
        <v>385</v>
      </c>
      <c r="C63" s="64" t="s">
        <v>59</v>
      </c>
      <c r="D63" s="64" t="s">
        <v>50</v>
      </c>
      <c r="E63" s="196" t="s">
        <v>498</v>
      </c>
      <c r="F63" s="140" t="s">
        <v>469</v>
      </c>
      <c r="G63" s="64" t="s">
        <v>428</v>
      </c>
      <c r="H63" s="64" t="s">
        <v>422</v>
      </c>
      <c r="I63" s="64" t="s">
        <v>499</v>
      </c>
      <c r="J63" s="64">
        <v>4</v>
      </c>
      <c r="K63" s="64" t="s"/>
      <c r="L63" s="64">
        <v>4512</v>
      </c>
      <c r="M63" s="197">
        <f>=J63*L63</f>
        <v>18048</v>
      </c>
      <c r="N63" s="64">
        <v>3</v>
      </c>
      <c r="O63" s="198">
        <f>=ROUND(IF((TODAY()-A63+1)*N63*(L63/10000)+L63&lt;L63*1.002,L63*1.002,(TODAY()-A63+1)*N63*(L63/10000)+L63),2)</f>
        <v>5034.49</v>
      </c>
      <c r="P63" s="64">
        <v>4</v>
      </c>
      <c r="Q63" s="64">
        <f>=J63-P63</f>
        <v>0</v>
      </c>
      <c r="R63" s="203">
        <v>4</v>
      </c>
      <c r="S63" s="112">
        <f>=P63-R63</f>
        <v>0</v>
      </c>
      <c r="T63" s="71">
        <f>=S63*L63</f>
        <v>0</v>
      </c>
      <c r="U63" s="190">
        <f>=J63-P63</f>
        <v>0</v>
      </c>
      <c r="V63" s="87" t="s"/>
      <c r="W63" s="87" t="s"/>
      <c r="X63" s="87" t="s"/>
      <c r="Y63" s="87" t="s"/>
      <c r="Z63" s="87" t="s"/>
    </row>
    <row r="64" spans="1:26" s="576" customFormat="true">
      <c r="A64" s="80">
        <v>45840</v>
      </c>
      <c r="B64" s="71">
        <f>=TODAY()-A64+1</f>
        <v>385</v>
      </c>
      <c r="C64" s="64" t="s">
        <v>59</v>
      </c>
      <c r="D64" s="64" t="s">
        <v>50</v>
      </c>
      <c r="E64" s="196" t="s">
        <v>500</v>
      </c>
      <c r="F64" s="140" t="s">
        <v>469</v>
      </c>
      <c r="G64" s="64" t="s">
        <v>428</v>
      </c>
      <c r="H64" s="64" t="s">
        <v>422</v>
      </c>
      <c r="I64" s="64" t="s">
        <v>501</v>
      </c>
      <c r="J64" s="64">
        <v>50</v>
      </c>
      <c r="K64" s="64" t="s"/>
      <c r="L64" s="64">
        <v>452</v>
      </c>
      <c r="M64" s="197">
        <f>=J64*L64</f>
        <v>22600</v>
      </c>
      <c r="N64" s="64">
        <v>3</v>
      </c>
      <c r="O64" s="198">
        <f>=ROUND(IF((TODAY()-A64+1)*N64*(L64/10000)+L64&lt;L64*1.002,L64*1.002,(TODAY()-A64+1)*N64*(L64/10000)+L64),2)</f>
        <v>504.34</v>
      </c>
      <c r="P64" s="64">
        <v>50</v>
      </c>
      <c r="Q64" s="64">
        <f>=J64-P64</f>
        <v>0</v>
      </c>
      <c r="R64" s="64">
        <v>0</v>
      </c>
      <c r="S64" s="112">
        <f>=P64-R64</f>
        <v>50</v>
      </c>
      <c r="T64" s="71">
        <f>=S64*L64</f>
        <v>22600</v>
      </c>
      <c r="U64" s="190">
        <f>=J64-P64</f>
        <v>0</v>
      </c>
      <c r="V64" s="87" t="s"/>
      <c r="W64" s="87" t="s"/>
      <c r="X64" s="87" t="s"/>
      <c r="Y64" s="87" t="s"/>
      <c r="Z64" s="87" t="s"/>
    </row>
    <row r="65" spans="1:26" s="218" customFormat="true">
      <c r="A65" s="98">
        <v>45854</v>
      </c>
      <c r="B65" s="71">
        <f>=TODAY()-A65+1</f>
        <v>371</v>
      </c>
      <c r="C65" s="75" t="s">
        <v>61</v>
      </c>
      <c r="D65" s="108" t="s">
        <v>309</v>
      </c>
      <c r="E65" s="204" t="s">
        <v>502</v>
      </c>
      <c r="F65" s="71" t="s"/>
      <c r="G65" s="108" t="s">
        <v>503</v>
      </c>
      <c r="H65" s="64" t="s">
        <v>422</v>
      </c>
      <c r="I65" s="71" t="s">
        <v>504</v>
      </c>
      <c r="J65" s="71">
        <v>815</v>
      </c>
      <c r="K65" s="71" t="s"/>
      <c r="L65" s="71">
        <v>2394</v>
      </c>
      <c r="M65" s="112">
        <f>=J65*L65</f>
        <v>1951110</v>
      </c>
      <c r="N65" s="71">
        <v>3</v>
      </c>
      <c r="O65" s="195">
        <f>=ROUND(IF((TODAY()-A65+1)*N65*(L65/10000)+L65&lt;L65*1.002,L65*1.002,(TODAY()-A65+1)*N65*(L65/10000)+L65),2)</f>
        <v>2661.17</v>
      </c>
      <c r="P65" s="71">
        <v>815</v>
      </c>
      <c r="Q65" s="71">
        <f>=J65-P65</f>
        <v>0</v>
      </c>
      <c r="R65" s="71">
        <v>815</v>
      </c>
      <c r="S65" s="112">
        <f>=P65-R65</f>
        <v>0</v>
      </c>
      <c r="T65" s="71">
        <f>=S65*L65</f>
        <v>0</v>
      </c>
      <c r="U65" s="190">
        <f>=J65-P65</f>
        <v>0</v>
      </c>
      <c r="V65" s="190" t="s"/>
      <c r="W65" s="190" t="s"/>
      <c r="X65" s="190" t="s"/>
      <c r="Y65" s="190" t="s"/>
      <c r="Z65" s="190" t="s"/>
    </row>
    <row r="66" spans="1:26" s="218" customFormat="true">
      <c r="A66" s="125">
        <v>45855</v>
      </c>
      <c r="B66" s="93">
        <f>=TODAY()-A66+1</f>
        <v>370</v>
      </c>
      <c r="C66" s="75" t="s">
        <v>62</v>
      </c>
      <c r="D66" s="108" t="s">
        <v>309</v>
      </c>
      <c r="E66" s="71" t="s">
        <v>505</v>
      </c>
      <c r="F66" s="71" t="s"/>
      <c r="G66" s="108" t="s">
        <v>503</v>
      </c>
      <c r="H66" s="64" t="s">
        <v>422</v>
      </c>
      <c r="I66" s="71" t="s">
        <v>504</v>
      </c>
      <c r="J66" s="71">
        <v>416</v>
      </c>
      <c r="K66" s="71" t="s"/>
      <c r="L66" s="71">
        <v>2394</v>
      </c>
      <c r="M66" s="112">
        <f>=J66*L66</f>
        <v>995904</v>
      </c>
      <c r="N66" s="71">
        <v>3</v>
      </c>
      <c r="O66" s="195">
        <f>=ROUND(IF((TODAY()-A66+1)*N66*(L66/10000)+L66&lt;L66*1.002,L66*1.002,(TODAY()-A66+1)*N66*(L66/10000)+L66),2)</f>
        <v>2660.45</v>
      </c>
      <c r="P66" s="71">
        <v>416</v>
      </c>
      <c r="Q66" s="71">
        <f>=J66-P66</f>
        <v>0</v>
      </c>
      <c r="R66" s="71">
        <v>416</v>
      </c>
      <c r="S66" s="112">
        <f>=P66-R66</f>
        <v>0</v>
      </c>
      <c r="T66" s="71">
        <f>=S66*L66</f>
        <v>0</v>
      </c>
      <c r="U66" s="190">
        <f>=J66-P66</f>
        <v>0</v>
      </c>
      <c r="V66" s="190" t="s"/>
      <c r="W66" s="190" t="s"/>
      <c r="X66" s="190" t="s"/>
      <c r="Y66" s="190" t="s"/>
      <c r="Z66" s="190" t="s"/>
    </row>
    <row r="67" spans="1:26" s="190" customFormat="true">
      <c r="A67" s="125">
        <v>45855</v>
      </c>
      <c r="B67" s="71">
        <f>=TODAY()-A67+1</f>
        <v>370</v>
      </c>
      <c r="C67" s="205" t="s">
        <v>66</v>
      </c>
      <c r="D67" s="71" t="s">
        <v>65</v>
      </c>
      <c r="E67" s="108" t="s">
        <v>506</v>
      </c>
      <c r="F67" s="71" t="s"/>
      <c r="G67" s="112" t="s">
        <v>421</v>
      </c>
      <c r="H67" s="64" t="s">
        <v>422</v>
      </c>
      <c r="I67" s="71" t="s">
        <v>507</v>
      </c>
      <c r="J67" s="71">
        <v>200</v>
      </c>
      <c r="K67" s="71" t="s"/>
      <c r="L67" s="71">
        <v>6190</v>
      </c>
      <c r="M67" s="206">
        <f>=J67*L67</f>
        <v>1238000</v>
      </c>
      <c r="N67" s="71">
        <v>2.5</v>
      </c>
      <c r="O67" s="195">
        <f>=ROUND(IF((TODAY()-A67+1)*N67*(L67/10000)+L67&lt;L67*1.002,L67*1.002,(TODAY()-A67+1)*N67*(L67/10000)+L67),2)</f>
        <v>6764.12</v>
      </c>
      <c r="P67" s="71">
        <v>200</v>
      </c>
      <c r="Q67" s="71">
        <f>=J67-P67</f>
        <v>0</v>
      </c>
      <c r="R67" s="71">
        <v>200</v>
      </c>
      <c r="S67" s="112">
        <f>=P67-R67</f>
        <v>0</v>
      </c>
      <c r="T67" s="71">
        <f>=S67*L67</f>
        <v>0</v>
      </c>
      <c r="U67" s="190">
        <f>=J67-P67</f>
        <v>0</v>
      </c>
      <c r="V67" s="190" t="s"/>
      <c r="W67" s="190" t="s"/>
      <c r="X67" s="190" t="s"/>
      <c r="Y67" s="190" t="s"/>
      <c r="Z67" s="190" t="s"/>
    </row>
    <row r="68" spans="1:26" s="190" customFormat="true">
      <c r="A68" s="125">
        <v>45855</v>
      </c>
      <c r="B68" s="71">
        <f>=TODAY()-A68+1</f>
        <v>370</v>
      </c>
      <c r="C68" s="205" t="s">
        <v>66</v>
      </c>
      <c r="D68" s="71" t="s">
        <v>65</v>
      </c>
      <c r="E68" s="108" t="s">
        <v>508</v>
      </c>
      <c r="F68" s="71" t="s"/>
      <c r="G68" s="112" t="s">
        <v>421</v>
      </c>
      <c r="H68" s="64" t="s">
        <v>422</v>
      </c>
      <c r="I68" s="71" t="s">
        <v>509</v>
      </c>
      <c r="J68" s="71">
        <v>200</v>
      </c>
      <c r="K68" s="71" t="s"/>
      <c r="L68" s="71">
        <v>6190</v>
      </c>
      <c r="M68" s="112">
        <f>=J68*L68</f>
        <v>1238000</v>
      </c>
      <c r="N68" s="71">
        <v>2.5</v>
      </c>
      <c r="O68" s="195">
        <f>=ROUND(IF((TODAY()-A68+1)*N68*(L68/10000)+L68&lt;L68*1.002,L68*1.002,(TODAY()-A68+1)*N68*(L68/10000)+L68),2)</f>
        <v>6764.12</v>
      </c>
      <c r="P68" s="71">
        <v>200</v>
      </c>
      <c r="Q68" s="71">
        <f>=J68-P68</f>
        <v>0</v>
      </c>
      <c r="R68" s="71">
        <v>200</v>
      </c>
      <c r="S68" s="112">
        <f>=P68-R68</f>
        <v>0</v>
      </c>
      <c r="T68" s="71">
        <f>=S68*L68</f>
        <v>0</v>
      </c>
      <c r="U68" s="190">
        <f>=J68-P68</f>
        <v>0</v>
      </c>
      <c r="V68" s="190" t="s"/>
      <c r="W68" s="190" t="s"/>
      <c r="X68" s="190" t="s"/>
      <c r="Y68" s="190" t="s"/>
      <c r="Z68" s="190" t="s"/>
    </row>
    <row r="69" spans="1:26" s="190" customFormat="true">
      <c r="A69" s="125">
        <v>45860</v>
      </c>
      <c r="B69" s="71">
        <f>=TODAY()-A69+1</f>
        <v>365</v>
      </c>
      <c r="C69" s="205" t="s">
        <v>67</v>
      </c>
      <c r="D69" s="71" t="s">
        <v>65</v>
      </c>
      <c r="E69" s="108" t="s">
        <v>510</v>
      </c>
      <c r="F69" s="71" t="s"/>
      <c r="G69" s="112" t="s">
        <v>421</v>
      </c>
      <c r="H69" s="64" t="s">
        <v>422</v>
      </c>
      <c r="I69" s="71" t="s">
        <v>511</v>
      </c>
      <c r="J69" s="71">
        <v>60</v>
      </c>
      <c r="K69" s="71" t="s"/>
      <c r="L69" s="71">
        <v>6190</v>
      </c>
      <c r="M69" s="112">
        <f>=J69*L69</f>
        <v>371400</v>
      </c>
      <c r="N69" s="71">
        <v>2.5</v>
      </c>
      <c r="O69" s="195">
        <f>=ROUND(IF((TODAY()-A69+1)*N69*(L69/10000)+L69&lt;L69*1.002,L69*1.002,(TODAY()-A69+1)*N69*(L69/10000)+L69),2)</f>
        <v>6756.39</v>
      </c>
      <c r="P69" s="71">
        <v>60</v>
      </c>
      <c r="Q69" s="71">
        <f>=J69-P69</f>
        <v>0</v>
      </c>
      <c r="R69" s="71">
        <v>60</v>
      </c>
      <c r="S69" s="112">
        <f>=P69-R69</f>
        <v>0</v>
      </c>
      <c r="T69" s="71">
        <f>=S69*L69</f>
        <v>0</v>
      </c>
      <c r="U69" s="190">
        <f>=J69-P69</f>
        <v>0</v>
      </c>
      <c r="V69" s="190" t="s"/>
      <c r="W69" s="190" t="s"/>
      <c r="X69" s="190" t="s"/>
      <c r="Y69" s="190" t="s"/>
      <c r="Z69" s="190" t="s"/>
    </row>
    <row r="70" spans="1:26" s="190" customFormat="true">
      <c r="A70" s="125">
        <v>45860</v>
      </c>
      <c r="B70" s="71">
        <f>=TODAY()-A70+1</f>
        <v>365</v>
      </c>
      <c r="C70" s="205" t="s">
        <v>67</v>
      </c>
      <c r="D70" s="71" t="s">
        <v>65</v>
      </c>
      <c r="E70" s="108" t="s">
        <v>512</v>
      </c>
      <c r="F70" s="71" t="s"/>
      <c r="G70" s="112" t="s">
        <v>421</v>
      </c>
      <c r="H70" s="64" t="s">
        <v>422</v>
      </c>
      <c r="I70" s="71" t="s">
        <v>513</v>
      </c>
      <c r="J70" s="71">
        <v>110</v>
      </c>
      <c r="K70" s="71" t="s"/>
      <c r="L70" s="71">
        <v>6200</v>
      </c>
      <c r="M70" s="112">
        <f>=J70*L70</f>
        <v>682000</v>
      </c>
      <c r="N70" s="71">
        <v>2.5</v>
      </c>
      <c r="O70" s="195">
        <f>=ROUND(IF((TODAY()-A70+1)*N70*(L70/10000)+L70&lt;L70*1.002,L70*1.002,(TODAY()-A70+1)*N70*(L70/10000)+L70),2)</f>
        <v>6767.3</v>
      </c>
      <c r="P70" s="71">
        <v>110</v>
      </c>
      <c r="Q70" s="71">
        <f>=J70-P70</f>
        <v>0</v>
      </c>
      <c r="R70" s="71">
        <v>110</v>
      </c>
      <c r="S70" s="112">
        <f>=P70-R70</f>
        <v>0</v>
      </c>
      <c r="T70" s="71">
        <f>=S70*L70</f>
        <v>0</v>
      </c>
      <c r="U70" s="190">
        <f>=J70-P70</f>
        <v>0</v>
      </c>
      <c r="V70" s="190" t="s"/>
      <c r="W70" s="190" t="s"/>
      <c r="X70" s="190" t="s"/>
      <c r="Y70" s="190" t="s"/>
      <c r="Z70" s="190" t="s"/>
    </row>
    <row r="71" spans="1:26" s="190" customFormat="true">
      <c r="A71" s="125">
        <v>45860</v>
      </c>
      <c r="B71" s="71">
        <f>=TODAY()-A71+1</f>
        <v>365</v>
      </c>
      <c r="C71" s="205" t="s">
        <v>67</v>
      </c>
      <c r="D71" s="71" t="s">
        <v>65</v>
      </c>
      <c r="E71" s="108" t="s">
        <v>514</v>
      </c>
      <c r="F71" s="71" t="s"/>
      <c r="G71" s="112" t="s">
        <v>421</v>
      </c>
      <c r="H71" s="64" t="s">
        <v>422</v>
      </c>
      <c r="I71" s="71" t="s">
        <v>507</v>
      </c>
      <c r="J71" s="71">
        <v>70</v>
      </c>
      <c r="K71" s="71" t="s"/>
      <c r="L71" s="71">
        <v>6180</v>
      </c>
      <c r="M71" s="112">
        <f>=J71*L71</f>
        <v>432600</v>
      </c>
      <c r="N71" s="71">
        <v>2.5</v>
      </c>
      <c r="O71" s="195">
        <f>=ROUND(IF((TODAY()-A71+1)*N71*(L71/10000)+L71&lt;L71*1.002,L71*1.002,(TODAY()-A71+1)*N71*(L71/10000)+L71),2)</f>
        <v>6745.47</v>
      </c>
      <c r="P71" s="71">
        <v>70</v>
      </c>
      <c r="Q71" s="71">
        <f>=J71-P71</f>
        <v>0</v>
      </c>
      <c r="R71" s="71">
        <v>70</v>
      </c>
      <c r="S71" s="112">
        <f>=P71-R71</f>
        <v>0</v>
      </c>
      <c r="T71" s="71">
        <f>=S71*L71</f>
        <v>0</v>
      </c>
      <c r="U71" s="190">
        <f>=J71-P71</f>
        <v>0</v>
      </c>
      <c r="V71" s="190" t="s"/>
      <c r="W71" s="190" t="s"/>
      <c r="X71" s="190" t="s"/>
      <c r="Y71" s="190" t="s"/>
      <c r="Z71" s="190" t="s"/>
    </row>
    <row r="72" spans="1:26" s="218" customFormat="true" ht="15.75" customHeight="true">
      <c r="A72" s="125">
        <v>45860</v>
      </c>
      <c r="B72" s="71">
        <f>=TODAY()-A72+1</f>
        <v>365</v>
      </c>
      <c r="C72" s="205" t="s">
        <v>67</v>
      </c>
      <c r="D72" s="71" t="s">
        <v>65</v>
      </c>
      <c r="E72" s="108" t="s">
        <v>515</v>
      </c>
      <c r="F72" s="71" t="s"/>
      <c r="G72" s="112" t="s">
        <v>421</v>
      </c>
      <c r="H72" s="64" t="s">
        <v>422</v>
      </c>
      <c r="I72" s="207" t="s">
        <v>509</v>
      </c>
      <c r="J72" s="71">
        <v>110</v>
      </c>
      <c r="K72" s="71" t="s"/>
      <c r="L72" s="71">
        <v>6180</v>
      </c>
      <c r="M72" s="112">
        <f>=J72*L72</f>
        <v>679800</v>
      </c>
      <c r="N72" s="71">
        <v>2.5</v>
      </c>
      <c r="O72" s="195">
        <f>=ROUND(IF((TODAY()-A72+1)*N72*(L72/10000)+L72&lt;L72*1.002,L72*1.002,(TODAY()-A72+1)*N72*(L72/10000)+L72),2)</f>
        <v>6745.47</v>
      </c>
      <c r="P72" s="71">
        <v>110</v>
      </c>
      <c r="Q72" s="71">
        <f>=J72-P72</f>
        <v>0</v>
      </c>
      <c r="R72" s="71">
        <v>110</v>
      </c>
      <c r="S72" s="112">
        <f>=P72-R72</f>
        <v>0</v>
      </c>
      <c r="T72" s="71">
        <f>=S72*L72</f>
        <v>0</v>
      </c>
      <c r="U72" s="190">
        <f>=J72-P72</f>
        <v>0</v>
      </c>
      <c r="V72" s="190" t="s"/>
      <c r="W72" s="190" t="s"/>
      <c r="X72" s="190" t="s"/>
      <c r="Y72" s="190" t="s"/>
      <c r="Z72" s="190" t="s"/>
    </row>
    <row r="73" spans="1:26" s="218" customFormat="true" ht="15.75" customHeight="true">
      <c r="A73" s="125">
        <v>45862</v>
      </c>
      <c r="B73" s="71">
        <f>=TODAY()-A73+1</f>
        <v>363</v>
      </c>
      <c r="C73" s="205" t="s">
        <v>68</v>
      </c>
      <c r="D73" s="71" t="s">
        <v>65</v>
      </c>
      <c r="E73" s="108" t="s">
        <v>516</v>
      </c>
      <c r="F73" s="71" t="s"/>
      <c r="G73" s="112" t="s">
        <v>421</v>
      </c>
      <c r="H73" s="64" t="s">
        <v>422</v>
      </c>
      <c r="I73" s="207" t="s">
        <v>507</v>
      </c>
      <c r="J73" s="71">
        <v>196</v>
      </c>
      <c r="K73" s="71" t="s"/>
      <c r="L73" s="71">
        <v>6195</v>
      </c>
      <c r="M73" s="112">
        <f>=J73*L73</f>
        <v>1214220</v>
      </c>
      <c r="N73" s="71">
        <v>2.5</v>
      </c>
      <c r="O73" s="195">
        <f>=ROUND(IF((TODAY()-A73+1)*N73*(L73/10000)+L73&lt;L73*1.002,L73*1.002,(TODAY()-A73+1)*N73*(L73/10000)+L73),2)</f>
        <v>6758.75</v>
      </c>
      <c r="P73" s="71">
        <v>196</v>
      </c>
      <c r="Q73" s="71">
        <f>=J73-P73</f>
        <v>0</v>
      </c>
      <c r="R73" s="71">
        <v>196</v>
      </c>
      <c r="S73" s="112">
        <f>=P73-R73</f>
        <v>0</v>
      </c>
      <c r="T73" s="71">
        <f>=S73*L73</f>
        <v>0</v>
      </c>
      <c r="U73" s="190">
        <f>=J73-P73</f>
        <v>0</v>
      </c>
      <c r="V73" s="190" t="s"/>
      <c r="W73" s="190" t="s"/>
      <c r="X73" s="190" t="s"/>
      <c r="Y73" s="190" t="s"/>
      <c r="Z73" s="190" t="s"/>
    </row>
    <row r="74" spans="1:26" s="218" customFormat="true" ht="15.75" customHeight="true">
      <c r="A74" s="125">
        <v>45862</v>
      </c>
      <c r="B74" s="71">
        <f>=TODAY()-A74+1</f>
        <v>363</v>
      </c>
      <c r="C74" s="205" t="s">
        <v>68</v>
      </c>
      <c r="D74" s="71" t="s">
        <v>65</v>
      </c>
      <c r="E74" s="71" t="s">
        <v>517</v>
      </c>
      <c r="F74" s="71" t="s"/>
      <c r="G74" s="112" t="s">
        <v>421</v>
      </c>
      <c r="H74" s="64" t="s">
        <v>422</v>
      </c>
      <c r="I74" s="71" t="s">
        <v>511</v>
      </c>
      <c r="J74" s="71">
        <v>100</v>
      </c>
      <c r="K74" s="71" t="s"/>
      <c r="L74" s="71">
        <v>6205</v>
      </c>
      <c r="M74" s="112">
        <f>=J74*L74</f>
        <v>620500</v>
      </c>
      <c r="N74" s="71">
        <v>2.5</v>
      </c>
      <c r="O74" s="195">
        <f>=ROUND(IF((TODAY()-A74+1)*N74*(L74/10000)+L74&lt;L74*1.002,L74*1.002,(TODAY()-A74+1)*N74*(L74/10000)+L74),2)</f>
        <v>6769.66</v>
      </c>
      <c r="P74" s="71">
        <v>100</v>
      </c>
      <c r="Q74" s="71">
        <f>=J74-P74</f>
        <v>0</v>
      </c>
      <c r="R74" s="71">
        <v>100</v>
      </c>
      <c r="S74" s="112">
        <f>=P74-R74</f>
        <v>0</v>
      </c>
      <c r="T74" s="71">
        <f>=S74*L74</f>
        <v>0</v>
      </c>
      <c r="U74" s="190">
        <f>=J74-P74</f>
        <v>0</v>
      </c>
      <c r="V74" s="190" t="s"/>
      <c r="W74" s="190" t="s"/>
      <c r="X74" s="190" t="s"/>
      <c r="Y74" s="190" t="s"/>
      <c r="Z74" s="190" t="s"/>
    </row>
    <row r="75" spans="1:26" s="218" customFormat="true" ht="15.75" customHeight="true">
      <c r="A75" s="125">
        <v>45862</v>
      </c>
      <c r="B75" s="71">
        <f>=TODAY()-A75+1</f>
        <v>363</v>
      </c>
      <c r="C75" s="205" t="s">
        <v>68</v>
      </c>
      <c r="D75" s="71" t="s">
        <v>65</v>
      </c>
      <c r="E75" s="108" t="s">
        <v>518</v>
      </c>
      <c r="F75" s="71" t="s"/>
      <c r="G75" s="112" t="s">
        <v>421</v>
      </c>
      <c r="H75" s="64" t="s">
        <v>422</v>
      </c>
      <c r="I75" s="71" t="s">
        <v>513</v>
      </c>
      <c r="J75" s="71">
        <v>98</v>
      </c>
      <c r="K75" s="71" t="s"/>
      <c r="L75" s="71">
        <v>6235</v>
      </c>
      <c r="M75" s="112">
        <f>=J75*L75</f>
        <v>611030</v>
      </c>
      <c r="N75" s="71">
        <v>2.5</v>
      </c>
      <c r="O75" s="195">
        <f>=ROUND(IF((TODAY()-A75+1)*N75*(L75/10000)+L75&lt;L75*1.002,L75*1.002,(TODAY()-A75+1)*N75*(L75/10000)+L75),2)</f>
        <v>6802.39</v>
      </c>
      <c r="P75" s="71">
        <v>98</v>
      </c>
      <c r="Q75" s="71">
        <f>=J75-P75</f>
        <v>0</v>
      </c>
      <c r="R75" s="71">
        <v>98</v>
      </c>
      <c r="S75" s="112">
        <f>=P75-R75</f>
        <v>0</v>
      </c>
      <c r="T75" s="71">
        <f>=S75*L75</f>
        <v>0</v>
      </c>
      <c r="U75" s="190">
        <f>=J75-P75</f>
        <v>0</v>
      </c>
      <c r="V75" s="190" t="s"/>
      <c r="W75" s="190" t="s"/>
      <c r="X75" s="190" t="s"/>
      <c r="Y75" s="190" t="s"/>
      <c r="Z75" s="190" t="s"/>
    </row>
    <row r="76" spans="1:26" s="190" customFormat="true">
      <c r="A76" s="125">
        <v>45862</v>
      </c>
      <c r="B76" s="71">
        <f>=TODAY()-A76+1</f>
        <v>363</v>
      </c>
      <c r="C76" s="205" t="s">
        <v>68</v>
      </c>
      <c r="D76" s="71" t="s">
        <v>65</v>
      </c>
      <c r="E76" s="108" t="s">
        <v>519</v>
      </c>
      <c r="F76" s="71" t="s"/>
      <c r="G76" s="112" t="s">
        <v>421</v>
      </c>
      <c r="H76" s="64" t="s">
        <v>422</v>
      </c>
      <c r="I76" s="71" t="s">
        <v>509</v>
      </c>
      <c r="J76" s="71">
        <v>99</v>
      </c>
      <c r="K76" s="71" t="s"/>
      <c r="L76" s="71">
        <v>6195</v>
      </c>
      <c r="M76" s="112">
        <f>=J76*L76</f>
        <v>613305</v>
      </c>
      <c r="N76" s="71">
        <v>2.5</v>
      </c>
      <c r="O76" s="195">
        <f>=ROUND(IF((TODAY()-A76+1)*N76*(L76/10000)+L76&lt;L76*1.002,L76*1.002,(TODAY()-A76+1)*N76*(L76/10000)+L76),2)</f>
        <v>6758.75</v>
      </c>
      <c r="P76" s="71">
        <v>99</v>
      </c>
      <c r="Q76" s="71">
        <f>=J76-P76</f>
        <v>0</v>
      </c>
      <c r="R76" s="71">
        <v>99</v>
      </c>
      <c r="S76" s="112">
        <f>=P76-R76</f>
        <v>0</v>
      </c>
      <c r="T76" s="71">
        <f>=S76*L76</f>
        <v>0</v>
      </c>
      <c r="U76" s="190">
        <f>=J76-P76</f>
        <v>0</v>
      </c>
      <c r="V76" s="190" t="s"/>
      <c r="W76" s="190" t="s"/>
      <c r="X76" s="190" t="s"/>
      <c r="Y76" s="190" t="s"/>
      <c r="Z76" s="190" t="s"/>
    </row>
    <row r="77" spans="1:26" s="190" customFormat="true">
      <c r="A77" s="98">
        <v>45865</v>
      </c>
      <c r="B77" s="71">
        <f>=TODAY()-A77+1</f>
        <v>360</v>
      </c>
      <c r="C77" s="78" t="s">
        <v>69</v>
      </c>
      <c r="D77" s="71" t="s">
        <v>52</v>
      </c>
      <c r="E77" s="108" t="s">
        <v>520</v>
      </c>
      <c r="F77" s="71" t="s"/>
      <c r="G77" s="71" t="s">
        <v>428</v>
      </c>
      <c r="H77" s="71" t="s">
        <v>470</v>
      </c>
      <c r="I77" s="71" t="s">
        <v>521</v>
      </c>
      <c r="J77" s="71">
        <v>3</v>
      </c>
      <c r="K77" s="71" t="s"/>
      <c r="L77" s="71">
        <v>3790</v>
      </c>
      <c r="M77" s="112">
        <f>=J77*L77</f>
        <v>11370</v>
      </c>
      <c r="N77" s="71">
        <v>3</v>
      </c>
      <c r="O77" s="195">
        <f>=ROUND(IF((TODAY()-A77+1)*N77*(L77/10000)+L77&lt;L77*1.002,L77*1.002,(TODAY()-A77+1)*N77*(L77/10000)+L77),2)</f>
        <v>4200.46</v>
      </c>
      <c r="P77" s="71">
        <v>3</v>
      </c>
      <c r="Q77" s="71">
        <f>=J77-P77</f>
        <v>0</v>
      </c>
      <c r="R77" s="71">
        <v>3</v>
      </c>
      <c r="S77" s="112">
        <f>=P77-R77</f>
        <v>0</v>
      </c>
      <c r="T77" s="71">
        <f>=S77*L77</f>
        <v>0</v>
      </c>
      <c r="U77" s="190">
        <f>=J77-P77</f>
        <v>0</v>
      </c>
      <c r="V77" s="190" t="s"/>
      <c r="W77" s="190" t="s"/>
      <c r="X77" s="190" t="s"/>
      <c r="Y77" s="190" t="s"/>
      <c r="Z77" s="190" t="s"/>
    </row>
    <row r="78" spans="1:26" s="218" customFormat="true" ht="15.75" customHeight="true">
      <c r="A78" s="98">
        <v>45865</v>
      </c>
      <c r="B78" s="71">
        <f>=TODAY()-A78+1</f>
        <v>360</v>
      </c>
      <c r="C78" s="78" t="s">
        <v>69</v>
      </c>
      <c r="D78" s="71" t="s">
        <v>52</v>
      </c>
      <c r="E78" s="108" t="s">
        <v>522</v>
      </c>
      <c r="F78" s="71" t="s"/>
      <c r="G78" s="71" t="s">
        <v>428</v>
      </c>
      <c r="H78" s="71" t="s">
        <v>470</v>
      </c>
      <c r="I78" s="71" t="s">
        <v>523</v>
      </c>
      <c r="J78" s="71">
        <v>11</v>
      </c>
      <c r="K78" s="71" t="s"/>
      <c r="L78" s="71">
        <v>3790</v>
      </c>
      <c r="M78" s="112">
        <f>=J78*L78</f>
        <v>41690</v>
      </c>
      <c r="N78" s="71">
        <v>3</v>
      </c>
      <c r="O78" s="195">
        <f>=ROUND(IF((TODAY()-A78+1)*N78*(L78/10000)+L78&lt;L78*1.002,L78*1.002,(TODAY()-A78+1)*N78*(L78/10000)+L78),2)</f>
        <v>4200.46</v>
      </c>
      <c r="P78" s="71">
        <v>11</v>
      </c>
      <c r="Q78" s="71">
        <f>=J78-P78</f>
        <v>0</v>
      </c>
      <c r="R78" s="71">
        <v>11</v>
      </c>
      <c r="S78" s="112">
        <f>=P78-R78</f>
        <v>0</v>
      </c>
      <c r="T78" s="71">
        <f>=S78*L78</f>
        <v>0</v>
      </c>
      <c r="U78" s="190">
        <f>=J78-P78</f>
        <v>0</v>
      </c>
      <c r="V78" s="190" t="s"/>
      <c r="W78" s="190" t="s"/>
      <c r="X78" s="190" t="s"/>
      <c r="Y78" s="190" t="s"/>
      <c r="Z78" s="190" t="s"/>
    </row>
    <row r="79" spans="1:26" s="218" customFormat="true" ht="15.75" customHeight="true">
      <c r="A79" s="98">
        <v>45865</v>
      </c>
      <c r="B79" s="71">
        <f>=TODAY()-A79+1</f>
        <v>360</v>
      </c>
      <c r="C79" s="78" t="s">
        <v>69</v>
      </c>
      <c r="D79" s="71" t="s">
        <v>52</v>
      </c>
      <c r="E79" s="108" t="s">
        <v>524</v>
      </c>
      <c r="F79" s="71" t="s"/>
      <c r="G79" s="64" t="s">
        <v>428</v>
      </c>
      <c r="H79" s="64" t="s">
        <v>449</v>
      </c>
      <c r="I79" s="71" t="s">
        <v>525</v>
      </c>
      <c r="J79" s="71">
        <v>5</v>
      </c>
      <c r="K79" s="71" t="s"/>
      <c r="L79" s="71">
        <v>1722</v>
      </c>
      <c r="M79" s="112">
        <f>=J79*L79</f>
        <v>8610</v>
      </c>
      <c r="N79" s="71">
        <v>3</v>
      </c>
      <c r="O79" s="195">
        <f>=ROUND(IF((TODAY()-A79+1)*N79*(L79/10000)+L79&lt;L79*1.002,L79*1.002,(TODAY()-A79+1)*N79*(L79/10000)+L79),2)</f>
        <v>1908.49</v>
      </c>
      <c r="P79" s="71">
        <v>5</v>
      </c>
      <c r="Q79" s="71">
        <f>=J79-P79</f>
        <v>0</v>
      </c>
      <c r="R79" s="71">
        <v>5</v>
      </c>
      <c r="S79" s="112">
        <f>=P79-R79</f>
        <v>0</v>
      </c>
      <c r="T79" s="71">
        <f>=S79*L79</f>
        <v>0</v>
      </c>
      <c r="U79" s="190">
        <f>=J79-P79</f>
        <v>0</v>
      </c>
      <c r="V79" s="190" t="s"/>
      <c r="W79" s="190" t="s"/>
      <c r="X79" s="190" t="s"/>
      <c r="Y79" s="190" t="s"/>
      <c r="Z79" s="190" t="s"/>
    </row>
    <row r="80" spans="1:26" s="218" customFormat="true" ht="15.75" customHeight="true">
      <c r="A80" s="98">
        <v>45865</v>
      </c>
      <c r="B80" s="71">
        <f>=TODAY()-A80+1</f>
        <v>360</v>
      </c>
      <c r="C80" s="78" t="s">
        <v>69</v>
      </c>
      <c r="D80" s="71" t="s">
        <v>52</v>
      </c>
      <c r="E80" s="108" t="s">
        <v>526</v>
      </c>
      <c r="F80" s="71" t="s"/>
      <c r="G80" s="64" t="s">
        <v>428</v>
      </c>
      <c r="H80" s="64" t="s">
        <v>449</v>
      </c>
      <c r="I80" s="71" t="s">
        <v>527</v>
      </c>
      <c r="J80" s="71">
        <v>8</v>
      </c>
      <c r="K80" s="71" t="s"/>
      <c r="L80" s="71">
        <v>2225</v>
      </c>
      <c r="M80" s="112">
        <f>=J80*L80</f>
        <v>17800</v>
      </c>
      <c r="N80" s="71">
        <v>3</v>
      </c>
      <c r="O80" s="189">
        <f>=ROUND(IF((TODAY()-A80+1)*N80*(L80/10000)+L80&lt;L80*1.002,L80*1.002,(TODAY()-A80+1)*N80*(L80/10000)+L80),2)</f>
        <v>2465.97</v>
      </c>
      <c r="P80" s="71">
        <v>8</v>
      </c>
      <c r="Q80" s="71">
        <f>=J80-P80</f>
        <v>0</v>
      </c>
      <c r="R80" s="71">
        <v>8</v>
      </c>
      <c r="S80" s="112">
        <f>=P80-R80</f>
        <v>0</v>
      </c>
      <c r="T80" s="71">
        <f>=S80*L80</f>
        <v>0</v>
      </c>
      <c r="U80" s="190">
        <f>=J80-P80</f>
        <v>0</v>
      </c>
      <c r="V80" s="190" t="s"/>
      <c r="W80" s="190" t="s"/>
      <c r="X80" s="190" t="s"/>
      <c r="Y80" s="190" t="s"/>
      <c r="Z80" s="190" t="s"/>
    </row>
    <row r="81" spans="1:26" s="218" customFormat="true" ht="15.75" customHeight="true">
      <c r="A81" s="98">
        <v>45865</v>
      </c>
      <c r="B81" s="71">
        <f>=TODAY()-A81+1</f>
        <v>360</v>
      </c>
      <c r="C81" s="78" t="s">
        <v>69</v>
      </c>
      <c r="D81" s="71" t="s">
        <v>52</v>
      </c>
      <c r="E81" s="108" t="s">
        <v>528</v>
      </c>
      <c r="F81" s="71" t="s"/>
      <c r="G81" s="64" t="s">
        <v>428</v>
      </c>
      <c r="H81" s="64" t="s">
        <v>449</v>
      </c>
      <c r="I81" s="71" t="s">
        <v>529</v>
      </c>
      <c r="J81" s="71">
        <v>1</v>
      </c>
      <c r="K81" s="71" t="s"/>
      <c r="L81" s="71">
        <v>1722</v>
      </c>
      <c r="M81" s="112">
        <f>=J81*L81</f>
        <v>1722</v>
      </c>
      <c r="N81" s="71">
        <v>3</v>
      </c>
      <c r="O81" s="189">
        <f>=ROUND(IF((TODAY()-A81+1)*N81*(L81/10000)+L81&lt;L81*1.002,L81*1.002,(TODAY()-A81+1)*N81*(L81/10000)+L81),2)</f>
        <v>1908.49</v>
      </c>
      <c r="P81" s="71">
        <v>1</v>
      </c>
      <c r="Q81" s="71">
        <f>=J81-P81</f>
        <v>0</v>
      </c>
      <c r="R81" s="71">
        <v>1</v>
      </c>
      <c r="S81" s="112">
        <f>=P81-R81</f>
        <v>0</v>
      </c>
      <c r="T81" s="71">
        <f>=S81*L81</f>
        <v>0</v>
      </c>
      <c r="U81" s="190">
        <f>=J81-P81</f>
        <v>0</v>
      </c>
      <c r="V81" s="190" t="s"/>
      <c r="W81" s="190" t="s"/>
      <c r="X81" s="190" t="s"/>
      <c r="Y81" s="190" t="s"/>
      <c r="Z81" s="190" t="s"/>
    </row>
    <row r="82" spans="1:26" s="218" customFormat="true" ht="15.75" customHeight="true">
      <c r="A82" s="98">
        <v>45865</v>
      </c>
      <c r="B82" s="71">
        <f>=TODAY()-A82+1</f>
        <v>360</v>
      </c>
      <c r="C82" s="78" t="s">
        <v>69</v>
      </c>
      <c r="D82" s="71" t="s">
        <v>52</v>
      </c>
      <c r="E82" s="108" t="s">
        <v>530</v>
      </c>
      <c r="F82" s="71" t="s"/>
      <c r="G82" s="64" t="s">
        <v>428</v>
      </c>
      <c r="H82" s="64" t="s">
        <v>449</v>
      </c>
      <c r="I82" s="71" t="s">
        <v>531</v>
      </c>
      <c r="J82" s="71">
        <v>1</v>
      </c>
      <c r="K82" s="71" t="s"/>
      <c r="L82" s="71">
        <v>1722</v>
      </c>
      <c r="M82" s="112">
        <f>=J82*L82</f>
        <v>1722</v>
      </c>
      <c r="N82" s="71">
        <v>3</v>
      </c>
      <c r="O82" s="189">
        <f>=ROUND(IF((TODAY()-A82+1)*N82*(L82/10000)+L82&lt;L82*1.002,L82*1.002,(TODAY()-A82+1)*N82*(L82/10000)+L82),2)</f>
        <v>1908.49</v>
      </c>
      <c r="P82" s="71">
        <v>1</v>
      </c>
      <c r="Q82" s="71">
        <f>=J82-P82</f>
        <v>0</v>
      </c>
      <c r="R82" s="71">
        <v>1</v>
      </c>
      <c r="S82" s="112">
        <f>=P82-R82</f>
        <v>0</v>
      </c>
      <c r="T82" s="71">
        <f>=S82*L82</f>
        <v>0</v>
      </c>
      <c r="U82" s="190">
        <f>=J82-P82</f>
        <v>0</v>
      </c>
      <c r="V82" s="190" t="s"/>
      <c r="W82" s="190" t="s"/>
      <c r="X82" s="190" t="s"/>
      <c r="Y82" s="190" t="s"/>
      <c r="Z82" s="190" t="s"/>
    </row>
    <row r="83" spans="1:26" s="218" customFormat="true" ht="15.75" customHeight="true">
      <c r="A83" s="98">
        <v>45865</v>
      </c>
      <c r="B83" s="71">
        <f>=TODAY()-A83+1</f>
        <v>360</v>
      </c>
      <c r="C83" s="78" t="s">
        <v>69</v>
      </c>
      <c r="D83" s="71" t="s">
        <v>52</v>
      </c>
      <c r="E83" s="108" t="s">
        <v>532</v>
      </c>
      <c r="F83" s="71" t="s"/>
      <c r="G83" s="64" t="s">
        <v>428</v>
      </c>
      <c r="H83" s="64" t="s">
        <v>449</v>
      </c>
      <c r="I83" s="208" t="s">
        <v>533</v>
      </c>
      <c r="J83" s="71">
        <v>2</v>
      </c>
      <c r="K83" s="71" t="s"/>
      <c r="L83" s="71">
        <v>2225</v>
      </c>
      <c r="M83" s="112">
        <f>=J83*L83</f>
        <v>4450</v>
      </c>
      <c r="N83" s="71">
        <v>3</v>
      </c>
      <c r="O83" s="189">
        <f>=ROUND(IF((TODAY()-A83+1)*N83*(L83/10000)+L83&lt;L83*1.002,L83*1.002,(TODAY()-A83+1)*N83*(L83/10000)+L83),2)</f>
        <v>2465.97</v>
      </c>
      <c r="P83" s="71">
        <v>2</v>
      </c>
      <c r="Q83" s="71">
        <f>=J83-P83</f>
        <v>0</v>
      </c>
      <c r="R83" s="71">
        <v>2</v>
      </c>
      <c r="S83" s="112">
        <f>=P83-R83</f>
        <v>0</v>
      </c>
      <c r="T83" s="71">
        <f>=S83*L83</f>
        <v>0</v>
      </c>
      <c r="U83" s="190">
        <f>=J83-P83</f>
        <v>0</v>
      </c>
      <c r="V83" s="190" t="s"/>
      <c r="W83" s="190" t="s"/>
      <c r="X83" s="190" t="s"/>
      <c r="Y83" s="190" t="s"/>
      <c r="Z83" s="190" t="s"/>
    </row>
    <row r="84" spans="1:26" s="218" customFormat="true" ht="15.75" customHeight="true">
      <c r="A84" s="98">
        <v>45865</v>
      </c>
      <c r="B84" s="71">
        <f>=TODAY()-A84+1</f>
        <v>360</v>
      </c>
      <c r="C84" s="78" t="s">
        <v>69</v>
      </c>
      <c r="D84" s="71" t="s">
        <v>52</v>
      </c>
      <c r="E84" s="108" t="s">
        <v>534</v>
      </c>
      <c r="F84" s="71" t="s"/>
      <c r="G84" s="64" t="s">
        <v>428</v>
      </c>
      <c r="H84" s="64" t="s">
        <v>449</v>
      </c>
      <c r="I84" s="71" t="s">
        <v>535</v>
      </c>
      <c r="J84" s="71">
        <v>5</v>
      </c>
      <c r="K84" s="71" t="s"/>
      <c r="L84" s="71">
        <v>2390</v>
      </c>
      <c r="M84" s="112">
        <f>=J84*L84</f>
        <v>11950</v>
      </c>
      <c r="N84" s="71">
        <v>3</v>
      </c>
      <c r="O84" s="189">
        <f>=ROUND(IF((TODAY()-A84+1)*N84*(L84/10000)+L84&lt;L84*1.002,L84*1.002,(TODAY()-A84+1)*N84*(L84/10000)+L84),2)</f>
        <v>2648.84</v>
      </c>
      <c r="P84" s="71">
        <v>5</v>
      </c>
      <c r="Q84" s="71">
        <f>=J84-P84</f>
        <v>0</v>
      </c>
      <c r="R84" s="71">
        <v>5</v>
      </c>
      <c r="S84" s="112">
        <f>=P84-R84</f>
        <v>0</v>
      </c>
      <c r="T84" s="71">
        <f>=S84*L84</f>
        <v>0</v>
      </c>
      <c r="U84" s="190">
        <f>=J84-P84</f>
        <v>0</v>
      </c>
      <c r="V84" s="190" t="s"/>
      <c r="W84" s="190" t="s"/>
      <c r="X84" s="190" t="s"/>
      <c r="Y84" s="190" t="s"/>
      <c r="Z84" s="190" t="s"/>
    </row>
    <row r="85" spans="1:26" s="218" customFormat="true" ht="15.75" customHeight="true">
      <c r="A85" s="98">
        <v>45865</v>
      </c>
      <c r="B85" s="71">
        <f>=TODAY()-A85+1</f>
        <v>360</v>
      </c>
      <c r="C85" s="78" t="s">
        <v>69</v>
      </c>
      <c r="D85" s="71" t="s">
        <v>52</v>
      </c>
      <c r="E85" s="108" t="s">
        <v>536</v>
      </c>
      <c r="F85" s="71" t="s"/>
      <c r="G85" s="64" t="s">
        <v>428</v>
      </c>
      <c r="H85" s="64" t="s">
        <v>449</v>
      </c>
      <c r="I85" s="71" t="s">
        <v>537</v>
      </c>
      <c r="J85" s="71">
        <v>3</v>
      </c>
      <c r="K85" s="71" t="s"/>
      <c r="L85" s="71">
        <v>2060</v>
      </c>
      <c r="M85" s="112">
        <f>=J85*L85</f>
        <v>6180</v>
      </c>
      <c r="N85" s="71">
        <v>3</v>
      </c>
      <c r="O85" s="189">
        <f>=ROUND(IF((TODAY()-A85+1)*N85*(L85/10000)+L85&lt;L85*1.002,L85*1.002,(TODAY()-A85+1)*N85*(L85/10000)+L85),2)</f>
        <v>2283.1</v>
      </c>
      <c r="P85" s="71">
        <v>3</v>
      </c>
      <c r="Q85" s="71">
        <f>=J85-P85</f>
        <v>0</v>
      </c>
      <c r="R85" s="71">
        <v>3</v>
      </c>
      <c r="S85" s="112">
        <f>=P85-R85</f>
        <v>0</v>
      </c>
      <c r="T85" s="71">
        <f>=S85*L85</f>
        <v>0</v>
      </c>
      <c r="U85" s="190">
        <f>=J85-P85</f>
        <v>0</v>
      </c>
      <c r="V85" s="190" t="s"/>
      <c r="W85" s="190" t="s"/>
      <c r="X85" s="190" t="s"/>
      <c r="Y85" s="190" t="s"/>
      <c r="Z85" s="190" t="s"/>
    </row>
    <row r="86" spans="1:26" s="218" customFormat="true" ht="15.75" customHeight="true">
      <c r="A86" s="98">
        <v>45865</v>
      </c>
      <c r="B86" s="71">
        <f>=TODAY()-A86+1</f>
        <v>360</v>
      </c>
      <c r="C86" s="78" t="s">
        <v>69</v>
      </c>
      <c r="D86" s="71" t="s">
        <v>52</v>
      </c>
      <c r="E86" s="108" t="s">
        <v>538</v>
      </c>
      <c r="F86" s="71" t="s"/>
      <c r="G86" s="64" t="s">
        <v>428</v>
      </c>
      <c r="H86" s="64" t="s">
        <v>449</v>
      </c>
      <c r="I86" s="71" t="s">
        <v>539</v>
      </c>
      <c r="J86" s="71">
        <v>1</v>
      </c>
      <c r="K86" s="71" t="s"/>
      <c r="L86" s="71">
        <v>2472</v>
      </c>
      <c r="M86" s="112">
        <f>=J86*L86</f>
        <v>2472</v>
      </c>
      <c r="N86" s="71">
        <v>3</v>
      </c>
      <c r="O86" s="189">
        <f>=ROUND(IF((TODAY()-A86+1)*N86*(L86/10000)+L86&lt;L86*1.002,L86*1.002,(TODAY()-A86+1)*N86*(L86/10000)+L86),2)</f>
        <v>2739.72</v>
      </c>
      <c r="P86" s="71">
        <v>1</v>
      </c>
      <c r="Q86" s="71">
        <f>=J86-P86</f>
        <v>0</v>
      </c>
      <c r="R86" s="71">
        <v>1</v>
      </c>
      <c r="S86" s="112">
        <f>=P86-R86</f>
        <v>0</v>
      </c>
      <c r="T86" s="71">
        <f>=S86*L86</f>
        <v>0</v>
      </c>
      <c r="U86" s="190">
        <f>=J86-P86</f>
        <v>0</v>
      </c>
      <c r="V86" s="190" t="s"/>
      <c r="W86" s="190" t="s"/>
      <c r="X86" s="190" t="s"/>
      <c r="Y86" s="190" t="s"/>
      <c r="Z86" s="190" t="s"/>
    </row>
    <row r="87" spans="1:26" s="218" customFormat="true" ht="15.75" customHeight="true">
      <c r="A87" s="98">
        <v>45865</v>
      </c>
      <c r="B87" s="71">
        <f>=TODAY()-A87+1</f>
        <v>360</v>
      </c>
      <c r="C87" s="78" t="s">
        <v>69</v>
      </c>
      <c r="D87" s="71" t="s">
        <v>52</v>
      </c>
      <c r="E87" s="108" t="s">
        <v>540</v>
      </c>
      <c r="F87" s="71" t="s"/>
      <c r="G87" s="64" t="s">
        <v>428</v>
      </c>
      <c r="H87" s="64" t="s">
        <v>449</v>
      </c>
      <c r="I87" s="71" t="s">
        <v>541</v>
      </c>
      <c r="J87" s="71">
        <v>1</v>
      </c>
      <c r="K87" s="71" t="s"/>
      <c r="L87" s="71">
        <v>2884</v>
      </c>
      <c r="M87" s="112">
        <f>=J87*L87</f>
        <v>2884</v>
      </c>
      <c r="N87" s="71">
        <v>3</v>
      </c>
      <c r="O87" s="189">
        <f>=ROUND(IF((TODAY()-A87+1)*N87*(L87/10000)+L87&lt;L87*1.002,L87*1.002,(TODAY()-A87+1)*N87*(L87/10000)+L87),2)</f>
        <v>3196.34</v>
      </c>
      <c r="P87" s="71">
        <v>1</v>
      </c>
      <c r="Q87" s="71">
        <f>=J87-P87</f>
        <v>0</v>
      </c>
      <c r="R87" s="71">
        <v>1</v>
      </c>
      <c r="S87" s="112">
        <f>=P87-R87</f>
        <v>0</v>
      </c>
      <c r="T87" s="71">
        <f>=S87*L87</f>
        <v>0</v>
      </c>
      <c r="U87" s="190">
        <f>=J87-P87</f>
        <v>0</v>
      </c>
      <c r="V87" s="190" t="s"/>
      <c r="W87" s="190" t="s"/>
      <c r="X87" s="190" t="s"/>
      <c r="Y87" s="190" t="s"/>
      <c r="Z87" s="190" t="s"/>
    </row>
    <row r="88" spans="1:26" s="218" customFormat="true" ht="15.75" customHeight="true">
      <c r="A88" s="98">
        <v>45865</v>
      </c>
      <c r="B88" s="71">
        <f>=TODAY()-A88+1</f>
        <v>360</v>
      </c>
      <c r="C88" s="78" t="s">
        <v>69</v>
      </c>
      <c r="D88" s="71" t="s">
        <v>52</v>
      </c>
      <c r="E88" s="108" t="s">
        <v>542</v>
      </c>
      <c r="F88" s="71" t="s"/>
      <c r="G88" s="64" t="s">
        <v>428</v>
      </c>
      <c r="H88" s="64" t="s">
        <v>449</v>
      </c>
      <c r="I88" s="71" t="s">
        <v>543</v>
      </c>
      <c r="J88" s="71">
        <v>2</v>
      </c>
      <c r="K88" s="71" t="s"/>
      <c r="L88" s="71">
        <v>1154</v>
      </c>
      <c r="M88" s="112">
        <f>=J88*L88</f>
        <v>2308</v>
      </c>
      <c r="N88" s="71">
        <v>3</v>
      </c>
      <c r="O88" s="189">
        <f>=ROUND(IF((TODAY()-A88+1)*N88*(L88/10000)+L88&lt;L88*1.002,L88*1.002,(TODAY()-A88+1)*N88*(L88/10000)+L88),2)</f>
        <v>1278.98</v>
      </c>
      <c r="P88" s="71">
        <v>2</v>
      </c>
      <c r="Q88" s="71">
        <f>=J88-P88</f>
        <v>0</v>
      </c>
      <c r="R88" s="71">
        <v>2</v>
      </c>
      <c r="S88" s="112">
        <f>=P88-R88</f>
        <v>0</v>
      </c>
      <c r="T88" s="71">
        <f>=S88*L88</f>
        <v>0</v>
      </c>
      <c r="U88" s="190">
        <f>=J88-P88</f>
        <v>0</v>
      </c>
      <c r="V88" s="190" t="s"/>
      <c r="W88" s="190" t="s"/>
      <c r="X88" s="190" t="s"/>
      <c r="Y88" s="190" t="s"/>
      <c r="Z88" s="190" t="s"/>
    </row>
    <row r="89" spans="1:26" s="218" customFormat="true" ht="15.75" customHeight="true">
      <c r="A89" s="98">
        <v>45865</v>
      </c>
      <c r="B89" s="71">
        <f>=TODAY()-A89+1</f>
        <v>360</v>
      </c>
      <c r="C89" s="78" t="s">
        <v>69</v>
      </c>
      <c r="D89" s="71" t="s">
        <v>52</v>
      </c>
      <c r="E89" s="108" t="s">
        <v>544</v>
      </c>
      <c r="F89" s="71" t="s"/>
      <c r="G89" s="64" t="s">
        <v>428</v>
      </c>
      <c r="H89" s="64" t="s">
        <v>449</v>
      </c>
      <c r="I89" s="71" t="s">
        <v>545</v>
      </c>
      <c r="J89" s="71">
        <v>1</v>
      </c>
      <c r="K89" s="71" t="s"/>
      <c r="L89" s="71">
        <v>1154</v>
      </c>
      <c r="M89" s="112">
        <f>=J89*L89</f>
        <v>1154</v>
      </c>
      <c r="N89" s="71">
        <v>3</v>
      </c>
      <c r="O89" s="189">
        <f>=ROUND(IF((TODAY()-A89+1)*N89*(L89/10000)+L89&lt;L89*1.002,L89*1.002,(TODAY()-A89+1)*N89*(L89/10000)+L89),2)</f>
        <v>1278.98</v>
      </c>
      <c r="P89" s="71">
        <v>1</v>
      </c>
      <c r="Q89" s="71">
        <f>=J89-P89</f>
        <v>0</v>
      </c>
      <c r="R89" s="71">
        <v>1</v>
      </c>
      <c r="S89" s="112">
        <f>=P89-R89</f>
        <v>0</v>
      </c>
      <c r="T89" s="71">
        <f>=S89*L89</f>
        <v>0</v>
      </c>
      <c r="U89" s="190">
        <f>=J89-P89</f>
        <v>0</v>
      </c>
      <c r="V89" s="190" t="s"/>
      <c r="W89" s="190" t="s"/>
      <c r="X89" s="190" t="s"/>
      <c r="Y89" s="190" t="s"/>
      <c r="Z89" s="190" t="s"/>
    </row>
    <row r="90" spans="1:26" s="218" customFormat="true" ht="15.75" customHeight="true">
      <c r="A90" s="98">
        <v>45865</v>
      </c>
      <c r="B90" s="71">
        <f>=TODAY()-A90+1</f>
        <v>360</v>
      </c>
      <c r="C90" s="78" t="s">
        <v>69</v>
      </c>
      <c r="D90" s="71" t="s">
        <v>52</v>
      </c>
      <c r="E90" s="108" t="s">
        <v>546</v>
      </c>
      <c r="F90" s="71" t="s"/>
      <c r="G90" s="64" t="s">
        <v>428</v>
      </c>
      <c r="H90" s="64" t="s">
        <v>449</v>
      </c>
      <c r="I90" s="71" t="s">
        <v>547</v>
      </c>
      <c r="J90" s="71">
        <v>1</v>
      </c>
      <c r="K90" s="71" t="s"/>
      <c r="L90" s="71">
        <v>1154</v>
      </c>
      <c r="M90" s="112">
        <f>=J90*L90</f>
        <v>1154</v>
      </c>
      <c r="N90" s="71">
        <v>3</v>
      </c>
      <c r="O90" s="189">
        <f>=ROUND(IF((TODAY()-A90+1)*N90*(L90/10000)+L90&lt;L90*1.002,L90*1.002,(TODAY()-A90+1)*N90*(L90/10000)+L90),2)</f>
        <v>1278.98</v>
      </c>
      <c r="P90" s="71">
        <v>1</v>
      </c>
      <c r="Q90" s="71">
        <f>=J90-P90</f>
        <v>0</v>
      </c>
      <c r="R90" s="71">
        <v>1</v>
      </c>
      <c r="S90" s="112">
        <f>=P90-R90</f>
        <v>0</v>
      </c>
      <c r="T90" s="71">
        <f>=S90*L90</f>
        <v>0</v>
      </c>
      <c r="U90" s="190">
        <f>=J90-P90</f>
        <v>0</v>
      </c>
      <c r="V90" s="190" t="s"/>
      <c r="W90" s="190" t="s"/>
      <c r="X90" s="190" t="s"/>
      <c r="Y90" s="190" t="s"/>
      <c r="Z90" s="190" t="s"/>
    </row>
    <row r="91" spans="1:26" s="218" customFormat="true" ht="15.75" customHeight="true">
      <c r="A91" s="98">
        <v>45865</v>
      </c>
      <c r="B91" s="71">
        <f>=TODAY()-A91+1</f>
        <v>360</v>
      </c>
      <c r="C91" s="78" t="s">
        <v>69</v>
      </c>
      <c r="D91" s="71" t="s">
        <v>52</v>
      </c>
      <c r="E91" s="108" t="s">
        <v>548</v>
      </c>
      <c r="F91" s="71" t="s"/>
      <c r="G91" s="64" t="s">
        <v>428</v>
      </c>
      <c r="H91" s="64" t="s">
        <v>449</v>
      </c>
      <c r="I91" s="71" t="s">
        <v>549</v>
      </c>
      <c r="J91" s="71">
        <v>1</v>
      </c>
      <c r="K91" s="71" t="s"/>
      <c r="L91" s="71">
        <v>1154</v>
      </c>
      <c r="M91" s="112">
        <f>=J91*L91</f>
        <v>1154</v>
      </c>
      <c r="N91" s="71">
        <v>3</v>
      </c>
      <c r="O91" s="189">
        <f>=ROUND(IF((TODAY()-A91+1)*N91*(L91/10000)+L91&lt;L91*1.002,L91*1.002,(TODAY()-A91+1)*N91*(L91/10000)+L91),2)</f>
        <v>1278.98</v>
      </c>
      <c r="P91" s="71">
        <v>1</v>
      </c>
      <c r="Q91" s="71">
        <f>=J91-P91</f>
        <v>0</v>
      </c>
      <c r="R91" s="71">
        <v>1</v>
      </c>
      <c r="S91" s="112">
        <f>=P91-R91</f>
        <v>0</v>
      </c>
      <c r="T91" s="71">
        <f>=S91*L91</f>
        <v>0</v>
      </c>
      <c r="U91" s="190">
        <f>=J91-P91</f>
        <v>0</v>
      </c>
      <c r="V91" s="190" t="s"/>
      <c r="W91" s="190" t="s"/>
      <c r="X91" s="190" t="s"/>
      <c r="Y91" s="190" t="s"/>
      <c r="Z91" s="190" t="s"/>
    </row>
    <row r="92" spans="1:26" s="218" customFormat="true" ht="15.75" customHeight="true">
      <c r="A92" s="98">
        <v>45865</v>
      </c>
      <c r="B92" s="71">
        <f>=TODAY()-A92+1</f>
        <v>360</v>
      </c>
      <c r="C92" s="78" t="s">
        <v>69</v>
      </c>
      <c r="D92" s="71" t="s">
        <v>52</v>
      </c>
      <c r="E92" s="108" t="s">
        <v>550</v>
      </c>
      <c r="F92" s="71" t="s"/>
      <c r="G92" s="64" t="s">
        <v>428</v>
      </c>
      <c r="H92" s="64" t="s">
        <v>449</v>
      </c>
      <c r="I92" s="71" t="s">
        <v>551</v>
      </c>
      <c r="J92" s="71">
        <v>1</v>
      </c>
      <c r="K92" s="71" t="s"/>
      <c r="L92" s="71">
        <v>4120</v>
      </c>
      <c r="M92" s="112">
        <f>=J92*L92</f>
        <v>4120</v>
      </c>
      <c r="N92" s="71">
        <v>3</v>
      </c>
      <c r="O92" s="189">
        <f>=ROUND(IF((TODAY()-A92+1)*N92*(L92/10000)+L92&lt;L92*1.002,L92*1.002,(TODAY()-A92+1)*N92*(L92/10000)+L92),2)</f>
        <v>4566.2</v>
      </c>
      <c r="P92" s="71">
        <v>1</v>
      </c>
      <c r="Q92" s="71">
        <f>=J92-P92</f>
        <v>0</v>
      </c>
      <c r="R92" s="71">
        <v>1</v>
      </c>
      <c r="S92" s="112">
        <f>=P92-R92</f>
        <v>0</v>
      </c>
      <c r="T92" s="71">
        <f>=S92*L92</f>
        <v>0</v>
      </c>
      <c r="U92" s="190">
        <f>=J92-P92</f>
        <v>0</v>
      </c>
      <c r="V92" s="190" t="s"/>
      <c r="W92" s="190" t="s"/>
      <c r="X92" s="190" t="s"/>
      <c r="Y92" s="190" t="s"/>
      <c r="Z92" s="190" t="s"/>
    </row>
    <row r="93" spans="1:26" s="218" customFormat="true" ht="15.75" customHeight="true">
      <c r="A93" s="98">
        <v>45865</v>
      </c>
      <c r="B93" s="71">
        <f>=TODAY()-A93+1</f>
        <v>360</v>
      </c>
      <c r="C93" s="78" t="s">
        <v>69</v>
      </c>
      <c r="D93" s="71" t="s">
        <v>52</v>
      </c>
      <c r="E93" s="108" t="s">
        <v>552</v>
      </c>
      <c r="F93" s="71" t="s"/>
      <c r="G93" s="71" t="s">
        <v>428</v>
      </c>
      <c r="H93" s="71" t="s">
        <v>470</v>
      </c>
      <c r="I93" s="71" t="s">
        <v>553</v>
      </c>
      <c r="J93" s="71">
        <v>1</v>
      </c>
      <c r="K93" s="71" t="s"/>
      <c r="L93" s="71">
        <v>2802</v>
      </c>
      <c r="M93" s="112">
        <f>=J93*L93</f>
        <v>2802</v>
      </c>
      <c r="N93" s="71">
        <v>3</v>
      </c>
      <c r="O93" s="189">
        <f>=ROUND(IF((TODAY()-A93+1)*N93*(L93/10000)+L93&lt;L93*1.002,L93*1.002,(TODAY()-A93+1)*N93*(L93/10000)+L93),2)</f>
        <v>3105.46</v>
      </c>
      <c r="P93" s="71">
        <v>1</v>
      </c>
      <c r="Q93" s="71">
        <f>=J93-P93</f>
        <v>0</v>
      </c>
      <c r="R93" s="71">
        <v>1</v>
      </c>
      <c r="S93" s="112">
        <f>=P93-R93</f>
        <v>0</v>
      </c>
      <c r="T93" s="71">
        <f>=S93*L93</f>
        <v>0</v>
      </c>
      <c r="U93" s="190">
        <f>=J93-P93</f>
        <v>0</v>
      </c>
      <c r="V93" s="190" t="s"/>
      <c r="W93" s="190" t="s"/>
      <c r="X93" s="190" t="s"/>
      <c r="Y93" s="190" t="s"/>
      <c r="Z93" s="190" t="s"/>
    </row>
    <row r="94" spans="1:26" s="218" customFormat="true" ht="15.75" customHeight="true">
      <c r="A94" s="98">
        <v>45865</v>
      </c>
      <c r="B94" s="71">
        <f>=TODAY()-A94+1</f>
        <v>360</v>
      </c>
      <c r="C94" s="78" t="s">
        <v>69</v>
      </c>
      <c r="D94" s="71" t="s">
        <v>52</v>
      </c>
      <c r="E94" s="108" t="s">
        <v>554</v>
      </c>
      <c r="F94" s="71" t="s"/>
      <c r="G94" s="71" t="s">
        <v>428</v>
      </c>
      <c r="H94" s="71" t="s">
        <v>470</v>
      </c>
      <c r="I94" s="71" t="s">
        <v>555</v>
      </c>
      <c r="J94" s="71">
        <v>1</v>
      </c>
      <c r="K94" s="71" t="s"/>
      <c r="L94" s="71">
        <v>2802</v>
      </c>
      <c r="M94" s="112">
        <f>=J94*L94</f>
        <v>2802</v>
      </c>
      <c r="N94" s="71">
        <v>3</v>
      </c>
      <c r="O94" s="189">
        <f>=ROUND(IF((TODAY()-A94+1)*N94*(L94/10000)+L94&lt;L94*1.002,L94*1.002,(TODAY()-A94+1)*N94*(L94/10000)+L94),2)</f>
        <v>3105.46</v>
      </c>
      <c r="P94" s="71">
        <v>1</v>
      </c>
      <c r="Q94" s="71">
        <f>=J94-P94</f>
        <v>0</v>
      </c>
      <c r="R94" s="71">
        <v>1</v>
      </c>
      <c r="S94" s="112">
        <f>=P94-R94</f>
        <v>0</v>
      </c>
      <c r="T94" s="71">
        <f>=S94*L94</f>
        <v>0</v>
      </c>
      <c r="U94" s="190">
        <f>=J94-P94</f>
        <v>0</v>
      </c>
      <c r="V94" s="190" t="s"/>
      <c r="W94" s="190" t="s"/>
      <c r="X94" s="190" t="s"/>
      <c r="Y94" s="190" t="s"/>
      <c r="Z94" s="190" t="s"/>
    </row>
    <row r="95" spans="1:26" s="218" customFormat="true" ht="15.75" customHeight="true">
      <c r="A95" s="98">
        <v>45865</v>
      </c>
      <c r="B95" s="71">
        <f>=TODAY()-A95+1</f>
        <v>360</v>
      </c>
      <c r="C95" s="78" t="s">
        <v>69</v>
      </c>
      <c r="D95" s="71" t="s">
        <v>52</v>
      </c>
      <c r="E95" s="108" t="s">
        <v>556</v>
      </c>
      <c r="F95" s="71" t="s"/>
      <c r="G95" s="64" t="s">
        <v>428</v>
      </c>
      <c r="H95" s="64" t="s">
        <v>449</v>
      </c>
      <c r="I95" s="71" t="s">
        <v>557</v>
      </c>
      <c r="J95" s="71">
        <v>4</v>
      </c>
      <c r="K95" s="71" t="s"/>
      <c r="L95" s="71">
        <v>3873</v>
      </c>
      <c r="M95" s="112">
        <f>=J95*L95</f>
        <v>15492</v>
      </c>
      <c r="N95" s="71">
        <v>3</v>
      </c>
      <c r="O95" s="189">
        <f>=ROUND(IF((TODAY()-A95+1)*N95*(L95/10000)+L95&lt;L95*1.002,L95*1.002,(TODAY()-A95+1)*N95*(L95/10000)+L95),2)</f>
        <v>4292.45</v>
      </c>
      <c r="P95" s="71">
        <v>4</v>
      </c>
      <c r="Q95" s="71">
        <f>=J95-P95</f>
        <v>0</v>
      </c>
      <c r="R95" s="71">
        <v>4</v>
      </c>
      <c r="S95" s="112">
        <f>=P95-R95</f>
        <v>0</v>
      </c>
      <c r="T95" s="71">
        <f>=S95*L95</f>
        <v>0</v>
      </c>
      <c r="U95" s="190">
        <f>=J95-P95</f>
        <v>0</v>
      </c>
      <c r="V95" s="190" t="s"/>
      <c r="W95" s="190" t="s"/>
      <c r="X95" s="190" t="s"/>
      <c r="Y95" s="190" t="s"/>
      <c r="Z95" s="190" t="s"/>
    </row>
    <row r="96" spans="1:26" s="218" customFormat="true" ht="15.75" customHeight="true">
      <c r="A96" s="98">
        <v>45865</v>
      </c>
      <c r="B96" s="71">
        <f>=TODAY()-A96+1</f>
        <v>360</v>
      </c>
      <c r="C96" s="78" t="s">
        <v>69</v>
      </c>
      <c r="D96" s="71" t="s">
        <v>52</v>
      </c>
      <c r="E96" s="108" t="s">
        <v>558</v>
      </c>
      <c r="F96" s="71" t="s"/>
      <c r="G96" s="64" t="s">
        <v>428</v>
      </c>
      <c r="H96" s="64" t="s">
        <v>449</v>
      </c>
      <c r="I96" s="71" t="s">
        <v>559</v>
      </c>
      <c r="J96" s="71">
        <v>2</v>
      </c>
      <c r="K96" s="71" t="s"/>
      <c r="L96" s="71">
        <v>3873</v>
      </c>
      <c r="M96" s="112">
        <f>=J96*L96</f>
        <v>7746</v>
      </c>
      <c r="N96" s="71">
        <v>3</v>
      </c>
      <c r="O96" s="189">
        <f>=ROUND(IF((TODAY()-A96+1)*N96*(L96/10000)+L96&lt;L96*1.002,L96*1.002,(TODAY()-A96+1)*N96*(L96/10000)+L96),2)</f>
        <v>4292.45</v>
      </c>
      <c r="P96" s="71">
        <v>2</v>
      </c>
      <c r="Q96" s="71">
        <f>=J96-P96</f>
        <v>0</v>
      </c>
      <c r="R96" s="71">
        <v>2</v>
      </c>
      <c r="S96" s="112">
        <f>=P96-R96</f>
        <v>0</v>
      </c>
      <c r="T96" s="71">
        <f>=S96*L96</f>
        <v>0</v>
      </c>
      <c r="U96" s="190">
        <f>=J96-P96</f>
        <v>0</v>
      </c>
      <c r="V96" s="190" t="s"/>
      <c r="W96" s="190" t="s"/>
      <c r="X96" s="190" t="s"/>
      <c r="Y96" s="190" t="s"/>
      <c r="Z96" s="190" t="s"/>
    </row>
    <row r="97" spans="1:26" s="218" customFormat="true" ht="15.75" customHeight="true">
      <c r="A97" s="98">
        <v>45865</v>
      </c>
      <c r="B97" s="71">
        <f>=TODAY()-A97+1</f>
        <v>360</v>
      </c>
      <c r="C97" s="78" t="s">
        <v>69</v>
      </c>
      <c r="D97" s="71" t="s">
        <v>52</v>
      </c>
      <c r="E97" s="108" t="s">
        <v>560</v>
      </c>
      <c r="F97" s="71" t="s"/>
      <c r="G97" s="64" t="s">
        <v>428</v>
      </c>
      <c r="H97" s="64" t="s">
        <v>422</v>
      </c>
      <c r="I97" s="71" t="s">
        <v>561</v>
      </c>
      <c r="J97" s="71">
        <v>2</v>
      </c>
      <c r="K97" s="71" t="s"/>
      <c r="L97" s="71">
        <v>4614</v>
      </c>
      <c r="M97" s="112">
        <f>=J97*L97</f>
        <v>9228</v>
      </c>
      <c r="N97" s="71">
        <v>3</v>
      </c>
      <c r="O97" s="189">
        <f>=ROUND(IF((TODAY()-A97+1)*N97*(L97/10000)+L97&lt;L97*1.002,L97*1.002,(TODAY()-A97+1)*N97*(L97/10000)+L97),2)</f>
        <v>5113.7</v>
      </c>
      <c r="P97" s="71">
        <v>2</v>
      </c>
      <c r="Q97" s="71">
        <f>=J97-P97</f>
        <v>0</v>
      </c>
      <c r="R97" s="71">
        <v>2</v>
      </c>
      <c r="S97" s="112">
        <f>=P97-R97</f>
        <v>0</v>
      </c>
      <c r="T97" s="71">
        <f>=S97*L97</f>
        <v>0</v>
      </c>
      <c r="U97" s="190">
        <f>=J97-P97</f>
        <v>0</v>
      </c>
      <c r="V97" s="190" t="s"/>
      <c r="W97" s="190" t="s"/>
      <c r="X97" s="190" t="s"/>
      <c r="Y97" s="190" t="s"/>
      <c r="Z97" s="190" t="s"/>
    </row>
    <row r="98" spans="1:26" s="218" customFormat="true" ht="15.75" customHeight="true">
      <c r="A98" s="98">
        <v>45865</v>
      </c>
      <c r="B98" s="71">
        <f>=TODAY()-A98+1</f>
        <v>360</v>
      </c>
      <c r="C98" s="78" t="s">
        <v>69</v>
      </c>
      <c r="D98" s="71" t="s">
        <v>52</v>
      </c>
      <c r="E98" s="108" t="s">
        <v>562</v>
      </c>
      <c r="F98" s="71" t="s"/>
      <c r="G98" s="64" t="s">
        <v>428</v>
      </c>
      <c r="H98" s="64" t="s">
        <v>449</v>
      </c>
      <c r="I98" s="71" t="s">
        <v>563</v>
      </c>
      <c r="J98" s="71">
        <v>4</v>
      </c>
      <c r="K98" s="71" t="s"/>
      <c r="L98" s="71">
        <v>3461</v>
      </c>
      <c r="M98" s="112">
        <f>=J98*L98</f>
        <v>13844</v>
      </c>
      <c r="N98" s="71">
        <v>3</v>
      </c>
      <c r="O98" s="189">
        <f>=ROUND(IF((TODAY()-A98+1)*N98*(L98/10000)+L98&lt;L98*1.002,L98*1.002,(TODAY()-A98+1)*N98*(L98/10000)+L98),2)</f>
        <v>3835.83</v>
      </c>
      <c r="P98" s="71">
        <v>4</v>
      </c>
      <c r="Q98" s="71">
        <f>=J98-P98</f>
        <v>0</v>
      </c>
      <c r="R98" s="71">
        <v>4</v>
      </c>
      <c r="S98" s="112">
        <f>=P98-R98</f>
        <v>0</v>
      </c>
      <c r="T98" s="71">
        <f>=S98*L98</f>
        <v>0</v>
      </c>
      <c r="U98" s="190">
        <f>=J98-P98</f>
        <v>0</v>
      </c>
      <c r="V98" s="190" t="s"/>
      <c r="W98" s="190" t="s"/>
      <c r="X98" s="190" t="s"/>
      <c r="Y98" s="190" t="s"/>
      <c r="Z98" s="190" t="s"/>
    </row>
    <row r="99" spans="1:26" s="218" customFormat="true" ht="15.75" customHeight="true">
      <c r="A99" s="98">
        <v>45865</v>
      </c>
      <c r="B99" s="71">
        <f>=TODAY()-A99+1</f>
        <v>360</v>
      </c>
      <c r="C99" s="78" t="s">
        <v>69</v>
      </c>
      <c r="D99" s="71" t="s">
        <v>52</v>
      </c>
      <c r="E99" s="108" t="s">
        <v>564</v>
      </c>
      <c r="F99" s="71" t="s"/>
      <c r="G99" s="64" t="s">
        <v>428</v>
      </c>
      <c r="H99" s="64" t="s">
        <v>449</v>
      </c>
      <c r="I99" s="71" t="s">
        <v>565</v>
      </c>
      <c r="J99" s="71">
        <v>2</v>
      </c>
      <c r="K99" s="71" t="s"/>
      <c r="L99" s="71">
        <v>3461</v>
      </c>
      <c r="M99" s="112">
        <f>=J99*L99</f>
        <v>6922</v>
      </c>
      <c r="N99" s="71">
        <v>3</v>
      </c>
      <c r="O99" s="189">
        <f>=ROUND(IF((TODAY()-A99+1)*N99*(L99/10000)+L99&lt;L99*1.002,L99*1.002,(TODAY()-A99+1)*N99*(L99/10000)+L99),2)</f>
        <v>3835.83</v>
      </c>
      <c r="P99" s="71">
        <v>2</v>
      </c>
      <c r="Q99" s="71">
        <f>=J99-P99</f>
        <v>0</v>
      </c>
      <c r="R99" s="71">
        <v>2</v>
      </c>
      <c r="S99" s="112">
        <f>=P99-R99</f>
        <v>0</v>
      </c>
      <c r="T99" s="71">
        <f>=S99*L99</f>
        <v>0</v>
      </c>
      <c r="U99" s="190">
        <f>=J99-P99</f>
        <v>0</v>
      </c>
      <c r="V99" s="190" t="s"/>
      <c r="W99" s="190" t="s"/>
      <c r="X99" s="190" t="s"/>
      <c r="Y99" s="190" t="s"/>
      <c r="Z99" s="190" t="s"/>
    </row>
    <row r="100" spans="1:26" s="218" customFormat="true" ht="15.75" customHeight="true">
      <c r="A100" s="98">
        <v>45865</v>
      </c>
      <c r="B100" s="71">
        <f>=TODAY()-A100+1</f>
        <v>360</v>
      </c>
      <c r="C100" s="78" t="s">
        <v>69</v>
      </c>
      <c r="D100" s="71" t="s">
        <v>52</v>
      </c>
      <c r="E100" s="108" t="s">
        <v>566</v>
      </c>
      <c r="F100" s="71" t="s"/>
      <c r="G100" s="71" t="s">
        <v>428</v>
      </c>
      <c r="H100" s="71" t="s">
        <v>470</v>
      </c>
      <c r="I100" s="71" t="s">
        <v>567</v>
      </c>
      <c r="J100" s="71">
        <v>3</v>
      </c>
      <c r="K100" s="71" t="s"/>
      <c r="L100" s="71">
        <v>4779</v>
      </c>
      <c r="M100" s="112">
        <f>=J100*L100</f>
        <v>14337</v>
      </c>
      <c r="N100" s="71">
        <v>3</v>
      </c>
      <c r="O100" s="189">
        <f>=ROUND(IF((TODAY()-A100+1)*N100*(L100/10000)+L100&lt;L100*1.002,L100*1.002,(TODAY()-A100+1)*N100*(L100/10000)+L100),2)</f>
        <v>5296.57</v>
      </c>
      <c r="P100" s="71">
        <v>3</v>
      </c>
      <c r="Q100" s="71">
        <f>=J100-P100</f>
        <v>0</v>
      </c>
      <c r="R100" s="71">
        <v>3</v>
      </c>
      <c r="S100" s="112">
        <f>=P100-R100</f>
        <v>0</v>
      </c>
      <c r="T100" s="71">
        <f>=S100*L100</f>
        <v>0</v>
      </c>
      <c r="U100" s="190">
        <f>=J100-P100</f>
        <v>0</v>
      </c>
      <c r="V100" s="190" t="s"/>
      <c r="W100" s="190" t="s"/>
      <c r="X100" s="190" t="s"/>
      <c r="Y100" s="190" t="s"/>
      <c r="Z100" s="190" t="s"/>
    </row>
    <row r="101" spans="1:26" s="218" customFormat="true" ht="15.75" customHeight="true">
      <c r="A101" s="98">
        <v>45865</v>
      </c>
      <c r="B101" s="71">
        <f>=TODAY()-A101+1</f>
        <v>360</v>
      </c>
      <c r="C101" s="78" t="s">
        <v>69</v>
      </c>
      <c r="D101" s="71" t="s">
        <v>52</v>
      </c>
      <c r="E101" s="108" t="s">
        <v>568</v>
      </c>
      <c r="F101" s="71" t="s"/>
      <c r="G101" s="71" t="s">
        <v>428</v>
      </c>
      <c r="H101" s="71" t="s">
        <v>470</v>
      </c>
      <c r="I101" s="71" t="s">
        <v>523</v>
      </c>
      <c r="J101" s="71">
        <v>2</v>
      </c>
      <c r="K101" s="71" t="s"/>
      <c r="L101" s="71">
        <v>4779</v>
      </c>
      <c r="M101" s="112">
        <f>=J101*L101</f>
        <v>9558</v>
      </c>
      <c r="N101" s="71">
        <v>3</v>
      </c>
      <c r="O101" s="189">
        <f>=ROUND(IF((TODAY()-A101+1)*N101*(L101/10000)+L101&lt;L101*1.002,L101*1.002,(TODAY()-A101+1)*N101*(L101/10000)+L101),2)</f>
        <v>5296.57</v>
      </c>
      <c r="P101" s="71">
        <v>2</v>
      </c>
      <c r="Q101" s="71">
        <f>=J101-P101</f>
        <v>0</v>
      </c>
      <c r="R101" s="71">
        <v>2</v>
      </c>
      <c r="S101" s="112">
        <f>=P101-R101</f>
        <v>0</v>
      </c>
      <c r="T101" s="71">
        <f>=S101*L101</f>
        <v>0</v>
      </c>
      <c r="U101" s="190">
        <f>=J101-P101</f>
        <v>0</v>
      </c>
      <c r="V101" s="190" t="s"/>
      <c r="W101" s="190" t="s"/>
      <c r="X101" s="190" t="s"/>
      <c r="Y101" s="190" t="s"/>
      <c r="Z101" s="190" t="s"/>
    </row>
    <row r="102" spans="1:26" s="218" customFormat="true" ht="15.75" customHeight="true">
      <c r="A102" s="98">
        <v>45865</v>
      </c>
      <c r="B102" s="71">
        <f>=TODAY()-A102+1</f>
        <v>360</v>
      </c>
      <c r="C102" s="78" t="s">
        <v>69</v>
      </c>
      <c r="D102" s="71" t="s">
        <v>52</v>
      </c>
      <c r="E102" s="108" t="s">
        <v>569</v>
      </c>
      <c r="F102" s="71" t="s"/>
      <c r="G102" s="71" t="s">
        <v>428</v>
      </c>
      <c r="H102" s="71" t="s">
        <v>470</v>
      </c>
      <c r="I102" s="71" t="s">
        <v>570</v>
      </c>
      <c r="J102" s="71">
        <v>2</v>
      </c>
      <c r="K102" s="71" t="s"/>
      <c r="L102" s="71">
        <v>4779</v>
      </c>
      <c r="M102" s="112">
        <f>=J102*L102</f>
        <v>9558</v>
      </c>
      <c r="N102" s="71">
        <v>3</v>
      </c>
      <c r="O102" s="189">
        <f>=ROUND(IF((TODAY()-A102+1)*N102*(L102/10000)+L102&lt;L102*1.002,L102*1.002,(TODAY()-A102+1)*N102*(L102/10000)+L102),2)</f>
        <v>5296.57</v>
      </c>
      <c r="P102" s="71">
        <v>2</v>
      </c>
      <c r="Q102" s="71">
        <f>=J102-P102</f>
        <v>0</v>
      </c>
      <c r="R102" s="71">
        <v>2</v>
      </c>
      <c r="S102" s="112">
        <f>=P102-R102</f>
        <v>0</v>
      </c>
      <c r="T102" s="71">
        <f>=S102*L102</f>
        <v>0</v>
      </c>
      <c r="U102" s="190">
        <f>=J102-P102</f>
        <v>0</v>
      </c>
      <c r="V102" s="190" t="s"/>
      <c r="W102" s="190" t="s"/>
      <c r="X102" s="190" t="s"/>
      <c r="Y102" s="190" t="s"/>
      <c r="Z102" s="190" t="s"/>
    </row>
    <row r="103" spans="1:26" s="218" customFormat="true" ht="15.75" customHeight="true">
      <c r="A103" s="98">
        <v>45865</v>
      </c>
      <c r="B103" s="71">
        <f>=TODAY()-A103+1</f>
        <v>360</v>
      </c>
      <c r="C103" s="78" t="s">
        <v>69</v>
      </c>
      <c r="D103" s="71" t="s">
        <v>52</v>
      </c>
      <c r="E103" s="108" t="s">
        <v>571</v>
      </c>
      <c r="F103" s="71" t="s"/>
      <c r="G103" s="71" t="s">
        <v>428</v>
      </c>
      <c r="H103" s="71" t="s">
        <v>470</v>
      </c>
      <c r="I103" s="71" t="s">
        <v>521</v>
      </c>
      <c r="J103" s="71">
        <v>1</v>
      </c>
      <c r="K103" s="71" t="s"/>
      <c r="L103" s="71">
        <v>4038</v>
      </c>
      <c r="M103" s="112">
        <f>=J103*L103</f>
        <v>4038</v>
      </c>
      <c r="N103" s="71">
        <v>3</v>
      </c>
      <c r="O103" s="189">
        <f>=ROUND(IF((TODAY()-A103+1)*N103*(L103/10000)+L103&lt;L103*1.002,L103*1.002,(TODAY()-A103+1)*N103*(L103/10000)+L103),2)</f>
        <v>4475.32</v>
      </c>
      <c r="P103" s="71">
        <v>1</v>
      </c>
      <c r="Q103" s="71">
        <f>=J103-P103</f>
        <v>0</v>
      </c>
      <c r="R103" s="71">
        <v>1</v>
      </c>
      <c r="S103" s="112">
        <f>=P103-R103</f>
        <v>0</v>
      </c>
      <c r="T103" s="71">
        <f>=S103*L103</f>
        <v>0</v>
      </c>
      <c r="U103" s="190">
        <f>=J103-P103</f>
        <v>0</v>
      </c>
      <c r="V103" s="190" t="s"/>
      <c r="W103" s="190" t="s"/>
      <c r="X103" s="190" t="s"/>
      <c r="Y103" s="190" t="s"/>
      <c r="Z103" s="190" t="s"/>
    </row>
    <row r="104" spans="1:26" s="218" customFormat="true" ht="15.75" customHeight="true">
      <c r="A104" s="98">
        <v>45865</v>
      </c>
      <c r="B104" s="71">
        <f>=TODAY()-A104+1</f>
        <v>360</v>
      </c>
      <c r="C104" s="78" t="s">
        <v>69</v>
      </c>
      <c r="D104" s="71" t="s">
        <v>52</v>
      </c>
      <c r="E104" s="108" t="s">
        <v>572</v>
      </c>
      <c r="F104" s="71" t="s"/>
      <c r="G104" s="71" t="s">
        <v>428</v>
      </c>
      <c r="H104" s="71" t="s">
        <v>470</v>
      </c>
      <c r="I104" s="71" t="s">
        <v>573</v>
      </c>
      <c r="J104" s="71">
        <v>10</v>
      </c>
      <c r="K104" s="71" t="s"/>
      <c r="L104" s="71">
        <v>4038</v>
      </c>
      <c r="M104" s="112">
        <f>=J104*L104</f>
        <v>40380</v>
      </c>
      <c r="N104" s="71">
        <v>3</v>
      </c>
      <c r="O104" s="189">
        <f>=ROUND(IF((TODAY()-A104+1)*N104*(L104/10000)+L104&lt;L104*1.002,L104*1.002,(TODAY()-A104+1)*N104*(L104/10000)+L104),2)</f>
        <v>4475.32</v>
      </c>
      <c r="P104" s="71">
        <v>10</v>
      </c>
      <c r="Q104" s="71">
        <f>=J104-P104</f>
        <v>0</v>
      </c>
      <c r="R104" s="71">
        <v>10</v>
      </c>
      <c r="S104" s="112">
        <f>=P104-R104</f>
        <v>0</v>
      </c>
      <c r="T104" s="71">
        <f>=S104*L104</f>
        <v>0</v>
      </c>
      <c r="U104" s="190">
        <f>=J104-P104</f>
        <v>0</v>
      </c>
      <c r="V104" s="190" t="s"/>
      <c r="W104" s="190" t="s"/>
      <c r="X104" s="190" t="s"/>
      <c r="Y104" s="190" t="s"/>
      <c r="Z104" s="190" t="s"/>
    </row>
    <row r="105" spans="1:26" s="218" customFormat="true" ht="15.75" customHeight="true">
      <c r="A105" s="98">
        <v>45865</v>
      </c>
      <c r="B105" s="71">
        <f>=TODAY()-A105+1</f>
        <v>360</v>
      </c>
      <c r="C105" s="78" t="s">
        <v>69</v>
      </c>
      <c r="D105" s="71" t="s">
        <v>52</v>
      </c>
      <c r="E105" s="108" t="s">
        <v>574</v>
      </c>
      <c r="F105" s="71" t="s"/>
      <c r="G105" s="71" t="s">
        <v>428</v>
      </c>
      <c r="H105" s="71" t="s">
        <v>470</v>
      </c>
      <c r="I105" s="71" t="s">
        <v>575</v>
      </c>
      <c r="J105" s="71">
        <v>2</v>
      </c>
      <c r="K105" s="71" t="s"/>
      <c r="L105" s="71">
        <v>8240</v>
      </c>
      <c r="M105" s="112">
        <f>=J105*L105</f>
        <v>16480</v>
      </c>
      <c r="N105" s="71">
        <v>3</v>
      </c>
      <c r="O105" s="189">
        <f>=ROUND(IF((TODAY()-A105+1)*N105*(L105/10000)+L105&lt;L105*1.002,L105*1.002,(TODAY()-A105+1)*N105*(L105/10000)+L105),2)</f>
        <v>9132.39</v>
      </c>
      <c r="P105" s="71">
        <v>2</v>
      </c>
      <c r="Q105" s="71">
        <f>=J105-P105</f>
        <v>0</v>
      </c>
      <c r="R105" s="71">
        <v>2</v>
      </c>
      <c r="S105" s="112">
        <f>=P105-R105</f>
        <v>0</v>
      </c>
      <c r="T105" s="71">
        <f>=S105*L105</f>
        <v>0</v>
      </c>
      <c r="U105" s="190">
        <f>=J105-P105</f>
        <v>0</v>
      </c>
      <c r="V105" s="190" t="s"/>
      <c r="W105" s="190" t="s"/>
      <c r="X105" s="190" t="s"/>
      <c r="Y105" s="190" t="s"/>
      <c r="Z105" s="190" t="s"/>
    </row>
    <row r="106" spans="1:26" s="218" customFormat="true" ht="15.75" customHeight="true">
      <c r="A106" s="98">
        <v>45865</v>
      </c>
      <c r="B106" s="71">
        <f>=TODAY()-A106+1</f>
        <v>360</v>
      </c>
      <c r="C106" s="78" t="s">
        <v>69</v>
      </c>
      <c r="D106" s="71" t="s">
        <v>52</v>
      </c>
      <c r="E106" s="108" t="s">
        <v>576</v>
      </c>
      <c r="F106" s="71" t="s"/>
      <c r="G106" s="71" t="s">
        <v>428</v>
      </c>
      <c r="H106" s="71" t="s">
        <v>470</v>
      </c>
      <c r="I106" s="71" t="s">
        <v>471</v>
      </c>
      <c r="J106" s="71">
        <v>2</v>
      </c>
      <c r="K106" s="71" t="s"/>
      <c r="L106" s="71">
        <v>2884</v>
      </c>
      <c r="M106" s="112">
        <f>=J106*L106</f>
        <v>5768</v>
      </c>
      <c r="N106" s="71">
        <v>3</v>
      </c>
      <c r="O106" s="189">
        <f>=ROUND(IF((TODAY()-A106+1)*N106*(L106/10000)+L106&lt;L106*1.002,L106*1.002,(TODAY()-A106+1)*N106*(L106/10000)+L106),2)</f>
        <v>3196.34</v>
      </c>
      <c r="P106" s="71">
        <v>2</v>
      </c>
      <c r="Q106" s="71">
        <f>=J106-P106</f>
        <v>0</v>
      </c>
      <c r="R106" s="71">
        <v>2</v>
      </c>
      <c r="S106" s="112">
        <f>=P106-R106</f>
        <v>0</v>
      </c>
      <c r="T106" s="71">
        <f>=S106*L106</f>
        <v>0</v>
      </c>
      <c r="U106" s="190">
        <f>=J106-P106</f>
        <v>0</v>
      </c>
      <c r="V106" s="190" t="s"/>
      <c r="W106" s="190" t="s"/>
      <c r="X106" s="190" t="s"/>
      <c r="Y106" s="190" t="s"/>
      <c r="Z106" s="190" t="s"/>
    </row>
    <row r="107" spans="1:26" s="190" customFormat="true">
      <c r="A107" s="98">
        <v>45865</v>
      </c>
      <c r="B107" s="71">
        <f>=TODAY()-A107+1</f>
        <v>360</v>
      </c>
      <c r="C107" s="78" t="s">
        <v>69</v>
      </c>
      <c r="D107" s="71" t="s">
        <v>52</v>
      </c>
      <c r="E107" s="108" t="s">
        <v>577</v>
      </c>
      <c r="F107" s="71" t="s"/>
      <c r="G107" s="71" t="s">
        <v>428</v>
      </c>
      <c r="H107" s="71" t="s">
        <v>470</v>
      </c>
      <c r="I107" s="71" t="s">
        <v>473</v>
      </c>
      <c r="J107" s="71">
        <v>2</v>
      </c>
      <c r="K107" s="71" t="s"/>
      <c r="L107" s="71">
        <v>2884</v>
      </c>
      <c r="M107" s="112">
        <f>=J107*L107</f>
        <v>5768</v>
      </c>
      <c r="N107" s="71">
        <v>3</v>
      </c>
      <c r="O107" s="189">
        <f>=ROUND(IF((TODAY()-A107+1)*N107*(L107/10000)+L107&lt;L107*1.002,L107*1.002,(TODAY()-A107+1)*N107*(L107/10000)+L107),2)</f>
        <v>3196.34</v>
      </c>
      <c r="P107" s="71">
        <v>2</v>
      </c>
      <c r="Q107" s="71">
        <f>=J107-P107</f>
        <v>0</v>
      </c>
      <c r="R107" s="71">
        <v>2</v>
      </c>
      <c r="S107" s="112">
        <f>=P107-R107</f>
        <v>0</v>
      </c>
      <c r="T107" s="71">
        <f>=S107*L107</f>
        <v>0</v>
      </c>
      <c r="U107" s="190">
        <f>=J107-P107</f>
        <v>0</v>
      </c>
      <c r="V107" s="190" t="s"/>
      <c r="W107" s="190" t="s"/>
      <c r="X107" s="190" t="s"/>
      <c r="Y107" s="190" t="s"/>
      <c r="Z107" s="190" t="s"/>
    </row>
    <row r="108" spans="1:26" s="270" customFormat="true">
      <c r="A108" s="80">
        <v>45865</v>
      </c>
      <c r="B108" s="71">
        <f>=TODAY()-A108+1</f>
        <v>360</v>
      </c>
      <c r="C108" s="64" t="s">
        <v>69</v>
      </c>
      <c r="D108" s="64" t="s">
        <v>52</v>
      </c>
      <c r="E108" s="94" t="s">
        <v>578</v>
      </c>
      <c r="F108" s="64" t="s"/>
      <c r="G108" s="64" t="s">
        <v>428</v>
      </c>
      <c r="H108" s="64" t="s">
        <v>470</v>
      </c>
      <c r="I108" s="64" t="s">
        <v>579</v>
      </c>
      <c r="J108" s="64">
        <v>2</v>
      </c>
      <c r="K108" s="64" t="s"/>
      <c r="L108" s="64">
        <v>2884</v>
      </c>
      <c r="M108" s="197">
        <f>=J108*L108</f>
        <v>5768</v>
      </c>
      <c r="N108" s="64">
        <v>3</v>
      </c>
      <c r="O108" s="189">
        <f>=ROUND(IF((TODAY()-A108+1)*N108*(L108/10000)+L108&lt;L108*1.002,L108*1.002,(TODAY()-A108+1)*N108*(L108/10000)+L108),2)</f>
        <v>3196.34</v>
      </c>
      <c r="P108" s="64">
        <v>2</v>
      </c>
      <c r="Q108" s="64">
        <f>=J108-P108</f>
        <v>0</v>
      </c>
      <c r="R108" s="64">
        <v>2</v>
      </c>
      <c r="S108" s="197">
        <f>=P108-R108</f>
        <v>0</v>
      </c>
      <c r="T108" s="71">
        <f>=S108*L108</f>
        <v>0</v>
      </c>
      <c r="U108" s="190">
        <f>=J108-P108</f>
        <v>0</v>
      </c>
      <c r="V108" s="87" t="s"/>
      <c r="W108" s="87" t="s"/>
      <c r="X108" s="87" t="s"/>
      <c r="Y108" s="87" t="s"/>
      <c r="Z108" s="87" t="s"/>
    </row>
    <row r="109" spans="1:26" s="190" customFormat="true">
      <c r="A109" s="98">
        <v>45865</v>
      </c>
      <c r="B109" s="71">
        <f>=TODAY()-A109+1</f>
        <v>360</v>
      </c>
      <c r="C109" s="78" t="s">
        <v>69</v>
      </c>
      <c r="D109" s="71" t="s">
        <v>52</v>
      </c>
      <c r="E109" s="108" t="s">
        <v>580</v>
      </c>
      <c r="F109" s="71" t="s"/>
      <c r="G109" s="71" t="s">
        <v>428</v>
      </c>
      <c r="H109" s="71" t="s">
        <v>470</v>
      </c>
      <c r="I109" s="71" t="s">
        <v>477</v>
      </c>
      <c r="J109" s="71">
        <v>1</v>
      </c>
      <c r="K109" s="71" t="s"/>
      <c r="L109" s="71">
        <v>2225</v>
      </c>
      <c r="M109" s="112">
        <f>=J109*L109</f>
        <v>2225</v>
      </c>
      <c r="N109" s="71">
        <v>3</v>
      </c>
      <c r="O109" s="189">
        <f>=ROUND(IF((TODAY()-A109+1)*N109*(L109/10000)+L109&lt;L109*1.002,L109*1.002,(TODAY()-A109+1)*N109*(L109/10000)+L109),2)</f>
        <v>2465.97</v>
      </c>
      <c r="P109" s="71">
        <v>1</v>
      </c>
      <c r="Q109" s="71">
        <f>=J109-P109</f>
        <v>0</v>
      </c>
      <c r="R109" s="71">
        <v>1</v>
      </c>
      <c r="S109" s="112">
        <f>=P109-R109</f>
        <v>0</v>
      </c>
      <c r="T109" s="71">
        <f>=S109*L109</f>
        <v>0</v>
      </c>
      <c r="U109" s="190">
        <f>=J109-P109</f>
        <v>0</v>
      </c>
      <c r="V109" s="190" t="s"/>
      <c r="W109" s="190" t="s"/>
      <c r="X109" s="190" t="s"/>
      <c r="Y109" s="190" t="s"/>
      <c r="Z109" s="190" t="s"/>
    </row>
    <row r="110" spans="1:26" s="190" customFormat="true">
      <c r="A110" s="98">
        <v>45865</v>
      </c>
      <c r="B110" s="71">
        <f>=TODAY()-A110+1</f>
        <v>360</v>
      </c>
      <c r="C110" s="78" t="s">
        <v>69</v>
      </c>
      <c r="D110" s="71" t="s">
        <v>52</v>
      </c>
      <c r="E110" s="108" t="s">
        <v>581</v>
      </c>
      <c r="F110" s="71" t="s"/>
      <c r="G110" s="71" t="s">
        <v>428</v>
      </c>
      <c r="H110" s="71" t="s">
        <v>470</v>
      </c>
      <c r="I110" s="71" t="s">
        <v>582</v>
      </c>
      <c r="J110" s="71">
        <v>6</v>
      </c>
      <c r="K110" s="71" t="s"/>
      <c r="L110" s="71">
        <v>2225</v>
      </c>
      <c r="M110" s="112">
        <f>=J110*L110</f>
        <v>13350</v>
      </c>
      <c r="N110" s="71">
        <v>3</v>
      </c>
      <c r="O110" s="189">
        <f>=ROUND(IF((TODAY()-A110+1)*N110*(L110/10000)+L110&lt;L110*1.002,L110*1.002,(TODAY()-A110+1)*N110*(L110/10000)+L110),2)</f>
        <v>2465.97</v>
      </c>
      <c r="P110" s="71">
        <v>6</v>
      </c>
      <c r="Q110" s="71">
        <f>=J110-P110</f>
        <v>0</v>
      </c>
      <c r="R110" s="71">
        <v>6</v>
      </c>
      <c r="S110" s="112">
        <f>=P110-R110</f>
        <v>0</v>
      </c>
      <c r="T110" s="71">
        <f>=S110*L110</f>
        <v>0</v>
      </c>
      <c r="U110" s="190">
        <f>=J110-P110</f>
        <v>0</v>
      </c>
      <c r="V110" s="190" t="s"/>
      <c r="W110" s="190" t="s"/>
      <c r="X110" s="190" t="s"/>
      <c r="Y110" s="190" t="s"/>
      <c r="Z110" s="190" t="s"/>
    </row>
    <row r="111" spans="1:26" s="218" customFormat="true" ht="15.75" customHeight="true">
      <c r="A111" s="98">
        <v>45865</v>
      </c>
      <c r="B111" s="71">
        <f>=TODAY()-A111+1</f>
        <v>360</v>
      </c>
      <c r="C111" s="78" t="s">
        <v>69</v>
      </c>
      <c r="D111" s="71" t="s">
        <v>52</v>
      </c>
      <c r="E111" s="108" t="s">
        <v>583</v>
      </c>
      <c r="F111" s="71" t="s"/>
      <c r="G111" s="71" t="s">
        <v>428</v>
      </c>
      <c r="H111" s="71" t="s">
        <v>470</v>
      </c>
      <c r="I111" s="71" t="s">
        <v>584</v>
      </c>
      <c r="J111" s="71">
        <v>2</v>
      </c>
      <c r="K111" s="71" t="s"/>
      <c r="L111" s="71">
        <v>5356</v>
      </c>
      <c r="M111" s="112">
        <f>=J111*L111</f>
        <v>10712</v>
      </c>
      <c r="N111" s="71">
        <v>3</v>
      </c>
      <c r="O111" s="189">
        <f>=ROUND(IF((TODAY()-A111+1)*N111*(L111/10000)+L111&lt;L111*1.002,L111*1.002,(TODAY()-A111+1)*N111*(L111/10000)+L111),2)</f>
        <v>5936.05</v>
      </c>
      <c r="P111" s="71">
        <v>2</v>
      </c>
      <c r="Q111" s="71">
        <f>=J111-P111</f>
        <v>0</v>
      </c>
      <c r="R111" s="71">
        <v>2</v>
      </c>
      <c r="S111" s="112">
        <f>=P111-R111</f>
        <v>0</v>
      </c>
      <c r="T111" s="71">
        <f>=S111*L111</f>
        <v>0</v>
      </c>
      <c r="U111" s="190">
        <f>=J111-P111</f>
        <v>0</v>
      </c>
      <c r="V111" s="190" t="s"/>
      <c r="W111" s="190" t="s"/>
      <c r="X111" s="190" t="s"/>
      <c r="Y111" s="190" t="s"/>
      <c r="Z111" s="190" t="s"/>
    </row>
    <row r="112" spans="1:26" s="218" customFormat="true" ht="15.75" customHeight="true">
      <c r="A112" s="125">
        <v>45868</v>
      </c>
      <c r="B112" s="71">
        <f>=TODAY()-A112+1</f>
        <v>357</v>
      </c>
      <c r="C112" s="205" t="s">
        <v>70</v>
      </c>
      <c r="D112" s="71" t="s">
        <v>65</v>
      </c>
      <c r="E112" s="108" t="s">
        <v>585</v>
      </c>
      <c r="F112" s="71" t="s"/>
      <c r="G112" s="112" t="s">
        <v>421</v>
      </c>
      <c r="H112" s="64" t="s">
        <v>422</v>
      </c>
      <c r="I112" s="71" t="s">
        <v>507</v>
      </c>
      <c r="J112" s="71">
        <v>51</v>
      </c>
      <c r="K112" s="71" t="s"/>
      <c r="L112" s="71">
        <v>6220</v>
      </c>
      <c r="M112" s="112">
        <f>=J112*L112</f>
        <v>317220</v>
      </c>
      <c r="N112" s="71">
        <v>2.5</v>
      </c>
      <c r="O112" s="189">
        <f>=ROUND(IF((TODAY()-A112+1)*N112*(L112/10000)+L112&lt;L112*1.002,L112*1.002,(TODAY()-A112+1)*N112*(L112/10000)+L112),2)</f>
        <v>6776.69</v>
      </c>
      <c r="P112" s="71">
        <v>51</v>
      </c>
      <c r="Q112" s="71">
        <f>=J112-P112</f>
        <v>0</v>
      </c>
      <c r="R112" s="71">
        <v>51</v>
      </c>
      <c r="S112" s="112">
        <f>=P112-R112</f>
        <v>0</v>
      </c>
      <c r="T112" s="71">
        <f>=S112*L112</f>
        <v>0</v>
      </c>
      <c r="U112" s="190">
        <f>=J112-P112</f>
        <v>0</v>
      </c>
      <c r="V112" s="190" t="s"/>
      <c r="W112" s="190" t="s"/>
      <c r="X112" s="190" t="s"/>
      <c r="Y112" s="190" t="s"/>
      <c r="Z112" s="190" t="s"/>
    </row>
    <row r="113" spans="1:26" s="218" customFormat="true" ht="15.75" customHeight="true">
      <c r="A113" s="125">
        <v>45868</v>
      </c>
      <c r="B113" s="71">
        <f>=TODAY()-A113+1</f>
        <v>357</v>
      </c>
      <c r="C113" s="205" t="s">
        <v>70</v>
      </c>
      <c r="D113" s="71" t="s">
        <v>65</v>
      </c>
      <c r="E113" s="71" t="s">
        <v>586</v>
      </c>
      <c r="F113" s="71" t="s"/>
      <c r="G113" s="112" t="s">
        <v>421</v>
      </c>
      <c r="H113" s="64" t="s">
        <v>422</v>
      </c>
      <c r="I113" s="71" t="s">
        <v>511</v>
      </c>
      <c r="J113" s="71">
        <v>63</v>
      </c>
      <c r="K113" s="71" t="s"/>
      <c r="L113" s="71">
        <v>6230</v>
      </c>
      <c r="M113" s="112">
        <f>=J113*L113</f>
        <v>392490</v>
      </c>
      <c r="N113" s="71">
        <v>2.5</v>
      </c>
      <c r="O113" s="189">
        <f>=ROUND(IF((TODAY()-A113+1)*N113*(L113/10000)+L113&lt;L113*1.002,L113*1.002,(TODAY()-A113+1)*N113*(L113/10000)+L113),2)</f>
        <v>6787.59</v>
      </c>
      <c r="P113" s="71">
        <v>63</v>
      </c>
      <c r="Q113" s="71">
        <f>=J113-P113</f>
        <v>0</v>
      </c>
      <c r="R113" s="71">
        <v>63</v>
      </c>
      <c r="S113" s="112">
        <f>=P113-R113</f>
        <v>0</v>
      </c>
      <c r="T113" s="71">
        <f>=S113*L113</f>
        <v>0</v>
      </c>
      <c r="U113" s="190">
        <f>=J113-P113</f>
        <v>0</v>
      </c>
      <c r="V113" s="190" t="s"/>
      <c r="W113" s="190" t="s"/>
      <c r="X113" s="190" t="s"/>
      <c r="Y113" s="190" t="s"/>
      <c r="Z113" s="190" t="s"/>
    </row>
    <row r="114" spans="1:26" s="218" customFormat="true" ht="15.75" customHeight="true">
      <c r="A114" s="125">
        <v>45868</v>
      </c>
      <c r="B114" s="71">
        <f>=TODAY()-A114+1</f>
        <v>357</v>
      </c>
      <c r="C114" s="205" t="s">
        <v>70</v>
      </c>
      <c r="D114" s="71" t="s">
        <v>65</v>
      </c>
      <c r="E114" s="71" t="s">
        <v>587</v>
      </c>
      <c r="F114" s="71" t="s"/>
      <c r="G114" s="112" t="s">
        <v>421</v>
      </c>
      <c r="H114" s="64" t="s">
        <v>422</v>
      </c>
      <c r="I114" s="71" t="s">
        <v>509</v>
      </c>
      <c r="J114" s="71">
        <v>59</v>
      </c>
      <c r="K114" s="71" t="s"/>
      <c r="L114" s="71">
        <v>6220</v>
      </c>
      <c r="M114" s="112">
        <f>=J114*L114</f>
        <v>366980</v>
      </c>
      <c r="N114" s="71">
        <v>2.5</v>
      </c>
      <c r="O114" s="189">
        <f>=ROUND(IF((TODAY()-A114+1)*N114*(L114/10000)+L114&lt;L114*1.002,L114*1.002,(TODAY()-A114+1)*N114*(L114/10000)+L114),2)</f>
        <v>6776.69</v>
      </c>
      <c r="P114" s="71">
        <v>59</v>
      </c>
      <c r="Q114" s="71">
        <f>=J114-P114</f>
        <v>0</v>
      </c>
      <c r="R114" s="71">
        <v>59</v>
      </c>
      <c r="S114" s="112">
        <f>=P114-R114</f>
        <v>0</v>
      </c>
      <c r="T114" s="71">
        <f>=S114*L114</f>
        <v>0</v>
      </c>
      <c r="U114" s="190">
        <f>=J114-P114</f>
        <v>0</v>
      </c>
      <c r="V114" s="190" t="s"/>
      <c r="W114" s="190" t="s"/>
      <c r="X114" s="190" t="s"/>
      <c r="Y114" s="190" t="s"/>
      <c r="Z114" s="190" t="s"/>
    </row>
    <row r="115" spans="1:26" s="218" customFormat="true" ht="15.75" customHeight="true">
      <c r="A115" s="125">
        <v>45868</v>
      </c>
      <c r="B115" s="71">
        <f>=TODAY()-A115+1</f>
        <v>357</v>
      </c>
      <c r="C115" s="205" t="s">
        <v>70</v>
      </c>
      <c r="D115" s="71" t="s">
        <v>65</v>
      </c>
      <c r="E115" s="108" t="s">
        <v>588</v>
      </c>
      <c r="F115" s="71" t="s"/>
      <c r="G115" s="112" t="s">
        <v>421</v>
      </c>
      <c r="H115" s="64" t="s">
        <v>422</v>
      </c>
      <c r="I115" s="71" t="s">
        <v>513</v>
      </c>
      <c r="J115" s="71">
        <v>71</v>
      </c>
      <c r="K115" s="71" t="s"/>
      <c r="L115" s="71">
        <v>6260</v>
      </c>
      <c r="M115" s="112">
        <f>=J115*L115</f>
        <v>444460</v>
      </c>
      <c r="N115" s="71">
        <v>2.5</v>
      </c>
      <c r="O115" s="189">
        <f>=ROUND(IF((TODAY()-A115+1)*N115*(L115/10000)+L115&lt;L115*1.002,L115*1.002,(TODAY()-A115+1)*N115*(L115/10000)+L115),2)</f>
        <v>6820.27</v>
      </c>
      <c r="P115" s="71">
        <v>71</v>
      </c>
      <c r="Q115" s="71">
        <f>=J115-P115</f>
        <v>0</v>
      </c>
      <c r="R115" s="71">
        <v>71</v>
      </c>
      <c r="S115" s="112">
        <f>=P115-R115</f>
        <v>0</v>
      </c>
      <c r="T115" s="71">
        <f>=S115*L115</f>
        <v>0</v>
      </c>
      <c r="U115" s="190">
        <f>=J115-P115</f>
        <v>0</v>
      </c>
      <c r="V115" s="190" t="s"/>
      <c r="W115" s="190" t="s"/>
      <c r="X115" s="190" t="s"/>
      <c r="Y115" s="190" t="s"/>
      <c r="Z115" s="190" t="s"/>
    </row>
    <row r="116" spans="1:26" s="218" customFormat="true" ht="15.75" customHeight="true">
      <c r="A116" s="98">
        <v>45881</v>
      </c>
      <c r="B116" s="71">
        <f>=TODAY()-A116+1</f>
        <v>344</v>
      </c>
      <c r="C116" s="78" t="s">
        <v>71</v>
      </c>
      <c r="D116" s="71" t="s">
        <v>50</v>
      </c>
      <c r="E116" s="108" t="s">
        <v>589</v>
      </c>
      <c r="F116" s="71" t="s"/>
      <c r="G116" s="64" t="s">
        <v>428</v>
      </c>
      <c r="H116" s="64" t="s">
        <v>429</v>
      </c>
      <c r="I116" s="64" t="s">
        <v>590</v>
      </c>
      <c r="J116" s="64">
        <v>10</v>
      </c>
      <c r="K116" s="64" t="s"/>
      <c r="L116" s="64">
        <v>1256</v>
      </c>
      <c r="M116" s="197">
        <f>=J116*L116</f>
        <v>12560</v>
      </c>
      <c r="N116" s="64">
        <v>2.5</v>
      </c>
      <c r="O116" s="189">
        <f>=ROUND(IF((TODAY()-A116+1)*N116*(L116/10000)+L116&lt;L116*1.002,L116*1.002,(TODAY()-A116+1)*N116*(L116/10000)+L116),2)</f>
        <v>1364.33</v>
      </c>
      <c r="P116" s="64">
        <v>10</v>
      </c>
      <c r="Q116" s="64">
        <f>=J116-P116</f>
        <v>0</v>
      </c>
      <c r="R116" s="64">
        <v>10</v>
      </c>
      <c r="S116" s="112">
        <f>=P116-R116</f>
        <v>0</v>
      </c>
      <c r="T116" s="71">
        <f>=S116*L116</f>
        <v>0</v>
      </c>
      <c r="U116" s="190">
        <f>=J116-P116</f>
        <v>0</v>
      </c>
      <c r="V116" s="190" t="s"/>
      <c r="W116" s="190" t="s"/>
      <c r="X116" s="190" t="s"/>
      <c r="Y116" s="190" t="s"/>
      <c r="Z116" s="190" t="s"/>
    </row>
    <row r="117" spans="1:26" s="218" customFormat="true" ht="15.75" customHeight="true">
      <c r="A117" s="98">
        <v>45881</v>
      </c>
      <c r="B117" s="71">
        <f>=TODAY()-A117+1</f>
        <v>344</v>
      </c>
      <c r="C117" s="78" t="s">
        <v>71</v>
      </c>
      <c r="D117" s="71" t="s">
        <v>50</v>
      </c>
      <c r="E117" s="108" t="s">
        <v>591</v>
      </c>
      <c r="F117" s="71" t="s"/>
      <c r="G117" s="64" t="s">
        <v>428</v>
      </c>
      <c r="H117" s="64" t="s">
        <v>429</v>
      </c>
      <c r="I117" s="64" t="s">
        <v>592</v>
      </c>
      <c r="J117" s="64">
        <v>12</v>
      </c>
      <c r="K117" s="64" t="s"/>
      <c r="L117" s="64">
        <v>656</v>
      </c>
      <c r="M117" s="197">
        <f>=J117*L117</f>
        <v>7872</v>
      </c>
      <c r="N117" s="64">
        <v>2.5</v>
      </c>
      <c r="O117" s="189">
        <f>=ROUND(IF((TODAY()-A117+1)*N117*(L117/10000)+L117&lt;L117*1.002,L117*1.002,(TODAY()-A117+1)*N117*(L117/10000)+L117),2)</f>
        <v>712.58</v>
      </c>
      <c r="P117" s="64">
        <v>12</v>
      </c>
      <c r="Q117" s="64">
        <f>=J117-P117</f>
        <v>0</v>
      </c>
      <c r="R117" s="64">
        <v>12</v>
      </c>
      <c r="S117" s="112">
        <f>=P117-R117</f>
        <v>0</v>
      </c>
      <c r="T117" s="71">
        <f>=S117*L117</f>
        <v>0</v>
      </c>
      <c r="U117" s="190">
        <f>=J117-P117</f>
        <v>0</v>
      </c>
      <c r="V117" s="190" t="s"/>
      <c r="W117" s="190" t="s"/>
      <c r="X117" s="190" t="s"/>
      <c r="Y117" s="190" t="s"/>
      <c r="Z117" s="190" t="s"/>
    </row>
    <row r="118" spans="1:26" s="218" customFormat="true" ht="15.75" customHeight="true">
      <c r="A118" s="98">
        <v>45881</v>
      </c>
      <c r="B118" s="71">
        <f>=TODAY()-A118+1</f>
        <v>344</v>
      </c>
      <c r="C118" s="78" t="s">
        <v>71</v>
      </c>
      <c r="D118" s="71" t="s">
        <v>50</v>
      </c>
      <c r="E118" s="108" t="s">
        <v>593</v>
      </c>
      <c r="F118" s="71" t="s"/>
      <c r="G118" s="64" t="s">
        <v>428</v>
      </c>
      <c r="H118" s="64" t="s">
        <v>429</v>
      </c>
      <c r="I118" s="64" t="s">
        <v>594</v>
      </c>
      <c r="J118" s="64">
        <v>35</v>
      </c>
      <c r="K118" s="64" t="s"/>
      <c r="L118" s="64">
        <v>600</v>
      </c>
      <c r="M118" s="197">
        <f>=J118*L118</f>
        <v>21000</v>
      </c>
      <c r="N118" s="64">
        <v>2.5</v>
      </c>
      <c r="O118" s="189">
        <f>=ROUND(IF((TODAY()-A118+1)*N118*(L118/10000)+L118&lt;L118*1.002,L118*1.002,(TODAY()-A118+1)*N118*(L118/10000)+L118),2)</f>
        <v>651.75</v>
      </c>
      <c r="P118" s="64">
        <v>35</v>
      </c>
      <c r="Q118" s="64">
        <f>=J118-P118</f>
        <v>0</v>
      </c>
      <c r="R118" s="64">
        <v>35</v>
      </c>
      <c r="S118" s="112">
        <f>=P118-R118</f>
        <v>0</v>
      </c>
      <c r="T118" s="71">
        <f>=S118*L118</f>
        <v>0</v>
      </c>
      <c r="U118" s="190">
        <f>=J118-P118</f>
        <v>0</v>
      </c>
      <c r="V118" s="190" t="s"/>
      <c r="W118" s="190" t="s"/>
      <c r="X118" s="190" t="s"/>
      <c r="Y118" s="190" t="s"/>
      <c r="Z118" s="190" t="s"/>
    </row>
    <row r="119" spans="1:26" s="218" customFormat="true" ht="15.75" customHeight="true">
      <c r="A119" s="98">
        <v>45881</v>
      </c>
      <c r="B119" s="71">
        <f>=TODAY()-A119+1</f>
        <v>344</v>
      </c>
      <c r="C119" s="78" t="s">
        <v>71</v>
      </c>
      <c r="D119" s="71" t="s">
        <v>50</v>
      </c>
      <c r="E119" s="108" t="s">
        <v>595</v>
      </c>
      <c r="F119" s="71" t="s"/>
      <c r="G119" s="64" t="s">
        <v>428</v>
      </c>
      <c r="H119" s="64" t="s">
        <v>429</v>
      </c>
      <c r="I119" s="64" t="s">
        <v>596</v>
      </c>
      <c r="J119" s="64">
        <v>22</v>
      </c>
      <c r="K119" s="64" t="s"/>
      <c r="L119" s="64">
        <v>792</v>
      </c>
      <c r="M119" s="197">
        <f>=J119*L119</f>
        <v>17424</v>
      </c>
      <c r="N119" s="64">
        <v>2.5</v>
      </c>
      <c r="O119" s="189">
        <f>=ROUND(IF((TODAY()-A119+1)*N119*(L119/10000)+L119&lt;L119*1.002,L119*1.002,(TODAY()-A119+1)*N119*(L119/10000)+L119),2)</f>
        <v>860.31</v>
      </c>
      <c r="P119" s="64">
        <v>22</v>
      </c>
      <c r="Q119" s="64">
        <f>=J119-P119</f>
        <v>0</v>
      </c>
      <c r="R119" s="64">
        <v>22</v>
      </c>
      <c r="S119" s="112">
        <f>=P119-R119</f>
        <v>0</v>
      </c>
      <c r="T119" s="71">
        <f>=S119*L119</f>
        <v>0</v>
      </c>
      <c r="U119" s="190">
        <f>=J119-P119</f>
        <v>0</v>
      </c>
      <c r="V119" s="190" t="s"/>
      <c r="W119" s="190" t="s"/>
      <c r="X119" s="190" t="s"/>
      <c r="Y119" s="190" t="s"/>
      <c r="Z119" s="190" t="s"/>
    </row>
    <row r="120" spans="1:26" s="218" customFormat="true" ht="15.75" customHeight="true">
      <c r="A120" s="98">
        <v>45881</v>
      </c>
      <c r="B120" s="71">
        <f>=TODAY()-A120+1</f>
        <v>344</v>
      </c>
      <c r="C120" s="78" t="s">
        <v>71</v>
      </c>
      <c r="D120" s="71" t="s">
        <v>50</v>
      </c>
      <c r="E120" s="108" t="s">
        <v>597</v>
      </c>
      <c r="F120" s="71" t="s"/>
      <c r="G120" s="64" t="s">
        <v>428</v>
      </c>
      <c r="H120" s="64" t="s">
        <v>429</v>
      </c>
      <c r="I120" s="64" t="s">
        <v>598</v>
      </c>
      <c r="J120" s="64">
        <v>28</v>
      </c>
      <c r="K120" s="64" t="s"/>
      <c r="L120" s="64">
        <v>880</v>
      </c>
      <c r="M120" s="197">
        <f>=J120*L120</f>
        <v>24640</v>
      </c>
      <c r="N120" s="64">
        <v>2.5</v>
      </c>
      <c r="O120" s="189">
        <f>=ROUND(IF((TODAY()-A120+1)*N120*(L120/10000)+L120&lt;L120*1.002,L120*1.002,(TODAY()-A120+1)*N120*(L120/10000)+L120),2)</f>
        <v>955.9</v>
      </c>
      <c r="P120" s="64">
        <v>28</v>
      </c>
      <c r="Q120" s="64">
        <f>=J120-P120</f>
        <v>0</v>
      </c>
      <c r="R120" s="64">
        <v>28</v>
      </c>
      <c r="S120" s="112">
        <f>=P120-R120</f>
        <v>0</v>
      </c>
      <c r="T120" s="71">
        <f>=S120*L120</f>
        <v>0</v>
      </c>
      <c r="U120" s="190">
        <f>=J120-P120</f>
        <v>0</v>
      </c>
      <c r="V120" s="190" t="s"/>
      <c r="W120" s="190" t="s"/>
      <c r="X120" s="190" t="s"/>
      <c r="Y120" s="190" t="s"/>
      <c r="Z120" s="190" t="s"/>
    </row>
    <row r="121" spans="1:26" s="218" customFormat="true" ht="15.75" customHeight="true">
      <c r="A121" s="98">
        <v>45881</v>
      </c>
      <c r="B121" s="71">
        <f>=TODAY()-A121+1</f>
        <v>344</v>
      </c>
      <c r="C121" s="78" t="s">
        <v>71</v>
      </c>
      <c r="D121" s="71" t="s">
        <v>50</v>
      </c>
      <c r="E121" s="108" t="s">
        <v>599</v>
      </c>
      <c r="F121" s="71" t="s"/>
      <c r="G121" s="64" t="s">
        <v>428</v>
      </c>
      <c r="H121" s="64" t="s">
        <v>429</v>
      </c>
      <c r="I121" s="64" t="s">
        <v>600</v>
      </c>
      <c r="J121" s="64">
        <v>28</v>
      </c>
      <c r="K121" s="64" t="s"/>
      <c r="L121" s="64">
        <v>1352</v>
      </c>
      <c r="M121" s="197">
        <f>=J121*L121</f>
        <v>37856</v>
      </c>
      <c r="N121" s="64">
        <v>2.5</v>
      </c>
      <c r="O121" s="189">
        <f>=ROUND(IF((TODAY()-A121+1)*N121*(L121/10000)+L121&lt;L121*1.002,L121*1.002,(TODAY()-A121+1)*N121*(L121/10000)+L121),2)</f>
        <v>1468.61</v>
      </c>
      <c r="P121" s="64">
        <v>28</v>
      </c>
      <c r="Q121" s="64">
        <f>=J121-P121</f>
        <v>0</v>
      </c>
      <c r="R121" s="64">
        <v>28</v>
      </c>
      <c r="S121" s="112">
        <f>=P121-R121</f>
        <v>0</v>
      </c>
      <c r="T121" s="71">
        <f>=S121*L121</f>
        <v>0</v>
      </c>
      <c r="U121" s="190">
        <f>=J121-P121</f>
        <v>0</v>
      </c>
      <c r="V121" s="190" t="s"/>
      <c r="W121" s="190" t="s"/>
      <c r="X121" s="190" t="s"/>
      <c r="Y121" s="190" t="s"/>
      <c r="Z121" s="190" t="s"/>
    </row>
    <row r="122" spans="1:26" s="218" customFormat="true" ht="15.75" customHeight="true">
      <c r="A122" s="98">
        <v>45881</v>
      </c>
      <c r="B122" s="71">
        <f>=TODAY()-A122+1</f>
        <v>344</v>
      </c>
      <c r="C122" s="78" t="s">
        <v>71</v>
      </c>
      <c r="D122" s="71" t="s">
        <v>50</v>
      </c>
      <c r="E122" s="108" t="s">
        <v>601</v>
      </c>
      <c r="F122" s="71" t="s"/>
      <c r="G122" s="64" t="s">
        <v>428</v>
      </c>
      <c r="H122" s="64" t="s">
        <v>422</v>
      </c>
      <c r="I122" s="64" t="s">
        <v>602</v>
      </c>
      <c r="J122" s="64">
        <v>14</v>
      </c>
      <c r="K122" s="64" t="s"/>
      <c r="L122" s="64">
        <v>520</v>
      </c>
      <c r="M122" s="197">
        <f>=J122*L122</f>
        <v>7280</v>
      </c>
      <c r="N122" s="64">
        <v>2.5</v>
      </c>
      <c r="O122" s="189">
        <f>=ROUND(IF((TODAY()-A122+1)*N122*(L122/10000)+L122&lt;L122*1.002,L122*1.002,(TODAY()-A122+1)*N122*(L122/10000)+L122),2)</f>
        <v>564.85</v>
      </c>
      <c r="P122" s="64">
        <v>14</v>
      </c>
      <c r="Q122" s="64">
        <f>=J122-P122</f>
        <v>0</v>
      </c>
      <c r="R122" s="64">
        <v>14</v>
      </c>
      <c r="S122" s="112">
        <f>=P122-R122</f>
        <v>0</v>
      </c>
      <c r="T122" s="71">
        <f>=S122*L122</f>
        <v>0</v>
      </c>
      <c r="U122" s="190">
        <f>=J122-P122</f>
        <v>0</v>
      </c>
      <c r="V122" s="190" t="s"/>
      <c r="W122" s="190" t="s"/>
      <c r="X122" s="190" t="s"/>
      <c r="Y122" s="190" t="s"/>
      <c r="Z122" s="190" t="s"/>
    </row>
    <row r="123" spans="1:26" s="218" customFormat="true" ht="15.75" customHeight="true">
      <c r="A123" s="98">
        <v>45881</v>
      </c>
      <c r="B123" s="71">
        <f>=TODAY()-A123+1</f>
        <v>344</v>
      </c>
      <c r="C123" s="78" t="s">
        <v>71</v>
      </c>
      <c r="D123" s="71" t="s">
        <v>50</v>
      </c>
      <c r="E123" s="94" t="s">
        <v>603</v>
      </c>
      <c r="F123" s="71" t="s"/>
      <c r="G123" s="64" t="s">
        <v>428</v>
      </c>
      <c r="H123" s="64" t="s">
        <v>422</v>
      </c>
      <c r="I123" s="64" t="s">
        <v>604</v>
      </c>
      <c r="J123" s="64">
        <v>14</v>
      </c>
      <c r="K123" s="64" t="s"/>
      <c r="L123" s="64">
        <v>1200</v>
      </c>
      <c r="M123" s="197">
        <f>=J123*L123</f>
        <v>16800</v>
      </c>
      <c r="N123" s="64">
        <v>2.5</v>
      </c>
      <c r="O123" s="189">
        <f>=ROUND(IF((TODAY()-A123+1)*N123*(L123/10000)+L123&lt;L123*1.002,L123*1.002,(TODAY()-A123+1)*N123*(L123/10000)+L123),2)</f>
        <v>1303.5</v>
      </c>
      <c r="P123" s="64">
        <v>14</v>
      </c>
      <c r="Q123" s="64">
        <f>=J123-P123</f>
        <v>0</v>
      </c>
      <c r="R123" s="64">
        <v>14</v>
      </c>
      <c r="S123" s="112">
        <f>=P123-R123</f>
        <v>0</v>
      </c>
      <c r="T123" s="71">
        <f>=S123*L123</f>
        <v>0</v>
      </c>
      <c r="U123" s="190">
        <f>=J123-P123</f>
        <v>0</v>
      </c>
      <c r="V123" s="190" t="s"/>
      <c r="W123" s="190" t="s"/>
      <c r="X123" s="190" t="s"/>
      <c r="Y123" s="190" t="s"/>
      <c r="Z123" s="190" t="s"/>
    </row>
    <row r="124" spans="1:26" s="218" customFormat="true" ht="15.75" customHeight="true">
      <c r="A124" s="98">
        <v>45881</v>
      </c>
      <c r="B124" s="71">
        <f>=TODAY()-A124+1</f>
        <v>344</v>
      </c>
      <c r="C124" s="78" t="s">
        <v>71</v>
      </c>
      <c r="D124" s="71" t="s">
        <v>50</v>
      </c>
      <c r="E124" s="108" t="s">
        <v>605</v>
      </c>
      <c r="F124" s="71" t="s"/>
      <c r="G124" s="64" t="s">
        <v>428</v>
      </c>
      <c r="H124" s="64" t="s">
        <v>422</v>
      </c>
      <c r="I124" s="64" t="s">
        <v>606</v>
      </c>
      <c r="J124" s="64">
        <v>13</v>
      </c>
      <c r="K124" s="64" t="s"/>
      <c r="L124" s="64">
        <v>1200</v>
      </c>
      <c r="M124" s="197">
        <f>=J124*L124</f>
        <v>15600</v>
      </c>
      <c r="N124" s="64">
        <v>2.5</v>
      </c>
      <c r="O124" s="189">
        <f>=ROUND(IF((TODAY()-A124+1)*N124*(L124/10000)+L124&lt;L124*1.002,L124*1.002,(TODAY()-A124+1)*N124*(L124/10000)+L124),2)</f>
        <v>1303.5</v>
      </c>
      <c r="P124" s="64">
        <v>13</v>
      </c>
      <c r="Q124" s="64">
        <f>=J124-P124</f>
        <v>0</v>
      </c>
      <c r="R124" s="64">
        <v>13</v>
      </c>
      <c r="S124" s="112">
        <f>=P124-R124</f>
        <v>0</v>
      </c>
      <c r="T124" s="71">
        <f>=S124*L124</f>
        <v>0</v>
      </c>
      <c r="U124" s="190">
        <f>=J124-P124</f>
        <v>0</v>
      </c>
      <c r="V124" s="190" t="s"/>
      <c r="W124" s="190" t="s"/>
      <c r="X124" s="190" t="s"/>
      <c r="Y124" s="190" t="s"/>
      <c r="Z124" s="190" t="s"/>
    </row>
    <row r="125" spans="1:26" s="218" customFormat="true" ht="15.75" customHeight="true">
      <c r="A125" s="98">
        <v>45881</v>
      </c>
      <c r="B125" s="71">
        <f>=TODAY()-A125+1</f>
        <v>344</v>
      </c>
      <c r="C125" s="78" t="s">
        <v>71</v>
      </c>
      <c r="D125" s="71" t="s">
        <v>50</v>
      </c>
      <c r="E125" s="108" t="s">
        <v>607</v>
      </c>
      <c r="F125" s="71" t="s"/>
      <c r="G125" s="64" t="s">
        <v>428</v>
      </c>
      <c r="H125" s="64" t="s">
        <v>422</v>
      </c>
      <c r="I125" s="64" t="s">
        <v>608</v>
      </c>
      <c r="J125" s="64">
        <v>16</v>
      </c>
      <c r="K125" s="64" t="s"/>
      <c r="L125" s="64">
        <v>528</v>
      </c>
      <c r="M125" s="197">
        <f>=J125*L125</f>
        <v>8448</v>
      </c>
      <c r="N125" s="64">
        <v>2.5</v>
      </c>
      <c r="O125" s="189">
        <f>=ROUND(IF((TODAY()-A125+1)*N125*(L125/10000)+L125&lt;L125*1.002,L125*1.002,(TODAY()-A125+1)*N125*(L125/10000)+L125),2)</f>
        <v>573.54</v>
      </c>
      <c r="P125" s="64">
        <v>16</v>
      </c>
      <c r="Q125" s="64">
        <f>=J125-P125</f>
        <v>0</v>
      </c>
      <c r="R125" s="64">
        <v>16</v>
      </c>
      <c r="S125" s="112">
        <f>=P125-R125</f>
        <v>0</v>
      </c>
      <c r="T125" s="71">
        <f>=S125*L125</f>
        <v>0</v>
      </c>
      <c r="U125" s="190">
        <f>=J125-P125</f>
        <v>0</v>
      </c>
      <c r="V125" s="190" t="s"/>
      <c r="W125" s="190" t="s"/>
      <c r="X125" s="190" t="s"/>
      <c r="Y125" s="190" t="s"/>
      <c r="Z125" s="190" t="s"/>
    </row>
    <row r="126" spans="1:26" s="218" customFormat="true" ht="15.75" customHeight="true">
      <c r="A126" s="98">
        <v>45881</v>
      </c>
      <c r="B126" s="71">
        <f>=TODAY()-A126+1</f>
        <v>344</v>
      </c>
      <c r="C126" s="78" t="s">
        <v>71</v>
      </c>
      <c r="D126" s="71" t="s">
        <v>50</v>
      </c>
      <c r="E126" s="108" t="s">
        <v>609</v>
      </c>
      <c r="F126" s="71" t="s"/>
      <c r="G126" s="64" t="s">
        <v>428</v>
      </c>
      <c r="H126" s="64" t="s">
        <v>422</v>
      </c>
      <c r="I126" s="64" t="s">
        <v>610</v>
      </c>
      <c r="J126" s="64">
        <v>5</v>
      </c>
      <c r="K126" s="64" t="s"/>
      <c r="L126" s="64">
        <v>784</v>
      </c>
      <c r="M126" s="197">
        <f>=J126*L126</f>
        <v>3920</v>
      </c>
      <c r="N126" s="64">
        <v>2.5</v>
      </c>
      <c r="O126" s="189">
        <f>=ROUND(IF((TODAY()-A126+1)*N126*(L126/10000)+L126&lt;L126*1.002,L126*1.002,(TODAY()-A126+1)*N126*(L126/10000)+L126),2)</f>
        <v>851.62</v>
      </c>
      <c r="P126" s="64">
        <v>5</v>
      </c>
      <c r="Q126" s="64">
        <f>=J126-P126</f>
        <v>0</v>
      </c>
      <c r="R126" s="64">
        <v>5</v>
      </c>
      <c r="S126" s="112">
        <f>=P126-R126</f>
        <v>0</v>
      </c>
      <c r="T126" s="71">
        <f>=S126*L126</f>
        <v>0</v>
      </c>
      <c r="U126" s="190">
        <f>=J126-P126</f>
        <v>0</v>
      </c>
      <c r="V126" s="190" t="s"/>
      <c r="W126" s="190" t="s"/>
      <c r="X126" s="190" t="s"/>
      <c r="Y126" s="190" t="s"/>
      <c r="Z126" s="190" t="s"/>
    </row>
    <row r="127" spans="1:26" s="218" customFormat="true" ht="15.75" customHeight="true">
      <c r="A127" s="98">
        <v>45881</v>
      </c>
      <c r="B127" s="71">
        <f>=TODAY()-A127+1</f>
        <v>344</v>
      </c>
      <c r="C127" s="78" t="s">
        <v>71</v>
      </c>
      <c r="D127" s="71" t="s">
        <v>50</v>
      </c>
      <c r="E127" s="108" t="s">
        <v>611</v>
      </c>
      <c r="F127" s="71" t="s"/>
      <c r="G127" s="64" t="s">
        <v>428</v>
      </c>
      <c r="H127" s="64" t="s">
        <v>422</v>
      </c>
      <c r="I127" s="64" t="s">
        <v>612</v>
      </c>
      <c r="J127" s="64">
        <v>8</v>
      </c>
      <c r="K127" s="64" t="s"/>
      <c r="L127" s="64">
        <v>928</v>
      </c>
      <c r="M127" s="197">
        <f>=J127*L127</f>
        <v>7424</v>
      </c>
      <c r="N127" s="64">
        <v>2.5</v>
      </c>
      <c r="O127" s="189">
        <f>=ROUND(IF((TODAY()-A127+1)*N127*(L127/10000)+L127&lt;L127*1.002,L127*1.002,(TODAY()-A127+1)*N127*(L127/10000)+L127),2)</f>
        <v>1008.04</v>
      </c>
      <c r="P127" s="64">
        <v>8</v>
      </c>
      <c r="Q127" s="64">
        <f>=J127-P127</f>
        <v>0</v>
      </c>
      <c r="R127" s="64">
        <v>8</v>
      </c>
      <c r="S127" s="112">
        <f>=P127-R127</f>
        <v>0</v>
      </c>
      <c r="T127" s="71">
        <f>=S127*L127</f>
        <v>0</v>
      </c>
      <c r="U127" s="190">
        <f>=J127-P127</f>
        <v>0</v>
      </c>
      <c r="V127" s="190" t="s"/>
      <c r="W127" s="190" t="s"/>
      <c r="X127" s="190" t="s"/>
      <c r="Y127" s="190" t="s"/>
      <c r="Z127" s="190" t="s"/>
    </row>
    <row r="128" spans="1:26" s="218" customFormat="true" ht="15.75" customHeight="true">
      <c r="A128" s="98">
        <v>45881</v>
      </c>
      <c r="B128" s="71">
        <f>=TODAY()-A128+1</f>
        <v>344</v>
      </c>
      <c r="C128" s="78" t="s">
        <v>71</v>
      </c>
      <c r="D128" s="71" t="s">
        <v>50</v>
      </c>
      <c r="E128" s="108" t="s">
        <v>613</v>
      </c>
      <c r="F128" s="71" t="s"/>
      <c r="G128" s="64" t="s">
        <v>428</v>
      </c>
      <c r="H128" s="64" t="s">
        <v>422</v>
      </c>
      <c r="I128" s="64" t="s">
        <v>614</v>
      </c>
      <c r="J128" s="64">
        <v>5</v>
      </c>
      <c r="K128" s="64" t="s"/>
      <c r="L128" s="64">
        <v>1152</v>
      </c>
      <c r="M128" s="197">
        <f>=J128*L128</f>
        <v>5760</v>
      </c>
      <c r="N128" s="64">
        <v>2.5</v>
      </c>
      <c r="O128" s="189">
        <f>=ROUND(IF((TODAY()-A128+1)*N128*(L128/10000)+L128&lt;L128*1.002,L128*1.002,(TODAY()-A128+1)*N128*(L128/10000)+L128),2)</f>
        <v>1251.36</v>
      </c>
      <c r="P128" s="64">
        <v>5</v>
      </c>
      <c r="Q128" s="64">
        <f>=J128-P128</f>
        <v>0</v>
      </c>
      <c r="R128" s="64">
        <v>5</v>
      </c>
      <c r="S128" s="112">
        <f>=P128-R128</f>
        <v>0</v>
      </c>
      <c r="T128" s="71">
        <f>=S128*L128</f>
        <v>0</v>
      </c>
      <c r="U128" s="190">
        <f>=J128-P128</f>
        <v>0</v>
      </c>
      <c r="V128" s="190" t="s"/>
      <c r="W128" s="190" t="s"/>
      <c r="X128" s="190" t="s"/>
      <c r="Y128" s="190" t="s"/>
      <c r="Z128" s="190" t="s"/>
    </row>
    <row r="129" spans="1:26" s="218" customFormat="true" ht="15.75" customHeight="true">
      <c r="A129" s="98">
        <v>45881</v>
      </c>
      <c r="B129" s="71">
        <f>=TODAY()-A129+1</f>
        <v>344</v>
      </c>
      <c r="C129" s="78" t="s">
        <v>71</v>
      </c>
      <c r="D129" s="71" t="s">
        <v>50</v>
      </c>
      <c r="E129" s="108" t="s">
        <v>615</v>
      </c>
      <c r="F129" s="71" t="s"/>
      <c r="G129" s="64" t="s">
        <v>428</v>
      </c>
      <c r="H129" s="64" t="s">
        <v>422</v>
      </c>
      <c r="I129" s="64" t="s">
        <v>481</v>
      </c>
      <c r="J129" s="64">
        <v>6</v>
      </c>
      <c r="K129" s="64" t="s"/>
      <c r="L129" s="64">
        <v>1320</v>
      </c>
      <c r="M129" s="197">
        <f>=J129*L129</f>
        <v>7920</v>
      </c>
      <c r="N129" s="64">
        <v>2.5</v>
      </c>
      <c r="O129" s="189">
        <f>=ROUND(IF((TODAY()-A129+1)*N129*(L129/10000)+L129&lt;L129*1.002,L129*1.002,(TODAY()-A129+1)*N129*(L129/10000)+L129),2)</f>
        <v>1433.85</v>
      </c>
      <c r="P129" s="64">
        <v>6</v>
      </c>
      <c r="Q129" s="64">
        <f>=J129-P129</f>
        <v>0</v>
      </c>
      <c r="R129" s="64">
        <v>6</v>
      </c>
      <c r="S129" s="112">
        <f>=P129-R129</f>
        <v>0</v>
      </c>
      <c r="T129" s="71">
        <f>=S129*L129</f>
        <v>0</v>
      </c>
      <c r="U129" s="190">
        <f>=J129-P129</f>
        <v>0</v>
      </c>
      <c r="V129" s="190" t="s"/>
      <c r="W129" s="190" t="s"/>
      <c r="X129" s="190" t="s"/>
      <c r="Y129" s="190" t="s"/>
      <c r="Z129" s="190" t="s"/>
    </row>
    <row r="130" spans="1:26" s="218" customFormat="true" ht="15.75" customHeight="true">
      <c r="A130" s="98">
        <v>45881</v>
      </c>
      <c r="B130" s="71">
        <f>=TODAY()-A130+1</f>
        <v>344</v>
      </c>
      <c r="C130" s="78" t="s">
        <v>71</v>
      </c>
      <c r="D130" s="71" t="s">
        <v>50</v>
      </c>
      <c r="E130" s="108" t="s">
        <v>616</v>
      </c>
      <c r="F130" s="71" t="s"/>
      <c r="G130" s="64" t="s">
        <v>428</v>
      </c>
      <c r="H130" s="64" t="s">
        <v>422</v>
      </c>
      <c r="I130" s="64" t="s">
        <v>483</v>
      </c>
      <c r="J130" s="64">
        <v>6</v>
      </c>
      <c r="K130" s="64" t="s"/>
      <c r="L130" s="64">
        <v>1320</v>
      </c>
      <c r="M130" s="197">
        <f>=J130*L130</f>
        <v>7920</v>
      </c>
      <c r="N130" s="64">
        <v>2.5</v>
      </c>
      <c r="O130" s="189">
        <f>=ROUND(IF((TODAY()-A130+1)*N130*(L130/10000)+L130&lt;L130*1.002,L130*1.002,(TODAY()-A130+1)*N130*(L130/10000)+L130),2)</f>
        <v>1433.85</v>
      </c>
      <c r="P130" s="64">
        <v>6</v>
      </c>
      <c r="Q130" s="64">
        <f>=J130-P130</f>
        <v>0</v>
      </c>
      <c r="R130" s="64">
        <v>6</v>
      </c>
      <c r="S130" s="112">
        <f>=P130-R130</f>
        <v>0</v>
      </c>
      <c r="T130" s="71">
        <f>=S130*L130</f>
        <v>0</v>
      </c>
      <c r="U130" s="190">
        <f>=J130-P130</f>
        <v>0</v>
      </c>
      <c r="V130" s="190" t="s"/>
      <c r="W130" s="190" t="s"/>
      <c r="X130" s="190" t="s"/>
      <c r="Y130" s="190" t="s"/>
      <c r="Z130" s="190" t="s"/>
    </row>
    <row r="131" spans="1:26" s="218" customFormat="true" ht="15.75" customHeight="true">
      <c r="A131" s="98">
        <v>45881</v>
      </c>
      <c r="B131" s="71">
        <f>=TODAY()-A131+1</f>
        <v>344</v>
      </c>
      <c r="C131" s="78" t="s">
        <v>71</v>
      </c>
      <c r="D131" s="71" t="s">
        <v>50</v>
      </c>
      <c r="E131" s="108" t="s">
        <v>617</v>
      </c>
      <c r="F131" s="71" t="s"/>
      <c r="G131" s="64" t="s">
        <v>428</v>
      </c>
      <c r="H131" s="64" t="s">
        <v>422</v>
      </c>
      <c r="I131" s="64" t="s">
        <v>618</v>
      </c>
      <c r="J131" s="64">
        <v>6</v>
      </c>
      <c r="K131" s="64" t="s"/>
      <c r="L131" s="64">
        <v>4640</v>
      </c>
      <c r="M131" s="197">
        <f>=J131*L131</f>
        <v>27840</v>
      </c>
      <c r="N131" s="64">
        <v>2.5</v>
      </c>
      <c r="O131" s="189">
        <f>=ROUND(IF((TODAY()-A131+1)*N131*(L131/10000)+L131&lt;L131*1.002,L131*1.002,(TODAY()-A131+1)*N131*(L131/10000)+L131),2)</f>
        <v>5040.2</v>
      </c>
      <c r="P131" s="64">
        <v>6</v>
      </c>
      <c r="Q131" s="64">
        <f>=J131-P131</f>
        <v>0</v>
      </c>
      <c r="R131" s="64">
        <v>6</v>
      </c>
      <c r="S131" s="112">
        <f>=P131-R131</f>
        <v>0</v>
      </c>
      <c r="T131" s="71">
        <f>=S131*L131</f>
        <v>0</v>
      </c>
      <c r="U131" s="190">
        <f>=J131-P131</f>
        <v>0</v>
      </c>
      <c r="V131" s="190" t="s"/>
      <c r="W131" s="190" t="s"/>
      <c r="X131" s="190" t="s"/>
      <c r="Y131" s="190" t="s"/>
      <c r="Z131" s="190" t="s"/>
    </row>
    <row r="132" spans="1:26" s="218" customFormat="true" ht="15.75" customHeight="true">
      <c r="A132" s="98">
        <v>45881</v>
      </c>
      <c r="B132" s="71">
        <f>=TODAY()-A132+1</f>
        <v>344</v>
      </c>
      <c r="C132" s="78" t="s">
        <v>71</v>
      </c>
      <c r="D132" s="71" t="s">
        <v>50</v>
      </c>
      <c r="E132" s="108" t="s">
        <v>619</v>
      </c>
      <c r="F132" s="71" t="s"/>
      <c r="G132" s="64" t="s">
        <v>428</v>
      </c>
      <c r="H132" s="64" t="s">
        <v>422</v>
      </c>
      <c r="I132" s="64" t="s">
        <v>561</v>
      </c>
      <c r="J132" s="64">
        <v>6</v>
      </c>
      <c r="K132" s="64" t="s"/>
      <c r="L132" s="64">
        <v>4640</v>
      </c>
      <c r="M132" s="197">
        <f>=J132*L132</f>
        <v>27840</v>
      </c>
      <c r="N132" s="64">
        <v>2.5</v>
      </c>
      <c r="O132" s="189">
        <f>=ROUND(IF((TODAY()-A132+1)*N132*(L132/10000)+L132&lt;L132*1.002,L132*1.002,(TODAY()-A132+1)*N132*(L132/10000)+L132),2)</f>
        <v>5040.2</v>
      </c>
      <c r="P132" s="64">
        <v>6</v>
      </c>
      <c r="Q132" s="64">
        <f>=J132-P132</f>
        <v>0</v>
      </c>
      <c r="R132" s="64">
        <v>6</v>
      </c>
      <c r="S132" s="112">
        <f>=P132-R132</f>
        <v>0</v>
      </c>
      <c r="T132" s="71">
        <f>=S132*L132</f>
        <v>0</v>
      </c>
      <c r="U132" s="190">
        <f>=J132-P132</f>
        <v>0</v>
      </c>
      <c r="V132" s="190" t="s"/>
      <c r="W132" s="190" t="s"/>
      <c r="X132" s="190" t="s"/>
      <c r="Y132" s="190" t="s"/>
      <c r="Z132" s="190" t="s"/>
    </row>
    <row r="133" spans="1:26" s="218" customFormat="true" ht="15.75" customHeight="true">
      <c r="A133" s="98">
        <v>45881</v>
      </c>
      <c r="B133" s="71">
        <f>=TODAY()-A133+1</f>
        <v>344</v>
      </c>
      <c r="C133" s="78" t="s">
        <v>71</v>
      </c>
      <c r="D133" s="71" t="s">
        <v>50</v>
      </c>
      <c r="E133" s="71" t="s">
        <v>620</v>
      </c>
      <c r="F133" s="71" t="s"/>
      <c r="G133" s="64" t="s">
        <v>428</v>
      </c>
      <c r="H133" s="64" t="s">
        <v>422</v>
      </c>
      <c r="I133" s="64" t="s">
        <v>621</v>
      </c>
      <c r="J133" s="64">
        <v>4</v>
      </c>
      <c r="K133" s="64" t="s"/>
      <c r="L133" s="64">
        <v>4640</v>
      </c>
      <c r="M133" s="197">
        <f>=J133*L133</f>
        <v>18560</v>
      </c>
      <c r="N133" s="64">
        <v>2.5</v>
      </c>
      <c r="O133" s="189">
        <f>=ROUND(IF((TODAY()-A133+1)*N133*(L133/10000)+L133&lt;L133*1.002,L133*1.002,(TODAY()-A133+1)*N133*(L133/10000)+L133),2)</f>
        <v>5040.2</v>
      </c>
      <c r="P133" s="64">
        <v>4</v>
      </c>
      <c r="Q133" s="64">
        <f>=J133-P133</f>
        <v>0</v>
      </c>
      <c r="R133" s="64">
        <v>4</v>
      </c>
      <c r="S133" s="112">
        <f>=P133-R133</f>
        <v>0</v>
      </c>
      <c r="T133" s="71">
        <f>=S133*L133</f>
        <v>0</v>
      </c>
      <c r="U133" s="190">
        <f>=J133-P133</f>
        <v>0</v>
      </c>
      <c r="V133" s="190" t="s"/>
      <c r="W133" s="190" t="s"/>
      <c r="X133" s="190" t="s"/>
      <c r="Y133" s="190" t="s"/>
      <c r="Z133" s="190" t="s"/>
    </row>
    <row r="134" spans="1:26" s="218" customFormat="true" ht="15.75" customHeight="true">
      <c r="A134" s="98">
        <v>45881</v>
      </c>
      <c r="B134" s="71">
        <f>=TODAY()-A134+1</f>
        <v>344</v>
      </c>
      <c r="C134" s="78" t="s">
        <v>71</v>
      </c>
      <c r="D134" s="71" t="s">
        <v>50</v>
      </c>
      <c r="E134" s="108" t="s">
        <v>622</v>
      </c>
      <c r="F134" s="71" t="s"/>
      <c r="G134" s="64" t="s">
        <v>428</v>
      </c>
      <c r="H134" s="64" t="s">
        <v>422</v>
      </c>
      <c r="I134" s="64" t="s">
        <v>623</v>
      </c>
      <c r="J134" s="64">
        <v>5</v>
      </c>
      <c r="K134" s="64" t="s"/>
      <c r="L134" s="64">
        <v>7104</v>
      </c>
      <c r="M134" s="197">
        <f>=J134*L134</f>
        <v>35520</v>
      </c>
      <c r="N134" s="64">
        <v>2.5</v>
      </c>
      <c r="O134" s="189">
        <f>=ROUND(IF((TODAY()-A134+1)*N134*(L134/10000)+L134&lt;L134*1.002,L134*1.002,(TODAY()-A134+1)*N134*(L134/10000)+L134),2)</f>
        <v>7716.72</v>
      </c>
      <c r="P134" s="64">
        <v>5</v>
      </c>
      <c r="Q134" s="64">
        <f>=J134-P134</f>
        <v>0</v>
      </c>
      <c r="R134" s="64">
        <v>5</v>
      </c>
      <c r="S134" s="112">
        <f>=P134-R134</f>
        <v>0</v>
      </c>
      <c r="T134" s="71">
        <f>=S134*L134</f>
        <v>0</v>
      </c>
      <c r="U134" s="190">
        <f>=J134-P134</f>
        <v>0</v>
      </c>
      <c r="V134" s="190" t="s"/>
      <c r="W134" s="190" t="s"/>
      <c r="X134" s="190" t="s"/>
      <c r="Y134" s="190" t="s"/>
      <c r="Z134" s="190" t="s"/>
    </row>
    <row r="135" spans="1:26" s="218" customFormat="true" ht="15.75" customHeight="true">
      <c r="A135" s="98">
        <v>45881</v>
      </c>
      <c r="B135" s="71">
        <f>=TODAY()-A135+1</f>
        <v>344</v>
      </c>
      <c r="C135" s="78" t="s">
        <v>71</v>
      </c>
      <c r="D135" s="71" t="s">
        <v>50</v>
      </c>
      <c r="E135" s="108" t="s">
        <v>624</v>
      </c>
      <c r="F135" s="71" t="s"/>
      <c r="G135" s="64" t="s">
        <v>428</v>
      </c>
      <c r="H135" s="64" t="s">
        <v>422</v>
      </c>
      <c r="I135" s="64" t="s">
        <v>625</v>
      </c>
      <c r="J135" s="64">
        <v>4</v>
      </c>
      <c r="K135" s="64" t="s"/>
      <c r="L135" s="64">
        <v>9600</v>
      </c>
      <c r="M135" s="197">
        <f>=J135*L135</f>
        <v>38400</v>
      </c>
      <c r="N135" s="64">
        <v>2.5</v>
      </c>
      <c r="O135" s="189">
        <f>=ROUND(IF((TODAY()-A135+1)*N135*(L135/10000)+L135&lt;L135*1.002,L135*1.002,(TODAY()-A135+1)*N135*(L135/10000)+L135),2)</f>
        <v>10428</v>
      </c>
      <c r="P135" s="64">
        <v>4</v>
      </c>
      <c r="Q135" s="64">
        <f>=J135-P135</f>
        <v>0</v>
      </c>
      <c r="R135" s="64">
        <v>4</v>
      </c>
      <c r="S135" s="112">
        <f>=P135-R135</f>
        <v>0</v>
      </c>
      <c r="T135" s="71">
        <f>=S135*L135</f>
        <v>0</v>
      </c>
      <c r="U135" s="190">
        <f>=J135-P135</f>
        <v>0</v>
      </c>
      <c r="V135" s="190" t="s"/>
      <c r="W135" s="190" t="s"/>
      <c r="X135" s="190" t="s"/>
      <c r="Y135" s="190" t="s"/>
      <c r="Z135" s="190" t="s"/>
    </row>
    <row r="136" spans="1:26" s="218" customFormat="true" ht="15.75" customHeight="true">
      <c r="A136" s="98">
        <v>45881</v>
      </c>
      <c r="B136" s="71">
        <f>=TODAY()-A136+1</f>
        <v>344</v>
      </c>
      <c r="C136" s="78" t="s">
        <v>71</v>
      </c>
      <c r="D136" s="71" t="s">
        <v>50</v>
      </c>
      <c r="E136" s="108" t="s">
        <v>626</v>
      </c>
      <c r="F136" s="71" t="s"/>
      <c r="G136" s="64" t="s">
        <v>428</v>
      </c>
      <c r="H136" s="64" t="s">
        <v>422</v>
      </c>
      <c r="I136" s="64" t="s">
        <v>627</v>
      </c>
      <c r="J136" s="64">
        <v>4</v>
      </c>
      <c r="K136" s="64" t="s"/>
      <c r="L136" s="64">
        <v>10400</v>
      </c>
      <c r="M136" s="197">
        <f>=J136*L136</f>
        <v>41600</v>
      </c>
      <c r="N136" s="64">
        <v>2.5</v>
      </c>
      <c r="O136" s="189">
        <f>=ROUND(IF((TODAY()-A136+1)*N136*(L136/10000)+L136&lt;L136*1.002,L136*1.002,(TODAY()-A136+1)*N136*(L136/10000)+L136),2)</f>
        <v>11297</v>
      </c>
      <c r="P136" s="64">
        <v>4</v>
      </c>
      <c r="Q136" s="64">
        <f>=J136-P136</f>
        <v>0</v>
      </c>
      <c r="R136" s="64">
        <v>4</v>
      </c>
      <c r="S136" s="112">
        <f>=P136-R136</f>
        <v>0</v>
      </c>
      <c r="T136" s="71">
        <f>=S136*L136</f>
        <v>0</v>
      </c>
      <c r="U136" s="190">
        <f>=J136-P136</f>
        <v>0</v>
      </c>
      <c r="V136" s="190" t="s"/>
      <c r="W136" s="190" t="s"/>
      <c r="X136" s="190" t="s"/>
      <c r="Y136" s="190" t="s"/>
      <c r="Z136" s="190" t="s"/>
    </row>
    <row r="137" spans="1:26" s="218" customFormat="true" ht="15.75" customHeight="true">
      <c r="A137" s="98">
        <v>45881</v>
      </c>
      <c r="B137" s="71">
        <f>=TODAY()-A137+1</f>
        <v>344</v>
      </c>
      <c r="C137" s="78" t="s">
        <v>71</v>
      </c>
      <c r="D137" s="71" t="s">
        <v>50</v>
      </c>
      <c r="E137" s="108" t="s">
        <v>628</v>
      </c>
      <c r="F137" s="71" t="s"/>
      <c r="G137" s="64" t="s">
        <v>428</v>
      </c>
      <c r="H137" s="64" t="s">
        <v>422</v>
      </c>
      <c r="I137" s="64" t="s">
        <v>629</v>
      </c>
      <c r="J137" s="64">
        <v>8</v>
      </c>
      <c r="K137" s="64" t="s"/>
      <c r="L137" s="64">
        <v>4336</v>
      </c>
      <c r="M137" s="197">
        <f>=J137*L137</f>
        <v>34688</v>
      </c>
      <c r="N137" s="64">
        <v>2.5</v>
      </c>
      <c r="O137" s="189">
        <f>=ROUND(IF((TODAY()-A137+1)*N137*(L137/10000)+L137&lt;L137*1.002,L137*1.002,(TODAY()-A137+1)*N137*(L137/10000)+L137),2)</f>
        <v>4709.98</v>
      </c>
      <c r="P137" s="64">
        <v>8</v>
      </c>
      <c r="Q137" s="64">
        <f>=J137-P137</f>
        <v>0</v>
      </c>
      <c r="R137" s="64">
        <v>8</v>
      </c>
      <c r="S137" s="112">
        <f>=P137-R137</f>
        <v>0</v>
      </c>
      <c r="T137" s="71">
        <f>=S137*L137</f>
        <v>0</v>
      </c>
      <c r="U137" s="190">
        <f>=J137-P137</f>
        <v>0</v>
      </c>
      <c r="V137" s="190" t="s"/>
      <c r="W137" s="190" t="s"/>
      <c r="X137" s="190" t="s"/>
      <c r="Y137" s="190" t="s"/>
      <c r="Z137" s="190" t="s"/>
    </row>
    <row r="138" spans="1:26" s="218" customFormat="true" ht="15.75" customHeight="true">
      <c r="A138" s="98">
        <v>45881</v>
      </c>
      <c r="B138" s="71">
        <f>=TODAY()-A138+1</f>
        <v>344</v>
      </c>
      <c r="C138" s="78" t="s">
        <v>71</v>
      </c>
      <c r="D138" s="71" t="s">
        <v>50</v>
      </c>
      <c r="E138" s="108" t="s">
        <v>630</v>
      </c>
      <c r="F138" s="71" t="s"/>
      <c r="G138" s="64" t="s">
        <v>428</v>
      </c>
      <c r="H138" s="64" t="s">
        <v>422</v>
      </c>
      <c r="I138" s="64" t="s">
        <v>499</v>
      </c>
      <c r="J138" s="64">
        <v>7</v>
      </c>
      <c r="K138" s="64" t="s"/>
      <c r="L138" s="64">
        <v>4336</v>
      </c>
      <c r="M138" s="197">
        <f>=J138*L138</f>
        <v>30352</v>
      </c>
      <c r="N138" s="64">
        <v>2.5</v>
      </c>
      <c r="O138" s="189">
        <f>=ROUND(IF((TODAY()-A138+1)*N138*(L138/10000)+L138&lt;L138*1.002,L138*1.002,(TODAY()-A138+1)*N138*(L138/10000)+L138),2)</f>
        <v>4709.98</v>
      </c>
      <c r="P138" s="64">
        <v>7</v>
      </c>
      <c r="Q138" s="64">
        <f>=J138-P138</f>
        <v>0</v>
      </c>
      <c r="R138" s="64">
        <v>7</v>
      </c>
      <c r="S138" s="112">
        <f>=P138-R138</f>
        <v>0</v>
      </c>
      <c r="T138" s="71">
        <f>=S138*L138</f>
        <v>0</v>
      </c>
      <c r="U138" s="190">
        <f>=J138-P138</f>
        <v>0</v>
      </c>
      <c r="V138" s="190" t="s"/>
      <c r="W138" s="190" t="s"/>
      <c r="X138" s="190" t="s"/>
      <c r="Y138" s="190" t="s"/>
      <c r="Z138" s="190" t="s"/>
    </row>
    <row r="139" spans="1:26" s="218" customFormat="true" ht="15.75" customHeight="true">
      <c r="A139" s="98">
        <v>45881</v>
      </c>
      <c r="B139" s="71">
        <f>=TODAY()-A139+1</f>
        <v>344</v>
      </c>
      <c r="C139" s="78" t="s">
        <v>71</v>
      </c>
      <c r="D139" s="71" t="s">
        <v>50</v>
      </c>
      <c r="E139" s="108" t="s">
        <v>631</v>
      </c>
      <c r="F139" s="71" t="s"/>
      <c r="G139" s="64" t="s">
        <v>428</v>
      </c>
      <c r="H139" s="64" t="s">
        <v>422</v>
      </c>
      <c r="I139" s="64" t="s">
        <v>632</v>
      </c>
      <c r="J139" s="64">
        <v>7</v>
      </c>
      <c r="K139" s="64" t="s"/>
      <c r="L139" s="64">
        <v>4640</v>
      </c>
      <c r="M139" s="197">
        <f>=J139*L139</f>
        <v>32480</v>
      </c>
      <c r="N139" s="64">
        <v>2.5</v>
      </c>
      <c r="O139" s="189">
        <f>=ROUND(IF((TODAY()-A139+1)*N139*(L139/10000)+L139&lt;L139*1.002,L139*1.002,(TODAY()-A139+1)*N139*(L139/10000)+L139),2)</f>
        <v>5040.2</v>
      </c>
      <c r="P139" s="64">
        <v>7</v>
      </c>
      <c r="Q139" s="64">
        <f>=J139-P139</f>
        <v>0</v>
      </c>
      <c r="R139" s="64">
        <v>7</v>
      </c>
      <c r="S139" s="112">
        <f>=P139-R139</f>
        <v>0</v>
      </c>
      <c r="T139" s="71">
        <f>=S139*L139</f>
        <v>0</v>
      </c>
      <c r="U139" s="190">
        <f>=J139-P139</f>
        <v>0</v>
      </c>
      <c r="V139" s="190" t="s"/>
      <c r="W139" s="190" t="s"/>
      <c r="X139" s="190" t="s"/>
      <c r="Y139" s="190" t="s"/>
      <c r="Z139" s="190" t="s"/>
    </row>
    <row r="140" spans="1:26" s="218" customFormat="true" ht="15.75" customHeight="true">
      <c r="A140" s="98">
        <v>45881</v>
      </c>
      <c r="B140" s="71">
        <f>=TODAY()-A140+1</f>
        <v>344</v>
      </c>
      <c r="C140" s="78" t="s">
        <v>71</v>
      </c>
      <c r="D140" s="71" t="s">
        <v>50</v>
      </c>
      <c r="E140" s="108" t="s">
        <v>633</v>
      </c>
      <c r="F140" s="71" t="s"/>
      <c r="G140" s="64" t="s">
        <v>428</v>
      </c>
      <c r="H140" s="64" t="s">
        <v>422</v>
      </c>
      <c r="I140" s="64" t="s">
        <v>497</v>
      </c>
      <c r="J140" s="64">
        <v>6</v>
      </c>
      <c r="K140" s="64" t="s"/>
      <c r="L140" s="64">
        <v>5280</v>
      </c>
      <c r="M140" s="197">
        <f>=J140*L140</f>
        <v>31680</v>
      </c>
      <c r="N140" s="64">
        <v>2.5</v>
      </c>
      <c r="O140" s="189">
        <f>=ROUND(IF((TODAY()-A140+1)*N140*(L140/10000)+L140&lt;L140*1.002,L140*1.002,(TODAY()-A140+1)*N140*(L140/10000)+L140),2)</f>
        <v>5735.4</v>
      </c>
      <c r="P140" s="64">
        <v>6</v>
      </c>
      <c r="Q140" s="64">
        <f>=J140-P140</f>
        <v>0</v>
      </c>
      <c r="R140" s="64">
        <v>6</v>
      </c>
      <c r="S140" s="112">
        <f>=P140-R140</f>
        <v>0</v>
      </c>
      <c r="T140" s="71">
        <f>=S140*L140</f>
        <v>0</v>
      </c>
      <c r="U140" s="190">
        <f>=J140-P140</f>
        <v>0</v>
      </c>
      <c r="V140" s="190" t="s"/>
      <c r="W140" s="190" t="s"/>
      <c r="X140" s="190" t="s"/>
      <c r="Y140" s="190" t="s"/>
      <c r="Z140" s="190" t="s"/>
    </row>
    <row r="141" spans="1:26" s="218" customFormat="true" ht="15.75" customHeight="true">
      <c r="A141" s="98">
        <v>45881</v>
      </c>
      <c r="B141" s="71">
        <f>=TODAY()-A141+1</f>
        <v>344</v>
      </c>
      <c r="C141" s="78" t="s">
        <v>71</v>
      </c>
      <c r="D141" s="71" t="s">
        <v>50</v>
      </c>
      <c r="E141" s="108" t="s">
        <v>634</v>
      </c>
      <c r="F141" s="71" t="s"/>
      <c r="G141" s="64" t="s">
        <v>428</v>
      </c>
      <c r="H141" s="64" t="s">
        <v>422</v>
      </c>
      <c r="I141" s="64" t="s">
        <v>635</v>
      </c>
      <c r="J141" s="64">
        <v>13</v>
      </c>
      <c r="K141" s="64" t="s"/>
      <c r="L141" s="64">
        <v>5280</v>
      </c>
      <c r="M141" s="197">
        <f>=J141*L141</f>
        <v>68640</v>
      </c>
      <c r="N141" s="64">
        <v>2.5</v>
      </c>
      <c r="O141" s="189">
        <f>=ROUND(IF((TODAY()-A141+1)*N141*(L141/10000)+L141&lt;L141*1.002,L141*1.002,(TODAY()-A141+1)*N141*(L141/10000)+L141),2)</f>
        <v>5735.4</v>
      </c>
      <c r="P141" s="64">
        <v>13</v>
      </c>
      <c r="Q141" s="64">
        <f>=J141-P141</f>
        <v>0</v>
      </c>
      <c r="R141" s="64">
        <v>13</v>
      </c>
      <c r="S141" s="112">
        <f>=P141-R141</f>
        <v>0</v>
      </c>
      <c r="T141" s="71">
        <f>=S141*L141</f>
        <v>0</v>
      </c>
      <c r="U141" s="190">
        <f>=J141-P141</f>
        <v>0</v>
      </c>
      <c r="V141" s="190" t="s"/>
      <c r="W141" s="190" t="s"/>
      <c r="X141" s="190" t="s"/>
      <c r="Y141" s="190" t="s"/>
      <c r="Z141" s="190" t="s"/>
    </row>
    <row r="142" spans="1:26" s="218" customFormat="true" ht="15.75" customHeight="true">
      <c r="A142" s="98">
        <v>45881</v>
      </c>
      <c r="B142" s="71">
        <f>=TODAY()-A142+1</f>
        <v>344</v>
      </c>
      <c r="C142" s="78" t="s">
        <v>71</v>
      </c>
      <c r="D142" s="71" t="s">
        <v>50</v>
      </c>
      <c r="E142" s="108" t="s">
        <v>636</v>
      </c>
      <c r="F142" s="71" t="s"/>
      <c r="G142" s="64" t="s">
        <v>428</v>
      </c>
      <c r="H142" s="64" t="s">
        <v>422</v>
      </c>
      <c r="I142" s="64" t="s">
        <v>637</v>
      </c>
      <c r="J142" s="64">
        <v>9</v>
      </c>
      <c r="K142" s="64" t="s"/>
      <c r="L142" s="64">
        <v>5280</v>
      </c>
      <c r="M142" s="197">
        <f>=J142*L142</f>
        <v>47520</v>
      </c>
      <c r="N142" s="64">
        <v>2.5</v>
      </c>
      <c r="O142" s="189">
        <f>=ROUND(IF((TODAY()-A142+1)*N142*(L142/10000)+L142&lt;L142*1.002,L142*1.002,(TODAY()-A142+1)*N142*(L142/10000)+L142),2)</f>
        <v>5735.4</v>
      </c>
      <c r="P142" s="64">
        <v>9</v>
      </c>
      <c r="Q142" s="64">
        <f>=J142-P142</f>
        <v>0</v>
      </c>
      <c r="R142" s="64">
        <v>9</v>
      </c>
      <c r="S142" s="112">
        <f>=P142-R142</f>
        <v>0</v>
      </c>
      <c r="T142" s="71">
        <f>=S142*L142</f>
        <v>0</v>
      </c>
      <c r="U142" s="190">
        <f>=J142-P142</f>
        <v>0</v>
      </c>
      <c r="V142" s="190" t="s"/>
      <c r="W142" s="190" t="s"/>
      <c r="X142" s="190" t="s"/>
      <c r="Y142" s="190" t="s"/>
      <c r="Z142" s="190" t="s"/>
    </row>
    <row r="143" spans="1:26" s="218" customFormat="true" ht="15.75" customHeight="true">
      <c r="A143" s="98">
        <v>45881</v>
      </c>
      <c r="B143" s="71">
        <f>=TODAY()-A143+1</f>
        <v>344</v>
      </c>
      <c r="C143" s="78" t="s">
        <v>71</v>
      </c>
      <c r="D143" s="71" t="s">
        <v>50</v>
      </c>
      <c r="E143" s="108" t="s">
        <v>638</v>
      </c>
      <c r="F143" s="71" t="s"/>
      <c r="G143" s="64" t="s">
        <v>428</v>
      </c>
      <c r="H143" s="64" t="s">
        <v>422</v>
      </c>
      <c r="I143" s="64" t="s">
        <v>639</v>
      </c>
      <c r="J143" s="64">
        <v>7</v>
      </c>
      <c r="K143" s="64" t="s"/>
      <c r="L143" s="64">
        <v>8080</v>
      </c>
      <c r="M143" s="197">
        <f>=J143*L143</f>
        <v>56560</v>
      </c>
      <c r="N143" s="64">
        <v>2.5</v>
      </c>
      <c r="O143" s="189">
        <f>=ROUND(IF((TODAY()-A143+1)*N143*(L143/10000)+L143&lt;L143*1.002,L143*1.002,(TODAY()-A143+1)*N143*(L143/10000)+L143),2)</f>
        <v>8776.9</v>
      </c>
      <c r="P143" s="64">
        <v>7</v>
      </c>
      <c r="Q143" s="64">
        <f>=J143-P143</f>
        <v>0</v>
      </c>
      <c r="R143" s="64">
        <v>7</v>
      </c>
      <c r="S143" s="112">
        <f>=P143-R143</f>
        <v>0</v>
      </c>
      <c r="T143" s="71">
        <f>=S143*L143</f>
        <v>0</v>
      </c>
      <c r="U143" s="190">
        <f>=J143-P143</f>
        <v>0</v>
      </c>
      <c r="V143" s="190" t="s"/>
      <c r="W143" s="190" t="s"/>
      <c r="X143" s="190" t="s"/>
      <c r="Y143" s="190" t="s"/>
      <c r="Z143" s="190" t="s"/>
    </row>
    <row r="144" spans="1:26" s="218" customFormat="true" ht="15.75" customHeight="true">
      <c r="A144" s="98">
        <v>45881</v>
      </c>
      <c r="B144" s="71">
        <f>=TODAY()-A144+1</f>
        <v>344</v>
      </c>
      <c r="C144" s="78" t="s">
        <v>71</v>
      </c>
      <c r="D144" s="71" t="s">
        <v>50</v>
      </c>
      <c r="E144" s="108" t="s">
        <v>640</v>
      </c>
      <c r="F144" s="71" t="s"/>
      <c r="G144" s="64" t="s">
        <v>428</v>
      </c>
      <c r="H144" s="64" t="s">
        <v>422</v>
      </c>
      <c r="I144" s="64" t="s">
        <v>641</v>
      </c>
      <c r="J144" s="64">
        <v>6</v>
      </c>
      <c r="K144" s="64" t="s"/>
      <c r="L144" s="64">
        <v>3960</v>
      </c>
      <c r="M144" s="197">
        <f>=J144*L144</f>
        <v>23760</v>
      </c>
      <c r="N144" s="64">
        <v>2.5</v>
      </c>
      <c r="O144" s="189">
        <f>=ROUND(IF((TODAY()-A144+1)*N144*(L144/10000)+L144&lt;L144*1.002,L144*1.002,(TODAY()-A144+1)*N144*(L144/10000)+L144),2)</f>
        <v>4301.55</v>
      </c>
      <c r="P144" s="64">
        <v>6</v>
      </c>
      <c r="Q144" s="64">
        <f>=J144-P144</f>
        <v>0</v>
      </c>
      <c r="R144" s="64">
        <v>6</v>
      </c>
      <c r="S144" s="112">
        <f>=P144-R144</f>
        <v>0</v>
      </c>
      <c r="T144" s="71">
        <f>=S144*L144</f>
        <v>0</v>
      </c>
      <c r="U144" s="190">
        <f>=J144-P144</f>
        <v>0</v>
      </c>
      <c r="V144" s="190" t="s"/>
      <c r="W144" s="190" t="s"/>
      <c r="X144" s="190" t="s"/>
      <c r="Y144" s="190" t="s"/>
      <c r="Z144" s="190" t="s"/>
    </row>
    <row r="145" spans="1:26" s="218" customFormat="true" ht="15.75" customHeight="true">
      <c r="A145" s="98">
        <v>45881</v>
      </c>
      <c r="B145" s="71">
        <f>=TODAY()-A145+1</f>
        <v>344</v>
      </c>
      <c r="C145" s="78" t="s">
        <v>71</v>
      </c>
      <c r="D145" s="71" t="s">
        <v>50</v>
      </c>
      <c r="E145" s="108" t="s">
        <v>642</v>
      </c>
      <c r="F145" s="71" t="s"/>
      <c r="G145" s="64" t="s">
        <v>428</v>
      </c>
      <c r="H145" s="64" t="s">
        <v>422</v>
      </c>
      <c r="I145" s="64" t="s">
        <v>643</v>
      </c>
      <c r="J145" s="64">
        <v>29</v>
      </c>
      <c r="K145" s="64" t="s"/>
      <c r="L145" s="64">
        <v>3880</v>
      </c>
      <c r="M145" s="197">
        <f>=J145*L145</f>
        <v>112520</v>
      </c>
      <c r="N145" s="64">
        <v>2.5</v>
      </c>
      <c r="O145" s="189">
        <f>=ROUND(IF((TODAY()-A145+1)*N145*(L145/10000)+L145&lt;L145*1.002,L145*1.002,(TODAY()-A145+1)*N145*(L145/10000)+L145),2)</f>
        <v>4214.65</v>
      </c>
      <c r="P145" s="64">
        <v>29</v>
      </c>
      <c r="Q145" s="64">
        <f>=J145-P145</f>
        <v>0</v>
      </c>
      <c r="R145" s="64">
        <v>29</v>
      </c>
      <c r="S145" s="112">
        <f>=P145-R145</f>
        <v>0</v>
      </c>
      <c r="T145" s="71">
        <f>=S145*L145</f>
        <v>0</v>
      </c>
      <c r="U145" s="190">
        <f>=J145-P145</f>
        <v>0</v>
      </c>
      <c r="V145" s="190" t="s"/>
      <c r="W145" s="190" t="s"/>
      <c r="X145" s="190" t="s"/>
      <c r="Y145" s="190" t="s"/>
      <c r="Z145" s="190" t="s"/>
    </row>
    <row r="146" spans="1:26" s="218" customFormat="true" ht="15.75" customHeight="true">
      <c r="A146" s="98">
        <v>45881</v>
      </c>
      <c r="B146" s="71">
        <f>=TODAY()-A146+1</f>
        <v>344</v>
      </c>
      <c r="C146" s="78" t="s">
        <v>71</v>
      </c>
      <c r="D146" s="71" t="s">
        <v>50</v>
      </c>
      <c r="E146" s="108" t="s">
        <v>644</v>
      </c>
      <c r="F146" s="71" t="s"/>
      <c r="G146" s="64" t="s">
        <v>428</v>
      </c>
      <c r="H146" s="64" t="s">
        <v>422</v>
      </c>
      <c r="I146" s="64" t="s">
        <v>645</v>
      </c>
      <c r="J146" s="64">
        <v>4</v>
      </c>
      <c r="K146" s="64" t="s"/>
      <c r="L146" s="64">
        <v>3880</v>
      </c>
      <c r="M146" s="197">
        <f>=J146*L146</f>
        <v>15520</v>
      </c>
      <c r="N146" s="64">
        <v>2.5</v>
      </c>
      <c r="O146" s="189">
        <f>=ROUND(IF((TODAY()-A146+1)*N146*(L146/10000)+L146&lt;L146*1.002,L146*1.002,(TODAY()-A146+1)*N146*(L146/10000)+L146),2)</f>
        <v>4214.65</v>
      </c>
      <c r="P146" s="64">
        <v>4</v>
      </c>
      <c r="Q146" s="64">
        <f>=J146-P146</f>
        <v>0</v>
      </c>
      <c r="R146" s="64">
        <v>4</v>
      </c>
      <c r="S146" s="112">
        <f>=P146-R146</f>
        <v>0</v>
      </c>
      <c r="T146" s="71">
        <f>=S146*L146</f>
        <v>0</v>
      </c>
      <c r="U146" s="190">
        <f>=J146-P146</f>
        <v>0</v>
      </c>
      <c r="V146" s="190" t="s"/>
      <c r="W146" s="190" t="s"/>
      <c r="X146" s="190" t="s"/>
      <c r="Y146" s="190" t="s"/>
      <c r="Z146" s="190" t="s"/>
    </row>
    <row r="147" spans="1:26" s="218" customFormat="true" ht="15.75" customHeight="true">
      <c r="A147" s="98">
        <v>45881</v>
      </c>
      <c r="B147" s="71">
        <f>=TODAY()-A147+1</f>
        <v>344</v>
      </c>
      <c r="C147" s="78" t="s">
        <v>71</v>
      </c>
      <c r="D147" s="71" t="s">
        <v>50</v>
      </c>
      <c r="E147" s="108" t="s">
        <v>646</v>
      </c>
      <c r="F147" s="71" t="s"/>
      <c r="G147" s="64" t="s">
        <v>428</v>
      </c>
      <c r="H147" s="64" t="s">
        <v>422</v>
      </c>
      <c r="I147" s="64" t="s">
        <v>647</v>
      </c>
      <c r="J147" s="64">
        <v>3</v>
      </c>
      <c r="K147" s="64" t="s"/>
      <c r="L147" s="64">
        <v>5200</v>
      </c>
      <c r="M147" s="197">
        <f>=J147*L147</f>
        <v>15600</v>
      </c>
      <c r="N147" s="64">
        <v>2.5</v>
      </c>
      <c r="O147" s="189">
        <f>=ROUND(IF((TODAY()-A147+1)*N147*(L147/10000)+L147&lt;L147*1.002,L147*1.002,(TODAY()-A147+1)*N147*(L147/10000)+L147),2)</f>
        <v>5648.5</v>
      </c>
      <c r="P147" s="64">
        <v>3</v>
      </c>
      <c r="Q147" s="64">
        <f>=J147-P147</f>
        <v>0</v>
      </c>
      <c r="R147" s="64">
        <v>3</v>
      </c>
      <c r="S147" s="112">
        <f>=P147-R147</f>
        <v>0</v>
      </c>
      <c r="T147" s="71">
        <f>=S147*L147</f>
        <v>0</v>
      </c>
      <c r="U147" s="190">
        <f>=J147-P147</f>
        <v>0</v>
      </c>
      <c r="V147" s="190" t="s"/>
      <c r="W147" s="190" t="s"/>
      <c r="X147" s="190" t="s"/>
      <c r="Y147" s="190" t="s"/>
      <c r="Z147" s="190" t="s"/>
    </row>
    <row r="148" spans="1:26" s="270" customFormat="true" ht="15.75" customHeight="true">
      <c r="A148" s="80">
        <v>45881</v>
      </c>
      <c r="B148" s="71">
        <f>=TODAY()-A148+1</f>
        <v>344</v>
      </c>
      <c r="C148" s="64" t="s">
        <v>71</v>
      </c>
      <c r="D148" s="64" t="s">
        <v>50</v>
      </c>
      <c r="E148" s="94" t="s">
        <v>648</v>
      </c>
      <c r="F148" s="64" t="s"/>
      <c r="G148" s="64" t="s">
        <v>428</v>
      </c>
      <c r="H148" s="64" t="s">
        <v>422</v>
      </c>
      <c r="I148" s="64" t="s">
        <v>649</v>
      </c>
      <c r="J148" s="64">
        <v>3</v>
      </c>
      <c r="K148" s="64" t="s"/>
      <c r="L148" s="64">
        <v>7104</v>
      </c>
      <c r="M148" s="197">
        <f>=J148*L148</f>
        <v>21312</v>
      </c>
      <c r="N148" s="64">
        <v>2.5</v>
      </c>
      <c r="O148" s="189">
        <f>=ROUND(IF((TODAY()-A148+1)*N148*(L148/10000)+L148&lt;L148*1.002,L148*1.002,(TODAY()-A148+1)*N148*(L148/10000)+L148),2)</f>
        <v>7716.72</v>
      </c>
      <c r="P148" s="64">
        <v>3</v>
      </c>
      <c r="Q148" s="64">
        <f>=J148-P148</f>
        <v>0</v>
      </c>
      <c r="R148" s="64">
        <v>3</v>
      </c>
      <c r="S148" s="197">
        <f>=P148-R148</f>
        <v>0</v>
      </c>
      <c r="T148" s="71">
        <f>=S148*L148</f>
        <v>0</v>
      </c>
      <c r="U148" s="190">
        <f>=J148-P148</f>
        <v>0</v>
      </c>
      <c r="V148" s="87" t="s"/>
      <c r="W148" s="87" t="s"/>
      <c r="X148" s="87" t="s"/>
      <c r="Y148" s="87" t="s"/>
      <c r="Z148" s="87" t="s"/>
    </row>
    <row r="149" spans="1:26" s="218" customFormat="true" ht="15.75" customHeight="true">
      <c r="A149" s="98">
        <v>45881</v>
      </c>
      <c r="B149" s="71">
        <f>=TODAY()-A149+1</f>
        <v>344</v>
      </c>
      <c r="C149" s="78" t="s">
        <v>71</v>
      </c>
      <c r="D149" s="71" t="s">
        <v>50</v>
      </c>
      <c r="E149" s="108" t="s">
        <v>650</v>
      </c>
      <c r="F149" s="71" t="s"/>
      <c r="G149" s="64" t="s">
        <v>428</v>
      </c>
      <c r="H149" s="64" t="s">
        <v>422</v>
      </c>
      <c r="I149" s="64" t="s">
        <v>651</v>
      </c>
      <c r="J149" s="64">
        <v>3</v>
      </c>
      <c r="K149" s="64" t="s"/>
      <c r="L149" s="64">
        <v>5688</v>
      </c>
      <c r="M149" s="197">
        <f>=J149*L149</f>
        <v>17064</v>
      </c>
      <c r="N149" s="64">
        <v>2.5</v>
      </c>
      <c r="O149" s="189">
        <f>=ROUND(IF((TODAY()-A149+1)*N149*(L149/10000)+L149&lt;L149*1.002,L149*1.002,(TODAY()-A149+1)*N149*(L149/10000)+L149),2)</f>
        <v>6178.59</v>
      </c>
      <c r="P149" s="64">
        <v>3</v>
      </c>
      <c r="Q149" s="64">
        <f>=J149-P149</f>
        <v>0</v>
      </c>
      <c r="R149" s="64">
        <v>3</v>
      </c>
      <c r="S149" s="112">
        <f>=P149-R149</f>
        <v>0</v>
      </c>
      <c r="T149" s="71">
        <f>=S149*L149</f>
        <v>0</v>
      </c>
      <c r="U149" s="190">
        <f>=J149-P149</f>
        <v>0</v>
      </c>
      <c r="V149" s="190" t="s"/>
      <c r="W149" s="190" t="s"/>
      <c r="X149" s="190" t="s"/>
      <c r="Y149" s="190" t="s"/>
      <c r="Z149" s="190" t="s"/>
    </row>
    <row r="150" spans="1:26" s="218" customFormat="true" ht="15.75" customHeight="true">
      <c r="A150" s="98">
        <v>45881</v>
      </c>
      <c r="B150" s="71">
        <f>=TODAY()-A150+1</f>
        <v>344</v>
      </c>
      <c r="C150" s="78" t="s">
        <v>71</v>
      </c>
      <c r="D150" s="71" t="s">
        <v>50</v>
      </c>
      <c r="E150" s="108" t="s">
        <v>652</v>
      </c>
      <c r="F150" s="71" t="s"/>
      <c r="G150" s="64" t="s">
        <v>428</v>
      </c>
      <c r="H150" s="64" t="s">
        <v>422</v>
      </c>
      <c r="I150" s="64" t="s">
        <v>653</v>
      </c>
      <c r="J150" s="64">
        <v>2</v>
      </c>
      <c r="K150" s="64" t="s"/>
      <c r="L150" s="64">
        <v>5688</v>
      </c>
      <c r="M150" s="197">
        <f>=J150*L150</f>
        <v>11376</v>
      </c>
      <c r="N150" s="64">
        <v>2.5</v>
      </c>
      <c r="O150" s="189">
        <f>=ROUND(IF((TODAY()-A150+1)*N150*(L150/10000)+L150&lt;L150*1.002,L150*1.002,(TODAY()-A150+1)*N150*(L150/10000)+L150),2)</f>
        <v>6178.59</v>
      </c>
      <c r="P150" s="64">
        <v>2</v>
      </c>
      <c r="Q150" s="64">
        <f>=J150-P150</f>
        <v>0</v>
      </c>
      <c r="R150" s="64">
        <v>2</v>
      </c>
      <c r="S150" s="112">
        <f>=P150-R150</f>
        <v>0</v>
      </c>
      <c r="T150" s="71">
        <f>=S150*L150</f>
        <v>0</v>
      </c>
      <c r="U150" s="190">
        <f>=J150-P150</f>
        <v>0</v>
      </c>
      <c r="V150" s="190" t="s"/>
      <c r="W150" s="190" t="s"/>
      <c r="X150" s="190" t="s"/>
      <c r="Y150" s="190" t="s"/>
      <c r="Z150" s="190" t="s"/>
    </row>
    <row r="151" spans="1:26" s="218" customFormat="true" ht="15.75" customHeight="true">
      <c r="A151" s="98">
        <v>45881</v>
      </c>
      <c r="B151" s="71">
        <f>=TODAY()-A151+1</f>
        <v>344</v>
      </c>
      <c r="C151" s="78" t="s">
        <v>71</v>
      </c>
      <c r="D151" s="71" t="s">
        <v>50</v>
      </c>
      <c r="E151" s="108" t="s">
        <v>654</v>
      </c>
      <c r="F151" s="71" t="s"/>
      <c r="G151" s="64" t="s">
        <v>428</v>
      </c>
      <c r="H151" s="64" t="s">
        <v>422</v>
      </c>
      <c r="I151" s="64" t="s">
        <v>655</v>
      </c>
      <c r="J151" s="64">
        <v>2</v>
      </c>
      <c r="K151" s="64" t="s"/>
      <c r="L151" s="64">
        <v>6320</v>
      </c>
      <c r="M151" s="197">
        <f>=J151*L151</f>
        <v>12640</v>
      </c>
      <c r="N151" s="64">
        <v>2.5</v>
      </c>
      <c r="O151" s="189">
        <f>=ROUND(IF((TODAY()-A151+1)*N151*(L151/10000)+L151&lt;L151*1.002,L151*1.002,(TODAY()-A151+1)*N151*(L151/10000)+L151),2)</f>
        <v>6865.1</v>
      </c>
      <c r="P151" s="64">
        <v>2</v>
      </c>
      <c r="Q151" s="64">
        <f>=J151-P151</f>
        <v>0</v>
      </c>
      <c r="R151" s="64">
        <v>2</v>
      </c>
      <c r="S151" s="112">
        <f>=P151-R151</f>
        <v>0</v>
      </c>
      <c r="T151" s="71">
        <f>=S151*L151</f>
        <v>0</v>
      </c>
      <c r="U151" s="190">
        <f>=J151-P151</f>
        <v>0</v>
      </c>
      <c r="V151" s="190" t="s"/>
      <c r="W151" s="190" t="s"/>
      <c r="X151" s="190" t="s"/>
      <c r="Y151" s="190" t="s"/>
      <c r="Z151" s="190" t="s"/>
    </row>
    <row r="152" spans="1:26" s="218" customFormat="true" ht="15.75" customHeight="true">
      <c r="A152" s="98">
        <v>45881</v>
      </c>
      <c r="B152" s="71">
        <f>=TODAY()-A152+1</f>
        <v>344</v>
      </c>
      <c r="C152" s="78" t="s">
        <v>71</v>
      </c>
      <c r="D152" s="71" t="s">
        <v>50</v>
      </c>
      <c r="E152" s="108" t="s">
        <v>656</v>
      </c>
      <c r="F152" s="71" t="s"/>
      <c r="G152" s="64" t="s">
        <v>428</v>
      </c>
      <c r="H152" s="64" t="s">
        <v>422</v>
      </c>
      <c r="I152" s="64" t="s">
        <v>657</v>
      </c>
      <c r="J152" s="64">
        <v>1</v>
      </c>
      <c r="K152" s="64" t="s"/>
      <c r="L152" s="64">
        <v>6320</v>
      </c>
      <c r="M152" s="197">
        <f>=J152*L152</f>
        <v>6320</v>
      </c>
      <c r="N152" s="64">
        <v>2.5</v>
      </c>
      <c r="O152" s="189">
        <f>=ROUND(IF((TODAY()-A152+1)*N152*(L152/10000)+L152&lt;L152*1.002,L152*1.002,(TODAY()-A152+1)*N152*(L152/10000)+L152),2)</f>
        <v>6865.1</v>
      </c>
      <c r="P152" s="64">
        <v>1</v>
      </c>
      <c r="Q152" s="64">
        <f>=J152-P152</f>
        <v>0</v>
      </c>
      <c r="R152" s="64">
        <v>1</v>
      </c>
      <c r="S152" s="112">
        <f>=P152-R152</f>
        <v>0</v>
      </c>
      <c r="T152" s="71">
        <f>=S152*L152</f>
        <v>0</v>
      </c>
      <c r="U152" s="190">
        <f>=J152-P152</f>
        <v>0</v>
      </c>
      <c r="V152" s="190" t="s"/>
      <c r="W152" s="190" t="s"/>
      <c r="X152" s="190" t="s"/>
      <c r="Y152" s="190" t="s"/>
      <c r="Z152" s="190" t="s"/>
    </row>
    <row r="153" spans="1:26" s="218" customFormat="true" ht="15.75" customHeight="true">
      <c r="A153" s="98">
        <v>45924</v>
      </c>
      <c r="B153" s="71">
        <f>=TODAY()-A153+1</f>
        <v>301</v>
      </c>
      <c r="C153" s="64" t="s">
        <v>75</v>
      </c>
      <c r="D153" s="64" t="s">
        <v>74</v>
      </c>
      <c r="E153" s="71" t="s"/>
      <c r="F153" s="71" t="s"/>
      <c r="G153" s="64" t="s">
        <v>428</v>
      </c>
      <c r="H153" s="64" t="s">
        <v>449</v>
      </c>
      <c r="I153" s="71" t="s">
        <v>658</v>
      </c>
      <c r="J153" s="71">
        <v>1998</v>
      </c>
      <c r="K153" s="71" t="s"/>
      <c r="L153" s="71">
        <v>1053</v>
      </c>
      <c r="M153" s="112">
        <f>=J153*L153</f>
        <v>2103894</v>
      </c>
      <c r="N153" s="71">
        <v>2.8</v>
      </c>
      <c r="O153" s="189">
        <f>=ROUND(IF((TODAY()-A153+1)*N153*(L153/10000)+L153&lt;L153*1.002,L153*1.002,(TODAY()-A153+1)*N153*(L153/10000)+L153),2)</f>
        <v>1142.04</v>
      </c>
      <c r="P153" s="71">
        <v>1998</v>
      </c>
      <c r="Q153" s="71">
        <f>=J153-P153</f>
        <v>0</v>
      </c>
      <c r="R153" s="71">
        <v>1998</v>
      </c>
      <c r="S153" s="112">
        <f>=P153-R153</f>
        <v>0</v>
      </c>
      <c r="T153" s="71">
        <f>=S153*L153</f>
        <v>0</v>
      </c>
      <c r="U153" s="190">
        <f>=J153-P153</f>
        <v>0</v>
      </c>
      <c r="V153" s="190" t="s"/>
      <c r="W153" s="190" t="s"/>
      <c r="X153" s="190" t="s"/>
      <c r="Y153" s="190" t="s"/>
      <c r="Z153" s="190" t="s"/>
    </row>
    <row r="154" spans="1:26" s="218" customFormat="true" ht="15.75" customHeight="true">
      <c r="A154" s="98">
        <v>45929</v>
      </c>
      <c r="B154" s="71">
        <f>=TODAY()-A154+1</f>
        <v>296</v>
      </c>
      <c r="C154" s="71" t="s">
        <v>76</v>
      </c>
      <c r="D154" s="71" t="s">
        <v>52</v>
      </c>
      <c r="E154" s="108" t="s">
        <v>659</v>
      </c>
      <c r="F154" s="71" t="s"/>
      <c r="G154" s="64" t="s">
        <v>428</v>
      </c>
      <c r="H154" s="64" t="s">
        <v>422</v>
      </c>
      <c r="I154" s="71" t="s">
        <v>660</v>
      </c>
      <c r="J154" s="71">
        <v>90</v>
      </c>
      <c r="K154" s="71" t="s"/>
      <c r="L154" s="71">
        <v>1496</v>
      </c>
      <c r="M154" s="112">
        <f>=J154*L154</f>
        <v>134640</v>
      </c>
      <c r="N154" s="71">
        <v>3</v>
      </c>
      <c r="O154" s="189">
        <f>=ROUND(IF((TODAY()-A154+1)*N154*(L154/10000)+L154&lt;L154*1.002,L154*1.002,(TODAY()-A154+1)*N154*(L154/10000)+L154),2)</f>
        <v>1629.29</v>
      </c>
      <c r="P154" s="71">
        <v>90</v>
      </c>
      <c r="Q154" s="71">
        <f>=J154-P154</f>
        <v>0</v>
      </c>
      <c r="R154" s="71">
        <v>90</v>
      </c>
      <c r="S154" s="112">
        <f>=P154-R154</f>
        <v>0</v>
      </c>
      <c r="T154" s="71">
        <f>=S154*L154</f>
        <v>0</v>
      </c>
      <c r="U154" s="190">
        <f>=J154-P154</f>
        <v>0</v>
      </c>
      <c r="V154" s="190" t="s"/>
      <c r="W154" s="190" t="s"/>
      <c r="X154" s="190" t="s"/>
      <c r="Y154" s="190" t="s"/>
      <c r="Z154" s="190" t="s"/>
    </row>
    <row r="155" spans="1:26" s="218" customFormat="true" ht="15.75" customHeight="true">
      <c r="A155" s="98">
        <v>45929</v>
      </c>
      <c r="B155" s="71">
        <f>=TODAY()-A155+1</f>
        <v>296</v>
      </c>
      <c r="C155" s="71" t="s">
        <v>76</v>
      </c>
      <c r="D155" s="71" t="s">
        <v>52</v>
      </c>
      <c r="E155" s="108" t="s">
        <v>661</v>
      </c>
      <c r="F155" s="71" t="s"/>
      <c r="G155" s="64" t="s">
        <v>428</v>
      </c>
      <c r="H155" s="64" t="s">
        <v>422</v>
      </c>
      <c r="I155" s="71" t="s">
        <v>493</v>
      </c>
      <c r="J155" s="71">
        <v>10</v>
      </c>
      <c r="K155" s="71" t="s"/>
      <c r="L155" s="71">
        <v>1744</v>
      </c>
      <c r="M155" s="112">
        <f>=J155*L155</f>
        <v>17440</v>
      </c>
      <c r="N155" s="71">
        <v>3</v>
      </c>
      <c r="O155" s="189">
        <f>=ROUND(IF((TODAY()-A155+1)*N155*(L155/10000)+L155&lt;L155*1.002,L155*1.002,(TODAY()-A155+1)*N155*(L155/10000)+L155),2)</f>
        <v>1899.39</v>
      </c>
      <c r="P155" s="71">
        <v>10</v>
      </c>
      <c r="Q155" s="71">
        <f>=J155-P155</f>
        <v>0</v>
      </c>
      <c r="R155" s="71">
        <v>10</v>
      </c>
      <c r="S155" s="112">
        <f>=P155-R155</f>
        <v>0</v>
      </c>
      <c r="T155" s="71">
        <f>=S155*L155</f>
        <v>0</v>
      </c>
      <c r="U155" s="190">
        <f>=J155-P155</f>
        <v>0</v>
      </c>
      <c r="V155" s="190" t="s"/>
      <c r="W155" s="190" t="s"/>
      <c r="X155" s="190" t="s"/>
      <c r="Y155" s="190" t="s"/>
      <c r="Z155" s="190" t="s"/>
    </row>
    <row r="156" spans="1:26" s="218" customFormat="true" ht="15.75" customHeight="true">
      <c r="A156" s="98">
        <v>45929</v>
      </c>
      <c r="B156" s="71">
        <f>=TODAY()-A156+1</f>
        <v>296</v>
      </c>
      <c r="C156" s="71" t="s">
        <v>76</v>
      </c>
      <c r="D156" s="71" t="s">
        <v>52</v>
      </c>
      <c r="E156" s="108" t="s">
        <v>662</v>
      </c>
      <c r="F156" s="71" t="s"/>
      <c r="G156" s="64" t="s">
        <v>428</v>
      </c>
      <c r="H156" s="64" t="s">
        <v>422</v>
      </c>
      <c r="I156" s="71" t="s">
        <v>493</v>
      </c>
      <c r="J156" s="71">
        <v>100</v>
      </c>
      <c r="K156" s="71" t="s"/>
      <c r="L156" s="71">
        <v>1744</v>
      </c>
      <c r="M156" s="112">
        <f>=J156*L156</f>
        <v>174400</v>
      </c>
      <c r="N156" s="71">
        <v>3</v>
      </c>
      <c r="O156" s="189">
        <f>=ROUND(IF((TODAY()-A156+1)*N156*(L156/10000)+L156&lt;L156*1.002,L156*1.002,(TODAY()-A156+1)*N156*(L156/10000)+L156),2)</f>
        <v>1899.39</v>
      </c>
      <c r="P156" s="71">
        <v>100</v>
      </c>
      <c r="Q156" s="71">
        <f>=J156-P156</f>
        <v>0</v>
      </c>
      <c r="R156" s="71">
        <v>100</v>
      </c>
      <c r="S156" s="112">
        <f>=P156-R156</f>
        <v>0</v>
      </c>
      <c r="T156" s="71">
        <f>=S156*L156</f>
        <v>0</v>
      </c>
      <c r="U156" s="190">
        <f>=J156-P156</f>
        <v>0</v>
      </c>
      <c r="V156" s="190" t="s"/>
      <c r="W156" s="190" t="s"/>
      <c r="X156" s="190" t="s"/>
      <c r="Y156" s="190" t="s"/>
      <c r="Z156" s="190" t="s"/>
    </row>
    <row r="157" spans="1:26" s="218" customFormat="true" ht="15.75" customHeight="true">
      <c r="A157" s="188">
        <v>45943</v>
      </c>
      <c r="B157" s="71">
        <f>=TODAY()-A157+1</f>
        <v>282</v>
      </c>
      <c r="C157" s="71" t="s">
        <v>78</v>
      </c>
      <c r="D157" s="71" t="s">
        <v>77</v>
      </c>
      <c r="E157" s="112" t="s"/>
      <c r="F157" s="112" t="s">
        <v>663</v>
      </c>
      <c r="G157" s="112" t="s">
        <v>421</v>
      </c>
      <c r="H157" s="64" t="s">
        <v>422</v>
      </c>
      <c r="I157" s="112" t="s">
        <v>513</v>
      </c>
      <c r="J157" s="112">
        <v>102</v>
      </c>
      <c r="K157" s="71" t="s"/>
      <c r="L157" s="112">
        <v>5100</v>
      </c>
      <c r="M157" s="112">
        <f>=J157*L157</f>
        <v>520200</v>
      </c>
      <c r="N157" s="71">
        <v>2.5</v>
      </c>
      <c r="O157" s="189">
        <f>=ROUND(IF((TODAY()-A157+1)*N157*(L157/10000)+L157&lt;L157*1.002,L157*1.002,(TODAY()-A157+1)*N157*(L157/10000)+L157),2)</f>
        <v>5460.83</v>
      </c>
      <c r="P157" s="112">
        <v>102</v>
      </c>
      <c r="Q157" s="71">
        <f>=J157-P157</f>
        <v>0</v>
      </c>
      <c r="R157" s="112">
        <v>102</v>
      </c>
      <c r="S157" s="112">
        <f>=P157-R157</f>
        <v>0</v>
      </c>
      <c r="T157" s="71">
        <f>=S157*L157</f>
        <v>0</v>
      </c>
      <c r="U157" s="190">
        <f>=J157-P157</f>
        <v>0</v>
      </c>
      <c r="V157" s="190" t="s"/>
      <c r="W157" s="190" t="s"/>
      <c r="X157" s="190" t="s"/>
      <c r="Y157" s="190" t="s"/>
      <c r="Z157" s="190" t="s"/>
    </row>
    <row r="158" spans="1:26" s="218" customFormat="true" ht="15.75" customHeight="true">
      <c r="A158" s="188">
        <v>45943</v>
      </c>
      <c r="B158" s="71">
        <f>=TODAY()-A158+1</f>
        <v>282</v>
      </c>
      <c r="C158" s="71" t="s">
        <v>78</v>
      </c>
      <c r="D158" s="71" t="s">
        <v>77</v>
      </c>
      <c r="E158" s="112" t="s"/>
      <c r="F158" s="112" t="s">
        <v>663</v>
      </c>
      <c r="G158" s="112" t="s">
        <v>421</v>
      </c>
      <c r="H158" s="64" t="s">
        <v>422</v>
      </c>
      <c r="I158" s="112" t="s">
        <v>513</v>
      </c>
      <c r="J158" s="112">
        <v>200</v>
      </c>
      <c r="K158" s="71" t="s"/>
      <c r="L158" s="112">
        <v>5100</v>
      </c>
      <c r="M158" s="112">
        <f>=J158*L158</f>
        <v>1020000</v>
      </c>
      <c r="N158" s="71">
        <v>2.5</v>
      </c>
      <c r="O158" s="189">
        <f>=ROUND(IF((TODAY()-A158+1)*N158*(L158/10000)+L158&lt;L158*1.002,L158*1.002,(TODAY()-A158+1)*N158*(L158/10000)+L158),2)</f>
        <v>5460.83</v>
      </c>
      <c r="P158" s="112">
        <v>200</v>
      </c>
      <c r="Q158" s="71">
        <f>=J158-P158</f>
        <v>0</v>
      </c>
      <c r="R158" s="112">
        <v>200</v>
      </c>
      <c r="S158" s="112">
        <f>=P158-R158</f>
        <v>0</v>
      </c>
      <c r="T158" s="71">
        <f>=S158*L158</f>
        <v>0</v>
      </c>
      <c r="U158" s="190">
        <f>=J158-P158</f>
        <v>0</v>
      </c>
      <c r="V158" s="190" t="s"/>
      <c r="W158" s="190" t="s"/>
      <c r="X158" s="190" t="s"/>
      <c r="Y158" s="190" t="s"/>
      <c r="Z158" s="190" t="s"/>
    </row>
    <row r="159" spans="1:26" s="218" customFormat="true" ht="15.75" customHeight="true">
      <c r="A159" s="188">
        <v>45951</v>
      </c>
      <c r="B159" s="71">
        <f>=TODAY()-A159+1</f>
        <v>274</v>
      </c>
      <c r="C159" s="71" t="s">
        <v>79</v>
      </c>
      <c r="D159" s="71" t="s">
        <v>77</v>
      </c>
      <c r="E159" s="112" t="s"/>
      <c r="F159" s="112" t="s">
        <v>664</v>
      </c>
      <c r="G159" s="112" t="s">
        <v>421</v>
      </c>
      <c r="H159" s="64" t="s">
        <v>422</v>
      </c>
      <c r="I159" s="112" t="s">
        <v>665</v>
      </c>
      <c r="J159" s="112">
        <v>4</v>
      </c>
      <c r="K159" s="71" t="s"/>
      <c r="L159" s="112">
        <v>11340</v>
      </c>
      <c r="M159" s="112">
        <f>=J159*L159</f>
        <v>45360</v>
      </c>
      <c r="N159" s="71">
        <v>2.5</v>
      </c>
      <c r="O159" s="189">
        <f>=ROUND(IF((TODAY()-A159+1)*N159*(L159/10000)+L159&lt;L159*1.002,L159*1.002,(TODAY()-A159+1)*N159*(L159/10000)+L159),2)</f>
        <v>12119.63</v>
      </c>
      <c r="P159" s="112">
        <v>4</v>
      </c>
      <c r="Q159" s="71">
        <f>=J159-P159</f>
        <v>0</v>
      </c>
      <c r="R159" s="112">
        <v>4</v>
      </c>
      <c r="S159" s="112">
        <f>=P159-R159</f>
        <v>0</v>
      </c>
      <c r="T159" s="71">
        <f>=S159*L159</f>
        <v>0</v>
      </c>
      <c r="U159" s="190">
        <f>=J159-P159</f>
        <v>0</v>
      </c>
      <c r="V159" s="190" t="s"/>
      <c r="W159" s="190" t="s"/>
      <c r="X159" s="190" t="s"/>
      <c r="Y159" s="190" t="s"/>
      <c r="Z159" s="190" t="s"/>
    </row>
    <row r="160" spans="1:26" s="218" customFormat="true" ht="15.75" customHeight="true">
      <c r="A160" s="188">
        <v>45951</v>
      </c>
      <c r="B160" s="71">
        <f>=TODAY()-A160+1</f>
        <v>274</v>
      </c>
      <c r="C160" s="71" t="s">
        <v>79</v>
      </c>
      <c r="D160" s="71" t="s">
        <v>77</v>
      </c>
      <c r="E160" s="112" t="s"/>
      <c r="F160" s="112" t="s">
        <v>666</v>
      </c>
      <c r="G160" s="112" t="s">
        <v>421</v>
      </c>
      <c r="H160" s="64" t="s">
        <v>422</v>
      </c>
      <c r="I160" s="112" t="s">
        <v>667</v>
      </c>
      <c r="J160" s="112">
        <v>47</v>
      </c>
      <c r="K160" s="71" t="s"/>
      <c r="L160" s="112">
        <v>7740</v>
      </c>
      <c r="M160" s="112">
        <f>=J160*L160</f>
        <v>363780</v>
      </c>
      <c r="N160" s="71">
        <v>2.5</v>
      </c>
      <c r="O160" s="189">
        <f>=ROUND(IF((TODAY()-A160+1)*N160*(L160/10000)+L160&lt;L160*1.002,L160*1.002,(TODAY()-A160+1)*N160*(L160/10000)+L160),2)</f>
        <v>8272.13</v>
      </c>
      <c r="P160" s="112">
        <v>47</v>
      </c>
      <c r="Q160" s="71">
        <f>=J160-P160</f>
        <v>0</v>
      </c>
      <c r="R160" s="112">
        <v>47</v>
      </c>
      <c r="S160" s="112">
        <f>=P160-R160</f>
        <v>0</v>
      </c>
      <c r="T160" s="71">
        <f>=S160*L160</f>
        <v>0</v>
      </c>
      <c r="U160" s="190">
        <f>=J160-P160</f>
        <v>0</v>
      </c>
      <c r="V160" s="190" t="s"/>
      <c r="W160" s="190" t="s"/>
      <c r="X160" s="190" t="s"/>
      <c r="Y160" s="190" t="s"/>
      <c r="Z160" s="190" t="s"/>
    </row>
    <row r="161" spans="1:26" s="218" customFormat="true" ht="15.75" customHeight="true">
      <c r="A161" s="188">
        <v>45951</v>
      </c>
      <c r="B161" s="71">
        <f>=TODAY()-A161+1</f>
        <v>274</v>
      </c>
      <c r="C161" s="71" t="s">
        <v>79</v>
      </c>
      <c r="D161" s="71" t="s">
        <v>77</v>
      </c>
      <c r="E161" s="112" t="s"/>
      <c r="F161" s="112" t="s">
        <v>668</v>
      </c>
      <c r="G161" s="112" t="s">
        <v>421</v>
      </c>
      <c r="H161" s="64" t="s">
        <v>422</v>
      </c>
      <c r="I161" s="112" t="s">
        <v>669</v>
      </c>
      <c r="J161" s="112">
        <v>8</v>
      </c>
      <c r="K161" s="71" t="s"/>
      <c r="L161" s="112">
        <v>11340</v>
      </c>
      <c r="M161" s="112">
        <f>=J161*L161</f>
        <v>90720</v>
      </c>
      <c r="N161" s="71">
        <v>2.5</v>
      </c>
      <c r="O161" s="189">
        <f>=ROUND(IF((TODAY()-A161+1)*N161*(L161/10000)+L161&lt;L161*1.002,L161*1.002,(TODAY()-A161+1)*N161*(L161/10000)+L161),2)</f>
        <v>12119.63</v>
      </c>
      <c r="P161" s="112">
        <v>8</v>
      </c>
      <c r="Q161" s="71">
        <f>=J161-P161</f>
        <v>0</v>
      </c>
      <c r="R161" s="112">
        <v>8</v>
      </c>
      <c r="S161" s="112">
        <f>=P161-R161</f>
        <v>0</v>
      </c>
      <c r="T161" s="71">
        <f>=S161*L161</f>
        <v>0</v>
      </c>
      <c r="U161" s="190">
        <f>=J161-P161</f>
        <v>0</v>
      </c>
      <c r="V161" s="190" t="s"/>
      <c r="W161" s="190" t="s"/>
      <c r="X161" s="190" t="s"/>
      <c r="Y161" s="190" t="s"/>
      <c r="Z161" s="190" t="s"/>
    </row>
    <row r="162" spans="1:26" s="218" customFormat="true" ht="15.75" customHeight="true">
      <c r="A162" s="125">
        <v>45961</v>
      </c>
      <c r="B162" s="71">
        <f>=TODAY()-A162+1</f>
        <v>264</v>
      </c>
      <c r="C162" s="125" t="s">
        <v>83</v>
      </c>
      <c r="D162" s="125" t="s">
        <v>82</v>
      </c>
      <c r="E162" s="209" t="s">
        <v>670</v>
      </c>
      <c r="F162" s="125" t="s"/>
      <c r="G162" s="98" t="s">
        <v>671</v>
      </c>
      <c r="H162" s="98" t="s">
        <v>470</v>
      </c>
      <c r="I162" s="125" t="s">
        <v>672</v>
      </c>
      <c r="J162" s="71">
        <v>400</v>
      </c>
      <c r="K162" s="71" t="s"/>
      <c r="L162" s="71">
        <v>7156.8</v>
      </c>
      <c r="M162" s="112">
        <f>=J162*L162</f>
        <v>2862720</v>
      </c>
      <c r="N162" s="71">
        <v>2.5</v>
      </c>
      <c r="O162" s="189">
        <f>=ROUND(IF((TODAY()-A162+1)*N162*(L162/10000)+L162&lt;L162*1.002,L162*1.002,(TODAY()-A162+1)*N162*(L162/10000)+L162),2)</f>
        <v>7630.94</v>
      </c>
      <c r="P162" s="71">
        <v>400</v>
      </c>
      <c r="Q162" s="71">
        <f>=J162-P162</f>
        <v>0</v>
      </c>
      <c r="R162" s="71">
        <v>400</v>
      </c>
      <c r="S162" s="112">
        <f>=P162-R162</f>
        <v>0</v>
      </c>
      <c r="T162" s="71">
        <f>=S162*L162</f>
        <v>0</v>
      </c>
      <c r="U162" s="190">
        <f>=J162-P162</f>
        <v>0</v>
      </c>
      <c r="V162" s="190" t="s"/>
      <c r="W162" s="190" t="s"/>
      <c r="X162" s="190" t="s"/>
      <c r="Y162" s="190" t="s"/>
      <c r="Z162" s="190" t="s"/>
    </row>
    <row r="163" spans="1:26" s="218" customFormat="true" ht="15.75" customHeight="true">
      <c r="A163" s="125">
        <v>45980</v>
      </c>
      <c r="B163" s="71">
        <f>=TODAY()-A163+1</f>
        <v>245</v>
      </c>
      <c r="C163" s="71" t="s">
        <v>88</v>
      </c>
      <c r="D163" s="71" t="s">
        <v>65</v>
      </c>
      <c r="E163" s="108" t="s">
        <v>673</v>
      </c>
      <c r="F163" s="71" t="s"/>
      <c r="G163" s="112" t="s">
        <v>421</v>
      </c>
      <c r="H163" s="64" t="s">
        <v>422</v>
      </c>
      <c r="I163" s="71" t="s">
        <v>674</v>
      </c>
      <c r="J163" s="71">
        <v>5</v>
      </c>
      <c r="K163" s="71" t="s"/>
      <c r="L163" s="189">
        <v>5151.46</v>
      </c>
      <c r="M163" s="210">
        <f>=J163*L163</f>
        <v>25757.3</v>
      </c>
      <c r="N163" s="71">
        <v>2</v>
      </c>
      <c r="O163" s="189">
        <f>=ROUND(IF((TODAY()-A163+1)*N163*(L163/10000)+L163&lt;L163*1.002,L163*1.002,(TODAY()-A163+1)*N163*(L163/10000)+L163),2)</f>
        <v>5404.91</v>
      </c>
      <c r="P163" s="71">
        <v>5</v>
      </c>
      <c r="Q163" s="71">
        <f>=J163-P163</f>
        <v>0</v>
      </c>
      <c r="R163" s="71">
        <v>5</v>
      </c>
      <c r="S163" s="112">
        <f>=P163-R163</f>
        <v>0</v>
      </c>
      <c r="T163" s="71">
        <f>=S163*L163</f>
        <v>0</v>
      </c>
      <c r="U163" s="190">
        <f>=J163-P163</f>
        <v>0</v>
      </c>
      <c r="V163" s="190" t="s"/>
      <c r="W163" s="190" t="s"/>
      <c r="X163" s="190" t="s"/>
      <c r="Y163" s="190" t="s"/>
      <c r="Z163" s="190" t="s"/>
    </row>
    <row r="164" spans="1:26" s="218" customFormat="true" ht="15.75" customHeight="true">
      <c r="A164" s="125">
        <v>45980</v>
      </c>
      <c r="B164" s="71">
        <f>=TODAY()-A164+1</f>
        <v>245</v>
      </c>
      <c r="C164" s="71" t="s">
        <v>88</v>
      </c>
      <c r="D164" s="71" t="s">
        <v>65</v>
      </c>
      <c r="E164" s="108" t="s">
        <v>675</v>
      </c>
      <c r="F164" s="71" t="s"/>
      <c r="G164" s="112" t="s">
        <v>421</v>
      </c>
      <c r="H164" s="64" t="s">
        <v>422</v>
      </c>
      <c r="I164" s="71" t="s">
        <v>676</v>
      </c>
      <c r="J164" s="71">
        <v>13</v>
      </c>
      <c r="K164" s="71" t="s"/>
      <c r="L164" s="189">
        <v>5159.85</v>
      </c>
      <c r="M164" s="210">
        <f>=J164*L164</f>
        <v>67078.05</v>
      </c>
      <c r="N164" s="71">
        <v>2</v>
      </c>
      <c r="O164" s="189">
        <f>=ROUND(IF((TODAY()-A164+1)*N164*(L164/10000)+L164&lt;L164*1.002,L164*1.002,(TODAY()-A164+1)*N164*(L164/10000)+L164),2)</f>
        <v>5413.71</v>
      </c>
      <c r="P164" s="71">
        <v>13</v>
      </c>
      <c r="Q164" s="71">
        <f>=J164-P164</f>
        <v>0</v>
      </c>
      <c r="R164" s="71">
        <v>13</v>
      </c>
      <c r="S164" s="112">
        <f>=P164-R164</f>
        <v>0</v>
      </c>
      <c r="T164" s="71">
        <f>=S164*L164</f>
        <v>0</v>
      </c>
      <c r="U164" s="190">
        <f>=J164-P164</f>
        <v>0</v>
      </c>
      <c r="V164" s="190" t="s"/>
      <c r="W164" s="190" t="s"/>
      <c r="X164" s="190" t="s"/>
      <c r="Y164" s="190" t="s"/>
      <c r="Z164" s="190" t="s"/>
    </row>
    <row r="165" spans="1:26" s="218" customFormat="true" ht="15.75" customHeight="true">
      <c r="A165" s="125">
        <v>45980</v>
      </c>
      <c r="B165" s="71">
        <f>=TODAY()-A165+1</f>
        <v>245</v>
      </c>
      <c r="C165" s="71" t="s">
        <v>88</v>
      </c>
      <c r="D165" s="71" t="s">
        <v>65</v>
      </c>
      <c r="E165" s="108" t="s">
        <v>677</v>
      </c>
      <c r="F165" s="71" t="s"/>
      <c r="G165" s="112" t="s">
        <v>421</v>
      </c>
      <c r="H165" s="64" t="s">
        <v>422</v>
      </c>
      <c r="I165" s="71" t="s">
        <v>678</v>
      </c>
      <c r="J165" s="71">
        <v>47</v>
      </c>
      <c r="K165" s="71" t="s"/>
      <c r="L165" s="189">
        <v>5093.5</v>
      </c>
      <c r="M165" s="210">
        <f>=J165*L165</f>
        <v>239394.5</v>
      </c>
      <c r="N165" s="71">
        <v>2</v>
      </c>
      <c r="O165" s="189">
        <f>=ROUND(IF((TODAY()-A165+1)*N165*(L165/10000)+L165&lt;L165*1.002,L165*1.002,(TODAY()-A165+1)*N165*(L165/10000)+L165),2)</f>
        <v>5344.1</v>
      </c>
      <c r="P165" s="71">
        <v>47</v>
      </c>
      <c r="Q165" s="71">
        <f>=J165-P165</f>
        <v>0</v>
      </c>
      <c r="R165" s="71">
        <v>47</v>
      </c>
      <c r="S165" s="112">
        <f>=P165-R165</f>
        <v>0</v>
      </c>
      <c r="T165" s="71">
        <f>=S165*L165</f>
        <v>0</v>
      </c>
      <c r="U165" s="190">
        <f>=J165-P165</f>
        <v>0</v>
      </c>
      <c r="V165" s="190" t="s"/>
      <c r="W165" s="190" t="s"/>
      <c r="X165" s="190" t="s"/>
      <c r="Y165" s="190" t="s"/>
      <c r="Z165" s="190" t="s"/>
    </row>
    <row r="166" spans="1:26" s="218" customFormat="true" ht="15.75" customHeight="true">
      <c r="A166" s="125">
        <v>45980</v>
      </c>
      <c r="B166" s="71">
        <f>=TODAY()-A166+1</f>
        <v>245</v>
      </c>
      <c r="C166" s="71" t="s">
        <v>88</v>
      </c>
      <c r="D166" s="71" t="s">
        <v>65</v>
      </c>
      <c r="E166" s="108" t="s">
        <v>679</v>
      </c>
      <c r="F166" s="71" t="s"/>
      <c r="G166" s="112" t="s">
        <v>421</v>
      </c>
      <c r="H166" s="64" t="s">
        <v>422</v>
      </c>
      <c r="I166" s="71" t="s">
        <v>680</v>
      </c>
      <c r="J166" s="71">
        <v>26</v>
      </c>
      <c r="K166" s="71" t="s"/>
      <c r="L166" s="189">
        <v>5126.9</v>
      </c>
      <c r="M166" s="210">
        <f>=J166*L166</f>
        <v>133299.4</v>
      </c>
      <c r="N166" s="71">
        <v>2</v>
      </c>
      <c r="O166" s="189">
        <f>=ROUND(IF((TODAY()-A166+1)*N166*(L166/10000)+L166&lt;L166*1.002,L166*1.002,(TODAY()-A166+1)*N166*(L166/10000)+L166),2)</f>
        <v>5379.14</v>
      </c>
      <c r="P166" s="71">
        <v>26</v>
      </c>
      <c r="Q166" s="71">
        <f>=J166-P166</f>
        <v>0</v>
      </c>
      <c r="R166" s="71">
        <v>26</v>
      </c>
      <c r="S166" s="112">
        <f>=P166-R166</f>
        <v>0</v>
      </c>
      <c r="T166" s="71">
        <f>=S166*L166</f>
        <v>0</v>
      </c>
      <c r="U166" s="190">
        <f>=J166-P166</f>
        <v>0</v>
      </c>
      <c r="V166" s="190" t="s"/>
      <c r="W166" s="190" t="s"/>
      <c r="X166" s="190" t="s"/>
      <c r="Y166" s="190" t="s"/>
      <c r="Z166" s="190" t="s"/>
    </row>
    <row r="167" spans="1:26" s="218" customFormat="true" ht="15.75" customHeight="true">
      <c r="A167" s="125">
        <v>45980</v>
      </c>
      <c r="B167" s="71">
        <f>=TODAY()-A167+1</f>
        <v>245</v>
      </c>
      <c r="C167" s="71" t="s">
        <v>88</v>
      </c>
      <c r="D167" s="71" t="s">
        <v>65</v>
      </c>
      <c r="E167" s="108" t="s">
        <v>681</v>
      </c>
      <c r="F167" s="71" t="s"/>
      <c r="G167" s="112" t="s">
        <v>421</v>
      </c>
      <c r="H167" s="64" t="s">
        <v>422</v>
      </c>
      <c r="I167" s="71" t="s">
        <v>682</v>
      </c>
      <c r="J167" s="71">
        <v>10</v>
      </c>
      <c r="K167" s="71" t="s"/>
      <c r="L167" s="189">
        <v>5160.3</v>
      </c>
      <c r="M167" s="210">
        <f>=J167*L167</f>
        <v>51603</v>
      </c>
      <c r="N167" s="71">
        <v>2</v>
      </c>
      <c r="O167" s="189">
        <f>=ROUND(IF((TODAY()-A167+1)*N167*(L167/10000)+L167&lt;L167*1.002,L167*1.002,(TODAY()-A167+1)*N167*(L167/10000)+L167),2)</f>
        <v>5414.19</v>
      </c>
      <c r="P167" s="71">
        <v>10</v>
      </c>
      <c r="Q167" s="71">
        <f>=J167-P167</f>
        <v>0</v>
      </c>
      <c r="R167" s="71">
        <v>10</v>
      </c>
      <c r="S167" s="112">
        <f>=P167-R167</f>
        <v>0</v>
      </c>
      <c r="T167" s="71">
        <f>=S167*L167</f>
        <v>0</v>
      </c>
      <c r="U167" s="190">
        <f>=J167-P167</f>
        <v>0</v>
      </c>
      <c r="V167" s="190" t="s"/>
      <c r="W167" s="190" t="s"/>
      <c r="X167" s="190" t="s"/>
      <c r="Y167" s="190" t="s"/>
      <c r="Z167" s="190" t="s"/>
    </row>
    <row r="168" spans="1:26" s="218" customFormat="true" ht="15.75" customHeight="true">
      <c r="A168" s="125">
        <v>45980</v>
      </c>
      <c r="B168" s="71">
        <f>=TODAY()-A168+1</f>
        <v>245</v>
      </c>
      <c r="C168" s="71" t="s">
        <v>88</v>
      </c>
      <c r="D168" s="71" t="s">
        <v>65</v>
      </c>
      <c r="E168" s="108" t="s">
        <v>683</v>
      </c>
      <c r="F168" s="71" t="s"/>
      <c r="G168" s="112" t="s">
        <v>421</v>
      </c>
      <c r="H168" s="64" t="s">
        <v>422</v>
      </c>
      <c r="I168" s="71" t="s">
        <v>684</v>
      </c>
      <c r="J168" s="71">
        <v>3</v>
      </c>
      <c r="K168" s="71" t="s"/>
      <c r="L168" s="189">
        <v>6680</v>
      </c>
      <c r="M168" s="210">
        <f>=J168*L168</f>
        <v>20040</v>
      </c>
      <c r="N168" s="71">
        <v>2</v>
      </c>
      <c r="O168" s="189">
        <f>=ROUND(IF((TODAY()-A168+1)*N168*(L168/10000)+L168&lt;L168*1.002,L168*1.002,(TODAY()-A168+1)*N168*(L168/10000)+L168),2)</f>
        <v>7008.66</v>
      </c>
      <c r="P168" s="71">
        <v>3</v>
      </c>
      <c r="Q168" s="71">
        <f>=J168-P168</f>
        <v>0</v>
      </c>
      <c r="R168" s="71">
        <v>3</v>
      </c>
      <c r="S168" s="112">
        <f>=P168-R168</f>
        <v>0</v>
      </c>
      <c r="T168" s="71">
        <f>=S168*L168</f>
        <v>0</v>
      </c>
      <c r="U168" s="190">
        <f>=J168-P168</f>
        <v>0</v>
      </c>
      <c r="V168" s="190" t="s"/>
      <c r="W168" s="190" t="s"/>
      <c r="X168" s="190" t="s"/>
      <c r="Y168" s="190" t="s"/>
      <c r="Z168" s="190" t="s"/>
    </row>
    <row r="169" spans="1:26" s="218" customFormat="true" ht="15.75" customHeight="true">
      <c r="A169" s="125">
        <v>45980</v>
      </c>
      <c r="B169" s="71">
        <f>=TODAY()-A169+1</f>
        <v>245</v>
      </c>
      <c r="C169" s="71" t="s">
        <v>88</v>
      </c>
      <c r="D169" s="71" t="s">
        <v>65</v>
      </c>
      <c r="E169" s="108" t="s">
        <v>685</v>
      </c>
      <c r="F169" s="71" t="s"/>
      <c r="G169" s="112" t="s">
        <v>421</v>
      </c>
      <c r="H169" s="64" t="s">
        <v>422</v>
      </c>
      <c r="I169" s="71" t="s">
        <v>686</v>
      </c>
      <c r="J169" s="71">
        <v>1</v>
      </c>
      <c r="K169" s="71" t="s"/>
      <c r="L169" s="189">
        <v>6445.47</v>
      </c>
      <c r="M169" s="210">
        <f>=J169*L169</f>
        <v>6445.47</v>
      </c>
      <c r="N169" s="71">
        <v>2</v>
      </c>
      <c r="O169" s="189">
        <f>=ROUND(IF((TODAY()-A169+1)*N169*(L169/10000)+L169&lt;L169*1.002,L169*1.002,(TODAY()-A169+1)*N169*(L169/10000)+L169),2)</f>
        <v>6762.59</v>
      </c>
      <c r="P169" s="71">
        <v>1</v>
      </c>
      <c r="Q169" s="71">
        <f>=J169-P169</f>
        <v>0</v>
      </c>
      <c r="R169" s="71">
        <v>1</v>
      </c>
      <c r="S169" s="112">
        <f>=P169-R169</f>
        <v>0</v>
      </c>
      <c r="T169" s="71">
        <f>=S169*L169</f>
        <v>0</v>
      </c>
      <c r="U169" s="190">
        <f>=J169-P169</f>
        <v>0</v>
      </c>
      <c r="V169" s="190" t="s"/>
      <c r="W169" s="190" t="s"/>
      <c r="X169" s="190" t="s"/>
      <c r="Y169" s="190" t="s"/>
      <c r="Z169" s="190" t="s"/>
    </row>
    <row r="170" spans="1:26" s="218" customFormat="true" ht="15.75" customHeight="true">
      <c r="A170" s="125">
        <v>45980</v>
      </c>
      <c r="B170" s="71">
        <f>=TODAY()-A170+1</f>
        <v>245</v>
      </c>
      <c r="C170" s="71" t="s">
        <v>88</v>
      </c>
      <c r="D170" s="71" t="s">
        <v>65</v>
      </c>
      <c r="E170" s="108" t="s">
        <v>687</v>
      </c>
      <c r="F170" s="71" t="s"/>
      <c r="G170" s="112" t="s">
        <v>421</v>
      </c>
      <c r="H170" s="64" t="s">
        <v>422</v>
      </c>
      <c r="I170" s="71" t="s">
        <v>686</v>
      </c>
      <c r="J170" s="71">
        <v>1</v>
      </c>
      <c r="K170" s="71" t="s"/>
      <c r="L170" s="189">
        <v>6445.4</v>
      </c>
      <c r="M170" s="210">
        <f>=J170*L170</f>
        <v>6445.4</v>
      </c>
      <c r="N170" s="71">
        <v>2</v>
      </c>
      <c r="O170" s="189">
        <f>=ROUND(IF((TODAY()-A170+1)*N170*(L170/10000)+L170&lt;L170*1.002,L170*1.002,(TODAY()-A170+1)*N170*(L170/10000)+L170),2)</f>
        <v>6762.51</v>
      </c>
      <c r="P170" s="71">
        <v>1</v>
      </c>
      <c r="Q170" s="71">
        <f>=J170-P170</f>
        <v>0</v>
      </c>
      <c r="R170" s="71">
        <v>1</v>
      </c>
      <c r="S170" s="112">
        <f>=P170-R170</f>
        <v>0</v>
      </c>
      <c r="T170" s="71">
        <f>=S170*L170</f>
        <v>0</v>
      </c>
      <c r="U170" s="190">
        <f>=J170-P170</f>
        <v>0</v>
      </c>
      <c r="V170" s="190" t="s"/>
      <c r="W170" s="190" t="s"/>
      <c r="X170" s="190" t="s"/>
      <c r="Y170" s="190" t="s"/>
      <c r="Z170" s="190" t="s"/>
    </row>
    <row r="171" spans="1:26" s="218" customFormat="true" ht="15.75" customHeight="true">
      <c r="A171" s="125">
        <v>45980</v>
      </c>
      <c r="B171" s="71">
        <f>=TODAY()-A171+1</f>
        <v>245</v>
      </c>
      <c r="C171" s="71" t="s">
        <v>88</v>
      </c>
      <c r="D171" s="71" t="s">
        <v>65</v>
      </c>
      <c r="E171" s="108" t="s">
        <v>688</v>
      </c>
      <c r="F171" s="71" t="s"/>
      <c r="G171" s="112" t="s">
        <v>421</v>
      </c>
      <c r="H171" s="64" t="s">
        <v>422</v>
      </c>
      <c r="I171" s="71" t="s">
        <v>689</v>
      </c>
      <c r="J171" s="71">
        <v>18</v>
      </c>
      <c r="K171" s="71" t="s"/>
      <c r="L171" s="189">
        <v>8431.95</v>
      </c>
      <c r="M171" s="210">
        <f>=J171*L171</f>
        <v>151775.1</v>
      </c>
      <c r="N171" s="71">
        <v>2</v>
      </c>
      <c r="O171" s="189">
        <f>=ROUND(IF((TODAY()-A171+1)*N171*(L171/10000)+L171&lt;L171*1.002,L171*1.002,(TODAY()-A171+1)*N171*(L171/10000)+L171),2)</f>
        <v>8846.8</v>
      </c>
      <c r="P171" s="71">
        <v>18</v>
      </c>
      <c r="Q171" s="71">
        <f>=J171-P171</f>
        <v>0</v>
      </c>
      <c r="R171" s="71">
        <v>18</v>
      </c>
      <c r="S171" s="112">
        <f>=P171-R171</f>
        <v>0</v>
      </c>
      <c r="T171" s="71">
        <f>=S171*L171</f>
        <v>0</v>
      </c>
      <c r="U171" s="190">
        <f>=J171-P171</f>
        <v>0</v>
      </c>
      <c r="V171" s="190" t="s"/>
      <c r="W171" s="190" t="s"/>
      <c r="X171" s="190" t="s"/>
      <c r="Y171" s="190" t="s"/>
      <c r="Z171" s="190" t="s"/>
    </row>
    <row r="172" spans="1:26" s="218" customFormat="true" ht="15.75" customHeight="true">
      <c r="A172" s="125">
        <v>45980</v>
      </c>
      <c r="B172" s="71">
        <f>=TODAY()-A172+1</f>
        <v>245</v>
      </c>
      <c r="C172" s="71" t="s">
        <v>88</v>
      </c>
      <c r="D172" s="71" t="s">
        <v>65</v>
      </c>
      <c r="E172" s="108" t="s">
        <v>690</v>
      </c>
      <c r="F172" s="71" t="s"/>
      <c r="G172" s="112" t="s">
        <v>421</v>
      </c>
      <c r="H172" s="64" t="s">
        <v>422</v>
      </c>
      <c r="I172" s="71" t="s">
        <v>691</v>
      </c>
      <c r="J172" s="71">
        <v>24</v>
      </c>
      <c r="K172" s="71" t="s"/>
      <c r="L172" s="189">
        <v>8473.9</v>
      </c>
      <c r="M172" s="210">
        <f>=J172*L172</f>
        <v>203373.6</v>
      </c>
      <c r="N172" s="71">
        <v>2</v>
      </c>
      <c r="O172" s="189">
        <f>=ROUND(IF((TODAY()-A172+1)*N172*(L172/10000)+L172&lt;L172*1.002,L172*1.002,(TODAY()-A172+1)*N172*(L172/10000)+L172),2)</f>
        <v>8890.82</v>
      </c>
      <c r="P172" s="71">
        <v>24</v>
      </c>
      <c r="Q172" s="71">
        <f>=J172-P172</f>
        <v>0</v>
      </c>
      <c r="R172" s="71">
        <v>24</v>
      </c>
      <c r="S172" s="112">
        <f>=P172-R172</f>
        <v>0</v>
      </c>
      <c r="T172" s="71">
        <f>=S172*L172</f>
        <v>0</v>
      </c>
      <c r="U172" s="190">
        <f>=J172-P172</f>
        <v>0</v>
      </c>
      <c r="V172" s="190" t="s"/>
      <c r="W172" s="190" t="s"/>
      <c r="X172" s="190" t="s"/>
      <c r="Y172" s="190" t="s"/>
      <c r="Z172" s="190" t="s"/>
    </row>
    <row r="173" spans="1:26" s="218" customFormat="true" ht="15.75" customHeight="true">
      <c r="A173" s="125">
        <v>45980</v>
      </c>
      <c r="B173" s="71">
        <f>=TODAY()-A173+1</f>
        <v>245</v>
      </c>
      <c r="C173" s="71" t="s">
        <v>88</v>
      </c>
      <c r="D173" s="71" t="s">
        <v>65</v>
      </c>
      <c r="E173" s="108" t="s">
        <v>692</v>
      </c>
      <c r="F173" s="71" t="s"/>
      <c r="G173" s="112" t="s">
        <v>421</v>
      </c>
      <c r="H173" s="64" t="s">
        <v>422</v>
      </c>
      <c r="I173" s="71" t="s">
        <v>693</v>
      </c>
      <c r="J173" s="71">
        <v>35</v>
      </c>
      <c r="K173" s="71" t="s"/>
      <c r="L173" s="189">
        <v>8373.22</v>
      </c>
      <c r="M173" s="210">
        <f>=J173*L173</f>
        <v>293062.7</v>
      </c>
      <c r="N173" s="71">
        <v>2</v>
      </c>
      <c r="O173" s="189">
        <f>=ROUND(IF((TODAY()-A173+1)*N173*(L173/10000)+L173&lt;L173*1.002,L173*1.002,(TODAY()-A173+1)*N173*(L173/10000)+L173),2)</f>
        <v>8785.18</v>
      </c>
      <c r="P173" s="71">
        <v>35</v>
      </c>
      <c r="Q173" s="71">
        <f>=J173-P173</f>
        <v>0</v>
      </c>
      <c r="R173" s="71">
        <v>35</v>
      </c>
      <c r="S173" s="112">
        <f>=P173-R173</f>
        <v>0</v>
      </c>
      <c r="T173" s="71">
        <f>=S173*L173</f>
        <v>0</v>
      </c>
      <c r="U173" s="190">
        <f>=J173-P173</f>
        <v>0</v>
      </c>
      <c r="V173" s="190" t="s"/>
      <c r="W173" s="190" t="s"/>
      <c r="X173" s="190" t="s"/>
      <c r="Y173" s="190" t="s"/>
      <c r="Z173" s="190" t="s"/>
    </row>
    <row r="174" spans="1:26" s="218" customFormat="true" ht="15.75" customHeight="true">
      <c r="A174" s="125">
        <v>45980</v>
      </c>
      <c r="B174" s="71">
        <f>=TODAY()-A174+1</f>
        <v>245</v>
      </c>
      <c r="C174" s="71" t="s">
        <v>88</v>
      </c>
      <c r="D174" s="71" t="s">
        <v>65</v>
      </c>
      <c r="E174" s="108" t="s">
        <v>694</v>
      </c>
      <c r="F174" s="71" t="s"/>
      <c r="G174" s="112" t="s">
        <v>421</v>
      </c>
      <c r="H174" s="64" t="s">
        <v>422</v>
      </c>
      <c r="I174" s="71" t="s">
        <v>695</v>
      </c>
      <c r="J174" s="71">
        <v>13</v>
      </c>
      <c r="K174" s="71" t="s"/>
      <c r="L174" s="189">
        <v>10026.05</v>
      </c>
      <c r="M174" s="210">
        <f>=J174*L174</f>
        <v>130338.65</v>
      </c>
      <c r="N174" s="71">
        <v>2</v>
      </c>
      <c r="O174" s="189">
        <f>=ROUND(IF((TODAY()-A174+1)*N174*(L174/10000)+L174&lt;L174*1.002,L174*1.002,(TODAY()-A174+1)*N174*(L174/10000)+L174),2)</f>
        <v>10519.33</v>
      </c>
      <c r="P174" s="71">
        <v>13</v>
      </c>
      <c r="Q174" s="71">
        <f>=J174-P174</f>
        <v>0</v>
      </c>
      <c r="R174" s="71">
        <v>13</v>
      </c>
      <c r="S174" s="112">
        <f>=P174-R174</f>
        <v>0</v>
      </c>
      <c r="T174" s="71">
        <f>=S174*L174</f>
        <v>0</v>
      </c>
      <c r="U174" s="190">
        <f>=J174-P174</f>
        <v>0</v>
      </c>
      <c r="V174" s="190" t="s"/>
      <c r="W174" s="190" t="s"/>
      <c r="X174" s="190" t="s"/>
      <c r="Y174" s="190" t="s"/>
      <c r="Z174" s="190" t="s"/>
    </row>
    <row r="175" spans="1:26" s="218" customFormat="true" ht="15.75" customHeight="true">
      <c r="A175" s="125">
        <v>45980</v>
      </c>
      <c r="B175" s="71">
        <f>=TODAY()-A175+1</f>
        <v>245</v>
      </c>
      <c r="C175" s="71" t="s">
        <v>88</v>
      </c>
      <c r="D175" s="71" t="s">
        <v>65</v>
      </c>
      <c r="E175" s="108" t="s">
        <v>696</v>
      </c>
      <c r="F175" s="71" t="s"/>
      <c r="G175" s="112" t="s">
        <v>421</v>
      </c>
      <c r="H175" s="64" t="s">
        <v>422</v>
      </c>
      <c r="I175" s="71" t="s">
        <v>697</v>
      </c>
      <c r="J175" s="71">
        <v>3</v>
      </c>
      <c r="K175" s="71" t="s"/>
      <c r="L175" s="189">
        <v>11955.75</v>
      </c>
      <c r="M175" s="210">
        <f>=J175*L175</f>
        <v>35867.25</v>
      </c>
      <c r="N175" s="71">
        <v>2</v>
      </c>
      <c r="O175" s="189">
        <f>=ROUND(IF((TODAY()-A175+1)*N175*(L175/10000)+L175&lt;L175*1.002,L175*1.002,(TODAY()-A175+1)*N175*(L175/10000)+L175),2)</f>
        <v>12543.97</v>
      </c>
      <c r="P175" s="71">
        <v>3</v>
      </c>
      <c r="Q175" s="71">
        <f>=J175-P175</f>
        <v>0</v>
      </c>
      <c r="R175" s="71">
        <v>3</v>
      </c>
      <c r="S175" s="112">
        <f>=P175-R175</f>
        <v>0</v>
      </c>
      <c r="T175" s="71">
        <f>=S175*L175</f>
        <v>0</v>
      </c>
      <c r="U175" s="190">
        <f>=J175-P175</f>
        <v>0</v>
      </c>
      <c r="V175" s="190" t="s"/>
      <c r="W175" s="190" t="s"/>
      <c r="X175" s="190" t="s"/>
      <c r="Y175" s="190" t="s"/>
      <c r="Z175" s="190" t="s"/>
    </row>
    <row r="176" spans="1:26" s="218" customFormat="true" ht="15.75" customHeight="true">
      <c r="A176" s="125">
        <v>45980</v>
      </c>
      <c r="B176" s="71">
        <f>=TODAY()-A176+1</f>
        <v>245</v>
      </c>
      <c r="C176" s="71" t="s">
        <v>88</v>
      </c>
      <c r="D176" s="71" t="s">
        <v>65</v>
      </c>
      <c r="E176" s="108" t="s">
        <v>698</v>
      </c>
      <c r="F176" s="71" t="s"/>
      <c r="G176" s="112" t="s">
        <v>421</v>
      </c>
      <c r="H176" s="64" t="s">
        <v>422</v>
      </c>
      <c r="I176" s="71" t="s">
        <v>699</v>
      </c>
      <c r="J176" s="71">
        <v>14</v>
      </c>
      <c r="K176" s="71" t="s"/>
      <c r="L176" s="189">
        <v>7391.59</v>
      </c>
      <c r="M176" s="210">
        <f>=J176*L176</f>
        <v>103482.26</v>
      </c>
      <c r="N176" s="71">
        <v>2</v>
      </c>
      <c r="O176" s="189">
        <f>=ROUND(IF((TODAY()-A176+1)*N176*(L176/10000)+L176&lt;L176*1.002,L176*1.002,(TODAY()-A176+1)*N176*(L176/10000)+L176),2)</f>
        <v>7755.26</v>
      </c>
      <c r="P176" s="71">
        <v>14</v>
      </c>
      <c r="Q176" s="71">
        <f>=J176-P176</f>
        <v>0</v>
      </c>
      <c r="R176" s="71">
        <v>14</v>
      </c>
      <c r="S176" s="112">
        <f>=P176-R176</f>
        <v>0</v>
      </c>
      <c r="T176" s="71">
        <f>=S176*L176</f>
        <v>0</v>
      </c>
      <c r="U176" s="190">
        <f>=J176-P176</f>
        <v>0</v>
      </c>
      <c r="V176" s="190" t="s"/>
      <c r="W176" s="190" t="s"/>
      <c r="X176" s="190" t="s"/>
      <c r="Y176" s="190" t="s"/>
      <c r="Z176" s="190" t="s"/>
    </row>
    <row r="177" spans="1:26" s="218" customFormat="true" ht="15.75" customHeight="true">
      <c r="A177" s="125">
        <v>45980</v>
      </c>
      <c r="B177" s="71">
        <f>=TODAY()-A177+1</f>
        <v>245</v>
      </c>
      <c r="C177" s="71" t="s">
        <v>88</v>
      </c>
      <c r="D177" s="71" t="s">
        <v>65</v>
      </c>
      <c r="E177" s="108" t="s">
        <v>700</v>
      </c>
      <c r="F177" s="71" t="s"/>
      <c r="G177" s="112" t="s">
        <v>421</v>
      </c>
      <c r="H177" s="64" t="s">
        <v>422</v>
      </c>
      <c r="I177" s="71" t="s">
        <v>701</v>
      </c>
      <c r="J177" s="71">
        <v>45</v>
      </c>
      <c r="K177" s="71" t="s"/>
      <c r="L177" s="189">
        <v>7349.64</v>
      </c>
      <c r="M177" s="210">
        <f>=J177*L177</f>
        <v>330733.8</v>
      </c>
      <c r="N177" s="71">
        <v>2</v>
      </c>
      <c r="O177" s="189">
        <f>=ROUND(IF((TODAY()-A177+1)*N177*(L177/10000)+L177&lt;L177*1.002,L177*1.002,(TODAY()-A177+1)*N177*(L177/10000)+L177),2)</f>
        <v>7711.24</v>
      </c>
      <c r="P177" s="71">
        <v>45</v>
      </c>
      <c r="Q177" s="71">
        <f>=J177-P177</f>
        <v>0</v>
      </c>
      <c r="R177" s="71">
        <v>45</v>
      </c>
      <c r="S177" s="112">
        <f>=P177-R177</f>
        <v>0</v>
      </c>
      <c r="T177" s="71">
        <f>=S177*L177</f>
        <v>0</v>
      </c>
      <c r="U177" s="190">
        <f>=J177-P177</f>
        <v>0</v>
      </c>
      <c r="V177" s="190" t="s"/>
      <c r="W177" s="190" t="s"/>
      <c r="X177" s="190" t="s"/>
      <c r="Y177" s="190" t="s"/>
      <c r="Z177" s="190" t="s"/>
    </row>
    <row r="178" spans="1:26" s="218" customFormat="true" ht="15.75" customHeight="true">
      <c r="A178" s="125">
        <v>45980</v>
      </c>
      <c r="B178" s="71">
        <f>=TODAY()-A178+1</f>
        <v>245</v>
      </c>
      <c r="C178" s="71" t="s">
        <v>88</v>
      </c>
      <c r="D178" s="71" t="s">
        <v>65</v>
      </c>
      <c r="E178" s="108" t="s">
        <v>702</v>
      </c>
      <c r="F178" s="71" t="s"/>
      <c r="G178" s="112" t="s">
        <v>421</v>
      </c>
      <c r="H178" s="64" t="s">
        <v>422</v>
      </c>
      <c r="I178" s="71" t="s">
        <v>703</v>
      </c>
      <c r="J178" s="71">
        <v>2</v>
      </c>
      <c r="K178" s="71" t="s"/>
      <c r="L178" s="189">
        <v>9178.66</v>
      </c>
      <c r="M178" s="210">
        <f>=J178*L178</f>
        <v>18357.32</v>
      </c>
      <c r="N178" s="71">
        <v>2</v>
      </c>
      <c r="O178" s="189">
        <f>=ROUND(IF((TODAY()-A178+1)*N178*(L178/10000)+L178&lt;L178*1.002,L178*1.002,(TODAY()-A178+1)*N178*(L178/10000)+L178),2)</f>
        <v>9630.25</v>
      </c>
      <c r="P178" s="71">
        <v>2</v>
      </c>
      <c r="Q178" s="71">
        <f>=J178-P178</f>
        <v>0</v>
      </c>
      <c r="R178" s="71">
        <v>2</v>
      </c>
      <c r="S178" s="112">
        <f>=P178-R178</f>
        <v>0</v>
      </c>
      <c r="T178" s="71">
        <f>=S178*L178</f>
        <v>0</v>
      </c>
      <c r="U178" s="190">
        <f>=J178-P178</f>
        <v>0</v>
      </c>
      <c r="V178" s="190" t="s"/>
      <c r="W178" s="190" t="s"/>
      <c r="X178" s="190" t="s"/>
      <c r="Y178" s="190" t="s"/>
      <c r="Z178" s="190" t="s"/>
    </row>
    <row r="179" spans="1:26" s="218" customFormat="true" ht="15.75" customHeight="true">
      <c r="A179" s="125">
        <v>45980</v>
      </c>
      <c r="B179" s="71">
        <f>=TODAY()-A179+1</f>
        <v>245</v>
      </c>
      <c r="C179" s="125" t="s">
        <v>88</v>
      </c>
      <c r="D179" s="71" t="s">
        <v>65</v>
      </c>
      <c r="E179" s="108" t="s">
        <v>704</v>
      </c>
      <c r="F179" s="71" t="s"/>
      <c r="G179" s="112" t="s">
        <v>421</v>
      </c>
      <c r="H179" s="64" t="s">
        <v>422</v>
      </c>
      <c r="I179" s="71" t="s">
        <v>705</v>
      </c>
      <c r="J179" s="71">
        <v>40</v>
      </c>
      <c r="K179" s="71" t="s"/>
      <c r="L179" s="189">
        <v>7374.81</v>
      </c>
      <c r="M179" s="210">
        <f>=J179*L179</f>
        <v>294992.4</v>
      </c>
      <c r="N179" s="71">
        <v>2</v>
      </c>
      <c r="O179" s="189">
        <f>=ROUND(IF((TODAY()-A179+1)*N179*(L179/10000)+L179&lt;L179*1.002,L179*1.002,(TODAY()-A179+1)*N179*(L179/10000)+L179),2)</f>
        <v>7737.65</v>
      </c>
      <c r="P179" s="71">
        <v>40</v>
      </c>
      <c r="Q179" s="71">
        <f>=J179-P179</f>
        <v>0</v>
      </c>
      <c r="R179" s="71">
        <v>40</v>
      </c>
      <c r="S179" s="112">
        <f>=P179-R179</f>
        <v>0</v>
      </c>
      <c r="T179" s="71">
        <f>=S179*L179</f>
        <v>0</v>
      </c>
      <c r="U179" s="190">
        <f>=J179-P179</f>
        <v>0</v>
      </c>
      <c r="V179" s="190" t="s"/>
      <c r="W179" s="190" t="s"/>
      <c r="X179" s="190" t="s"/>
      <c r="Y179" s="190" t="s"/>
      <c r="Z179" s="190" t="s"/>
    </row>
    <row r="180" spans="1:26" s="218" customFormat="true" ht="15.75" customHeight="true">
      <c r="A180" s="125">
        <v>45982</v>
      </c>
      <c r="B180" s="71">
        <f>=TODAY()-A180+1</f>
        <v>243</v>
      </c>
      <c r="C180" s="71" t="s">
        <v>89</v>
      </c>
      <c r="D180" s="71" t="s">
        <v>65</v>
      </c>
      <c r="E180" s="108" t="s">
        <v>706</v>
      </c>
      <c r="F180" s="71" t="s"/>
      <c r="G180" s="112" t="s">
        <v>421</v>
      </c>
      <c r="H180" s="64" t="s">
        <v>422</v>
      </c>
      <c r="I180" s="71" t="s">
        <v>707</v>
      </c>
      <c r="J180" s="71">
        <v>19</v>
      </c>
      <c r="K180" s="71" t="s"/>
      <c r="L180" s="71">
        <v>7048.8</v>
      </c>
      <c r="M180" s="112">
        <f>=J180*L180</f>
        <v>133927.2</v>
      </c>
      <c r="N180" s="71">
        <v>2</v>
      </c>
      <c r="O180" s="189">
        <f>=ROUND(IF((TODAY()-A180+1)*N180*(L180/10000)+L180&lt;L180*1.002,L180*1.002,(TODAY()-A180+1)*N180*(L180/10000)+L180),2)</f>
        <v>7392.78</v>
      </c>
      <c r="P180" s="71">
        <v>19</v>
      </c>
      <c r="Q180" s="71">
        <f>=J180-P180</f>
        <v>0</v>
      </c>
      <c r="R180" s="71">
        <v>19</v>
      </c>
      <c r="S180" s="112">
        <f>=P180-R180</f>
        <v>0</v>
      </c>
      <c r="T180" s="71">
        <f>=S180*L180</f>
        <v>0</v>
      </c>
      <c r="U180" s="190">
        <f>=J180-P180</f>
        <v>0</v>
      </c>
      <c r="V180" s="190" t="s"/>
      <c r="W180" s="190" t="s"/>
      <c r="X180" s="190" t="s"/>
      <c r="Y180" s="190" t="s"/>
      <c r="Z180" s="190" t="s"/>
    </row>
    <row r="181" spans="1:26" s="218" customFormat="true" ht="15.75" customHeight="true">
      <c r="A181" s="125">
        <v>45982</v>
      </c>
      <c r="B181" s="71">
        <f>=TODAY()-A181+1</f>
        <v>243</v>
      </c>
      <c r="C181" s="71" t="s">
        <v>89</v>
      </c>
      <c r="D181" s="71" t="s">
        <v>65</v>
      </c>
      <c r="E181" s="108" t="s">
        <v>708</v>
      </c>
      <c r="F181" s="71" t="s"/>
      <c r="G181" s="112" t="s">
        <v>421</v>
      </c>
      <c r="H181" s="64" t="s">
        <v>422</v>
      </c>
      <c r="I181" s="71" t="s">
        <v>709</v>
      </c>
      <c r="J181" s="71">
        <v>44</v>
      </c>
      <c r="K181" s="71" t="s"/>
      <c r="L181" s="71">
        <v>6952</v>
      </c>
      <c r="M181" s="112">
        <f>=J181*L181</f>
        <v>305888</v>
      </c>
      <c r="N181" s="71">
        <v>2</v>
      </c>
      <c r="O181" s="189">
        <f>=ROUND(IF((TODAY()-A181+1)*N181*(L181/10000)+L181&lt;L181*1.002,L181*1.002,(TODAY()-A181+1)*N181*(L181/10000)+L181),2)</f>
        <v>7291.26</v>
      </c>
      <c r="P181" s="71">
        <v>44</v>
      </c>
      <c r="Q181" s="71">
        <f>=J181-P181</f>
        <v>0</v>
      </c>
      <c r="R181" s="71">
        <v>44</v>
      </c>
      <c r="S181" s="112">
        <f>=P181-R181</f>
        <v>0</v>
      </c>
      <c r="T181" s="71">
        <f>=S181*L181</f>
        <v>0</v>
      </c>
      <c r="U181" s="190">
        <f>=J181-P181</f>
        <v>0</v>
      </c>
      <c r="V181" s="190" t="s"/>
      <c r="W181" s="190" t="s"/>
      <c r="X181" s="190" t="s"/>
      <c r="Y181" s="190" t="s"/>
      <c r="Z181" s="190" t="s"/>
    </row>
    <row r="182" spans="1:26" s="218" customFormat="true" ht="15.75" customHeight="true">
      <c r="A182" s="125">
        <v>45982</v>
      </c>
      <c r="B182" s="71">
        <f>=TODAY()-A182+1</f>
        <v>243</v>
      </c>
      <c r="C182" s="71" t="s">
        <v>89</v>
      </c>
      <c r="D182" s="71" t="s">
        <v>65</v>
      </c>
      <c r="E182" s="108" t="s">
        <v>710</v>
      </c>
      <c r="F182" s="71" t="s"/>
      <c r="G182" s="112" t="s">
        <v>421</v>
      </c>
      <c r="H182" s="64" t="s">
        <v>422</v>
      </c>
      <c r="I182" s="71" t="s">
        <v>711</v>
      </c>
      <c r="J182" s="71">
        <v>28</v>
      </c>
      <c r="K182" s="71" t="s"/>
      <c r="L182" s="71">
        <v>6908</v>
      </c>
      <c r="M182" s="112">
        <f>=J182*L182</f>
        <v>193424</v>
      </c>
      <c r="N182" s="71">
        <v>2</v>
      </c>
      <c r="O182" s="189">
        <f>=ROUND(IF((TODAY()-A182+1)*N182*(L182/10000)+L182&lt;L182*1.002,L182*1.002,(TODAY()-A182+1)*N182*(L182/10000)+L182),2)</f>
        <v>7245.11</v>
      </c>
      <c r="P182" s="71">
        <v>28</v>
      </c>
      <c r="Q182" s="71">
        <f>=J182-P182</f>
        <v>0</v>
      </c>
      <c r="R182" s="71">
        <v>28</v>
      </c>
      <c r="S182" s="112">
        <f>=P182-R182</f>
        <v>0</v>
      </c>
      <c r="T182" s="71">
        <f>=S182*L182</f>
        <v>0</v>
      </c>
      <c r="U182" s="190">
        <f>=J182-P182</f>
        <v>0</v>
      </c>
      <c r="V182" s="190" t="s"/>
      <c r="W182" s="190" t="s"/>
      <c r="X182" s="190" t="s"/>
      <c r="Y182" s="190" t="s"/>
      <c r="Z182" s="190" t="s"/>
    </row>
    <row r="183" spans="1:26" s="218" customFormat="true" ht="15.75" customHeight="true">
      <c r="A183" s="125">
        <v>45982</v>
      </c>
      <c r="B183" s="71">
        <f>=TODAY()-A183+1</f>
        <v>243</v>
      </c>
      <c r="C183" s="71" t="s">
        <v>89</v>
      </c>
      <c r="D183" s="71" t="s">
        <v>65</v>
      </c>
      <c r="E183" s="108" t="s">
        <v>712</v>
      </c>
      <c r="F183" s="71" t="s"/>
      <c r="G183" s="112" t="s">
        <v>421</v>
      </c>
      <c r="H183" s="64" t="s">
        <v>422</v>
      </c>
      <c r="I183" s="71" t="s">
        <v>713</v>
      </c>
      <c r="J183" s="71">
        <v>1</v>
      </c>
      <c r="K183" s="71" t="s"/>
      <c r="L183" s="71">
        <v>8766.5</v>
      </c>
      <c r="M183" s="112">
        <f>=J183*L183</f>
        <v>8766.5</v>
      </c>
      <c r="N183" s="71">
        <v>2</v>
      </c>
      <c r="O183" s="189">
        <f>=ROUND(IF((TODAY()-A183+1)*N183*(L183/10000)+L183&lt;L183*1.002,L183*1.002,(TODAY()-A183+1)*N183*(L183/10000)+L183),2)</f>
        <v>9194.31</v>
      </c>
      <c r="P183" s="71">
        <v>1</v>
      </c>
      <c r="Q183" s="71">
        <f>=J183-P183</f>
        <v>0</v>
      </c>
      <c r="R183" s="71">
        <v>1</v>
      </c>
      <c r="S183" s="112">
        <f>=P183-R183</f>
        <v>0</v>
      </c>
      <c r="T183" s="71">
        <f>=S183*L183</f>
        <v>0</v>
      </c>
      <c r="U183" s="190">
        <f>=J183-P183</f>
        <v>0</v>
      </c>
      <c r="V183" s="190" t="s"/>
      <c r="W183" s="190" t="s"/>
      <c r="X183" s="190" t="s"/>
      <c r="Y183" s="190" t="s"/>
      <c r="Z183" s="190" t="s"/>
    </row>
    <row r="184" spans="1:26" s="218" customFormat="true" ht="15.75" customHeight="true">
      <c r="A184" s="125">
        <v>45982</v>
      </c>
      <c r="B184" s="71">
        <f>=TODAY()-A184+1</f>
        <v>243</v>
      </c>
      <c r="C184" s="71" t="s">
        <v>89</v>
      </c>
      <c r="D184" s="71" t="s">
        <v>65</v>
      </c>
      <c r="E184" s="108" t="s">
        <v>714</v>
      </c>
      <c r="F184" s="71" t="s"/>
      <c r="G184" s="112" t="s">
        <v>421</v>
      </c>
      <c r="H184" s="64" t="s">
        <v>422</v>
      </c>
      <c r="I184" s="71" t="s">
        <v>715</v>
      </c>
      <c r="J184" s="71">
        <v>5</v>
      </c>
      <c r="K184" s="71" t="s"/>
      <c r="L184" s="71">
        <v>8722</v>
      </c>
      <c r="M184" s="112">
        <f>=J184*L184</f>
        <v>43610</v>
      </c>
      <c r="N184" s="71">
        <v>2</v>
      </c>
      <c r="O184" s="189">
        <f>=ROUND(IF((TODAY()-A184+1)*N184*(L184/10000)+L184&lt;L184*1.002,L184*1.002,(TODAY()-A184+1)*N184*(L184/10000)+L184),2)</f>
        <v>9147.63</v>
      </c>
      <c r="P184" s="71">
        <v>5</v>
      </c>
      <c r="Q184" s="71">
        <f>=J184-P184</f>
        <v>0</v>
      </c>
      <c r="R184" s="71">
        <v>5</v>
      </c>
      <c r="S184" s="112">
        <f>=P184-R184</f>
        <v>0</v>
      </c>
      <c r="T184" s="71">
        <f>=S184*L184</f>
        <v>0</v>
      </c>
      <c r="U184" s="190">
        <f>=J184-P184</f>
        <v>0</v>
      </c>
      <c r="V184" s="190" t="s"/>
      <c r="W184" s="190" t="s"/>
      <c r="X184" s="190" t="s"/>
      <c r="Y184" s="190" t="s"/>
      <c r="Z184" s="190" t="s"/>
    </row>
    <row r="185" spans="1:26" s="218" customFormat="true" ht="15.75" customHeight="true">
      <c r="A185" s="125">
        <v>45982</v>
      </c>
      <c r="B185" s="71">
        <f>=TODAY()-A185+1</f>
        <v>243</v>
      </c>
      <c r="C185" s="71" t="s">
        <v>89</v>
      </c>
      <c r="D185" s="71" t="s">
        <v>65</v>
      </c>
      <c r="E185" s="108" t="s">
        <v>716</v>
      </c>
      <c r="F185" s="71" t="s"/>
      <c r="G185" s="112" t="s">
        <v>421</v>
      </c>
      <c r="H185" s="64" t="s">
        <v>422</v>
      </c>
      <c r="I185" s="71" t="s">
        <v>717</v>
      </c>
      <c r="J185" s="71">
        <v>2</v>
      </c>
      <c r="K185" s="71" t="s"/>
      <c r="L185" s="71">
        <v>9701</v>
      </c>
      <c r="M185" s="112">
        <f>=J185*L185</f>
        <v>19402</v>
      </c>
      <c r="N185" s="71">
        <v>2</v>
      </c>
      <c r="O185" s="189">
        <f>=ROUND(IF((TODAY()-A185+1)*N185*(L185/10000)+L185&lt;L185*1.002,L185*1.002,(TODAY()-A185+1)*N185*(L185/10000)+L185),2)</f>
        <v>10174.41</v>
      </c>
      <c r="P185" s="71">
        <v>2</v>
      </c>
      <c r="Q185" s="71">
        <f>=J185-P185</f>
        <v>0</v>
      </c>
      <c r="R185" s="71">
        <v>2</v>
      </c>
      <c r="S185" s="112">
        <f>=P185-R185</f>
        <v>0</v>
      </c>
      <c r="T185" s="71">
        <f>=S185*L185</f>
        <v>0</v>
      </c>
      <c r="U185" s="190">
        <f>=J185-P185</f>
        <v>0</v>
      </c>
      <c r="V185" s="190" t="s"/>
      <c r="W185" s="190" t="s"/>
      <c r="X185" s="190" t="s"/>
      <c r="Y185" s="190" t="s"/>
      <c r="Z185" s="190" t="s"/>
    </row>
    <row r="186" spans="1:26" s="218" customFormat="true" ht="15.75" customHeight="true">
      <c r="A186" s="125">
        <v>45982</v>
      </c>
      <c r="B186" s="71">
        <f>=TODAY()-A186+1</f>
        <v>243</v>
      </c>
      <c r="C186" s="71" t="s">
        <v>89</v>
      </c>
      <c r="D186" s="71" t="s">
        <v>65</v>
      </c>
      <c r="E186" s="108" t="s">
        <v>718</v>
      </c>
      <c r="F186" s="71" t="s"/>
      <c r="G186" s="112" t="s">
        <v>421</v>
      </c>
      <c r="H186" s="64" t="s">
        <v>422</v>
      </c>
      <c r="I186" s="71" t="s">
        <v>719</v>
      </c>
      <c r="J186" s="71">
        <v>1</v>
      </c>
      <c r="K186" s="71" t="s"/>
      <c r="L186" s="71">
        <v>7796.4</v>
      </c>
      <c r="M186" s="112">
        <f>=J186*L186</f>
        <v>7796.4</v>
      </c>
      <c r="N186" s="71">
        <v>2</v>
      </c>
      <c r="O186" s="189">
        <f>=ROUND(IF((TODAY()-A186+1)*N186*(L186/10000)+L186&lt;L186*1.002,L186*1.002,(TODAY()-A186+1)*N186*(L186/10000)+L186),2)</f>
        <v>8176.86</v>
      </c>
      <c r="P186" s="71">
        <v>1</v>
      </c>
      <c r="Q186" s="71">
        <f>=J186-P186</f>
        <v>0</v>
      </c>
      <c r="R186" s="71">
        <v>1</v>
      </c>
      <c r="S186" s="112">
        <f>=P186-R186</f>
        <v>0</v>
      </c>
      <c r="T186" s="71">
        <f>=S186*L186</f>
        <v>0</v>
      </c>
      <c r="U186" s="190">
        <f>=J186-P186</f>
        <v>0</v>
      </c>
      <c r="V186" s="190" t="s"/>
      <c r="W186" s="190" t="s"/>
      <c r="X186" s="190" t="s"/>
      <c r="Y186" s="190" t="s"/>
      <c r="Z186" s="190" t="s"/>
    </row>
    <row r="187" spans="1:26" s="218" customFormat="true" ht="15.75" customHeight="true">
      <c r="A187" s="125">
        <v>45982</v>
      </c>
      <c r="B187" s="71">
        <f>=TODAY()-A187+1</f>
        <v>243</v>
      </c>
      <c r="C187" s="71" t="s">
        <v>89</v>
      </c>
      <c r="D187" s="71" t="s">
        <v>65</v>
      </c>
      <c r="E187" s="108" t="s">
        <v>720</v>
      </c>
      <c r="F187" s="71" t="s"/>
      <c r="G187" s="112" t="s">
        <v>421</v>
      </c>
      <c r="H187" s="64" t="s">
        <v>422</v>
      </c>
      <c r="I187" s="71" t="s">
        <v>721</v>
      </c>
      <c r="J187" s="71">
        <v>3</v>
      </c>
      <c r="K187" s="71" t="s"/>
      <c r="L187" s="71">
        <v>8944.5</v>
      </c>
      <c r="M187" s="112">
        <f>=J187*L187</f>
        <v>26833.5</v>
      </c>
      <c r="N187" s="71">
        <v>2</v>
      </c>
      <c r="O187" s="189">
        <f>=ROUND(IF((TODAY()-A187+1)*N187*(L187/10000)+L187&lt;L187*1.002,L187*1.002,(TODAY()-A187+1)*N187*(L187/10000)+L187),2)</f>
        <v>9380.99</v>
      </c>
      <c r="P187" s="71">
        <v>3</v>
      </c>
      <c r="Q187" s="71">
        <f>=J187-P187</f>
        <v>0</v>
      </c>
      <c r="R187" s="71">
        <v>3</v>
      </c>
      <c r="S187" s="112">
        <f>=P187-R187</f>
        <v>0</v>
      </c>
      <c r="T187" s="71">
        <f>=S187*L187</f>
        <v>0</v>
      </c>
      <c r="U187" s="190">
        <f>=J187-P187</f>
        <v>0</v>
      </c>
      <c r="V187" s="190" t="s"/>
      <c r="W187" s="190" t="s"/>
      <c r="X187" s="190" t="s"/>
      <c r="Y187" s="190" t="s"/>
      <c r="Z187" s="190" t="s"/>
    </row>
    <row r="188" spans="1:26" s="218" customFormat="true" ht="15.75" customHeight="true">
      <c r="A188" s="125">
        <v>45982</v>
      </c>
      <c r="B188" s="71">
        <f>=TODAY()-A188+1</f>
        <v>243</v>
      </c>
      <c r="C188" s="71" t="s">
        <v>89</v>
      </c>
      <c r="D188" s="71" t="s">
        <v>65</v>
      </c>
      <c r="E188" s="108" t="s">
        <v>722</v>
      </c>
      <c r="F188" s="71" t="s"/>
      <c r="G188" s="112" t="s">
        <v>421</v>
      </c>
      <c r="H188" s="64" t="s">
        <v>422</v>
      </c>
      <c r="I188" s="71" t="s">
        <v>723</v>
      </c>
      <c r="J188" s="71">
        <v>1</v>
      </c>
      <c r="K188" s="71" t="s"/>
      <c r="L188" s="71">
        <v>8989</v>
      </c>
      <c r="M188" s="112">
        <f>=J188*L188</f>
        <v>8989</v>
      </c>
      <c r="N188" s="71">
        <v>2</v>
      </c>
      <c r="O188" s="189">
        <f>=ROUND(IF((TODAY()-A188+1)*N188*(L188/10000)+L188&lt;L188*1.002,L188*1.002,(TODAY()-A188+1)*N188*(L188/10000)+L188),2)</f>
        <v>9427.66</v>
      </c>
      <c r="P188" s="71">
        <v>1</v>
      </c>
      <c r="Q188" s="71">
        <f>=J188-P188</f>
        <v>0</v>
      </c>
      <c r="R188" s="71">
        <v>1</v>
      </c>
      <c r="S188" s="112">
        <f>=P188-R188</f>
        <v>0</v>
      </c>
      <c r="T188" s="71">
        <f>=S188*L188</f>
        <v>0</v>
      </c>
      <c r="U188" s="190">
        <f>=J188-P188</f>
        <v>0</v>
      </c>
      <c r="V188" s="190" t="s"/>
      <c r="W188" s="190" t="s"/>
      <c r="X188" s="190" t="s"/>
      <c r="Y188" s="190" t="s"/>
      <c r="Z188" s="190" t="s"/>
    </row>
    <row r="189" spans="1:26" s="218" customFormat="true" ht="15.75" customHeight="true">
      <c r="A189" s="125">
        <v>45982</v>
      </c>
      <c r="B189" s="71">
        <f>=TODAY()-A189+1</f>
        <v>243</v>
      </c>
      <c r="C189" s="71" t="s">
        <v>89</v>
      </c>
      <c r="D189" s="71" t="s">
        <v>65</v>
      </c>
      <c r="E189" s="108" t="s">
        <v>724</v>
      </c>
      <c r="F189" s="71" t="s"/>
      <c r="G189" s="112" t="s">
        <v>421</v>
      </c>
      <c r="H189" s="64" t="s">
        <v>422</v>
      </c>
      <c r="I189" s="71" t="s">
        <v>725</v>
      </c>
      <c r="J189" s="71">
        <v>2</v>
      </c>
      <c r="K189" s="71" t="s"/>
      <c r="L189" s="71">
        <v>8882.2</v>
      </c>
      <c r="M189" s="112">
        <f>=J189*L189</f>
        <v>17764.4</v>
      </c>
      <c r="N189" s="71">
        <v>2</v>
      </c>
      <c r="O189" s="189">
        <f>=ROUND(IF((TODAY()-A189+1)*N189*(L189/10000)+L189&lt;L189*1.002,L189*1.002,(TODAY()-A189+1)*N189*(L189/10000)+L189),2)</f>
        <v>9315.65</v>
      </c>
      <c r="P189" s="71">
        <v>2</v>
      </c>
      <c r="Q189" s="71">
        <f>=J189-P189</f>
        <v>0</v>
      </c>
      <c r="R189" s="71">
        <v>2</v>
      </c>
      <c r="S189" s="112">
        <f>=P189-R189</f>
        <v>0</v>
      </c>
      <c r="T189" s="71">
        <f>=S189*L189</f>
        <v>0</v>
      </c>
      <c r="U189" s="190">
        <f>=J189-P189</f>
        <v>0</v>
      </c>
      <c r="V189" s="190" t="s"/>
      <c r="W189" s="190" t="s"/>
      <c r="X189" s="190" t="s"/>
      <c r="Y189" s="190" t="s"/>
      <c r="Z189" s="190" t="s"/>
    </row>
    <row r="190" spans="1:26" s="218" customFormat="true" ht="15.75" customHeight="true">
      <c r="A190" s="125">
        <v>45982</v>
      </c>
      <c r="B190" s="71">
        <f>=TODAY()-A190+1</f>
        <v>243</v>
      </c>
      <c r="C190" s="71" t="s">
        <v>89</v>
      </c>
      <c r="D190" s="71" t="s">
        <v>65</v>
      </c>
      <c r="E190" s="108" t="s">
        <v>726</v>
      </c>
      <c r="F190" s="71" t="s"/>
      <c r="G190" s="112" t="s">
        <v>421</v>
      </c>
      <c r="H190" s="64" t="s">
        <v>422</v>
      </c>
      <c r="I190" s="71" t="s">
        <v>727</v>
      </c>
      <c r="J190" s="71">
        <v>2</v>
      </c>
      <c r="K190" s="71" t="s"/>
      <c r="L190" s="71">
        <v>10635.5</v>
      </c>
      <c r="M190" s="112">
        <f>=J190*L190</f>
        <v>21271</v>
      </c>
      <c r="N190" s="71">
        <v>2</v>
      </c>
      <c r="O190" s="189">
        <f>=ROUND(IF((TODAY()-A190+1)*N190*(L190/10000)+L190&lt;L190*1.002,L190*1.002,(TODAY()-A190+1)*N190*(L190/10000)+L190),2)</f>
        <v>11154.51</v>
      </c>
      <c r="P190" s="71">
        <v>2</v>
      </c>
      <c r="Q190" s="71">
        <f>=J190-P190</f>
        <v>0</v>
      </c>
      <c r="R190" s="71">
        <v>2</v>
      </c>
      <c r="S190" s="112">
        <f>=P190-R190</f>
        <v>0</v>
      </c>
      <c r="T190" s="71">
        <f>=S190*L190</f>
        <v>0</v>
      </c>
      <c r="U190" s="190">
        <f>=J190-P190</f>
        <v>0</v>
      </c>
      <c r="V190" s="190" t="s"/>
      <c r="W190" s="190" t="s"/>
      <c r="X190" s="190" t="s"/>
      <c r="Y190" s="190" t="s"/>
      <c r="Z190" s="190" t="s"/>
    </row>
    <row r="191" spans="1:26" s="218" customFormat="true" ht="15.75" customHeight="true">
      <c r="A191" s="125">
        <v>45982</v>
      </c>
      <c r="B191" s="71">
        <f>=TODAY()-A191+1</f>
        <v>243</v>
      </c>
      <c r="C191" s="71" t="s">
        <v>89</v>
      </c>
      <c r="D191" s="71" t="s">
        <v>65</v>
      </c>
      <c r="E191" s="108" t="s">
        <v>728</v>
      </c>
      <c r="F191" s="71" t="s"/>
      <c r="G191" s="112" t="s">
        <v>421</v>
      </c>
      <c r="H191" s="64" t="s">
        <v>422</v>
      </c>
      <c r="I191" s="71" t="s">
        <v>729</v>
      </c>
      <c r="J191" s="71">
        <v>2</v>
      </c>
      <c r="K191" s="71" t="s"/>
      <c r="L191" s="71">
        <v>5412</v>
      </c>
      <c r="M191" s="112">
        <f>=J191*L191</f>
        <v>10824</v>
      </c>
      <c r="N191" s="71">
        <v>2</v>
      </c>
      <c r="O191" s="189">
        <f>=ROUND(IF((TODAY()-A191+1)*N191*(L191/10000)+L191&lt;L191*1.002,L191*1.002,(TODAY()-A191+1)*N191*(L191/10000)+L191),2)</f>
        <v>5676.11</v>
      </c>
      <c r="P191" s="71">
        <v>2</v>
      </c>
      <c r="Q191" s="71">
        <f>=J191-P191</f>
        <v>0</v>
      </c>
      <c r="R191" s="71">
        <v>2</v>
      </c>
      <c r="S191" s="112">
        <f>=P191-R191</f>
        <v>0</v>
      </c>
      <c r="T191" s="71">
        <f>=S191*L191</f>
        <v>0</v>
      </c>
      <c r="U191" s="190">
        <f>=J191-P191</f>
        <v>0</v>
      </c>
      <c r="V191" s="190" t="s"/>
      <c r="W191" s="190" t="s"/>
      <c r="X191" s="190" t="s"/>
      <c r="Y191" s="190" t="s"/>
      <c r="Z191" s="190" t="s"/>
    </row>
    <row r="192" spans="1:26" s="218" customFormat="true" ht="15.75" customHeight="true">
      <c r="A192" s="125">
        <v>45982</v>
      </c>
      <c r="B192" s="71">
        <f>=TODAY()-A192+1</f>
        <v>243</v>
      </c>
      <c r="C192" s="71" t="s">
        <v>89</v>
      </c>
      <c r="D192" s="71" t="s">
        <v>65</v>
      </c>
      <c r="E192" s="108" t="s">
        <v>730</v>
      </c>
      <c r="F192" s="71" t="s"/>
      <c r="G192" s="112" t="s">
        <v>421</v>
      </c>
      <c r="H192" s="64" t="s">
        <v>422</v>
      </c>
      <c r="I192" s="71" t="s">
        <v>731</v>
      </c>
      <c r="J192" s="71">
        <v>1</v>
      </c>
      <c r="K192" s="71" t="s"/>
      <c r="L192" s="71">
        <v>7806.8</v>
      </c>
      <c r="M192" s="112">
        <f>=J192*L192</f>
        <v>7806.8</v>
      </c>
      <c r="N192" s="71">
        <v>2</v>
      </c>
      <c r="O192" s="189">
        <f>=ROUND(IF((TODAY()-A192+1)*N192*(L192/10000)+L192&lt;L192*1.002,L192*1.002,(TODAY()-A192+1)*N192*(L192/10000)+L192),2)</f>
        <v>8187.77</v>
      </c>
      <c r="P192" s="71">
        <v>1</v>
      </c>
      <c r="Q192" s="71">
        <f>=J192-P192</f>
        <v>0</v>
      </c>
      <c r="R192" s="71">
        <v>1</v>
      </c>
      <c r="S192" s="112">
        <f>=P192-R192</f>
        <v>0</v>
      </c>
      <c r="T192" s="71">
        <f>=S192*L192</f>
        <v>0</v>
      </c>
      <c r="U192" s="190">
        <f>=J192-P192</f>
        <v>0</v>
      </c>
      <c r="V192" s="190" t="s"/>
      <c r="W192" s="190" t="s"/>
      <c r="X192" s="190" t="s"/>
      <c r="Y192" s="190" t="s"/>
      <c r="Z192" s="190" t="s"/>
    </row>
    <row r="193" spans="1:26" s="218" customFormat="true" ht="15.75" customHeight="true">
      <c r="A193" s="98">
        <v>45989</v>
      </c>
      <c r="B193" s="71">
        <f>=TODAY()-A193+1</f>
        <v>236</v>
      </c>
      <c r="C193" s="78" t="s">
        <v>90</v>
      </c>
      <c r="D193" s="71" t="s">
        <v>74</v>
      </c>
      <c r="E193" s="108" t="s">
        <v>732</v>
      </c>
      <c r="F193" s="71" t="s"/>
      <c r="G193" s="64" t="s">
        <v>428</v>
      </c>
      <c r="H193" s="64" t="s">
        <v>449</v>
      </c>
      <c r="I193" s="71" t="s">
        <v>733</v>
      </c>
      <c r="J193" s="71">
        <v>2500</v>
      </c>
      <c r="K193" s="71" t="s"/>
      <c r="L193" s="71">
        <v>938</v>
      </c>
      <c r="M193" s="112">
        <f>=J193*L193</f>
        <v>2345000</v>
      </c>
      <c r="N193" s="71">
        <v>2.8</v>
      </c>
      <c r="O193" s="189">
        <f>=ROUND(IF((TODAY()-A193+1)*N193*(L193/10000)+L193&lt;L193*1.002,L193*1.002,(TODAY()-A193+1)*N193*(L193/10000)+L193),2)</f>
        <v>1000.25</v>
      </c>
      <c r="P193" s="71">
        <v>2500</v>
      </c>
      <c r="Q193" s="71">
        <f>=J193-P193</f>
        <v>0</v>
      </c>
      <c r="R193" s="71">
        <v>2500</v>
      </c>
      <c r="S193" s="112">
        <f>=P193-R193</f>
        <v>0</v>
      </c>
      <c r="T193" s="71">
        <f>=S193*L193</f>
        <v>0</v>
      </c>
      <c r="U193" s="190">
        <f>=J193-P193</f>
        <v>0</v>
      </c>
      <c r="V193" s="190" t="s"/>
      <c r="W193" s="190" t="s"/>
      <c r="X193" s="190" t="s"/>
      <c r="Y193" s="190" t="s"/>
      <c r="Z193" s="190" t="s"/>
    </row>
    <row r="194" spans="1:26" s="218" customFormat="true" ht="15.75" customHeight="true">
      <c r="A194" s="125">
        <v>45994</v>
      </c>
      <c r="B194" s="71">
        <f>=TODAY()-A194+1</f>
        <v>231</v>
      </c>
      <c r="C194" s="71" t="s">
        <v>92</v>
      </c>
      <c r="D194" s="125" t="s">
        <v>84</v>
      </c>
      <c r="E194" s="209" t="s">
        <v>734</v>
      </c>
      <c r="F194" s="125" t="s"/>
      <c r="G194" s="98" t="s">
        <v>671</v>
      </c>
      <c r="H194" s="98" t="s">
        <v>470</v>
      </c>
      <c r="I194" s="211" t="s">
        <v>735</v>
      </c>
      <c r="J194" s="71">
        <v>80</v>
      </c>
      <c r="K194" s="71" t="s"/>
      <c r="L194" s="71">
        <v>12960</v>
      </c>
      <c r="M194" s="112">
        <f>=J194*L194</f>
        <v>1036800</v>
      </c>
      <c r="N194" s="71">
        <v>2.5</v>
      </c>
      <c r="O194" s="189">
        <f>=ROUND(IF((TODAY()-A194+1)*N194*(L194/10000)+L194&lt;L194*1.002,L194*1.002,(TODAY()-A194+1)*N194*(L194/10000)+L194),2)</f>
        <v>13711.68</v>
      </c>
      <c r="P194" s="71">
        <v>80</v>
      </c>
      <c r="Q194" s="71">
        <f>=J194-P194</f>
        <v>0</v>
      </c>
      <c r="R194" s="71">
        <v>80</v>
      </c>
      <c r="S194" s="112">
        <f>=P194-R194</f>
        <v>0</v>
      </c>
      <c r="T194" s="71">
        <f>=S194*L194</f>
        <v>0</v>
      </c>
      <c r="U194" s="190">
        <f>=J194-P194</f>
        <v>0</v>
      </c>
      <c r="V194" s="190" t="s"/>
      <c r="W194" s="190" t="s"/>
      <c r="X194" s="190" t="s"/>
      <c r="Y194" s="190" t="s"/>
      <c r="Z194" s="190" t="s"/>
    </row>
    <row r="195" spans="1:26" s="218" customFormat="true" ht="15.75" customHeight="true">
      <c r="A195" s="125">
        <v>45994</v>
      </c>
      <c r="B195" s="71">
        <f>=TODAY()-A195+1</f>
        <v>231</v>
      </c>
      <c r="C195" s="71" t="s">
        <v>92</v>
      </c>
      <c r="D195" s="125" t="s">
        <v>84</v>
      </c>
      <c r="E195" s="209" t="s">
        <v>736</v>
      </c>
      <c r="F195" s="125" t="s"/>
      <c r="G195" s="98" t="s">
        <v>671</v>
      </c>
      <c r="H195" s="98" t="s">
        <v>470</v>
      </c>
      <c r="I195" s="211" t="s">
        <v>672</v>
      </c>
      <c r="J195" s="71">
        <v>150</v>
      </c>
      <c r="K195" s="71" t="s"/>
      <c r="L195" s="71">
        <v>5760</v>
      </c>
      <c r="M195" s="112">
        <f>=J195*L195</f>
        <v>864000</v>
      </c>
      <c r="N195" s="71">
        <v>2.5</v>
      </c>
      <c r="O195" s="189">
        <f>=ROUND(IF((TODAY()-A195+1)*N195*(L195/10000)+L195&lt;L195*1.002,L195*1.002,(TODAY()-A195+1)*N195*(L195/10000)+L195),2)</f>
        <v>6094.08</v>
      </c>
      <c r="P195" s="71">
        <v>150</v>
      </c>
      <c r="Q195" s="71">
        <f>=J195-P195</f>
        <v>0</v>
      </c>
      <c r="R195" s="71">
        <v>150</v>
      </c>
      <c r="S195" s="112">
        <f>=P195-R195</f>
        <v>0</v>
      </c>
      <c r="T195" s="71">
        <f>=S195*L195</f>
        <v>0</v>
      </c>
      <c r="U195" s="190">
        <f>=J195-P195</f>
        <v>0</v>
      </c>
      <c r="V195" s="190" t="s"/>
      <c r="W195" s="190" t="s"/>
      <c r="X195" s="190" t="s"/>
      <c r="Y195" s="190" t="s"/>
      <c r="Z195" s="190" t="s"/>
    </row>
    <row r="196" spans="1:26" s="218" customFormat="true" ht="15.75" customHeight="true">
      <c r="A196" s="125">
        <v>45994</v>
      </c>
      <c r="B196" s="71">
        <f>=TODAY()-A196+1</f>
        <v>231</v>
      </c>
      <c r="C196" s="71" t="s">
        <v>92</v>
      </c>
      <c r="D196" s="125" t="s">
        <v>84</v>
      </c>
      <c r="E196" s="209" t="s">
        <v>737</v>
      </c>
      <c r="F196" s="125" t="s"/>
      <c r="G196" s="98" t="s">
        <v>671</v>
      </c>
      <c r="H196" s="98" t="s">
        <v>470</v>
      </c>
      <c r="I196" s="211" t="s">
        <v>672</v>
      </c>
      <c r="J196" s="71">
        <v>180</v>
      </c>
      <c r="K196" s="71" t="s"/>
      <c r="L196" s="71">
        <v>6080</v>
      </c>
      <c r="M196" s="112">
        <f>=J196*L196</f>
        <v>1094400</v>
      </c>
      <c r="N196" s="71">
        <v>2.5</v>
      </c>
      <c r="O196" s="189">
        <f>=ROUND(IF((TODAY()-A196+1)*N196*(L196/10000)+L196&lt;L196*1.002,L196*1.002,(TODAY()-A196+1)*N196*(L196/10000)+L196),2)</f>
        <v>6432.64</v>
      </c>
      <c r="P196" s="71">
        <v>180</v>
      </c>
      <c r="Q196" s="71">
        <f>=J196-P196</f>
        <v>0</v>
      </c>
      <c r="R196" s="71">
        <v>180</v>
      </c>
      <c r="S196" s="112">
        <f>=P196-R196</f>
        <v>0</v>
      </c>
      <c r="T196" s="71">
        <f>=S196*L196</f>
        <v>0</v>
      </c>
      <c r="U196" s="190">
        <f>=J196-P196</f>
        <v>0</v>
      </c>
      <c r="V196" s="190" t="s"/>
      <c r="W196" s="190" t="s"/>
      <c r="X196" s="190" t="s"/>
      <c r="Y196" s="190" t="s"/>
      <c r="Z196" s="190" t="s"/>
    </row>
    <row r="197" spans="1:26" s="218" customFormat="true" ht="15.75" customHeight="true">
      <c r="A197" s="125">
        <v>45994</v>
      </c>
      <c r="B197" s="71">
        <f>=TODAY()-A197+1</f>
        <v>231</v>
      </c>
      <c r="C197" s="71" t="s">
        <v>92</v>
      </c>
      <c r="D197" s="125" t="s">
        <v>84</v>
      </c>
      <c r="E197" s="209" t="s">
        <v>738</v>
      </c>
      <c r="F197" s="125" t="s"/>
      <c r="G197" s="98" t="s">
        <v>671</v>
      </c>
      <c r="H197" s="98" t="s">
        <v>470</v>
      </c>
      <c r="I197" s="211" t="s">
        <v>739</v>
      </c>
      <c r="J197" s="71">
        <v>313</v>
      </c>
      <c r="K197" s="71" t="s"/>
      <c r="L197" s="71">
        <v>5840</v>
      </c>
      <c r="M197" s="112">
        <f>=J197*L197</f>
        <v>1827920</v>
      </c>
      <c r="N197" s="71">
        <v>2.5</v>
      </c>
      <c r="O197" s="189">
        <f>=ROUND(IF((TODAY()-A197+1)*N197*(L197/10000)+L197&lt;L197*1.002,L197*1.002,(TODAY()-A197+1)*N197*(L197/10000)+L197),2)</f>
        <v>6178.72</v>
      </c>
      <c r="P197" s="71">
        <v>313</v>
      </c>
      <c r="Q197" s="71">
        <f>=J197-P197</f>
        <v>0</v>
      </c>
      <c r="R197" s="71">
        <v>313</v>
      </c>
      <c r="S197" s="112">
        <f>=P197-R197</f>
        <v>0</v>
      </c>
      <c r="T197" s="71">
        <f>=S197*L197</f>
        <v>0</v>
      </c>
      <c r="U197" s="190">
        <f>=J197-P197</f>
        <v>0</v>
      </c>
      <c r="V197" s="190" t="s"/>
      <c r="W197" s="190" t="s"/>
      <c r="X197" s="190" t="s"/>
      <c r="Y197" s="190" t="s"/>
      <c r="Z197" s="190" t="s"/>
    </row>
    <row r="198" spans="1:26" s="218" customFormat="true" ht="15.75" customHeight="true">
      <c r="A198" s="125">
        <v>45994</v>
      </c>
      <c r="B198" s="71">
        <f>=TODAY()-A198+1</f>
        <v>231</v>
      </c>
      <c r="C198" s="71" t="s">
        <v>92</v>
      </c>
      <c r="D198" s="125" t="s">
        <v>84</v>
      </c>
      <c r="E198" s="209" t="s">
        <v>740</v>
      </c>
      <c r="F198" s="125" t="s"/>
      <c r="G198" s="98" t="s">
        <v>671</v>
      </c>
      <c r="H198" s="98" t="s">
        <v>470</v>
      </c>
      <c r="I198" s="211" t="s">
        <v>739</v>
      </c>
      <c r="J198" s="71">
        <v>100</v>
      </c>
      <c r="K198" s="71" t="s"/>
      <c r="L198" s="71">
        <v>5840</v>
      </c>
      <c r="M198" s="112">
        <f>=J198*L198</f>
        <v>584000</v>
      </c>
      <c r="N198" s="71">
        <v>2.5</v>
      </c>
      <c r="O198" s="189">
        <f>=ROUND(IF((TODAY()-A198+1)*N198*(L198/10000)+L198&lt;L198*1.002,L198*1.002,(TODAY()-A198+1)*N198*(L198/10000)+L198),2)</f>
        <v>6178.72</v>
      </c>
      <c r="P198" s="71">
        <v>100</v>
      </c>
      <c r="Q198" s="71">
        <f>=J198-P198</f>
        <v>0</v>
      </c>
      <c r="R198" s="71">
        <v>100</v>
      </c>
      <c r="S198" s="112">
        <f>=P198-R198</f>
        <v>0</v>
      </c>
      <c r="T198" s="71">
        <f>=S198*L198</f>
        <v>0</v>
      </c>
      <c r="U198" s="190">
        <f>=J198-P198</f>
        <v>0</v>
      </c>
      <c r="V198" s="190" t="s"/>
      <c r="W198" s="190" t="s"/>
      <c r="X198" s="190" t="s"/>
      <c r="Y198" s="190" t="s"/>
      <c r="Z198" s="190" t="s"/>
    </row>
    <row r="199" spans="1:26" s="218" customFormat="true" ht="15.75" customHeight="true">
      <c r="A199" s="125">
        <v>45997</v>
      </c>
      <c r="B199" s="71">
        <f>=TODAY()-A199+1</f>
        <v>228</v>
      </c>
      <c r="C199" s="71" t="s">
        <v>94</v>
      </c>
      <c r="D199" s="71" t="s">
        <v>93</v>
      </c>
      <c r="E199" s="71" t="s"/>
      <c r="F199" s="71" t="s"/>
      <c r="G199" s="71" t="s">
        <v>741</v>
      </c>
      <c r="H199" s="71" t="s">
        <v>422</v>
      </c>
      <c r="I199" s="71" t="s">
        <v>742</v>
      </c>
      <c r="J199" s="71">
        <v>394</v>
      </c>
      <c r="K199" s="71" t="s"/>
      <c r="L199" s="71">
        <v>1050</v>
      </c>
      <c r="M199" s="112">
        <f>=J199*L199</f>
        <v>413700</v>
      </c>
      <c r="N199" s="71">
        <v>2.5</v>
      </c>
      <c r="O199" s="189">
        <f>=ROUND(IF((TODAY()-A199+1)*N199*(L199/10000)+L199&lt;L199*1.002,L199*1.002,(TODAY()-A199+1)*N199*(L199/10000)+L199),2)</f>
        <v>1110.11</v>
      </c>
      <c r="P199" s="71">
        <v>394</v>
      </c>
      <c r="Q199" s="71">
        <f>=J199-P199</f>
        <v>0</v>
      </c>
      <c r="R199" s="71">
        <v>394</v>
      </c>
      <c r="S199" s="112">
        <f>=P199-R199</f>
        <v>0</v>
      </c>
      <c r="T199" s="71">
        <f>=S199*L199</f>
        <v>0</v>
      </c>
      <c r="U199" s="190">
        <f>=J199-P199</f>
        <v>0</v>
      </c>
      <c r="V199" s="190" t="s"/>
      <c r="W199" s="190" t="s"/>
      <c r="X199" s="190" t="s"/>
      <c r="Y199" s="190" t="s"/>
      <c r="Z199" s="190" t="s"/>
    </row>
    <row r="200" spans="1:26" s="218" customFormat="true" ht="15.75" customHeight="true">
      <c r="A200" s="125">
        <v>45997</v>
      </c>
      <c r="B200" s="71">
        <f>=TODAY()-A200+1</f>
        <v>228</v>
      </c>
      <c r="C200" s="71" t="s">
        <v>94</v>
      </c>
      <c r="D200" s="71" t="s">
        <v>93</v>
      </c>
      <c r="E200" s="71" t="s"/>
      <c r="F200" s="71" t="s"/>
      <c r="G200" s="71" t="s">
        <v>741</v>
      </c>
      <c r="H200" s="71" t="s">
        <v>422</v>
      </c>
      <c r="I200" s="64" t="s">
        <v>743</v>
      </c>
      <c r="J200" s="64">
        <v>200</v>
      </c>
      <c r="K200" s="71" t="s"/>
      <c r="L200" s="71">
        <v>1050</v>
      </c>
      <c r="M200" s="112">
        <f>=J200*L200</f>
        <v>210000</v>
      </c>
      <c r="N200" s="71">
        <v>2.5</v>
      </c>
      <c r="O200" s="189">
        <f>=ROUND(IF((TODAY()-A200+1)*N200*(L200/10000)+L200&lt;L200*1.002,L200*1.002,(TODAY()-A200+1)*N200*(L200/10000)+L200),2)</f>
        <v>1110.11</v>
      </c>
      <c r="P200" s="71">
        <v>200</v>
      </c>
      <c r="Q200" s="71">
        <f>=J200-P200</f>
        <v>0</v>
      </c>
      <c r="R200" s="64">
        <v>200</v>
      </c>
      <c r="S200" s="112">
        <f>=P200-R200</f>
        <v>0</v>
      </c>
      <c r="T200" s="71">
        <f>=S200*L200</f>
        <v>0</v>
      </c>
      <c r="U200" s="190">
        <f>=J200-P200</f>
        <v>0</v>
      </c>
      <c r="V200" s="190" t="s"/>
      <c r="W200" s="190" t="s"/>
      <c r="X200" s="190" t="s"/>
      <c r="Y200" s="190" t="s"/>
      <c r="Z200" s="190" t="s"/>
    </row>
    <row r="201" spans="1:26" s="218" customFormat="true" ht="15.75" customHeight="true">
      <c r="A201" s="125">
        <v>45997</v>
      </c>
      <c r="B201" s="71">
        <f>=TODAY()-A201+1</f>
        <v>228</v>
      </c>
      <c r="C201" s="71" t="s">
        <v>94</v>
      </c>
      <c r="D201" s="71" t="s">
        <v>93</v>
      </c>
      <c r="E201" s="71" t="s"/>
      <c r="F201" s="71" t="s"/>
      <c r="G201" s="71" t="s">
        <v>741</v>
      </c>
      <c r="H201" s="71" t="s">
        <v>422</v>
      </c>
      <c r="I201" s="71" t="s">
        <v>744</v>
      </c>
      <c r="J201" s="71">
        <v>456</v>
      </c>
      <c r="K201" s="71" t="s"/>
      <c r="L201" s="71">
        <v>1050</v>
      </c>
      <c r="M201" s="112">
        <f>=J201*L201</f>
        <v>478800</v>
      </c>
      <c r="N201" s="71">
        <v>2.5</v>
      </c>
      <c r="O201" s="189">
        <f>=ROUND(IF((TODAY()-A201+1)*N201*(L201/10000)+L201&lt;L201*1.002,L201*1.002,(TODAY()-A201+1)*N201*(L201/10000)+L201),2)</f>
        <v>1110.11</v>
      </c>
      <c r="P201" s="71">
        <v>456</v>
      </c>
      <c r="Q201" s="71">
        <f>=J201-P201</f>
        <v>0</v>
      </c>
      <c r="R201" s="71">
        <v>456</v>
      </c>
      <c r="S201" s="112">
        <f>=P201-R201</f>
        <v>0</v>
      </c>
      <c r="T201" s="71">
        <f>=S201*L201</f>
        <v>0</v>
      </c>
      <c r="U201" s="190">
        <f>=J201-P201</f>
        <v>0</v>
      </c>
      <c r="V201" s="190" t="s"/>
      <c r="W201" s="190" t="s"/>
      <c r="X201" s="190" t="s"/>
      <c r="Y201" s="190" t="s"/>
      <c r="Z201" s="190" t="s"/>
    </row>
    <row r="202" spans="1:26" s="218" customFormat="true" ht="15.75" customHeight="true">
      <c r="A202" s="125">
        <v>45997</v>
      </c>
      <c r="B202" s="71">
        <f>=TODAY()-A202+1</f>
        <v>228</v>
      </c>
      <c r="C202" s="71" t="s">
        <v>94</v>
      </c>
      <c r="D202" s="71" t="s">
        <v>93</v>
      </c>
      <c r="E202" s="71" t="s"/>
      <c r="F202" s="71" t="s"/>
      <c r="G202" s="71" t="s">
        <v>741</v>
      </c>
      <c r="H202" s="71" t="s">
        <v>422</v>
      </c>
      <c r="I202" s="71" t="s">
        <v>745</v>
      </c>
      <c r="J202" s="71">
        <v>300</v>
      </c>
      <c r="K202" s="71" t="s"/>
      <c r="L202" s="71">
        <v>1050</v>
      </c>
      <c r="M202" s="112">
        <f>=J202*L202</f>
        <v>315000</v>
      </c>
      <c r="N202" s="71">
        <v>2.5</v>
      </c>
      <c r="O202" s="189">
        <f>=ROUND(IF((TODAY()-A202+1)*N202*(L202/10000)+L202&lt;L202*1.002,L202*1.002,(TODAY()-A202+1)*N202*(L202/10000)+L202),2)</f>
        <v>1110.11</v>
      </c>
      <c r="P202" s="71">
        <v>300</v>
      </c>
      <c r="Q202" s="71">
        <f>=J202-P202</f>
        <v>0</v>
      </c>
      <c r="R202" s="71">
        <v>300</v>
      </c>
      <c r="S202" s="112">
        <f>=P202-R202</f>
        <v>0</v>
      </c>
      <c r="T202" s="71">
        <f>=S202*L202</f>
        <v>0</v>
      </c>
      <c r="U202" s="190">
        <f>=J202-P202</f>
        <v>0</v>
      </c>
      <c r="V202" s="190" t="s"/>
      <c r="W202" s="190" t="s"/>
      <c r="X202" s="190" t="s"/>
      <c r="Y202" s="190" t="s"/>
      <c r="Z202" s="190" t="s"/>
    </row>
    <row r="203" spans="1:26" s="218" customFormat="true" ht="15.75" customHeight="true">
      <c r="A203" s="125">
        <v>46013</v>
      </c>
      <c r="B203" s="71">
        <f>=TODAY()-A203+1</f>
        <v>212</v>
      </c>
      <c r="C203" s="71" t="s">
        <v>95</v>
      </c>
      <c r="D203" s="125" t="s">
        <v>84</v>
      </c>
      <c r="E203" s="209" t="s">
        <v>746</v>
      </c>
      <c r="F203" s="125" t="s"/>
      <c r="G203" s="98" t="s">
        <v>747</v>
      </c>
      <c r="H203" s="98" t="s">
        <v>470</v>
      </c>
      <c r="I203" s="125" t="s">
        <v>748</v>
      </c>
      <c r="J203" s="71">
        <v>250</v>
      </c>
      <c r="K203" s="71" t="s"/>
      <c r="L203" s="71">
        <v>5360</v>
      </c>
      <c r="M203" s="112">
        <f>=J203*L203</f>
        <v>1340000</v>
      </c>
      <c r="N203" s="71">
        <v>2.5</v>
      </c>
      <c r="O203" s="189">
        <f>=ROUND(IF((TODAY()-A203+1)*N203*(L203/10000)+L203&lt;L203*1.002,L203*1.002,(TODAY()-A203+1)*N203*(L203/10000)+L203),2)</f>
        <v>5645.42</v>
      </c>
      <c r="P203" s="71">
        <v>250</v>
      </c>
      <c r="Q203" s="71">
        <f>=J203-P203</f>
        <v>0</v>
      </c>
      <c r="R203" s="71">
        <v>250</v>
      </c>
      <c r="S203" s="112">
        <f>=P203-R203</f>
        <v>0</v>
      </c>
      <c r="T203" s="71">
        <f>=S203*L203</f>
        <v>0</v>
      </c>
      <c r="U203" s="190">
        <f>=J203-P203</f>
        <v>0</v>
      </c>
      <c r="V203" s="190" t="s"/>
      <c r="W203" s="190" t="s"/>
      <c r="X203" s="190" t="s"/>
      <c r="Y203" s="190" t="s"/>
      <c r="Z203" s="190" t="s"/>
    </row>
    <row r="204" spans="1:26" s="218" customFormat="true" ht="15.75" customHeight="true">
      <c r="A204" s="98">
        <v>46022</v>
      </c>
      <c r="B204" s="71">
        <f>=TODAY()-A204+1</f>
        <v>203</v>
      </c>
      <c r="C204" s="78" t="s">
        <v>96</v>
      </c>
      <c r="D204" s="71" t="s">
        <v>74</v>
      </c>
      <c r="E204" s="108" t="s">
        <v>749</v>
      </c>
      <c r="F204" s="71" t="s"/>
      <c r="G204" s="64" t="s">
        <v>428</v>
      </c>
      <c r="H204" s="64" t="s">
        <v>449</v>
      </c>
      <c r="I204" s="71" t="s">
        <v>658</v>
      </c>
      <c r="J204" s="71">
        <v>2000</v>
      </c>
      <c r="K204" s="71" t="s"/>
      <c r="L204" s="71">
        <v>1053</v>
      </c>
      <c r="M204" s="112">
        <f>=J204*L204</f>
        <v>2106000</v>
      </c>
      <c r="N204" s="71">
        <v>2.8</v>
      </c>
      <c r="O204" s="189">
        <f>=ROUND(IF((TODAY()-A204+1)*N204*(L204/10000)+L204&lt;L204*1.002,L204*1.002,(TODAY()-A204+1)*N204*(L204/10000)+L204),2)</f>
        <v>1113.15</v>
      </c>
      <c r="P204" s="71">
        <v>2000</v>
      </c>
      <c r="Q204" s="71">
        <f>=J204-P204</f>
        <v>0</v>
      </c>
      <c r="R204" s="71">
        <v>2000</v>
      </c>
      <c r="S204" s="112">
        <f>=P204-R204</f>
        <v>0</v>
      </c>
      <c r="T204" s="71">
        <f>=S204*L204</f>
        <v>0</v>
      </c>
      <c r="U204" s="190">
        <f>=J204-P204</f>
        <v>0</v>
      </c>
      <c r="V204" s="190" t="s"/>
      <c r="W204" s="190" t="s"/>
      <c r="X204" s="190" t="s"/>
      <c r="Y204" s="190" t="s"/>
      <c r="Z204" s="190" t="s"/>
    </row>
    <row r="205" spans="1:26" s="218" customFormat="true" ht="15.75" customHeight="true">
      <c r="A205" s="125">
        <v>46025</v>
      </c>
      <c r="B205" s="71">
        <f>=TODAY()-A205+1</f>
        <v>200</v>
      </c>
      <c r="C205" s="78" t="s">
        <v>99</v>
      </c>
      <c r="D205" s="71" t="s">
        <v>98</v>
      </c>
      <c r="E205" s="71" t="s"/>
      <c r="F205" s="71" t="s"/>
      <c r="G205" s="71" t="s">
        <v>741</v>
      </c>
      <c r="H205" s="71" t="s">
        <v>470</v>
      </c>
      <c r="I205" s="71" t="s">
        <v>750</v>
      </c>
      <c r="J205" s="71">
        <v>300</v>
      </c>
      <c r="K205" s="71" t="s"/>
      <c r="L205" s="71">
        <v>2999</v>
      </c>
      <c r="M205" s="112">
        <f>=J205*L205</f>
        <v>899700</v>
      </c>
      <c r="N205" s="71">
        <v>2.6</v>
      </c>
      <c r="O205" s="189">
        <f>=ROUND(IF((TODAY()-A205+1)*N205*(L205/10000)+L205&lt;L205*1.002,L205*1.002,(TODAY()-A205+1)*N205*(L205/10000)+L205),2)</f>
        <v>3155.73</v>
      </c>
      <c r="P205" s="71">
        <v>300</v>
      </c>
      <c r="Q205" s="71">
        <f>=J205-P205</f>
        <v>0</v>
      </c>
      <c r="R205" s="71">
        <v>300</v>
      </c>
      <c r="S205" s="112">
        <f>=P205-R205</f>
        <v>0</v>
      </c>
      <c r="T205" s="71">
        <f>=S205*L205</f>
        <v>0</v>
      </c>
      <c r="U205" s="190">
        <f>=J205-P205</f>
        <v>0</v>
      </c>
      <c r="V205" s="190" t="s"/>
      <c r="W205" s="190" t="s"/>
      <c r="X205" s="190" t="s"/>
      <c r="Y205" s="190" t="s"/>
      <c r="Z205" s="190" t="s"/>
    </row>
    <row r="206" spans="1:26" s="218" customFormat="true" ht="15.75" customHeight="true">
      <c r="A206" s="125">
        <v>46025</v>
      </c>
      <c r="B206" s="71">
        <f>=TODAY()-A206+1</f>
        <v>200</v>
      </c>
      <c r="C206" s="78" t="s">
        <v>99</v>
      </c>
      <c r="D206" s="71" t="s">
        <v>98</v>
      </c>
      <c r="E206" s="71" t="s"/>
      <c r="F206" s="71" t="s"/>
      <c r="G206" s="71" t="s">
        <v>741</v>
      </c>
      <c r="H206" s="71" t="s">
        <v>470</v>
      </c>
      <c r="I206" s="71" t="s">
        <v>751</v>
      </c>
      <c r="J206" s="71">
        <v>189</v>
      </c>
      <c r="K206" s="71" t="s"/>
      <c r="L206" s="71">
        <v>3099</v>
      </c>
      <c r="M206" s="112">
        <f>=J206*L206</f>
        <v>585711</v>
      </c>
      <c r="N206" s="71">
        <v>2.6</v>
      </c>
      <c r="O206" s="189">
        <f>=ROUND(IF((TODAY()-A206+1)*N206*(L206/10000)+L206&lt;L206*1.002,L206*1.002,(TODAY()-A206+1)*N206*(L206/10000)+L206),2)</f>
        <v>3260.95</v>
      </c>
      <c r="P206" s="71">
        <v>189</v>
      </c>
      <c r="Q206" s="71">
        <f>=J206-P206</f>
        <v>0</v>
      </c>
      <c r="R206" s="71">
        <v>189</v>
      </c>
      <c r="S206" s="112">
        <f>=P206-R206</f>
        <v>0</v>
      </c>
      <c r="T206" s="71">
        <f>=S206*L206</f>
        <v>0</v>
      </c>
      <c r="U206" s="190">
        <f>=J206-P206</f>
        <v>0</v>
      </c>
      <c r="V206" s="190" t="s"/>
      <c r="W206" s="190" t="s"/>
      <c r="X206" s="190" t="s"/>
      <c r="Y206" s="190" t="s"/>
      <c r="Z206" s="190" t="s"/>
    </row>
    <row r="207" spans="1:26" s="218" customFormat="true" ht="15.75" customHeight="true">
      <c r="A207" s="125">
        <v>46025</v>
      </c>
      <c r="B207" s="71">
        <f>=TODAY()-A207+1</f>
        <v>200</v>
      </c>
      <c r="C207" s="78" t="s">
        <v>99</v>
      </c>
      <c r="D207" s="71" t="s">
        <v>98</v>
      </c>
      <c r="E207" s="71" t="s"/>
      <c r="F207" s="71" t="s"/>
      <c r="G207" s="71" t="s">
        <v>741</v>
      </c>
      <c r="H207" s="71" t="s">
        <v>470</v>
      </c>
      <c r="I207" s="71" t="s">
        <v>752</v>
      </c>
      <c r="J207" s="71">
        <v>2000</v>
      </c>
      <c r="K207" s="71" t="s"/>
      <c r="L207" s="71">
        <v>3299</v>
      </c>
      <c r="M207" s="112">
        <f>=J207*L207</f>
        <v>6598000</v>
      </c>
      <c r="N207" s="71">
        <v>2.6</v>
      </c>
      <c r="O207" s="189">
        <f>=ROUND(IF((TODAY()-A207+1)*N207*(L207/10000)+L207&lt;L207*1.002,L207*1.002,(TODAY()-A207+1)*N207*(L207/10000)+L207),2)</f>
        <v>3471.41</v>
      </c>
      <c r="P207" s="71">
        <v>2000</v>
      </c>
      <c r="Q207" s="71">
        <f>=J207-P207</f>
        <v>0</v>
      </c>
      <c r="R207" s="71">
        <v>2000</v>
      </c>
      <c r="S207" s="112">
        <f>=P207-R207</f>
        <v>0</v>
      </c>
      <c r="T207" s="71">
        <f>=S207*L207</f>
        <v>0</v>
      </c>
      <c r="U207" s="190">
        <f>=J207-P207</f>
        <v>0</v>
      </c>
      <c r="V207" s="190" t="s"/>
      <c r="W207" s="190" t="s"/>
      <c r="X207" s="190" t="s"/>
      <c r="Y207" s="190" t="s"/>
      <c r="Z207" s="190" t="s"/>
    </row>
    <row r="208" spans="1:26" s="218" customFormat="true" ht="15.75" customHeight="true">
      <c r="A208" s="188">
        <v>46029</v>
      </c>
      <c r="B208" s="71">
        <f>=TODAY()-A208+1</f>
        <v>196</v>
      </c>
      <c r="C208" s="71" t="s">
        <v>101</v>
      </c>
      <c r="D208" s="71" t="s">
        <v>77</v>
      </c>
      <c r="E208" s="112" t="s">
        <v>753</v>
      </c>
      <c r="F208" s="112" t="s">
        <v>754</v>
      </c>
      <c r="G208" s="112" t="s">
        <v>421</v>
      </c>
      <c r="H208" s="112" t="s">
        <v>422</v>
      </c>
      <c r="I208" s="112" t="s">
        <v>755</v>
      </c>
      <c r="J208" s="112">
        <v>30</v>
      </c>
      <c r="K208" s="71" t="s"/>
      <c r="L208" s="112">
        <v>5220</v>
      </c>
      <c r="M208" s="112">
        <f>=J208*L208</f>
        <v>156600</v>
      </c>
      <c r="N208" s="71">
        <v>2.5</v>
      </c>
      <c r="O208" s="189">
        <f>=ROUND(IF((TODAY()-A208+1)*N208*(L208/10000)+L208&lt;L208*1.002,L208*1.002,(TODAY()-A208+1)*N208*(L208/10000)+L208),2)</f>
        <v>5477.09</v>
      </c>
      <c r="P208" s="112">
        <v>30</v>
      </c>
      <c r="Q208" s="71">
        <f>=J208-P208</f>
        <v>0</v>
      </c>
      <c r="R208" s="112">
        <v>30</v>
      </c>
      <c r="S208" s="112">
        <f>=P208-R208</f>
        <v>0</v>
      </c>
      <c r="T208" s="71">
        <f>=S208*L208</f>
        <v>0</v>
      </c>
      <c r="U208" s="190">
        <f>=J208-P208</f>
        <v>0</v>
      </c>
      <c r="V208" s="190" t="s"/>
      <c r="W208" s="190" t="s"/>
      <c r="X208" s="190" t="s"/>
      <c r="Y208" s="190" t="s"/>
      <c r="Z208" s="190" t="s"/>
    </row>
    <row r="209" spans="1:26" s="218" customFormat="true" ht="15.75" customHeight="true">
      <c r="A209" s="188">
        <v>46029</v>
      </c>
      <c r="B209" s="71">
        <f>=TODAY()-A209+1</f>
        <v>196</v>
      </c>
      <c r="C209" s="71" t="s">
        <v>101</v>
      </c>
      <c r="D209" s="71" t="s">
        <v>77</v>
      </c>
      <c r="E209" s="112" t="s">
        <v>756</v>
      </c>
      <c r="F209" s="112" t="s">
        <v>757</v>
      </c>
      <c r="G209" s="112" t="s">
        <v>421</v>
      </c>
      <c r="H209" s="112" t="s">
        <v>422</v>
      </c>
      <c r="I209" s="112" t="s">
        <v>758</v>
      </c>
      <c r="J209" s="112">
        <v>25</v>
      </c>
      <c r="K209" s="71" t="s"/>
      <c r="L209" s="112">
        <v>5220</v>
      </c>
      <c r="M209" s="112">
        <f>=J209*L209</f>
        <v>130500</v>
      </c>
      <c r="N209" s="71">
        <v>2.5</v>
      </c>
      <c r="O209" s="189">
        <f>=ROUND(IF((TODAY()-A209+1)*N209*(L209/10000)+L209&lt;L209*1.002,L209*1.002,(TODAY()-A209+1)*N209*(L209/10000)+L209),2)</f>
        <v>5477.09</v>
      </c>
      <c r="P209" s="112">
        <v>25</v>
      </c>
      <c r="Q209" s="71">
        <f>=J209-P209</f>
        <v>0</v>
      </c>
      <c r="R209" s="112">
        <v>25</v>
      </c>
      <c r="S209" s="112">
        <f>=P209-R209</f>
        <v>0</v>
      </c>
      <c r="T209" s="71">
        <f>=S209*L209</f>
        <v>0</v>
      </c>
      <c r="U209" s="190">
        <f>=J209-P209</f>
        <v>0</v>
      </c>
      <c r="V209" s="190" t="s"/>
      <c r="W209" s="190" t="s"/>
      <c r="X209" s="190" t="s"/>
      <c r="Y209" s="190" t="s"/>
      <c r="Z209" s="190" t="s"/>
    </row>
    <row r="210" spans="1:26" s="218" customFormat="true" ht="15.75" customHeight="true">
      <c r="A210" s="188">
        <v>46029</v>
      </c>
      <c r="B210" s="71">
        <f>=TODAY()-A210+1</f>
        <v>196</v>
      </c>
      <c r="C210" s="71" t="s">
        <v>101</v>
      </c>
      <c r="D210" s="71" t="s">
        <v>77</v>
      </c>
      <c r="E210" s="112" t="s">
        <v>759</v>
      </c>
      <c r="F210" s="112" t="s">
        <v>760</v>
      </c>
      <c r="G210" s="112" t="s">
        <v>421</v>
      </c>
      <c r="H210" s="112" t="s">
        <v>422</v>
      </c>
      <c r="I210" s="112" t="s">
        <v>761</v>
      </c>
      <c r="J210" s="112">
        <v>25</v>
      </c>
      <c r="K210" s="71" t="s"/>
      <c r="L210" s="112">
        <v>8100</v>
      </c>
      <c r="M210" s="112">
        <f>=J210*L210</f>
        <v>202500</v>
      </c>
      <c r="N210" s="71">
        <v>2.5</v>
      </c>
      <c r="O210" s="189">
        <f>=ROUND(IF((TODAY()-A210+1)*N210*(L210/10000)+L210&lt;L210*1.002,L210*1.002,(TODAY()-A210+1)*N210*(L210/10000)+L210),2)</f>
        <v>8498.93</v>
      </c>
      <c r="P210" s="112">
        <v>25</v>
      </c>
      <c r="Q210" s="71">
        <f>=J210-P210</f>
        <v>0</v>
      </c>
      <c r="R210" s="112">
        <v>25</v>
      </c>
      <c r="S210" s="112">
        <f>=P210-R210</f>
        <v>0</v>
      </c>
      <c r="T210" s="71">
        <f>=S210*L210</f>
        <v>0</v>
      </c>
      <c r="U210" s="190">
        <f>=J210-P210</f>
        <v>0</v>
      </c>
      <c r="V210" s="190" t="s"/>
      <c r="W210" s="190" t="s"/>
      <c r="X210" s="190" t="s"/>
      <c r="Y210" s="190" t="s"/>
      <c r="Z210" s="190" t="s"/>
    </row>
    <row r="211" spans="1:26" s="218" customFormat="true" ht="15.75" customHeight="true">
      <c r="A211" s="188">
        <v>46031</v>
      </c>
      <c r="B211" s="71">
        <f>=TODAY()-A211+1</f>
        <v>194</v>
      </c>
      <c r="C211" s="71" t="s">
        <v>102</v>
      </c>
      <c r="D211" s="71" t="s">
        <v>77</v>
      </c>
      <c r="E211" s="112" t="s">
        <v>762</v>
      </c>
      <c r="F211" s="112" t="s">
        <v>663</v>
      </c>
      <c r="G211" s="112" t="s">
        <v>421</v>
      </c>
      <c r="H211" s="112" t="s">
        <v>422</v>
      </c>
      <c r="I211" s="112" t="s">
        <v>513</v>
      </c>
      <c r="J211" s="112">
        <v>13</v>
      </c>
      <c r="K211" s="71" t="s"/>
      <c r="L211" s="112">
        <v>5166</v>
      </c>
      <c r="M211" s="112">
        <f>=J211*L211</f>
        <v>67158</v>
      </c>
      <c r="N211" s="71">
        <v>2.5</v>
      </c>
      <c r="O211" s="189">
        <f>=ROUND(IF((TODAY()-A211+1)*N211*(L211/10000)+L211&lt;L211*1.002,L211*1.002,(TODAY()-A211+1)*N211*(L211/10000)+L211),2)</f>
        <v>5417.84</v>
      </c>
      <c r="P211" s="112">
        <v>13</v>
      </c>
      <c r="Q211" s="71">
        <f>=J211-P211</f>
        <v>0</v>
      </c>
      <c r="R211" s="112">
        <v>13</v>
      </c>
      <c r="S211" s="112">
        <f>=P211-R211</f>
        <v>0</v>
      </c>
      <c r="T211" s="71">
        <f>=S211*L211</f>
        <v>0</v>
      </c>
      <c r="U211" s="190">
        <f>=J211-P211</f>
        <v>0</v>
      </c>
      <c r="V211" s="190" t="s"/>
      <c r="W211" s="190" t="s"/>
      <c r="X211" s="190" t="s"/>
      <c r="Y211" s="190" t="s"/>
      <c r="Z211" s="190" t="s"/>
    </row>
    <row r="212" spans="1:26" s="218" customFormat="true" ht="15.75" customHeight="true">
      <c r="A212" s="188">
        <v>46031</v>
      </c>
      <c r="B212" s="71">
        <f>=TODAY()-A212+1</f>
        <v>194</v>
      </c>
      <c r="C212" s="71" t="s">
        <v>102</v>
      </c>
      <c r="D212" s="71" t="s">
        <v>77</v>
      </c>
      <c r="E212" s="112" t="s">
        <v>763</v>
      </c>
      <c r="F212" s="112" t="s">
        <v>764</v>
      </c>
      <c r="G212" s="112" t="s">
        <v>421</v>
      </c>
      <c r="H212" s="112" t="s">
        <v>422</v>
      </c>
      <c r="I212" s="112" t="s">
        <v>765</v>
      </c>
      <c r="J212" s="112">
        <v>8</v>
      </c>
      <c r="K212" s="71" t="s"/>
      <c r="L212" s="112">
        <v>8190</v>
      </c>
      <c r="M212" s="112">
        <f>=J212*L212</f>
        <v>65520</v>
      </c>
      <c r="N212" s="71">
        <v>2.5</v>
      </c>
      <c r="O212" s="189">
        <f>=ROUND(IF((TODAY()-A212+1)*N212*(L212/10000)+L212&lt;L212*1.002,L212*1.002,(TODAY()-A212+1)*N212*(L212/10000)+L212),2)</f>
        <v>8589.26</v>
      </c>
      <c r="P212" s="112">
        <v>8</v>
      </c>
      <c r="Q212" s="71">
        <f>=J212-P212</f>
        <v>0</v>
      </c>
      <c r="R212" s="112">
        <v>8</v>
      </c>
      <c r="S212" s="112">
        <f>=P212-R212</f>
        <v>0</v>
      </c>
      <c r="T212" s="71">
        <f>=S212*L212</f>
        <v>0</v>
      </c>
      <c r="U212" s="190">
        <f>=J212-P212</f>
        <v>0</v>
      </c>
      <c r="V212" s="190" t="s"/>
      <c r="W212" s="190" t="s"/>
      <c r="X212" s="190" t="s"/>
      <c r="Y212" s="190" t="s"/>
      <c r="Z212" s="190" t="s"/>
    </row>
    <row r="213" spans="1:26" s="218" customFormat="true" ht="15.75" customHeight="true">
      <c r="A213" s="188">
        <v>46031</v>
      </c>
      <c r="B213" s="71">
        <f>=TODAY()-A213+1</f>
        <v>194</v>
      </c>
      <c r="C213" s="71" t="s">
        <v>102</v>
      </c>
      <c r="D213" s="71" t="s">
        <v>77</v>
      </c>
      <c r="E213" s="112" t="s">
        <v>766</v>
      </c>
      <c r="F213" s="112" t="s">
        <v>767</v>
      </c>
      <c r="G213" s="112" t="s">
        <v>421</v>
      </c>
      <c r="H213" s="112" t="s">
        <v>422</v>
      </c>
      <c r="I213" s="112" t="s">
        <v>768</v>
      </c>
      <c r="J213" s="112">
        <v>8</v>
      </c>
      <c r="K213" s="71" t="s"/>
      <c r="L213" s="112">
        <v>7940</v>
      </c>
      <c r="M213" s="112">
        <f>=J213*L213</f>
        <v>63520</v>
      </c>
      <c r="N213" s="71">
        <v>2.5</v>
      </c>
      <c r="O213" s="189">
        <f>=ROUND(IF((TODAY()-A213+1)*N213*(L213/10000)+L213&lt;L213*1.002,L213*1.002,(TODAY()-A213+1)*N213*(L213/10000)+L213),2)</f>
        <v>8327.08</v>
      </c>
      <c r="P213" s="112">
        <v>8</v>
      </c>
      <c r="Q213" s="71">
        <f>=J213-P213</f>
        <v>0</v>
      </c>
      <c r="R213" s="112">
        <v>8</v>
      </c>
      <c r="S213" s="112">
        <f>=P213-R213</f>
        <v>0</v>
      </c>
      <c r="T213" s="71">
        <f>=S213*L213</f>
        <v>0</v>
      </c>
      <c r="U213" s="190">
        <f>=J213-P213</f>
        <v>0</v>
      </c>
      <c r="V213" s="190" t="s"/>
      <c r="W213" s="190" t="s"/>
      <c r="X213" s="190" t="s"/>
      <c r="Y213" s="190" t="s"/>
      <c r="Z213" s="190" t="s"/>
    </row>
    <row r="214" spans="1:26" s="218" customFormat="true" ht="15.75" customHeight="true">
      <c r="A214" s="188">
        <v>46031</v>
      </c>
      <c r="B214" s="71">
        <f>=TODAY()-A214+1</f>
        <v>194</v>
      </c>
      <c r="C214" s="71" t="s">
        <v>102</v>
      </c>
      <c r="D214" s="71" t="s">
        <v>77</v>
      </c>
      <c r="E214" s="112" t="s">
        <v>769</v>
      </c>
      <c r="F214" s="112" t="s">
        <v>770</v>
      </c>
      <c r="G214" s="112" t="s">
        <v>421</v>
      </c>
      <c r="H214" s="112" t="s">
        <v>422</v>
      </c>
      <c r="I214" s="112" t="s">
        <v>771</v>
      </c>
      <c r="J214" s="112">
        <v>3</v>
      </c>
      <c r="K214" s="71" t="s"/>
      <c r="L214" s="112">
        <v>4770</v>
      </c>
      <c r="M214" s="112">
        <f>=J214*L214</f>
        <v>14310</v>
      </c>
      <c r="N214" s="71">
        <v>2.5</v>
      </c>
      <c r="O214" s="189">
        <f>=ROUND(IF((TODAY()-A214+1)*N214*(L214/10000)+L214&lt;L214*1.002,L214*1.002,(TODAY()-A214+1)*N214*(L214/10000)+L214),2)</f>
        <v>5002.54</v>
      </c>
      <c r="P214" s="112">
        <v>3</v>
      </c>
      <c r="Q214" s="71">
        <f>=J214-P214</f>
        <v>0</v>
      </c>
      <c r="R214" s="112">
        <v>3</v>
      </c>
      <c r="S214" s="112">
        <f>=P214-R214</f>
        <v>0</v>
      </c>
      <c r="T214" s="71">
        <f>=S214*L214</f>
        <v>0</v>
      </c>
      <c r="U214" s="190">
        <f>=J214-P214</f>
        <v>0</v>
      </c>
      <c r="V214" s="190" t="s"/>
      <c r="W214" s="190" t="s"/>
      <c r="X214" s="190" t="s"/>
      <c r="Y214" s="190" t="s"/>
      <c r="Z214" s="190" t="s"/>
    </row>
    <row r="215" spans="1:26" s="218" customFormat="true" ht="15.75" customHeight="true">
      <c r="A215" s="188">
        <v>46031</v>
      </c>
      <c r="B215" s="71">
        <f>=TODAY()-A215+1</f>
        <v>194</v>
      </c>
      <c r="C215" s="71" t="s">
        <v>102</v>
      </c>
      <c r="D215" s="71" t="s">
        <v>77</v>
      </c>
      <c r="E215" s="112" t="s">
        <v>772</v>
      </c>
      <c r="F215" s="112" t="s">
        <v>773</v>
      </c>
      <c r="G215" s="112" t="s">
        <v>421</v>
      </c>
      <c r="H215" s="112" t="s">
        <v>422</v>
      </c>
      <c r="I215" s="112" t="s">
        <v>774</v>
      </c>
      <c r="J215" s="112">
        <v>9</v>
      </c>
      <c r="K215" s="71" t="s"/>
      <c r="L215" s="112">
        <v>4170</v>
      </c>
      <c r="M215" s="112">
        <f>=J215*L215</f>
        <v>37530</v>
      </c>
      <c r="N215" s="71">
        <v>2.5</v>
      </c>
      <c r="O215" s="189">
        <f>=ROUND(IF((TODAY()-A215+1)*N215*(L215/10000)+L215&lt;L215*1.002,L215*1.002,(TODAY()-A215+1)*N215*(L215/10000)+L215),2)</f>
        <v>4373.29</v>
      </c>
      <c r="P215" s="112">
        <v>9</v>
      </c>
      <c r="Q215" s="71">
        <f>=J215-P215</f>
        <v>0</v>
      </c>
      <c r="R215" s="112">
        <v>9</v>
      </c>
      <c r="S215" s="112">
        <f>=P215-R215</f>
        <v>0</v>
      </c>
      <c r="T215" s="71">
        <f>=S215*L215</f>
        <v>0</v>
      </c>
      <c r="U215" s="190">
        <f>=J215-P215</f>
        <v>0</v>
      </c>
      <c r="V215" s="190" t="s"/>
      <c r="W215" s="190" t="s"/>
      <c r="X215" s="190" t="s"/>
      <c r="Y215" s="190" t="s"/>
      <c r="Z215" s="190" t="s"/>
    </row>
    <row r="216" spans="1:26" s="218" customFormat="true" ht="15.75" customHeight="true">
      <c r="A216" s="188">
        <v>46031</v>
      </c>
      <c r="B216" s="71">
        <f>=TODAY()-A216+1</f>
        <v>194</v>
      </c>
      <c r="C216" s="71" t="s">
        <v>102</v>
      </c>
      <c r="D216" s="71" t="s">
        <v>77</v>
      </c>
      <c r="E216" s="112" t="s">
        <v>775</v>
      </c>
      <c r="F216" s="112" t="s">
        <v>776</v>
      </c>
      <c r="G216" s="112" t="s">
        <v>421</v>
      </c>
      <c r="H216" s="112" t="s">
        <v>422</v>
      </c>
      <c r="I216" s="112" t="s">
        <v>777</v>
      </c>
      <c r="J216" s="112">
        <v>10</v>
      </c>
      <c r="K216" s="71" t="s"/>
      <c r="L216" s="112">
        <v>4170</v>
      </c>
      <c r="M216" s="112">
        <f>=J216*L216</f>
        <v>41700</v>
      </c>
      <c r="N216" s="71">
        <v>2.5</v>
      </c>
      <c r="O216" s="189">
        <f>=ROUND(IF((TODAY()-A216+1)*N216*(L216/10000)+L216&lt;L216*1.002,L216*1.002,(TODAY()-A216+1)*N216*(L216/10000)+L216),2)</f>
        <v>4373.29</v>
      </c>
      <c r="P216" s="112">
        <v>10</v>
      </c>
      <c r="Q216" s="71">
        <f>=J216-P216</f>
        <v>0</v>
      </c>
      <c r="R216" s="112">
        <v>10</v>
      </c>
      <c r="S216" s="112">
        <f>=P216-R216</f>
        <v>0</v>
      </c>
      <c r="T216" s="71">
        <f>=S216*L216</f>
        <v>0</v>
      </c>
      <c r="U216" s="190">
        <f>=J216-P216</f>
        <v>0</v>
      </c>
      <c r="V216" s="190" t="s"/>
      <c r="W216" s="190" t="s"/>
      <c r="X216" s="190" t="s"/>
      <c r="Y216" s="190" t="s"/>
      <c r="Z216" s="190" t="s"/>
    </row>
    <row r="217" spans="1:26" s="218" customFormat="true" ht="15.75" customHeight="true">
      <c r="A217" s="188">
        <v>46031</v>
      </c>
      <c r="B217" s="71">
        <f>=TODAY()-A217+1</f>
        <v>194</v>
      </c>
      <c r="C217" s="71" t="s">
        <v>102</v>
      </c>
      <c r="D217" s="71" t="s">
        <v>77</v>
      </c>
      <c r="E217" s="112" t="s">
        <v>778</v>
      </c>
      <c r="F217" s="112" t="s">
        <v>779</v>
      </c>
      <c r="G217" s="112" t="s">
        <v>421</v>
      </c>
      <c r="H217" s="112" t="s">
        <v>422</v>
      </c>
      <c r="I217" s="112" t="s">
        <v>780</v>
      </c>
      <c r="J217" s="112">
        <v>31</v>
      </c>
      <c r="K217" s="71" t="s"/>
      <c r="L217" s="112">
        <v>8840</v>
      </c>
      <c r="M217" s="112">
        <f>=J217*L217</f>
        <v>274040</v>
      </c>
      <c r="N217" s="71">
        <v>2.5</v>
      </c>
      <c r="O217" s="189">
        <f>=ROUND(IF((TODAY()-A217+1)*N217*(L217/10000)+L217&lt;L217*1.002,L217*1.002,(TODAY()-A217+1)*N217*(L217/10000)+L217),2)</f>
        <v>9270.95</v>
      </c>
      <c r="P217" s="112">
        <v>31</v>
      </c>
      <c r="Q217" s="71">
        <f>=J217-P217</f>
        <v>0</v>
      </c>
      <c r="R217" s="112">
        <v>31</v>
      </c>
      <c r="S217" s="112">
        <f>=P217-R217</f>
        <v>0</v>
      </c>
      <c r="T217" s="71">
        <f>=S217*L217</f>
        <v>0</v>
      </c>
      <c r="U217" s="190">
        <f>=J217-P217</f>
        <v>0</v>
      </c>
      <c r="V217" s="190" t="s"/>
      <c r="W217" s="190" t="s"/>
      <c r="X217" s="190" t="s"/>
      <c r="Y217" s="190" t="s"/>
      <c r="Z217" s="190" t="s"/>
    </row>
    <row r="218" spans="1:26" s="218" customFormat="true" ht="15.75" customHeight="true">
      <c r="A218" s="188">
        <v>46031</v>
      </c>
      <c r="B218" s="71">
        <f>=TODAY()-A218+1</f>
        <v>194</v>
      </c>
      <c r="C218" s="71" t="s">
        <v>102</v>
      </c>
      <c r="D218" s="71" t="s">
        <v>77</v>
      </c>
      <c r="E218" s="112" t="s">
        <v>781</v>
      </c>
      <c r="F218" s="112" t="s">
        <v>782</v>
      </c>
      <c r="G218" s="112" t="s">
        <v>421</v>
      </c>
      <c r="H218" s="112" t="s">
        <v>422</v>
      </c>
      <c r="I218" s="112" t="s">
        <v>783</v>
      </c>
      <c r="J218" s="112">
        <v>35</v>
      </c>
      <c r="K218" s="71" t="s"/>
      <c r="L218" s="112">
        <v>8910</v>
      </c>
      <c r="M218" s="112">
        <f>=J218*L218</f>
        <v>311850</v>
      </c>
      <c r="N218" s="71">
        <v>2.5</v>
      </c>
      <c r="O218" s="189">
        <f>=ROUND(IF((TODAY()-A218+1)*N218*(L218/10000)+L218&lt;L218*1.002,L218*1.002,(TODAY()-A218+1)*N218*(L218/10000)+L218),2)</f>
        <v>9344.36</v>
      </c>
      <c r="P218" s="112">
        <v>35</v>
      </c>
      <c r="Q218" s="71">
        <f>=J218-P218</f>
        <v>0</v>
      </c>
      <c r="R218" s="112">
        <v>35</v>
      </c>
      <c r="S218" s="112">
        <f>=P218-R218</f>
        <v>0</v>
      </c>
      <c r="T218" s="71">
        <f>=S218*L218</f>
        <v>0</v>
      </c>
      <c r="U218" s="190">
        <f>=J218-P218</f>
        <v>0</v>
      </c>
      <c r="V218" s="190" t="s"/>
      <c r="W218" s="190" t="s"/>
      <c r="X218" s="190" t="s"/>
      <c r="Y218" s="190" t="s"/>
      <c r="Z218" s="190" t="s"/>
    </row>
    <row r="219" spans="1:26" s="218" customFormat="true" ht="15.75" customHeight="true">
      <c r="A219" s="188">
        <v>46031</v>
      </c>
      <c r="B219" s="71">
        <f>=TODAY()-A219+1</f>
        <v>194</v>
      </c>
      <c r="C219" s="71" t="s">
        <v>102</v>
      </c>
      <c r="D219" s="71" t="s">
        <v>77</v>
      </c>
      <c r="E219" s="112" t="s">
        <v>784</v>
      </c>
      <c r="F219" s="112" t="s">
        <v>785</v>
      </c>
      <c r="G219" s="112" t="s">
        <v>421</v>
      </c>
      <c r="H219" s="112" t="s">
        <v>422</v>
      </c>
      <c r="I219" s="112" t="s">
        <v>786</v>
      </c>
      <c r="J219" s="112">
        <v>10</v>
      </c>
      <c r="K219" s="71" t="s"/>
      <c r="L219" s="112">
        <v>8500</v>
      </c>
      <c r="M219" s="112">
        <f>=J219*L219</f>
        <v>85000</v>
      </c>
      <c r="N219" s="71">
        <v>2.5</v>
      </c>
      <c r="O219" s="189">
        <f>=ROUND(IF((TODAY()-A219+1)*N219*(L219/10000)+L219&lt;L219*1.002,L219*1.002,(TODAY()-A219+1)*N219*(L219/10000)+L219),2)</f>
        <v>8914.38</v>
      </c>
      <c r="P219" s="112">
        <v>10</v>
      </c>
      <c r="Q219" s="71">
        <f>=J219-P219</f>
        <v>0</v>
      </c>
      <c r="R219" s="112">
        <v>10</v>
      </c>
      <c r="S219" s="112">
        <f>=P219-R219</f>
        <v>0</v>
      </c>
      <c r="T219" s="71">
        <f>=S219*L219</f>
        <v>0</v>
      </c>
      <c r="U219" s="190">
        <f>=J219-P219</f>
        <v>0</v>
      </c>
      <c r="V219" s="190" t="s"/>
      <c r="W219" s="190" t="s"/>
      <c r="X219" s="190" t="s"/>
      <c r="Y219" s="190" t="s"/>
      <c r="Z219" s="190" t="s"/>
    </row>
    <row r="220" spans="1:26" s="218" customFormat="true" ht="15.75" customHeight="true">
      <c r="A220" s="188">
        <v>46031</v>
      </c>
      <c r="B220" s="71">
        <f>=TODAY()-A220+1</f>
        <v>194</v>
      </c>
      <c r="C220" s="71" t="s">
        <v>102</v>
      </c>
      <c r="D220" s="71" t="s">
        <v>77</v>
      </c>
      <c r="E220" s="112" t="s">
        <v>787</v>
      </c>
      <c r="F220" s="112" t="s">
        <v>779</v>
      </c>
      <c r="G220" s="112" t="s">
        <v>421</v>
      </c>
      <c r="H220" s="112" t="s">
        <v>422</v>
      </c>
      <c r="I220" s="112" t="s">
        <v>780</v>
      </c>
      <c r="J220" s="112">
        <v>30</v>
      </c>
      <c r="K220" s="71" t="s"/>
      <c r="L220" s="112">
        <v>8830</v>
      </c>
      <c r="M220" s="112">
        <f>=J220*L220</f>
        <v>264900</v>
      </c>
      <c r="N220" s="71">
        <v>2.5</v>
      </c>
      <c r="O220" s="189">
        <f>=ROUND(IF((TODAY()-A220+1)*N220*(L220/10000)+L220&lt;L220*1.002,L220*1.002,(TODAY()-A220+1)*N220*(L220/10000)+L220),2)</f>
        <v>9260.46</v>
      </c>
      <c r="P220" s="112">
        <v>30</v>
      </c>
      <c r="Q220" s="71">
        <f>=J220-P220</f>
        <v>0</v>
      </c>
      <c r="R220" s="112">
        <v>30</v>
      </c>
      <c r="S220" s="112">
        <f>=P220-R220</f>
        <v>0</v>
      </c>
      <c r="T220" s="71">
        <f>=S220*L220</f>
        <v>0</v>
      </c>
      <c r="U220" s="190">
        <f>=J220-P220</f>
        <v>0</v>
      </c>
      <c r="V220" s="190" t="s"/>
      <c r="W220" s="190" t="s"/>
      <c r="X220" s="190" t="s"/>
      <c r="Y220" s="190" t="s"/>
      <c r="Z220" s="190" t="s"/>
    </row>
    <row r="221" spans="1:26" s="218" customFormat="true" ht="15.75" customHeight="true">
      <c r="A221" s="188">
        <v>46031</v>
      </c>
      <c r="B221" s="71">
        <f>=TODAY()-A221+1</f>
        <v>194</v>
      </c>
      <c r="C221" s="71" t="s">
        <v>102</v>
      </c>
      <c r="D221" s="71" t="s">
        <v>77</v>
      </c>
      <c r="E221" s="112" t="s">
        <v>788</v>
      </c>
      <c r="F221" s="112" t="s">
        <v>789</v>
      </c>
      <c r="G221" s="112" t="s">
        <v>421</v>
      </c>
      <c r="H221" s="112" t="s">
        <v>422</v>
      </c>
      <c r="I221" s="112" t="s">
        <v>790</v>
      </c>
      <c r="J221" s="112">
        <v>25</v>
      </c>
      <c r="K221" s="71" t="s"/>
      <c r="L221" s="112">
        <v>5220</v>
      </c>
      <c r="M221" s="112">
        <f>=J221*L221</f>
        <v>130500</v>
      </c>
      <c r="N221" s="71">
        <v>2.5</v>
      </c>
      <c r="O221" s="189">
        <f>=ROUND(IF((TODAY()-A221+1)*N221*(L221/10000)+L221&lt;L221*1.002,L221*1.002,(TODAY()-A221+1)*N221*(L221/10000)+L221),2)</f>
        <v>5474.48</v>
      </c>
      <c r="P221" s="112">
        <v>25</v>
      </c>
      <c r="Q221" s="71">
        <f>=J221-P221</f>
        <v>0</v>
      </c>
      <c r="R221" s="112">
        <v>25</v>
      </c>
      <c r="S221" s="112">
        <f>=P221-R221</f>
        <v>0</v>
      </c>
      <c r="T221" s="71">
        <f>=S221*L221</f>
        <v>0</v>
      </c>
      <c r="U221" s="190">
        <f>=J221-P221</f>
        <v>0</v>
      </c>
      <c r="V221" s="190" t="s"/>
      <c r="W221" s="190" t="s"/>
      <c r="X221" s="190" t="s"/>
      <c r="Y221" s="190" t="s"/>
      <c r="Z221" s="190" t="s"/>
    </row>
    <row r="222" spans="1:26" s="218" customFormat="true" ht="15.75" customHeight="true">
      <c r="A222" s="188">
        <v>46036</v>
      </c>
      <c r="B222" s="71">
        <f>=TODAY()-A222+1</f>
        <v>189</v>
      </c>
      <c r="C222" s="71" t="s">
        <v>103</v>
      </c>
      <c r="D222" s="71" t="s">
        <v>77</v>
      </c>
      <c r="E222" s="112" t="s">
        <v>791</v>
      </c>
      <c r="F222" s="112" t="s">
        <v>782</v>
      </c>
      <c r="G222" s="112" t="s">
        <v>421</v>
      </c>
      <c r="H222" s="112" t="s">
        <v>422</v>
      </c>
      <c r="I222" s="112" t="s">
        <v>783</v>
      </c>
      <c r="J222" s="112">
        <v>50</v>
      </c>
      <c r="K222" s="71" t="s"/>
      <c r="L222" s="112">
        <v>8910</v>
      </c>
      <c r="M222" s="112">
        <f>=J222*L222</f>
        <v>445500</v>
      </c>
      <c r="N222" s="71">
        <v>2.5</v>
      </c>
      <c r="O222" s="189">
        <f>=ROUND(IF((TODAY()-A222+1)*N222*(L222/10000)+L222&lt;L222*1.002,L222*1.002,(TODAY()-A222+1)*N222*(L222/10000)+L222),2)</f>
        <v>9333.23</v>
      </c>
      <c r="P222" s="112">
        <v>50</v>
      </c>
      <c r="Q222" s="71">
        <f>=J222-P222</f>
        <v>0</v>
      </c>
      <c r="R222" s="112">
        <v>50</v>
      </c>
      <c r="S222" s="112">
        <f>=P222-R222</f>
        <v>0</v>
      </c>
      <c r="T222" s="71">
        <f>=S222*L222</f>
        <v>0</v>
      </c>
      <c r="U222" s="190">
        <f>=J222-P222</f>
        <v>0</v>
      </c>
      <c r="V222" s="190" t="s"/>
      <c r="W222" s="190" t="s"/>
      <c r="X222" s="190" t="s"/>
      <c r="Y222" s="190" t="s"/>
      <c r="Z222" s="190" t="s"/>
    </row>
    <row r="223" spans="1:26" s="218" customFormat="true" ht="15.75" customHeight="true">
      <c r="A223" s="188">
        <v>46036</v>
      </c>
      <c r="B223" s="71">
        <f>=TODAY()-A223+1</f>
        <v>189</v>
      </c>
      <c r="C223" s="71" t="s">
        <v>103</v>
      </c>
      <c r="D223" s="71" t="s">
        <v>77</v>
      </c>
      <c r="E223" s="112" t="s">
        <v>792</v>
      </c>
      <c r="F223" s="112" t="s">
        <v>779</v>
      </c>
      <c r="G223" s="112" t="s">
        <v>421</v>
      </c>
      <c r="H223" s="112" t="s">
        <v>422</v>
      </c>
      <c r="I223" s="112" t="s">
        <v>780</v>
      </c>
      <c r="J223" s="112">
        <v>50</v>
      </c>
      <c r="K223" s="71" t="s"/>
      <c r="L223" s="112">
        <v>8910</v>
      </c>
      <c r="M223" s="112">
        <f>=J223*L223</f>
        <v>445500</v>
      </c>
      <c r="N223" s="71">
        <v>2.5</v>
      </c>
      <c r="O223" s="189">
        <f>=ROUND(IF((TODAY()-A223+1)*N223*(L223/10000)+L223&lt;L223*1.002,L223*1.002,(TODAY()-A223+1)*N223*(L223/10000)+L223),2)</f>
        <v>9333.23</v>
      </c>
      <c r="P223" s="112">
        <v>50</v>
      </c>
      <c r="Q223" s="71">
        <f>=J223-P223</f>
        <v>0</v>
      </c>
      <c r="R223" s="112">
        <v>50</v>
      </c>
      <c r="S223" s="112">
        <f>=P223-R223</f>
        <v>0</v>
      </c>
      <c r="T223" s="71">
        <f>=S223*L223</f>
        <v>0</v>
      </c>
      <c r="U223" s="190">
        <f>=J223-P223</f>
        <v>0</v>
      </c>
      <c r="V223" s="190" t="s"/>
      <c r="W223" s="190" t="s"/>
      <c r="X223" s="190" t="s"/>
      <c r="Y223" s="190" t="s"/>
      <c r="Z223" s="190" t="s"/>
    </row>
    <row r="224" spans="1:26" s="218" customFormat="true" ht="15.75" customHeight="true">
      <c r="A224" s="125">
        <v>46037</v>
      </c>
      <c r="B224" s="71">
        <f>=TODAY()-A224+1</f>
        <v>188</v>
      </c>
      <c r="C224" s="71" t="s">
        <v>104</v>
      </c>
      <c r="D224" s="71" t="s">
        <v>93</v>
      </c>
      <c r="E224" s="71" t="s"/>
      <c r="F224" s="71" t="s"/>
      <c r="G224" s="64" t="s">
        <v>428</v>
      </c>
      <c r="H224" s="64" t="s">
        <v>422</v>
      </c>
      <c r="I224" s="64" t="s">
        <v>793</v>
      </c>
      <c r="J224" s="71">
        <v>2000</v>
      </c>
      <c r="K224" s="71" t="s"/>
      <c r="L224" s="71">
        <v>1000</v>
      </c>
      <c r="M224" s="112">
        <f>=J224*L224</f>
        <v>2000000</v>
      </c>
      <c r="N224" s="71">
        <v>2.5</v>
      </c>
      <c r="O224" s="189">
        <f>=ROUND(IF((TODAY()-A224+1)*N224*(L224/10000)+L224&lt;L224*1.002,L224*1.002,(TODAY()-A224+1)*N224*(L224/10000)+L224),2)</f>
        <v>1047.25</v>
      </c>
      <c r="P224" s="71">
        <v>2000</v>
      </c>
      <c r="Q224" s="71">
        <f>=J224-P224</f>
        <v>0</v>
      </c>
      <c r="R224" s="71">
        <v>2000</v>
      </c>
      <c r="S224" s="112">
        <f>=P224-R224</f>
        <v>0</v>
      </c>
      <c r="T224" s="71">
        <f>=S224*L224</f>
        <v>0</v>
      </c>
      <c r="U224" s="190">
        <f>=J224-P224</f>
        <v>0</v>
      </c>
      <c r="V224" s="190" t="s"/>
      <c r="W224" s="190" t="s"/>
      <c r="X224" s="190" t="s"/>
      <c r="Y224" s="190" t="s"/>
      <c r="Z224" s="190" t="s"/>
    </row>
    <row r="225" spans="1:26" s="218" customFormat="true" ht="15.75" customHeight="true">
      <c r="A225" s="125">
        <v>46037</v>
      </c>
      <c r="B225" s="71">
        <f>=TODAY()-A225+1</f>
        <v>188</v>
      </c>
      <c r="C225" s="71" t="s">
        <v>104</v>
      </c>
      <c r="D225" s="71" t="s">
        <v>93</v>
      </c>
      <c r="E225" s="71" t="s"/>
      <c r="F225" s="71" t="s"/>
      <c r="G225" s="64" t="s">
        <v>428</v>
      </c>
      <c r="H225" s="64" t="s">
        <v>422</v>
      </c>
      <c r="I225" s="208" t="s">
        <v>794</v>
      </c>
      <c r="J225" s="71">
        <v>400</v>
      </c>
      <c r="K225" s="71" t="s"/>
      <c r="L225" s="71">
        <v>1785</v>
      </c>
      <c r="M225" s="112">
        <f>=J225*L225</f>
        <v>714000</v>
      </c>
      <c r="N225" s="71">
        <v>2.5</v>
      </c>
      <c r="O225" s="189">
        <f>=ROUND(IF((TODAY()-A225+1)*N225*(L225/10000)+L225&lt;L225*1.002,L225*1.002,(TODAY()-A225+1)*N225*(L225/10000)+L225),2)</f>
        <v>1869.34</v>
      </c>
      <c r="P225" s="71">
        <v>400</v>
      </c>
      <c r="Q225" s="71">
        <f>=J225-P225</f>
        <v>0</v>
      </c>
      <c r="R225" s="71">
        <v>400</v>
      </c>
      <c r="S225" s="112">
        <f>=P225-R225</f>
        <v>0</v>
      </c>
      <c r="T225" s="71">
        <f>=S225*L225</f>
        <v>0</v>
      </c>
      <c r="U225" s="190">
        <f>=J225-P225</f>
        <v>0</v>
      </c>
      <c r="V225" s="190" t="s"/>
      <c r="W225" s="190" t="s"/>
      <c r="X225" s="190" t="s"/>
      <c r="Y225" s="190" t="s"/>
      <c r="Z225" s="190" t="s"/>
    </row>
    <row r="226" spans="1:26" s="218" customFormat="true" ht="15.75" customHeight="true">
      <c r="A226" s="188">
        <v>46037</v>
      </c>
      <c r="B226" s="71">
        <f>=TODAY()-A226+1</f>
        <v>188</v>
      </c>
      <c r="C226" s="71" t="s">
        <v>105</v>
      </c>
      <c r="D226" s="71" t="s">
        <v>77</v>
      </c>
      <c r="E226" s="112" t="s">
        <v>795</v>
      </c>
      <c r="F226" s="112" t="s">
        <v>796</v>
      </c>
      <c r="G226" s="112" t="s">
        <v>421</v>
      </c>
      <c r="H226" s="112" t="s">
        <v>422</v>
      </c>
      <c r="I226" s="112" t="s">
        <v>797</v>
      </c>
      <c r="J226" s="112">
        <v>15</v>
      </c>
      <c r="K226" s="71" t="s"/>
      <c r="L226" s="112">
        <v>10620</v>
      </c>
      <c r="M226" s="112">
        <f>=J226*L226</f>
        <v>159300</v>
      </c>
      <c r="N226" s="71">
        <v>2.5</v>
      </c>
      <c r="O226" s="189">
        <f>=ROUND(IF((TODAY()-A226+1)*N226*(L226/10000)+L226&lt;L226*1.002,L226*1.002,(TODAY()-A226+1)*N226*(L226/10000)+L226),2)</f>
        <v>11121.8</v>
      </c>
      <c r="P226" s="112">
        <v>15</v>
      </c>
      <c r="Q226" s="71">
        <f>=J226-P226</f>
        <v>0</v>
      </c>
      <c r="R226" s="112">
        <v>15</v>
      </c>
      <c r="S226" s="112">
        <f>=P226-R226</f>
        <v>0</v>
      </c>
      <c r="T226" s="71">
        <f>=S226*L226</f>
        <v>0</v>
      </c>
      <c r="U226" s="190">
        <f>=J226-P226</f>
        <v>0</v>
      </c>
      <c r="V226" s="190" t="s"/>
      <c r="W226" s="190" t="s"/>
      <c r="X226" s="190" t="s"/>
      <c r="Y226" s="190" t="s"/>
      <c r="Z226" s="190" t="s"/>
    </row>
    <row r="227" spans="1:26" s="218" customFormat="true" ht="15.75" customHeight="true">
      <c r="A227" s="188">
        <v>46037</v>
      </c>
      <c r="B227" s="71">
        <f>=TODAY()-A227+1</f>
        <v>188</v>
      </c>
      <c r="C227" s="71" t="s">
        <v>105</v>
      </c>
      <c r="D227" s="71" t="s">
        <v>77</v>
      </c>
      <c r="E227" s="112" t="s">
        <v>798</v>
      </c>
      <c r="F227" s="112" t="s">
        <v>779</v>
      </c>
      <c r="G227" s="112" t="s">
        <v>421</v>
      </c>
      <c r="H227" s="112" t="s">
        <v>422</v>
      </c>
      <c r="I227" s="112" t="s">
        <v>780</v>
      </c>
      <c r="J227" s="112">
        <v>20</v>
      </c>
      <c r="K227" s="71" t="s"/>
      <c r="L227" s="112">
        <v>8875</v>
      </c>
      <c r="M227" s="112">
        <f>=J227*L227</f>
        <v>177500</v>
      </c>
      <c r="N227" s="71">
        <v>2.5</v>
      </c>
      <c r="O227" s="189">
        <f>=ROUND(IF((TODAY()-A227+1)*N227*(L227/10000)+L227&lt;L227*1.002,L227*1.002,(TODAY()-A227+1)*N227*(L227/10000)+L227),2)</f>
        <v>9294.34</v>
      </c>
      <c r="P227" s="112">
        <v>20</v>
      </c>
      <c r="Q227" s="71">
        <f>=J227-P227</f>
        <v>0</v>
      </c>
      <c r="R227" s="112">
        <v>20</v>
      </c>
      <c r="S227" s="112">
        <f>=P227-R227</f>
        <v>0</v>
      </c>
      <c r="T227" s="71">
        <f>=S227*L227</f>
        <v>0</v>
      </c>
      <c r="U227" s="190">
        <f>=J227-P227</f>
        <v>0</v>
      </c>
      <c r="V227" s="190" t="s"/>
      <c r="W227" s="190" t="s"/>
      <c r="X227" s="190" t="s"/>
      <c r="Y227" s="190" t="s"/>
      <c r="Z227" s="190" t="s"/>
    </row>
    <row r="228" spans="1:26" s="218" customFormat="true" ht="15.75" customHeight="true">
      <c r="A228" s="188">
        <v>46037</v>
      </c>
      <c r="B228" s="71">
        <f>=TODAY()-A228+1</f>
        <v>188</v>
      </c>
      <c r="C228" s="71" t="s">
        <v>105</v>
      </c>
      <c r="D228" s="71" t="s">
        <v>77</v>
      </c>
      <c r="E228" s="112" t="s">
        <v>799</v>
      </c>
      <c r="F228" s="112" t="s">
        <v>782</v>
      </c>
      <c r="G228" s="112" t="s">
        <v>421</v>
      </c>
      <c r="H228" s="112" t="s">
        <v>422</v>
      </c>
      <c r="I228" s="112" t="s">
        <v>783</v>
      </c>
      <c r="J228" s="112">
        <v>25</v>
      </c>
      <c r="K228" s="71" t="s"/>
      <c r="L228" s="112">
        <v>8875</v>
      </c>
      <c r="M228" s="112">
        <f>=J228*L228</f>
        <v>221875</v>
      </c>
      <c r="N228" s="71">
        <v>2.5</v>
      </c>
      <c r="O228" s="189">
        <f>=ROUND(IF((TODAY()-A228+1)*N228*(L228/10000)+L228&lt;L228*1.002,L228*1.002,(TODAY()-A228+1)*N228*(L228/10000)+L228),2)</f>
        <v>9294.34</v>
      </c>
      <c r="P228" s="112">
        <v>25</v>
      </c>
      <c r="Q228" s="71">
        <f>=J228-P228</f>
        <v>0</v>
      </c>
      <c r="R228" s="112">
        <v>25</v>
      </c>
      <c r="S228" s="112">
        <f>=P228-R228</f>
        <v>0</v>
      </c>
      <c r="T228" s="71">
        <f>=S228*L228</f>
        <v>0</v>
      </c>
      <c r="U228" s="190">
        <f>=J228-P228</f>
        <v>0</v>
      </c>
      <c r="V228" s="190" t="s"/>
      <c r="W228" s="190" t="s"/>
      <c r="X228" s="190" t="s"/>
      <c r="Y228" s="190" t="s"/>
      <c r="Z228" s="190" t="s"/>
    </row>
    <row r="229" spans="1:26" s="218" customFormat="true" ht="15.75" customHeight="true">
      <c r="A229" s="125">
        <v>46042</v>
      </c>
      <c r="B229" s="71">
        <f>=TODAY()-A229+1</f>
        <v>183</v>
      </c>
      <c r="C229" s="71" t="s">
        <v>106</v>
      </c>
      <c r="D229" s="71" t="s">
        <v>93</v>
      </c>
      <c r="E229" s="71" t="s"/>
      <c r="F229" s="71" t="s"/>
      <c r="G229" s="64" t="s">
        <v>428</v>
      </c>
      <c r="H229" s="64" t="s">
        <v>422</v>
      </c>
      <c r="I229" s="94" t="s">
        <v>800</v>
      </c>
      <c r="J229" s="71">
        <v>1000</v>
      </c>
      <c r="K229" s="71" t="s"/>
      <c r="L229" s="71">
        <v>1720</v>
      </c>
      <c r="M229" s="112">
        <f>=J229*L229</f>
        <v>1720000</v>
      </c>
      <c r="N229" s="71">
        <v>2.5</v>
      </c>
      <c r="O229" s="189">
        <f>=ROUND(IF((TODAY()-A229+1)*N229*(L229/10000)+L229&lt;L229*1.002,L229*1.002,(TODAY()-A229+1)*N229*(L229/10000)+L229),2)</f>
        <v>1799.12</v>
      </c>
      <c r="P229" s="71">
        <v>1000</v>
      </c>
      <c r="Q229" s="71">
        <f>=J229-P229</f>
        <v>0</v>
      </c>
      <c r="R229" s="71">
        <v>1000</v>
      </c>
      <c r="S229" s="112">
        <f>=P229-R229</f>
        <v>0</v>
      </c>
      <c r="T229" s="71">
        <f>=S229*L229</f>
        <v>0</v>
      </c>
      <c r="U229" s="190">
        <f>=J229-P229</f>
        <v>0</v>
      </c>
      <c r="V229" s="190" t="s"/>
      <c r="W229" s="190" t="s"/>
      <c r="X229" s="190" t="s"/>
      <c r="Y229" s="190" t="s"/>
      <c r="Z229" s="190" t="s"/>
    </row>
    <row r="230" spans="1:26" s="218" customFormat="true" ht="15.75" customHeight="true">
      <c r="A230" s="125">
        <v>46042</v>
      </c>
      <c r="B230" s="71">
        <f>=TODAY()-A230+1</f>
        <v>183</v>
      </c>
      <c r="C230" s="71" t="s">
        <v>106</v>
      </c>
      <c r="D230" s="71" t="s">
        <v>93</v>
      </c>
      <c r="E230" s="71" t="s"/>
      <c r="F230" s="71" t="s"/>
      <c r="G230" s="64" t="s">
        <v>428</v>
      </c>
      <c r="H230" s="64" t="s">
        <v>422</v>
      </c>
      <c r="I230" s="94" t="s">
        <v>801</v>
      </c>
      <c r="J230" s="71">
        <v>310</v>
      </c>
      <c r="K230" s="71" t="s"/>
      <c r="L230" s="71">
        <v>1720</v>
      </c>
      <c r="M230" s="112">
        <f>=J230*L230</f>
        <v>533200</v>
      </c>
      <c r="N230" s="71">
        <v>2.5</v>
      </c>
      <c r="O230" s="189">
        <f>=ROUND(IF((TODAY()-A230+1)*N230*(L230/10000)+L230&lt;L230*1.002,L230*1.002,(TODAY()-A230+1)*N230*(L230/10000)+L230),2)</f>
        <v>1799.12</v>
      </c>
      <c r="P230" s="71">
        <v>310</v>
      </c>
      <c r="Q230" s="71">
        <f>=J230-P230</f>
        <v>0</v>
      </c>
      <c r="R230" s="71">
        <v>310</v>
      </c>
      <c r="S230" s="112">
        <f>=P230-R230</f>
        <v>0</v>
      </c>
      <c r="T230" s="71">
        <f>=S230*L230</f>
        <v>0</v>
      </c>
      <c r="U230" s="190">
        <f>=J230-P230</f>
        <v>0</v>
      </c>
      <c r="V230" s="190" t="s"/>
      <c r="W230" s="190" t="s"/>
      <c r="X230" s="190" t="s"/>
      <c r="Y230" s="190" t="s"/>
      <c r="Z230" s="190" t="s"/>
    </row>
    <row r="231" spans="1:26" s="218" customFormat="true" ht="15.75" customHeight="true">
      <c r="A231" s="125">
        <v>46042</v>
      </c>
      <c r="B231" s="71">
        <f>=TODAY()-A231+1</f>
        <v>183</v>
      </c>
      <c r="C231" s="71" t="s">
        <v>106</v>
      </c>
      <c r="D231" s="71" t="s">
        <v>93</v>
      </c>
      <c r="E231" s="71" t="s"/>
      <c r="F231" s="71" t="s"/>
      <c r="G231" s="64" t="s">
        <v>428</v>
      </c>
      <c r="H231" s="64" t="s">
        <v>422</v>
      </c>
      <c r="I231" s="208" t="s">
        <v>802</v>
      </c>
      <c r="J231" s="71">
        <v>300</v>
      </c>
      <c r="K231" s="71" t="s"/>
      <c r="L231" s="71">
        <v>1880</v>
      </c>
      <c r="M231" s="112">
        <f>=J231*L231</f>
        <v>564000</v>
      </c>
      <c r="N231" s="71">
        <v>2.5</v>
      </c>
      <c r="O231" s="189">
        <f>=ROUND(IF((TODAY()-A231+1)*N231*(L231/10000)+L231&lt;L231*1.002,L231*1.002,(TODAY()-A231+1)*N231*(L231/10000)+L231),2)</f>
        <v>1966.48</v>
      </c>
      <c r="P231" s="71">
        <v>300</v>
      </c>
      <c r="Q231" s="71">
        <f>=J231-P231</f>
        <v>0</v>
      </c>
      <c r="R231" s="71">
        <v>300</v>
      </c>
      <c r="S231" s="112">
        <f>=P231-R231</f>
        <v>0</v>
      </c>
      <c r="T231" s="71">
        <f>=S231*L231</f>
        <v>0</v>
      </c>
      <c r="U231" s="190">
        <f>=J231-P231</f>
        <v>0</v>
      </c>
      <c r="V231" s="190" t="s"/>
      <c r="W231" s="190" t="s"/>
      <c r="X231" s="190" t="s"/>
      <c r="Y231" s="190" t="s"/>
      <c r="Z231" s="190" t="s"/>
    </row>
    <row r="232" spans="1:26" s="218" customFormat="true" ht="15.75" customHeight="true">
      <c r="A232" s="135">
        <v>46053</v>
      </c>
      <c r="B232" s="71">
        <f>=TODAY()-A232+1</f>
        <v>172</v>
      </c>
      <c r="C232" s="78" t="s">
        <v>108</v>
      </c>
      <c r="D232" s="100" t="s">
        <v>74</v>
      </c>
      <c r="E232" s="100" t="s"/>
      <c r="F232" s="100" t="s"/>
      <c r="G232" s="100" t="s">
        <v>428</v>
      </c>
      <c r="H232" s="100" t="s">
        <v>449</v>
      </c>
      <c r="I232" s="100" t="s">
        <v>733</v>
      </c>
      <c r="J232" s="100">
        <v>2000</v>
      </c>
      <c r="K232" s="100" t="s"/>
      <c r="L232" s="100">
        <v>938</v>
      </c>
      <c r="M232" s="206">
        <f>=J232*L232</f>
        <v>1876000</v>
      </c>
      <c r="N232" s="100">
        <v>2.5</v>
      </c>
      <c r="O232" s="189">
        <f>=ROUND(IF((TODAY()-A232+1)*N232*(L232/10000)+L232&lt;L232*1.002,L232*1.002,(TODAY()-A232+1)*N232*(L232/10000)+L232),2)</f>
        <v>978.57</v>
      </c>
      <c r="P232" s="100">
        <v>2000</v>
      </c>
      <c r="Q232" s="100">
        <f>=J232-P232</f>
        <v>0</v>
      </c>
      <c r="R232" s="100">
        <v>2000</v>
      </c>
      <c r="S232" s="206">
        <f>=P232-R232</f>
        <v>0</v>
      </c>
      <c r="T232" s="71">
        <f>=S232*L232</f>
        <v>0</v>
      </c>
      <c r="U232" s="190">
        <f>=J232-P232</f>
        <v>0</v>
      </c>
      <c r="V232" s="212" t="s"/>
      <c r="W232" s="212" t="s"/>
      <c r="X232" s="212" t="s"/>
      <c r="Y232" s="212" t="s"/>
      <c r="Z232" s="212" t="s"/>
    </row>
    <row r="233" spans="1:26" s="270" customFormat="true" ht="15.75" customHeight="true">
      <c r="A233" s="80">
        <v>46056</v>
      </c>
      <c r="B233" s="71">
        <f>=TODAY()-A233+1</f>
        <v>169</v>
      </c>
      <c r="C233" s="64" t="s">
        <v>110</v>
      </c>
      <c r="D233" s="64" t="s">
        <v>109</v>
      </c>
      <c r="E233" s="64" t="s">
        <v>803</v>
      </c>
      <c r="F233" s="64" t="s"/>
      <c r="G233" s="64" t="s">
        <v>804</v>
      </c>
      <c r="H233" s="64" t="s">
        <v>429</v>
      </c>
      <c r="I233" s="64" t="s">
        <v>805</v>
      </c>
      <c r="J233" s="64">
        <v>2000</v>
      </c>
      <c r="K233" s="64" t="s"/>
      <c r="L233" s="64">
        <v>31</v>
      </c>
      <c r="M233" s="112">
        <f>=J233*L233</f>
        <v>62000</v>
      </c>
      <c r="N233" s="71">
        <v>2.5</v>
      </c>
      <c r="O233" s="189">
        <f>=ROUND(IF((TODAY()-A233+1)*N233*(L233/10000)+L233&lt;L233*1.002,L233*1.002,(TODAY()-A233+1)*N233*(L233/10000)+L233),2)</f>
        <v>32.32</v>
      </c>
      <c r="P233" s="71">
        <v>2000</v>
      </c>
      <c r="Q233" s="71">
        <f>=J233-P233</f>
        <v>0</v>
      </c>
      <c r="R233" s="71">
        <v>2000</v>
      </c>
      <c r="S233" s="112">
        <f>=P233-R233</f>
        <v>0</v>
      </c>
      <c r="T233" s="71">
        <f>=S233*L233</f>
        <v>0</v>
      </c>
      <c r="U233" s="190">
        <f>=J233-P233</f>
        <v>0</v>
      </c>
      <c r="V233" s="87" t="s"/>
      <c r="W233" s="87" t="s"/>
      <c r="X233" s="87" t="s"/>
      <c r="Y233" s="87" t="s"/>
      <c r="Z233" s="87" t="s"/>
    </row>
    <row r="234" spans="1:26" s="270" customFormat="true" ht="15.75" customHeight="true">
      <c r="A234" s="80">
        <v>46056</v>
      </c>
      <c r="B234" s="71">
        <f>=TODAY()-A234+1</f>
        <v>169</v>
      </c>
      <c r="C234" s="64" t="s">
        <v>110</v>
      </c>
      <c r="D234" s="64" t="s">
        <v>109</v>
      </c>
      <c r="E234" s="64" t="s">
        <v>806</v>
      </c>
      <c r="F234" s="64" t="s"/>
      <c r="G234" s="64" t="s">
        <v>804</v>
      </c>
      <c r="H234" s="64" t="s">
        <v>429</v>
      </c>
      <c r="I234" s="64" t="s">
        <v>807</v>
      </c>
      <c r="J234" s="64">
        <v>12000</v>
      </c>
      <c r="K234" s="64" t="s"/>
      <c r="L234" s="64">
        <v>17</v>
      </c>
      <c r="M234" s="112">
        <f>=J234*L234</f>
        <v>204000</v>
      </c>
      <c r="N234" s="71">
        <v>2.5</v>
      </c>
      <c r="O234" s="189">
        <f>=ROUND(IF((TODAY()-A234+1)*N234*(L234/10000)+L234&lt;L234*1.002,L234*1.002,(TODAY()-A234+1)*N234*(L234/10000)+L234),2)</f>
        <v>17.72</v>
      </c>
      <c r="P234" s="71">
        <v>12000</v>
      </c>
      <c r="Q234" s="71">
        <f>=J234-P234</f>
        <v>0</v>
      </c>
      <c r="R234" s="71">
        <v>12000</v>
      </c>
      <c r="S234" s="112">
        <f>=P234-R234</f>
        <v>0</v>
      </c>
      <c r="T234" s="71">
        <f>=S234*L234</f>
        <v>0</v>
      </c>
      <c r="U234" s="190">
        <f>=J234-P234</f>
        <v>0</v>
      </c>
      <c r="V234" s="87" t="s"/>
      <c r="W234" s="87" t="s"/>
      <c r="X234" s="87" t="s"/>
      <c r="Y234" s="87" t="s"/>
      <c r="Z234" s="87" t="s"/>
    </row>
    <row r="235" spans="1:26" s="270" customFormat="true" ht="15.75" customHeight="true">
      <c r="A235" s="80">
        <v>46056</v>
      </c>
      <c r="B235" s="71">
        <f>=TODAY()-A235+1</f>
        <v>169</v>
      </c>
      <c r="C235" s="64" t="s">
        <v>110</v>
      </c>
      <c r="D235" s="64" t="s">
        <v>109</v>
      </c>
      <c r="E235" s="64" t="s">
        <v>808</v>
      </c>
      <c r="F235" s="64" t="s"/>
      <c r="G235" s="64" t="s">
        <v>804</v>
      </c>
      <c r="H235" s="64" t="s">
        <v>429</v>
      </c>
      <c r="I235" s="64" t="s">
        <v>809</v>
      </c>
      <c r="J235" s="64">
        <v>11000</v>
      </c>
      <c r="K235" s="64" t="s"/>
      <c r="L235" s="64">
        <v>17</v>
      </c>
      <c r="M235" s="112">
        <f>=J235*L235</f>
        <v>187000</v>
      </c>
      <c r="N235" s="71">
        <v>2.5</v>
      </c>
      <c r="O235" s="189">
        <f>=ROUND(IF((TODAY()-A235+1)*N235*(L235/10000)+L235&lt;L235*1.002,L235*1.002,(TODAY()-A235+1)*N235*(L235/10000)+L235),2)</f>
        <v>17.72</v>
      </c>
      <c r="P235" s="71">
        <v>11000</v>
      </c>
      <c r="Q235" s="71">
        <f>=J235-P235</f>
        <v>0</v>
      </c>
      <c r="R235" s="71">
        <v>11000</v>
      </c>
      <c r="S235" s="112">
        <f>=P235-R235</f>
        <v>0</v>
      </c>
      <c r="T235" s="71">
        <f>=S235*L235</f>
        <v>0</v>
      </c>
      <c r="U235" s="190">
        <f>=J235-P235</f>
        <v>0</v>
      </c>
      <c r="V235" s="87" t="s"/>
      <c r="W235" s="87" t="s"/>
      <c r="X235" s="87" t="s"/>
      <c r="Y235" s="87" t="s"/>
      <c r="Z235" s="87" t="s"/>
    </row>
    <row r="236" spans="1:26" s="270" customFormat="true" ht="15.75" customHeight="true">
      <c r="A236" s="80">
        <v>46056</v>
      </c>
      <c r="B236" s="71">
        <f>=TODAY()-A236+1</f>
        <v>169</v>
      </c>
      <c r="C236" s="64" t="s">
        <v>110</v>
      </c>
      <c r="D236" s="64" t="s">
        <v>109</v>
      </c>
      <c r="E236" s="64" t="s">
        <v>810</v>
      </c>
      <c r="F236" s="64" t="s"/>
      <c r="G236" s="64" t="s">
        <v>804</v>
      </c>
      <c r="H236" s="64" t="s">
        <v>429</v>
      </c>
      <c r="I236" s="64" t="s">
        <v>811</v>
      </c>
      <c r="J236" s="64">
        <v>5000</v>
      </c>
      <c r="K236" s="64" t="s"/>
      <c r="L236" s="64">
        <v>17</v>
      </c>
      <c r="M236" s="112">
        <f>=J236*L236</f>
        <v>85000</v>
      </c>
      <c r="N236" s="71">
        <v>2.5</v>
      </c>
      <c r="O236" s="189">
        <f>=ROUND(IF((TODAY()-A236+1)*N236*(L236/10000)+L236&lt;L236*1.002,L236*1.002,(TODAY()-A236+1)*N236*(L236/10000)+L236),2)</f>
        <v>17.72</v>
      </c>
      <c r="P236" s="71">
        <v>5000</v>
      </c>
      <c r="Q236" s="71">
        <f>=J236-P236</f>
        <v>0</v>
      </c>
      <c r="R236" s="71">
        <v>5000</v>
      </c>
      <c r="S236" s="112">
        <f>=P236-R236</f>
        <v>0</v>
      </c>
      <c r="T236" s="71">
        <f>=S236*L236</f>
        <v>0</v>
      </c>
      <c r="U236" s="190">
        <f>=J236-P236</f>
        <v>0</v>
      </c>
      <c r="V236" s="87" t="s"/>
      <c r="W236" s="87" t="s"/>
      <c r="X236" s="87" t="s"/>
      <c r="Y236" s="87" t="s"/>
      <c r="Z236" s="87" t="s"/>
    </row>
    <row r="237" spans="1:26" s="270" customFormat="true" ht="15.75" customHeight="true">
      <c r="A237" s="80">
        <v>46056</v>
      </c>
      <c r="B237" s="71">
        <f>=TODAY()-A237+1</f>
        <v>169</v>
      </c>
      <c r="C237" s="64" t="s">
        <v>110</v>
      </c>
      <c r="D237" s="64" t="s">
        <v>109</v>
      </c>
      <c r="E237" s="64" t="s">
        <v>812</v>
      </c>
      <c r="F237" s="64" t="s"/>
      <c r="G237" s="64" t="s">
        <v>804</v>
      </c>
      <c r="H237" s="64" t="s">
        <v>429</v>
      </c>
      <c r="I237" s="64" t="s">
        <v>813</v>
      </c>
      <c r="J237" s="64">
        <v>3000</v>
      </c>
      <c r="K237" s="64" t="s"/>
      <c r="L237" s="64">
        <v>17</v>
      </c>
      <c r="M237" s="112">
        <f>=J237*L237</f>
        <v>51000</v>
      </c>
      <c r="N237" s="71">
        <v>2.5</v>
      </c>
      <c r="O237" s="189">
        <f>=ROUND(IF((TODAY()-A237+1)*N237*(L237/10000)+L237&lt;L237*1.002,L237*1.002,(TODAY()-A237+1)*N237*(L237/10000)+L237),2)</f>
        <v>17.72</v>
      </c>
      <c r="P237" s="71">
        <v>3000</v>
      </c>
      <c r="Q237" s="71">
        <f>=J237-P237</f>
        <v>0</v>
      </c>
      <c r="R237" s="71">
        <v>3000</v>
      </c>
      <c r="S237" s="112">
        <f>=P237-R237</f>
        <v>0</v>
      </c>
      <c r="T237" s="71">
        <f>=S237*L237</f>
        <v>0</v>
      </c>
      <c r="U237" s="190">
        <f>=J237-P237</f>
        <v>0</v>
      </c>
      <c r="V237" s="87" t="s"/>
      <c r="W237" s="87" t="s"/>
      <c r="X237" s="87" t="s"/>
      <c r="Y237" s="87" t="s"/>
      <c r="Z237" s="87" t="s"/>
    </row>
    <row r="238" spans="1:26" s="270" customFormat="true" ht="15.75" customHeight="true">
      <c r="A238" s="80">
        <v>46056</v>
      </c>
      <c r="B238" s="71">
        <f>=TODAY()-A238+1</f>
        <v>169</v>
      </c>
      <c r="C238" s="64" t="s">
        <v>110</v>
      </c>
      <c r="D238" s="64" t="s">
        <v>109</v>
      </c>
      <c r="E238" s="64" t="s">
        <v>814</v>
      </c>
      <c r="F238" s="64" t="s"/>
      <c r="G238" s="64" t="s">
        <v>804</v>
      </c>
      <c r="H238" s="64" t="s">
        <v>429</v>
      </c>
      <c r="I238" s="64" t="s">
        <v>815</v>
      </c>
      <c r="J238" s="64">
        <v>2100</v>
      </c>
      <c r="K238" s="64" t="s"/>
      <c r="L238" s="64">
        <v>31</v>
      </c>
      <c r="M238" s="112">
        <f>=J238*L238</f>
        <v>65100</v>
      </c>
      <c r="N238" s="71">
        <v>2.5</v>
      </c>
      <c r="O238" s="189">
        <f>=ROUND(IF((TODAY()-A238+1)*N238*(L238/10000)+L238&lt;L238*1.002,L238*1.002,(TODAY()-A238+1)*N238*(L238/10000)+L238),2)</f>
        <v>32.32</v>
      </c>
      <c r="P238" s="71">
        <v>2100</v>
      </c>
      <c r="Q238" s="71">
        <f>=J238-P238</f>
        <v>0</v>
      </c>
      <c r="R238" s="71">
        <v>2100</v>
      </c>
      <c r="S238" s="112">
        <f>=P238-R238</f>
        <v>0</v>
      </c>
      <c r="T238" s="71">
        <f>=S238*L238</f>
        <v>0</v>
      </c>
      <c r="U238" s="190">
        <f>=J238-P238</f>
        <v>0</v>
      </c>
      <c r="V238" s="87" t="s"/>
      <c r="W238" s="87" t="s"/>
      <c r="X238" s="87" t="s"/>
      <c r="Y238" s="87" t="s"/>
      <c r="Z238" s="87" t="s"/>
    </row>
    <row r="239" spans="1:26" s="270" customFormat="true" ht="15.75" customHeight="true">
      <c r="A239" s="80">
        <v>46057</v>
      </c>
      <c r="B239" s="71">
        <f>=TODAY()-A239+1</f>
        <v>168</v>
      </c>
      <c r="C239" s="64" t="s">
        <v>113</v>
      </c>
      <c r="D239" s="64" t="s">
        <v>60</v>
      </c>
      <c r="E239" s="64" t="s"/>
      <c r="F239" s="64" t="s"/>
      <c r="G239" s="64" t="s">
        <v>428</v>
      </c>
      <c r="H239" s="64" t="s">
        <v>422</v>
      </c>
      <c r="I239" s="64" t="s">
        <v>816</v>
      </c>
      <c r="J239" s="64">
        <v>100</v>
      </c>
      <c r="K239" s="64" t="s"/>
      <c r="L239" s="64">
        <v>2000</v>
      </c>
      <c r="M239" s="197">
        <f>=J239*L239</f>
        <v>200000</v>
      </c>
      <c r="N239" s="64">
        <v>3</v>
      </c>
      <c r="O239" s="189">
        <f>=ROUND(IF((TODAY()-A239+1)*N239*(L239/10000)+L239&lt;L239*1.002,L239*1.002,(TODAY()-A239+1)*N239*(L239/10000)+L239),2)</f>
        <v>2101.4</v>
      </c>
      <c r="P239" s="64">
        <v>100</v>
      </c>
      <c r="Q239" s="64">
        <f>=J239-P239</f>
        <v>0</v>
      </c>
      <c r="R239" s="64">
        <v>100</v>
      </c>
      <c r="S239" s="197">
        <f>=P239-R239</f>
        <v>0</v>
      </c>
      <c r="T239" s="71">
        <f>=S239*L239</f>
        <v>0</v>
      </c>
      <c r="U239" s="190">
        <f>=J239-P239</f>
        <v>0</v>
      </c>
      <c r="V239" s="87" t="s"/>
      <c r="W239" s="87" t="s"/>
      <c r="X239" s="87" t="s"/>
      <c r="Y239" s="87" t="s"/>
      <c r="Z239" s="87" t="s"/>
    </row>
    <row r="240" spans="1:26" s="218" customFormat="true" ht="15.75" customHeight="true">
      <c r="A240" s="98">
        <v>46057</v>
      </c>
      <c r="B240" s="71">
        <f>=TODAY()-A240+1</f>
        <v>168</v>
      </c>
      <c r="C240" s="71" t="s">
        <v>117</v>
      </c>
      <c r="D240" s="64" t="s">
        <v>116</v>
      </c>
      <c r="E240" s="213" t="s">
        <v>817</v>
      </c>
      <c r="F240" s="214" t="s">
        <v>818</v>
      </c>
      <c r="G240" s="71" t="s">
        <v>804</v>
      </c>
      <c r="H240" s="71" t="s">
        <v>429</v>
      </c>
      <c r="I240" s="71" t="s">
        <v>819</v>
      </c>
      <c r="J240" s="71">
        <v>2400</v>
      </c>
      <c r="K240" s="71" t="s"/>
      <c r="L240" s="71">
        <v>55</v>
      </c>
      <c r="M240" s="112">
        <f>=J240*L240</f>
        <v>132000</v>
      </c>
      <c r="N240" s="71">
        <v>2.6</v>
      </c>
      <c r="O240" s="189">
        <f>=ROUND(IF((TODAY()-A240+1)*N240*(L240/10000)+L240&lt;L240*1.002,L240*1.002,(TODAY()-A240+1)*N240*(L240/10000)+L240),2)</f>
        <v>57.42</v>
      </c>
      <c r="P240" s="71">
        <v>2400</v>
      </c>
      <c r="Q240" s="71">
        <f>=J240-P240</f>
        <v>0</v>
      </c>
      <c r="R240" s="71">
        <v>2400</v>
      </c>
      <c r="S240" s="112">
        <f>=P240-R240</f>
        <v>0</v>
      </c>
      <c r="T240" s="71">
        <f>=S240*L240</f>
        <v>0</v>
      </c>
      <c r="U240" s="190">
        <f>=J240-P240</f>
        <v>0</v>
      </c>
      <c r="V240" s="190" t="s"/>
      <c r="W240" s="190" t="s"/>
      <c r="X240" s="190" t="s"/>
      <c r="Y240" s="190" t="s"/>
      <c r="Z240" s="190" t="s"/>
    </row>
    <row r="241" spans="1:26" s="218" customFormat="true" ht="15.75" customHeight="true">
      <c r="A241" s="98">
        <v>46058</v>
      </c>
      <c r="B241" s="71">
        <f>=TODAY()-A241+1</f>
        <v>167</v>
      </c>
      <c r="C241" s="71" t="s">
        <v>118</v>
      </c>
      <c r="D241" s="64" t="s">
        <v>116</v>
      </c>
      <c r="E241" s="213" t="s">
        <v>820</v>
      </c>
      <c r="F241" s="214" t="s">
        <v>818</v>
      </c>
      <c r="G241" s="71" t="s">
        <v>804</v>
      </c>
      <c r="H241" s="71" t="s">
        <v>429</v>
      </c>
      <c r="I241" s="71" t="s">
        <v>821</v>
      </c>
      <c r="J241" s="71">
        <v>4620</v>
      </c>
      <c r="K241" s="71" t="s"/>
      <c r="L241" s="71">
        <v>55</v>
      </c>
      <c r="M241" s="112">
        <f>=J241*L241</f>
        <v>254100</v>
      </c>
      <c r="N241" s="71">
        <v>2.6</v>
      </c>
      <c r="O241" s="189">
        <f>=ROUND(IF((TODAY()-A241+1)*N241*(L241/10000)+L241&lt;L241*1.002,L241*1.002,(TODAY()-A241+1)*N241*(L241/10000)+L241),2)</f>
        <v>57.4</v>
      </c>
      <c r="P241" s="71">
        <v>4620</v>
      </c>
      <c r="Q241" s="71">
        <f>=J241-P241</f>
        <v>0</v>
      </c>
      <c r="R241" s="71">
        <v>4620</v>
      </c>
      <c r="S241" s="112">
        <f>=P241-R241</f>
        <v>0</v>
      </c>
      <c r="T241" s="71">
        <f>=S241*L241</f>
        <v>0</v>
      </c>
      <c r="U241" s="190">
        <f>=J241-P241</f>
        <v>0</v>
      </c>
      <c r="V241" s="190" t="s"/>
      <c r="W241" s="190" t="s"/>
      <c r="X241" s="190" t="s"/>
      <c r="Y241" s="190" t="s"/>
      <c r="Z241" s="190" t="s"/>
    </row>
    <row r="242" spans="1:26" s="218" customFormat="true" ht="15.75" customHeight="true">
      <c r="A242" s="98">
        <v>46058</v>
      </c>
      <c r="B242" s="71">
        <f>=TODAY()-A242+1</f>
        <v>167</v>
      </c>
      <c r="C242" s="71" t="s">
        <v>118</v>
      </c>
      <c r="D242" s="64" t="s">
        <v>116</v>
      </c>
      <c r="E242" s="71" t="s">
        <v>37</v>
      </c>
      <c r="F242" s="214" t="s">
        <v>818</v>
      </c>
      <c r="G242" s="71" t="s">
        <v>804</v>
      </c>
      <c r="H242" s="71" t="s">
        <v>429</v>
      </c>
      <c r="I242" s="71" t="s">
        <v>822</v>
      </c>
      <c r="J242" s="71">
        <v>2292</v>
      </c>
      <c r="K242" s="71" t="s"/>
      <c r="L242" s="71">
        <v>105</v>
      </c>
      <c r="M242" s="112">
        <f>=J242*L242</f>
        <v>240660</v>
      </c>
      <c r="N242" s="71">
        <v>2.6</v>
      </c>
      <c r="O242" s="189">
        <f>=ROUND(IF((TODAY()-A242+1)*N242*(L242/10000)+L242&lt;L242*1.002,L242*1.002,(TODAY()-A242+1)*N242*(L242/10000)+L242),2)</f>
        <v>109.59</v>
      </c>
      <c r="P242" s="71">
        <v>2292</v>
      </c>
      <c r="Q242" s="71">
        <f>=J242-P242</f>
        <v>0</v>
      </c>
      <c r="R242" s="71">
        <v>2292</v>
      </c>
      <c r="S242" s="112">
        <f>=P242-R242</f>
        <v>0</v>
      </c>
      <c r="T242" s="71">
        <f>=S242*L242</f>
        <v>0</v>
      </c>
      <c r="U242" s="190">
        <f>=J242-P242</f>
        <v>0</v>
      </c>
      <c r="V242" s="190" t="s"/>
      <c r="W242" s="190" t="s"/>
      <c r="X242" s="190" t="s"/>
      <c r="Y242" s="190" t="s"/>
      <c r="Z242" s="190" t="s"/>
    </row>
    <row r="243" spans="1:26" s="218" customFormat="true" ht="15.75" customHeight="true">
      <c r="A243" s="98">
        <v>46058</v>
      </c>
      <c r="B243" s="71">
        <f>=TODAY()-A243+1</f>
        <v>167</v>
      </c>
      <c r="C243" s="71" t="s">
        <v>118</v>
      </c>
      <c r="D243" s="64" t="s">
        <v>116</v>
      </c>
      <c r="E243" s="108" t="s">
        <v>823</v>
      </c>
      <c r="F243" s="214" t="s">
        <v>818</v>
      </c>
      <c r="G243" s="71" t="s">
        <v>804</v>
      </c>
      <c r="H243" s="71" t="s">
        <v>429</v>
      </c>
      <c r="I243" s="71" t="s">
        <v>824</v>
      </c>
      <c r="J243" s="71">
        <v>564</v>
      </c>
      <c r="K243" s="71" t="s"/>
      <c r="L243" s="71">
        <v>115</v>
      </c>
      <c r="M243" s="112">
        <f>=J243*L243</f>
        <v>64860</v>
      </c>
      <c r="N243" s="71">
        <v>2.6</v>
      </c>
      <c r="O243" s="189">
        <f>=ROUND(IF((TODAY()-A243+1)*N243*(L243/10000)+L243&lt;L243*1.002,L243*1.002,(TODAY()-A243+1)*N243*(L243/10000)+L243),2)</f>
        <v>120.02</v>
      </c>
      <c r="P243" s="71">
        <v>564</v>
      </c>
      <c r="Q243" s="71">
        <f>=J243-P243</f>
        <v>0</v>
      </c>
      <c r="R243" s="71">
        <v>564</v>
      </c>
      <c r="S243" s="112">
        <f>=P243-R243</f>
        <v>0</v>
      </c>
      <c r="T243" s="71">
        <f>=S243*L243</f>
        <v>0</v>
      </c>
      <c r="U243" s="190">
        <f>=J243-P243</f>
        <v>0</v>
      </c>
      <c r="V243" s="190" t="s"/>
      <c r="W243" s="190" t="s"/>
      <c r="X243" s="190" t="s"/>
      <c r="Y243" s="190" t="s"/>
      <c r="Z243" s="190" t="s"/>
    </row>
    <row r="244" spans="1:26" s="218" customFormat="true" ht="15.75" customHeight="true">
      <c r="A244" s="98">
        <v>46058</v>
      </c>
      <c r="B244" s="71">
        <f>=TODAY()-A244+1</f>
        <v>167</v>
      </c>
      <c r="C244" s="71" t="s">
        <v>118</v>
      </c>
      <c r="D244" s="64" t="s">
        <v>116</v>
      </c>
      <c r="E244" s="213" t="s">
        <v>825</v>
      </c>
      <c r="F244" s="214" t="s">
        <v>818</v>
      </c>
      <c r="G244" s="71" t="s">
        <v>804</v>
      </c>
      <c r="H244" s="71" t="s">
        <v>429</v>
      </c>
      <c r="I244" s="71" t="s">
        <v>826</v>
      </c>
      <c r="J244" s="71">
        <v>5300</v>
      </c>
      <c r="K244" s="71" t="s"/>
      <c r="L244" s="71">
        <v>55</v>
      </c>
      <c r="M244" s="112">
        <f>=J244*L244</f>
        <v>291500</v>
      </c>
      <c r="N244" s="71">
        <v>2.6</v>
      </c>
      <c r="O244" s="189">
        <f>=ROUND(IF((TODAY()-A244+1)*N244*(L244/10000)+L244&lt;L244*1.002,L244*1.002,(TODAY()-A244+1)*N244*(L244/10000)+L244),2)</f>
        <v>57.4</v>
      </c>
      <c r="P244" s="71">
        <v>5300</v>
      </c>
      <c r="Q244" s="71">
        <f>=J244-P244</f>
        <v>0</v>
      </c>
      <c r="R244" s="71">
        <v>5300</v>
      </c>
      <c r="S244" s="112">
        <f>=P244-R244</f>
        <v>0</v>
      </c>
      <c r="T244" s="71">
        <f>=S244*L244</f>
        <v>0</v>
      </c>
      <c r="U244" s="190">
        <f>=J244-P244</f>
        <v>0</v>
      </c>
      <c r="V244" s="190" t="s"/>
      <c r="W244" s="190" t="s"/>
      <c r="X244" s="190" t="s"/>
      <c r="Y244" s="190" t="s"/>
      <c r="Z244" s="190" t="s"/>
    </row>
    <row r="245" spans="1:26" s="218" customFormat="true" ht="15.75" customHeight="true">
      <c r="A245" s="98">
        <v>46058</v>
      </c>
      <c r="B245" s="71">
        <f>=TODAY()-A245+1</f>
        <v>167</v>
      </c>
      <c r="C245" s="71" t="s">
        <v>118</v>
      </c>
      <c r="D245" s="64" t="s">
        <v>116</v>
      </c>
      <c r="E245" s="213" t="s">
        <v>827</v>
      </c>
      <c r="F245" s="214" t="s">
        <v>818</v>
      </c>
      <c r="G245" s="71" t="s">
        <v>804</v>
      </c>
      <c r="H245" s="71" t="s">
        <v>429</v>
      </c>
      <c r="I245" s="71" t="s">
        <v>828</v>
      </c>
      <c r="J245" s="71">
        <v>6266</v>
      </c>
      <c r="K245" s="71" t="s"/>
      <c r="L245" s="71">
        <v>159.2</v>
      </c>
      <c r="M245" s="112">
        <f>=J245*L245</f>
        <v>997547.2</v>
      </c>
      <c r="N245" s="71">
        <v>2.6</v>
      </c>
      <c r="O245" s="189">
        <f>=ROUND(IF((TODAY()-A245+1)*N245*(L245/10000)+L245&lt;L245*1.002,L245*1.002,(TODAY()-A245+1)*N245*(L245/10000)+L245),2)</f>
        <v>166.15</v>
      </c>
      <c r="P245" s="71">
        <v>6266</v>
      </c>
      <c r="Q245" s="71">
        <f>=J245-P245</f>
        <v>0</v>
      </c>
      <c r="R245" s="71">
        <v>6266</v>
      </c>
      <c r="S245" s="112">
        <f>=P245-R245</f>
        <v>0</v>
      </c>
      <c r="T245" s="71">
        <f>=S245*L245</f>
        <v>0</v>
      </c>
      <c r="U245" s="190">
        <f>=J245-P245</f>
        <v>0</v>
      </c>
      <c r="V245" s="190" t="s"/>
      <c r="W245" s="190" t="s"/>
      <c r="X245" s="190" t="s"/>
      <c r="Y245" s="190" t="s"/>
      <c r="Z245" s="190" t="s"/>
    </row>
    <row r="246" spans="1:26" s="218" customFormat="true" ht="15.75" customHeight="true">
      <c r="A246" s="98">
        <v>46059</v>
      </c>
      <c r="B246" s="71">
        <f>=TODAY()-A246+1</f>
        <v>166</v>
      </c>
      <c r="C246" s="71" t="s">
        <v>119</v>
      </c>
      <c r="D246" s="64" t="s">
        <v>116</v>
      </c>
      <c r="E246" s="213" t="s">
        <v>829</v>
      </c>
      <c r="F246" s="214" t="s">
        <v>818</v>
      </c>
      <c r="G246" s="71" t="s">
        <v>804</v>
      </c>
      <c r="H246" s="71" t="s">
        <v>429</v>
      </c>
      <c r="I246" s="71" t="s">
        <v>824</v>
      </c>
      <c r="J246" s="71">
        <v>4499</v>
      </c>
      <c r="K246" s="71" t="s"/>
      <c r="L246" s="71">
        <v>57</v>
      </c>
      <c r="M246" s="112">
        <f>=J246*L246</f>
        <v>256443</v>
      </c>
      <c r="N246" s="71">
        <v>2.6</v>
      </c>
      <c r="O246" s="189">
        <f>=ROUND(IF((TODAY()-A246+1)*N246*(L246/10000)+L246&lt;L246*1.002,L246*1.002,(TODAY()-A246+1)*N246*(L246/10000)+L246),2)</f>
        <v>59.47</v>
      </c>
      <c r="P246" s="71">
        <v>4499</v>
      </c>
      <c r="Q246" s="71">
        <f>=J246-P246</f>
        <v>0</v>
      </c>
      <c r="R246" s="71">
        <v>4499</v>
      </c>
      <c r="S246" s="112">
        <f>=P246-R246</f>
        <v>0</v>
      </c>
      <c r="T246" s="71">
        <f>=S246*L246</f>
        <v>0</v>
      </c>
      <c r="U246" s="190">
        <f>=J246-P246</f>
        <v>0</v>
      </c>
      <c r="V246" s="190" t="s"/>
      <c r="W246" s="190" t="s"/>
      <c r="X246" s="190" t="s"/>
      <c r="Y246" s="190" t="s"/>
      <c r="Z246" s="190" t="s"/>
    </row>
    <row r="247" spans="1:26" s="218" customFormat="true" ht="15.75" customHeight="true">
      <c r="A247" s="98">
        <v>46059</v>
      </c>
      <c r="B247" s="71">
        <f>=TODAY()-A247+1</f>
        <v>166</v>
      </c>
      <c r="C247" s="71" t="s">
        <v>122</v>
      </c>
      <c r="D247" s="71" t="s">
        <v>121</v>
      </c>
      <c r="E247" s="108" t="s">
        <v>830</v>
      </c>
      <c r="F247" s="71" t="s"/>
      <c r="G247" s="71" t="s">
        <v>428</v>
      </c>
      <c r="H247" s="71" t="s">
        <v>422</v>
      </c>
      <c r="I247" s="71" t="s">
        <v>831</v>
      </c>
      <c r="J247" s="71">
        <v>800</v>
      </c>
      <c r="K247" s="71" t="s"/>
      <c r="L247" s="71">
        <v>984</v>
      </c>
      <c r="M247" s="112">
        <f>=J247*L247</f>
        <v>787200</v>
      </c>
      <c r="N247" s="71">
        <v>2.6</v>
      </c>
      <c r="O247" s="189">
        <f>=ROUND(IF((TODAY()-A247+1)*N247*(L247/10000)+L247&lt;L247*1.002,L247*1.002,(TODAY()-A247+1)*N247*(L247/10000)+L247),2)</f>
        <v>1026.73</v>
      </c>
      <c r="P247" s="71">
        <v>800</v>
      </c>
      <c r="Q247" s="71">
        <f>=J247-P247</f>
        <v>0</v>
      </c>
      <c r="R247" s="71">
        <v>800</v>
      </c>
      <c r="S247" s="112">
        <f>=P247-R247</f>
        <v>0</v>
      </c>
      <c r="T247" s="71">
        <f>=S247*L247</f>
        <v>0</v>
      </c>
      <c r="U247" s="190">
        <f>=J247-P247</f>
        <v>0</v>
      </c>
      <c r="V247" s="190" t="s"/>
      <c r="W247" s="190" t="s"/>
      <c r="X247" s="190" t="s"/>
      <c r="Y247" s="190" t="s"/>
      <c r="Z247" s="190" t="s"/>
    </row>
    <row r="248" spans="1:26" s="218" customFormat="true" ht="15.75" customHeight="true">
      <c r="A248" s="98">
        <v>46059</v>
      </c>
      <c r="B248" s="71">
        <f>=TODAY()-A248+1</f>
        <v>166</v>
      </c>
      <c r="C248" s="71" t="s">
        <v>122</v>
      </c>
      <c r="D248" s="71" t="s">
        <v>121</v>
      </c>
      <c r="E248" s="108" t="s">
        <v>832</v>
      </c>
      <c r="F248" s="71" t="s"/>
      <c r="G248" s="71" t="s">
        <v>428</v>
      </c>
      <c r="H248" s="71" t="s">
        <v>422</v>
      </c>
      <c r="I248" s="71" t="s">
        <v>833</v>
      </c>
      <c r="J248" s="215">
        <v>2450</v>
      </c>
      <c r="K248" s="71" t="s"/>
      <c r="L248" s="71">
        <v>984</v>
      </c>
      <c r="M248" s="112">
        <f>=J248*L248</f>
        <v>2410800</v>
      </c>
      <c r="N248" s="71">
        <v>2.6</v>
      </c>
      <c r="O248" s="189">
        <f>=ROUND(IF((TODAY()-A248+1)*N248*(L248/10000)+L248&lt;L248*1.002,L248*1.002,(TODAY()-A248+1)*N248*(L248/10000)+L248),2)</f>
        <v>1026.73</v>
      </c>
      <c r="P248" s="71">
        <v>2450</v>
      </c>
      <c r="Q248" s="71">
        <f>=J248-P248</f>
        <v>0</v>
      </c>
      <c r="R248" s="71">
        <v>2450</v>
      </c>
      <c r="S248" s="112">
        <f>=P248-R248</f>
        <v>0</v>
      </c>
      <c r="T248" s="71">
        <f>=S248*L248</f>
        <v>0</v>
      </c>
      <c r="U248" s="190">
        <f>=J248-P248</f>
        <v>0</v>
      </c>
      <c r="V248" s="190" t="s"/>
      <c r="W248" s="190" t="s"/>
      <c r="X248" s="190" t="s"/>
      <c r="Y248" s="190" t="s"/>
      <c r="Z248" s="190" t="s"/>
    </row>
    <row r="249" spans="1:26" s="218" customFormat="true" ht="15.75" customHeight="true">
      <c r="A249" s="98">
        <v>46059</v>
      </c>
      <c r="B249" s="71">
        <f>=TODAY()-A249+1</f>
        <v>166</v>
      </c>
      <c r="C249" s="71" t="s">
        <v>122</v>
      </c>
      <c r="D249" s="71" t="s">
        <v>121</v>
      </c>
      <c r="E249" s="108" t="s">
        <v>834</v>
      </c>
      <c r="F249" s="71" t="s"/>
      <c r="G249" s="71" t="s">
        <v>428</v>
      </c>
      <c r="H249" s="71" t="s">
        <v>422</v>
      </c>
      <c r="I249" s="71" t="s">
        <v>835</v>
      </c>
      <c r="J249" s="71">
        <v>400</v>
      </c>
      <c r="K249" s="71" t="s"/>
      <c r="L249" s="71">
        <v>984</v>
      </c>
      <c r="M249" s="112">
        <f>=J249*L249</f>
        <v>393600</v>
      </c>
      <c r="N249" s="71">
        <v>2.6</v>
      </c>
      <c r="O249" s="189">
        <f>=ROUND(IF((TODAY()-A249+1)*N249*(L249/10000)+L249&lt;L249*1.002,L249*1.002,(TODAY()-A249+1)*N249*(L249/10000)+L249),2)</f>
        <v>1026.73</v>
      </c>
      <c r="P249" s="71">
        <v>400</v>
      </c>
      <c r="Q249" s="71">
        <f>=J249-P249</f>
        <v>0</v>
      </c>
      <c r="R249" s="71">
        <v>400</v>
      </c>
      <c r="S249" s="112">
        <f>=P249-R249</f>
        <v>0</v>
      </c>
      <c r="T249" s="71">
        <f>=S249*L249</f>
        <v>0</v>
      </c>
      <c r="U249" s="190">
        <f>=J249-P249</f>
        <v>0</v>
      </c>
      <c r="V249" s="190" t="s"/>
      <c r="W249" s="190" t="s"/>
      <c r="X249" s="190" t="s"/>
      <c r="Y249" s="190" t="s"/>
      <c r="Z249" s="190" t="s"/>
    </row>
    <row r="250" spans="1:26" s="218" customFormat="true" ht="15.75" customHeight="true">
      <c r="A250" s="98">
        <v>46059</v>
      </c>
      <c r="B250" s="71">
        <f>=TODAY()-A250+1</f>
        <v>166</v>
      </c>
      <c r="C250" s="71" t="s">
        <v>122</v>
      </c>
      <c r="D250" s="71" t="s">
        <v>121</v>
      </c>
      <c r="E250" s="108" t="s">
        <v>836</v>
      </c>
      <c r="F250" s="71" t="s"/>
      <c r="G250" s="71" t="s">
        <v>428</v>
      </c>
      <c r="H250" s="71" t="s">
        <v>422</v>
      </c>
      <c r="I250" s="71" t="s">
        <v>837</v>
      </c>
      <c r="J250" s="215">
        <v>2650</v>
      </c>
      <c r="K250" s="71" t="s"/>
      <c r="L250" s="71">
        <v>820</v>
      </c>
      <c r="M250" s="112">
        <f>=J250*L250</f>
        <v>2173000</v>
      </c>
      <c r="N250" s="71">
        <v>2.6</v>
      </c>
      <c r="O250" s="189">
        <f>=ROUND(IF((TODAY()-A250+1)*N250*(L250/10000)+L250&lt;L250*1.002,L250*1.002,(TODAY()-A250+1)*N250*(L250/10000)+L250),2)</f>
        <v>855.6</v>
      </c>
      <c r="P250" s="71">
        <v>2650</v>
      </c>
      <c r="Q250" s="71">
        <f>=J250-P250</f>
        <v>0</v>
      </c>
      <c r="R250" s="71">
        <v>2650</v>
      </c>
      <c r="S250" s="112">
        <f>=P250-R250</f>
        <v>0</v>
      </c>
      <c r="T250" s="71">
        <f>=S250*L250</f>
        <v>0</v>
      </c>
      <c r="U250" s="190">
        <f>=J250-P250</f>
        <v>0</v>
      </c>
      <c r="V250" s="190" t="s"/>
      <c r="W250" s="190" t="s"/>
      <c r="X250" s="190" t="s"/>
      <c r="Y250" s="190" t="s"/>
      <c r="Z250" s="190" t="s"/>
    </row>
    <row r="251" spans="1:26" s="218" customFormat="true" ht="15.75" customHeight="true">
      <c r="A251" s="98">
        <v>46059</v>
      </c>
      <c r="B251" s="71">
        <f>=TODAY()-A251+1</f>
        <v>166</v>
      </c>
      <c r="C251" s="71" t="s">
        <v>122</v>
      </c>
      <c r="D251" s="71" t="s">
        <v>121</v>
      </c>
      <c r="E251" s="108" t="s">
        <v>838</v>
      </c>
      <c r="F251" s="71" t="s"/>
      <c r="G251" s="71" t="s">
        <v>428</v>
      </c>
      <c r="H251" s="71" t="s">
        <v>422</v>
      </c>
      <c r="I251" s="71" t="s">
        <v>839</v>
      </c>
      <c r="J251" s="71">
        <v>1400</v>
      </c>
      <c r="K251" s="71" t="s"/>
      <c r="L251" s="71">
        <v>820</v>
      </c>
      <c r="M251" s="112">
        <f>=J251*L251</f>
        <v>1148000</v>
      </c>
      <c r="N251" s="71">
        <v>2.6</v>
      </c>
      <c r="O251" s="189">
        <f>=ROUND(IF((TODAY()-A251+1)*N251*(L251/10000)+L251&lt;L251*1.002,L251*1.002,(TODAY()-A251+1)*N251*(L251/10000)+L251),2)</f>
        <v>855.6</v>
      </c>
      <c r="P251" s="71">
        <v>1400</v>
      </c>
      <c r="Q251" s="71">
        <f>=J251-P251</f>
        <v>0</v>
      </c>
      <c r="R251" s="71">
        <v>1400</v>
      </c>
      <c r="S251" s="112">
        <f>=P251-R251</f>
        <v>0</v>
      </c>
      <c r="T251" s="71">
        <f>=S251*L251</f>
        <v>0</v>
      </c>
      <c r="U251" s="190">
        <f>=J251-P251</f>
        <v>0</v>
      </c>
      <c r="V251" s="190" t="s"/>
      <c r="W251" s="190" t="s"/>
      <c r="X251" s="190" t="s"/>
      <c r="Y251" s="190" t="s"/>
      <c r="Z251" s="190" t="s"/>
    </row>
    <row r="252" spans="1:26" s="218" customFormat="true" ht="15.75" customHeight="true">
      <c r="A252" s="98">
        <v>46059</v>
      </c>
      <c r="B252" s="71">
        <f>=TODAY()-A252+1</f>
        <v>166</v>
      </c>
      <c r="C252" s="71" t="s">
        <v>122</v>
      </c>
      <c r="D252" s="71" t="s">
        <v>121</v>
      </c>
      <c r="E252" s="108" t="s">
        <v>840</v>
      </c>
      <c r="F252" s="71" t="s"/>
      <c r="G252" s="71" t="s">
        <v>428</v>
      </c>
      <c r="H252" s="71" t="s">
        <v>422</v>
      </c>
      <c r="I252" s="71" t="s">
        <v>841</v>
      </c>
      <c r="J252" s="71">
        <v>300</v>
      </c>
      <c r="K252" s="71" t="s"/>
      <c r="L252" s="71">
        <v>820</v>
      </c>
      <c r="M252" s="112">
        <f>=J252*L252</f>
        <v>246000</v>
      </c>
      <c r="N252" s="71">
        <v>2.6</v>
      </c>
      <c r="O252" s="189">
        <f>=ROUND(IF((TODAY()-A252+1)*N252*(L252/10000)+L252&lt;L252*1.002,L252*1.002,(TODAY()-A252+1)*N252*(L252/10000)+L252),2)</f>
        <v>855.6</v>
      </c>
      <c r="P252" s="71">
        <v>300</v>
      </c>
      <c r="Q252" s="71">
        <f>=J252-P252</f>
        <v>0</v>
      </c>
      <c r="R252" s="71">
        <v>300</v>
      </c>
      <c r="S252" s="112">
        <f>=P252-R252</f>
        <v>0</v>
      </c>
      <c r="T252" s="71">
        <f>=S252*L252</f>
        <v>0</v>
      </c>
      <c r="U252" s="190">
        <f>=J252-P252</f>
        <v>0</v>
      </c>
      <c r="V252" s="190" t="s"/>
      <c r="W252" s="190" t="s"/>
      <c r="X252" s="190" t="s"/>
      <c r="Y252" s="190" t="s"/>
      <c r="Z252" s="190" t="s"/>
    </row>
    <row r="253" spans="1:26" s="218" customFormat="true" ht="15.75" customHeight="true">
      <c r="A253" s="98">
        <v>46061</v>
      </c>
      <c r="B253" s="71">
        <f>=TODAY()-A253+1</f>
        <v>164</v>
      </c>
      <c r="C253" s="71" t="s">
        <v>124</v>
      </c>
      <c r="D253" s="64" t="s">
        <v>116</v>
      </c>
      <c r="E253" s="213" t="s">
        <v>842</v>
      </c>
      <c r="F253" s="214" t="s">
        <v>818</v>
      </c>
      <c r="G253" s="71" t="s">
        <v>804</v>
      </c>
      <c r="H253" s="71" t="s">
        <v>429</v>
      </c>
      <c r="I253" s="71" t="s">
        <v>822</v>
      </c>
      <c r="J253" s="71">
        <v>1408</v>
      </c>
      <c r="K253" s="71" t="s"/>
      <c r="L253" s="71">
        <v>57</v>
      </c>
      <c r="M253" s="112">
        <f>=J253*L253</f>
        <v>80256</v>
      </c>
      <c r="N253" s="71">
        <v>2.6</v>
      </c>
      <c r="O253" s="189">
        <f>=ROUND(IF((TODAY()-A253+1)*N253*(L253/10000)+L253&lt;L253*1.002,L253*1.002,(TODAY()-A253+1)*N253*(L253/10000)+L253),2)</f>
        <v>59.45</v>
      </c>
      <c r="P253" s="71">
        <v>1408</v>
      </c>
      <c r="Q253" s="71">
        <f>=J253-P253</f>
        <v>0</v>
      </c>
      <c r="R253" s="71">
        <v>1408</v>
      </c>
      <c r="S253" s="112">
        <f>=P253-R253</f>
        <v>0</v>
      </c>
      <c r="T253" s="71">
        <f>=S253*L253</f>
        <v>0</v>
      </c>
      <c r="U253" s="190">
        <f>=J253-P253</f>
        <v>0</v>
      </c>
      <c r="V253" s="190" t="s"/>
      <c r="W253" s="190" t="s"/>
      <c r="X253" s="190" t="s"/>
      <c r="Y253" s="190" t="s"/>
      <c r="Z253" s="190" t="s"/>
    </row>
    <row r="254" spans="1:21" s="218" customFormat="true" ht="15.75" customHeight="true">
      <c r="A254" s="125">
        <v>46061</v>
      </c>
      <c r="B254" s="71">
        <f>=TODAY()-A254+1</f>
        <v>164</v>
      </c>
      <c r="C254" s="71" t="s">
        <v>125</v>
      </c>
      <c r="D254" s="71" t="s">
        <v>60</v>
      </c>
      <c r="E254" s="112" t="s">
        <v>843</v>
      </c>
      <c r="F254" s="71" t="s"/>
      <c r="G254" s="71" t="s">
        <v>421</v>
      </c>
      <c r="H254" s="71" t="s">
        <v>422</v>
      </c>
      <c r="I254" s="71" t="s">
        <v>844</v>
      </c>
      <c r="J254" s="71">
        <v>358</v>
      </c>
      <c r="K254" s="71" t="s"/>
      <c r="L254" s="71">
        <v>5022</v>
      </c>
      <c r="M254" s="112">
        <f>=J254*L254</f>
        <v>1797876</v>
      </c>
      <c r="N254" s="71">
        <v>2.5</v>
      </c>
      <c r="O254" s="189">
        <f>=ROUND(IF((TODAY()-A254+1)*N254*(L254/10000)+L254&lt;L254*1.002,L254*1.002,(TODAY()-A254+1)*N254*(L254/10000)+L254),2)</f>
        <v>5229.16</v>
      </c>
      <c r="P254" s="71">
        <v>358</v>
      </c>
      <c r="Q254" s="71">
        <f>=J254-P254</f>
        <v>0</v>
      </c>
      <c r="R254" s="216">
        <v>358</v>
      </c>
      <c r="S254" s="112">
        <f>=P254-R254</f>
        <v>0</v>
      </c>
      <c r="T254" s="71">
        <f>=S254*L254</f>
        <v>0</v>
      </c>
      <c r="U254" s="190">
        <f>=J254-P254</f>
        <v>0</v>
      </c>
    </row>
    <row r="255" spans="1:21" s="218" customFormat="true" ht="15.75" customHeight="true">
      <c r="A255" s="125">
        <v>46061</v>
      </c>
      <c r="B255" s="71">
        <f>=TODAY()-A255+1</f>
        <v>164</v>
      </c>
      <c r="C255" s="71" t="s">
        <v>125</v>
      </c>
      <c r="D255" s="71" t="s">
        <v>60</v>
      </c>
      <c r="E255" s="112" t="s">
        <v>843</v>
      </c>
      <c r="F255" s="71" t="s"/>
      <c r="G255" s="71" t="s">
        <v>421</v>
      </c>
      <c r="H255" s="71" t="s">
        <v>422</v>
      </c>
      <c r="I255" s="71" t="s">
        <v>845</v>
      </c>
      <c r="J255" s="71">
        <v>142</v>
      </c>
      <c r="K255" s="71" t="s"/>
      <c r="L255" s="71">
        <v>5022</v>
      </c>
      <c r="M255" s="112">
        <f>=J255*L255</f>
        <v>713124</v>
      </c>
      <c r="N255" s="71">
        <v>2.5</v>
      </c>
      <c r="O255" s="189">
        <f>=ROUND(IF((TODAY()-A255+1)*N255*(L255/10000)+L255&lt;L255*1.002,L255*1.002,(TODAY()-A255+1)*N255*(L255/10000)+L255),2)</f>
        <v>5229.16</v>
      </c>
      <c r="P255" s="71">
        <v>142</v>
      </c>
      <c r="Q255" s="71">
        <f>=J255-P255</f>
        <v>0</v>
      </c>
      <c r="R255" s="216">
        <v>142</v>
      </c>
      <c r="S255" s="112">
        <f>=P255-R255</f>
        <v>0</v>
      </c>
      <c r="T255" s="71">
        <f>=S255*L255</f>
        <v>0</v>
      </c>
      <c r="U255" s="190">
        <f>=J255-P255</f>
        <v>0</v>
      </c>
    </row>
    <row r="256" spans="1:21" s="218" customFormat="true" ht="15.75" customHeight="true">
      <c r="A256" s="125">
        <v>46061</v>
      </c>
      <c r="B256" s="71">
        <f>=TODAY()-A256+1</f>
        <v>164</v>
      </c>
      <c r="C256" s="71" t="s">
        <v>125</v>
      </c>
      <c r="D256" s="71" t="s">
        <v>60</v>
      </c>
      <c r="E256" s="112" t="s">
        <v>843</v>
      </c>
      <c r="F256" s="71" t="s"/>
      <c r="G256" s="71" t="s">
        <v>421</v>
      </c>
      <c r="H256" s="71" t="s">
        <v>422</v>
      </c>
      <c r="I256" s="71" t="s">
        <v>846</v>
      </c>
      <c r="J256" s="71">
        <v>127</v>
      </c>
      <c r="K256" s="71" t="s"/>
      <c r="L256" s="71">
        <v>5022</v>
      </c>
      <c r="M256" s="112">
        <f>=J256*L256</f>
        <v>637794</v>
      </c>
      <c r="N256" s="71">
        <v>2.5</v>
      </c>
      <c r="O256" s="189">
        <f>=ROUND(IF((TODAY()-A256+1)*N256*(L256/10000)+L256&lt;L256*1.002,L256*1.002,(TODAY()-A256+1)*N256*(L256/10000)+L256),2)</f>
        <v>5229.16</v>
      </c>
      <c r="P256" s="71">
        <v>127</v>
      </c>
      <c r="Q256" s="71">
        <f>=J256-P256</f>
        <v>0</v>
      </c>
      <c r="R256" s="216">
        <v>127</v>
      </c>
      <c r="S256" s="112">
        <f>=P256-R256</f>
        <v>0</v>
      </c>
      <c r="T256" s="71">
        <f>=S256*L256</f>
        <v>0</v>
      </c>
      <c r="U256" s="190">
        <f>=J256-P256</f>
        <v>0</v>
      </c>
    </row>
    <row r="257" spans="1:21" s="218" customFormat="true" ht="15.75" customHeight="true">
      <c r="A257" s="125">
        <v>46062</v>
      </c>
      <c r="B257" s="71">
        <f>=TODAY()-A257+1</f>
        <v>163</v>
      </c>
      <c r="C257" s="71" t="s">
        <v>126</v>
      </c>
      <c r="D257" s="71" t="s">
        <v>60</v>
      </c>
      <c r="E257" s="112" t="s">
        <v>843</v>
      </c>
      <c r="F257" s="71" t="s"/>
      <c r="G257" s="71" t="s">
        <v>421</v>
      </c>
      <c r="H257" s="71" t="s">
        <v>422</v>
      </c>
      <c r="I257" s="71" t="s">
        <v>847</v>
      </c>
      <c r="J257" s="71">
        <v>409</v>
      </c>
      <c r="K257" s="71" t="s"/>
      <c r="L257" s="71">
        <v>5022</v>
      </c>
      <c r="M257" s="112">
        <f>=J257*L257</f>
        <v>2053998</v>
      </c>
      <c r="N257" s="71">
        <v>2.5</v>
      </c>
      <c r="O257" s="189">
        <f>=ROUND(IF((TODAY()-A257+1)*N257*(L257/10000)+L257&lt;L257*1.002,L257*1.002,(TODAY()-A257+1)*N257*(L257/10000)+L257),2)</f>
        <v>5227.9</v>
      </c>
      <c r="P257" s="71">
        <v>409</v>
      </c>
      <c r="Q257" s="71">
        <f>=J257-P257</f>
        <v>0</v>
      </c>
      <c r="R257" s="216">
        <v>409</v>
      </c>
      <c r="S257" s="112">
        <f>=P257-R257</f>
        <v>0</v>
      </c>
      <c r="T257" s="71">
        <f>=S257*L257</f>
        <v>0</v>
      </c>
      <c r="U257" s="190">
        <f>=J257-P257</f>
        <v>0</v>
      </c>
    </row>
    <row r="258" spans="1:21" s="218" customFormat="true" ht="15.75" customHeight="true">
      <c r="A258" s="125">
        <v>46062</v>
      </c>
      <c r="B258" s="71">
        <f>=TODAY()-A258+1</f>
        <v>163</v>
      </c>
      <c r="C258" s="71" t="s">
        <v>126</v>
      </c>
      <c r="D258" s="71" t="s">
        <v>60</v>
      </c>
      <c r="E258" s="112" t="s">
        <v>843</v>
      </c>
      <c r="F258" s="71" t="s"/>
      <c r="G258" s="71" t="s">
        <v>421</v>
      </c>
      <c r="H258" s="71" t="s">
        <v>422</v>
      </c>
      <c r="I258" s="71" t="s">
        <v>848</v>
      </c>
      <c r="J258" s="71">
        <v>346</v>
      </c>
      <c r="K258" s="71" t="s"/>
      <c r="L258" s="71">
        <v>5022</v>
      </c>
      <c r="M258" s="112">
        <f>=J258*L258</f>
        <v>1737612</v>
      </c>
      <c r="N258" s="71">
        <v>2.5</v>
      </c>
      <c r="O258" s="189">
        <f>=ROUND(IF((TODAY()-A258+1)*N258*(L258/10000)+L258&lt;L258*1.002,L258*1.002,(TODAY()-A258+1)*N258*(L258/10000)+L258),2)</f>
        <v>5227.9</v>
      </c>
      <c r="P258" s="71">
        <v>346</v>
      </c>
      <c r="Q258" s="71">
        <f>=J258-P258</f>
        <v>0</v>
      </c>
      <c r="R258" s="216">
        <f>=100+246</f>
        <v>346</v>
      </c>
      <c r="S258" s="112">
        <f>=P258-R258</f>
        <v>0</v>
      </c>
      <c r="T258" s="71">
        <f>=S258*L258</f>
        <v>0</v>
      </c>
      <c r="U258" s="190">
        <f>=J258-P258</f>
        <v>0</v>
      </c>
    </row>
    <row r="259" spans="1:21" s="218" customFormat="true" ht="15.75" customHeight="true">
      <c r="A259" s="125">
        <v>46062</v>
      </c>
      <c r="B259" s="71">
        <f>=TODAY()-A259+1</f>
        <v>163</v>
      </c>
      <c r="C259" s="71" t="s">
        <v>126</v>
      </c>
      <c r="D259" s="71" t="s">
        <v>60</v>
      </c>
      <c r="E259" s="112" t="s">
        <v>843</v>
      </c>
      <c r="F259" s="112" t="s"/>
      <c r="G259" s="71" t="s">
        <v>421</v>
      </c>
      <c r="H259" s="71" t="s">
        <v>422</v>
      </c>
      <c r="I259" s="112" t="s">
        <v>849</v>
      </c>
      <c r="J259" s="71">
        <v>450</v>
      </c>
      <c r="K259" s="71" t="s"/>
      <c r="L259" s="71">
        <v>10035</v>
      </c>
      <c r="M259" s="112">
        <f>=J259*L259</f>
        <v>4515750</v>
      </c>
      <c r="N259" s="71">
        <v>2.5</v>
      </c>
      <c r="O259" s="189">
        <f>=ROUND(IF((TODAY()-A259+1)*N259*(L259/10000)+L259&lt;L259*1.002,L259*1.002,(TODAY()-A259+1)*N259*(L259/10000)+L259),2)</f>
        <v>10446.44</v>
      </c>
      <c r="P259" s="71">
        <v>450</v>
      </c>
      <c r="Q259" s="71">
        <f>=J259-P259</f>
        <v>0</v>
      </c>
      <c r="R259" s="71">
        <v>450</v>
      </c>
      <c r="S259" s="112">
        <f>=P259-R259</f>
        <v>0</v>
      </c>
      <c r="T259" s="71">
        <f>=S259*L259</f>
        <v>0</v>
      </c>
      <c r="U259" s="190">
        <f>=J259-P259</f>
        <v>0</v>
      </c>
    </row>
    <row r="260" spans="1:26" s="218" customFormat="true" ht="15.75" customHeight="true">
      <c r="A260" s="125">
        <v>46062</v>
      </c>
      <c r="B260" s="71">
        <f>=TODAY()-A260+1</f>
        <v>163</v>
      </c>
      <c r="C260" s="71" t="s">
        <v>126</v>
      </c>
      <c r="D260" s="71" t="s">
        <v>60</v>
      </c>
      <c r="E260" s="112" t="s">
        <v>850</v>
      </c>
      <c r="F260" s="112" t="s"/>
      <c r="G260" s="71" t="s">
        <v>421</v>
      </c>
      <c r="H260" s="71" t="s">
        <v>422</v>
      </c>
      <c r="I260" s="112" t="s">
        <v>849</v>
      </c>
      <c r="J260" s="71">
        <v>600</v>
      </c>
      <c r="K260" s="71" t="s"/>
      <c r="L260" s="71">
        <v>10035</v>
      </c>
      <c r="M260" s="112">
        <f>=J260*L260</f>
        <v>6021000</v>
      </c>
      <c r="N260" s="71">
        <v>2.5</v>
      </c>
      <c r="O260" s="189">
        <f>=ROUND(IF((TODAY()-A260+1)*N260*(L260/10000)+L260&lt;L260*1.002,L260*1.002,(TODAY()-A260+1)*N260*(L260/10000)+L260),2)</f>
        <v>10446.44</v>
      </c>
      <c r="P260" s="71">
        <v>600</v>
      </c>
      <c r="Q260" s="71">
        <f>=J260-P260</f>
        <v>0</v>
      </c>
      <c r="R260" s="71">
        <v>600</v>
      </c>
      <c r="S260" s="112">
        <f>=P260-R260</f>
        <v>0</v>
      </c>
      <c r="T260" s="71">
        <f>=S260*L260</f>
        <v>0</v>
      </c>
      <c r="U260" s="190">
        <f>=J260-P260</f>
        <v>0</v>
      </c>
      <c r="V260" s="190" t="s"/>
      <c r="W260" s="190" t="s"/>
      <c r="X260" s="190" t="s"/>
      <c r="Y260" s="190" t="s"/>
      <c r="Z260" s="190" t="s"/>
    </row>
    <row r="261" spans="1:26" s="218" customFormat="true" ht="15.75" customHeight="true">
      <c r="A261" s="102">
        <v>46064</v>
      </c>
      <c r="B261" s="93">
        <f>=TODAY()-A261+1</f>
        <v>161</v>
      </c>
      <c r="C261" s="93" t="s">
        <v>127</v>
      </c>
      <c r="D261" s="93" t="s">
        <v>60</v>
      </c>
      <c r="E261" s="217" t="s">
        <v>843</v>
      </c>
      <c r="F261" s="217" t="s"/>
      <c r="G261" s="93" t="s">
        <v>421</v>
      </c>
      <c r="H261" s="93" t="s">
        <v>422</v>
      </c>
      <c r="I261" s="217" t="s">
        <v>727</v>
      </c>
      <c r="J261" s="93">
        <v>30</v>
      </c>
      <c r="K261" s="93" t="s"/>
      <c r="L261" s="93">
        <v>10035</v>
      </c>
      <c r="M261" s="217">
        <f>=J261*L261</f>
        <v>301050</v>
      </c>
      <c r="N261" s="93">
        <v>2.5</v>
      </c>
      <c r="O261" s="198">
        <f>=ROUND(IF((TODAY()-A261+1)*N261*(L261/10000)+L261&lt;L261*1.002,L261*1.002,(TODAY()-A261+1)*N261*(L261/10000)+L261),2)</f>
        <v>10441.42</v>
      </c>
      <c r="P261" s="93">
        <v>30</v>
      </c>
      <c r="Q261" s="93">
        <f>=J261-P261</f>
        <v>0</v>
      </c>
      <c r="R261" s="93">
        <v>30</v>
      </c>
      <c r="S261" s="217">
        <f>=P261-R261</f>
        <v>0</v>
      </c>
      <c r="T261" s="93">
        <f>=S261*L261</f>
        <v>0</v>
      </c>
      <c r="U261" s="218">
        <f>=J261-P261</f>
        <v>0</v>
      </c>
      <c r="V261" s="218" t="s"/>
      <c r="W261" s="218" t="s"/>
      <c r="X261" s="218" t="s"/>
      <c r="Y261" s="218" t="s"/>
      <c r="Z261" s="218" t="s"/>
    </row>
    <row r="262" spans="1:26" s="218" customFormat="true" ht="15.75" customHeight="true">
      <c r="A262" s="102">
        <v>46064</v>
      </c>
      <c r="B262" s="93">
        <f>=TODAY()-A262+1</f>
        <v>161</v>
      </c>
      <c r="C262" s="93" t="s">
        <v>127</v>
      </c>
      <c r="D262" s="93" t="s">
        <v>60</v>
      </c>
      <c r="E262" s="217" t="s">
        <v>843</v>
      </c>
      <c r="F262" s="217" t="s"/>
      <c r="G262" s="93" t="s">
        <v>421</v>
      </c>
      <c r="H262" s="93" t="s">
        <v>422</v>
      </c>
      <c r="I262" s="217" t="s">
        <v>851</v>
      </c>
      <c r="J262" s="93">
        <v>170</v>
      </c>
      <c r="K262" s="93" t="s"/>
      <c r="L262" s="93">
        <v>10035</v>
      </c>
      <c r="M262" s="217">
        <f>=J262*L262</f>
        <v>1705950</v>
      </c>
      <c r="N262" s="93">
        <v>2.5</v>
      </c>
      <c r="O262" s="198">
        <f>=ROUND(IF((TODAY()-A262+1)*N262*(L262/10000)+L262&lt;L262*1.002,L262*1.002,(TODAY()-A262+1)*N262*(L262/10000)+L262),2)</f>
        <v>10441.42</v>
      </c>
      <c r="P262" s="93">
        <v>170</v>
      </c>
      <c r="Q262" s="93">
        <f>=J262-P262</f>
        <v>0</v>
      </c>
      <c r="R262" s="93">
        <v>170</v>
      </c>
      <c r="S262" s="217">
        <f>=P262-R262</f>
        <v>0</v>
      </c>
      <c r="T262" s="93">
        <f>=S262*L262</f>
        <v>0</v>
      </c>
      <c r="U262" s="218">
        <f>=J262-P262</f>
        <v>0</v>
      </c>
      <c r="V262" s="218" t="s"/>
      <c r="W262" s="218" t="s"/>
      <c r="X262" s="218" t="s"/>
      <c r="Y262" s="218" t="s"/>
      <c r="Z262" s="218" t="s"/>
    </row>
    <row r="263" spans="1:26" s="218" customFormat="true" ht="15.75" customHeight="true">
      <c r="A263" s="102">
        <v>46064</v>
      </c>
      <c r="B263" s="93">
        <f>=TODAY()-A263+1</f>
        <v>161</v>
      </c>
      <c r="C263" s="93" t="s">
        <v>127</v>
      </c>
      <c r="D263" s="93" t="s">
        <v>60</v>
      </c>
      <c r="E263" s="217" t="s">
        <v>843</v>
      </c>
      <c r="F263" s="217" t="s"/>
      <c r="G263" s="93" t="s">
        <v>421</v>
      </c>
      <c r="H263" s="93" t="s">
        <v>422</v>
      </c>
      <c r="I263" s="217" t="s">
        <v>852</v>
      </c>
      <c r="J263" s="93">
        <v>140</v>
      </c>
      <c r="K263" s="93" t="s"/>
      <c r="L263" s="93">
        <v>10035</v>
      </c>
      <c r="M263" s="217">
        <f>=J263*L263</f>
        <v>1404900</v>
      </c>
      <c r="N263" s="93">
        <v>2.5</v>
      </c>
      <c r="O263" s="198">
        <f>=ROUND(IF((TODAY()-A263+1)*N263*(L263/10000)+L263&lt;L263*1.002,L263*1.002,(TODAY()-A263+1)*N263*(L263/10000)+L263),2)</f>
        <v>10441.42</v>
      </c>
      <c r="P263" s="93">
        <v>140</v>
      </c>
      <c r="Q263" s="93">
        <f>=J263-P263</f>
        <v>0</v>
      </c>
      <c r="R263" s="93">
        <v>140</v>
      </c>
      <c r="S263" s="217">
        <f>=P263-R263</f>
        <v>0</v>
      </c>
      <c r="T263" s="93">
        <f>=S263*L263</f>
        <v>0</v>
      </c>
      <c r="U263" s="218">
        <f>=J263-P263</f>
        <v>0</v>
      </c>
      <c r="V263" s="218" t="s"/>
      <c r="W263" s="218" t="s"/>
      <c r="X263" s="218" t="s"/>
      <c r="Y263" s="218" t="s"/>
      <c r="Z263" s="218" t="s"/>
    </row>
    <row r="264" spans="1:26" s="218" customFormat="true" ht="15.75" customHeight="true">
      <c r="A264" s="102">
        <v>46081</v>
      </c>
      <c r="B264" s="93">
        <f>=TODAY()-A264+1</f>
        <v>144</v>
      </c>
      <c r="C264" s="93" t="s">
        <v>131</v>
      </c>
      <c r="D264" s="219" t="s">
        <v>130</v>
      </c>
      <c r="E264" s="220" t="s">
        <v>853</v>
      </c>
      <c r="F264" s="221" t="s">
        <v>854</v>
      </c>
      <c r="G264" s="217" t="s">
        <v>428</v>
      </c>
      <c r="H264" s="217" t="s">
        <v>470</v>
      </c>
      <c r="I264" s="217" t="s">
        <v>855</v>
      </c>
      <c r="J264" s="93">
        <v>200</v>
      </c>
      <c r="K264" s="93" t="s"/>
      <c r="L264" s="93">
        <v>3040</v>
      </c>
      <c r="M264" s="217">
        <f>=J264*L264</f>
        <v>608000</v>
      </c>
      <c r="N264" s="93">
        <v>3</v>
      </c>
      <c r="O264" s="198">
        <f>=ROUND(IF((TODAY()-A264+1)*N264*(L264/10000)+L264&lt;L264*1.002,L264*1.002,(TODAY()-A264+1)*N264*(L264/10000)+L264),2)</f>
        <v>3172.24</v>
      </c>
      <c r="P264" s="93">
        <v>200</v>
      </c>
      <c r="Q264" s="93">
        <v>0</v>
      </c>
      <c r="R264" s="93">
        <v>200</v>
      </c>
      <c r="S264" s="217">
        <f>=P264-R264</f>
        <v>0</v>
      </c>
      <c r="T264" s="93">
        <f>=S264*L264</f>
        <v>0</v>
      </c>
      <c r="U264" s="218">
        <f>=J264-P264</f>
        <v>0</v>
      </c>
      <c r="V264" s="218" t="s"/>
      <c r="W264" s="218" t="s"/>
      <c r="X264" s="218" t="s"/>
      <c r="Y264" s="218" t="s"/>
      <c r="Z264" s="218" t="s"/>
    </row>
    <row r="265" spans="1:26" s="218" customFormat="true" ht="15.75" customHeight="true">
      <c r="A265" s="133">
        <v>46083</v>
      </c>
      <c r="B265" s="93">
        <f>=TODAY()-A265+1</f>
        <v>142</v>
      </c>
      <c r="C265" s="222" t="s">
        <v>132</v>
      </c>
      <c r="D265" s="93" t="s">
        <v>65</v>
      </c>
      <c r="E265" s="223" t="s"/>
      <c r="F265" s="224" t="s"/>
      <c r="G265" s="93" t="s">
        <v>421</v>
      </c>
      <c r="H265" s="93" t="s">
        <v>422</v>
      </c>
      <c r="I265" s="111" t="s">
        <v>697</v>
      </c>
      <c r="J265" s="111">
        <v>3</v>
      </c>
      <c r="K265" s="224" t="s"/>
      <c r="L265" s="225">
        <v>12501</v>
      </c>
      <c r="M265" s="226">
        <f>=J265*L265</f>
        <v>37503</v>
      </c>
      <c r="N265" s="101">
        <v>2</v>
      </c>
      <c r="O265" s="198">
        <f>=ROUND(IF((TODAY()-A265+1)*N265*(L265/10000)+L265&lt;L265*1.002,L265*1.002,(TODAY()-A265+1)*N265*(L265/10000)+L265),2)</f>
        <v>12858.53</v>
      </c>
      <c r="P265" s="111">
        <v>3</v>
      </c>
      <c r="Q265" s="101">
        <f>=J265-P265</f>
        <v>0</v>
      </c>
      <c r="R265" s="227">
        <v>3</v>
      </c>
      <c r="S265" s="228">
        <f>=P265-R265</f>
        <v>0</v>
      </c>
      <c r="T265" s="93">
        <f>=S265*L265</f>
        <v>0</v>
      </c>
      <c r="U265" s="229">
        <f>=J265-P265</f>
        <v>0</v>
      </c>
      <c r="V265" s="230" t="s"/>
      <c r="W265" s="230" t="s"/>
      <c r="X265" s="230" t="s"/>
      <c r="Y265" s="230" t="s"/>
      <c r="Z265" s="230" t="s"/>
    </row>
    <row r="266" spans="1:26" s="218" customFormat="true" ht="15.75" customHeight="true">
      <c r="A266" s="133">
        <v>46083</v>
      </c>
      <c r="B266" s="93">
        <f>=TODAY()-A266+1</f>
        <v>142</v>
      </c>
      <c r="C266" s="102" t="s">
        <v>132</v>
      </c>
      <c r="D266" s="93" t="s">
        <v>65</v>
      </c>
      <c r="E266" s="231" t="s">
        <v>692</v>
      </c>
      <c r="F266" s="232" t="s"/>
      <c r="G266" s="93" t="s">
        <v>421</v>
      </c>
      <c r="H266" s="93" t="s">
        <v>422</v>
      </c>
      <c r="I266" s="111" t="s">
        <v>693</v>
      </c>
      <c r="J266" s="111">
        <v>35</v>
      </c>
      <c r="K266" s="232" t="s"/>
      <c r="L266" s="111">
        <v>8802</v>
      </c>
      <c r="M266" s="217">
        <f>=J266*L266</f>
        <v>308070</v>
      </c>
      <c r="N266" s="93">
        <v>2</v>
      </c>
      <c r="O266" s="198">
        <f>=ROUND(IF((TODAY()-A266+1)*N266*(L266/10000)+L266&lt;L266*1.002,L266*1.002,(TODAY()-A266+1)*N266*(L266/10000)+L266),2)</f>
        <v>9053.74</v>
      </c>
      <c r="P266" s="111">
        <v>35</v>
      </c>
      <c r="Q266" s="93">
        <f>=J266-P266</f>
        <v>0</v>
      </c>
      <c r="R266" s="233">
        <v>35</v>
      </c>
      <c r="S266" s="228">
        <f>=P266-R266</f>
        <v>0</v>
      </c>
      <c r="T266" s="93">
        <f>=S266*L266</f>
        <v>0</v>
      </c>
      <c r="U266" s="234">
        <f>=J266-P266</f>
        <v>0</v>
      </c>
      <c r="V266" s="235" t="s"/>
      <c r="W266" s="235" t="s"/>
      <c r="X266" s="235" t="s"/>
      <c r="Y266" s="235" t="s"/>
      <c r="Z266" s="235" t="s"/>
    </row>
    <row r="267" spans="1:26" s="218" customFormat="true" ht="15.75" customHeight="true">
      <c r="A267" s="133">
        <v>46083</v>
      </c>
      <c r="B267" s="93">
        <f>=TODAY()-A267+1</f>
        <v>142</v>
      </c>
      <c r="C267" s="102" t="s">
        <v>132</v>
      </c>
      <c r="D267" s="93" t="s">
        <v>65</v>
      </c>
      <c r="E267" s="232" t="s"/>
      <c r="F267" s="232" t="s"/>
      <c r="G267" s="93" t="s">
        <v>421</v>
      </c>
      <c r="H267" s="93" t="s">
        <v>422</v>
      </c>
      <c r="I267" s="111" t="s">
        <v>695</v>
      </c>
      <c r="J267" s="111">
        <v>13</v>
      </c>
      <c r="K267" s="232" t="s"/>
      <c r="L267" s="111">
        <v>9538</v>
      </c>
      <c r="M267" s="217">
        <f>=J267*L267</f>
        <v>123994</v>
      </c>
      <c r="N267" s="93">
        <v>2</v>
      </c>
      <c r="O267" s="198">
        <f>=ROUND(IF((TODAY()-A267+1)*N267*(L267/10000)+L267&lt;L267*1.002,L267*1.002,(TODAY()-A267+1)*N267*(L267/10000)+L267),2)</f>
        <v>9810.79</v>
      </c>
      <c r="P267" s="111">
        <v>13</v>
      </c>
      <c r="Q267" s="93">
        <f>=J267-P267</f>
        <v>0</v>
      </c>
      <c r="R267" s="233">
        <v>13</v>
      </c>
      <c r="S267" s="228">
        <f>=P267-R267</f>
        <v>0</v>
      </c>
      <c r="T267" s="93">
        <f>=S267*L267</f>
        <v>0</v>
      </c>
      <c r="U267" s="234">
        <f>=J267-P267</f>
        <v>0</v>
      </c>
      <c r="V267" s="235" t="s"/>
      <c r="W267" s="235" t="s"/>
      <c r="X267" s="235" t="s"/>
      <c r="Y267" s="235" t="s"/>
      <c r="Z267" s="235" t="s"/>
    </row>
    <row r="268" spans="1:26" s="218" customFormat="true" ht="15.75" customHeight="true">
      <c r="A268" s="133">
        <v>46083</v>
      </c>
      <c r="B268" s="93">
        <f>=TODAY()-A268+1</f>
        <v>142</v>
      </c>
      <c r="C268" s="102" t="s">
        <v>132</v>
      </c>
      <c r="D268" s="93" t="s">
        <v>65</v>
      </c>
      <c r="E268" s="232" t="s"/>
      <c r="F268" s="232" t="s"/>
      <c r="G268" s="93" t="s">
        <v>421</v>
      </c>
      <c r="H268" s="93" t="s">
        <v>422</v>
      </c>
      <c r="I268" s="111" t="s">
        <v>691</v>
      </c>
      <c r="J268" s="111">
        <v>24</v>
      </c>
      <c r="K268" s="232" t="s"/>
      <c r="L268" s="111">
        <v>8910</v>
      </c>
      <c r="M268" s="217">
        <f>=J268*L268</f>
        <v>213840</v>
      </c>
      <c r="N268" s="93">
        <v>2</v>
      </c>
      <c r="O268" s="198">
        <f>=ROUND(IF((TODAY()-A268+1)*N268*(L268/10000)+L268&lt;L268*1.002,L268*1.002,(TODAY()-A268+1)*N268*(L268/10000)+L268),2)</f>
        <v>9164.83</v>
      </c>
      <c r="P268" s="111">
        <v>24</v>
      </c>
      <c r="Q268" s="93">
        <f>=J268-P268</f>
        <v>0</v>
      </c>
      <c r="R268" s="233">
        <v>24</v>
      </c>
      <c r="S268" s="228">
        <f>=P268-R268</f>
        <v>0</v>
      </c>
      <c r="T268" s="93">
        <f>=S268*L268</f>
        <v>0</v>
      </c>
      <c r="U268" s="234">
        <f>=J268-P268</f>
        <v>0</v>
      </c>
      <c r="V268" s="235" t="s"/>
      <c r="W268" s="235" t="s"/>
      <c r="X268" s="235" t="s"/>
      <c r="Y268" s="235" t="s"/>
      <c r="Z268" s="235" t="s"/>
    </row>
    <row r="269" spans="1:26" s="218" customFormat="true" ht="15.75" customHeight="true">
      <c r="A269" s="133">
        <v>46083</v>
      </c>
      <c r="B269" s="93">
        <f>=TODAY()-A269+1</f>
        <v>142</v>
      </c>
      <c r="C269" s="102" t="s">
        <v>132</v>
      </c>
      <c r="D269" s="93" t="s">
        <v>65</v>
      </c>
      <c r="E269" s="232" t="s"/>
      <c r="F269" s="232" t="s"/>
      <c r="G269" s="93" t="s">
        <v>421</v>
      </c>
      <c r="H269" s="93" t="s">
        <v>422</v>
      </c>
      <c r="I269" s="111" t="s">
        <v>689</v>
      </c>
      <c r="J269" s="111">
        <v>18</v>
      </c>
      <c r="K269" s="232" t="s"/>
      <c r="L269" s="111">
        <v>9018</v>
      </c>
      <c r="M269" s="217">
        <f>=J269*L269</f>
        <v>162324</v>
      </c>
      <c r="N269" s="93">
        <v>2</v>
      </c>
      <c r="O269" s="198">
        <f>=ROUND(IF((TODAY()-A269+1)*N269*(L269/10000)+L269&lt;L269*1.002,L269*1.002,(TODAY()-A269+1)*N269*(L269/10000)+L269),2)</f>
        <v>9275.91</v>
      </c>
      <c r="P269" s="111">
        <v>18</v>
      </c>
      <c r="Q269" s="93">
        <f>=J269-P269</f>
        <v>0</v>
      </c>
      <c r="R269" s="233">
        <v>18</v>
      </c>
      <c r="S269" s="228">
        <f>=P269-R269</f>
        <v>0</v>
      </c>
      <c r="T269" s="93">
        <f>=S269*L269</f>
        <v>0</v>
      </c>
      <c r="U269" s="234">
        <f>=J269-P269</f>
        <v>0</v>
      </c>
      <c r="V269" s="235" t="s"/>
      <c r="W269" s="235" t="s"/>
      <c r="X269" s="235" t="s"/>
      <c r="Y269" s="235" t="s"/>
      <c r="Z269" s="235" t="s"/>
    </row>
    <row r="270" spans="1:26" s="218" customFormat="true" ht="15.75" customHeight="true">
      <c r="A270" s="133">
        <v>46083</v>
      </c>
      <c r="B270" s="93">
        <f>=TODAY()-A270+1</f>
        <v>142</v>
      </c>
      <c r="C270" s="102" t="s">
        <v>132</v>
      </c>
      <c r="D270" s="93" t="s">
        <v>65</v>
      </c>
      <c r="E270" s="232" t="s"/>
      <c r="F270" s="232" t="s"/>
      <c r="G270" s="93" t="s">
        <v>421</v>
      </c>
      <c r="H270" s="93" t="s">
        <v>422</v>
      </c>
      <c r="I270" s="111" t="s">
        <v>701</v>
      </c>
      <c r="J270" s="111">
        <v>45</v>
      </c>
      <c r="K270" s="232" t="s"/>
      <c r="L270" s="111">
        <v>7956</v>
      </c>
      <c r="M270" s="217">
        <f>=J270*L270</f>
        <v>358020</v>
      </c>
      <c r="N270" s="93">
        <v>2</v>
      </c>
      <c r="O270" s="198">
        <f>=ROUND(IF((TODAY()-A270+1)*N270*(L270/10000)+L270&lt;L270*1.002,L270*1.002,(TODAY()-A270+1)*N270*(L270/10000)+L270),2)</f>
        <v>8183.54</v>
      </c>
      <c r="P270" s="111">
        <v>45</v>
      </c>
      <c r="Q270" s="93">
        <f>=J270-P270</f>
        <v>0</v>
      </c>
      <c r="R270" s="233">
        <v>45</v>
      </c>
      <c r="S270" s="228">
        <f>=P270-R270</f>
        <v>0</v>
      </c>
      <c r="T270" s="93">
        <f>=S270*L270</f>
        <v>0</v>
      </c>
      <c r="U270" s="234">
        <f>=J270-P270</f>
        <v>0</v>
      </c>
      <c r="V270" s="235" t="s"/>
      <c r="W270" s="235" t="s"/>
      <c r="X270" s="235" t="s"/>
      <c r="Y270" s="235" t="s"/>
      <c r="Z270" s="235" t="s"/>
    </row>
    <row r="271" spans="1:26" s="218" customFormat="true" ht="15.75" customHeight="true">
      <c r="A271" s="133">
        <v>46083</v>
      </c>
      <c r="B271" s="93">
        <f>=TODAY()-A271+1</f>
        <v>142</v>
      </c>
      <c r="C271" s="102" t="s">
        <v>132</v>
      </c>
      <c r="D271" s="93" t="s">
        <v>65</v>
      </c>
      <c r="E271" s="232" t="s"/>
      <c r="F271" s="232" t="s"/>
      <c r="G271" s="93" t="s">
        <v>421</v>
      </c>
      <c r="H271" s="93" t="s">
        <v>422</v>
      </c>
      <c r="I271" s="111" t="s">
        <v>699</v>
      </c>
      <c r="J271" s="111">
        <v>14</v>
      </c>
      <c r="K271" s="232" t="s"/>
      <c r="L271" s="111">
        <v>8100</v>
      </c>
      <c r="M271" s="217">
        <f>=J271*L271</f>
        <v>113400</v>
      </c>
      <c r="N271" s="93">
        <v>2</v>
      </c>
      <c r="O271" s="198">
        <f>=ROUND(IF((TODAY()-A271+1)*N271*(L271/10000)+L271&lt;L271*1.002,L271*1.002,(TODAY()-A271+1)*N271*(L271/10000)+L271),2)</f>
        <v>8331.66</v>
      </c>
      <c r="P271" s="111">
        <v>14</v>
      </c>
      <c r="Q271" s="93">
        <f>=J271-P271</f>
        <v>0</v>
      </c>
      <c r="R271" s="233">
        <v>14</v>
      </c>
      <c r="S271" s="228">
        <f>=P271-R271</f>
        <v>0</v>
      </c>
      <c r="T271" s="93">
        <f>=S271*L271</f>
        <v>0</v>
      </c>
      <c r="U271" s="234">
        <f>=J271-P271</f>
        <v>0</v>
      </c>
      <c r="V271" s="235" t="s"/>
      <c r="W271" s="235" t="s"/>
      <c r="X271" s="235" t="s"/>
      <c r="Y271" s="235" t="s"/>
      <c r="Z271" s="235" t="s"/>
    </row>
    <row r="272" spans="1:26" s="218" customFormat="true" ht="15.75" customHeight="true">
      <c r="A272" s="133">
        <v>46083</v>
      </c>
      <c r="B272" s="93">
        <f>=TODAY()-A272+1</f>
        <v>142</v>
      </c>
      <c r="C272" s="102" t="s">
        <v>132</v>
      </c>
      <c r="D272" s="93" t="s">
        <v>65</v>
      </c>
      <c r="E272" s="232" t="s"/>
      <c r="F272" s="232" t="s"/>
      <c r="G272" s="93" t="s">
        <v>421</v>
      </c>
      <c r="H272" s="93" t="s">
        <v>422</v>
      </c>
      <c r="I272" s="111" t="s">
        <v>705</v>
      </c>
      <c r="J272" s="111">
        <v>40</v>
      </c>
      <c r="K272" s="232" t="s"/>
      <c r="L272" s="111">
        <v>8181</v>
      </c>
      <c r="M272" s="217">
        <f>=J272*L272</f>
        <v>327240</v>
      </c>
      <c r="N272" s="93">
        <v>2</v>
      </c>
      <c r="O272" s="198">
        <f>=ROUND(IF((TODAY()-A272+1)*N272*(L272/10000)+L272&lt;L272*1.002,L272*1.002,(TODAY()-A272+1)*N272*(L272/10000)+L272),2)</f>
        <v>8414.98</v>
      </c>
      <c r="P272" s="111">
        <v>40</v>
      </c>
      <c r="Q272" s="93">
        <f>=J272-P272</f>
        <v>0</v>
      </c>
      <c r="R272" s="233">
        <v>40</v>
      </c>
      <c r="S272" s="228">
        <f>=P272-R272</f>
        <v>0</v>
      </c>
      <c r="T272" s="93">
        <f>=S272*L272</f>
        <v>0</v>
      </c>
      <c r="U272" s="234">
        <f>=J272-P272</f>
        <v>0</v>
      </c>
      <c r="V272" s="235" t="s"/>
      <c r="W272" s="235" t="s"/>
      <c r="X272" s="235" t="s"/>
      <c r="Y272" s="235" t="s"/>
      <c r="Z272" s="235" t="s"/>
    </row>
    <row r="273" spans="1:26" s="218" customFormat="true" ht="15.75" customHeight="true">
      <c r="A273" s="133">
        <v>46083</v>
      </c>
      <c r="B273" s="93">
        <f>=TODAY()-A273+1</f>
        <v>142</v>
      </c>
      <c r="C273" s="102" t="s">
        <v>132</v>
      </c>
      <c r="D273" s="93" t="s">
        <v>65</v>
      </c>
      <c r="E273" s="232" t="s"/>
      <c r="F273" s="232" t="s"/>
      <c r="G273" s="93" t="s">
        <v>421</v>
      </c>
      <c r="H273" s="93" t="s">
        <v>422</v>
      </c>
      <c r="I273" s="111" t="s">
        <v>676</v>
      </c>
      <c r="J273" s="111">
        <v>13</v>
      </c>
      <c r="K273" s="232" t="s"/>
      <c r="L273" s="111">
        <v>4156</v>
      </c>
      <c r="M273" s="217">
        <f>=J273*L273</f>
        <v>54028</v>
      </c>
      <c r="N273" s="93">
        <v>2</v>
      </c>
      <c r="O273" s="198">
        <f>=ROUND(IF((TODAY()-A273+1)*N273*(L273/10000)+L273&lt;L273*1.002,L273*1.002,(TODAY()-A273+1)*N273*(L273/10000)+L273),2)</f>
        <v>4274.86</v>
      </c>
      <c r="P273" s="111">
        <v>13</v>
      </c>
      <c r="Q273" s="93">
        <f>=J273-P273</f>
        <v>0</v>
      </c>
      <c r="R273" s="233">
        <v>13</v>
      </c>
      <c r="S273" s="228">
        <f>=P273-R273</f>
        <v>0</v>
      </c>
      <c r="T273" s="93">
        <f>=S273*L273</f>
        <v>0</v>
      </c>
      <c r="U273" s="234">
        <f>=J273-P273</f>
        <v>0</v>
      </c>
      <c r="V273" s="235" t="s"/>
      <c r="W273" s="235" t="s"/>
      <c r="X273" s="235" t="s"/>
      <c r="Y273" s="235" t="s"/>
      <c r="Z273" s="235" t="s"/>
    </row>
    <row r="274" spans="1:26" s="218" customFormat="true" ht="15.75" customHeight="true">
      <c r="A274" s="133">
        <v>46083</v>
      </c>
      <c r="B274" s="93">
        <f>=TODAY()-A274+1</f>
        <v>142</v>
      </c>
      <c r="C274" s="102" t="s">
        <v>132</v>
      </c>
      <c r="D274" s="93" t="s">
        <v>65</v>
      </c>
      <c r="E274" s="232" t="s"/>
      <c r="F274" s="232" t="s"/>
      <c r="G274" s="93" t="s">
        <v>421</v>
      </c>
      <c r="H274" s="93" t="s">
        <v>422</v>
      </c>
      <c r="I274" s="111" t="s">
        <v>684</v>
      </c>
      <c r="J274" s="111">
        <v>3</v>
      </c>
      <c r="K274" s="232" t="s"/>
      <c r="L274" s="111">
        <v>7092</v>
      </c>
      <c r="M274" s="217">
        <f>=J274*L274</f>
        <v>21276</v>
      </c>
      <c r="N274" s="93">
        <v>2</v>
      </c>
      <c r="O274" s="198">
        <f>=ROUND(IF((TODAY()-A274+1)*N274*(L274/10000)+L274&lt;L274*1.002,L274*1.002,(TODAY()-A274+1)*N274*(L274/10000)+L274),2)</f>
        <v>7294.83</v>
      </c>
      <c r="P274" s="111">
        <v>3</v>
      </c>
      <c r="Q274" s="93">
        <f>=J274-P274</f>
        <v>0</v>
      </c>
      <c r="R274" s="233">
        <v>3</v>
      </c>
      <c r="S274" s="228">
        <f>=P274-R274</f>
        <v>0</v>
      </c>
      <c r="T274" s="93">
        <f>=S274*L274</f>
        <v>0</v>
      </c>
      <c r="U274" s="234">
        <f>=J274-P274</f>
        <v>0</v>
      </c>
      <c r="V274" s="235" t="s"/>
      <c r="W274" s="235" t="s"/>
      <c r="X274" s="235" t="s"/>
      <c r="Y274" s="235" t="s"/>
      <c r="Z274" s="235" t="s"/>
    </row>
    <row r="275" spans="1:26" s="218" customFormat="true" ht="15.75" customHeight="true">
      <c r="A275" s="133">
        <v>46083</v>
      </c>
      <c r="B275" s="93">
        <f>=TODAY()-A275+1</f>
        <v>142</v>
      </c>
      <c r="C275" s="102" t="s">
        <v>132</v>
      </c>
      <c r="D275" s="93" t="s">
        <v>65</v>
      </c>
      <c r="E275" s="232" t="s"/>
      <c r="F275" s="232" t="s"/>
      <c r="G275" s="93" t="s">
        <v>421</v>
      </c>
      <c r="H275" s="93" t="s">
        <v>422</v>
      </c>
      <c r="I275" s="111" t="s">
        <v>674</v>
      </c>
      <c r="J275" s="111">
        <v>5</v>
      </c>
      <c r="K275" s="232" t="s"/>
      <c r="L275" s="111">
        <v>7092</v>
      </c>
      <c r="M275" s="217">
        <f>=J275*L275</f>
        <v>35460</v>
      </c>
      <c r="N275" s="93">
        <v>2</v>
      </c>
      <c r="O275" s="198">
        <f>=ROUND(IF((TODAY()-A275+1)*N275*(L275/10000)+L275&lt;L275*1.002,L275*1.002,(TODAY()-A275+1)*N275*(L275/10000)+L275),2)</f>
        <v>7294.83</v>
      </c>
      <c r="P275" s="111">
        <v>5</v>
      </c>
      <c r="Q275" s="93">
        <f>=J275-P275</f>
        <v>0</v>
      </c>
      <c r="R275" s="233">
        <v>5</v>
      </c>
      <c r="S275" s="228">
        <f>=P275-R275</f>
        <v>0</v>
      </c>
      <c r="T275" s="93">
        <f>=S275*L275</f>
        <v>0</v>
      </c>
      <c r="U275" s="234">
        <f>=J275-P275</f>
        <v>0</v>
      </c>
      <c r="V275" s="235" t="s"/>
      <c r="W275" s="235" t="s"/>
      <c r="X275" s="235" t="s"/>
      <c r="Y275" s="235" t="s"/>
      <c r="Z275" s="235" t="s"/>
    </row>
    <row r="276" spans="1:26" s="218" customFormat="true" ht="15.75" customHeight="true">
      <c r="A276" s="133">
        <v>46083</v>
      </c>
      <c r="B276" s="93">
        <f>=TODAY()-A276+1</f>
        <v>142</v>
      </c>
      <c r="C276" s="102" t="s">
        <v>132</v>
      </c>
      <c r="D276" s="93" t="s">
        <v>65</v>
      </c>
      <c r="E276" s="232" t="s"/>
      <c r="F276" s="232" t="s"/>
      <c r="G276" s="93" t="s">
        <v>421</v>
      </c>
      <c r="H276" s="93" t="s">
        <v>422</v>
      </c>
      <c r="I276" s="111" t="s">
        <v>678</v>
      </c>
      <c r="J276" s="111">
        <v>47</v>
      </c>
      <c r="K276" s="232" t="s"/>
      <c r="L276" s="111">
        <v>5292</v>
      </c>
      <c r="M276" s="217">
        <f>=J276*L276</f>
        <v>248724</v>
      </c>
      <c r="N276" s="93">
        <v>2</v>
      </c>
      <c r="O276" s="198">
        <f>=ROUND(IF((TODAY()-A276+1)*N276*(L276/10000)+L276&lt;L276*1.002,L276*1.002,(TODAY()-A276+1)*N276*(L276/10000)+L276),2)</f>
        <v>5443.35</v>
      </c>
      <c r="P276" s="111">
        <v>47</v>
      </c>
      <c r="Q276" s="93">
        <f>=J276-P276</f>
        <v>0</v>
      </c>
      <c r="R276" s="233">
        <v>47</v>
      </c>
      <c r="S276" s="217">
        <f>=P276-R276</f>
        <v>0</v>
      </c>
      <c r="T276" s="93">
        <f>=S276*L276</f>
        <v>0</v>
      </c>
      <c r="U276" s="234">
        <f>=J276-P276</f>
        <v>0</v>
      </c>
      <c r="V276" s="235" t="s"/>
      <c r="W276" s="235" t="s"/>
      <c r="X276" s="235" t="s"/>
      <c r="Y276" s="235" t="s"/>
      <c r="Z276" s="235" t="s"/>
    </row>
    <row r="277" spans="1:26" s="218" customFormat="true" ht="15.75" customHeight="true">
      <c r="A277" s="133">
        <v>46083</v>
      </c>
      <c r="B277" s="93">
        <f>=TODAY()-A277+1</f>
        <v>142</v>
      </c>
      <c r="C277" s="102" t="s">
        <v>132</v>
      </c>
      <c r="D277" s="93" t="s">
        <v>65</v>
      </c>
      <c r="E277" s="232" t="s"/>
      <c r="F277" s="232" t="s"/>
      <c r="G277" s="93" t="s">
        <v>421</v>
      </c>
      <c r="H277" s="93" t="s">
        <v>422</v>
      </c>
      <c r="I277" s="111" t="s">
        <v>682</v>
      </c>
      <c r="J277" s="111">
        <v>10</v>
      </c>
      <c r="K277" s="232" t="s"/>
      <c r="L277" s="111">
        <v>5292</v>
      </c>
      <c r="M277" s="217">
        <f>=J277*L277</f>
        <v>52920</v>
      </c>
      <c r="N277" s="93">
        <v>2</v>
      </c>
      <c r="O277" s="198">
        <f>=ROUND(IF((TODAY()-A277+1)*N277*(L277/10000)+L277&lt;L277*1.002,L277*1.002,(TODAY()-A277+1)*N277*(L277/10000)+L277),2)</f>
        <v>5443.35</v>
      </c>
      <c r="P277" s="111">
        <v>10</v>
      </c>
      <c r="Q277" s="93">
        <f>=J277-P277</f>
        <v>0</v>
      </c>
      <c r="R277" s="233">
        <v>10</v>
      </c>
      <c r="S277" s="217">
        <f>=P277-R277</f>
        <v>0</v>
      </c>
      <c r="T277" s="93">
        <f>=S277*L277</f>
        <v>0</v>
      </c>
      <c r="U277" s="234">
        <f>=J277-P277</f>
        <v>0</v>
      </c>
      <c r="V277" s="235" t="s"/>
      <c r="W277" s="235" t="s"/>
      <c r="X277" s="235" t="s"/>
      <c r="Y277" s="235" t="s"/>
      <c r="Z277" s="235" t="s"/>
    </row>
    <row r="278" spans="1:26" s="218" customFormat="true" ht="15.75" customHeight="true">
      <c r="A278" s="133">
        <v>46083</v>
      </c>
      <c r="B278" s="93">
        <f>=TODAY()-A278+1</f>
        <v>142</v>
      </c>
      <c r="C278" s="102" t="s">
        <v>132</v>
      </c>
      <c r="D278" s="93" t="s">
        <v>65</v>
      </c>
      <c r="E278" s="232" t="s"/>
      <c r="F278" s="232" t="s"/>
      <c r="G278" s="93" t="s">
        <v>421</v>
      </c>
      <c r="H278" s="93" t="s">
        <v>422</v>
      </c>
      <c r="I278" s="111" t="s">
        <v>680</v>
      </c>
      <c r="J278" s="111">
        <v>26</v>
      </c>
      <c r="K278" s="232" t="s"/>
      <c r="L278" s="111">
        <v>5319</v>
      </c>
      <c r="M278" s="217">
        <f>=J278*L278</f>
        <v>138294</v>
      </c>
      <c r="N278" s="93">
        <v>2</v>
      </c>
      <c r="O278" s="198">
        <f>=ROUND(IF((TODAY()-A278+1)*N278*(L278/10000)+L278&lt;L278*1.002,L278*1.002,(TODAY()-A278+1)*N278*(L278/10000)+L278),2)</f>
        <v>5471.12</v>
      </c>
      <c r="P278" s="111">
        <v>26</v>
      </c>
      <c r="Q278" s="93">
        <f>=J278-P278</f>
        <v>0</v>
      </c>
      <c r="R278" s="236">
        <v>26</v>
      </c>
      <c r="S278" s="228">
        <f>=P278-R278</f>
        <v>0</v>
      </c>
      <c r="T278" s="93">
        <f>=S278*L278</f>
        <v>0</v>
      </c>
      <c r="U278" s="234">
        <f>=J278-P278</f>
        <v>0</v>
      </c>
      <c r="V278" s="235" t="s"/>
      <c r="W278" s="235" t="s"/>
      <c r="X278" s="235" t="s"/>
      <c r="Y278" s="235" t="s"/>
      <c r="Z278" s="235" t="s"/>
    </row>
    <row r="279" spans="1:26" s="218" customFormat="true" ht="15.75" customHeight="true">
      <c r="A279" s="133">
        <v>46083</v>
      </c>
      <c r="B279" s="93">
        <f>=TODAY()-A279+1</f>
        <v>142</v>
      </c>
      <c r="C279" s="102" t="s">
        <v>132</v>
      </c>
      <c r="D279" s="93" t="s">
        <v>65</v>
      </c>
      <c r="E279" s="232" t="s"/>
      <c r="F279" s="232" t="s"/>
      <c r="G279" s="93" t="s">
        <v>421</v>
      </c>
      <c r="H279" s="93" t="s">
        <v>422</v>
      </c>
      <c r="I279" s="111" t="s">
        <v>686</v>
      </c>
      <c r="J279" s="111">
        <v>1</v>
      </c>
      <c r="K279" s="232" t="s"/>
      <c r="L279" s="111">
        <v>7115</v>
      </c>
      <c r="M279" s="217">
        <f>=J279*L279</f>
        <v>7115</v>
      </c>
      <c r="N279" s="93">
        <v>2</v>
      </c>
      <c r="O279" s="198">
        <f>=ROUND(IF((TODAY()-A279+1)*N279*(L279/10000)+L279&lt;L279*1.002,L279*1.002,(TODAY()-A279+1)*N279*(L279/10000)+L279),2)</f>
        <v>7318.49</v>
      </c>
      <c r="P279" s="111">
        <v>1</v>
      </c>
      <c r="Q279" s="93">
        <f>=J279-P279</f>
        <v>0</v>
      </c>
      <c r="R279" s="236">
        <v>1</v>
      </c>
      <c r="S279" s="228">
        <f>=P279-R279</f>
        <v>0</v>
      </c>
      <c r="T279" s="93">
        <f>=S279*L279</f>
        <v>0</v>
      </c>
      <c r="U279" s="234">
        <f>=J279-P279</f>
        <v>0</v>
      </c>
      <c r="V279" s="235" t="s"/>
      <c r="W279" s="235" t="s"/>
      <c r="X279" s="235" t="s"/>
      <c r="Y279" s="235" t="s"/>
      <c r="Z279" s="235" t="s"/>
    </row>
    <row r="280" spans="1:26" s="218" customFormat="true" ht="15.75" customHeight="true">
      <c r="A280" s="133">
        <v>46083</v>
      </c>
      <c r="B280" s="93">
        <f>=TODAY()-A280+1</f>
        <v>142</v>
      </c>
      <c r="C280" s="102" t="s">
        <v>132</v>
      </c>
      <c r="D280" s="93" t="s">
        <v>65</v>
      </c>
      <c r="E280" s="93" t="s"/>
      <c r="F280" s="93" t="s"/>
      <c r="G280" s="93" t="s">
        <v>421</v>
      </c>
      <c r="H280" s="93" t="s">
        <v>422</v>
      </c>
      <c r="I280" s="93" t="s">
        <v>723</v>
      </c>
      <c r="J280" s="93">
        <v>1</v>
      </c>
      <c r="K280" s="93" t="s"/>
      <c r="L280" s="93">
        <v>8989</v>
      </c>
      <c r="M280" s="217">
        <f>=J280*L280</f>
        <v>8989</v>
      </c>
      <c r="N280" s="93">
        <v>2</v>
      </c>
      <c r="O280" s="198">
        <f>=ROUND(IF((TODAY()-A280+1)*N280*(L280/10000)+L280&lt;L280*1.002,L280*1.002,(TODAY()-A280+1)*N280*(L280/10000)+L280),2)</f>
        <v>9246.09</v>
      </c>
      <c r="P280" s="93">
        <v>1</v>
      </c>
      <c r="Q280" s="93">
        <f>=J280-P280</f>
        <v>0</v>
      </c>
      <c r="R280" s="83">
        <v>1</v>
      </c>
      <c r="S280" s="228">
        <f>=P280-R280</f>
        <v>0</v>
      </c>
      <c r="T280" s="93">
        <f>=S280*L280</f>
        <v>0</v>
      </c>
      <c r="U280" s="237">
        <f>=J280-P280</f>
        <v>0</v>
      </c>
      <c r="V280" s="237" t="s"/>
      <c r="W280" s="237" t="s"/>
      <c r="X280" s="237" t="s"/>
      <c r="Y280" s="237" t="s"/>
      <c r="Z280" s="237" t="s"/>
    </row>
    <row r="281" spans="1:26" s="218" customFormat="true" ht="15.75" customHeight="true">
      <c r="A281" s="133">
        <v>46083</v>
      </c>
      <c r="B281" s="93">
        <f>=TODAY()-A281+1</f>
        <v>142</v>
      </c>
      <c r="C281" s="102" t="s">
        <v>132</v>
      </c>
      <c r="D281" s="93" t="s">
        <v>65</v>
      </c>
      <c r="E281" s="93" t="s"/>
      <c r="F281" s="93" t="s"/>
      <c r="G281" s="93" t="s">
        <v>421</v>
      </c>
      <c r="H281" s="93" t="s">
        <v>422</v>
      </c>
      <c r="I281" s="93" t="s">
        <v>727</v>
      </c>
      <c r="J281" s="93">
        <v>2</v>
      </c>
      <c r="K281" s="93" t="s"/>
      <c r="L281" s="93">
        <v>10635.5</v>
      </c>
      <c r="M281" s="217">
        <f>=J281*L281</f>
        <v>21271</v>
      </c>
      <c r="N281" s="93">
        <v>2</v>
      </c>
      <c r="O281" s="198">
        <f>=ROUND(IF((TODAY()-A281+1)*N281*(L281/10000)+L281&lt;L281*1.002,L281*1.002,(TODAY()-A281+1)*N281*(L281/10000)+L281),2)</f>
        <v>10939.68</v>
      </c>
      <c r="P281" s="93">
        <v>2</v>
      </c>
      <c r="Q281" s="93">
        <f>=J281-P281</f>
        <v>0</v>
      </c>
      <c r="R281" s="83">
        <v>2</v>
      </c>
      <c r="S281" s="228">
        <f>=P281-R281</f>
        <v>0</v>
      </c>
      <c r="T281" s="93">
        <f>=S281*L281</f>
        <v>0</v>
      </c>
      <c r="U281" s="237">
        <f>=J281-P281</f>
        <v>0</v>
      </c>
      <c r="V281" s="237" t="s"/>
      <c r="W281" s="237" t="s"/>
      <c r="X281" s="237" t="s"/>
      <c r="Y281" s="237" t="s"/>
      <c r="Z281" s="237" t="s"/>
    </row>
    <row r="282" spans="1:26" s="218" customFormat="true" ht="15.75" customHeight="true">
      <c r="A282" s="133">
        <v>46089</v>
      </c>
      <c r="B282" s="93">
        <f>=TODAY()-A282+1</f>
        <v>136</v>
      </c>
      <c r="C282" s="102" t="s">
        <v>136</v>
      </c>
      <c r="D282" s="93" t="s">
        <v>135</v>
      </c>
      <c r="E282" s="217" t="s">
        <v>37</v>
      </c>
      <c r="F282" s="221" t="s">
        <v>856</v>
      </c>
      <c r="G282" s="111" t="s">
        <v>428</v>
      </c>
      <c r="H282" s="111" t="s">
        <v>422</v>
      </c>
      <c r="I282" s="238" t="s">
        <v>857</v>
      </c>
      <c r="J282" s="93">
        <v>200</v>
      </c>
      <c r="K282" s="93" t="s"/>
      <c r="L282" s="111">
        <v>1160</v>
      </c>
      <c r="M282" s="217">
        <f>=J282*L282</f>
        <v>232000</v>
      </c>
      <c r="N282" s="93">
        <v>2.3</v>
      </c>
      <c r="O282" s="198">
        <f>=ROUND(IF((TODAY()-A282+1)*N282*(L282/10000)+L282&lt;L282*1.002,L282*1.002,(TODAY()-A282+1)*N282*(L282/10000)+L282),2)</f>
        <v>1196.55</v>
      </c>
      <c r="P282" s="93">
        <v>200</v>
      </c>
      <c r="Q282" s="93">
        <f>=J282-P282</f>
        <v>0</v>
      </c>
      <c r="R282" s="93">
        <v>200</v>
      </c>
      <c r="S282" s="217">
        <f>=P282-R282</f>
        <v>0</v>
      </c>
      <c r="T282" s="93">
        <f>=S282*L282</f>
        <v>0</v>
      </c>
      <c r="U282" s="218">
        <f>=J282-P282</f>
        <v>0</v>
      </c>
      <c r="V282" s="218" t="s"/>
      <c r="W282" s="218" t="s"/>
      <c r="X282" s="218" t="s"/>
      <c r="Y282" s="218" t="s"/>
      <c r="Z282" s="218" t="s"/>
    </row>
    <row r="283" spans="1:26" s="218" customFormat="true" ht="15.75" customHeight="true">
      <c r="A283" s="133">
        <v>46089</v>
      </c>
      <c r="B283" s="93">
        <f>=TODAY()-A283+1</f>
        <v>136</v>
      </c>
      <c r="C283" s="102" t="s">
        <v>136</v>
      </c>
      <c r="D283" s="93" t="s">
        <v>135</v>
      </c>
      <c r="E283" s="239" t="s">
        <v>858</v>
      </c>
      <c r="F283" s="221" t="s">
        <v>856</v>
      </c>
      <c r="G283" s="111" t="s">
        <v>428</v>
      </c>
      <c r="H283" s="111" t="s">
        <v>422</v>
      </c>
      <c r="I283" s="111" t="s">
        <v>859</v>
      </c>
      <c r="J283" s="93">
        <v>200</v>
      </c>
      <c r="K283" s="93" t="s"/>
      <c r="L283" s="111">
        <v>1160</v>
      </c>
      <c r="M283" s="217">
        <f>=J283*L283</f>
        <v>232000</v>
      </c>
      <c r="N283" s="93">
        <v>2.3</v>
      </c>
      <c r="O283" s="198">
        <f>=ROUND(IF((TODAY()-A283+1)*N283*(L283/10000)+L283&lt;L283*1.002,L283*1.002,(TODAY()-A283+1)*N283*(L283/10000)+L283),2)</f>
        <v>1196.55</v>
      </c>
      <c r="P283" s="93">
        <v>200</v>
      </c>
      <c r="Q283" s="93">
        <f>=J283-P283</f>
        <v>0</v>
      </c>
      <c r="R283" s="93">
        <v>200</v>
      </c>
      <c r="S283" s="217">
        <f>=P283-R283</f>
        <v>0</v>
      </c>
      <c r="T283" s="93">
        <f>=S283*L283</f>
        <v>0</v>
      </c>
      <c r="U283" s="218">
        <f>=J283-P283</f>
        <v>0</v>
      </c>
      <c r="V283" s="218" t="s"/>
      <c r="W283" s="218" t="s"/>
      <c r="X283" s="218" t="s"/>
      <c r="Y283" s="218" t="s"/>
      <c r="Z283" s="218" t="s"/>
    </row>
    <row r="284" spans="1:26" s="218" customFormat="true" ht="15.75" customHeight="true">
      <c r="A284" s="133">
        <v>46089</v>
      </c>
      <c r="B284" s="93">
        <f>=TODAY()-A284+1</f>
        <v>136</v>
      </c>
      <c r="C284" s="102" t="s">
        <v>136</v>
      </c>
      <c r="D284" s="93" t="s">
        <v>135</v>
      </c>
      <c r="E284" s="239" t="s">
        <v>860</v>
      </c>
      <c r="F284" s="221" t="s">
        <v>856</v>
      </c>
      <c r="G284" s="93" t="s">
        <v>428</v>
      </c>
      <c r="H284" s="93" t="s">
        <v>422</v>
      </c>
      <c r="I284" s="236" t="s">
        <v>861</v>
      </c>
      <c r="J284" s="111">
        <v>300</v>
      </c>
      <c r="K284" s="152" t="s"/>
      <c r="L284" s="111">
        <v>1160</v>
      </c>
      <c r="M284" s="217">
        <f>=J284*L284</f>
        <v>348000</v>
      </c>
      <c r="N284" s="93">
        <v>2.3</v>
      </c>
      <c r="O284" s="198">
        <f>=ROUND(IF((TODAY()-A284+1)*N284*(L284/10000)+L284&lt;L284*1.002,L284*1.002,(TODAY()-A284+1)*N284*(L284/10000)+L284),2)</f>
        <v>1196.55</v>
      </c>
      <c r="P284" s="111">
        <v>300</v>
      </c>
      <c r="Q284" s="93">
        <f>=J284-P284</f>
        <v>0</v>
      </c>
      <c r="R284" s="152">
        <v>300</v>
      </c>
      <c r="S284" s="217">
        <f>=P284-R284</f>
        <v>0</v>
      </c>
      <c r="T284" s="93">
        <f>=S284*L284</f>
        <v>0</v>
      </c>
      <c r="U284" s="237">
        <f>=J284-P284</f>
        <v>0</v>
      </c>
      <c r="V284" s="237" t="s"/>
      <c r="W284" s="237" t="s"/>
      <c r="X284" s="240" t="s"/>
      <c r="Y284" s="240" t="s"/>
      <c r="Z284" s="240" t="s"/>
    </row>
    <row r="285" spans="1:26" s="218" customFormat="true" ht="15.75" customHeight="true">
      <c r="A285" s="102">
        <v>46090</v>
      </c>
      <c r="B285" s="93">
        <f>=TODAY()-A285+1</f>
        <v>135</v>
      </c>
      <c r="C285" s="102" t="s">
        <v>139</v>
      </c>
      <c r="D285" s="241" t="s">
        <v>294</v>
      </c>
      <c r="E285" s="239" t="s">
        <v>862</v>
      </c>
      <c r="F285" s="221" t="s">
        <v>863</v>
      </c>
      <c r="G285" s="220" t="s">
        <v>864</v>
      </c>
      <c r="H285" s="220" t="s">
        <v>422</v>
      </c>
      <c r="I285" s="220" t="s">
        <v>865</v>
      </c>
      <c r="J285" s="93">
        <v>1400</v>
      </c>
      <c r="K285" s="93" t="s"/>
      <c r="L285" s="93">
        <v>1912</v>
      </c>
      <c r="M285" s="217">
        <f>=J285*L285</f>
        <v>2676800</v>
      </c>
      <c r="N285" s="93">
        <v>3</v>
      </c>
      <c r="O285" s="198">
        <f>=ROUND(IF((TODAY()-A285+1)*N285*(L285/10000)+L285&lt;L285*1.002,L285*1.002,(TODAY()-A285+1)*N285*(L285/10000)+L285),2)</f>
        <v>1990.01</v>
      </c>
      <c r="P285" s="93">
        <v>1400</v>
      </c>
      <c r="Q285" s="93">
        <f>=J285-P285</f>
        <v>0</v>
      </c>
      <c r="R285" s="93">
        <v>1400</v>
      </c>
      <c r="S285" s="217">
        <f>=P285-R285</f>
        <v>0</v>
      </c>
      <c r="T285" s="93">
        <f>=S285*L285</f>
        <v>0</v>
      </c>
      <c r="U285" s="218">
        <f>=J285-P285</f>
        <v>0</v>
      </c>
      <c r="V285" s="218" t="s"/>
      <c r="W285" s="218" t="s"/>
      <c r="X285" s="218" t="s"/>
      <c r="Y285" s="218" t="s"/>
      <c r="Z285" s="218" t="s"/>
    </row>
    <row r="286" spans="1:26" s="218" customFormat="true" ht="15.75" customHeight="true">
      <c r="A286" s="98">
        <v>46090</v>
      </c>
      <c r="B286" s="71">
        <f>=TODAY()-A286+1</f>
        <v>135</v>
      </c>
      <c r="C286" s="98" t="s">
        <v>139</v>
      </c>
      <c r="D286" s="108" t="s">
        <v>294</v>
      </c>
      <c r="E286" s="160" t="s">
        <v>866</v>
      </c>
      <c r="F286" s="242" t="s">
        <v>863</v>
      </c>
      <c r="G286" s="156" t="s">
        <v>864</v>
      </c>
      <c r="H286" s="156" t="s">
        <v>422</v>
      </c>
      <c r="I286" s="156" t="s">
        <v>867</v>
      </c>
      <c r="J286" s="71">
        <v>900</v>
      </c>
      <c r="K286" s="71" t="s"/>
      <c r="L286" s="71">
        <v>1912</v>
      </c>
      <c r="M286" s="112">
        <f>=J286*L286</f>
        <v>1720800</v>
      </c>
      <c r="N286" s="71">
        <v>3</v>
      </c>
      <c r="O286" s="189">
        <f>=ROUND(IF((TODAY()-A286+1)*N286*(L286/10000)+L286&lt;L286*1.002,L286*1.002,(TODAY()-A286+1)*N286*(L286/10000)+L286),2)</f>
        <v>1990.01</v>
      </c>
      <c r="P286" s="71">
        <v>900</v>
      </c>
      <c r="Q286" s="71">
        <f>=J286-P286</f>
        <v>0</v>
      </c>
      <c r="R286" s="71">
        <v>900</v>
      </c>
      <c r="S286" s="112">
        <f>=P286-R286</f>
        <v>0</v>
      </c>
      <c r="T286" s="71">
        <f>=S286*L286</f>
        <v>0</v>
      </c>
      <c r="U286" s="190">
        <f>=J286-P286</f>
        <v>0</v>
      </c>
      <c r="V286" s="190" t="s"/>
      <c r="W286" s="190" t="s"/>
      <c r="X286" s="190" t="s"/>
      <c r="Y286" s="190" t="s"/>
      <c r="Z286" s="190" t="s"/>
    </row>
    <row r="287" spans="1:26" s="218" customFormat="true" ht="15.75" customHeight="true">
      <c r="A287" s="98">
        <v>46090</v>
      </c>
      <c r="B287" s="71">
        <f>=TODAY()-A287+1</f>
        <v>135</v>
      </c>
      <c r="C287" s="98" t="s">
        <v>139</v>
      </c>
      <c r="D287" s="108" t="s">
        <v>294</v>
      </c>
      <c r="E287" s="160" t="s">
        <v>868</v>
      </c>
      <c r="F287" s="242" t="s">
        <v>863</v>
      </c>
      <c r="G287" s="156" t="s">
        <v>864</v>
      </c>
      <c r="H287" s="156" t="s">
        <v>422</v>
      </c>
      <c r="I287" s="156" t="s">
        <v>869</v>
      </c>
      <c r="J287" s="71">
        <v>900</v>
      </c>
      <c r="K287" s="71" t="s"/>
      <c r="L287" s="71">
        <v>1912</v>
      </c>
      <c r="M287" s="112">
        <f>=J287*L287</f>
        <v>1720800</v>
      </c>
      <c r="N287" s="71">
        <v>3</v>
      </c>
      <c r="O287" s="189">
        <f>=ROUND(IF((TODAY()-A287+1)*N287*(L287/10000)+L287&lt;L287*1.002,L287*1.002,(TODAY()-A287+1)*N287*(L287/10000)+L287),2)</f>
        <v>1990.01</v>
      </c>
      <c r="P287" s="71">
        <v>900</v>
      </c>
      <c r="Q287" s="71">
        <f>=J287-P287</f>
        <v>0</v>
      </c>
      <c r="R287" s="71">
        <v>900</v>
      </c>
      <c r="S287" s="112">
        <f>=P287-R287</f>
        <v>0</v>
      </c>
      <c r="T287" s="71">
        <f>=S287*L287</f>
        <v>0</v>
      </c>
      <c r="U287" s="190">
        <f>=J287-P287</f>
        <v>0</v>
      </c>
      <c r="V287" s="190" t="s"/>
      <c r="W287" s="190" t="s"/>
      <c r="X287" s="190" t="s"/>
      <c r="Y287" s="190" t="s"/>
      <c r="Z287" s="190" t="s"/>
    </row>
    <row r="288" spans="1:26" s="218" customFormat="true" ht="15.75" customHeight="true">
      <c r="A288" s="98">
        <v>46091</v>
      </c>
      <c r="B288" s="71">
        <f>=TODAY()-A288+1</f>
        <v>134</v>
      </c>
      <c r="C288" s="98" t="s">
        <v>140</v>
      </c>
      <c r="D288" s="108" t="s">
        <v>294</v>
      </c>
      <c r="E288" s="160" t="s">
        <v>870</v>
      </c>
      <c r="F288" s="242" t="s">
        <v>863</v>
      </c>
      <c r="G288" s="156" t="s">
        <v>864</v>
      </c>
      <c r="H288" s="156" t="s">
        <v>422</v>
      </c>
      <c r="I288" s="156" t="s">
        <v>865</v>
      </c>
      <c r="J288" s="71">
        <v>700</v>
      </c>
      <c r="K288" s="71" t="s"/>
      <c r="L288" s="71">
        <v>1912</v>
      </c>
      <c r="M288" s="112">
        <f>=J288*L288</f>
        <v>1338400</v>
      </c>
      <c r="N288" s="71">
        <v>3</v>
      </c>
      <c r="O288" s="189">
        <f>=ROUND(IF((TODAY()-A288+1)*N288*(L288/10000)+L288&lt;L288*1.002,L288*1.002,(TODAY()-A288+1)*N288*(L288/10000)+L288),2)</f>
        <v>1989.44</v>
      </c>
      <c r="P288" s="71">
        <v>700</v>
      </c>
      <c r="Q288" s="71">
        <f>=J288-P288</f>
        <v>0</v>
      </c>
      <c r="R288" s="71">
        <v>700</v>
      </c>
      <c r="S288" s="112">
        <f>=P288-R288</f>
        <v>0</v>
      </c>
      <c r="T288" s="71">
        <f>=S288*L288</f>
        <v>0</v>
      </c>
      <c r="U288" s="190">
        <f>=J288-P288</f>
        <v>0</v>
      </c>
      <c r="V288" s="190" t="s"/>
      <c r="W288" s="190" t="s"/>
      <c r="X288" s="190" t="s"/>
      <c r="Y288" s="190" t="s"/>
      <c r="Z288" s="190" t="s"/>
    </row>
    <row r="289" spans="1:26">
      <c r="A289" s="102">
        <v>46091</v>
      </c>
      <c r="B289" s="93">
        <f>=TODAY()-A289+1</f>
        <v>134</v>
      </c>
      <c r="C289" s="102" t="s">
        <v>140</v>
      </c>
      <c r="D289" s="241" t="s">
        <v>294</v>
      </c>
      <c r="E289" s="239" t="s">
        <v>871</v>
      </c>
      <c r="F289" s="221" t="s">
        <v>863</v>
      </c>
      <c r="G289" s="220" t="s">
        <v>864</v>
      </c>
      <c r="H289" s="220" t="s">
        <v>422</v>
      </c>
      <c r="I289" s="220" t="s">
        <v>867</v>
      </c>
      <c r="J289" s="93">
        <v>700</v>
      </c>
      <c r="K289" s="93" t="s"/>
      <c r="L289" s="93">
        <v>1912</v>
      </c>
      <c r="M289" s="217">
        <f>=J289*L289</f>
        <v>1338400</v>
      </c>
      <c r="N289" s="93">
        <v>3</v>
      </c>
      <c r="O289" s="198">
        <f>=ROUND(IF((TODAY()-A289+1)*N289*(L289/10000)+L289&lt;L289*1.002,L289*1.002,(TODAY()-A289+1)*N289*(L289/10000)+L289),2)</f>
        <v>1989.44</v>
      </c>
      <c r="P289" s="93">
        <v>700</v>
      </c>
      <c r="Q289" s="93">
        <f>=J289-P289</f>
        <v>0</v>
      </c>
      <c r="R289" s="93">
        <v>700</v>
      </c>
      <c r="S289" s="217">
        <f>=P289-R289</f>
        <v>0</v>
      </c>
      <c r="T289" s="93">
        <f>=S289*L289</f>
        <v>0</v>
      </c>
      <c r="U289" s="218">
        <f>=J289-P289</f>
        <v>0</v>
      </c>
      <c r="V289" s="218" t="s"/>
      <c r="W289" s="218" t="s"/>
      <c r="X289" s="218" t="s"/>
      <c r="Y289" s="218" t="s"/>
      <c r="Z289" s="218" t="s"/>
    </row>
    <row r="290" spans="1:26">
      <c r="A290" s="102">
        <v>46091</v>
      </c>
      <c r="B290" s="93">
        <f>=TODAY()-A290+1</f>
        <v>134</v>
      </c>
      <c r="C290" s="102" t="s">
        <v>140</v>
      </c>
      <c r="D290" s="241" t="s">
        <v>294</v>
      </c>
      <c r="E290" s="239" t="s">
        <v>872</v>
      </c>
      <c r="F290" s="221" t="s">
        <v>863</v>
      </c>
      <c r="G290" s="220" t="s">
        <v>864</v>
      </c>
      <c r="H290" s="220" t="s">
        <v>422</v>
      </c>
      <c r="I290" s="220" t="s">
        <v>869</v>
      </c>
      <c r="J290" s="93">
        <v>400</v>
      </c>
      <c r="K290" s="93" t="s"/>
      <c r="L290" s="93">
        <v>1912</v>
      </c>
      <c r="M290" s="217">
        <f>=J290*L290</f>
        <v>764800</v>
      </c>
      <c r="N290" s="93">
        <v>3</v>
      </c>
      <c r="O290" s="198">
        <f>=ROUND(IF((TODAY()-A290+1)*N290*(L290/10000)+L290&lt;L290*1.002,L290*1.002,(TODAY()-A290+1)*N290*(L290/10000)+L290),2)</f>
        <v>1989.44</v>
      </c>
      <c r="P290" s="93">
        <v>400</v>
      </c>
      <c r="Q290" s="93">
        <f>=J290-P290</f>
        <v>0</v>
      </c>
      <c r="R290" s="93">
        <v>400</v>
      </c>
      <c r="S290" s="217">
        <f>=P290-R290</f>
        <v>0</v>
      </c>
      <c r="T290" s="93">
        <f>=S290*L290</f>
        <v>0</v>
      </c>
      <c r="U290" s="218">
        <f>=J290-P290</f>
        <v>0</v>
      </c>
      <c r="V290" s="218" t="s"/>
      <c r="W290" s="218" t="s"/>
      <c r="X290" s="218" t="s"/>
      <c r="Y290" s="218" t="s"/>
      <c r="Z290" s="218" t="s"/>
    </row>
    <row r="291" spans="1:26" s="218" customFormat="true" ht="15.75" customHeight="true">
      <c r="A291" s="107">
        <v>46092</v>
      </c>
      <c r="B291" s="71">
        <f>=TODAY()-A291+1</f>
        <v>133</v>
      </c>
      <c r="C291" s="98" t="s">
        <v>141</v>
      </c>
      <c r="D291" s="71" t="s">
        <v>135</v>
      </c>
      <c r="E291" s="112" t="s">
        <v>37</v>
      </c>
      <c r="F291" s="242" t="s">
        <v>856</v>
      </c>
      <c r="G291" s="62" t="s">
        <v>741</v>
      </c>
      <c r="H291" s="62" t="s">
        <v>422</v>
      </c>
      <c r="I291" s="62" t="s">
        <v>873</v>
      </c>
      <c r="J291" s="71">
        <v>500</v>
      </c>
      <c r="K291" s="71" t="s"/>
      <c r="L291" s="62">
        <v>1100</v>
      </c>
      <c r="M291" s="112">
        <f>=J291*L291</f>
        <v>550000</v>
      </c>
      <c r="N291" s="71">
        <v>2.5</v>
      </c>
      <c r="O291" s="189">
        <f>=ROUND(IF((TODAY()-A291+1)*N291*(L291/10000)+L291&lt;L291*1.002,L291*1.002,(TODAY()-A291+1)*N291*(L291/10000)+L291),2)</f>
        <v>1136.85</v>
      </c>
      <c r="P291" s="71">
        <v>500</v>
      </c>
      <c r="Q291" s="71">
        <f>=J291-P291</f>
        <v>0</v>
      </c>
      <c r="R291" s="71">
        <v>500</v>
      </c>
      <c r="S291" s="112">
        <f>=P291-R291</f>
        <v>0</v>
      </c>
      <c r="T291" s="71">
        <f>=S291*L291</f>
        <v>0</v>
      </c>
      <c r="U291" s="190">
        <f>=J291-P291</f>
        <v>0</v>
      </c>
      <c r="V291" s="190" t="s"/>
      <c r="W291" s="190" t="s"/>
      <c r="X291" s="190" t="s"/>
      <c r="Y291" s="190" t="s"/>
      <c r="Z291" s="190" t="s"/>
    </row>
    <row r="292" spans="1:26" s="218" customFormat="true" ht="15.75" customHeight="true">
      <c r="A292" s="98">
        <v>46093</v>
      </c>
      <c r="B292" s="71">
        <f>=TODAY()-A292+1</f>
        <v>132</v>
      </c>
      <c r="C292" s="71" t="s">
        <v>143</v>
      </c>
      <c r="D292" s="71" t="s">
        <v>142</v>
      </c>
      <c r="E292" s="160" t="s">
        <v>874</v>
      </c>
      <c r="F292" s="242" t="s">
        <v>875</v>
      </c>
      <c r="G292" s="108" t="s">
        <v>503</v>
      </c>
      <c r="H292" s="112" t="s">
        <v>422</v>
      </c>
      <c r="I292" s="112" t="s">
        <v>876</v>
      </c>
      <c r="J292" s="71">
        <v>10</v>
      </c>
      <c r="K292" s="71" t="s"/>
      <c r="L292" s="71">
        <v>1950</v>
      </c>
      <c r="M292" s="112">
        <f>=J292*L292</f>
        <v>19500</v>
      </c>
      <c r="N292" s="71">
        <v>2.5</v>
      </c>
      <c r="O292" s="189">
        <f>=ROUND(IF((TODAY()-A292+1)*N292*(L292/10000)+L292&lt;L292*1.002,L292*1.002,(TODAY()-A292+1)*N292*(L292/10000)+L292),2)</f>
        <v>2014.84</v>
      </c>
      <c r="P292" s="100">
        <v>10</v>
      </c>
      <c r="Q292" s="71">
        <f>=J292-P292</f>
        <v>0</v>
      </c>
      <c r="R292" s="71">
        <v>10</v>
      </c>
      <c r="S292" s="112">
        <f>=P292-R292</f>
        <v>0</v>
      </c>
      <c r="T292" s="71">
        <f>=S292*L292</f>
        <v>0</v>
      </c>
      <c r="U292" s="190">
        <f>=J292-P292</f>
        <v>0</v>
      </c>
      <c r="V292" s="190" t="s"/>
      <c r="W292" s="190" t="s"/>
      <c r="X292" s="190" t="s"/>
      <c r="Y292" s="190" t="s"/>
      <c r="Z292" s="190" t="s"/>
    </row>
    <row r="293" spans="1:26" s="218" customFormat="true" ht="15.75" customHeight="true">
      <c r="A293" s="98">
        <v>46093</v>
      </c>
      <c r="B293" s="71">
        <f>=TODAY()-A293+1</f>
        <v>132</v>
      </c>
      <c r="C293" s="71" t="s">
        <v>143</v>
      </c>
      <c r="D293" s="71" t="s">
        <v>142</v>
      </c>
      <c r="E293" s="160" t="s">
        <v>877</v>
      </c>
      <c r="F293" s="242" t="s">
        <v>875</v>
      </c>
      <c r="G293" s="108" t="s">
        <v>503</v>
      </c>
      <c r="H293" s="112" t="s">
        <v>422</v>
      </c>
      <c r="I293" s="112" t="s">
        <v>878</v>
      </c>
      <c r="J293" s="71">
        <v>30</v>
      </c>
      <c r="K293" s="71" t="s"/>
      <c r="L293" s="71">
        <v>1950</v>
      </c>
      <c r="M293" s="112">
        <f>=J293*L293</f>
        <v>58500</v>
      </c>
      <c r="N293" s="71">
        <v>2.5</v>
      </c>
      <c r="O293" s="189">
        <f>=ROUND(IF((TODAY()-A293+1)*N293*(L293/10000)+L293&lt;L293*1.002,L293*1.002,(TODAY()-A293+1)*N293*(L293/10000)+L293),2)</f>
        <v>2014.84</v>
      </c>
      <c r="P293" s="100">
        <v>30</v>
      </c>
      <c r="Q293" s="71">
        <f>=J293-P293</f>
        <v>0</v>
      </c>
      <c r="R293" s="71">
        <v>30</v>
      </c>
      <c r="S293" s="112">
        <f>=P293-R293</f>
        <v>0</v>
      </c>
      <c r="T293" s="71">
        <f>=S293*L293</f>
        <v>0</v>
      </c>
      <c r="U293" s="190">
        <f>=J293-P293</f>
        <v>0</v>
      </c>
      <c r="V293" s="190" t="s"/>
      <c r="W293" s="190" t="s"/>
      <c r="X293" s="190" t="s"/>
      <c r="Y293" s="190" t="s"/>
      <c r="Z293" s="190" t="s"/>
    </row>
    <row r="294" spans="1:26" s="218" customFormat="true" ht="15.75" customHeight="true">
      <c r="A294" s="98">
        <v>46093</v>
      </c>
      <c r="B294" s="71">
        <f>=TODAY()-A294+1</f>
        <v>132</v>
      </c>
      <c r="C294" s="71" t="s">
        <v>143</v>
      </c>
      <c r="D294" s="71" t="s">
        <v>142</v>
      </c>
      <c r="E294" s="160" t="s">
        <v>879</v>
      </c>
      <c r="F294" s="242" t="s">
        <v>875</v>
      </c>
      <c r="G294" s="108" t="s">
        <v>503</v>
      </c>
      <c r="H294" s="112" t="s">
        <v>422</v>
      </c>
      <c r="I294" s="112" t="s">
        <v>880</v>
      </c>
      <c r="J294" s="71">
        <v>30</v>
      </c>
      <c r="K294" s="71" t="s"/>
      <c r="L294" s="71">
        <v>1950</v>
      </c>
      <c r="M294" s="112">
        <f>=J294*L294</f>
        <v>58500</v>
      </c>
      <c r="N294" s="71">
        <v>2.5</v>
      </c>
      <c r="O294" s="189">
        <f>=ROUND(IF((TODAY()-A294+1)*N294*(L294/10000)+L294&lt;L294*1.002,L294*1.002,(TODAY()-A294+1)*N294*(L294/10000)+L294),2)</f>
        <v>2014.84</v>
      </c>
      <c r="P294" s="100">
        <v>30</v>
      </c>
      <c r="Q294" s="71">
        <f>=J294-P294</f>
        <v>0</v>
      </c>
      <c r="R294" s="71">
        <v>30</v>
      </c>
      <c r="S294" s="112">
        <f>=P294-R294</f>
        <v>0</v>
      </c>
      <c r="T294" s="71">
        <f>=S294*L294</f>
        <v>0</v>
      </c>
      <c r="U294" s="190">
        <f>=J294-P294</f>
        <v>0</v>
      </c>
      <c r="V294" s="190" t="s"/>
      <c r="W294" s="190" t="s"/>
      <c r="X294" s="190" t="s"/>
      <c r="Y294" s="190" t="s"/>
      <c r="Z294" s="190" t="s"/>
    </row>
    <row r="295" spans="1:26" s="218" customFormat="true" ht="15.75" customHeight="true">
      <c r="A295" s="98">
        <v>46093</v>
      </c>
      <c r="B295" s="71">
        <f>=TODAY()-A295+1</f>
        <v>132</v>
      </c>
      <c r="C295" s="71" t="s">
        <v>143</v>
      </c>
      <c r="D295" s="71" t="s">
        <v>142</v>
      </c>
      <c r="E295" s="160" t="s">
        <v>881</v>
      </c>
      <c r="F295" s="242" t="s">
        <v>875</v>
      </c>
      <c r="G295" s="108" t="s">
        <v>503</v>
      </c>
      <c r="H295" s="112" t="s">
        <v>422</v>
      </c>
      <c r="I295" s="112" t="s">
        <v>882</v>
      </c>
      <c r="J295" s="71">
        <v>30</v>
      </c>
      <c r="K295" s="71" t="s"/>
      <c r="L295" s="71">
        <v>1950</v>
      </c>
      <c r="M295" s="112">
        <f>=J295*L295</f>
        <v>58500</v>
      </c>
      <c r="N295" s="71">
        <v>2.5</v>
      </c>
      <c r="O295" s="189">
        <f>=ROUND(IF((TODAY()-A295+1)*N295*(L295/10000)+L295&lt;L295*1.002,L295*1.002,(TODAY()-A295+1)*N295*(L295/10000)+L295),2)</f>
        <v>2014.84</v>
      </c>
      <c r="P295" s="100">
        <v>30</v>
      </c>
      <c r="Q295" s="71">
        <f>=J295-P295</f>
        <v>0</v>
      </c>
      <c r="R295" s="71">
        <v>30</v>
      </c>
      <c r="S295" s="112">
        <f>=P295-R295</f>
        <v>0</v>
      </c>
      <c r="T295" s="71">
        <f>=S295*L295</f>
        <v>0</v>
      </c>
      <c r="U295" s="190">
        <f>=J295-P295</f>
        <v>0</v>
      </c>
      <c r="V295" s="190" t="s"/>
      <c r="W295" s="190" t="s"/>
      <c r="X295" s="190" t="s"/>
      <c r="Y295" s="190" t="s"/>
      <c r="Z295" s="190" t="s"/>
    </row>
    <row r="296" spans="1:26" s="218" customFormat="true" ht="15.75" customHeight="true">
      <c r="A296" s="98">
        <v>46095</v>
      </c>
      <c r="B296" s="93">
        <f>=TODAY()-A296+1</f>
        <v>130</v>
      </c>
      <c r="C296" s="98" t="s">
        <v>144</v>
      </c>
      <c r="D296" s="93" t="s">
        <v>135</v>
      </c>
      <c r="E296" s="160" t="s">
        <v>883</v>
      </c>
      <c r="F296" s="242" t="s">
        <v>856</v>
      </c>
      <c r="G296" s="93" t="s">
        <v>428</v>
      </c>
      <c r="H296" s="93" t="s">
        <v>422</v>
      </c>
      <c r="I296" s="243" t="s">
        <v>884</v>
      </c>
      <c r="J296" s="244">
        <v>500</v>
      </c>
      <c r="K296" s="245" t="s"/>
      <c r="L296" s="71">
        <v>930</v>
      </c>
      <c r="M296" s="112">
        <f>=J296*L296</f>
        <v>465000</v>
      </c>
      <c r="N296" s="71">
        <v>2.5</v>
      </c>
      <c r="O296" s="198">
        <f>=ROUND(IF((TODAY()-A296+1)*N296*(L296/10000)+L296&lt;L296*1.002,L296*1.002,(TODAY()-A296+1)*N296*(L296/10000)+L296),2)</f>
        <v>960.46</v>
      </c>
      <c r="P296" s="71">
        <v>500</v>
      </c>
      <c r="Q296" s="71">
        <f>=J296-P296</f>
        <v>0</v>
      </c>
      <c r="R296" s="93">
        <v>500</v>
      </c>
      <c r="S296" s="112">
        <f>=P296-R296</f>
        <v>0</v>
      </c>
      <c r="T296" s="71">
        <f>=S296*L296</f>
        <v>0</v>
      </c>
      <c r="U296" s="190">
        <f>=J296-P296</f>
        <v>0</v>
      </c>
      <c r="V296" s="190" t="s"/>
      <c r="W296" s="190" t="s"/>
      <c r="X296" s="190" t="s"/>
      <c r="Y296" s="190" t="s"/>
      <c r="Z296" s="190" t="s"/>
    </row>
    <row r="297" spans="1:26" s="218" customFormat="true" ht="15.75" customHeight="true">
      <c r="A297" s="98">
        <v>46095</v>
      </c>
      <c r="B297" s="71">
        <f>=TODAY()-A297+1</f>
        <v>130</v>
      </c>
      <c r="C297" s="98" t="s">
        <v>144</v>
      </c>
      <c r="D297" s="71" t="s">
        <v>135</v>
      </c>
      <c r="E297" s="213" t="s">
        <v>885</v>
      </c>
      <c r="F297" s="242" t="s">
        <v>856</v>
      </c>
      <c r="G297" s="112" t="s">
        <v>428</v>
      </c>
      <c r="H297" s="112" t="s">
        <v>422</v>
      </c>
      <c r="I297" s="243" t="s">
        <v>886</v>
      </c>
      <c r="J297" s="71">
        <v>250</v>
      </c>
      <c r="K297" s="71" t="s"/>
      <c r="L297" s="71">
        <v>930</v>
      </c>
      <c r="M297" s="112">
        <f>=J297*L297</f>
        <v>232500</v>
      </c>
      <c r="N297" s="71">
        <v>2.5</v>
      </c>
      <c r="O297" s="189">
        <f>=ROUND(IF((TODAY()-A297+1)*N297*(L297/10000)+L297&lt;L297*1.002,L297*1.002,(TODAY()-A297+1)*N297*(L297/10000)+L297),2)</f>
        <v>960.46</v>
      </c>
      <c r="P297" s="71">
        <v>250</v>
      </c>
      <c r="Q297" s="71">
        <f>=J297-P297</f>
        <v>0</v>
      </c>
      <c r="R297" s="71">
        <v>250</v>
      </c>
      <c r="S297" s="112">
        <f>=P297-R297</f>
        <v>0</v>
      </c>
      <c r="T297" s="71">
        <f>=S297*L297</f>
        <v>0</v>
      </c>
      <c r="U297" s="190">
        <f>=J297-P297</f>
        <v>0</v>
      </c>
      <c r="V297" s="190" t="s"/>
      <c r="W297" s="190" t="s"/>
      <c r="X297" s="190" t="s"/>
      <c r="Y297" s="190" t="s"/>
      <c r="Z297" s="190" t="s"/>
    </row>
    <row r="298" spans="1:26" s="218" customFormat="true" ht="15.75" customHeight="true">
      <c r="A298" s="98">
        <v>46095</v>
      </c>
      <c r="B298" s="71">
        <f>=TODAY()-A298+1</f>
        <v>130</v>
      </c>
      <c r="C298" s="98" t="s">
        <v>144</v>
      </c>
      <c r="D298" s="71" t="s">
        <v>135</v>
      </c>
      <c r="E298" s="160" t="s">
        <v>887</v>
      </c>
      <c r="F298" s="242" t="s">
        <v>856</v>
      </c>
      <c r="G298" s="112" t="s">
        <v>428</v>
      </c>
      <c r="H298" s="112" t="s">
        <v>422</v>
      </c>
      <c r="I298" s="243" t="s">
        <v>612</v>
      </c>
      <c r="J298" s="71">
        <v>250</v>
      </c>
      <c r="K298" s="71" t="s"/>
      <c r="L298" s="71">
        <v>930</v>
      </c>
      <c r="M298" s="112">
        <f>=J298*L298</f>
        <v>232500</v>
      </c>
      <c r="N298" s="71">
        <v>2.5</v>
      </c>
      <c r="O298" s="189">
        <f>=ROUND(IF((TODAY()-A298+1)*N298*(L298/10000)+L298&lt;L298*1.002,L298*1.002,(TODAY()-A298+1)*N298*(L298/10000)+L298),2)</f>
        <v>960.46</v>
      </c>
      <c r="P298" s="71">
        <v>250</v>
      </c>
      <c r="Q298" s="71">
        <f>=J298-P298</f>
        <v>0</v>
      </c>
      <c r="R298" s="71">
        <v>250</v>
      </c>
      <c r="S298" s="112">
        <f>=P298-R298</f>
        <v>0</v>
      </c>
      <c r="T298" s="71">
        <f>=S298*L298</f>
        <v>0</v>
      </c>
      <c r="U298" s="190">
        <f>=J298-P298</f>
        <v>0</v>
      </c>
      <c r="V298" s="190" t="s"/>
      <c r="W298" s="190" t="s"/>
      <c r="X298" s="190" t="s"/>
      <c r="Y298" s="190" t="s"/>
      <c r="Z298" s="190" t="s"/>
    </row>
    <row r="299" spans="1:26" s="218" customFormat="true" ht="15.75" customHeight="true">
      <c r="A299" s="98">
        <v>46096</v>
      </c>
      <c r="B299" s="71">
        <f>=TODAY()-A299+1</f>
        <v>129</v>
      </c>
      <c r="C299" s="71" t="s">
        <v>146</v>
      </c>
      <c r="D299" s="94" t="s">
        <v>145</v>
      </c>
      <c r="E299" s="160" t="s">
        <v>888</v>
      </c>
      <c r="F299" s="242" t="s">
        <v>889</v>
      </c>
      <c r="G299" s="71" t="s">
        <v>428</v>
      </c>
      <c r="H299" s="71" t="s">
        <v>422</v>
      </c>
      <c r="I299" s="108" t="s">
        <v>890</v>
      </c>
      <c r="J299" s="71">
        <v>138</v>
      </c>
      <c r="K299" s="71" t="s"/>
      <c r="L299" s="71">
        <v>3960</v>
      </c>
      <c r="M299" s="112">
        <f>=J299*L299</f>
        <v>546480</v>
      </c>
      <c r="N299" s="71">
        <v>2.5</v>
      </c>
      <c r="O299" s="189">
        <f>=ROUND(IF((TODAY()-A299+1)*N299*(L299/10000)+L299&lt;L299*1.002,L299*1.002,(TODAY()-A299+1)*N299*(L299/10000)+L299),2)</f>
        <v>4088.7</v>
      </c>
      <c r="P299" s="71">
        <v>138</v>
      </c>
      <c r="Q299" s="71">
        <f>=J299-P299</f>
        <v>0</v>
      </c>
      <c r="R299" s="71">
        <v>138</v>
      </c>
      <c r="S299" s="112">
        <f>=P299-R299</f>
        <v>0</v>
      </c>
      <c r="T299" s="71">
        <f>=S299*L299</f>
        <v>0</v>
      </c>
      <c r="U299" s="190">
        <f>=J299-P299</f>
        <v>0</v>
      </c>
      <c r="V299" s="190" t="s"/>
      <c r="W299" s="190" t="s"/>
      <c r="X299" s="190" t="s"/>
      <c r="Y299" s="190" t="s"/>
      <c r="Z299" s="190" t="s"/>
    </row>
    <row r="300" spans="1:26" s="218" customFormat="true" ht="15.75" customHeight="true">
      <c r="A300" s="98">
        <v>46096</v>
      </c>
      <c r="B300" s="71">
        <f>=TODAY()-A300+1</f>
        <v>129</v>
      </c>
      <c r="C300" s="71" t="s">
        <v>146</v>
      </c>
      <c r="D300" s="94" t="s">
        <v>145</v>
      </c>
      <c r="E300" s="160" t="s">
        <v>891</v>
      </c>
      <c r="F300" s="242" t="s">
        <v>889</v>
      </c>
      <c r="G300" s="71" t="s">
        <v>428</v>
      </c>
      <c r="H300" s="71" t="s">
        <v>422</v>
      </c>
      <c r="I300" s="207" t="s">
        <v>892</v>
      </c>
      <c r="J300" s="71">
        <v>50</v>
      </c>
      <c r="K300" s="71" t="s"/>
      <c r="L300" s="71">
        <v>3650</v>
      </c>
      <c r="M300" s="112">
        <f>=J300*L300</f>
        <v>182500</v>
      </c>
      <c r="N300" s="71">
        <v>2.5</v>
      </c>
      <c r="O300" s="189">
        <f>=ROUND(IF((TODAY()-A300+1)*N300*(L300/10000)+L300&lt;L300*1.002,L300*1.002,(TODAY()-A300+1)*N300*(L300/10000)+L300),2)</f>
        <v>3768.63</v>
      </c>
      <c r="P300" s="71">
        <v>50</v>
      </c>
      <c r="Q300" s="71">
        <f>=J300-P300</f>
        <v>0</v>
      </c>
      <c r="R300" s="71">
        <v>50</v>
      </c>
      <c r="S300" s="112">
        <f>=P300-R300</f>
        <v>0</v>
      </c>
      <c r="T300" s="71">
        <f>=S300*L300</f>
        <v>0</v>
      </c>
      <c r="U300" s="190">
        <f>=J300-P300</f>
        <v>0</v>
      </c>
      <c r="V300" s="190" t="s"/>
      <c r="W300" s="190" t="s"/>
      <c r="X300" s="190" t="s"/>
      <c r="Y300" s="190" t="s"/>
      <c r="Z300" s="190" t="s"/>
    </row>
    <row r="301" spans="1:26" s="218" customFormat="true" ht="15.75" customHeight="true">
      <c r="A301" s="98">
        <v>46098</v>
      </c>
      <c r="B301" s="71">
        <f>=TODAY()-A301+1</f>
        <v>127</v>
      </c>
      <c r="C301" s="98" t="s">
        <v>151</v>
      </c>
      <c r="D301" s="71" t="s">
        <v>150</v>
      </c>
      <c r="E301" s="160" t="s">
        <v>893</v>
      </c>
      <c r="F301" s="242" t="s">
        <v>894</v>
      </c>
      <c r="G301" s="71" t="s">
        <v>895</v>
      </c>
      <c r="H301" s="71" t="s">
        <v>422</v>
      </c>
      <c r="I301" s="207" t="s">
        <v>896</v>
      </c>
      <c r="J301" s="71">
        <v>1100</v>
      </c>
      <c r="K301" s="71" t="s"/>
      <c r="L301" s="71">
        <v>1080</v>
      </c>
      <c r="M301" s="112">
        <f>=J301*L301</f>
        <v>1188000</v>
      </c>
      <c r="N301" s="71">
        <v>2.5</v>
      </c>
      <c r="O301" s="189">
        <f>=ROUND(IF((TODAY()-A301+1)*N301*(L301/10000)+L301&lt;L301*1.002,L301*1.002,(TODAY()-A301+1)*N301*(L301/10000)+L301),2)</f>
        <v>1114.56</v>
      </c>
      <c r="P301" s="71">
        <v>1100</v>
      </c>
      <c r="Q301" s="71">
        <f>=J301-P301</f>
        <v>0</v>
      </c>
      <c r="R301" s="71">
        <v>1100</v>
      </c>
      <c r="S301" s="112">
        <f>=P301-R301</f>
        <v>0</v>
      </c>
      <c r="T301" s="71">
        <f>=S301*L301</f>
        <v>0</v>
      </c>
      <c r="U301" s="190">
        <f>=J301-P301</f>
        <v>0</v>
      </c>
      <c r="V301" s="190" t="s"/>
      <c r="W301" s="190" t="s"/>
      <c r="X301" s="190" t="s"/>
      <c r="Y301" s="190" t="s"/>
      <c r="Z301" s="190" t="s"/>
    </row>
    <row r="302" spans="1:26" s="218" customFormat="true" ht="15.75" customHeight="true">
      <c r="A302" s="98">
        <v>46098</v>
      </c>
      <c r="B302" s="71">
        <f>=TODAY()-A302+1</f>
        <v>127</v>
      </c>
      <c r="C302" s="98" t="s">
        <v>151</v>
      </c>
      <c r="D302" s="71" t="s">
        <v>150</v>
      </c>
      <c r="E302" s="112" t="s">
        <v>37</v>
      </c>
      <c r="F302" s="242" t="s">
        <v>894</v>
      </c>
      <c r="G302" s="71" t="s">
        <v>895</v>
      </c>
      <c r="H302" s="71" t="s">
        <v>422</v>
      </c>
      <c r="I302" s="207" t="s">
        <v>897</v>
      </c>
      <c r="J302" s="71">
        <v>200</v>
      </c>
      <c r="K302" s="71" t="s"/>
      <c r="L302" s="71">
        <v>664</v>
      </c>
      <c r="M302" s="112">
        <f>=J302*L302</f>
        <v>132800</v>
      </c>
      <c r="N302" s="71">
        <v>2.5</v>
      </c>
      <c r="O302" s="189">
        <f>=ROUND(IF((TODAY()-A302+1)*N302*(L302/10000)+L302&lt;L302*1.002,L302*1.002,(TODAY()-A302+1)*N302*(L302/10000)+L302),2)</f>
        <v>685.25</v>
      </c>
      <c r="P302" s="71">
        <v>200</v>
      </c>
      <c r="Q302" s="71">
        <f>=J302-P302</f>
        <v>0</v>
      </c>
      <c r="R302" s="71">
        <v>200</v>
      </c>
      <c r="S302" s="112">
        <f>=P302-R302</f>
        <v>0</v>
      </c>
      <c r="T302" s="71">
        <f>=S302*L302</f>
        <v>0</v>
      </c>
      <c r="U302" s="190">
        <f>=J302-P302</f>
        <v>0</v>
      </c>
      <c r="V302" s="190" t="s"/>
      <c r="W302" s="190" t="s"/>
      <c r="X302" s="190" t="s"/>
      <c r="Y302" s="190" t="s"/>
      <c r="Z302" s="190" t="s"/>
    </row>
    <row r="303" spans="1:26" s="218" customFormat="true" ht="15.75" customHeight="true">
      <c r="A303" s="98">
        <v>46098</v>
      </c>
      <c r="B303" s="71">
        <f>=TODAY()-A303+1</f>
        <v>127</v>
      </c>
      <c r="C303" s="98" t="s">
        <v>151</v>
      </c>
      <c r="D303" s="71" t="s">
        <v>150</v>
      </c>
      <c r="E303" s="246" t="s">
        <v>898</v>
      </c>
      <c r="F303" s="242" t="s">
        <v>894</v>
      </c>
      <c r="G303" s="71" t="s">
        <v>895</v>
      </c>
      <c r="H303" s="71" t="s">
        <v>422</v>
      </c>
      <c r="I303" s="207" t="s">
        <v>899</v>
      </c>
      <c r="J303" s="71">
        <v>230</v>
      </c>
      <c r="K303" s="71" t="s"/>
      <c r="L303" s="71">
        <v>664</v>
      </c>
      <c r="M303" s="112">
        <f>=J303*L303</f>
        <v>152720</v>
      </c>
      <c r="N303" s="71">
        <v>2.5</v>
      </c>
      <c r="O303" s="189">
        <f>=ROUND(IF((TODAY()-A303+1)*N303*(L303/10000)+L303&lt;L303*1.002,L303*1.002,(TODAY()-A303+1)*N303*(L303/10000)+L303),2)</f>
        <v>685.25</v>
      </c>
      <c r="P303" s="71">
        <v>230</v>
      </c>
      <c r="Q303" s="71">
        <f>=J303-P303</f>
        <v>0</v>
      </c>
      <c r="R303" s="71">
        <v>230</v>
      </c>
      <c r="S303" s="112">
        <f>=P303-R303</f>
        <v>0</v>
      </c>
      <c r="T303" s="71">
        <f>=S303*L303</f>
        <v>0</v>
      </c>
      <c r="U303" s="190">
        <f>=J303-P303</f>
        <v>0</v>
      </c>
      <c r="V303" s="190" t="s"/>
      <c r="W303" s="190" t="s"/>
      <c r="X303" s="190" t="s"/>
      <c r="Y303" s="190" t="s"/>
      <c r="Z303" s="190" t="s"/>
    </row>
    <row r="304" spans="1:26" s="218" customFormat="true" ht="15.75" customHeight="true">
      <c r="A304" s="98">
        <v>46098</v>
      </c>
      <c r="B304" s="71">
        <f>=TODAY()-A304+1</f>
        <v>127</v>
      </c>
      <c r="C304" s="98" t="s">
        <v>151</v>
      </c>
      <c r="D304" s="71" t="s">
        <v>150</v>
      </c>
      <c r="E304" s="246" t="s">
        <v>900</v>
      </c>
      <c r="F304" s="242" t="s">
        <v>894</v>
      </c>
      <c r="G304" s="71" t="s">
        <v>895</v>
      </c>
      <c r="H304" s="71" t="s">
        <v>422</v>
      </c>
      <c r="I304" s="207" t="s">
        <v>901</v>
      </c>
      <c r="J304" s="71">
        <v>470</v>
      </c>
      <c r="K304" s="71" t="s"/>
      <c r="L304" s="71">
        <v>664</v>
      </c>
      <c r="M304" s="112">
        <f>=J304*L304</f>
        <v>312080</v>
      </c>
      <c r="N304" s="71">
        <v>2.5</v>
      </c>
      <c r="O304" s="189">
        <f>=ROUND(IF((TODAY()-A304+1)*N304*(L304/10000)+L304&lt;L304*1.002,L304*1.002,(TODAY()-A304+1)*N304*(L304/10000)+L304),2)</f>
        <v>685.25</v>
      </c>
      <c r="P304" s="71">
        <v>470</v>
      </c>
      <c r="Q304" s="71">
        <f>=J304-P304</f>
        <v>0</v>
      </c>
      <c r="R304" s="71">
        <v>470</v>
      </c>
      <c r="S304" s="112">
        <f>=P304-R304</f>
        <v>0</v>
      </c>
      <c r="T304" s="71">
        <f>=S304*L304</f>
        <v>0</v>
      </c>
      <c r="U304" s="190">
        <f>=J304-P304</f>
        <v>0</v>
      </c>
      <c r="V304" s="190" t="s"/>
      <c r="W304" s="190" t="s"/>
      <c r="X304" s="190" t="s"/>
      <c r="Y304" s="190" t="s"/>
      <c r="Z304" s="190" t="s"/>
    </row>
    <row r="305" spans="1:26">
      <c r="A305" s="98">
        <v>46098</v>
      </c>
      <c r="B305" s="71">
        <f>=TODAY()-A305+1</f>
        <v>127</v>
      </c>
      <c r="C305" s="98" t="s">
        <v>147</v>
      </c>
      <c r="D305" s="71" t="s">
        <v>135</v>
      </c>
      <c r="E305" s="160" t="s">
        <v>902</v>
      </c>
      <c r="F305" s="242" t="s">
        <v>856</v>
      </c>
      <c r="G305" s="62" t="s">
        <v>428</v>
      </c>
      <c r="H305" s="62" t="s">
        <v>422</v>
      </c>
      <c r="I305" s="64" t="s">
        <v>485</v>
      </c>
      <c r="J305" s="71">
        <v>200</v>
      </c>
      <c r="K305" s="71" t="s"/>
      <c r="L305" s="71">
        <v>1000</v>
      </c>
      <c r="M305" s="112">
        <f>=J305*L305</f>
        <v>200000</v>
      </c>
      <c r="N305" s="71">
        <v>2.5</v>
      </c>
      <c r="O305" s="189">
        <f>=ROUND(IF((TODAY()-A305+1)*N305*(L305/10000)+L305&lt;L305*1.002,L305*1.002,(TODAY()-A305+1)*N305*(L305/10000)+L305),2)</f>
        <v>1032</v>
      </c>
      <c r="P305" s="71">
        <v>200</v>
      </c>
      <c r="Q305" s="71">
        <f>=J305-P305</f>
        <v>0</v>
      </c>
      <c r="R305" s="71">
        <v>200</v>
      </c>
      <c r="S305" s="112">
        <f>=P305-R305</f>
        <v>0</v>
      </c>
      <c r="T305" s="71">
        <f>=S305*L305</f>
        <v>0</v>
      </c>
      <c r="U305" s="190">
        <f>=J305-P305</f>
        <v>0</v>
      </c>
      <c r="V305" s="190" t="s"/>
      <c r="W305" s="190" t="s"/>
      <c r="X305" s="190" t="s"/>
      <c r="Y305" s="190" t="s"/>
      <c r="Z305" s="190" t="s"/>
    </row>
    <row r="306" spans="1:26" ht="15.75" customHeight="true">
      <c r="A306" s="98">
        <v>46098</v>
      </c>
      <c r="B306" s="71">
        <f>=TODAY()-A306+1</f>
        <v>127</v>
      </c>
      <c r="C306" s="98" t="s">
        <v>147</v>
      </c>
      <c r="D306" s="71" t="s">
        <v>135</v>
      </c>
      <c r="E306" s="160" t="s">
        <v>903</v>
      </c>
      <c r="F306" s="242" t="s">
        <v>856</v>
      </c>
      <c r="G306" s="71" t="s">
        <v>428</v>
      </c>
      <c r="H306" s="71" t="s">
        <v>422</v>
      </c>
      <c r="I306" s="64" t="s">
        <v>487</v>
      </c>
      <c r="J306" s="71">
        <v>200</v>
      </c>
      <c r="K306" s="71" t="s"/>
      <c r="L306" s="71">
        <v>1000</v>
      </c>
      <c r="M306" s="112">
        <f>=J306*L306</f>
        <v>200000</v>
      </c>
      <c r="N306" s="71">
        <v>2.5</v>
      </c>
      <c r="O306" s="189">
        <f>=ROUND(IF((TODAY()-A306+1)*N306*(L306/10000)+L306&lt;L306*1.002,L306*1.002,(TODAY()-A306+1)*N306*(L306/10000)+L306),2)</f>
        <v>1032</v>
      </c>
      <c r="P306" s="71">
        <v>200</v>
      </c>
      <c r="Q306" s="71">
        <f>=J306-P306</f>
        <v>0</v>
      </c>
      <c r="R306" s="71">
        <v>200</v>
      </c>
      <c r="S306" s="112">
        <f>=P306-R306</f>
        <v>0</v>
      </c>
      <c r="T306" s="71">
        <f>=S306*L306</f>
        <v>0</v>
      </c>
      <c r="U306" s="190">
        <f>=J306-P306</f>
        <v>0</v>
      </c>
      <c r="V306" s="190" t="s"/>
      <c r="W306" s="190" t="s"/>
      <c r="X306" s="190" t="s"/>
      <c r="Y306" s="190" t="s"/>
      <c r="Z306" s="190" t="s"/>
    </row>
    <row r="307" spans="1:26">
      <c r="A307" s="98">
        <v>46098</v>
      </c>
      <c r="B307" s="71">
        <f>=TODAY()-A307+1</f>
        <v>127</v>
      </c>
      <c r="C307" s="98" t="s">
        <v>147</v>
      </c>
      <c r="D307" s="71" t="s">
        <v>135</v>
      </c>
      <c r="E307" s="160" t="s">
        <v>904</v>
      </c>
      <c r="F307" s="242" t="s">
        <v>856</v>
      </c>
      <c r="G307" s="71" t="s">
        <v>428</v>
      </c>
      <c r="H307" s="71" t="s">
        <v>422</v>
      </c>
      <c r="I307" s="71" t="s">
        <v>905</v>
      </c>
      <c r="J307" s="71">
        <v>100</v>
      </c>
      <c r="K307" s="71" t="s"/>
      <c r="L307" s="71">
        <v>1760</v>
      </c>
      <c r="M307" s="112">
        <f>=J307*L307</f>
        <v>176000</v>
      </c>
      <c r="N307" s="71">
        <v>2.5</v>
      </c>
      <c r="O307" s="189">
        <f>=ROUND(IF((TODAY()-A307+1)*N307*(L307/10000)+L307&lt;L307*1.002,L307*1.002,(TODAY()-A307+1)*N307*(L307/10000)+L307),2)</f>
        <v>1816.32</v>
      </c>
      <c r="P307" s="71">
        <v>100</v>
      </c>
      <c r="Q307" s="71">
        <f>=J307-P307</f>
        <v>0</v>
      </c>
      <c r="R307" s="71">
        <v>100</v>
      </c>
      <c r="S307" s="112">
        <f>=P307-R307</f>
        <v>0</v>
      </c>
      <c r="T307" s="71">
        <f>=S307*L307</f>
        <v>0</v>
      </c>
      <c r="U307" s="190">
        <f>=J307-P307</f>
        <v>0</v>
      </c>
      <c r="V307" s="190" t="s"/>
      <c r="W307" s="190" t="s"/>
      <c r="X307" s="190" t="s"/>
      <c r="Y307" s="190" t="s"/>
      <c r="Z307" s="190" t="s"/>
    </row>
    <row r="308" spans="1:26" ht="15.75" customHeight="true">
      <c r="A308" s="102">
        <v>46098</v>
      </c>
      <c r="B308" s="93">
        <f>=TODAY()-A308+1</f>
        <v>127</v>
      </c>
      <c r="C308" s="102" t="s">
        <v>147</v>
      </c>
      <c r="D308" s="93" t="s">
        <v>135</v>
      </c>
      <c r="E308" s="160" t="s">
        <v>906</v>
      </c>
      <c r="F308" s="242" t="s">
        <v>856</v>
      </c>
      <c r="G308" s="93" t="s">
        <v>428</v>
      </c>
      <c r="H308" s="93" t="s">
        <v>422</v>
      </c>
      <c r="I308" s="93" t="s">
        <v>495</v>
      </c>
      <c r="J308" s="93">
        <v>100</v>
      </c>
      <c r="K308" s="93" t="s"/>
      <c r="L308" s="93">
        <v>1760</v>
      </c>
      <c r="M308" s="217">
        <f>=J308*L308</f>
        <v>176000</v>
      </c>
      <c r="N308" s="93">
        <v>2.5</v>
      </c>
      <c r="O308" s="198">
        <f>=ROUND(IF((TODAY()-A308+1)*N308*(L308/10000)+L308&lt;L308*1.002,L308*1.002,(TODAY()-A308+1)*N308*(L308/10000)+L308),2)</f>
        <v>1816.32</v>
      </c>
      <c r="P308" s="93">
        <v>100</v>
      </c>
      <c r="Q308" s="93">
        <f>=J308-P308</f>
        <v>0</v>
      </c>
      <c r="R308" s="93">
        <v>100</v>
      </c>
      <c r="S308" s="217">
        <f>=P308-R308</f>
        <v>0</v>
      </c>
      <c r="T308" s="93">
        <f>=S308*L308</f>
        <v>0</v>
      </c>
      <c r="U308" s="218">
        <f>=J308-P308</f>
        <v>0</v>
      </c>
      <c r="V308" s="218" t="s"/>
      <c r="W308" s="218" t="s"/>
      <c r="X308" s="218" t="s"/>
      <c r="Y308" s="218" t="s"/>
      <c r="Z308" s="218" t="s"/>
    </row>
    <row r="309" spans="1:26" s="577" customFormat="true" ht="15.75" customHeight="true">
      <c r="A309" s="80">
        <v>46099</v>
      </c>
      <c r="B309" s="71">
        <f>=TODAY()-A309+1</f>
        <v>126</v>
      </c>
      <c r="C309" s="80" t="s">
        <v>152</v>
      </c>
      <c r="D309" s="64" t="s">
        <v>135</v>
      </c>
      <c r="E309" s="247" t="s">
        <v>907</v>
      </c>
      <c r="F309" s="141" t="s">
        <v>856</v>
      </c>
      <c r="G309" s="64" t="s">
        <v>428</v>
      </c>
      <c r="H309" s="64" t="s">
        <v>422</v>
      </c>
      <c r="I309" s="248" t="s">
        <v>908</v>
      </c>
      <c r="J309" s="64">
        <v>100</v>
      </c>
      <c r="K309" s="64" t="s"/>
      <c r="L309" s="64">
        <v>1128</v>
      </c>
      <c r="M309" s="197">
        <f>=J309*L309</f>
        <v>112800</v>
      </c>
      <c r="N309" s="64">
        <v>2.5</v>
      </c>
      <c r="O309" s="189">
        <f>=ROUND(IF((TODAY()-A309+1)*N309*(L309/10000)+L309&lt;L309*1.002,L309*1.002,(TODAY()-A309+1)*N309*(L309/10000)+L309),2)</f>
        <v>1163.81</v>
      </c>
      <c r="P309" s="64">
        <v>100</v>
      </c>
      <c r="Q309" s="64">
        <f>=J309-P309</f>
        <v>0</v>
      </c>
      <c r="R309" s="249">
        <v>100</v>
      </c>
      <c r="S309" s="197">
        <f>=P309-R309</f>
        <v>0</v>
      </c>
      <c r="T309" s="71">
        <f>=S309*L309</f>
        <v>0</v>
      </c>
      <c r="U309" s="190">
        <f>=J309-P309</f>
        <v>0</v>
      </c>
      <c r="V309" s="87" t="s"/>
      <c r="W309" s="87" t="s"/>
      <c r="X309" s="87" t="s"/>
      <c r="Y309" s="87" t="s"/>
      <c r="Z309" s="87" t="s"/>
    </row>
    <row r="310" spans="1:26" s="577" customFormat="true" ht="15.75" customHeight="true">
      <c r="A310" s="80">
        <v>46099</v>
      </c>
      <c r="B310" s="71">
        <f>=TODAY()-A310+1</f>
        <v>126</v>
      </c>
      <c r="C310" s="80" t="s">
        <v>152</v>
      </c>
      <c r="D310" s="64" t="s">
        <v>135</v>
      </c>
      <c r="E310" s="247" t="s">
        <v>909</v>
      </c>
      <c r="F310" s="141" t="s">
        <v>856</v>
      </c>
      <c r="G310" s="64" t="s">
        <v>428</v>
      </c>
      <c r="H310" s="64" t="s">
        <v>422</v>
      </c>
      <c r="I310" s="248" t="s">
        <v>910</v>
      </c>
      <c r="J310" s="64">
        <v>295</v>
      </c>
      <c r="K310" s="64" t="s"/>
      <c r="L310" s="64">
        <v>1128</v>
      </c>
      <c r="M310" s="197">
        <f>=J310*L310</f>
        <v>332760</v>
      </c>
      <c r="N310" s="64">
        <v>2.5</v>
      </c>
      <c r="O310" s="189">
        <f>=ROUND(IF((TODAY()-A310+1)*N310*(L310/10000)+L310&lt;L310*1.002,L310*1.002,(TODAY()-A310+1)*N310*(L310/10000)+L310),2)</f>
        <v>1163.81</v>
      </c>
      <c r="P310" s="64">
        <v>295</v>
      </c>
      <c r="Q310" s="64">
        <f>=J310-P310</f>
        <v>0</v>
      </c>
      <c r="R310" s="64">
        <v>295</v>
      </c>
      <c r="S310" s="197">
        <f>=P310-R310</f>
        <v>0</v>
      </c>
      <c r="T310" s="71">
        <f>=S310*L310</f>
        <v>0</v>
      </c>
      <c r="U310" s="190">
        <f>=J310-P310</f>
        <v>0</v>
      </c>
      <c r="V310" s="87" t="s"/>
      <c r="W310" s="87" t="s"/>
      <c r="X310" s="87" t="s"/>
      <c r="Y310" s="87" t="s"/>
      <c r="Z310" s="87" t="s"/>
    </row>
    <row r="311" spans="1:26" s="577" customFormat="true" ht="15.75" customHeight="true">
      <c r="A311" s="80">
        <v>46099</v>
      </c>
      <c r="B311" s="71">
        <f>=TODAY()-A311+1</f>
        <v>126</v>
      </c>
      <c r="C311" s="80" t="s">
        <v>152</v>
      </c>
      <c r="D311" s="64" t="s">
        <v>135</v>
      </c>
      <c r="E311" s="247" t="s">
        <v>911</v>
      </c>
      <c r="F311" s="141" t="s">
        <v>856</v>
      </c>
      <c r="G311" s="194" t="s">
        <v>428</v>
      </c>
      <c r="H311" s="194" t="s">
        <v>422</v>
      </c>
      <c r="I311" s="248" t="s">
        <v>912</v>
      </c>
      <c r="J311" s="64">
        <v>95</v>
      </c>
      <c r="K311" s="64" t="s"/>
      <c r="L311" s="64">
        <v>1128</v>
      </c>
      <c r="M311" s="197">
        <f>=J311*L311</f>
        <v>107160</v>
      </c>
      <c r="N311" s="64">
        <v>2.5</v>
      </c>
      <c r="O311" s="189">
        <f>=ROUND(IF((TODAY()-A311+1)*N311*(L311/10000)+L311&lt;L311*1.002,L311*1.002,(TODAY()-A311+1)*N311*(L311/10000)+L311),2)</f>
        <v>1163.81</v>
      </c>
      <c r="P311" s="64">
        <v>95</v>
      </c>
      <c r="Q311" s="64">
        <f>=J311-P311</f>
        <v>0</v>
      </c>
      <c r="R311" s="64">
        <v>95</v>
      </c>
      <c r="S311" s="197">
        <f>=P311-R311</f>
        <v>0</v>
      </c>
      <c r="T311" s="71">
        <f>=S311*L311</f>
        <v>0</v>
      </c>
      <c r="U311" s="190">
        <f>=J311-P311</f>
        <v>0</v>
      </c>
      <c r="V311" s="87" t="s"/>
      <c r="W311" s="87" t="s"/>
      <c r="X311" s="87" t="s"/>
      <c r="Y311" s="87" t="s"/>
      <c r="Z311" s="87" t="s"/>
    </row>
    <row r="312" spans="1:26" s="218" customFormat="true" ht="15.75" customHeight="true">
      <c r="A312" s="80">
        <v>46100</v>
      </c>
      <c r="B312" s="71">
        <f>=TODAY()-A312+1</f>
        <v>125</v>
      </c>
      <c r="C312" s="98" t="s">
        <v>155</v>
      </c>
      <c r="D312" s="71" t="s">
        <v>154</v>
      </c>
      <c r="E312" s="226" t="s">
        <v>37</v>
      </c>
      <c r="F312" s="221" t="s">
        <v>913</v>
      </c>
      <c r="G312" s="220" t="s">
        <v>421</v>
      </c>
      <c r="H312" s="220" t="s">
        <v>470</v>
      </c>
      <c r="I312" s="220" t="s">
        <v>914</v>
      </c>
      <c r="J312" s="101">
        <v>150</v>
      </c>
      <c r="K312" s="101" t="s"/>
      <c r="L312" s="101">
        <v>5950</v>
      </c>
      <c r="M312" s="217">
        <f>=J312*L312</f>
        <v>892500</v>
      </c>
      <c r="N312" s="93">
        <v>2.5</v>
      </c>
      <c r="O312" s="198">
        <f>=ROUND(IF((TODAY()-A312+1)*N312*(L312/10000)+L312&lt;L312*1.002,L312*1.002,(TODAY()-A312+1)*N312*(L312/10000)+L312),2)</f>
        <v>6137.43</v>
      </c>
      <c r="P312" s="93">
        <v>150</v>
      </c>
      <c r="Q312" s="93">
        <f>=J312-P312</f>
        <v>0</v>
      </c>
      <c r="R312" s="101">
        <v>150</v>
      </c>
      <c r="S312" s="217">
        <f>=P312-R312</f>
        <v>0</v>
      </c>
      <c r="T312" s="93">
        <f>=S312*L312</f>
        <v>0</v>
      </c>
      <c r="U312" s="218">
        <f>=J312-P312</f>
        <v>0</v>
      </c>
      <c r="V312" s="250" t="s"/>
      <c r="W312" s="250" t="s"/>
      <c r="X312" s="250" t="s"/>
      <c r="Y312" s="250" t="s"/>
      <c r="Z312" s="250" t="s"/>
    </row>
    <row r="313" spans="1:26" s="218" customFormat="true" ht="15.75" customHeight="true">
      <c r="A313" s="110">
        <v>46100</v>
      </c>
      <c r="B313" s="93">
        <f>=TODAY()-A313+1</f>
        <v>125</v>
      </c>
      <c r="C313" s="102" t="s">
        <v>155</v>
      </c>
      <c r="D313" s="93" t="s">
        <v>154</v>
      </c>
      <c r="E313" s="226" t="s">
        <v>37</v>
      </c>
      <c r="F313" s="221" t="s">
        <v>913</v>
      </c>
      <c r="G313" s="220" t="s">
        <v>421</v>
      </c>
      <c r="H313" s="220" t="s">
        <v>470</v>
      </c>
      <c r="I313" s="220" t="s">
        <v>915</v>
      </c>
      <c r="J313" s="101">
        <v>42</v>
      </c>
      <c r="K313" s="101" t="s"/>
      <c r="L313" s="93">
        <v>5950</v>
      </c>
      <c r="M313" s="217">
        <f>=J313*L313</f>
        <v>249900</v>
      </c>
      <c r="N313" s="93">
        <v>2.5</v>
      </c>
      <c r="O313" s="198">
        <f>=ROUND(IF((TODAY()-A313+1)*N313*(L313/10000)+L313&lt;L313*1.002,L313*1.002,(TODAY()-A313+1)*N313*(L313/10000)+L313),2)</f>
        <v>6137.43</v>
      </c>
      <c r="P313" s="93">
        <v>42</v>
      </c>
      <c r="Q313" s="93">
        <f>=J313-P313</f>
        <v>0</v>
      </c>
      <c r="R313" s="101">
        <v>42</v>
      </c>
      <c r="S313" s="217">
        <f>=P313-R313</f>
        <v>0</v>
      </c>
      <c r="T313" s="93">
        <f>=S313*L313</f>
        <v>0</v>
      </c>
      <c r="U313" s="218">
        <f>=J313-P313</f>
        <v>0</v>
      </c>
      <c r="V313" s="250" t="s"/>
      <c r="W313" s="250" t="s"/>
      <c r="X313" s="250" t="s"/>
      <c r="Y313" s="250" t="s"/>
      <c r="Z313" s="250" t="s"/>
    </row>
    <row r="314" spans="1:26" s="218" customFormat="true" ht="15.75" customHeight="true">
      <c r="A314" s="110">
        <v>46100</v>
      </c>
      <c r="B314" s="93">
        <f>=TODAY()-A314+1</f>
        <v>125</v>
      </c>
      <c r="C314" s="102" t="s">
        <v>155</v>
      </c>
      <c r="D314" s="93" t="s">
        <v>154</v>
      </c>
      <c r="E314" s="217" t="s">
        <v>37</v>
      </c>
      <c r="F314" s="221" t="s">
        <v>913</v>
      </c>
      <c r="G314" s="220" t="s">
        <v>421</v>
      </c>
      <c r="H314" s="220" t="s">
        <v>470</v>
      </c>
      <c r="I314" s="220" t="s">
        <v>916</v>
      </c>
      <c r="J314" s="93">
        <v>83</v>
      </c>
      <c r="K314" s="93" t="s"/>
      <c r="L314" s="93">
        <v>5950</v>
      </c>
      <c r="M314" s="217">
        <f>=J314*L314</f>
        <v>493850</v>
      </c>
      <c r="N314" s="93">
        <v>2.5</v>
      </c>
      <c r="O314" s="198">
        <f>=ROUND(IF((TODAY()-A314+1)*N314*(L314/10000)+L314&lt;L314*1.002,L314*1.002,(TODAY()-A314+1)*N314*(L314/10000)+L314),2)</f>
        <v>6137.43</v>
      </c>
      <c r="P314" s="93">
        <v>83</v>
      </c>
      <c r="Q314" s="93">
        <f>=J314-P314</f>
        <v>0</v>
      </c>
      <c r="R314" s="93">
        <v>83</v>
      </c>
      <c r="S314" s="217">
        <f>=P314-R314</f>
        <v>0</v>
      </c>
      <c r="T314" s="93">
        <f>=S314*L314</f>
        <v>0</v>
      </c>
      <c r="U314" s="218">
        <f>=J314-P314</f>
        <v>0</v>
      </c>
      <c r="V314" s="218" t="s"/>
      <c r="W314" s="218" t="s"/>
      <c r="X314" s="218" t="s"/>
      <c r="Y314" s="218" t="s"/>
      <c r="Z314" s="218" t="s"/>
    </row>
    <row r="315" spans="1:26" s="218" customFormat="true" ht="15.75" customHeight="true">
      <c r="A315" s="110">
        <v>46100</v>
      </c>
      <c r="B315" s="93">
        <f>=TODAY()-A315+1</f>
        <v>125</v>
      </c>
      <c r="C315" s="102" t="s">
        <v>155</v>
      </c>
      <c r="D315" s="93" t="s">
        <v>154</v>
      </c>
      <c r="E315" s="217" t="s">
        <v>37</v>
      </c>
      <c r="F315" s="221" t="s">
        <v>913</v>
      </c>
      <c r="G315" s="220" t="s">
        <v>421</v>
      </c>
      <c r="H315" s="220" t="s">
        <v>470</v>
      </c>
      <c r="I315" s="220" t="s">
        <v>917</v>
      </c>
      <c r="J315" s="93">
        <v>146</v>
      </c>
      <c r="K315" s="93" t="s"/>
      <c r="L315" s="93">
        <v>5950</v>
      </c>
      <c r="M315" s="217">
        <f>=J315*L315</f>
        <v>868700</v>
      </c>
      <c r="N315" s="93">
        <v>2.5</v>
      </c>
      <c r="O315" s="198">
        <f>=ROUND(IF((TODAY()-A315+1)*N315*(L315/10000)+L315&lt;L315*1.002,L315*1.002,(TODAY()-A315+1)*N315*(L315/10000)+L315),2)</f>
        <v>6137.43</v>
      </c>
      <c r="P315" s="93">
        <v>146</v>
      </c>
      <c r="Q315" s="93">
        <f>=J315-P315</f>
        <v>0</v>
      </c>
      <c r="R315" s="93">
        <v>146</v>
      </c>
      <c r="S315" s="217">
        <f>=P315-R315</f>
        <v>0</v>
      </c>
      <c r="T315" s="93">
        <f>=S315*L315</f>
        <v>0</v>
      </c>
      <c r="U315" s="218">
        <f>=J315-P315</f>
        <v>0</v>
      </c>
      <c r="V315" s="218" t="s"/>
      <c r="W315" s="218" t="s"/>
      <c r="X315" s="218" t="s"/>
      <c r="Y315" s="218" t="s"/>
      <c r="Z315" s="218" t="s"/>
    </row>
    <row r="316" spans="1:26" s="218" customFormat="true" ht="15.75" customHeight="true">
      <c r="A316" s="110">
        <v>46100</v>
      </c>
      <c r="B316" s="93">
        <f>=TODAY()-A316+1</f>
        <v>125</v>
      </c>
      <c r="C316" s="102" t="s">
        <v>157</v>
      </c>
      <c r="D316" s="93" t="s">
        <v>156</v>
      </c>
      <c r="E316" s="221" t="s">
        <v>918</v>
      </c>
      <c r="F316" s="221" t="s">
        <v>919</v>
      </c>
      <c r="G316" s="220" t="s">
        <v>421</v>
      </c>
      <c r="H316" s="220" t="s">
        <v>470</v>
      </c>
      <c r="I316" s="111" t="s">
        <v>914</v>
      </c>
      <c r="J316" s="93">
        <v>38</v>
      </c>
      <c r="K316" s="93" t="s"/>
      <c r="L316" s="93">
        <v>5950</v>
      </c>
      <c r="M316" s="217">
        <f>=J316*L316</f>
        <v>226100</v>
      </c>
      <c r="N316" s="93">
        <v>2.5</v>
      </c>
      <c r="O316" s="198">
        <f>=ROUND(IF((TODAY()-A316+1)*N316*(L316/10000)+L316&lt;L316*1.002,L316*1.002,(TODAY()-A316+1)*N316*(L316/10000)+L316),2)</f>
        <v>6137.43</v>
      </c>
      <c r="P316" s="93">
        <v>38</v>
      </c>
      <c r="Q316" s="93">
        <f>=J316-P316</f>
        <v>0</v>
      </c>
      <c r="R316" s="93">
        <v>38</v>
      </c>
      <c r="S316" s="217">
        <f>=P316-R316</f>
        <v>0</v>
      </c>
      <c r="T316" s="93">
        <f>=S316*L316</f>
        <v>0</v>
      </c>
      <c r="U316" s="218">
        <f>=J316-P316</f>
        <v>0</v>
      </c>
      <c r="V316" s="218" t="s"/>
      <c r="W316" s="218" t="s"/>
      <c r="X316" s="218" t="s"/>
      <c r="Y316" s="218" t="s"/>
      <c r="Z316" s="218" t="s"/>
    </row>
    <row r="317" spans="1:26" s="218" customFormat="true" ht="15.75" customHeight="true">
      <c r="A317" s="110">
        <v>46100</v>
      </c>
      <c r="B317" s="93">
        <f>=TODAY()-A317+1</f>
        <v>125</v>
      </c>
      <c r="C317" s="102" t="s">
        <v>157</v>
      </c>
      <c r="D317" s="93" t="s">
        <v>156</v>
      </c>
      <c r="E317" s="217" t="s">
        <v>37</v>
      </c>
      <c r="F317" s="221" t="s">
        <v>919</v>
      </c>
      <c r="G317" s="220" t="s">
        <v>421</v>
      </c>
      <c r="H317" s="220" t="s">
        <v>470</v>
      </c>
      <c r="I317" s="111" t="s">
        <v>917</v>
      </c>
      <c r="J317" s="93">
        <v>50</v>
      </c>
      <c r="K317" s="93" t="s"/>
      <c r="L317" s="93">
        <v>5950</v>
      </c>
      <c r="M317" s="217">
        <f>=J317*L317</f>
        <v>297500</v>
      </c>
      <c r="N317" s="93">
        <v>2.5</v>
      </c>
      <c r="O317" s="198">
        <f>=ROUND(IF((TODAY()-A317+1)*N317*(L317/10000)+L317&lt;L317*1.002,L317*1.002,(TODAY()-A317+1)*N317*(L317/10000)+L317),2)</f>
        <v>6137.43</v>
      </c>
      <c r="P317" s="93">
        <v>50</v>
      </c>
      <c r="Q317" s="93">
        <f>=J317-P317</f>
        <v>0</v>
      </c>
      <c r="R317" s="93">
        <v>50</v>
      </c>
      <c r="S317" s="217">
        <f>=P317-R317</f>
        <v>0</v>
      </c>
      <c r="T317" s="93">
        <f>=S317*L317</f>
        <v>0</v>
      </c>
      <c r="U317" s="218">
        <f>=J317-P317</f>
        <v>0</v>
      </c>
      <c r="V317" s="218" t="s"/>
      <c r="W317" s="218" t="s"/>
      <c r="X317" s="218" t="s"/>
      <c r="Y317" s="218" t="s"/>
      <c r="Z317" s="218" t="s"/>
    </row>
    <row r="318" spans="1:26" s="218" customFormat="true" ht="15.75" customHeight="true">
      <c r="A318" s="80">
        <v>46100</v>
      </c>
      <c r="B318" s="71">
        <f>=TODAY()-A318+1</f>
        <v>125</v>
      </c>
      <c r="C318" s="98" t="s">
        <v>157</v>
      </c>
      <c r="D318" s="71" t="s">
        <v>156</v>
      </c>
      <c r="E318" s="221" t="s">
        <v>920</v>
      </c>
      <c r="F318" s="221" t="s">
        <v>919</v>
      </c>
      <c r="G318" s="220" t="s">
        <v>421</v>
      </c>
      <c r="H318" s="220" t="s">
        <v>470</v>
      </c>
      <c r="I318" s="111" t="s">
        <v>921</v>
      </c>
      <c r="J318" s="93">
        <v>30</v>
      </c>
      <c r="K318" s="93" t="s"/>
      <c r="L318" s="93">
        <v>6800</v>
      </c>
      <c r="M318" s="217">
        <f>=J318*L318</f>
        <v>204000</v>
      </c>
      <c r="N318" s="93">
        <v>2.5</v>
      </c>
      <c r="O318" s="198">
        <f>=ROUND(IF((TODAY()-A318+1)*N318*(L318/10000)+L318&lt;L318*1.002,L318*1.002,(TODAY()-A318+1)*N318*(L318/10000)+L318),2)</f>
        <v>7014.2</v>
      </c>
      <c r="P318" s="93">
        <v>30</v>
      </c>
      <c r="Q318" s="93">
        <f>=J318-P318</f>
        <v>0</v>
      </c>
      <c r="R318" s="93">
        <v>30</v>
      </c>
      <c r="S318" s="217">
        <f>=P318-R318</f>
        <v>0</v>
      </c>
      <c r="T318" s="93">
        <f>=S318*L318</f>
        <v>0</v>
      </c>
      <c r="U318" s="218">
        <f>=J318-P318</f>
        <v>0</v>
      </c>
      <c r="V318" s="218" t="s"/>
      <c r="W318" s="218" t="s"/>
      <c r="X318" s="218" t="s"/>
      <c r="Y318" s="218" t="s"/>
      <c r="Z318" s="218" t="s"/>
    </row>
    <row r="319" spans="1:26" s="218" customFormat="true">
      <c r="A319" s="110">
        <v>46100</v>
      </c>
      <c r="B319" s="93">
        <f>=TODAY()-A319+1</f>
        <v>125</v>
      </c>
      <c r="C319" s="83" t="s">
        <v>158</v>
      </c>
      <c r="D319" s="83" t="s">
        <v>52</v>
      </c>
      <c r="E319" s="251" t="s">
        <v>922</v>
      </c>
      <c r="F319" s="228" t="s"/>
      <c r="G319" s="142" t="s">
        <v>428</v>
      </c>
      <c r="H319" s="142" t="s">
        <v>422</v>
      </c>
      <c r="I319" s="142" t="s">
        <v>923</v>
      </c>
      <c r="J319" s="93">
        <v>60</v>
      </c>
      <c r="K319" s="93" t="s"/>
      <c r="L319" s="93">
        <v>2940</v>
      </c>
      <c r="M319" s="217">
        <f>=J319*L319</f>
        <v>176400</v>
      </c>
      <c r="N319" s="93">
        <v>3</v>
      </c>
      <c r="O319" s="198">
        <f>=ROUND(IF((TODAY()-A319+1)*N319*(L319/10000)+L319&lt;L319*1.002,L319*1.002,(TODAY()-A319+1)*N319*(L319/10000)+L319),2)</f>
        <v>3051.13</v>
      </c>
      <c r="P319" s="93">
        <v>60</v>
      </c>
      <c r="Q319" s="93">
        <f>=J319-P319</f>
        <v>0</v>
      </c>
      <c r="R319" s="232">
        <v>60</v>
      </c>
      <c r="S319" s="217">
        <f>=P319-R319</f>
        <v>0</v>
      </c>
      <c r="T319" s="93">
        <f>=S319*L319</f>
        <v>0</v>
      </c>
      <c r="U319" s="218">
        <f>=J319-P319</f>
        <v>0</v>
      </c>
      <c r="V319" s="218" t="s"/>
      <c r="W319" s="218" t="s"/>
      <c r="X319" s="218" t="s"/>
      <c r="Y319" s="218" t="s"/>
      <c r="Z319" s="218" t="s"/>
    </row>
    <row r="320" spans="1:26" s="218" customFormat="true" ht="15.75" customHeight="true">
      <c r="A320" s="110">
        <v>46100</v>
      </c>
      <c r="B320" s="93">
        <f>=TODAY()-A320+1</f>
        <v>125</v>
      </c>
      <c r="C320" s="83" t="s">
        <v>158</v>
      </c>
      <c r="D320" s="83" t="s">
        <v>52</v>
      </c>
      <c r="E320" s="220" t="s">
        <v>924</v>
      </c>
      <c r="F320" s="217" t="s"/>
      <c r="G320" s="87" t="s">
        <v>428</v>
      </c>
      <c r="H320" s="87" t="s">
        <v>422</v>
      </c>
      <c r="I320" s="252" t="s">
        <v>890</v>
      </c>
      <c r="J320" s="93">
        <v>10</v>
      </c>
      <c r="K320" s="93" t="s"/>
      <c r="L320" s="93">
        <v>2940</v>
      </c>
      <c r="M320" s="217">
        <f>=J320*L320</f>
        <v>29400</v>
      </c>
      <c r="N320" s="93">
        <v>3</v>
      </c>
      <c r="O320" s="198">
        <f>=ROUND(IF((TODAY()-A320+1)*N320*(L320/10000)+L320&lt;L320*1.002,L320*1.002,(TODAY()-A320+1)*N320*(L320/10000)+L320),2)</f>
        <v>3051.13</v>
      </c>
      <c r="P320" s="93">
        <v>10</v>
      </c>
      <c r="Q320" s="93">
        <f>=J320-P320</f>
        <v>0</v>
      </c>
      <c r="R320" s="232">
        <v>10</v>
      </c>
      <c r="S320" s="217">
        <f>=P320-R320</f>
        <v>0</v>
      </c>
      <c r="T320" s="93">
        <f>=S320*L320</f>
        <v>0</v>
      </c>
      <c r="U320" s="218">
        <f>=J320-P320</f>
        <v>0</v>
      </c>
      <c r="V320" s="218" t="s"/>
      <c r="W320" s="218" t="s"/>
      <c r="X320" s="218" t="s"/>
      <c r="Y320" s="218" t="s"/>
      <c r="Z320" s="218" t="s"/>
    </row>
    <row r="321" spans="1:26" s="218" customFormat="true" ht="15.75" customHeight="true">
      <c r="A321" s="110">
        <v>46100</v>
      </c>
      <c r="B321" s="93">
        <f>=TODAY()-A321+1</f>
        <v>125</v>
      </c>
      <c r="C321" s="93" t="s">
        <v>158</v>
      </c>
      <c r="D321" s="93" t="s">
        <v>52</v>
      </c>
      <c r="E321" s="220" t="s">
        <v>925</v>
      </c>
      <c r="F321" s="217" t="s"/>
      <c r="G321" s="87" t="s">
        <v>428</v>
      </c>
      <c r="H321" s="87" t="s">
        <v>422</v>
      </c>
      <c r="I321" s="253" t="s">
        <v>926</v>
      </c>
      <c r="J321" s="93">
        <v>50</v>
      </c>
      <c r="K321" s="93" t="s"/>
      <c r="L321" s="93">
        <v>2877</v>
      </c>
      <c r="M321" s="217">
        <f>=J321*L321</f>
        <v>143850</v>
      </c>
      <c r="N321" s="93">
        <v>3</v>
      </c>
      <c r="O321" s="198">
        <f>=ROUND(IF((TODAY()-A321+1)*N321*(L321/10000)+L321&lt;L321*1.002,L321*1.002,(TODAY()-A321+1)*N321*(L321/10000)+L321),2)</f>
        <v>2985.75</v>
      </c>
      <c r="P321" s="93">
        <v>50</v>
      </c>
      <c r="Q321" s="93">
        <f>=J321-P321</f>
        <v>0</v>
      </c>
      <c r="R321" s="93">
        <v>50</v>
      </c>
      <c r="S321" s="217">
        <f>=P321-R321</f>
        <v>0</v>
      </c>
      <c r="T321" s="93">
        <f>=S321*L321</f>
        <v>0</v>
      </c>
      <c r="U321" s="218">
        <f>=J321-P321</f>
        <v>0</v>
      </c>
      <c r="V321" s="218" t="s"/>
      <c r="W321" s="218" t="s"/>
      <c r="X321" s="218" t="s"/>
      <c r="Y321" s="218" t="s"/>
      <c r="Z321" s="218" t="s"/>
    </row>
    <row r="322" spans="1:26" s="218" customFormat="true" ht="15.75" customHeight="true">
      <c r="A322" s="110">
        <v>46100</v>
      </c>
      <c r="B322" s="93">
        <f>=TODAY()-A322+1</f>
        <v>125</v>
      </c>
      <c r="C322" s="93" t="s">
        <v>158</v>
      </c>
      <c r="D322" s="71" t="s">
        <v>52</v>
      </c>
      <c r="E322" s="220" t="s">
        <v>927</v>
      </c>
      <c r="F322" s="217" t="s"/>
      <c r="G322" s="87" t="s">
        <v>428</v>
      </c>
      <c r="H322" s="87" t="s">
        <v>422</v>
      </c>
      <c r="I322" s="253" t="s">
        <v>928</v>
      </c>
      <c r="J322" s="93">
        <v>10</v>
      </c>
      <c r="K322" s="93" t="s"/>
      <c r="L322" s="93">
        <v>2870</v>
      </c>
      <c r="M322" s="217">
        <f>=J322*L322</f>
        <v>28700</v>
      </c>
      <c r="N322" s="93">
        <v>3</v>
      </c>
      <c r="O322" s="198">
        <f>=ROUND(IF((TODAY()-A322+1)*N322*(L322/10000)+L322&lt;L322*1.002,L322*1.002,(TODAY()-A322+1)*N322*(L322/10000)+L322),2)</f>
        <v>2978.49</v>
      </c>
      <c r="P322" s="93">
        <v>10</v>
      </c>
      <c r="Q322" s="93">
        <f>=J322-P322</f>
        <v>0</v>
      </c>
      <c r="R322" s="93">
        <v>10</v>
      </c>
      <c r="S322" s="217">
        <f>=P322-R322</f>
        <v>0</v>
      </c>
      <c r="T322" s="93">
        <f>=S322*L322</f>
        <v>0</v>
      </c>
      <c r="U322" s="218">
        <f>=J322-P322</f>
        <v>0</v>
      </c>
      <c r="V322" s="218" t="s"/>
      <c r="W322" s="218" t="s"/>
      <c r="X322" s="218" t="s"/>
      <c r="Y322" s="218" t="s"/>
      <c r="Z322" s="218" t="s"/>
    </row>
    <row r="323" spans="1:26" s="218" customFormat="true" ht="15.75" customHeight="true">
      <c r="A323" s="110">
        <v>46100</v>
      </c>
      <c r="B323" s="93">
        <f>=TODAY()-A323+1</f>
        <v>125</v>
      </c>
      <c r="C323" s="83" t="s">
        <v>158</v>
      </c>
      <c r="D323" s="83" t="s">
        <v>52</v>
      </c>
      <c r="E323" s="220" t="s">
        <v>929</v>
      </c>
      <c r="F323" s="217" t="s"/>
      <c r="G323" s="87" t="s">
        <v>428</v>
      </c>
      <c r="H323" s="87" t="s">
        <v>422</v>
      </c>
      <c r="I323" s="254" t="s">
        <v>892</v>
      </c>
      <c r="J323" s="93">
        <v>7</v>
      </c>
      <c r="K323" s="93" t="s"/>
      <c r="L323" s="93">
        <v>2660</v>
      </c>
      <c r="M323" s="217">
        <f>=J323*L323</f>
        <v>18620</v>
      </c>
      <c r="N323" s="93">
        <v>3</v>
      </c>
      <c r="O323" s="198">
        <f>=ROUND(IF((TODAY()-A323+1)*N323*(L323/10000)+L323&lt;L323*1.002,L323*1.002,(TODAY()-A323+1)*N323*(L323/10000)+L323),2)</f>
        <v>2760.55</v>
      </c>
      <c r="P323" s="93">
        <v>7</v>
      </c>
      <c r="Q323" s="93">
        <f>=J323-P323</f>
        <v>0</v>
      </c>
      <c r="R323" s="232">
        <v>7</v>
      </c>
      <c r="S323" s="217">
        <f>=P323-R323</f>
        <v>0</v>
      </c>
      <c r="T323" s="93">
        <f>=S323*L323</f>
        <v>0</v>
      </c>
      <c r="U323" s="218">
        <f>=J323-P323</f>
        <v>0</v>
      </c>
      <c r="V323" s="218" t="s"/>
      <c r="W323" s="218" t="s"/>
      <c r="X323" s="218" t="s"/>
      <c r="Y323" s="218" t="s"/>
      <c r="Z323" s="218" t="s"/>
    </row>
    <row r="324" spans="1:26" s="218" customFormat="true" ht="15.75" customHeight="true">
      <c r="A324" s="110">
        <v>46100</v>
      </c>
      <c r="B324" s="93">
        <f>=TODAY()-A324+1</f>
        <v>125</v>
      </c>
      <c r="C324" s="93" t="s">
        <v>158</v>
      </c>
      <c r="D324" s="93" t="s">
        <v>52</v>
      </c>
      <c r="E324" s="220" t="s">
        <v>930</v>
      </c>
      <c r="F324" s="217" t="s"/>
      <c r="G324" s="87" t="s">
        <v>428</v>
      </c>
      <c r="H324" s="87" t="s">
        <v>422</v>
      </c>
      <c r="I324" s="142" t="s">
        <v>931</v>
      </c>
      <c r="J324" s="93">
        <v>15</v>
      </c>
      <c r="K324" s="93" t="s"/>
      <c r="L324" s="93">
        <v>2824</v>
      </c>
      <c r="M324" s="217">
        <f>=J324*L324</f>
        <v>42360</v>
      </c>
      <c r="N324" s="93">
        <v>3</v>
      </c>
      <c r="O324" s="198">
        <f>=ROUND(IF((TODAY()-A324+1)*N324*(L324/10000)+L324&lt;L324*1.002,L324*1.002,(TODAY()-A324+1)*N324*(L324/10000)+L324),2)</f>
        <v>2930.75</v>
      </c>
      <c r="P324" s="93">
        <v>15</v>
      </c>
      <c r="Q324" s="93">
        <f>=J324-P324</f>
        <v>0</v>
      </c>
      <c r="R324" s="93">
        <v>15</v>
      </c>
      <c r="S324" s="217">
        <f>=P324-R324</f>
        <v>0</v>
      </c>
      <c r="T324" s="93">
        <f>=S324*L324</f>
        <v>0</v>
      </c>
      <c r="U324" s="218">
        <f>=J324-P324</f>
        <v>0</v>
      </c>
      <c r="V324" s="218" t="s"/>
      <c r="W324" s="218" t="s"/>
      <c r="X324" s="218" t="s"/>
      <c r="Y324" s="218" t="s"/>
      <c r="Z324" s="218" t="s"/>
    </row>
    <row r="325" spans="1:26" s="218" customFormat="true" ht="15.75" customHeight="true">
      <c r="A325" s="110">
        <v>46100</v>
      </c>
      <c r="B325" s="93">
        <f>=TODAY()-A325+1</f>
        <v>125</v>
      </c>
      <c r="C325" s="93" t="s">
        <v>158</v>
      </c>
      <c r="D325" s="93" t="s">
        <v>52</v>
      </c>
      <c r="E325" s="220" t="s">
        <v>932</v>
      </c>
      <c r="F325" s="217" t="s"/>
      <c r="G325" s="87" t="s">
        <v>428</v>
      </c>
      <c r="H325" s="87" t="s">
        <v>422</v>
      </c>
      <c r="I325" s="142" t="s">
        <v>933</v>
      </c>
      <c r="J325" s="93">
        <v>26</v>
      </c>
      <c r="K325" s="93" t="s"/>
      <c r="L325" s="93">
        <v>2824</v>
      </c>
      <c r="M325" s="217">
        <f>=J325*L325</f>
        <v>73424</v>
      </c>
      <c r="N325" s="93">
        <v>3</v>
      </c>
      <c r="O325" s="198">
        <f>=ROUND(IF((TODAY()-A325+1)*N325*(L325/10000)+L325&lt;L325*1.002,L325*1.002,(TODAY()-A325+1)*N325*(L325/10000)+L325),2)</f>
        <v>2930.75</v>
      </c>
      <c r="P325" s="93">
        <v>26</v>
      </c>
      <c r="Q325" s="93">
        <f>=J325-P325</f>
        <v>0</v>
      </c>
      <c r="R325" s="93">
        <v>20</v>
      </c>
      <c r="S325" s="217">
        <f>=P325-R325</f>
        <v>6</v>
      </c>
      <c r="T325" s="93">
        <f>=S325*L325</f>
        <v>16944</v>
      </c>
      <c r="U325" s="218">
        <f>=J325-P325</f>
        <v>0</v>
      </c>
      <c r="V325" s="218" t="s"/>
      <c r="W325" s="218" t="s"/>
      <c r="X325" s="218" t="s"/>
      <c r="Y325" s="218" t="s"/>
      <c r="Z325" s="218" t="s"/>
    </row>
    <row r="326" spans="1:26" s="218" customFormat="true" ht="15.75" customHeight="true">
      <c r="A326" s="110">
        <v>46100</v>
      </c>
      <c r="B326" s="93">
        <f>=TODAY()-A326+1</f>
        <v>125</v>
      </c>
      <c r="C326" s="93" t="s">
        <v>161</v>
      </c>
      <c r="D326" s="93" t="s">
        <v>150</v>
      </c>
      <c r="E326" s="239" t="s">
        <v>934</v>
      </c>
      <c r="F326" s="221" t="s">
        <v>894</v>
      </c>
      <c r="G326" s="220" t="s">
        <v>895</v>
      </c>
      <c r="H326" s="220" t="s">
        <v>422</v>
      </c>
      <c r="I326" s="220" t="s">
        <v>935</v>
      </c>
      <c r="J326" s="93">
        <v>2</v>
      </c>
      <c r="K326" s="93" t="s"/>
      <c r="L326" s="93">
        <v>2080</v>
      </c>
      <c r="M326" s="217">
        <f>=J326*L326</f>
        <v>4160</v>
      </c>
      <c r="N326" s="93">
        <v>2.5</v>
      </c>
      <c r="O326" s="198">
        <f>=ROUND(IF((TODAY()-A326+1)*N326*(L326/10000)+L326&lt;L326*1.002,L326*1.002,(TODAY()-A326+1)*N326*(L326/10000)+L326),2)</f>
        <v>2145.52</v>
      </c>
      <c r="P326" s="93">
        <v>2</v>
      </c>
      <c r="Q326" s="93">
        <f>=J326-P326</f>
        <v>0</v>
      </c>
      <c r="R326" s="93">
        <v>2</v>
      </c>
      <c r="S326" s="217">
        <f>=P326-R326</f>
        <v>0</v>
      </c>
      <c r="T326" s="93">
        <f>=S326*L326</f>
        <v>0</v>
      </c>
      <c r="U326" s="218">
        <f>=J326-P326</f>
        <v>0</v>
      </c>
      <c r="V326" s="218" t="s"/>
      <c r="W326" s="218" t="s"/>
      <c r="X326" s="218" t="s"/>
      <c r="Y326" s="218" t="s"/>
      <c r="Z326" s="218" t="s"/>
    </row>
    <row r="327" spans="1:26" s="218" customFormat="true" ht="15.75" customHeight="true">
      <c r="A327" s="110">
        <v>46100</v>
      </c>
      <c r="B327" s="93">
        <f>=TODAY()-A327+1</f>
        <v>125</v>
      </c>
      <c r="C327" s="93" t="s">
        <v>161</v>
      </c>
      <c r="D327" s="93" t="s">
        <v>150</v>
      </c>
      <c r="E327" s="255" t="s">
        <v>936</v>
      </c>
      <c r="F327" s="221" t="s">
        <v>894</v>
      </c>
      <c r="G327" s="220" t="s">
        <v>895</v>
      </c>
      <c r="H327" s="220" t="s">
        <v>422</v>
      </c>
      <c r="I327" s="220" t="s">
        <v>937</v>
      </c>
      <c r="J327" s="93">
        <v>11</v>
      </c>
      <c r="K327" s="93" t="s"/>
      <c r="L327" s="93">
        <v>2320</v>
      </c>
      <c r="M327" s="217">
        <f>=J327*L327</f>
        <v>25520</v>
      </c>
      <c r="N327" s="93">
        <v>2.5</v>
      </c>
      <c r="O327" s="198">
        <f>=ROUND(IF((TODAY()-A327+1)*N327*(L327/10000)+L327&lt;L327*1.002,L327*1.002,(TODAY()-A327+1)*N327*(L327/10000)+L327),2)</f>
        <v>2393.08</v>
      </c>
      <c r="P327" s="93">
        <v>11</v>
      </c>
      <c r="Q327" s="93">
        <f>=J327-P327</f>
        <v>0</v>
      </c>
      <c r="R327" s="93">
        <v>11</v>
      </c>
      <c r="S327" s="217">
        <f>=P327-R327</f>
        <v>0</v>
      </c>
      <c r="T327" s="93">
        <f>=S327*L327</f>
        <v>0</v>
      </c>
      <c r="U327" s="218">
        <f>=J327-P327</f>
        <v>0</v>
      </c>
      <c r="V327" s="218" t="s"/>
      <c r="W327" s="218" t="s"/>
      <c r="X327" s="218" t="s"/>
      <c r="Y327" s="218" t="s"/>
      <c r="Z327" s="218" t="s"/>
    </row>
    <row r="328" spans="1:26" s="218" customFormat="true" ht="15.75" customHeight="true">
      <c r="A328" s="110">
        <v>46100</v>
      </c>
      <c r="B328" s="93">
        <f>=TODAY()-A328+1</f>
        <v>125</v>
      </c>
      <c r="C328" s="93" t="s">
        <v>161</v>
      </c>
      <c r="D328" s="93" t="s">
        <v>150</v>
      </c>
      <c r="E328" s="239" t="s">
        <v>938</v>
      </c>
      <c r="F328" s="221" t="s">
        <v>894</v>
      </c>
      <c r="G328" s="220" t="s">
        <v>895</v>
      </c>
      <c r="H328" s="220" t="s">
        <v>422</v>
      </c>
      <c r="I328" s="220" t="s">
        <v>939</v>
      </c>
      <c r="J328" s="93">
        <v>20</v>
      </c>
      <c r="K328" s="93" t="s"/>
      <c r="L328" s="93">
        <v>2320</v>
      </c>
      <c r="M328" s="217">
        <f>=J328*L328</f>
        <v>46400</v>
      </c>
      <c r="N328" s="93">
        <v>2.5</v>
      </c>
      <c r="O328" s="198">
        <f>=ROUND(IF((TODAY()-A328+1)*N328*(L328/10000)+L328&lt;L328*1.002,L328*1.002,(TODAY()-A328+1)*N328*(L328/10000)+L328),2)</f>
        <v>2393.08</v>
      </c>
      <c r="P328" s="93">
        <v>20</v>
      </c>
      <c r="Q328" s="93">
        <f>=J328-P328</f>
        <v>0</v>
      </c>
      <c r="R328" s="93">
        <v>20</v>
      </c>
      <c r="S328" s="217">
        <f>=P328-R328</f>
        <v>0</v>
      </c>
      <c r="T328" s="93">
        <f>=S328*L328</f>
        <v>0</v>
      </c>
      <c r="U328" s="218">
        <f>=J328-P328</f>
        <v>0</v>
      </c>
      <c r="V328" s="218" t="s"/>
      <c r="W328" s="218" t="s"/>
      <c r="X328" s="218" t="s"/>
      <c r="Y328" s="218" t="s"/>
      <c r="Z328" s="218" t="s"/>
    </row>
    <row r="329" spans="1:26" s="218" customFormat="true" ht="15.75" customHeight="true">
      <c r="A329" s="110">
        <v>46100</v>
      </c>
      <c r="B329" s="93">
        <f>=TODAY()-A329+1</f>
        <v>125</v>
      </c>
      <c r="C329" s="93" t="s">
        <v>161</v>
      </c>
      <c r="D329" s="93" t="s">
        <v>150</v>
      </c>
      <c r="E329" s="213" t="s">
        <v>940</v>
      </c>
      <c r="F329" s="221" t="s">
        <v>894</v>
      </c>
      <c r="G329" s="220" t="s">
        <v>895</v>
      </c>
      <c r="H329" s="220" t="s">
        <v>422</v>
      </c>
      <c r="I329" s="220" t="s">
        <v>941</v>
      </c>
      <c r="J329" s="93">
        <v>13</v>
      </c>
      <c r="K329" s="93" t="s"/>
      <c r="L329" s="93">
        <v>2080</v>
      </c>
      <c r="M329" s="217">
        <f>=J329*L329</f>
        <v>27040</v>
      </c>
      <c r="N329" s="93">
        <v>2.5</v>
      </c>
      <c r="O329" s="198">
        <f>=ROUND(IF((TODAY()-A329+1)*N329*(L329/10000)+L329&lt;L329*1.002,L329*1.002,(TODAY()-A329+1)*N329*(L329/10000)+L329),2)</f>
        <v>2145.52</v>
      </c>
      <c r="P329" s="93">
        <v>13</v>
      </c>
      <c r="Q329" s="93">
        <f>=J329-P329</f>
        <v>0</v>
      </c>
      <c r="R329" s="93">
        <v>13</v>
      </c>
      <c r="S329" s="217">
        <f>=P329-R329</f>
        <v>0</v>
      </c>
      <c r="T329" s="93">
        <f>=S329*L329</f>
        <v>0</v>
      </c>
      <c r="U329" s="218">
        <f>=J329-P329</f>
        <v>0</v>
      </c>
      <c r="V329" s="218" t="s"/>
      <c r="W329" s="218" t="s"/>
      <c r="X329" s="218" t="s"/>
      <c r="Y329" s="218" t="s"/>
      <c r="Z329" s="218" t="s"/>
    </row>
    <row r="330" spans="1:26" s="218" customFormat="true" ht="15.75" customHeight="true">
      <c r="A330" s="110">
        <v>46100</v>
      </c>
      <c r="B330" s="93">
        <f>=TODAY()-A330+1</f>
        <v>125</v>
      </c>
      <c r="C330" s="93" t="s">
        <v>161</v>
      </c>
      <c r="D330" s="93" t="s">
        <v>150</v>
      </c>
      <c r="E330" s="246" t="s">
        <v>942</v>
      </c>
      <c r="F330" s="221" t="s">
        <v>894</v>
      </c>
      <c r="G330" s="220" t="s">
        <v>895</v>
      </c>
      <c r="H330" s="220" t="s">
        <v>422</v>
      </c>
      <c r="I330" s="220" t="s">
        <v>943</v>
      </c>
      <c r="J330" s="93">
        <v>4</v>
      </c>
      <c r="K330" s="93" t="s"/>
      <c r="L330" s="93">
        <v>2320</v>
      </c>
      <c r="M330" s="217">
        <f>=J330*L330</f>
        <v>9280</v>
      </c>
      <c r="N330" s="93">
        <v>2.5</v>
      </c>
      <c r="O330" s="198">
        <f>=ROUND(IF((TODAY()-A330+1)*N330*(L330/10000)+L330&lt;L330*1.002,L330*1.002,(TODAY()-A330+1)*N330*(L330/10000)+L330),2)</f>
        <v>2393.08</v>
      </c>
      <c r="P330" s="93">
        <v>4</v>
      </c>
      <c r="Q330" s="93">
        <f>=J330-P330</f>
        <v>0</v>
      </c>
      <c r="R330" s="93">
        <v>4</v>
      </c>
      <c r="S330" s="217">
        <f>=P330-R330</f>
        <v>0</v>
      </c>
      <c r="T330" s="93">
        <f>=S330*L330</f>
        <v>0</v>
      </c>
      <c r="U330" s="218">
        <f>=J330-P330</f>
        <v>0</v>
      </c>
      <c r="V330" s="218" t="s"/>
      <c r="W330" s="218" t="s"/>
      <c r="X330" s="218" t="s"/>
      <c r="Y330" s="218" t="s"/>
      <c r="Z330" s="218" t="s"/>
    </row>
    <row r="331" spans="1:26" s="218" customFormat="true" ht="15.75" customHeight="true">
      <c r="A331" s="110">
        <v>46100</v>
      </c>
      <c r="B331" s="93">
        <f>=TODAY()-A331+1</f>
        <v>125</v>
      </c>
      <c r="C331" s="93" t="s">
        <v>161</v>
      </c>
      <c r="D331" s="93" t="s">
        <v>150</v>
      </c>
      <c r="E331" s="239" t="s">
        <v>944</v>
      </c>
      <c r="F331" s="221" t="s">
        <v>894</v>
      </c>
      <c r="G331" s="220" t="s">
        <v>895</v>
      </c>
      <c r="H331" s="220" t="s">
        <v>422</v>
      </c>
      <c r="I331" s="220" t="s">
        <v>896</v>
      </c>
      <c r="J331" s="93">
        <v>300</v>
      </c>
      <c r="K331" s="93" t="s"/>
      <c r="L331" s="93">
        <v>1080</v>
      </c>
      <c r="M331" s="217">
        <f>=J331*L331</f>
        <v>324000</v>
      </c>
      <c r="N331" s="93">
        <v>2.5</v>
      </c>
      <c r="O331" s="198">
        <f>=ROUND(IF((TODAY()-A331+1)*N331*(L331/10000)+L331&lt;L331*1.002,L331*1.002,(TODAY()-A331+1)*N331*(L331/10000)+L331),2)</f>
        <v>1114.02</v>
      </c>
      <c r="P331" s="93">
        <v>300</v>
      </c>
      <c r="Q331" s="93">
        <f>=J331-P331</f>
        <v>0</v>
      </c>
      <c r="R331" s="93">
        <v>300</v>
      </c>
      <c r="S331" s="217">
        <f>=P331-R331</f>
        <v>0</v>
      </c>
      <c r="T331" s="93">
        <f>=S331*L331</f>
        <v>0</v>
      </c>
      <c r="U331" s="218">
        <f>=J331-P331</f>
        <v>0</v>
      </c>
      <c r="V331" s="218" t="s"/>
      <c r="W331" s="218" t="s"/>
      <c r="X331" s="218" t="s"/>
      <c r="Y331" s="218" t="s"/>
      <c r="Z331" s="218" t="s"/>
    </row>
    <row r="332" spans="1:26" s="577" customFormat="true" ht="15.75" customHeight="true">
      <c r="A332" s="110">
        <v>46101</v>
      </c>
      <c r="B332" s="93">
        <f>=TODAY()-A332+1</f>
        <v>124</v>
      </c>
      <c r="C332" s="110" t="s">
        <v>174</v>
      </c>
      <c r="D332" s="83" t="s">
        <v>135</v>
      </c>
      <c r="E332" s="256" t="s">
        <v>945</v>
      </c>
      <c r="F332" s="257" t="s">
        <v>856</v>
      </c>
      <c r="G332" s="83" t="s">
        <v>428</v>
      </c>
      <c r="H332" s="83" t="s">
        <v>422</v>
      </c>
      <c r="I332" s="251" t="s">
        <v>495</v>
      </c>
      <c r="J332" s="83">
        <v>200</v>
      </c>
      <c r="K332" s="232" t="s"/>
      <c r="L332" s="83">
        <v>1680</v>
      </c>
      <c r="M332" s="228">
        <f>=J332*L332</f>
        <v>336000</v>
      </c>
      <c r="N332" s="83">
        <v>2.5</v>
      </c>
      <c r="O332" s="198">
        <f>=ROUND(IF((TODAY()-A332+1)*N332*(L332/10000)+L332&lt;L332*1.002,L332*1.002,(TODAY()-A332+1)*N332*(L332/10000)+L332),2)</f>
        <v>1732.5</v>
      </c>
      <c r="P332" s="83">
        <v>200</v>
      </c>
      <c r="Q332" s="83">
        <f>=J332-P332</f>
        <v>0</v>
      </c>
      <c r="R332" s="232">
        <v>100</v>
      </c>
      <c r="S332" s="228">
        <f>=P332-R332</f>
        <v>100</v>
      </c>
      <c r="T332" s="93">
        <f>=S332*L332</f>
        <v>168000</v>
      </c>
      <c r="U332" s="234">
        <f>=J332-P332</f>
        <v>0</v>
      </c>
      <c r="V332" s="258" t="s"/>
      <c r="W332" s="258" t="s"/>
      <c r="X332" s="235" t="s"/>
      <c r="Y332" s="235" t="s"/>
      <c r="Z332" s="235" t="s"/>
    </row>
    <row r="333" spans="1:26" s="577" customFormat="true" ht="15.75" customHeight="true">
      <c r="A333" s="110">
        <v>46101</v>
      </c>
      <c r="B333" s="93">
        <f>=TODAY()-A333+1</f>
        <v>124</v>
      </c>
      <c r="C333" s="110" t="s">
        <v>174</v>
      </c>
      <c r="D333" s="83" t="s">
        <v>135</v>
      </c>
      <c r="E333" s="256" t="s">
        <v>946</v>
      </c>
      <c r="F333" s="257" t="s">
        <v>856</v>
      </c>
      <c r="G333" s="228" t="s">
        <v>428</v>
      </c>
      <c r="H333" s="228" t="s">
        <v>422</v>
      </c>
      <c r="I333" s="251" t="s">
        <v>905</v>
      </c>
      <c r="J333" s="83">
        <v>250</v>
      </c>
      <c r="K333" s="142" t="s"/>
      <c r="L333" s="83">
        <v>1680</v>
      </c>
      <c r="M333" s="228">
        <f>=J333*L333</f>
        <v>420000</v>
      </c>
      <c r="N333" s="83">
        <v>2.5</v>
      </c>
      <c r="O333" s="198">
        <f>=ROUND(IF((TODAY()-A333+1)*N333*(L333/10000)+L333&lt;L333*1.002,L333*1.002,(TODAY()-A333+1)*N333*(L333/10000)+L333),2)</f>
        <v>1732.5</v>
      </c>
      <c r="P333" s="83">
        <v>250</v>
      </c>
      <c r="Q333" s="83">
        <f>=J333-P333</f>
        <v>0</v>
      </c>
      <c r="R333" s="142">
        <v>150</v>
      </c>
      <c r="S333" s="228">
        <f>=P333-R333</f>
        <v>100</v>
      </c>
      <c r="T333" s="93">
        <f>=S333*L333</f>
        <v>168000</v>
      </c>
      <c r="U333" s="218">
        <f>=J333-P333</f>
        <v>0</v>
      </c>
      <c r="V333" s="258" t="s"/>
      <c r="W333" s="258" t="s"/>
      <c r="X333" s="258" t="s"/>
      <c r="Y333" s="258" t="s"/>
      <c r="Z333" s="258" t="s"/>
    </row>
    <row r="334" spans="1:26" s="218" customFormat="true" ht="15.75" customHeight="true">
      <c r="A334" s="110">
        <v>46101</v>
      </c>
      <c r="B334" s="93">
        <f>=TODAY()-A334+1</f>
        <v>124</v>
      </c>
      <c r="C334" s="102" t="s">
        <v>174</v>
      </c>
      <c r="D334" s="93" t="s">
        <v>135</v>
      </c>
      <c r="E334" s="239" t="s">
        <v>947</v>
      </c>
      <c r="F334" s="221" t="s">
        <v>856</v>
      </c>
      <c r="G334" s="220" t="s">
        <v>428</v>
      </c>
      <c r="H334" s="254" t="s">
        <v>422</v>
      </c>
      <c r="I334" s="251" t="s">
        <v>493</v>
      </c>
      <c r="J334" s="93">
        <v>50</v>
      </c>
      <c r="K334" s="232" t="s"/>
      <c r="L334" s="93">
        <v>1680</v>
      </c>
      <c r="M334" s="217">
        <f>=J334*L334</f>
        <v>84000</v>
      </c>
      <c r="N334" s="93">
        <v>2.5</v>
      </c>
      <c r="O334" s="198">
        <f>=ROUND(IF((TODAY()-A334+1)*N334*(L334/10000)+L334&lt;L334*1.002,L334*1.002,(TODAY()-A334+1)*N334*(L334/10000)+L334),2)</f>
        <v>1732.5</v>
      </c>
      <c r="P334" s="93">
        <v>50</v>
      </c>
      <c r="Q334" s="93">
        <f>=J334-P334</f>
        <v>0</v>
      </c>
      <c r="R334" s="232">
        <v>50</v>
      </c>
      <c r="S334" s="217">
        <f>=P334-R334</f>
        <v>0</v>
      </c>
      <c r="T334" s="93">
        <f>=S334*L334</f>
        <v>0</v>
      </c>
      <c r="U334" s="234">
        <f>=J334-P334</f>
        <v>0</v>
      </c>
      <c r="V334" s="218" t="s"/>
      <c r="W334" s="218" t="s"/>
      <c r="X334" s="235" t="s"/>
      <c r="Y334" s="235" t="s"/>
      <c r="Z334" s="235" t="s"/>
    </row>
    <row r="335" spans="1:26" s="218" customFormat="true" ht="15.75" customHeight="true">
      <c r="A335" s="110">
        <v>46101</v>
      </c>
      <c r="B335" s="93">
        <f>=TODAY()-A335+1</f>
        <v>124</v>
      </c>
      <c r="C335" s="102" t="s">
        <v>162</v>
      </c>
      <c r="D335" s="93" t="s">
        <v>150</v>
      </c>
      <c r="E335" s="239" t="s">
        <v>948</v>
      </c>
      <c r="F335" s="221" t="s">
        <v>894</v>
      </c>
      <c r="G335" s="220" t="s">
        <v>895</v>
      </c>
      <c r="H335" s="220" t="s">
        <v>422</v>
      </c>
      <c r="I335" s="220" t="s">
        <v>949</v>
      </c>
      <c r="J335" s="241">
        <v>231</v>
      </c>
      <c r="K335" s="93" t="s"/>
      <c r="L335" s="241">
        <v>1080</v>
      </c>
      <c r="M335" s="217">
        <f>=J335*L335</f>
        <v>249480</v>
      </c>
      <c r="N335" s="93">
        <v>2.5</v>
      </c>
      <c r="O335" s="198">
        <f>=ROUND(IF((TODAY()-A335+1)*N335*(L335/10000)+L335&lt;L335*1.002,L335*1.002,(TODAY()-A335+1)*N335*(L335/10000)+L335),2)</f>
        <v>1113.75</v>
      </c>
      <c r="P335" s="241">
        <v>231</v>
      </c>
      <c r="Q335" s="93">
        <f>=J335-P335</f>
        <v>0</v>
      </c>
      <c r="R335" s="241">
        <v>231</v>
      </c>
      <c r="S335" s="217">
        <f>=P335-R335</f>
        <v>0</v>
      </c>
      <c r="T335" s="93">
        <f>=S335*L335</f>
        <v>0</v>
      </c>
      <c r="U335" s="218">
        <f>=J335-P335</f>
        <v>0</v>
      </c>
      <c r="V335" s="218" t="s"/>
      <c r="W335" s="218" t="s"/>
      <c r="X335" s="218" t="s"/>
      <c r="Y335" s="218" t="s"/>
      <c r="Z335" s="218" t="s"/>
    </row>
    <row r="336" spans="1:26" s="218" customFormat="true" ht="15.75" customHeight="true">
      <c r="A336" s="110">
        <v>46101</v>
      </c>
      <c r="B336" s="93">
        <f>=TODAY()-A336+1</f>
        <v>124</v>
      </c>
      <c r="C336" s="102" t="s">
        <v>162</v>
      </c>
      <c r="D336" s="93" t="s">
        <v>150</v>
      </c>
      <c r="E336" s="239" t="s">
        <v>950</v>
      </c>
      <c r="F336" s="221" t="s">
        <v>894</v>
      </c>
      <c r="G336" s="220" t="s">
        <v>895</v>
      </c>
      <c r="H336" s="220" t="s">
        <v>422</v>
      </c>
      <c r="I336" s="220" t="s">
        <v>951</v>
      </c>
      <c r="J336" s="241">
        <v>89</v>
      </c>
      <c r="K336" s="93" t="s"/>
      <c r="L336" s="241">
        <v>1080</v>
      </c>
      <c r="M336" s="217">
        <f>=J336*L336</f>
        <v>96120</v>
      </c>
      <c r="N336" s="93">
        <v>2.5</v>
      </c>
      <c r="O336" s="198">
        <f>=ROUND(IF((TODAY()-A336+1)*N336*(L336/10000)+L336&lt;L336*1.002,L336*1.002,(TODAY()-A336+1)*N336*(L336/10000)+L336),2)</f>
        <v>1113.75</v>
      </c>
      <c r="P336" s="241">
        <v>89</v>
      </c>
      <c r="Q336" s="93">
        <f>=J336-P336</f>
        <v>0</v>
      </c>
      <c r="R336" s="241">
        <v>89</v>
      </c>
      <c r="S336" s="217">
        <f>=P336-R336</f>
        <v>0</v>
      </c>
      <c r="T336" s="93">
        <f>=S336*L336</f>
        <v>0</v>
      </c>
      <c r="U336" s="218">
        <f>=J336-P336</f>
        <v>0</v>
      </c>
      <c r="V336" s="218" t="s"/>
      <c r="W336" s="218" t="s"/>
      <c r="X336" s="218" t="s"/>
      <c r="Y336" s="218" t="s"/>
      <c r="Z336" s="218" t="s"/>
    </row>
    <row r="337" spans="1:26" s="218" customFormat="true" ht="15.75" customHeight="true">
      <c r="A337" s="110">
        <v>46101</v>
      </c>
      <c r="B337" s="93">
        <f>=TODAY()-A337+1</f>
        <v>124</v>
      </c>
      <c r="C337" s="102" t="s">
        <v>166</v>
      </c>
      <c r="D337" s="241" t="s">
        <v>165</v>
      </c>
      <c r="E337" s="217" t="s">
        <v>952</v>
      </c>
      <c r="F337" s="221" t="s">
        <v>953</v>
      </c>
      <c r="G337" s="220" t="s">
        <v>428</v>
      </c>
      <c r="H337" s="220" t="s">
        <v>470</v>
      </c>
      <c r="I337" s="220" t="s">
        <v>954</v>
      </c>
      <c r="J337" s="93">
        <v>114</v>
      </c>
      <c r="K337" s="93" t="s"/>
      <c r="L337" s="93">
        <v>2900</v>
      </c>
      <c r="M337" s="217">
        <f>=J337*L337</f>
        <v>330600</v>
      </c>
      <c r="N337" s="93">
        <v>2.5</v>
      </c>
      <c r="O337" s="198">
        <f>=ROUND(IF((TODAY()-A337+1)*N337*(L337/10000)+L337&lt;L337*1.002,L337*1.002,(TODAY()-A337+1)*N337*(L337/10000)+L337),2)</f>
        <v>2990.63</v>
      </c>
      <c r="P337" s="93">
        <v>114</v>
      </c>
      <c r="Q337" s="93">
        <f>=J337-P337</f>
        <v>0</v>
      </c>
      <c r="R337" s="93">
        <v>114</v>
      </c>
      <c r="S337" s="217">
        <f>=P337-R337</f>
        <v>0</v>
      </c>
      <c r="T337" s="93">
        <f>=S337*L337</f>
        <v>0</v>
      </c>
      <c r="U337" s="218">
        <f>=J337-P337</f>
        <v>0</v>
      </c>
      <c r="V337" s="218" t="s"/>
      <c r="W337" s="218" t="s"/>
      <c r="X337" s="218" t="s"/>
      <c r="Y337" s="218" t="s"/>
      <c r="Z337" s="218" t="s"/>
    </row>
    <row r="338" spans="1:26" s="218" customFormat="true" ht="15.75" customHeight="true">
      <c r="A338" s="110">
        <v>46101</v>
      </c>
      <c r="B338" s="93">
        <f>=TODAY()-A338+1</f>
        <v>124</v>
      </c>
      <c r="C338" s="93" t="s">
        <v>170</v>
      </c>
      <c r="D338" s="93" t="s">
        <v>169</v>
      </c>
      <c r="E338" s="239" t="s">
        <v>955</v>
      </c>
      <c r="F338" s="221" t="s">
        <v>956</v>
      </c>
      <c r="G338" s="220" t="s">
        <v>421</v>
      </c>
      <c r="H338" s="220" t="s">
        <v>422</v>
      </c>
      <c r="I338" s="220" t="s">
        <v>957</v>
      </c>
      <c r="J338" s="241">
        <v>2</v>
      </c>
      <c r="K338" s="93" t="s"/>
      <c r="L338" s="93">
        <v>7846</v>
      </c>
      <c r="M338" s="217">
        <f>=J338*L338</f>
        <v>15692</v>
      </c>
      <c r="N338" s="93">
        <v>2.5</v>
      </c>
      <c r="O338" s="198">
        <f>=ROUND(IF((TODAY()-A338+1)*N338*(L338/10000)+L338&lt;L338*1.002,L338*1.002,(TODAY()-A338+1)*N338*(L338/10000)+L338),2)</f>
        <v>8091.19</v>
      </c>
      <c r="P338" s="241">
        <v>2</v>
      </c>
      <c r="Q338" s="93">
        <f>=J338-P338</f>
        <v>0</v>
      </c>
      <c r="R338" s="93">
        <v>2</v>
      </c>
      <c r="S338" s="217">
        <f>=P338-R338</f>
        <v>0</v>
      </c>
      <c r="T338" s="93">
        <f>=S338*L338</f>
        <v>0</v>
      </c>
      <c r="U338" s="218">
        <f>=J338-P338</f>
        <v>0</v>
      </c>
      <c r="V338" s="218" t="s"/>
      <c r="W338" s="218" t="s"/>
      <c r="X338" s="218" t="s"/>
      <c r="Y338" s="218" t="s"/>
      <c r="Z338" s="218" t="s"/>
    </row>
    <row r="339" spans="1:26" s="218" customFormat="true" ht="15.75" customHeight="true">
      <c r="A339" s="110">
        <v>46101</v>
      </c>
      <c r="B339" s="93">
        <f>=TODAY()-A339+1</f>
        <v>124</v>
      </c>
      <c r="C339" s="71" t="s">
        <v>170</v>
      </c>
      <c r="D339" s="93" t="s">
        <v>169</v>
      </c>
      <c r="E339" s="239" t="s">
        <v>958</v>
      </c>
      <c r="F339" s="221" t="s">
        <v>956</v>
      </c>
      <c r="G339" s="220" t="s">
        <v>421</v>
      </c>
      <c r="H339" s="220" t="s">
        <v>422</v>
      </c>
      <c r="I339" s="220" t="s">
        <v>959</v>
      </c>
      <c r="J339" s="241">
        <v>17</v>
      </c>
      <c r="K339" s="93" t="s"/>
      <c r="L339" s="93">
        <v>7846</v>
      </c>
      <c r="M339" s="217">
        <f>=J339*L339</f>
        <v>133382</v>
      </c>
      <c r="N339" s="93">
        <v>2.5</v>
      </c>
      <c r="O339" s="198">
        <f>=ROUND(IF((TODAY()-A339+1)*N339*(L339/10000)+L339&lt;L339*1.002,L339*1.002,(TODAY()-A339+1)*N339*(L339/10000)+L339),2)</f>
        <v>8091.19</v>
      </c>
      <c r="P339" s="241">
        <v>17</v>
      </c>
      <c r="Q339" s="93">
        <f>=J339-P339</f>
        <v>0</v>
      </c>
      <c r="R339" s="93">
        <v>17</v>
      </c>
      <c r="S339" s="217">
        <f>=P339-R339</f>
        <v>0</v>
      </c>
      <c r="T339" s="93">
        <f>=S339*L339</f>
        <v>0</v>
      </c>
      <c r="U339" s="218">
        <f>=J339-P339</f>
        <v>0</v>
      </c>
      <c r="V339" s="218" t="s"/>
      <c r="W339" s="218" t="s"/>
      <c r="X339" s="218" t="s"/>
      <c r="Y339" s="218" t="s"/>
      <c r="Z339" s="218" t="s"/>
    </row>
    <row r="340" spans="1:26" s="218" customFormat="true" ht="15.75" customHeight="true">
      <c r="A340" s="110">
        <v>46101</v>
      </c>
      <c r="B340" s="93">
        <f>=TODAY()-A340+1</f>
        <v>124</v>
      </c>
      <c r="C340" s="71" t="s">
        <v>170</v>
      </c>
      <c r="D340" s="93" t="s">
        <v>169</v>
      </c>
      <c r="E340" s="239" t="s">
        <v>960</v>
      </c>
      <c r="F340" s="221" t="s">
        <v>956</v>
      </c>
      <c r="G340" s="220" t="s">
        <v>421</v>
      </c>
      <c r="H340" s="220" t="s">
        <v>422</v>
      </c>
      <c r="I340" s="220" t="s">
        <v>961</v>
      </c>
      <c r="J340" s="241">
        <v>21</v>
      </c>
      <c r="K340" s="93" t="s"/>
      <c r="L340" s="93">
        <v>7846</v>
      </c>
      <c r="M340" s="217">
        <f>=J340*L340</f>
        <v>164766</v>
      </c>
      <c r="N340" s="93">
        <v>2.5</v>
      </c>
      <c r="O340" s="198">
        <f>=ROUND(IF((TODAY()-A340+1)*N340*(L340/10000)+L340&lt;L340*1.002,L340*1.002,(TODAY()-A340+1)*N340*(L340/10000)+L340),2)</f>
        <v>8091.19</v>
      </c>
      <c r="P340" s="241">
        <v>21</v>
      </c>
      <c r="Q340" s="93">
        <f>=J340-P340</f>
        <v>0</v>
      </c>
      <c r="R340" s="93">
        <v>21</v>
      </c>
      <c r="S340" s="217">
        <f>=P340-R340</f>
        <v>0</v>
      </c>
      <c r="T340" s="93">
        <f>=S340*L340</f>
        <v>0</v>
      </c>
      <c r="U340" s="218">
        <f>=J340-P340</f>
        <v>0</v>
      </c>
      <c r="V340" s="218" t="s"/>
      <c r="W340" s="218" t="s"/>
      <c r="X340" s="218" t="s"/>
      <c r="Y340" s="218" t="s"/>
      <c r="Z340" s="218" t="s"/>
    </row>
    <row r="341" spans="1:26" s="218" customFormat="true" ht="15.75" customHeight="true">
      <c r="A341" s="110">
        <v>46101</v>
      </c>
      <c r="B341" s="93">
        <f>=TODAY()-A341+1</f>
        <v>124</v>
      </c>
      <c r="C341" s="71" t="s">
        <v>170</v>
      </c>
      <c r="D341" s="93" t="s">
        <v>169</v>
      </c>
      <c r="E341" s="239" t="s">
        <v>962</v>
      </c>
      <c r="F341" s="221" t="s">
        <v>956</v>
      </c>
      <c r="G341" s="220" t="s">
        <v>421</v>
      </c>
      <c r="H341" s="220" t="s">
        <v>422</v>
      </c>
      <c r="I341" s="220" t="s">
        <v>963</v>
      </c>
      <c r="J341" s="241">
        <v>3</v>
      </c>
      <c r="K341" s="93" t="s"/>
      <c r="L341" s="93">
        <v>9475</v>
      </c>
      <c r="M341" s="217">
        <f>=J341*L341</f>
        <v>28425</v>
      </c>
      <c r="N341" s="93">
        <v>2.5</v>
      </c>
      <c r="O341" s="198">
        <f>=ROUND(IF((TODAY()-A341+1)*N341*(L341/10000)+L341&lt;L341*1.002,L341*1.002,(TODAY()-A341+1)*N341*(L341/10000)+L341),2)</f>
        <v>9771.09</v>
      </c>
      <c r="P341" s="241">
        <v>3</v>
      </c>
      <c r="Q341" s="93">
        <f>=J341-P341</f>
        <v>0</v>
      </c>
      <c r="R341" s="93">
        <v>3</v>
      </c>
      <c r="S341" s="217">
        <f>=P341-R341</f>
        <v>0</v>
      </c>
      <c r="T341" s="93">
        <f>=S341*L341</f>
        <v>0</v>
      </c>
      <c r="U341" s="218">
        <f>=J341-P341</f>
        <v>0</v>
      </c>
      <c r="V341" s="218" t="s"/>
      <c r="W341" s="218" t="s"/>
      <c r="X341" s="218" t="s"/>
      <c r="Y341" s="218" t="s"/>
      <c r="Z341" s="218" t="s"/>
    </row>
    <row r="342" spans="1:26" s="270" customFormat="true" ht="15.75" customHeight="true">
      <c r="A342" s="110">
        <v>46101</v>
      </c>
      <c r="B342" s="93">
        <f>=TODAY()-A342+1</f>
        <v>124</v>
      </c>
      <c r="C342" s="83" t="s">
        <v>170</v>
      </c>
      <c r="D342" s="83" t="s">
        <v>169</v>
      </c>
      <c r="E342" s="256" t="s">
        <v>964</v>
      </c>
      <c r="F342" s="257" t="s">
        <v>956</v>
      </c>
      <c r="G342" s="251" t="s">
        <v>421</v>
      </c>
      <c r="H342" s="251" t="s">
        <v>422</v>
      </c>
      <c r="I342" s="251" t="s">
        <v>965</v>
      </c>
      <c r="J342" s="121">
        <v>9</v>
      </c>
      <c r="K342" s="83" t="s"/>
      <c r="L342" s="83">
        <v>7106</v>
      </c>
      <c r="M342" s="228">
        <f>=J342*L342</f>
        <v>63954</v>
      </c>
      <c r="N342" s="83">
        <v>2.5</v>
      </c>
      <c r="O342" s="198">
        <f>=ROUND(IF((TODAY()-A342+1)*N342*(L342/10000)+L342&lt;L342*1.002,L342*1.002,(TODAY()-A342+1)*N342*(L342/10000)+L342),2)</f>
        <v>7328.06</v>
      </c>
      <c r="P342" s="121">
        <v>9</v>
      </c>
      <c r="Q342" s="83">
        <f>=J342-P342</f>
        <v>0</v>
      </c>
      <c r="R342" s="121">
        <v>9</v>
      </c>
      <c r="S342" s="228">
        <f>=P342-R342</f>
        <v>0</v>
      </c>
      <c r="T342" s="93">
        <f>=S342*L342</f>
        <v>0</v>
      </c>
      <c r="U342" s="218">
        <f>=J342-P342</f>
        <v>0</v>
      </c>
      <c r="V342" s="258" t="s"/>
      <c r="W342" s="258" t="s"/>
      <c r="X342" s="258" t="s"/>
      <c r="Y342" s="258" t="s"/>
      <c r="Z342" s="258" t="s"/>
    </row>
    <row r="343" spans="1:21" s="270" customFormat="true" ht="15.75" customHeight="true">
      <c r="A343" s="80">
        <v>46101</v>
      </c>
      <c r="B343" s="71">
        <f>=TODAY()-A343+1</f>
        <v>124</v>
      </c>
      <c r="C343" s="64" t="s">
        <v>170</v>
      </c>
      <c r="D343" s="64" t="s">
        <v>169</v>
      </c>
      <c r="E343" s="247" t="s">
        <v>966</v>
      </c>
      <c r="F343" s="141" t="s">
        <v>956</v>
      </c>
      <c r="G343" s="259" t="s">
        <v>421</v>
      </c>
      <c r="H343" s="259" t="s">
        <v>422</v>
      </c>
      <c r="I343" s="259" t="s">
        <v>967</v>
      </c>
      <c r="J343" s="94">
        <v>9</v>
      </c>
      <c r="K343" s="64" t="s"/>
      <c r="L343" s="64">
        <v>7106</v>
      </c>
      <c r="M343" s="197">
        <f>=J343*L343</f>
        <v>63954</v>
      </c>
      <c r="N343" s="64">
        <v>2.5</v>
      </c>
      <c r="O343" s="189">
        <f>=ROUND(IF((TODAY()-A343+1)*N343*(L343/10000)+L343&lt;L343*1.002,L343*1.002,(TODAY()-A343+1)*N343*(L343/10000)+L343),2)</f>
        <v>7328.06</v>
      </c>
      <c r="P343" s="94">
        <v>9</v>
      </c>
      <c r="Q343" s="64">
        <f>=J343-P343</f>
        <v>0</v>
      </c>
      <c r="R343" s="94">
        <v>9</v>
      </c>
      <c r="S343" s="197">
        <f>=P343-R343</f>
        <v>0</v>
      </c>
      <c r="T343" s="71">
        <f>=S343*L343</f>
        <v>0</v>
      </c>
      <c r="U343" s="190">
        <f>=J343-P343</f>
        <v>0</v>
      </c>
    </row>
    <row r="344" spans="1:21" s="270" customFormat="true">
      <c r="A344" s="80">
        <v>46101</v>
      </c>
      <c r="B344" s="71">
        <f>=TODAY()-A344+1</f>
        <v>124</v>
      </c>
      <c r="C344" s="64" t="s">
        <v>170</v>
      </c>
      <c r="D344" s="64" t="s">
        <v>169</v>
      </c>
      <c r="E344" s="247" t="s">
        <v>968</v>
      </c>
      <c r="F344" s="141" t="s">
        <v>956</v>
      </c>
      <c r="G344" s="259" t="s">
        <v>421</v>
      </c>
      <c r="H344" s="259" t="s">
        <v>422</v>
      </c>
      <c r="I344" s="259" t="s">
        <v>969</v>
      </c>
      <c r="J344" s="94">
        <v>24</v>
      </c>
      <c r="L344" s="64">
        <v>7106</v>
      </c>
      <c r="M344" s="197">
        <f>=J344*L344</f>
        <v>170544</v>
      </c>
      <c r="N344" s="64">
        <v>2.5</v>
      </c>
      <c r="O344" s="189">
        <f>=ROUND(IF((TODAY()-A344+1)*N344*(L344/10000)+L344&lt;L344*1.002,L344*1.002,(TODAY()-A344+1)*N344*(L344/10000)+L344),2)</f>
        <v>7328.06</v>
      </c>
      <c r="P344" s="94">
        <v>24</v>
      </c>
      <c r="Q344" s="64">
        <f>=J344-P344</f>
        <v>0</v>
      </c>
      <c r="R344" s="94">
        <v>24</v>
      </c>
      <c r="S344" s="197">
        <f>=P344-R344</f>
        <v>0</v>
      </c>
      <c r="T344" s="71">
        <f>=S344*L344</f>
        <v>0</v>
      </c>
      <c r="U344" s="190">
        <f>=J344-P344</f>
        <v>0</v>
      </c>
    </row>
    <row r="345" spans="1:21">
      <c r="A345" s="80">
        <v>46101</v>
      </c>
      <c r="B345" s="71">
        <f>=TODAY()-A345+1</f>
        <v>124</v>
      </c>
      <c r="C345" s="71" t="s">
        <v>170</v>
      </c>
      <c r="D345" s="71" t="s">
        <v>169</v>
      </c>
      <c r="E345" s="160" t="s">
        <v>970</v>
      </c>
      <c r="F345" s="242" t="s">
        <v>956</v>
      </c>
      <c r="G345" s="156" t="s">
        <v>421</v>
      </c>
      <c r="H345" s="156" t="s">
        <v>422</v>
      </c>
      <c r="I345" s="156" t="s">
        <v>971</v>
      </c>
      <c r="J345" s="108">
        <v>18</v>
      </c>
      <c r="L345" s="71">
        <v>4737</v>
      </c>
      <c r="M345" s="112">
        <f>=J345*L345</f>
        <v>85266</v>
      </c>
      <c r="N345" s="71">
        <v>2.5</v>
      </c>
      <c r="O345" s="189">
        <f>=ROUND(IF((TODAY()-A345+1)*N345*(L345/10000)+L345&lt;L345*1.002,L345*1.002,(TODAY()-A345+1)*N345*(L345/10000)+L345),2)</f>
        <v>4885.03</v>
      </c>
      <c r="P345" s="108">
        <v>18</v>
      </c>
      <c r="Q345" s="71">
        <f>=J345-P345</f>
        <v>0</v>
      </c>
      <c r="R345" s="71">
        <v>18</v>
      </c>
      <c r="S345" s="112">
        <f>=P345-R345</f>
        <v>0</v>
      </c>
      <c r="T345" s="71">
        <f>=S345*L345</f>
        <v>0</v>
      </c>
      <c r="U345" s="190">
        <f>=J345-P345</f>
        <v>0</v>
      </c>
    </row>
    <row r="346" spans="1:21" s="270" customFormat="true">
      <c r="A346" s="80">
        <v>46101</v>
      </c>
      <c r="B346" s="71">
        <f>=TODAY()-A346+1</f>
        <v>124</v>
      </c>
      <c r="C346" s="64" t="s">
        <v>170</v>
      </c>
      <c r="D346" s="64" t="s">
        <v>169</v>
      </c>
      <c r="E346" s="247" t="s">
        <v>972</v>
      </c>
      <c r="F346" s="141" t="s">
        <v>956</v>
      </c>
      <c r="G346" s="259" t="s">
        <v>421</v>
      </c>
      <c r="H346" s="259" t="s">
        <v>422</v>
      </c>
      <c r="I346" s="259" t="s">
        <v>973</v>
      </c>
      <c r="J346" s="94">
        <v>4</v>
      </c>
      <c r="L346" s="64">
        <v>4737</v>
      </c>
      <c r="M346" s="197">
        <f>=J346*L346</f>
        <v>18948</v>
      </c>
      <c r="N346" s="64">
        <v>2.5</v>
      </c>
      <c r="O346" s="189">
        <f>=ROUND(IF((TODAY()-A346+1)*N346*(L346/10000)+L346&lt;L346*1.002,L346*1.002,(TODAY()-A346+1)*N346*(L346/10000)+L346),2)</f>
        <v>4885.03</v>
      </c>
      <c r="P346" s="94">
        <v>4</v>
      </c>
      <c r="Q346" s="64">
        <f>=J346-P346</f>
        <v>0</v>
      </c>
      <c r="R346" s="94">
        <v>4</v>
      </c>
      <c r="S346" s="197">
        <f>=P346-R346</f>
        <v>0</v>
      </c>
      <c r="T346" s="71">
        <f>=S346*L346</f>
        <v>0</v>
      </c>
      <c r="U346" s="190">
        <f>=J346-P346</f>
        <v>0</v>
      </c>
    </row>
    <row r="347" spans="1:21" s="270" customFormat="true">
      <c r="A347" s="80">
        <v>46101</v>
      </c>
      <c r="B347" s="71">
        <f>=TODAY()-A347+1</f>
        <v>124</v>
      </c>
      <c r="C347" s="64" t="s">
        <v>170</v>
      </c>
      <c r="D347" s="64" t="s">
        <v>169</v>
      </c>
      <c r="E347" s="247" t="s">
        <v>974</v>
      </c>
      <c r="F347" s="141" t="s">
        <v>956</v>
      </c>
      <c r="G347" s="259" t="s">
        <v>421</v>
      </c>
      <c r="H347" s="259" t="s">
        <v>422</v>
      </c>
      <c r="I347" s="259" t="s">
        <v>975</v>
      </c>
      <c r="J347" s="94">
        <v>4</v>
      </c>
      <c r="L347" s="64">
        <v>4737</v>
      </c>
      <c r="M347" s="197">
        <f>=J347*L347</f>
        <v>18948</v>
      </c>
      <c r="N347" s="64">
        <v>2.5</v>
      </c>
      <c r="O347" s="189">
        <f>=ROUND(IF((TODAY()-A347+1)*N347*(L347/10000)+L347&lt;L347*1.002,L347*1.002,(TODAY()-A347+1)*N347*(L347/10000)+L347),2)</f>
        <v>4885.03</v>
      </c>
      <c r="P347" s="94">
        <v>4</v>
      </c>
      <c r="Q347" s="64">
        <f>=J347-P347</f>
        <v>0</v>
      </c>
      <c r="R347" s="94">
        <v>4</v>
      </c>
      <c r="S347" s="197">
        <f>=P347-R347</f>
        <v>0</v>
      </c>
      <c r="T347" s="71">
        <f>=S347*L347</f>
        <v>0</v>
      </c>
      <c r="U347" s="190">
        <f>=J347-P347</f>
        <v>0</v>
      </c>
    </row>
    <row r="348" spans="1:21" s="270" customFormat="true">
      <c r="A348" s="80">
        <v>46101</v>
      </c>
      <c r="B348" s="71">
        <f>=TODAY()-A348+1</f>
        <v>124</v>
      </c>
      <c r="C348" s="64" t="s">
        <v>170</v>
      </c>
      <c r="D348" s="64" t="s">
        <v>169</v>
      </c>
      <c r="E348" s="247" t="s">
        <v>976</v>
      </c>
      <c r="F348" s="141" t="s">
        <v>956</v>
      </c>
      <c r="G348" s="259" t="s">
        <v>421</v>
      </c>
      <c r="H348" s="259" t="s">
        <v>422</v>
      </c>
      <c r="I348" s="259" t="s">
        <v>977</v>
      </c>
      <c r="J348" s="94">
        <v>1</v>
      </c>
      <c r="L348" s="64">
        <v>4737</v>
      </c>
      <c r="M348" s="197">
        <f>=J348*L348</f>
        <v>4737</v>
      </c>
      <c r="N348" s="64">
        <v>2.5</v>
      </c>
      <c r="O348" s="189">
        <f>=ROUND(IF((TODAY()-A348+1)*N348*(L348/10000)+L348&lt;L348*1.002,L348*1.002,(TODAY()-A348+1)*N348*(L348/10000)+L348),2)</f>
        <v>4885.03</v>
      </c>
      <c r="P348" s="94">
        <v>1</v>
      </c>
      <c r="Q348" s="64">
        <f>=J348-P348</f>
        <v>0</v>
      </c>
      <c r="R348" s="94">
        <v>1</v>
      </c>
      <c r="S348" s="197">
        <f>=P348-R348</f>
        <v>0</v>
      </c>
      <c r="T348" s="71">
        <f>=S348*L348</f>
        <v>0</v>
      </c>
      <c r="U348" s="190">
        <f>=J348-P348</f>
        <v>0</v>
      </c>
    </row>
    <row r="349" spans="1:21">
      <c r="A349" s="80">
        <v>46101</v>
      </c>
      <c r="B349" s="71">
        <f>=TODAY()-A349+1</f>
        <v>124</v>
      </c>
      <c r="C349" s="71" t="s">
        <v>170</v>
      </c>
      <c r="D349" s="71" t="s">
        <v>169</v>
      </c>
      <c r="E349" s="160" t="s">
        <v>978</v>
      </c>
      <c r="F349" s="242" t="s">
        <v>956</v>
      </c>
      <c r="G349" s="156" t="s">
        <v>421</v>
      </c>
      <c r="H349" s="156" t="s">
        <v>422</v>
      </c>
      <c r="I349" s="156" t="s">
        <v>979</v>
      </c>
      <c r="J349" s="108">
        <v>15</v>
      </c>
      <c r="L349" s="71">
        <v>4737</v>
      </c>
      <c r="M349" s="112">
        <f>=J349*L349</f>
        <v>71055</v>
      </c>
      <c r="N349" s="71">
        <v>2.5</v>
      </c>
      <c r="O349" s="189">
        <f>=ROUND(IF((TODAY()-A349+1)*N349*(L349/10000)+L349&lt;L349*1.002,L349*1.002,(TODAY()-A349+1)*N349*(L349/10000)+L349),2)</f>
        <v>4885.03</v>
      </c>
      <c r="P349" s="108">
        <v>15</v>
      </c>
      <c r="Q349" s="71">
        <f>=J349-P349</f>
        <v>0</v>
      </c>
      <c r="R349">
        <v>15</v>
      </c>
      <c r="S349" s="112">
        <f>=P349-R349</f>
        <v>0</v>
      </c>
      <c r="T349" s="71">
        <f>=S349*L349</f>
        <v>0</v>
      </c>
      <c r="U349" s="190">
        <f>=J349-P349</f>
        <v>0</v>
      </c>
    </row>
    <row r="350" spans="1:21">
      <c r="A350" s="80">
        <v>46101</v>
      </c>
      <c r="B350" s="71">
        <f>=TODAY()-A350+1</f>
        <v>124</v>
      </c>
      <c r="C350" s="71" t="s">
        <v>170</v>
      </c>
      <c r="D350" s="71" t="s">
        <v>169</v>
      </c>
      <c r="E350" s="160" t="s">
        <v>980</v>
      </c>
      <c r="F350" s="242" t="s">
        <v>956</v>
      </c>
      <c r="G350" s="156" t="s">
        <v>421</v>
      </c>
      <c r="H350" s="156" t="s">
        <v>422</v>
      </c>
      <c r="I350" s="156" t="s">
        <v>981</v>
      </c>
      <c r="J350" s="100">
        <v>1</v>
      </c>
      <c r="L350" s="71">
        <v>6316</v>
      </c>
      <c r="M350" s="112">
        <f>=J350*L350</f>
        <v>6316</v>
      </c>
      <c r="N350" s="71">
        <v>2.5</v>
      </c>
      <c r="O350" s="189">
        <f>=ROUND(IF((TODAY()-A350+1)*N350*(L350/10000)+L350&lt;L350*1.002,L350*1.002,(TODAY()-A350+1)*N350*(L350/10000)+L350),2)</f>
        <v>6513.38</v>
      </c>
      <c r="P350" s="71">
        <v>1</v>
      </c>
      <c r="Q350" s="71">
        <f>=J350-P350</f>
        <v>0</v>
      </c>
      <c r="R350">
        <v>1</v>
      </c>
      <c r="S350" s="112">
        <f>=P350-R350</f>
        <v>0</v>
      </c>
      <c r="T350" s="71">
        <f>=S350*L350</f>
        <v>0</v>
      </c>
      <c r="U350" s="190">
        <f>=J350-P350</f>
        <v>0</v>
      </c>
    </row>
    <row r="351" spans="1:21">
      <c r="A351" s="80">
        <v>46101</v>
      </c>
      <c r="B351" s="71">
        <f>=TODAY()-A351+1</f>
        <v>124</v>
      </c>
      <c r="C351" s="71" t="s">
        <v>173</v>
      </c>
      <c r="D351" s="71" t="s">
        <v>172</v>
      </c>
      <c r="E351" s="242" t="s">
        <v>982</v>
      </c>
      <c r="F351" s="242" t="s">
        <v>983</v>
      </c>
      <c r="G351" s="156" t="s">
        <v>864</v>
      </c>
      <c r="H351" s="156" t="s">
        <v>422</v>
      </c>
      <c r="I351" s="156" t="s">
        <v>984</v>
      </c>
      <c r="J351" s="100">
        <v>200</v>
      </c>
      <c r="L351" s="71">
        <v>1950</v>
      </c>
      <c r="M351" s="112">
        <f>=J351*L351</f>
        <v>390000</v>
      </c>
      <c r="N351" s="71">
        <v>2.5</v>
      </c>
      <c r="O351" s="189">
        <f>=ROUND(IF((TODAY()-A351+1)*N351*(L351/10000)+L351&lt;L351*1.002,L351*1.002,(TODAY()-A351+1)*N351*(L351/10000)+L351),2)</f>
        <v>2010.94</v>
      </c>
      <c r="P351" s="71">
        <v>200</v>
      </c>
      <c r="Q351" s="71">
        <f>=J351-P351</f>
        <v>0</v>
      </c>
      <c r="R351" s="71">
        <v>200</v>
      </c>
      <c r="S351" s="112">
        <f>=P351-R351</f>
        <v>0</v>
      </c>
      <c r="T351" s="71">
        <f>=S351*L351</f>
        <v>0</v>
      </c>
      <c r="U351" s="190">
        <f>=J351-P351</f>
        <v>0</v>
      </c>
    </row>
    <row r="352" spans="1:21">
      <c r="A352" s="80">
        <v>46101</v>
      </c>
      <c r="B352" s="71">
        <f>=TODAY()-A352+1</f>
        <v>124</v>
      </c>
      <c r="C352" s="71" t="s">
        <v>173</v>
      </c>
      <c r="D352" s="71" t="s">
        <v>172</v>
      </c>
      <c r="E352" t="s">
        <v>985</v>
      </c>
      <c r="F352" s="242" t="s">
        <v>983</v>
      </c>
      <c r="G352" s="156" t="s">
        <v>864</v>
      </c>
      <c r="H352" s="156" t="s">
        <v>422</v>
      </c>
      <c r="I352" s="156" t="s">
        <v>986</v>
      </c>
      <c r="J352" s="100">
        <v>200</v>
      </c>
      <c r="L352" s="71">
        <v>1950</v>
      </c>
      <c r="M352" s="112">
        <f>=J352*L352</f>
        <v>390000</v>
      </c>
      <c r="N352" s="71">
        <v>2.5</v>
      </c>
      <c r="O352" s="189">
        <f>=ROUND(IF((TODAY()-A352+1)*N352*(L352/10000)+L352&lt;L352*1.002,L352*1.002,(TODAY()-A352+1)*N352*(L352/10000)+L352),2)</f>
        <v>2010.94</v>
      </c>
      <c r="P352" s="71">
        <v>200</v>
      </c>
      <c r="Q352" s="71">
        <f>=J352-P352</f>
        <v>0</v>
      </c>
      <c r="R352" s="71">
        <v>200</v>
      </c>
      <c r="S352" s="112">
        <f>=P352-R352</f>
        <v>0</v>
      </c>
      <c r="T352" s="71">
        <f>=S352*L352</f>
        <v>0</v>
      </c>
      <c r="U352" s="190">
        <f>=J352-P352</f>
        <v>0</v>
      </c>
    </row>
    <row r="353" spans="1:21">
      <c r="A353" s="80">
        <v>46101</v>
      </c>
      <c r="B353" s="71">
        <f>=TODAY()-A353+1</f>
        <v>124</v>
      </c>
      <c r="C353" s="71" t="s">
        <v>173</v>
      </c>
      <c r="D353" s="71" t="s">
        <v>172</v>
      </c>
      <c r="E353" s="242" t="s">
        <v>987</v>
      </c>
      <c r="F353" s="242" t="s">
        <v>983</v>
      </c>
      <c r="G353" s="156" t="s">
        <v>864</v>
      </c>
      <c r="H353" s="156" t="s">
        <v>422</v>
      </c>
      <c r="I353" s="156" t="s">
        <v>988</v>
      </c>
      <c r="J353" s="100">
        <v>200</v>
      </c>
      <c r="L353" s="71">
        <v>1950</v>
      </c>
      <c r="M353" s="112">
        <f>=J353*L353</f>
        <v>390000</v>
      </c>
      <c r="N353" s="71">
        <v>2.5</v>
      </c>
      <c r="O353" s="189">
        <f>=ROUND(IF((TODAY()-A353+1)*N353*(L353/10000)+L353&lt;L353*1.002,L353*1.002,(TODAY()-A353+1)*N353*(L353/10000)+L353),2)</f>
        <v>2010.94</v>
      </c>
      <c r="P353" s="71">
        <v>200</v>
      </c>
      <c r="Q353" s="71">
        <f>=J353-P353</f>
        <v>0</v>
      </c>
      <c r="R353" s="71">
        <v>200</v>
      </c>
      <c r="S353" s="112">
        <f>=P353-R353</f>
        <v>0</v>
      </c>
      <c r="T353" s="71">
        <f>=S353*L353</f>
        <v>0</v>
      </c>
      <c r="U353" s="190">
        <f>=J353-P353</f>
        <v>0</v>
      </c>
    </row>
    <row r="354" spans="1:21">
      <c r="A354" s="80">
        <v>46102</v>
      </c>
      <c r="B354" s="71">
        <f>=TODAY()-A354+1</f>
        <v>123</v>
      </c>
      <c r="C354" s="98" t="s">
        <v>175</v>
      </c>
      <c r="D354" s="71" t="s">
        <v>156</v>
      </c>
      <c r="E354" t="s">
        <v>37</v>
      </c>
      <c r="F354" s="242" t="s">
        <v>919</v>
      </c>
      <c r="G354" s="108" t="s">
        <v>421</v>
      </c>
      <c r="H354" s="108" t="s">
        <v>470</v>
      </c>
      <c r="I354" s="108" t="s">
        <v>989</v>
      </c>
      <c r="J354" s="71">
        <v>10</v>
      </c>
      <c r="L354" s="71">
        <v>6800</v>
      </c>
      <c r="M354" s="112">
        <f>=J354*L354</f>
        <v>68000</v>
      </c>
      <c r="N354" s="100">
        <v>2.3</v>
      </c>
      <c r="O354" s="189">
        <f>=ROUND(IF((TODAY()-A354+1)*N354*(L354/10000)+L354&lt;L354*1.002,L354*1.002,(TODAY()-A354+1)*N354*(L354/10000)+L354),2)</f>
        <v>6993.94</v>
      </c>
      <c r="P354" s="71">
        <v>10</v>
      </c>
      <c r="Q354" s="71">
        <f>=J354-P354</f>
        <v>0</v>
      </c>
      <c r="R354">
        <v>10</v>
      </c>
      <c r="S354" s="112">
        <f>=P354-R354</f>
        <v>0</v>
      </c>
      <c r="T354" s="71">
        <f>=S354*L354</f>
        <v>0</v>
      </c>
      <c r="U354" s="190">
        <f>=J354-P354</f>
        <v>0</v>
      </c>
    </row>
    <row r="355" spans="1:21" ht="15.75" customHeight="true">
      <c r="A355" s="80">
        <v>46103</v>
      </c>
      <c r="B355" s="71">
        <f>=TODAY()-A355+1</f>
        <v>122</v>
      </c>
      <c r="C355" s="98" t="s">
        <v>176</v>
      </c>
      <c r="D355" s="71" t="s">
        <v>142</v>
      </c>
      <c r="E355" t="s">
        <v>37</v>
      </c>
      <c r="F355" s="242" t="s">
        <v>875</v>
      </c>
      <c r="G355" s="71" t="s">
        <v>421</v>
      </c>
      <c r="H355" s="71" t="s">
        <v>422</v>
      </c>
      <c r="I355" s="71" t="s">
        <v>990</v>
      </c>
      <c r="J355" s="71">
        <v>20</v>
      </c>
      <c r="L355" s="71">
        <v>4742</v>
      </c>
      <c r="M355" s="112">
        <f>=J355*L355</f>
        <v>94840</v>
      </c>
      <c r="N355" s="71">
        <v>2.5</v>
      </c>
      <c r="O355" s="189">
        <f>=ROUND(IF((TODAY()-A355+1)*N355*(L355/10000)+L355&lt;L355*1.002,L355*1.002,(TODAY()-A355+1)*N355*(L355/10000)+L355),2)</f>
        <v>4887.82</v>
      </c>
      <c r="P355" s="71">
        <v>20</v>
      </c>
      <c r="Q355" s="71">
        <f>=J355-P355</f>
        <v>0</v>
      </c>
      <c r="R355">
        <v>20</v>
      </c>
      <c r="S355" s="112">
        <f>=P355-R355</f>
        <v>0</v>
      </c>
      <c r="T355" s="71">
        <f>=S355*L355</f>
        <v>0</v>
      </c>
      <c r="U355" s="190">
        <f>=J355-P355</f>
        <v>0</v>
      </c>
    </row>
    <row r="356" spans="1:26">
      <c r="A356" s="80">
        <v>46104</v>
      </c>
      <c r="B356" s="71">
        <f>=TODAY()-A356+1</f>
        <v>121</v>
      </c>
      <c r="C356" s="98" t="s">
        <v>177</v>
      </c>
      <c r="D356" s="71" t="s">
        <v>135</v>
      </c>
      <c r="E356" s="160" t="s">
        <v>991</v>
      </c>
      <c r="F356" s="242" t="s">
        <v>856</v>
      </c>
      <c r="G356" s="62" t="s">
        <v>741</v>
      </c>
      <c r="H356" s="62" t="s">
        <v>422</v>
      </c>
      <c r="I356" s="71" t="s">
        <v>992</v>
      </c>
      <c r="J356" s="71">
        <v>500</v>
      </c>
      <c r="K356" s="190" t="s"/>
      <c r="L356" s="71">
        <v>1000</v>
      </c>
      <c r="M356" s="112">
        <f>=J356*L356</f>
        <v>500000</v>
      </c>
      <c r="N356" s="71">
        <v>2.5</v>
      </c>
      <c r="O356" s="189">
        <f>=ROUND(IF((TODAY()-A356+1)*N356*(L356/10000)+L356&lt;L356*1.002,L356*1.002,(TODAY()-A356+1)*N356*(L356/10000)+L356),2)</f>
        <v>1030.5</v>
      </c>
      <c r="P356" s="71">
        <v>500</v>
      </c>
      <c r="Q356" s="71">
        <f>=J356-P356</f>
        <v>0</v>
      </c>
      <c r="R356" s="97">
        <v>500</v>
      </c>
      <c r="S356" s="112">
        <f>=P356-R356</f>
        <v>0</v>
      </c>
      <c r="T356" s="71">
        <f>=S356*L356</f>
        <v>0</v>
      </c>
      <c r="U356" s="190">
        <f>=J356-P356</f>
        <v>0</v>
      </c>
      <c r="V356" s="190" t="s"/>
      <c r="W356" s="190" t="s"/>
      <c r="X356" s="190" t="s"/>
      <c r="Y356" s="190" t="s"/>
      <c r="Z356" s="190" t="s"/>
    </row>
    <row r="357" spans="1:26">
      <c r="A357" s="80">
        <v>46104</v>
      </c>
      <c r="B357" s="71">
        <f>=TODAY()-A357+1</f>
        <v>121</v>
      </c>
      <c r="C357" s="98" t="s">
        <v>177</v>
      </c>
      <c r="D357" s="71" t="s">
        <v>135</v>
      </c>
      <c r="E357" s="160" t="s">
        <v>993</v>
      </c>
      <c r="F357" s="242" t="s">
        <v>856</v>
      </c>
      <c r="G357" s="71" t="s">
        <v>741</v>
      </c>
      <c r="H357" s="71" t="s">
        <v>422</v>
      </c>
      <c r="I357" s="207" t="s">
        <v>994</v>
      </c>
      <c r="J357" s="207">
        <v>500</v>
      </c>
      <c r="K357" s="260" t="s"/>
      <c r="L357" s="207">
        <v>1250</v>
      </c>
      <c r="M357" s="112">
        <f>=J357*L357</f>
        <v>625000</v>
      </c>
      <c r="N357" s="71">
        <v>2.5</v>
      </c>
      <c r="O357" s="189">
        <f>=ROUND(IF((TODAY()-A357+1)*N357*(L357/10000)+L357&lt;L357*1.002,L357*1.002,(TODAY()-A357+1)*N357*(L357/10000)+L357),2)</f>
        <v>1288.13</v>
      </c>
      <c r="P357" s="71">
        <v>500</v>
      </c>
      <c r="Q357" s="71">
        <f>=J357-P357</f>
        <v>0</v>
      </c>
      <c r="R357" s="190">
        <v>500</v>
      </c>
      <c r="S357" s="112">
        <f>=P357-R357</f>
        <v>0</v>
      </c>
      <c r="T357" s="71">
        <f>=S357*L357</f>
        <v>0</v>
      </c>
      <c r="U357" s="190">
        <f>=J357-P357</f>
        <v>0</v>
      </c>
      <c r="V357" s="190" t="s"/>
      <c r="W357" s="190" t="s"/>
      <c r="X357" s="190" t="s"/>
      <c r="Y357" s="190" t="s"/>
      <c r="Z357" s="190" t="s"/>
    </row>
    <row r="358" spans="1:26" s="218" customFormat="true" ht="15.75" customHeight="true">
      <c r="A358" s="80">
        <v>46104</v>
      </c>
      <c r="B358" s="71">
        <f>=TODAY()-A358+1</f>
        <v>121</v>
      </c>
      <c r="C358" s="71" t="s">
        <v>160</v>
      </c>
      <c r="D358" s="78" t="s">
        <v>159</v>
      </c>
      <c r="E358" s="156" t="s">
        <v>995</v>
      </c>
      <c r="F358" s="112" t="s"/>
      <c r="G358" s="156" t="s">
        <v>741</v>
      </c>
      <c r="H358" s="156" t="s">
        <v>422</v>
      </c>
      <c r="I358" s="156" t="s">
        <v>996</v>
      </c>
      <c r="J358" s="71">
        <v>550</v>
      </c>
      <c r="K358" s="71" t="s"/>
      <c r="L358" s="71">
        <v>1200</v>
      </c>
      <c r="M358" s="112">
        <f>=J358*L358</f>
        <v>660000</v>
      </c>
      <c r="N358" s="71">
        <v>2.5</v>
      </c>
      <c r="O358" s="189">
        <f>=ROUND(IF((TODAY()-A358+1)*N358*(L358/10000)+L358&lt;L358*1.002,L358*1.002,(TODAY()-A358+1)*N358*(L358/10000)+L358),2)</f>
        <v>1236.6</v>
      </c>
      <c r="P358" s="71">
        <v>550</v>
      </c>
      <c r="Q358" s="71">
        <f>=J358-P358</f>
        <v>0</v>
      </c>
      <c r="R358" s="71">
        <v>550</v>
      </c>
      <c r="S358" s="112">
        <f>=P358-R358</f>
        <v>0</v>
      </c>
      <c r="T358" s="71">
        <f>=S358*L358</f>
        <v>0</v>
      </c>
      <c r="U358" s="190">
        <f>=J358-P358</f>
        <v>0</v>
      </c>
      <c r="V358" s="190" t="s"/>
      <c r="W358" s="190" t="s"/>
      <c r="X358" s="190" t="s"/>
      <c r="Y358" s="190" t="s"/>
      <c r="Z358" s="190" t="s"/>
    </row>
    <row r="359" spans="1:26">
      <c r="A359" s="80">
        <v>46104</v>
      </c>
      <c r="B359" s="71">
        <f>=TODAY()-A359+1</f>
        <v>121</v>
      </c>
      <c r="C359" s="71" t="s">
        <v>160</v>
      </c>
      <c r="D359" s="78" t="s">
        <v>159</v>
      </c>
      <c r="E359" s="156" t="s">
        <v>997</v>
      </c>
      <c r="F359" s="112" t="s"/>
      <c r="G359" s="156" t="s">
        <v>741</v>
      </c>
      <c r="H359" s="156" t="s">
        <v>422</v>
      </c>
      <c r="I359" s="259" t="s">
        <v>998</v>
      </c>
      <c r="J359" s="71">
        <v>550</v>
      </c>
      <c r="K359" s="71" t="s"/>
      <c r="L359" s="71">
        <v>1200</v>
      </c>
      <c r="M359" s="112">
        <f>=J359*L359</f>
        <v>660000</v>
      </c>
      <c r="N359" s="71">
        <v>2.5</v>
      </c>
      <c r="O359" s="189">
        <f>=ROUND(IF((TODAY()-A359+1)*N359*(L359/10000)+L359&lt;L359*1.002,L359*1.002,(TODAY()-A359+1)*N359*(L359/10000)+L359),2)</f>
        <v>1236.6</v>
      </c>
      <c r="P359" s="71">
        <v>550</v>
      </c>
      <c r="Q359" s="71">
        <f>=J359-P359</f>
        <v>0</v>
      </c>
      <c r="R359" s="71">
        <v>550</v>
      </c>
      <c r="S359" s="112">
        <f>=P359-R359</f>
        <v>0</v>
      </c>
      <c r="T359" s="71">
        <f>=S359*L359</f>
        <v>0</v>
      </c>
      <c r="U359" s="190">
        <f>=J359-P359</f>
        <v>0</v>
      </c>
      <c r="V359" s="190" t="s"/>
      <c r="W359" s="190" t="s"/>
      <c r="X359" s="190" t="s"/>
      <c r="Y359" s="190" t="s"/>
      <c r="Z359" s="190" t="s"/>
    </row>
    <row r="360" spans="1:26">
      <c r="A360" s="80">
        <v>46104</v>
      </c>
      <c r="B360" s="71">
        <f>=TODAY()-A360+1</f>
        <v>121</v>
      </c>
      <c r="C360" s="98" t="s">
        <v>180</v>
      </c>
      <c r="D360" s="71" t="s">
        <v>156</v>
      </c>
      <c r="E360" s="214" t="s">
        <v>999</v>
      </c>
      <c r="F360" s="214" t="s">
        <v>919</v>
      </c>
      <c r="G360" s="108" t="s">
        <v>421</v>
      </c>
      <c r="H360" s="108" t="s">
        <v>470</v>
      </c>
      <c r="I360" s="108" t="s">
        <v>921</v>
      </c>
      <c r="J360" s="71">
        <v>60</v>
      </c>
      <c r="K360" s="243" t="s"/>
      <c r="L360" s="71">
        <v>6800</v>
      </c>
      <c r="M360" s="112">
        <f>=J360*L360</f>
        <v>408000</v>
      </c>
      <c r="N360" s="71">
        <v>2.3</v>
      </c>
      <c r="O360" s="189">
        <f>=ROUND(IF((TODAY()-A360+1)*N360*(L360/10000)+L360&lt;L360*1.002,L360*1.002,(TODAY()-A360+1)*N360*(L360/10000)+L360),2)</f>
        <v>6990.81</v>
      </c>
      <c r="P360" s="71">
        <v>60</v>
      </c>
      <c r="Q360" s="71">
        <f>=J360-P360</f>
        <v>0</v>
      </c>
      <c r="R360" s="243">
        <v>60</v>
      </c>
      <c r="S360" s="112">
        <f>=P360-R360</f>
        <v>0</v>
      </c>
      <c r="T360" s="71">
        <f>=S360*L360</f>
        <v>0</v>
      </c>
      <c r="U360" s="261">
        <f>=J360-P360</f>
        <v>0</v>
      </c>
      <c r="V360" s="144" t="s"/>
      <c r="W360" s="144" t="s"/>
      <c r="X360" s="144" t="s"/>
      <c r="Y360" s="144" t="s"/>
      <c r="Z360" s="144" t="s"/>
    </row>
    <row r="361" spans="1:21">
      <c r="A361" s="80">
        <v>46104</v>
      </c>
      <c r="B361" s="71">
        <f>=TODAY()-A361+1</f>
        <v>121</v>
      </c>
      <c r="C361" s="98" t="s">
        <v>180</v>
      </c>
      <c r="D361" s="162" t="s">
        <v>156</v>
      </c>
      <c r="E361" s="242" t="s">
        <v>1000</v>
      </c>
      <c r="F361" s="242" t="s">
        <v>919</v>
      </c>
      <c r="G361" s="108" t="s">
        <v>421</v>
      </c>
      <c r="H361" s="108" t="s">
        <v>470</v>
      </c>
      <c r="I361" s="108" t="s">
        <v>914</v>
      </c>
      <c r="J361" s="71">
        <v>130</v>
      </c>
      <c r="L361" s="71">
        <v>5900</v>
      </c>
      <c r="M361" s="112">
        <f>=J361*L361</f>
        <v>767000</v>
      </c>
      <c r="N361" s="71">
        <v>2.3</v>
      </c>
      <c r="O361" s="189">
        <f>=ROUND(IF((TODAY()-A361+1)*N361*(L361/10000)+L361&lt;L361*1.002,L361*1.002,(TODAY()-A361+1)*N361*(L361/10000)+L361),2)</f>
        <v>6065.55</v>
      </c>
      <c r="P361" s="71">
        <v>130</v>
      </c>
      <c r="Q361" s="71">
        <f>=J361-P361</f>
        <v>0</v>
      </c>
      <c r="R361" s="71">
        <v>130</v>
      </c>
      <c r="S361" s="112">
        <f>=P361-R361</f>
        <v>0</v>
      </c>
      <c r="T361" s="71">
        <f>=S361*L361</f>
        <v>0</v>
      </c>
      <c r="U361" s="190">
        <f>=J361-P361</f>
        <v>0</v>
      </c>
    </row>
    <row r="362" spans="1:21">
      <c r="A362" s="80">
        <v>46104</v>
      </c>
      <c r="B362" s="71">
        <f>=TODAY()-A362+1</f>
        <v>121</v>
      </c>
      <c r="C362" s="98" t="s">
        <v>180</v>
      </c>
      <c r="D362" s="71" t="s">
        <v>156</v>
      </c>
      <c r="E362" t="s">
        <v>37</v>
      </c>
      <c r="F362" s="242" t="s">
        <v>919</v>
      </c>
      <c r="G362" s="108" t="s">
        <v>421</v>
      </c>
      <c r="H362" s="108" t="s">
        <v>470</v>
      </c>
      <c r="I362" s="108" t="s">
        <v>917</v>
      </c>
      <c r="J362" s="71">
        <v>60</v>
      </c>
      <c r="L362" s="71">
        <v>5900</v>
      </c>
      <c r="M362" s="112">
        <f>=J362*L362</f>
        <v>354000</v>
      </c>
      <c r="N362" s="71">
        <v>2.3</v>
      </c>
      <c r="O362" s="189">
        <f>=ROUND(IF((TODAY()-A362+1)*N362*(L362/10000)+L362&lt;L362*1.002,L362*1.002,(TODAY()-A362+1)*N362*(L362/10000)+L362),2)</f>
        <v>6065.55</v>
      </c>
      <c r="P362" s="71">
        <v>60</v>
      </c>
      <c r="Q362" s="71">
        <f>=J362-P362</f>
        <v>0</v>
      </c>
      <c r="R362">
        <v>60</v>
      </c>
      <c r="S362" s="112">
        <f>=P362-R362</f>
        <v>0</v>
      </c>
      <c r="T362" s="71">
        <f>=S362*L362</f>
        <v>0</v>
      </c>
      <c r="U362" s="190">
        <f>=J362-P362</f>
        <v>0</v>
      </c>
    </row>
    <row r="363" spans="1:21">
      <c r="A363" s="80">
        <v>46104</v>
      </c>
      <c r="B363" s="71">
        <f>=TODAY()-A363+1</f>
        <v>121</v>
      </c>
      <c r="C363" s="98" t="s">
        <v>180</v>
      </c>
      <c r="D363" s="162" t="s">
        <v>156</v>
      </c>
      <c r="E363" s="242" t="s">
        <v>1001</v>
      </c>
      <c r="F363" s="242" t="s">
        <v>919</v>
      </c>
      <c r="G363" s="108" t="s">
        <v>421</v>
      </c>
      <c r="H363" s="108" t="s">
        <v>470</v>
      </c>
      <c r="I363" s="108" t="s">
        <v>914</v>
      </c>
      <c r="J363" s="71">
        <v>10</v>
      </c>
      <c r="L363" s="71">
        <v>5900</v>
      </c>
      <c r="M363" s="112">
        <f>=J363*L363</f>
        <v>59000</v>
      </c>
      <c r="N363" s="71">
        <v>2.3</v>
      </c>
      <c r="O363" s="189">
        <f>=ROUND(IF((TODAY()-A363+1)*N363*(L363/10000)+L363&lt;L363*1.002,L363*1.002,(TODAY()-A363+1)*N363*(L363/10000)+L363),2)</f>
        <v>6065.55</v>
      </c>
      <c r="P363" s="71">
        <v>10</v>
      </c>
      <c r="Q363" s="71">
        <f>=J363-P363</f>
        <v>0</v>
      </c>
      <c r="R363" s="71">
        <v>10</v>
      </c>
      <c r="S363" s="112">
        <f>=P363-R363</f>
        <v>0</v>
      </c>
      <c r="T363" s="71">
        <f>=S363*L363</f>
        <v>0</v>
      </c>
      <c r="U363" s="190">
        <f>=J363-P363</f>
        <v>0</v>
      </c>
    </row>
    <row r="364" spans="1:21" ht="15.75" customHeight="true">
      <c r="A364" s="80">
        <v>46104</v>
      </c>
      <c r="B364" s="71">
        <f>=TODAY()-A364+1</f>
        <v>121</v>
      </c>
      <c r="C364" s="98" t="s">
        <v>178</v>
      </c>
      <c r="D364" s="71" t="s">
        <v>142</v>
      </c>
      <c r="E364" t="s">
        <v>37</v>
      </c>
      <c r="F364" s="242" t="s">
        <v>875</v>
      </c>
      <c r="G364" s="71" t="s">
        <v>421</v>
      </c>
      <c r="H364" s="71" t="s">
        <v>422</v>
      </c>
      <c r="I364" s="71" t="s">
        <v>1002</v>
      </c>
      <c r="J364" s="71">
        <v>80</v>
      </c>
      <c r="L364" s="71">
        <v>4742</v>
      </c>
      <c r="M364" s="112">
        <f>=J364*L364</f>
        <v>379360</v>
      </c>
      <c r="N364" s="71">
        <v>2.5</v>
      </c>
      <c r="O364" s="189">
        <f>=ROUND(IF((TODAY()-A364+1)*N364*(L364/10000)+L364&lt;L364*1.002,L364*1.002,(TODAY()-A364+1)*N364*(L364/10000)+L364),2)</f>
        <v>4886.63</v>
      </c>
      <c r="P364" s="71">
        <v>80</v>
      </c>
      <c r="Q364" s="71">
        <f>=J364-P364</f>
        <v>0</v>
      </c>
      <c r="R364">
        <v>80</v>
      </c>
      <c r="S364" s="112">
        <f>=P364-R364</f>
        <v>0</v>
      </c>
      <c r="T364" s="71">
        <f>=S364*L364</f>
        <v>0</v>
      </c>
      <c r="U364" s="190">
        <f>=J364-P364</f>
        <v>0</v>
      </c>
    </row>
    <row r="365" spans="1:21" ht="15.75" customHeight="true">
      <c r="A365" s="80">
        <v>46104</v>
      </c>
      <c r="B365" s="71">
        <f>=TODAY()-A365+1</f>
        <v>121</v>
      </c>
      <c r="C365" s="71" t="s">
        <v>179</v>
      </c>
      <c r="D365" s="64" t="s">
        <v>52</v>
      </c>
      <c r="E365" s="136" t="s">
        <v>1003</v>
      </c>
      <c r="G365" s="71" t="s">
        <v>428</v>
      </c>
      <c r="H365" s="71" t="s">
        <v>422</v>
      </c>
      <c r="I365" s="87" t="s">
        <v>1004</v>
      </c>
      <c r="J365" s="71">
        <v>70</v>
      </c>
      <c r="L365" s="71">
        <v>1680</v>
      </c>
      <c r="M365" s="112">
        <f>=J365*L365</f>
        <v>117600</v>
      </c>
      <c r="N365" s="71">
        <v>3</v>
      </c>
      <c r="O365" s="189">
        <f>=ROUND(IF((TODAY()-A365+1)*N365*(L365/10000)+L365&lt;L365*1.002,L365*1.002,(TODAY()-A365+1)*N365*(L365/10000)+L365),2)</f>
        <v>1741.49</v>
      </c>
      <c r="P365" s="71">
        <v>70</v>
      </c>
      <c r="Q365" s="71">
        <f>=J365-P365</f>
        <v>0</v>
      </c>
      <c r="R365">
        <v>70</v>
      </c>
      <c r="S365" s="112">
        <f>=P365-R365</f>
        <v>0</v>
      </c>
      <c r="T365" s="71">
        <f>=S365*L365</f>
        <v>0</v>
      </c>
      <c r="U365" s="190">
        <f>=J365-P365</f>
        <v>0</v>
      </c>
    </row>
    <row r="366" spans="1:21" ht="15.75" customHeight="true">
      <c r="A366" s="80">
        <v>46104</v>
      </c>
      <c r="B366" s="71">
        <f>=TODAY()-A366+1</f>
        <v>121</v>
      </c>
      <c r="C366" s="71" t="s">
        <v>179</v>
      </c>
      <c r="D366" s="71" t="s">
        <v>52</v>
      </c>
      <c r="E366" s="136" t="s">
        <v>1005</v>
      </c>
      <c r="G366" s="71" t="s">
        <v>428</v>
      </c>
      <c r="H366" s="71" t="s">
        <v>422</v>
      </c>
      <c r="I366" t="s">
        <v>926</v>
      </c>
      <c r="J366" s="71">
        <v>20</v>
      </c>
      <c r="L366" s="71">
        <v>2800</v>
      </c>
      <c r="M366" s="112">
        <f>=J366*L366</f>
        <v>56000</v>
      </c>
      <c r="N366" s="71">
        <v>3</v>
      </c>
      <c r="O366" s="189">
        <f>=ROUND(IF((TODAY()-A366+1)*N366*(L366/10000)+L366&lt;L366*1.002,L366*1.002,(TODAY()-A366+1)*N366*(L366/10000)+L366),2)</f>
        <v>2902.48</v>
      </c>
      <c r="P366" s="71">
        <v>20</v>
      </c>
      <c r="Q366" s="71">
        <f>=J366-P366</f>
        <v>0</v>
      </c>
      <c r="R366">
        <v>20</v>
      </c>
      <c r="S366" s="112">
        <f>=P366-R366</f>
        <v>0</v>
      </c>
      <c r="T366" s="71">
        <f>=S366*L366</f>
        <v>0</v>
      </c>
      <c r="U366" s="190">
        <f>=J366-P366</f>
        <v>0</v>
      </c>
    </row>
    <row r="367" spans="1:21">
      <c r="A367" s="80">
        <v>46104</v>
      </c>
      <c r="B367" s="71">
        <f>=TODAY()-A367+1</f>
        <v>121</v>
      </c>
      <c r="C367" s="71" t="s">
        <v>179</v>
      </c>
      <c r="D367" s="71" t="s">
        <v>52</v>
      </c>
      <c r="E367" s="136" t="s">
        <v>1006</v>
      </c>
      <c r="G367" s="71" t="s">
        <v>428</v>
      </c>
      <c r="H367" s="71" t="s">
        <v>422</v>
      </c>
      <c r="I367" s="140" t="s">
        <v>931</v>
      </c>
      <c r="J367" s="71">
        <v>20</v>
      </c>
      <c r="L367" s="71">
        <v>2800</v>
      </c>
      <c r="M367" s="112">
        <f>=J367*L367</f>
        <v>56000</v>
      </c>
      <c r="N367" s="71">
        <v>3</v>
      </c>
      <c r="O367" s="189">
        <f>=ROUND(IF((TODAY()-A367+1)*N367*(L367/10000)+L367&lt;L367*1.002,L367*1.002,(TODAY()-A367+1)*N367*(L367/10000)+L367),2)</f>
        <v>2902.48</v>
      </c>
      <c r="P367" s="71">
        <v>20</v>
      </c>
      <c r="Q367" s="71">
        <f>=J367-P367</f>
        <v>0</v>
      </c>
      <c r="R367">
        <v>10</v>
      </c>
      <c r="S367" s="112">
        <f>=P367-R367</f>
        <v>10</v>
      </c>
      <c r="T367" s="71">
        <f>=S367*L367</f>
        <v>28000</v>
      </c>
      <c r="U367" s="190">
        <f>=J367-P367</f>
        <v>0</v>
      </c>
    </row>
    <row r="368" spans="1:21">
      <c r="A368" s="80">
        <v>46104</v>
      </c>
      <c r="B368" s="71">
        <f>=TODAY()-A368+1</f>
        <v>121</v>
      </c>
      <c r="C368" s="64" t="s">
        <v>179</v>
      </c>
      <c r="D368" s="64" t="s">
        <v>52</v>
      </c>
      <c r="E368" s="136" t="s">
        <v>1007</v>
      </c>
      <c r="G368" s="71" t="s">
        <v>428</v>
      </c>
      <c r="H368" s="71" t="s">
        <v>422</v>
      </c>
      <c r="I368" s="262" t="s">
        <v>923</v>
      </c>
      <c r="J368" s="71">
        <v>15</v>
      </c>
      <c r="L368" s="71">
        <v>3080</v>
      </c>
      <c r="M368" s="112">
        <f>=J368*L368</f>
        <v>46200</v>
      </c>
      <c r="N368" s="71">
        <v>3</v>
      </c>
      <c r="O368" s="189">
        <f>=ROUND(IF((TODAY()-A368+1)*N368*(L368/10000)+L368&lt;L368*1.002,L368*1.002,(TODAY()-A368+1)*N368*(L368/10000)+L368),2)</f>
        <v>3192.73</v>
      </c>
      <c r="P368" s="71">
        <v>15</v>
      </c>
      <c r="Q368" s="71">
        <f>=J368-P368</f>
        <v>0</v>
      </c>
      <c r="R368">
        <v>15</v>
      </c>
      <c r="S368" s="112">
        <f>=P368-R368</f>
        <v>0</v>
      </c>
      <c r="T368" s="71">
        <f>=S368*L368</f>
        <v>0</v>
      </c>
      <c r="U368" s="190">
        <f>=J368-P368</f>
        <v>0</v>
      </c>
    </row>
    <row r="369" spans="1:21">
      <c r="A369" s="80">
        <v>46104</v>
      </c>
      <c r="B369" s="71">
        <f>=TODAY()-A369+1</f>
        <v>121</v>
      </c>
      <c r="C369" s="64" t="s">
        <v>179</v>
      </c>
      <c r="D369" s="71" t="s">
        <v>52</v>
      </c>
      <c r="E369" s="155" t="s">
        <v>1008</v>
      </c>
      <c r="F369" s="87" t="s"/>
      <c r="G369" s="71" t="s">
        <v>428</v>
      </c>
      <c r="H369" s="71" t="s">
        <v>422</v>
      </c>
      <c r="I369" s="87" t="s">
        <v>632</v>
      </c>
      <c r="J369" s="71">
        <v>18</v>
      </c>
      <c r="L369" s="71">
        <v>3080</v>
      </c>
      <c r="M369" s="112">
        <f>=J369*L369</f>
        <v>55440</v>
      </c>
      <c r="N369" s="71">
        <v>3</v>
      </c>
      <c r="O369" s="189">
        <f>=ROUND(IF((TODAY()-A369+1)*N369*(L369/10000)+L369&lt;L369*1.002,L369*1.002,(TODAY()-A369+1)*N369*(L369/10000)+L369),2)</f>
        <v>3192.73</v>
      </c>
      <c r="P369" s="71">
        <v>18</v>
      </c>
      <c r="Q369" s="71">
        <f>=J369-P369</f>
        <v>0</v>
      </c>
      <c r="R369">
        <v>18</v>
      </c>
      <c r="S369" s="112">
        <f>=P369-R369</f>
        <v>0</v>
      </c>
      <c r="T369" s="71">
        <f>=S369*L369</f>
        <v>0</v>
      </c>
      <c r="U369" s="190">
        <f>=J369-P369</f>
        <v>0</v>
      </c>
    </row>
    <row r="370" spans="1:21">
      <c r="A370" s="80">
        <v>46104</v>
      </c>
      <c r="B370" s="71">
        <f>=TODAY()-A370+1</f>
        <v>121</v>
      </c>
      <c r="C370" s="71" t="s">
        <v>179</v>
      </c>
      <c r="D370" s="71" t="s">
        <v>52</v>
      </c>
      <c r="E370" s="263" t="s">
        <v>1009</v>
      </c>
      <c r="G370" s="71" t="s">
        <v>428</v>
      </c>
      <c r="H370" s="71" t="s">
        <v>422</v>
      </c>
      <c r="I370" s="87" t="s">
        <v>643</v>
      </c>
      <c r="J370" s="71">
        <v>15</v>
      </c>
      <c r="L370" s="71">
        <v>2590</v>
      </c>
      <c r="M370" s="112">
        <f>=J370*L370</f>
        <v>38850</v>
      </c>
      <c r="N370" s="71">
        <v>3</v>
      </c>
      <c r="O370" s="189">
        <f>=ROUND(IF((TODAY()-A370+1)*N370*(L370/10000)+L370&lt;L370*1.002,L370*1.002,(TODAY()-A370+1)*N370*(L370/10000)+L370),2)</f>
        <v>2684.79</v>
      </c>
      <c r="P370" s="71">
        <v>15</v>
      </c>
      <c r="Q370" s="71">
        <f>=J370-P370</f>
        <v>0</v>
      </c>
      <c r="S370" s="112">
        <f>=P370-R370</f>
        <v>15</v>
      </c>
      <c r="T370" s="71">
        <f>=S370*L370</f>
        <v>38850</v>
      </c>
      <c r="U370" s="190">
        <f>=J370-P370</f>
        <v>0</v>
      </c>
    </row>
    <row r="371" spans="1:21">
      <c r="A371" s="80">
        <v>46105</v>
      </c>
      <c r="B371" s="71">
        <f>=TODAY()-A371+1</f>
        <v>120</v>
      </c>
      <c r="C371" s="80" t="s">
        <v>183</v>
      </c>
      <c r="D371" s="71" t="s">
        <v>154</v>
      </c>
      <c r="E371" s="160" t="s">
        <v>1010</v>
      </c>
      <c r="F371" s="242" t="s">
        <v>913</v>
      </c>
      <c r="G371" s="108" t="s">
        <v>421</v>
      </c>
      <c r="H371" s="108" t="s">
        <v>470</v>
      </c>
      <c r="I371" s="108" t="s">
        <v>1011</v>
      </c>
      <c r="J371" s="71">
        <v>70</v>
      </c>
      <c r="L371" s="71">
        <v>3500</v>
      </c>
      <c r="M371" s="112">
        <f>=J371*L371</f>
        <v>245000</v>
      </c>
      <c r="N371" s="108">
        <v>2.5</v>
      </c>
      <c r="O371" s="189">
        <f>=ROUND(IF((TODAY()-A371+1)*N371*(L371/10000)+L371&lt;L371*1.002,L371*1.002,(TODAY()-A371+1)*N371*(L371/10000)+L371),2)</f>
        <v>3605.88</v>
      </c>
      <c r="P371" s="71">
        <v>70</v>
      </c>
      <c r="Q371" s="71">
        <f>=J371-P371</f>
        <v>0</v>
      </c>
      <c r="R371" s="71">
        <v>70</v>
      </c>
      <c r="S371" s="112">
        <f>=P371-R371</f>
        <v>0</v>
      </c>
      <c r="T371" s="71">
        <f>=S371*L371</f>
        <v>0</v>
      </c>
      <c r="U371" s="190">
        <f>=J371-P371</f>
        <v>0</v>
      </c>
    </row>
    <row r="372" spans="1:21">
      <c r="A372" s="80">
        <v>46105</v>
      </c>
      <c r="B372" s="71">
        <f>=TODAY()-A372+1</f>
        <v>120</v>
      </c>
      <c r="C372" s="80" t="s">
        <v>183</v>
      </c>
      <c r="D372" s="71" t="s">
        <v>154</v>
      </c>
      <c r="E372" s="213" t="s">
        <v>1012</v>
      </c>
      <c r="F372" s="221" t="s">
        <v>913</v>
      </c>
      <c r="G372" s="108" t="s">
        <v>421</v>
      </c>
      <c r="H372" s="108" t="s">
        <v>470</v>
      </c>
      <c r="I372" s="108" t="s">
        <v>1013</v>
      </c>
      <c r="J372" s="71">
        <v>30</v>
      </c>
      <c r="L372" s="71">
        <v>3500</v>
      </c>
      <c r="M372" s="112">
        <f>=J372*L372</f>
        <v>105000</v>
      </c>
      <c r="N372" s="108">
        <v>2.5</v>
      </c>
      <c r="O372" s="189">
        <f>=ROUND(IF((TODAY()-A372+1)*N372*(L372/10000)+L372&lt;L372*1.002,L372*1.002,(TODAY()-A372+1)*N372*(L372/10000)+L372),2)</f>
        <v>3605.88</v>
      </c>
      <c r="P372" s="71">
        <v>30</v>
      </c>
      <c r="Q372" s="71">
        <f>=J372-P372</f>
        <v>0</v>
      </c>
      <c r="R372" s="71">
        <v>30</v>
      </c>
      <c r="S372" s="112">
        <f>=P372-R372</f>
        <v>0</v>
      </c>
      <c r="T372" s="71">
        <f>=S372*L372</f>
        <v>0</v>
      </c>
      <c r="U372" s="190">
        <f>=J372-P372</f>
        <v>0</v>
      </c>
    </row>
    <row r="373" spans="1:21">
      <c r="A373" s="110">
        <v>46105</v>
      </c>
      <c r="B373" s="71">
        <f>=TODAY()-A373+1</f>
        <v>120</v>
      </c>
      <c r="C373" s="98" t="s">
        <v>185</v>
      </c>
      <c r="D373" s="71" t="s">
        <v>156</v>
      </c>
      <c r="E373" s="242" t="s">
        <v>1014</v>
      </c>
      <c r="F373" s="242" t="s">
        <v>919</v>
      </c>
      <c r="G373" s="108" t="s">
        <v>421</v>
      </c>
      <c r="H373" s="108" t="s">
        <v>470</v>
      </c>
      <c r="I373" t="s">
        <v>1015</v>
      </c>
      <c r="J373" s="71">
        <v>418</v>
      </c>
      <c r="L373" s="71">
        <v>4000</v>
      </c>
      <c r="M373" s="112">
        <f>=J373*L373</f>
        <v>1672000</v>
      </c>
      <c r="N373" s="108">
        <v>2.5</v>
      </c>
      <c r="O373" s="189">
        <f>=ROUND(IF((TODAY()-A373+1)*N373*(L373/10000)+L373&lt;L373*1.002,L373*1.002,(TODAY()-A373+1)*N373*(L373/10000)+L373),2)</f>
        <v>4121</v>
      </c>
      <c r="P373" s="71">
        <v>418</v>
      </c>
      <c r="Q373" s="71">
        <f>=J373-P373</f>
        <v>0</v>
      </c>
      <c r="R373">
        <v>418</v>
      </c>
      <c r="S373" s="112">
        <f>=P373-R373</f>
        <v>0</v>
      </c>
      <c r="T373" s="71">
        <f>=S373*L373</f>
        <v>0</v>
      </c>
      <c r="U373" s="190">
        <f>=J373-P373</f>
        <v>0</v>
      </c>
    </row>
    <row r="374" spans="1:21">
      <c r="A374" s="80">
        <v>46105</v>
      </c>
      <c r="B374" s="71">
        <f>=TODAY()-A374+1</f>
        <v>120</v>
      </c>
      <c r="C374" s="98" t="s">
        <v>185</v>
      </c>
      <c r="D374" s="71" t="s">
        <v>156</v>
      </c>
      <c r="E374" s="242" t="s">
        <v>1016</v>
      </c>
      <c r="F374" s="242" t="s">
        <v>919</v>
      </c>
      <c r="G374" s="108" t="s">
        <v>421</v>
      </c>
      <c r="H374" s="108" t="s">
        <v>470</v>
      </c>
      <c r="I374" s="146" t="s">
        <v>1017</v>
      </c>
      <c r="J374" s="71">
        <v>259</v>
      </c>
      <c r="L374" s="71">
        <v>4000</v>
      </c>
      <c r="M374" s="112">
        <f>=J374*L374</f>
        <v>1036000</v>
      </c>
      <c r="N374" s="108">
        <v>2.5</v>
      </c>
      <c r="O374" s="189">
        <f>=ROUND(IF((TODAY()-A374+1)*N374*(L374/10000)+L374&lt;L374*1.002,L374*1.002,(TODAY()-A374+1)*N374*(L374/10000)+L374),2)</f>
        <v>4121</v>
      </c>
      <c r="P374" s="71">
        <v>259</v>
      </c>
      <c r="Q374" s="71">
        <f>=J374-P374</f>
        <v>0</v>
      </c>
      <c r="R374">
        <v>259</v>
      </c>
      <c r="S374" s="112">
        <f>=P374-R374</f>
        <v>0</v>
      </c>
      <c r="T374" s="71">
        <f>=S374*L374</f>
        <v>0</v>
      </c>
      <c r="U374" s="190">
        <f>=J374-P374</f>
        <v>0</v>
      </c>
    </row>
    <row r="375" spans="1:21">
      <c r="A375" s="80">
        <v>46105</v>
      </c>
      <c r="B375" s="71">
        <f>=TODAY()-A375+1</f>
        <v>120</v>
      </c>
      <c r="C375" s="98" t="s">
        <v>184</v>
      </c>
      <c r="D375" s="71" t="s">
        <v>138</v>
      </c>
      <c r="E375" s="160" t="s">
        <v>1018</v>
      </c>
      <c r="F375" s="242" t="s">
        <v>1019</v>
      </c>
      <c r="G375" s="71" t="s">
        <v>864</v>
      </c>
      <c r="H375" s="71" t="s">
        <v>422</v>
      </c>
      <c r="I375" s="71" t="s">
        <v>1020</v>
      </c>
      <c r="J375" s="71">
        <v>999</v>
      </c>
      <c r="L375" s="71">
        <v>1800</v>
      </c>
      <c r="M375" s="112">
        <f>=J375*L375</f>
        <v>1798200</v>
      </c>
      <c r="N375" s="71">
        <v>2.5</v>
      </c>
      <c r="O375" s="189">
        <f>=ROUND(IF((TODAY()-A375+1)*N375*(L375/10000)+L375&lt;L375*1.002,L375*1.002,(TODAY()-A375+1)*N375*(L375/10000)+L375),2)</f>
        <v>1854.45</v>
      </c>
      <c r="P375" s="71">
        <v>999</v>
      </c>
      <c r="Q375" s="71">
        <f>=J375-P375</f>
        <v>0</v>
      </c>
      <c r="R375">
        <v>999</v>
      </c>
      <c r="S375" s="112">
        <f>=P375-R375</f>
        <v>0</v>
      </c>
      <c r="T375" s="71">
        <f>=S375*L375</f>
        <v>0</v>
      </c>
      <c r="U375" s="190">
        <f>=J375-P375</f>
        <v>0</v>
      </c>
    </row>
    <row r="376" spans="1:26" s="258" customFormat="true" ht="15.75" customHeight="true">
      <c r="A376" s="80">
        <v>46105</v>
      </c>
      <c r="B376" s="71">
        <f>=TODAY()-A376+1</f>
        <v>120</v>
      </c>
      <c r="C376" s="64" t="s">
        <v>182</v>
      </c>
      <c r="D376" s="64" t="s">
        <v>181</v>
      </c>
      <c r="E376" s="155" t="s">
        <v>1021</v>
      </c>
      <c r="F376" s="87" t="s"/>
      <c r="G376" s="64" t="s">
        <v>428</v>
      </c>
      <c r="H376" s="64" t="s">
        <v>449</v>
      </c>
      <c r="I376" s="64" t="s">
        <v>658</v>
      </c>
      <c r="J376" s="64">
        <v>1400</v>
      </c>
      <c r="K376" s="64" t="s"/>
      <c r="L376" s="64">
        <v>1053</v>
      </c>
      <c r="M376" s="197">
        <f>=J376*L376</f>
        <v>1474200</v>
      </c>
      <c r="N376" s="64">
        <v>2.5</v>
      </c>
      <c r="O376" s="189">
        <f>=ROUND(IF((TODAY()-A376+1)*N376*(L376/10000)+L376&lt;L376*1.002,L376*1.002,(TODAY()-A376+1)*N376*(L376/10000)+L376),2)</f>
        <v>1084.85</v>
      </c>
      <c r="P376" s="64">
        <v>1400</v>
      </c>
      <c r="Q376" s="64">
        <v>0</v>
      </c>
      <c r="R376" s="87">
        <v>1400</v>
      </c>
      <c r="S376" s="206">
        <f>=P376-R376</f>
        <v>0</v>
      </c>
      <c r="T376" s="71">
        <f>=S376*L376</f>
        <v>0</v>
      </c>
      <c r="U376" s="190">
        <f>=J376-P376</f>
        <v>0</v>
      </c>
      <c r="V376" s="87" t="s"/>
      <c r="W376" s="87" t="s"/>
      <c r="X376" s="87" t="s"/>
      <c r="Y376" s="87" t="s"/>
      <c r="Z376" s="87" t="s"/>
    </row>
    <row r="377" spans="1:26" s="258" customFormat="true" ht="15.75" customHeight="true">
      <c r="A377" s="80">
        <v>46105</v>
      </c>
      <c r="B377" s="71">
        <f>=TODAY()-A377+1</f>
        <v>120</v>
      </c>
      <c r="C377" s="64" t="s">
        <v>182</v>
      </c>
      <c r="D377" s="64" t="s">
        <v>181</v>
      </c>
      <c r="E377" s="155" t="s">
        <v>1022</v>
      </c>
      <c r="F377" s="87" t="s"/>
      <c r="G377" s="64" t="s">
        <v>428</v>
      </c>
      <c r="H377" s="64" t="s">
        <v>449</v>
      </c>
      <c r="I377" s="64" t="s">
        <v>658</v>
      </c>
      <c r="J377" s="64">
        <v>1400</v>
      </c>
      <c r="K377" s="64" t="s"/>
      <c r="L377" s="64">
        <v>1053</v>
      </c>
      <c r="M377" s="197">
        <f>=J377*L377</f>
        <v>1474200</v>
      </c>
      <c r="N377" s="64">
        <v>2.5</v>
      </c>
      <c r="O377" s="189">
        <f>=ROUND(IF((TODAY()-A377+1)*N377*(L377/10000)+L377&lt;L377*1.002,L377*1.002,(TODAY()-A377+1)*N377*(L377/10000)+L377),2)</f>
        <v>1084.85</v>
      </c>
      <c r="P377" s="64">
        <v>1400</v>
      </c>
      <c r="Q377" s="64">
        <v>0</v>
      </c>
      <c r="R377" s="87">
        <v>400</v>
      </c>
      <c r="S377" s="206">
        <f>=P377-R377</f>
        <v>1000</v>
      </c>
      <c r="T377" s="71">
        <f>=S377*L377</f>
        <v>1053000</v>
      </c>
      <c r="U377" s="190">
        <f>=J377-P377</f>
        <v>0</v>
      </c>
      <c r="V377" s="87" t="s"/>
      <c r="W377" s="87" t="s"/>
      <c r="X377" s="87" t="s"/>
      <c r="Y377" s="87" t="s"/>
      <c r="Z377" s="87" t="s"/>
    </row>
    <row r="378" spans="1:26" s="258" customFormat="true" ht="15.75" customHeight="true">
      <c r="A378" s="80">
        <v>46105</v>
      </c>
      <c r="B378" s="71">
        <f>=TODAY()-A378+1</f>
        <v>120</v>
      </c>
      <c r="C378" s="64" t="s">
        <v>182</v>
      </c>
      <c r="D378" s="64" t="s">
        <v>181</v>
      </c>
      <c r="E378" s="155" t="s">
        <v>1023</v>
      </c>
      <c r="F378" s="87" t="s"/>
      <c r="G378" s="64" t="s">
        <v>428</v>
      </c>
      <c r="H378" s="64" t="s">
        <v>449</v>
      </c>
      <c r="I378" s="64" t="s">
        <v>658</v>
      </c>
      <c r="J378" s="64">
        <v>1200</v>
      </c>
      <c r="K378" s="64" t="s"/>
      <c r="L378" s="64">
        <v>1053</v>
      </c>
      <c r="M378" s="197">
        <f>=J378*L378</f>
        <v>1263600</v>
      </c>
      <c r="N378" s="64">
        <v>2.5</v>
      </c>
      <c r="O378" s="189">
        <f>=ROUND(IF((TODAY()-A378+1)*N378*(L378/10000)+L378&lt;L378*1.002,L378*1.002,(TODAY()-A378+1)*N378*(L378/10000)+L378),2)</f>
        <v>1084.85</v>
      </c>
      <c r="P378" s="64">
        <v>1200</v>
      </c>
      <c r="Q378" s="64">
        <f>=J378-P378</f>
        <v>0</v>
      </c>
      <c r="R378" s="87" t="s"/>
      <c r="S378" s="206">
        <f>=P378-R378</f>
        <v>1200</v>
      </c>
      <c r="T378" s="71">
        <f>=S378*L378</f>
        <v>1263600</v>
      </c>
      <c r="U378" s="190">
        <f>=J378-P378</f>
        <v>0</v>
      </c>
      <c r="V378" s="87" t="s"/>
      <c r="W378" s="87" t="s"/>
      <c r="X378" s="87" t="s"/>
      <c r="Y378" s="87" t="s"/>
      <c r="Z378" s="87" t="s"/>
    </row>
    <row r="379" spans="1:26">
      <c r="A379" s="80">
        <v>46105</v>
      </c>
      <c r="B379" s="71">
        <f>=TODAY()-A379+1</f>
        <v>120</v>
      </c>
      <c r="C379" s="98" t="s">
        <v>186</v>
      </c>
      <c r="D379" s="71" t="s">
        <v>135</v>
      </c>
      <c r="E379" s="160" t="s">
        <v>1024</v>
      </c>
      <c r="F379" s="242" t="s">
        <v>856</v>
      </c>
      <c r="G379" s="71" t="s">
        <v>741</v>
      </c>
      <c r="H379" s="71" t="s">
        <v>449</v>
      </c>
      <c r="I379" s="64" t="s">
        <v>1025</v>
      </c>
      <c r="J379" s="71">
        <v>100</v>
      </c>
      <c r="K379" s="71" t="s"/>
      <c r="L379" s="71">
        <v>735</v>
      </c>
      <c r="M379" s="112">
        <f>=J379*L379</f>
        <v>73500</v>
      </c>
      <c r="N379" s="71">
        <v>2.5</v>
      </c>
      <c r="O379" s="189">
        <f>=ROUND(IF((TODAY()-A379+1)*N379*(L379/10000)+L379&lt;L379*1.002,L379*1.002,(TODAY()-A379+1)*N379*(L379/10000)+L379),2)</f>
        <v>757.23</v>
      </c>
      <c r="P379" s="71">
        <v>100</v>
      </c>
      <c r="Q379" s="71">
        <f>=J379-P379</f>
        <v>0</v>
      </c>
      <c r="R379" s="71">
        <v>100</v>
      </c>
      <c r="S379" s="112">
        <f>=P379-R379</f>
        <v>0</v>
      </c>
      <c r="T379" s="71">
        <f>=S379*L379</f>
        <v>0</v>
      </c>
      <c r="U379" s="264">
        <f>=J379-P379</f>
        <v>0</v>
      </c>
      <c r="V379" s="190" t="s"/>
      <c r="W379" s="190" t="s"/>
      <c r="X379" s="97" t="s"/>
      <c r="Y379" s="97" t="s"/>
      <c r="Z379" s="97" t="s"/>
    </row>
    <row r="380" spans="1:26">
      <c r="A380" s="80">
        <v>46105</v>
      </c>
      <c r="B380" s="71">
        <f>=TODAY()-A380+1</f>
        <v>120</v>
      </c>
      <c r="C380" s="98" t="s">
        <v>186</v>
      </c>
      <c r="D380" s="71" t="s">
        <v>135</v>
      </c>
      <c r="E380" s="97" t="s">
        <v>37</v>
      </c>
      <c r="F380" s="242" t="s">
        <v>856</v>
      </c>
      <c r="G380" s="71" t="s">
        <v>741</v>
      </c>
      <c r="H380" s="71" t="s">
        <v>422</v>
      </c>
      <c r="I380" s="71" t="s">
        <v>1026</v>
      </c>
      <c r="J380" s="71">
        <v>100</v>
      </c>
      <c r="K380" s="71" t="s"/>
      <c r="L380" s="71">
        <v>1120</v>
      </c>
      <c r="M380" s="112">
        <f>=J380*L380</f>
        <v>112000</v>
      </c>
      <c r="N380" s="71">
        <v>2.5</v>
      </c>
      <c r="O380" s="189">
        <f>=ROUND(IF((TODAY()-A380+1)*N380*(L380/10000)+L380&lt;L380*1.002,L380*1.002,(TODAY()-A380+1)*N380*(L380/10000)+L380),2)</f>
        <v>1153.88</v>
      </c>
      <c r="P380" s="71">
        <v>100</v>
      </c>
      <c r="Q380" s="71">
        <f>=J380-P380</f>
        <v>0</v>
      </c>
      <c r="R380" s="97">
        <v>100</v>
      </c>
      <c r="S380" s="112">
        <f>=P380-R380</f>
        <v>0</v>
      </c>
      <c r="T380" s="71">
        <f>=S380*L380</f>
        <v>0</v>
      </c>
      <c r="U380" s="264">
        <f>=J380-P380</f>
        <v>0</v>
      </c>
      <c r="V380" s="97" t="s"/>
      <c r="W380" s="97" t="s"/>
      <c r="X380" s="97" t="s"/>
      <c r="Y380" s="97" t="s"/>
      <c r="Z380" s="97" t="s"/>
    </row>
    <row r="381" spans="1:21">
      <c r="A381" s="80">
        <v>46105</v>
      </c>
      <c r="B381" s="71">
        <f>=TODAY()-A381+1</f>
        <v>120</v>
      </c>
      <c r="C381" s="98" t="s">
        <v>186</v>
      </c>
      <c r="D381" s="71" t="s">
        <v>135</v>
      </c>
      <c r="E381" s="160" t="s">
        <v>1027</v>
      </c>
      <c r="F381" s="242" t="s">
        <v>856</v>
      </c>
      <c r="G381" s="71" t="s">
        <v>741</v>
      </c>
      <c r="H381" s="71" t="s">
        <v>422</v>
      </c>
      <c r="I381" s="71" t="s">
        <v>1028</v>
      </c>
      <c r="J381" s="71">
        <v>100</v>
      </c>
      <c r="K381" s="71" t="s"/>
      <c r="L381" s="71">
        <v>1225</v>
      </c>
      <c r="M381" s="112">
        <f>=J381*L381</f>
        <v>122500</v>
      </c>
      <c r="N381" s="71">
        <v>2.5</v>
      </c>
      <c r="O381" s="189">
        <f>=ROUND(IF((TODAY()-A381+1)*N381*(L381/10000)+L381&lt;L381*1.002,L381*1.002,(TODAY()-A381+1)*N381*(L381/10000)+L381),2)</f>
        <v>1262.06</v>
      </c>
      <c r="P381" s="71">
        <v>100</v>
      </c>
      <c r="Q381" s="71">
        <f>=J381-P381</f>
        <v>0</v>
      </c>
      <c r="R381">
        <v>100</v>
      </c>
      <c r="S381" s="112">
        <f>=P381-R381</f>
        <v>0</v>
      </c>
      <c r="T381" s="71">
        <f>=S381*L381</f>
        <v>0</v>
      </c>
      <c r="U381" s="190">
        <f>=J381-P381</f>
        <v>0</v>
      </c>
    </row>
    <row r="382" spans="1:23">
      <c r="A382" s="80">
        <v>46105</v>
      </c>
      <c r="B382" s="71">
        <f>=TODAY()-A382+1</f>
        <v>120</v>
      </c>
      <c r="C382" s="98" t="s">
        <v>186</v>
      </c>
      <c r="D382" s="71" t="s">
        <v>135</v>
      </c>
      <c r="E382" s="160" t="s">
        <v>1029</v>
      </c>
      <c r="F382" s="242" t="s">
        <v>856</v>
      </c>
      <c r="G382" s="71" t="s">
        <v>741</v>
      </c>
      <c r="H382" s="71" t="s">
        <v>449</v>
      </c>
      <c r="I382" s="64" t="s">
        <v>1030</v>
      </c>
      <c r="J382" s="71">
        <v>200</v>
      </c>
      <c r="K382" s="71" t="s"/>
      <c r="L382" s="71">
        <v>735</v>
      </c>
      <c r="M382" s="112">
        <f>=J382*L382</f>
        <v>147000</v>
      </c>
      <c r="N382" s="71">
        <v>2.5</v>
      </c>
      <c r="O382" s="189">
        <f>=ROUND(IF((TODAY()-A382+1)*N382*(L382/10000)+L382&lt;L382*1.002,L382*1.002,(TODAY()-A382+1)*N382*(L382/10000)+L382),2)</f>
        <v>757.23</v>
      </c>
      <c r="P382" s="71">
        <v>200</v>
      </c>
      <c r="Q382" s="71">
        <f>=J382-P382</f>
        <v>0</v>
      </c>
      <c r="R382" s="71">
        <v>200</v>
      </c>
      <c r="S382" s="112">
        <f>=P382-R382</f>
        <v>0</v>
      </c>
      <c r="T382" s="71">
        <f>=S382*L382</f>
        <v>0</v>
      </c>
      <c r="U382" s="190">
        <f>=J382-P382</f>
        <v>0</v>
      </c>
      <c r="V382" s="190" t="s"/>
      <c r="W382" s="190" t="s"/>
    </row>
    <row r="383" spans="1:21" ht="15.75" customHeight="true">
      <c r="A383" s="110">
        <v>46105</v>
      </c>
      <c r="B383" s="93">
        <f>=TODAY()-A383+1</f>
        <v>120</v>
      </c>
      <c r="C383" s="102" t="s">
        <v>186</v>
      </c>
      <c r="D383" s="93" t="s">
        <v>135</v>
      </c>
      <c r="E383" s="160" t="s">
        <v>1031</v>
      </c>
      <c r="F383" s="242" t="s">
        <v>856</v>
      </c>
      <c r="G383" s="93" t="s">
        <v>741</v>
      </c>
      <c r="H383" s="93" t="s">
        <v>422</v>
      </c>
      <c r="I383" s="93" t="s">
        <v>1032</v>
      </c>
      <c r="J383" s="93">
        <v>100</v>
      </c>
      <c r="K383" s="93" t="s"/>
      <c r="L383" s="93">
        <v>1365</v>
      </c>
      <c r="M383" s="217">
        <f>=J383*L383</f>
        <v>136500</v>
      </c>
      <c r="N383" s="93">
        <v>2.5</v>
      </c>
      <c r="O383" s="198">
        <f>=ROUND(IF((TODAY()-A383+1)*N383*(L383/10000)+L383&lt;L383*1.002,L383*1.002,(TODAY()-A383+1)*N383*(L383/10000)+L383),2)</f>
        <v>1406.29</v>
      </c>
      <c r="P383" s="93">
        <v>100</v>
      </c>
      <c r="Q383" s="93">
        <f>=J383-P383</f>
        <v>0</v>
      </c>
      <c r="R383">
        <v>100</v>
      </c>
      <c r="S383" s="217">
        <f>=P383-R383</f>
        <v>0</v>
      </c>
      <c r="T383" s="93">
        <f>=S383*L383</f>
        <v>0</v>
      </c>
      <c r="U383" s="190">
        <f>=J383-P383</f>
        <v>0</v>
      </c>
    </row>
    <row r="384" spans="1:23" ht="15.75" customHeight="true">
      <c r="A384" s="110">
        <v>46106</v>
      </c>
      <c r="B384" s="93">
        <f>=TODAY()-A384+1</f>
        <v>119</v>
      </c>
      <c r="C384" s="102" t="s">
        <v>187</v>
      </c>
      <c r="D384" s="93" t="s">
        <v>135</v>
      </c>
      <c r="E384" s="160" t="s">
        <v>1033</v>
      </c>
      <c r="F384" s="242" t="s">
        <v>856</v>
      </c>
      <c r="G384" s="265" t="s">
        <v>428</v>
      </c>
      <c r="H384" s="265" t="s">
        <v>422</v>
      </c>
      <c r="I384" s="266" t="s">
        <v>1034</v>
      </c>
      <c r="J384" s="93">
        <v>100</v>
      </c>
      <c r="K384" s="93" t="s"/>
      <c r="L384" s="93">
        <v>595</v>
      </c>
      <c r="M384" s="217">
        <f>=J384*L384</f>
        <v>59500</v>
      </c>
      <c r="N384" s="93">
        <v>2.5</v>
      </c>
      <c r="O384" s="198">
        <f>=ROUND(IF((TODAY()-A384+1)*N384*(L384/10000)+L384&lt;L384*1.002,L384*1.002,(TODAY()-A384+1)*N384*(L384/10000)+L384),2)</f>
        <v>612.85</v>
      </c>
      <c r="P384" s="93">
        <v>100</v>
      </c>
      <c r="Q384" s="93">
        <f>=J384-P384</f>
        <v>0</v>
      </c>
      <c r="R384">
        <v>100</v>
      </c>
      <c r="S384" s="217">
        <f>=P384-R384</f>
        <v>0</v>
      </c>
      <c r="T384" s="93">
        <f>=S384*L384</f>
        <v>0</v>
      </c>
      <c r="U384" s="190">
        <f>=J384-P384</f>
        <v>0</v>
      </c>
      <c r="V384" s="218" t="s"/>
      <c r="W384" s="218" t="s"/>
    </row>
    <row r="385" spans="1:26">
      <c r="A385" s="110">
        <v>46106</v>
      </c>
      <c r="B385" s="93">
        <f>=TODAY()-A385+1</f>
        <v>119</v>
      </c>
      <c r="C385" s="102" t="s">
        <v>187</v>
      </c>
      <c r="D385" s="93" t="s">
        <v>135</v>
      </c>
      <c r="E385" s="160" t="s">
        <v>1035</v>
      </c>
      <c r="F385" s="242" t="s">
        <v>856</v>
      </c>
      <c r="G385" s="93" t="s">
        <v>428</v>
      </c>
      <c r="H385" s="93" t="s">
        <v>422</v>
      </c>
      <c r="I385" s="83" t="s">
        <v>1036</v>
      </c>
      <c r="J385" s="93">
        <v>400</v>
      </c>
      <c r="K385" s="93" t="s"/>
      <c r="L385" s="93">
        <v>595</v>
      </c>
      <c r="M385" s="217">
        <f>=J385*L385</f>
        <v>238000</v>
      </c>
      <c r="N385" s="93">
        <v>2.5</v>
      </c>
      <c r="O385" s="198">
        <f>=ROUND(IF((TODAY()-A385+1)*N385*(L385/10000)+L385&lt;L385*1.002,L385*1.002,(TODAY()-A385+1)*N385*(L385/10000)+L385),2)</f>
        <v>612.85</v>
      </c>
      <c r="P385" s="93">
        <v>400</v>
      </c>
      <c r="Q385" s="93">
        <f>=J385-P385</f>
        <v>0</v>
      </c>
      <c r="R385" s="190">
        <v>400</v>
      </c>
      <c r="S385" s="217">
        <f>=P385-R385</f>
        <v>0</v>
      </c>
      <c r="T385" s="93">
        <f>=S385*L385</f>
        <v>0</v>
      </c>
      <c r="U385" s="190">
        <f>=J385-P385</f>
        <v>0</v>
      </c>
      <c r="V385" s="218" t="s"/>
      <c r="W385" s="218" t="s"/>
      <c r="X385" s="190" t="s"/>
      <c r="Y385" s="190" t="s"/>
      <c r="Z385" s="190" t="s"/>
    </row>
    <row r="386" spans="1:26">
      <c r="A386" s="110">
        <v>46106</v>
      </c>
      <c r="B386" s="93">
        <f>=TODAY()-A386+1</f>
        <v>119</v>
      </c>
      <c r="C386" s="102" t="s">
        <v>187</v>
      </c>
      <c r="D386" s="93" t="s">
        <v>135</v>
      </c>
      <c r="E386" s="160" t="s">
        <v>1037</v>
      </c>
      <c r="F386" s="242" t="s">
        <v>856</v>
      </c>
      <c r="G386" s="93" t="s">
        <v>428</v>
      </c>
      <c r="H386" s="93" t="s">
        <v>422</v>
      </c>
      <c r="I386" s="93" t="s">
        <v>1038</v>
      </c>
      <c r="J386" s="93">
        <v>500</v>
      </c>
      <c r="K386" s="93" t="s"/>
      <c r="L386" s="93">
        <v>595</v>
      </c>
      <c r="M386" s="217">
        <f>=J386*L386</f>
        <v>297500</v>
      </c>
      <c r="N386" s="93">
        <v>2.5</v>
      </c>
      <c r="O386" s="198">
        <f>=ROUND(IF((TODAY()-A386+1)*N386*(L386/10000)+L386&lt;L386*1.002,L386*1.002,(TODAY()-A386+1)*N386*(L386/10000)+L386),2)</f>
        <v>612.85</v>
      </c>
      <c r="P386" s="93">
        <v>500</v>
      </c>
      <c r="Q386" s="93">
        <f>=J386-P386</f>
        <v>0</v>
      </c>
      <c r="R386" s="190">
        <v>500</v>
      </c>
      <c r="S386" s="217">
        <f>=P386-R386</f>
        <v>0</v>
      </c>
      <c r="T386" s="93">
        <f>=S386*L386</f>
        <v>0</v>
      </c>
      <c r="U386" s="190">
        <f>=J386-P386</f>
        <v>0</v>
      </c>
      <c r="V386" s="218" t="s"/>
      <c r="W386" s="218" t="s"/>
      <c r="X386" s="190" t="s"/>
      <c r="Y386" s="190" t="s"/>
      <c r="Z386" s="190" t="s"/>
    </row>
    <row r="387" spans="1:23">
      <c r="A387" s="80">
        <v>46106</v>
      </c>
      <c r="B387" s="71">
        <f>=TODAY()-A387+1</f>
        <v>119</v>
      </c>
      <c r="C387" s="98" t="s">
        <v>187</v>
      </c>
      <c r="D387" s="71" t="s">
        <v>135</v>
      </c>
      <c r="E387" s="160" t="s">
        <v>1039</v>
      </c>
      <c r="F387" s="242" t="s">
        <v>856</v>
      </c>
      <c r="G387" s="71" t="s">
        <v>428</v>
      </c>
      <c r="H387" s="71" t="s">
        <v>422</v>
      </c>
      <c r="I387" s="64" t="s">
        <v>1040</v>
      </c>
      <c r="J387" s="71">
        <v>200</v>
      </c>
      <c r="K387" s="71" t="s"/>
      <c r="L387" s="71">
        <v>728</v>
      </c>
      <c r="M387" s="112">
        <f>=J387*L387</f>
        <v>145600</v>
      </c>
      <c r="N387" s="71">
        <v>2.5</v>
      </c>
      <c r="O387" s="189">
        <f>=ROUND(IF((TODAY()-A387+1)*N387*(L387/10000)+L387&lt;L387*1.002,L387*1.002,(TODAY()-A387+1)*N387*(L387/10000)+L387),2)</f>
        <v>749.84</v>
      </c>
      <c r="P387" s="71">
        <v>200</v>
      </c>
      <c r="Q387" s="71">
        <f>=J387-P387</f>
        <v>0</v>
      </c>
      <c r="R387">
        <v>200</v>
      </c>
      <c r="S387" s="112">
        <f>=P387-R387</f>
        <v>0</v>
      </c>
      <c r="T387" s="71">
        <f>=S387*L387</f>
        <v>0</v>
      </c>
      <c r="U387" s="190">
        <f>=J387-P387</f>
        <v>0</v>
      </c>
      <c r="V387" s="190" t="s"/>
      <c r="W387" s="190" t="s"/>
    </row>
    <row r="388" spans="1:23">
      <c r="A388" s="80">
        <v>46106</v>
      </c>
      <c r="B388" s="71">
        <f>=TODAY()-A388+1</f>
        <v>119</v>
      </c>
      <c r="C388" s="98" t="s">
        <v>187</v>
      </c>
      <c r="D388" s="71" t="s">
        <v>135</v>
      </c>
      <c r="E388" s="160" t="s">
        <v>1041</v>
      </c>
      <c r="F388" s="242" t="s">
        <v>856</v>
      </c>
      <c r="G388" s="71" t="s">
        <v>428</v>
      </c>
      <c r="H388" s="71" t="s">
        <v>422</v>
      </c>
      <c r="I388" s="64" t="s">
        <v>1042</v>
      </c>
      <c r="J388" s="71">
        <v>200</v>
      </c>
      <c r="K388" s="71" t="s"/>
      <c r="L388" s="71">
        <v>728</v>
      </c>
      <c r="M388" s="112">
        <f>=J388*L388</f>
        <v>145600</v>
      </c>
      <c r="N388" s="71">
        <v>2.5</v>
      </c>
      <c r="O388" s="189">
        <f>=ROUND(IF((TODAY()-A388+1)*N388*(L388/10000)+L388&lt;L388*1.002,L388*1.002,(TODAY()-A388+1)*N388*(L388/10000)+L388),2)</f>
        <v>749.84</v>
      </c>
      <c r="P388" s="71">
        <v>200</v>
      </c>
      <c r="Q388" s="71">
        <f>=J388-P388</f>
        <v>0</v>
      </c>
      <c r="R388">
        <v>200</v>
      </c>
      <c r="S388" s="112">
        <f>=P388-R388</f>
        <v>0</v>
      </c>
      <c r="T388" s="71">
        <f>=S388*L388</f>
        <v>0</v>
      </c>
      <c r="U388" s="190">
        <f>=J388-P388</f>
        <v>0</v>
      </c>
      <c r="V388" s="190" t="s"/>
      <c r="W388" s="190" t="s"/>
    </row>
    <row r="389" spans="1:21" ht="15.75" customHeight="true">
      <c r="A389" s="80">
        <v>46106</v>
      </c>
      <c r="B389" s="71">
        <f>=TODAY()-A389+1</f>
        <v>119</v>
      </c>
      <c r="C389" s="98" t="s">
        <v>188</v>
      </c>
      <c r="D389" s="93" t="s">
        <v>138</v>
      </c>
      <c r="E389" s="160" t="s">
        <v>1043</v>
      </c>
      <c r="F389" s="242" t="s">
        <v>1019</v>
      </c>
      <c r="G389" s="93" t="s">
        <v>864</v>
      </c>
      <c r="H389" s="93" t="s">
        <v>422</v>
      </c>
      <c r="I389" s="93" t="s">
        <v>1020</v>
      </c>
      <c r="J389" s="71">
        <v>200</v>
      </c>
      <c r="K389" s="71" t="s"/>
      <c r="L389" s="71">
        <v>1800</v>
      </c>
      <c r="M389" s="112">
        <f>=J389*L389</f>
        <v>360000</v>
      </c>
      <c r="N389" s="71">
        <v>2.5</v>
      </c>
      <c r="O389" s="198">
        <f>=ROUND(IF((TODAY()-A389+1)*N389*(L389/10000)+L389&lt;L389*1.002,L389*1.002,(TODAY()-A389+1)*N389*(L389/10000)+L389),2)</f>
        <v>1854</v>
      </c>
      <c r="P389" s="71">
        <v>200</v>
      </c>
      <c r="Q389" s="71">
        <f>=J389-P389</f>
        <v>0</v>
      </c>
      <c r="R389">
        <v>200</v>
      </c>
      <c r="S389" s="112">
        <f>=P389-R389</f>
        <v>0</v>
      </c>
      <c r="T389" s="71">
        <f>=S389*L389</f>
        <v>0</v>
      </c>
      <c r="U389" s="190">
        <f>=J389-P389</f>
        <v>0</v>
      </c>
    </row>
    <row r="390" spans="1:21" ht="15.75" customHeight="true">
      <c r="A390" s="80">
        <v>46106</v>
      </c>
      <c r="B390" s="71">
        <f>=TODAY()-A390+1</f>
        <v>119</v>
      </c>
      <c r="C390" s="98" t="s">
        <v>190</v>
      </c>
      <c r="D390" s="71" t="s">
        <v>189</v>
      </c>
      <c r="E390" s="160" t="s">
        <v>1044</v>
      </c>
      <c r="F390" s="242" t="s">
        <v>1045</v>
      </c>
      <c r="G390" s="64" t="s">
        <v>428</v>
      </c>
      <c r="H390" s="64" t="s">
        <v>422</v>
      </c>
      <c r="I390" s="64" t="s">
        <v>1046</v>
      </c>
      <c r="J390" s="71">
        <v>200</v>
      </c>
      <c r="K390" s="71" t="s"/>
      <c r="L390" s="71">
        <v>700</v>
      </c>
      <c r="M390" s="112">
        <f>=J390*L390</f>
        <v>140000</v>
      </c>
      <c r="N390" s="71">
        <v>3</v>
      </c>
      <c r="O390" s="189">
        <f>=ROUND(IF((TODAY()-A390+1)*N390*(L390/10000)+L390&lt;L390*1.002,L390*1.002,(TODAY()-A390+1)*N390*(L390/10000)+L390),2)</f>
        <v>725.2</v>
      </c>
      <c r="P390" s="71">
        <v>200</v>
      </c>
      <c r="Q390" s="71">
        <f>=J390-P390</f>
        <v>0</v>
      </c>
      <c r="R390">
        <v>200</v>
      </c>
      <c r="S390" s="112">
        <f>=P390-R390</f>
        <v>0</v>
      </c>
      <c r="T390" s="71">
        <f>=S390*L390</f>
        <v>0</v>
      </c>
      <c r="U390" s="190">
        <f>=J390-P390</f>
        <v>0</v>
      </c>
    </row>
    <row r="391" spans="1:21" ht="15.75" customHeight="true">
      <c r="A391" s="80">
        <v>46106</v>
      </c>
      <c r="B391" s="71">
        <f>=TODAY()-A391+1</f>
        <v>119</v>
      </c>
      <c r="C391" s="98" t="s">
        <v>190</v>
      </c>
      <c r="D391" s="71" t="s">
        <v>189</v>
      </c>
      <c r="E391" s="160" t="s">
        <v>1047</v>
      </c>
      <c r="F391" s="242" t="s">
        <v>1045</v>
      </c>
      <c r="G391" s="64" t="s">
        <v>428</v>
      </c>
      <c r="H391" s="64" t="s">
        <v>422</v>
      </c>
      <c r="I391" s="64" t="s">
        <v>1048</v>
      </c>
      <c r="J391" s="71">
        <v>100</v>
      </c>
      <c r="K391" s="71" t="s"/>
      <c r="L391" s="71">
        <v>700</v>
      </c>
      <c r="M391" s="112">
        <f>=J391*L391</f>
        <v>70000</v>
      </c>
      <c r="N391" s="71">
        <v>3</v>
      </c>
      <c r="O391" s="189">
        <f>=ROUND(IF((TODAY()-A391+1)*N391*(L391/10000)+L391&lt;L391*1.002,L391*1.002,(TODAY()-A391+1)*N391*(L391/10000)+L391),2)</f>
        <v>725.2</v>
      </c>
      <c r="P391" s="71">
        <v>100</v>
      </c>
      <c r="Q391" s="71">
        <f>=J391-P391</f>
        <v>0</v>
      </c>
      <c r="R391">
        <v>100</v>
      </c>
      <c r="S391" s="112">
        <f>=P391-R391</f>
        <v>0</v>
      </c>
      <c r="T391" s="71">
        <f>=S391*L391</f>
        <v>0</v>
      </c>
      <c r="U391" s="190">
        <f>=J391-P391</f>
        <v>0</v>
      </c>
    </row>
    <row r="392" spans="1:21" ht="15.75" customHeight="true">
      <c r="A392" s="80">
        <v>46106</v>
      </c>
      <c r="B392" s="71">
        <f>=TODAY()-A392+1</f>
        <v>119</v>
      </c>
      <c r="C392" s="98" t="s">
        <v>190</v>
      </c>
      <c r="D392" s="71" t="s">
        <v>189</v>
      </c>
      <c r="E392" s="160" t="s">
        <v>1049</v>
      </c>
      <c r="F392" s="242" t="s">
        <v>1045</v>
      </c>
      <c r="G392" s="64" t="s">
        <v>428</v>
      </c>
      <c r="H392" s="64" t="s">
        <v>422</v>
      </c>
      <c r="I392" s="64" t="s">
        <v>1038</v>
      </c>
      <c r="J392" s="71">
        <v>80</v>
      </c>
      <c r="K392" s="71" t="s"/>
      <c r="L392" s="71">
        <v>595</v>
      </c>
      <c r="M392" s="112">
        <f>=J392*L392</f>
        <v>47600</v>
      </c>
      <c r="N392" s="71">
        <v>3</v>
      </c>
      <c r="O392" s="189">
        <f>=ROUND(IF((TODAY()-A392+1)*N392*(L392/10000)+L392&lt;L392*1.002,L392*1.002,(TODAY()-A392+1)*N392*(L392/10000)+L392),2)</f>
        <v>616.42</v>
      </c>
      <c r="P392" s="71">
        <v>80</v>
      </c>
      <c r="Q392" s="71">
        <f>=J392-P392</f>
        <v>0</v>
      </c>
      <c r="R392" s="71">
        <v>80</v>
      </c>
      <c r="S392" s="112">
        <f>=P392-R392</f>
        <v>0</v>
      </c>
      <c r="T392" s="71">
        <f>=S392*L392</f>
        <v>0</v>
      </c>
      <c r="U392" s="190">
        <f>=J392-P392</f>
        <v>0</v>
      </c>
    </row>
    <row r="393" spans="1:21" ht="15.75" customHeight="true">
      <c r="A393" s="80">
        <v>46106</v>
      </c>
      <c r="B393" s="71">
        <f>=TODAY()-A393+1</f>
        <v>119</v>
      </c>
      <c r="C393" s="98" t="s">
        <v>190</v>
      </c>
      <c r="D393" s="71" t="s">
        <v>189</v>
      </c>
      <c r="E393" s="160" t="s">
        <v>1050</v>
      </c>
      <c r="F393" s="242" t="s">
        <v>1045</v>
      </c>
      <c r="G393" s="64" t="s">
        <v>428</v>
      </c>
      <c r="H393" s="64" t="s">
        <v>422</v>
      </c>
      <c r="I393" s="64" t="s">
        <v>884</v>
      </c>
      <c r="J393" s="71">
        <v>70</v>
      </c>
      <c r="K393" s="71" t="s"/>
      <c r="L393" s="71">
        <v>735</v>
      </c>
      <c r="M393" s="112">
        <f>=J393*L393</f>
        <v>51450</v>
      </c>
      <c r="N393" s="71">
        <v>3</v>
      </c>
      <c r="O393" s="189">
        <f>=ROUND(IF((TODAY()-A393+1)*N393*(L393/10000)+L393&lt;L393*1.002,L393*1.002,(TODAY()-A393+1)*N393*(L393/10000)+L393),2)</f>
        <v>761.46</v>
      </c>
      <c r="P393" s="71">
        <v>70</v>
      </c>
      <c r="Q393" s="71">
        <f>=J393-P393</f>
        <v>0</v>
      </c>
      <c r="R393" s="71">
        <v>70</v>
      </c>
      <c r="S393" s="112">
        <f>=P393-R393</f>
        <v>0</v>
      </c>
      <c r="T393" s="71">
        <f>=S393*L393</f>
        <v>0</v>
      </c>
      <c r="U393" s="190">
        <f>=J393-P393</f>
        <v>0</v>
      </c>
    </row>
    <row r="394" spans="1:21" ht="15.75" customHeight="true">
      <c r="A394" s="80">
        <v>46106</v>
      </c>
      <c r="B394" s="71">
        <f>=TODAY()-A394+1</f>
        <v>119</v>
      </c>
      <c r="C394" s="98" t="s">
        <v>190</v>
      </c>
      <c r="D394" s="71" t="s">
        <v>189</v>
      </c>
      <c r="E394" s="160" t="s">
        <v>1051</v>
      </c>
      <c r="F394" s="242" t="s">
        <v>1045</v>
      </c>
      <c r="G394" s="64" t="s">
        <v>428</v>
      </c>
      <c r="H394" s="64" t="s">
        <v>422</v>
      </c>
      <c r="I394" s="64" t="s">
        <v>612</v>
      </c>
      <c r="J394" s="71">
        <v>60</v>
      </c>
      <c r="K394" s="71" t="s"/>
      <c r="L394" s="71">
        <v>735</v>
      </c>
      <c r="M394" s="112">
        <f>=J394*L394</f>
        <v>44100</v>
      </c>
      <c r="N394" s="71">
        <v>3</v>
      </c>
      <c r="O394" s="189">
        <f>=ROUND(IF((TODAY()-A394+1)*N394*(L394/10000)+L394&lt;L394*1.002,L394*1.002,(TODAY()-A394+1)*N394*(L394/10000)+L394),2)</f>
        <v>761.46</v>
      </c>
      <c r="P394" s="71">
        <v>60</v>
      </c>
      <c r="Q394" s="71">
        <f>=J394-P394</f>
        <v>0</v>
      </c>
      <c r="R394" s="71">
        <v>60</v>
      </c>
      <c r="S394" s="112">
        <f>=P394-R394</f>
        <v>0</v>
      </c>
      <c r="T394" s="71">
        <f>=S394*L394</f>
        <v>0</v>
      </c>
      <c r="U394" s="190">
        <f>=J394-P394</f>
        <v>0</v>
      </c>
    </row>
    <row r="395" spans="1:21" ht="15.75" customHeight="true">
      <c r="A395" s="80">
        <v>46106</v>
      </c>
      <c r="B395" s="71">
        <f>=TODAY()-A395+1</f>
        <v>119</v>
      </c>
      <c r="C395" s="98" t="s">
        <v>190</v>
      </c>
      <c r="D395" s="71" t="s">
        <v>189</v>
      </c>
      <c r="E395" s="160" t="s">
        <v>1052</v>
      </c>
      <c r="F395" s="242" t="s">
        <v>1045</v>
      </c>
      <c r="G395" s="64" t="s">
        <v>428</v>
      </c>
      <c r="H395" s="64" t="s">
        <v>422</v>
      </c>
      <c r="I395" s="64" t="s">
        <v>886</v>
      </c>
      <c r="J395" s="71">
        <v>60</v>
      </c>
      <c r="K395" s="71" t="s"/>
      <c r="L395" s="71">
        <v>735</v>
      </c>
      <c r="M395" s="112">
        <f>=J395*L395</f>
        <v>44100</v>
      </c>
      <c r="N395" s="71">
        <v>3</v>
      </c>
      <c r="O395" s="189">
        <f>=ROUND(IF((TODAY()-A395+1)*N395*(L395/10000)+L395&lt;L395*1.002,L395*1.002,(TODAY()-A395+1)*N395*(L395/10000)+L395),2)</f>
        <v>761.46</v>
      </c>
      <c r="P395" s="71">
        <v>60</v>
      </c>
      <c r="Q395" s="71">
        <f>=J395-P395</f>
        <v>0</v>
      </c>
      <c r="R395" s="71">
        <v>60</v>
      </c>
      <c r="S395" s="112">
        <f>=P395-R395</f>
        <v>0</v>
      </c>
      <c r="T395" s="71">
        <f>=S395*L395</f>
        <v>0</v>
      </c>
      <c r="U395" s="190">
        <f>=J395-P395</f>
        <v>0</v>
      </c>
    </row>
    <row r="396" spans="1:21" ht="15.75" customHeight="true">
      <c r="A396" s="80">
        <v>46106</v>
      </c>
      <c r="B396" s="71">
        <f>=TODAY()-A396+1</f>
        <v>119</v>
      </c>
      <c r="C396" s="98" t="s">
        <v>190</v>
      </c>
      <c r="D396" s="71" t="s">
        <v>189</v>
      </c>
      <c r="E396" s="160" t="s">
        <v>1053</v>
      </c>
      <c r="F396" s="242" t="s">
        <v>1045</v>
      </c>
      <c r="G396" s="64" t="s">
        <v>428</v>
      </c>
      <c r="H396" s="64" t="s">
        <v>422</v>
      </c>
      <c r="I396" s="64" t="s">
        <v>1054</v>
      </c>
      <c r="J396" s="71">
        <v>20</v>
      </c>
      <c r="K396" s="71" t="s"/>
      <c r="L396" s="71">
        <v>980</v>
      </c>
      <c r="M396" s="112">
        <f>=J396*L396</f>
        <v>19600</v>
      </c>
      <c r="N396" s="71">
        <v>3</v>
      </c>
      <c r="O396" s="189">
        <f>=ROUND(IF((TODAY()-A396+1)*N396*(L396/10000)+L396&lt;L396*1.002,L396*1.002,(TODAY()-A396+1)*N396*(L396/10000)+L396),2)</f>
        <v>1015.28</v>
      </c>
      <c r="P396" s="71">
        <v>20</v>
      </c>
      <c r="Q396" s="71">
        <f>=J396-P396</f>
        <v>0</v>
      </c>
      <c r="R396">
        <v>20</v>
      </c>
      <c r="S396" s="112">
        <f>=P396-R396</f>
        <v>0</v>
      </c>
      <c r="T396" s="71">
        <f>=S396*L396</f>
        <v>0</v>
      </c>
      <c r="U396" s="190">
        <f>=J396-P396</f>
        <v>0</v>
      </c>
    </row>
    <row r="397" spans="1:21" ht="15.75" customHeight="true">
      <c r="A397" s="80">
        <v>46107</v>
      </c>
      <c r="B397" s="71">
        <f>=TODAY()-A397+1</f>
        <v>118</v>
      </c>
      <c r="C397" s="98" t="s">
        <v>194</v>
      </c>
      <c r="D397" s="71" t="s">
        <v>189</v>
      </c>
      <c r="E397" s="160" t="s">
        <v>1055</v>
      </c>
      <c r="F397" s="242" t="s">
        <v>1045</v>
      </c>
      <c r="G397" s="64" t="s">
        <v>428</v>
      </c>
      <c r="H397" s="64" t="s">
        <v>422</v>
      </c>
      <c r="I397" s="78" t="s">
        <v>1056</v>
      </c>
      <c r="J397" s="71">
        <v>20</v>
      </c>
      <c r="K397" s="71" t="s"/>
      <c r="L397" s="71">
        <v>1575</v>
      </c>
      <c r="M397" s="112">
        <f>=J397*L397</f>
        <v>31500</v>
      </c>
      <c r="N397" s="71">
        <v>3</v>
      </c>
      <c r="O397" s="189">
        <f>=ROUND(IF((TODAY()-A397+1)*N397*(L397/10000)+L397&lt;L397*1.002,L397*1.002,(TODAY()-A397+1)*N397*(L397/10000)+L397),2)</f>
        <v>1631.23</v>
      </c>
      <c r="P397" s="71">
        <v>20</v>
      </c>
      <c r="Q397" s="71">
        <f>=J397-P397</f>
        <v>0</v>
      </c>
      <c r="R397">
        <v>20</v>
      </c>
      <c r="S397" s="112">
        <f>=P397-R397</f>
        <v>0</v>
      </c>
      <c r="T397" s="71">
        <f>=S397*L397</f>
        <v>0</v>
      </c>
      <c r="U397" s="190">
        <f>=J397-P397</f>
        <v>0</v>
      </c>
    </row>
    <row r="398" spans="1:21" ht="15.75" customHeight="true">
      <c r="A398" s="80">
        <v>46109</v>
      </c>
      <c r="B398" s="71">
        <f>=TODAY()-A398+1</f>
        <v>116</v>
      </c>
      <c r="C398" s="80" t="s">
        <v>206</v>
      </c>
      <c r="D398" s="64" t="s">
        <v>189</v>
      </c>
      <c r="E398" s="160" t="s">
        <v>1057</v>
      </c>
      <c r="F398" s="141" t="s">
        <v>1045</v>
      </c>
      <c r="G398" s="64" t="s">
        <v>428</v>
      </c>
      <c r="H398" s="64" t="s">
        <v>422</v>
      </c>
      <c r="I398" s="140" t="s">
        <v>1058</v>
      </c>
      <c r="J398" s="140">
        <v>13</v>
      </c>
      <c r="L398" s="87">
        <v>3040</v>
      </c>
      <c r="M398" s="197">
        <f>=J398*L398</f>
        <v>39520</v>
      </c>
      <c r="N398" s="87">
        <v>3</v>
      </c>
      <c r="O398" s="189">
        <f>=ROUND(IF((TODAY()-A398+1)*N398*(L398/10000)+L398&lt;L398*1.002,L398*1.002,(TODAY()-A398+1)*N398*(L398/10000)+L398),2)</f>
        <v>3146.7</v>
      </c>
      <c r="P398" s="87">
        <v>13</v>
      </c>
      <c r="Q398" s="64">
        <f>=J398-P398</f>
        <v>0</v>
      </c>
      <c r="R398">
        <v>13</v>
      </c>
      <c r="S398" s="197">
        <f>=P398-R398</f>
        <v>0</v>
      </c>
      <c r="T398" s="71">
        <f>=S398*L398</f>
        <v>0</v>
      </c>
      <c r="U398" s="190">
        <f>=J398-P398</f>
        <v>0</v>
      </c>
    </row>
    <row r="399" spans="1:21" ht="15.75" customHeight="true">
      <c r="A399" s="80">
        <v>46109</v>
      </c>
      <c r="B399" s="71">
        <f>=TODAY()-A399+1</f>
        <v>116</v>
      </c>
      <c r="C399" s="80" t="s">
        <v>206</v>
      </c>
      <c r="D399" s="64" t="s">
        <v>189</v>
      </c>
      <c r="E399" s="160" t="s">
        <v>1059</v>
      </c>
      <c r="F399" s="141" t="s">
        <v>1045</v>
      </c>
      <c r="G399" s="64" t="s">
        <v>428</v>
      </c>
      <c r="H399" s="64" t="s">
        <v>422</v>
      </c>
      <c r="I399" s="140" t="s">
        <v>1060</v>
      </c>
      <c r="J399" s="140">
        <v>11</v>
      </c>
      <c r="L399" s="87">
        <v>3040</v>
      </c>
      <c r="M399" s="197">
        <f>=J399*L399</f>
        <v>33440</v>
      </c>
      <c r="N399" s="87">
        <v>3</v>
      </c>
      <c r="O399" s="189">
        <f>=ROUND(IF((TODAY()-A399+1)*N399*(L399/10000)+L399&lt;L399*1.002,L399*1.002,(TODAY()-A399+1)*N399*(L399/10000)+L399),2)</f>
        <v>3146.7</v>
      </c>
      <c r="P399" s="87">
        <v>11</v>
      </c>
      <c r="Q399" s="64">
        <f>=J399-P399</f>
        <v>0</v>
      </c>
      <c r="R399">
        <v>11</v>
      </c>
      <c r="S399" s="197">
        <f>=P399-R399</f>
        <v>0</v>
      </c>
      <c r="T399" s="71">
        <f>=S399*L399</f>
        <v>0</v>
      </c>
      <c r="U399" s="190">
        <f>=J399-P399</f>
        <v>0</v>
      </c>
    </row>
    <row r="400" spans="1:21" ht="15.75" customHeight="true">
      <c r="A400" s="80">
        <v>46109</v>
      </c>
      <c r="B400" s="71">
        <f>=TODAY()-A400+1</f>
        <v>116</v>
      </c>
      <c r="C400" s="80" t="s">
        <v>206</v>
      </c>
      <c r="D400" s="64" t="s">
        <v>189</v>
      </c>
      <c r="E400" s="160" t="s">
        <v>1061</v>
      </c>
      <c r="F400" s="141" t="s">
        <v>1045</v>
      </c>
      <c r="G400" s="64" t="s">
        <v>428</v>
      </c>
      <c r="H400" s="64" t="s">
        <v>422</v>
      </c>
      <c r="I400" s="140" t="s">
        <v>1062</v>
      </c>
      <c r="J400" s="140">
        <v>11</v>
      </c>
      <c r="L400" s="87">
        <v>3040</v>
      </c>
      <c r="M400" s="197">
        <f>=J400*L400</f>
        <v>33440</v>
      </c>
      <c r="N400" s="87">
        <v>3</v>
      </c>
      <c r="O400" s="189">
        <f>=ROUND(IF((TODAY()-A400+1)*N400*(L400/10000)+L400&lt;L400*1.002,L400*1.002,(TODAY()-A400+1)*N400*(L400/10000)+L400),2)</f>
        <v>3146.7</v>
      </c>
      <c r="P400" s="87">
        <v>11</v>
      </c>
      <c r="Q400" s="64">
        <f>=J400-P400</f>
        <v>0</v>
      </c>
      <c r="R400">
        <v>11</v>
      </c>
      <c r="S400" s="197">
        <f>=P400-R400</f>
        <v>0</v>
      </c>
      <c r="T400" s="71">
        <f>=S400*L400</f>
        <v>0</v>
      </c>
      <c r="U400" s="190">
        <f>=J400-P400</f>
        <v>0</v>
      </c>
    </row>
    <row r="401" spans="1:21" ht="15.75" customHeight="true">
      <c r="A401" s="110">
        <v>46107</v>
      </c>
      <c r="B401" s="71">
        <f>=TODAY()-A401+1</f>
        <v>118</v>
      </c>
      <c r="C401" s="102" t="s">
        <v>194</v>
      </c>
      <c r="D401" s="93" t="s">
        <v>189</v>
      </c>
      <c r="E401" s="160" t="s">
        <v>1063</v>
      </c>
      <c r="F401" s="242" t="s">
        <v>1045</v>
      </c>
      <c r="G401" s="105" t="s">
        <v>428</v>
      </c>
      <c r="H401" s="105" t="s">
        <v>429</v>
      </c>
      <c r="I401" s="105" t="s">
        <v>1064</v>
      </c>
      <c r="J401" s="93">
        <v>10</v>
      </c>
      <c r="K401" s="93" t="s"/>
      <c r="L401" s="93">
        <v>700</v>
      </c>
      <c r="M401" s="217">
        <f>=J401*L401</f>
        <v>7000</v>
      </c>
      <c r="N401" s="254">
        <v>3</v>
      </c>
      <c r="O401" s="198">
        <f>=ROUND(IF((TODAY()-A401+1)*N401*(L401/10000)+L401&lt;L401*1.002,L401*1.002,(TODAY()-A401+1)*N401*(L401/10000)+L401),2)</f>
        <v>724.99</v>
      </c>
      <c r="P401" s="71">
        <v>10</v>
      </c>
      <c r="Q401" s="93">
        <f>=J401-P401</f>
        <v>0</v>
      </c>
      <c r="R401">
        <v>10</v>
      </c>
      <c r="S401" s="217">
        <f>=P401-R401</f>
        <v>0</v>
      </c>
      <c r="T401" s="93">
        <f>=S401*L401</f>
        <v>0</v>
      </c>
      <c r="U401" s="190">
        <f>=J401-P401</f>
        <v>0</v>
      </c>
    </row>
    <row r="402" spans="1:21" s="270" customFormat="true" ht="15.75" customHeight="true">
      <c r="A402" s="110">
        <v>46107</v>
      </c>
      <c r="B402" s="71">
        <f>=TODAY()-A402+1</f>
        <v>118</v>
      </c>
      <c r="C402" s="102" t="s">
        <v>194</v>
      </c>
      <c r="D402" s="93" t="s">
        <v>189</v>
      </c>
      <c r="E402" s="160" t="s">
        <v>1065</v>
      </c>
      <c r="F402" s="242" t="s">
        <v>1045</v>
      </c>
      <c r="G402" s="105" t="s">
        <v>428</v>
      </c>
      <c r="H402" s="105" t="s">
        <v>429</v>
      </c>
      <c r="I402" t="s">
        <v>1066</v>
      </c>
      <c r="J402" s="93">
        <v>10</v>
      </c>
      <c r="K402" s="93" t="s"/>
      <c r="L402" s="93">
        <v>700</v>
      </c>
      <c r="M402" s="217">
        <f>=J402*L402</f>
        <v>7000</v>
      </c>
      <c r="N402" s="93">
        <v>3</v>
      </c>
      <c r="O402" s="198">
        <f>=ROUND(IF((TODAY()-A402+1)*N402*(L402/10000)+L402&lt;L402*1.002,L402*1.002,(TODAY()-A402+1)*N402*(L402/10000)+L402),2)</f>
        <v>724.99</v>
      </c>
      <c r="P402" s="71">
        <v>10</v>
      </c>
      <c r="Q402" s="93">
        <f>=J402-P402</f>
        <v>0</v>
      </c>
      <c r="R402" s="117">
        <v>10</v>
      </c>
      <c r="S402" s="217">
        <f>=P402-R402</f>
        <v>0</v>
      </c>
      <c r="T402" s="93">
        <f>=S402*L402</f>
        <v>0</v>
      </c>
      <c r="U402" s="190">
        <f>=J402-P402</f>
        <v>0</v>
      </c>
    </row>
    <row r="403" spans="1:21" ht="15.75" customHeight="true">
      <c r="A403" s="110">
        <v>46107</v>
      </c>
      <c r="B403" s="71">
        <f>=TODAY()-A403+1</f>
        <v>118</v>
      </c>
      <c r="C403" s="102" t="s">
        <v>194</v>
      </c>
      <c r="D403" s="93" t="s">
        <v>189</v>
      </c>
      <c r="E403" s="160" t="s">
        <v>1067</v>
      </c>
      <c r="F403" s="242" t="s">
        <v>1045</v>
      </c>
      <c r="G403" s="105" t="s">
        <v>428</v>
      </c>
      <c r="H403" s="105" t="s">
        <v>429</v>
      </c>
      <c r="I403" t="s">
        <v>1068</v>
      </c>
      <c r="J403" s="93">
        <v>10</v>
      </c>
      <c r="K403" s="93" t="s"/>
      <c r="L403" s="93">
        <v>735</v>
      </c>
      <c r="M403" s="217">
        <f>=J403*L403</f>
        <v>7350</v>
      </c>
      <c r="N403" s="254">
        <v>3</v>
      </c>
      <c r="O403" s="198">
        <f>=ROUND(IF((TODAY()-A403+1)*N403*(L403/10000)+L403&lt;L403*1.002,L403*1.002,(TODAY()-A403+1)*N403*(L403/10000)+L403),2)</f>
        <v>761.24</v>
      </c>
      <c r="P403" s="71">
        <v>10</v>
      </c>
      <c r="Q403" s="93">
        <f>=J403-P403</f>
        <v>0</v>
      </c>
      <c r="R403">
        <v>10</v>
      </c>
      <c r="S403" s="217">
        <f>=P403-R403</f>
        <v>0</v>
      </c>
      <c r="T403" s="93">
        <f>=S403*L403</f>
        <v>0</v>
      </c>
      <c r="U403" s="190">
        <f>=J403-P403</f>
        <v>0</v>
      </c>
    </row>
    <row r="404" spans="1:21" s="270" customFormat="true" ht="15.75" customHeight="true">
      <c r="A404" s="80">
        <v>46107</v>
      </c>
      <c r="B404" s="71">
        <f>=TODAY()-A404+1</f>
        <v>118</v>
      </c>
      <c r="C404" s="98" t="s">
        <v>194</v>
      </c>
      <c r="D404" s="71" t="s">
        <v>189</v>
      </c>
      <c r="E404" s="160" t="s">
        <v>1069</v>
      </c>
      <c r="F404" s="242" t="s">
        <v>1045</v>
      </c>
      <c r="G404" s="64" t="s">
        <v>428</v>
      </c>
      <c r="H404" s="64" t="s">
        <v>422</v>
      </c>
      <c r="I404" s="156" t="s">
        <v>1070</v>
      </c>
      <c r="J404" s="71">
        <v>9</v>
      </c>
      <c r="K404" s="71" t="s"/>
      <c r="L404" s="71">
        <v>3120</v>
      </c>
      <c r="M404" s="112">
        <f>=J404*L404</f>
        <v>28080</v>
      </c>
      <c r="N404">
        <v>3</v>
      </c>
      <c r="O404" s="189">
        <f>=ROUND(IF((TODAY()-A404+1)*N404*(L404/10000)+L404&lt;L404*1.002,L404*1.002,(TODAY()-A404+1)*N404*(L404/10000)+L404),2)</f>
        <v>3231.38</v>
      </c>
      <c r="P404" s="71">
        <v>9</v>
      </c>
      <c r="Q404" s="71">
        <f>=J404-P404</f>
        <v>0</v>
      </c>
      <c r="R404" s="117">
        <v>9</v>
      </c>
      <c r="S404" s="112">
        <f>=P404-R404</f>
        <v>0</v>
      </c>
      <c r="T404" s="71">
        <f>=S404*L404</f>
        <v>0</v>
      </c>
      <c r="U404" s="190">
        <f>=J404-P404</f>
        <v>0</v>
      </c>
    </row>
    <row r="405" spans="1:21" s="270" customFormat="true" ht="15.75" customHeight="true">
      <c r="A405" s="80">
        <v>46109</v>
      </c>
      <c r="B405" s="71">
        <f>=TODAY()-A405+1</f>
        <v>116</v>
      </c>
      <c r="C405" s="80" t="s">
        <v>206</v>
      </c>
      <c r="D405" s="64" t="s">
        <v>189</v>
      </c>
      <c r="E405" s="160" t="s">
        <v>1071</v>
      </c>
      <c r="F405" s="141" t="s">
        <v>1045</v>
      </c>
      <c r="G405" s="64" t="s">
        <v>428</v>
      </c>
      <c r="H405" s="64" t="s">
        <v>422</v>
      </c>
      <c r="I405" s="140" t="s">
        <v>1072</v>
      </c>
      <c r="J405" s="140">
        <v>7</v>
      </c>
      <c r="L405" s="87">
        <v>4880</v>
      </c>
      <c r="M405" s="197">
        <f>=J405*L405</f>
        <v>34160</v>
      </c>
      <c r="N405" s="87">
        <v>3</v>
      </c>
      <c r="O405" s="189">
        <f>=ROUND(IF((TODAY()-A405+1)*N405*(L405/10000)+L405&lt;L405*1.002,L405*1.002,(TODAY()-A405+1)*N405*(L405/10000)+L405),2)</f>
        <v>5051.29</v>
      </c>
      <c r="P405" s="87">
        <v>7</v>
      </c>
      <c r="Q405" s="64">
        <f>=J405-P405</f>
        <v>0</v>
      </c>
      <c r="R405" s="87">
        <v>7</v>
      </c>
      <c r="S405" s="197">
        <f>=P405-R405</f>
        <v>0</v>
      </c>
      <c r="T405" s="71">
        <f>=S405*L405</f>
        <v>0</v>
      </c>
      <c r="U405" s="190">
        <f>=J405-P405</f>
        <v>0</v>
      </c>
    </row>
    <row r="406" spans="1:21" s="270" customFormat="true" ht="15.75" customHeight="true">
      <c r="A406" s="80">
        <v>46109</v>
      </c>
      <c r="B406" s="71">
        <f>=TODAY()-A406+1</f>
        <v>116</v>
      </c>
      <c r="C406" s="80" t="s">
        <v>206</v>
      </c>
      <c r="D406" s="64" t="s">
        <v>189</v>
      </c>
      <c r="E406" s="246" t="s">
        <v>1073</v>
      </c>
      <c r="F406" s="141" t="s">
        <v>1045</v>
      </c>
      <c r="G406" s="64" t="s">
        <v>428</v>
      </c>
      <c r="H406" s="64" t="s">
        <v>422</v>
      </c>
      <c r="I406" s="140" t="s">
        <v>1074</v>
      </c>
      <c r="J406" s="140">
        <v>6</v>
      </c>
      <c r="L406" s="87">
        <v>4880</v>
      </c>
      <c r="M406" s="197">
        <f>=J406*L406</f>
        <v>29280</v>
      </c>
      <c r="N406" s="87">
        <v>3</v>
      </c>
      <c r="O406" s="189">
        <f>=ROUND(IF((TODAY()-A406+1)*N406*(L406/10000)+L406&lt;L406*1.002,L406*1.002,(TODAY()-A406+1)*N406*(L406/10000)+L406),2)</f>
        <v>5051.29</v>
      </c>
      <c r="P406" s="87">
        <v>6</v>
      </c>
      <c r="Q406" s="64">
        <f>=J406-P406</f>
        <v>0</v>
      </c>
      <c r="R406" s="87">
        <v>6</v>
      </c>
      <c r="S406" s="197">
        <f>=P406-R406</f>
        <v>0</v>
      </c>
      <c r="T406" s="71">
        <f>=S406*L406</f>
        <v>0</v>
      </c>
      <c r="U406" s="190">
        <f>=J406-P406</f>
        <v>0</v>
      </c>
    </row>
    <row r="407" spans="1:21" ht="15.75" customHeight="true">
      <c r="A407" s="80">
        <v>46108</v>
      </c>
      <c r="B407" s="71">
        <f>=TODAY()-A407+1</f>
        <v>117</v>
      </c>
      <c r="C407" s="98" t="s">
        <v>204</v>
      </c>
      <c r="D407" s="71" t="s">
        <v>191</v>
      </c>
      <c r="E407" s="160" t="s">
        <v>1075</v>
      </c>
      <c r="F407" t="s">
        <v>1076</v>
      </c>
      <c r="G407" t="s">
        <v>804</v>
      </c>
      <c r="H407" t="s">
        <v>422</v>
      </c>
      <c r="I407" s="87" t="s">
        <v>1077</v>
      </c>
      <c r="J407" s="87">
        <v>310</v>
      </c>
      <c r="K407" s="258" t="s"/>
      <c r="L407" s="87">
        <v>805</v>
      </c>
      <c r="M407" s="112">
        <f>=J407*L407</f>
        <v>249550</v>
      </c>
      <c r="N407" s="71">
        <v>2.5</v>
      </c>
      <c r="O407" s="189">
        <f>=ROUND(IF((TODAY()-A407+1)*N407*(L407/10000)+L407&lt;L407*1.002,L407*1.002,(TODAY()-A407+1)*N407*(L407/10000)+L407),2)</f>
        <v>828.75</v>
      </c>
      <c r="P407">
        <v>310</v>
      </c>
      <c r="Q407" s="71">
        <f>=J407-P407</f>
        <v>0</v>
      </c>
      <c r="R407">
        <v>310</v>
      </c>
      <c r="S407" s="112">
        <f>=P407-R407</f>
        <v>0</v>
      </c>
      <c r="T407" s="71">
        <f>=S407*L407</f>
        <v>0</v>
      </c>
      <c r="U407" s="190">
        <f>=J407-P407</f>
        <v>0</v>
      </c>
    </row>
    <row r="408" spans="1:21" ht="15.75" customHeight="true">
      <c r="A408" s="80">
        <v>46108</v>
      </c>
      <c r="B408" s="71">
        <f>=TODAY()-A408+1</f>
        <v>117</v>
      </c>
      <c r="C408" s="98" t="s">
        <v>204</v>
      </c>
      <c r="D408" s="71" t="s">
        <v>191</v>
      </c>
      <c r="E408" s="160" t="s">
        <v>1078</v>
      </c>
      <c r="F408" t="s">
        <v>1076</v>
      </c>
      <c r="G408" t="s">
        <v>804</v>
      </c>
      <c r="H408" t="s">
        <v>422</v>
      </c>
      <c r="I408" s="87" t="s">
        <v>1079</v>
      </c>
      <c r="J408" s="87">
        <v>269</v>
      </c>
      <c r="K408" s="258" t="s"/>
      <c r="L408" s="87">
        <v>805</v>
      </c>
      <c r="M408" s="112">
        <f>=J408*L408</f>
        <v>216545</v>
      </c>
      <c r="N408" s="71">
        <v>2.5</v>
      </c>
      <c r="O408" s="189">
        <f>=ROUND(IF((TODAY()-A408+1)*N408*(L408/10000)+L408&lt;L408*1.002,L408*1.002,(TODAY()-A408+1)*N408*(L408/10000)+L408),2)</f>
        <v>828.75</v>
      </c>
      <c r="P408">
        <v>269</v>
      </c>
      <c r="Q408" s="71">
        <f>=J408-P408</f>
        <v>0</v>
      </c>
      <c r="R408">
        <v>269</v>
      </c>
      <c r="S408" s="112">
        <f>=P408-R408</f>
        <v>0</v>
      </c>
      <c r="T408" s="71">
        <f>=S408*L408</f>
        <v>0</v>
      </c>
      <c r="U408" s="190">
        <f>=J408-P408</f>
        <v>0</v>
      </c>
    </row>
    <row r="409" spans="1:21" ht="15.75" customHeight="true">
      <c r="A409" s="80">
        <v>46113</v>
      </c>
      <c r="B409" s="71">
        <f>=TODAY()-A409+1</f>
        <v>112</v>
      </c>
      <c r="C409" s="98" t="s">
        <v>235</v>
      </c>
      <c r="D409" s="71" t="s">
        <v>191</v>
      </c>
      <c r="E409" s="160" t="s">
        <v>1080</v>
      </c>
      <c r="F409" t="s">
        <v>1076</v>
      </c>
      <c r="G409" t="s">
        <v>741</v>
      </c>
      <c r="H409" t="s">
        <v>422</v>
      </c>
      <c r="I409" s="87" t="s">
        <v>1026</v>
      </c>
      <c r="J409" s="87">
        <v>220</v>
      </c>
      <c r="K409" s="258" t="s"/>
      <c r="L409" s="87">
        <v>1160</v>
      </c>
      <c r="M409" s="112">
        <f>=J409*L409</f>
        <v>255200</v>
      </c>
      <c r="N409">
        <v>2.5</v>
      </c>
      <c r="O409" s="189">
        <f>=ROUND(IF((TODAY()-A409+1)*N409*(L409/10000)+L409&lt;L409*1.002,L409*1.002,(TODAY()-A409+1)*N409*(L409/10000)+L409),2)</f>
        <v>1192.77</v>
      </c>
      <c r="P409">
        <v>220</v>
      </c>
      <c r="Q409" s="71">
        <f>=J409-P409</f>
        <v>0</v>
      </c>
      <c r="R409">
        <v>220</v>
      </c>
      <c r="S409" s="112">
        <f>=P409-R409</f>
        <v>0</v>
      </c>
      <c r="T409" s="71">
        <f>=S409*L409</f>
        <v>0</v>
      </c>
      <c r="U409" s="190">
        <f>=J409-P409</f>
        <v>0</v>
      </c>
    </row>
    <row r="410" spans="1:21" ht="15.75" customHeight="true">
      <c r="A410" s="80">
        <v>46112</v>
      </c>
      <c r="B410" s="71">
        <f>=TODAY()-A410+1</f>
        <v>113</v>
      </c>
      <c r="C410" s="98" t="s">
        <v>225</v>
      </c>
      <c r="D410" s="71" t="s">
        <v>191</v>
      </c>
      <c r="E410" s="160" t="s">
        <v>1081</v>
      </c>
      <c r="F410" t="s">
        <v>1076</v>
      </c>
      <c r="G410" t="s">
        <v>741</v>
      </c>
      <c r="H410" t="s">
        <v>422</v>
      </c>
      <c r="I410" s="87" t="s">
        <v>1082</v>
      </c>
      <c r="J410" s="87">
        <v>170</v>
      </c>
      <c r="K410" s="258" t="s"/>
      <c r="L410" s="87">
        <v>945</v>
      </c>
      <c r="M410" s="112">
        <f>=J410*L410</f>
        <v>160650</v>
      </c>
      <c r="N410">
        <v>2.5</v>
      </c>
      <c r="O410" s="189">
        <f>=ROUND(IF((TODAY()-A410+1)*N410*(L410/10000)+L410&lt;L410*1.002,L410*1.002,(TODAY()-A410+1)*N410*(L410/10000)+L410),2)</f>
        <v>971.93</v>
      </c>
      <c r="P410">
        <v>170</v>
      </c>
      <c r="Q410" s="71">
        <f>=J410-P410</f>
        <v>0</v>
      </c>
      <c r="R410">
        <v>170</v>
      </c>
      <c r="S410" s="112">
        <f>=P410-R410</f>
        <v>0</v>
      </c>
      <c r="T410" s="71">
        <f>=S410*L410</f>
        <v>0</v>
      </c>
      <c r="U410" s="190">
        <f>=J410-P410</f>
        <v>0</v>
      </c>
    </row>
    <row r="411" spans="1:21" ht="15.75" customHeight="true">
      <c r="A411" s="80">
        <v>46113</v>
      </c>
      <c r="B411" s="71">
        <f>=TODAY()-A411+1</f>
        <v>112</v>
      </c>
      <c r="C411" s="98" t="s">
        <v>235</v>
      </c>
      <c r="D411" s="71" t="s">
        <v>191</v>
      </c>
      <c r="E411" s="160" t="s">
        <v>1083</v>
      </c>
      <c r="F411" t="s">
        <v>1076</v>
      </c>
      <c r="G411" t="s">
        <v>741</v>
      </c>
      <c r="H411" t="s">
        <v>422</v>
      </c>
      <c r="I411" s="87" t="s">
        <v>1084</v>
      </c>
      <c r="J411" s="87">
        <v>160</v>
      </c>
      <c r="K411" s="258" t="s"/>
      <c r="L411" s="87">
        <v>1160</v>
      </c>
      <c r="M411" s="112">
        <f>=J411*L411</f>
        <v>185600</v>
      </c>
      <c r="N411">
        <v>2.5</v>
      </c>
      <c r="O411" s="189">
        <f>=ROUND(IF((TODAY()-A411+1)*N411*(L411/10000)+L411&lt;L411*1.002,L411*1.002,(TODAY()-A411+1)*N411*(L411/10000)+L411),2)</f>
        <v>1192.77</v>
      </c>
      <c r="P411">
        <v>160</v>
      </c>
      <c r="Q411" s="71">
        <f>=J411-P411</f>
        <v>0</v>
      </c>
      <c r="R411">
        <v>160</v>
      </c>
      <c r="S411" s="112">
        <f>=P411-R411</f>
        <v>0</v>
      </c>
      <c r="T411" s="71">
        <f>=S411*L411</f>
        <v>0</v>
      </c>
      <c r="U411" s="190">
        <f>=J411-P411</f>
        <v>0</v>
      </c>
    </row>
    <row r="412" spans="1:21" ht="15.75" customHeight="true">
      <c r="A412" s="80">
        <v>46106</v>
      </c>
      <c r="B412" s="71">
        <f>=TODAY()-A412+1</f>
        <v>119</v>
      </c>
      <c r="C412" s="98" t="s">
        <v>192</v>
      </c>
      <c r="D412" s="71" t="s">
        <v>191</v>
      </c>
      <c r="E412" s="160" t="s">
        <v>1085</v>
      </c>
      <c r="F412" s="242" t="s">
        <v>1076</v>
      </c>
      <c r="G412" s="262" t="s">
        <v>741</v>
      </c>
      <c r="H412" s="262" t="s">
        <v>422</v>
      </c>
      <c r="I412" s="64" t="s">
        <v>1028</v>
      </c>
      <c r="J412" s="64">
        <v>150</v>
      </c>
      <c r="K412" s="64" t="s"/>
      <c r="L412" s="64">
        <v>1225</v>
      </c>
      <c r="M412" s="112">
        <f>=J412*L412</f>
        <v>183750</v>
      </c>
      <c r="N412" s="71">
        <v>2.5</v>
      </c>
      <c r="O412" s="189">
        <f>=ROUND(IF((TODAY()-A412+1)*N412*(L412/10000)+L412&lt;L412*1.002,L412*1.002,(TODAY()-A412+1)*N412*(L412/10000)+L412),2)</f>
        <v>1261.75</v>
      </c>
      <c r="P412" s="71">
        <v>150</v>
      </c>
      <c r="Q412" s="71">
        <f>=J412-P412</f>
        <v>0</v>
      </c>
      <c r="R412">
        <v>150</v>
      </c>
      <c r="S412" s="112">
        <f>=P412-R412</f>
        <v>0</v>
      </c>
      <c r="T412" s="71">
        <f>=S412*L412</f>
        <v>0</v>
      </c>
      <c r="U412" s="190">
        <f>=J412-P412</f>
        <v>0</v>
      </c>
    </row>
    <row r="413" spans="1:21" ht="15.75" customHeight="true">
      <c r="A413" s="80">
        <v>46106</v>
      </c>
      <c r="B413" s="71">
        <f>=TODAY()-A413+1</f>
        <v>119</v>
      </c>
      <c r="C413" s="98" t="s">
        <v>192</v>
      </c>
      <c r="D413" s="71" t="s">
        <v>191</v>
      </c>
      <c r="E413" s="160" t="s">
        <v>1086</v>
      </c>
      <c r="F413" s="242" t="s">
        <v>1076</v>
      </c>
      <c r="G413" s="262" t="s">
        <v>741</v>
      </c>
      <c r="H413" s="262" t="s">
        <v>422</v>
      </c>
      <c r="I413" s="140" t="s">
        <v>1087</v>
      </c>
      <c r="J413" s="71">
        <v>50</v>
      </c>
      <c r="K413" s="71" t="s"/>
      <c r="L413" s="71">
        <v>1120</v>
      </c>
      <c r="M413" s="112">
        <f>=J413*L413</f>
        <v>56000</v>
      </c>
      <c r="N413" s="71">
        <v>2.5</v>
      </c>
      <c r="O413" s="189">
        <f>=ROUND(IF((TODAY()-A413+1)*N413*(L413/10000)+L413&lt;L413*1.002,L413*1.002,(TODAY()-A413+1)*N413*(L413/10000)+L413),2)</f>
        <v>1153.6</v>
      </c>
      <c r="P413" s="71">
        <v>50</v>
      </c>
      <c r="Q413" s="71">
        <f>=J413-P413</f>
        <v>0</v>
      </c>
      <c r="R413" s="71">
        <v>50</v>
      </c>
      <c r="S413" s="112">
        <f>=P413-R413</f>
        <v>0</v>
      </c>
      <c r="T413" s="71">
        <f>=S413*L413</f>
        <v>0</v>
      </c>
      <c r="U413" s="190">
        <f>=J413-P413</f>
        <v>0</v>
      </c>
    </row>
    <row r="414" spans="1:21" ht="15.75" customHeight="true">
      <c r="A414" s="110">
        <v>46106</v>
      </c>
      <c r="B414" s="93">
        <f>=TODAY()-A414+1</f>
        <v>119</v>
      </c>
      <c r="C414" s="102" t="s">
        <v>192</v>
      </c>
      <c r="D414" s="93" t="s">
        <v>191</v>
      </c>
      <c r="E414" s="160" t="s">
        <v>1088</v>
      </c>
      <c r="F414" s="242" t="s">
        <v>1076</v>
      </c>
      <c r="G414" s="267" t="s">
        <v>741</v>
      </c>
      <c r="H414" s="267" t="s">
        <v>422</v>
      </c>
      <c r="I414" s="87" t="s">
        <v>1089</v>
      </c>
      <c r="J414" s="71">
        <v>38</v>
      </c>
      <c r="K414" s="71" t="s"/>
      <c r="L414" s="71">
        <v>1120</v>
      </c>
      <c r="M414" s="228">
        <f>=J414*L414</f>
        <v>42560</v>
      </c>
      <c r="N414" s="71">
        <v>2.5</v>
      </c>
      <c r="O414" s="198">
        <f>=ROUND(IF((TODAY()-A414+1)*N414*(L414/10000)+L414&lt;L414*1.002,L414*1.002,(TODAY()-A414+1)*N414*(L414/10000)+L414),2)</f>
        <v>1153.6</v>
      </c>
      <c r="P414" s="71">
        <v>38</v>
      </c>
      <c r="Q414" s="93">
        <f>=J414-P414</f>
        <v>0</v>
      </c>
      <c r="R414" s="71">
        <v>38</v>
      </c>
      <c r="S414" s="217">
        <f>=P414-R414</f>
        <v>0</v>
      </c>
      <c r="T414" s="93">
        <f>=S414*L414</f>
        <v>0</v>
      </c>
      <c r="U414" s="218">
        <f>=J414-P414</f>
        <v>0</v>
      </c>
    </row>
    <row r="415" spans="1:21" ht="15.75" customHeight="true">
      <c r="A415" s="80">
        <v>46106</v>
      </c>
      <c r="B415" s="71">
        <f>=TODAY()-A415+1</f>
        <v>119</v>
      </c>
      <c r="C415" s="98" t="s">
        <v>192</v>
      </c>
      <c r="D415" s="71" t="s">
        <v>191</v>
      </c>
      <c r="E415" s="160" t="s">
        <v>1090</v>
      </c>
      <c r="F415" s="242" t="s">
        <v>1076</v>
      </c>
      <c r="G415" s="267" t="s">
        <v>741</v>
      </c>
      <c r="H415" s="267" t="s">
        <v>422</v>
      </c>
      <c r="I415" s="87" t="s">
        <v>1084</v>
      </c>
      <c r="J415" s="71">
        <v>24</v>
      </c>
      <c r="K415" s="71" t="s"/>
      <c r="L415" s="71">
        <v>1120</v>
      </c>
      <c r="M415" s="197">
        <f>=J415*L415</f>
        <v>26880</v>
      </c>
      <c r="N415" s="71">
        <v>2.5</v>
      </c>
      <c r="O415" s="189">
        <f>=ROUND(IF((TODAY()-A415+1)*N415*(L415/10000)+L415&lt;L415*1.002,L415*1.002,(TODAY()-A415+1)*N415*(L415/10000)+L415),2)</f>
        <v>1153.6</v>
      </c>
      <c r="P415" s="71">
        <v>24</v>
      </c>
      <c r="Q415" s="71">
        <f>=J415-P415</f>
        <v>0</v>
      </c>
      <c r="R415" s="71">
        <v>24</v>
      </c>
      <c r="S415" s="112">
        <f>=P415-R415</f>
        <v>0</v>
      </c>
      <c r="T415" s="71">
        <f>=S415*L415</f>
        <v>0</v>
      </c>
      <c r="U415" s="190">
        <f>=J415-P415</f>
        <v>0</v>
      </c>
    </row>
    <row r="416" spans="1:21" ht="15.75" customHeight="true">
      <c r="A416" s="80">
        <v>46106</v>
      </c>
      <c r="B416" s="71">
        <f>=TODAY()-A416+1</f>
        <v>119</v>
      </c>
      <c r="C416" s="98" t="s">
        <v>192</v>
      </c>
      <c r="D416" s="71" t="s">
        <v>191</v>
      </c>
      <c r="E416" s="160" t="s">
        <v>1091</v>
      </c>
      <c r="F416" t="s">
        <v>1076</v>
      </c>
      <c r="G416" s="64" t="s">
        <v>741</v>
      </c>
      <c r="H416" s="64" t="s">
        <v>422</v>
      </c>
      <c r="I416" s="258" t="s">
        <v>1026</v>
      </c>
      <c r="J416" s="71">
        <v>85</v>
      </c>
      <c r="K416" s="71" t="s"/>
      <c r="L416" s="71">
        <v>1120</v>
      </c>
      <c r="M416" s="197">
        <f>=J416*L416</f>
        <v>95200</v>
      </c>
      <c r="N416" s="71">
        <v>2.5</v>
      </c>
      <c r="O416" s="189">
        <f>=ROUND(IF((TODAY()-A416+1)*N416*(L416/10000)+L416&lt;L416*1.002,L416*1.002,(TODAY()-A416+1)*N416*(L416/10000)+L416),2)</f>
        <v>1153.6</v>
      </c>
      <c r="P416" s="71">
        <v>85</v>
      </c>
      <c r="Q416" s="71">
        <f>=J416-P416</f>
        <v>0</v>
      </c>
      <c r="R416" s="71">
        <v>85</v>
      </c>
      <c r="S416" s="112">
        <f>=P416-R416</f>
        <v>0</v>
      </c>
      <c r="T416" s="71">
        <f>=S416*L416</f>
        <v>0</v>
      </c>
      <c r="U416" s="190">
        <f>=J416-P416</f>
        <v>0</v>
      </c>
    </row>
    <row r="417" spans="1:21" ht="15.75" customHeight="true">
      <c r="A417" s="80">
        <v>46107</v>
      </c>
      <c r="B417" s="71">
        <f>=TODAY()-A417+1</f>
        <v>118</v>
      </c>
      <c r="C417" s="165" t="s">
        <v>197</v>
      </c>
      <c r="D417" s="71" t="s">
        <v>191</v>
      </c>
      <c r="E417" s="160" t="s">
        <v>1092</v>
      </c>
      <c r="F417" t="s">
        <v>1076</v>
      </c>
      <c r="G417" t="s">
        <v>804</v>
      </c>
      <c r="H417" t="s">
        <v>422</v>
      </c>
      <c r="I417" s="258" t="s">
        <v>1093</v>
      </c>
      <c r="J417" s="71">
        <v>110</v>
      </c>
      <c r="K417" s="71" t="s"/>
      <c r="L417" s="71">
        <v>805</v>
      </c>
      <c r="M417" s="197">
        <f>=J417*L417</f>
        <v>88550</v>
      </c>
      <c r="N417" s="71">
        <v>2.5</v>
      </c>
      <c r="O417" s="189">
        <f>=ROUND(IF((TODAY()-A417+1)*N417*(L417/10000)+L417&lt;L417*1.002,L417*1.002,(TODAY()-A417+1)*N417*(L417/10000)+L417),2)</f>
        <v>828.95</v>
      </c>
      <c r="P417">
        <v>110</v>
      </c>
      <c r="Q417" s="71">
        <f>=J417-P417</f>
        <v>0</v>
      </c>
      <c r="R417" s="71">
        <v>110</v>
      </c>
      <c r="S417" s="112">
        <f>=P417-R417</f>
        <v>0</v>
      </c>
      <c r="T417" s="71">
        <f>=S417*L417</f>
        <v>0</v>
      </c>
      <c r="U417" s="190">
        <f>=J417-P417</f>
        <v>0</v>
      </c>
    </row>
    <row r="418" spans="1:21" ht="15.75" customHeight="true">
      <c r="A418" s="80">
        <v>46108</v>
      </c>
      <c r="B418" s="71">
        <f>=TODAY()-A418+1</f>
        <v>117</v>
      </c>
      <c r="C418" s="165" t="s">
        <v>204</v>
      </c>
      <c r="D418" s="71" t="s">
        <v>191</v>
      </c>
      <c r="E418" s="160" t="s">
        <v>1094</v>
      </c>
      <c r="F418" t="s">
        <v>1076</v>
      </c>
      <c r="G418" t="s">
        <v>804</v>
      </c>
      <c r="H418" t="s">
        <v>422</v>
      </c>
      <c r="I418" s="268" t="s">
        <v>1095</v>
      </c>
      <c r="J418">
        <v>110</v>
      </c>
      <c r="L418">
        <v>805</v>
      </c>
      <c r="M418" s="197">
        <f>=J418*L418</f>
        <v>88550</v>
      </c>
      <c r="N418" s="71">
        <v>2.5</v>
      </c>
      <c r="O418" s="189">
        <f>=ROUND(IF((TODAY()-A418+1)*N418*(L418/10000)+L418&lt;L418*1.002,L418*1.002,(TODAY()-A418+1)*N418*(L418/10000)+L418),2)</f>
        <v>828.75</v>
      </c>
      <c r="P418">
        <v>110</v>
      </c>
      <c r="Q418" s="71">
        <f>=J418-P418</f>
        <v>0</v>
      </c>
      <c r="R418">
        <v>110</v>
      </c>
      <c r="S418" s="112">
        <f>=P418-R418</f>
        <v>0</v>
      </c>
      <c r="T418" s="71">
        <f>=S418*L418</f>
        <v>0</v>
      </c>
      <c r="U418" s="190">
        <f>=J418-P418</f>
        <v>0</v>
      </c>
    </row>
    <row r="419" spans="1:21" ht="15.75" customHeight="true">
      <c r="A419" s="80">
        <v>46111</v>
      </c>
      <c r="B419" s="71">
        <f>=TODAY()-A419+1</f>
        <v>114</v>
      </c>
      <c r="C419" s="98" t="s">
        <v>210</v>
      </c>
      <c r="D419" s="71" t="s">
        <v>191</v>
      </c>
      <c r="E419" s="160" t="s">
        <v>1096</v>
      </c>
      <c r="F419" t="s">
        <v>1076</v>
      </c>
      <c r="G419" t="s">
        <v>741</v>
      </c>
      <c r="H419" t="s">
        <v>422</v>
      </c>
      <c r="I419" s="87" t="s">
        <v>1084</v>
      </c>
      <c r="J419">
        <v>150</v>
      </c>
      <c r="L419">
        <v>1050</v>
      </c>
      <c r="M419" s="197">
        <f>=J419*L419</f>
        <v>157500</v>
      </c>
      <c r="N419">
        <v>2.5</v>
      </c>
      <c r="O419" s="189">
        <f>=ROUND(IF((TODAY()-A419+1)*N419*(L419/10000)+L419&lt;L419*1.002,L419*1.002,(TODAY()-A419+1)*N419*(L419/10000)+L419),2)</f>
        <v>1080.19</v>
      </c>
      <c r="P419">
        <v>150</v>
      </c>
      <c r="Q419" s="71">
        <f>=J419-P419</f>
        <v>0</v>
      </c>
      <c r="R419">
        <v>150</v>
      </c>
      <c r="S419" s="112">
        <f>=P419-R419</f>
        <v>0</v>
      </c>
      <c r="T419" s="71">
        <f>=S419*L419</f>
        <v>0</v>
      </c>
      <c r="U419" s="190">
        <f>=J419-P419</f>
        <v>0</v>
      </c>
    </row>
    <row r="420" spans="1:21" s="270" customFormat="true" ht="15.75" customHeight="true">
      <c r="A420" s="80">
        <v>46107</v>
      </c>
      <c r="B420" s="71">
        <f>=TODAY()-A420+1</f>
        <v>118</v>
      </c>
      <c r="C420" s="80" t="s">
        <v>196</v>
      </c>
      <c r="D420" s="64" t="s">
        <v>195</v>
      </c>
      <c r="E420" s="258" t="s">
        <v>1097</v>
      </c>
      <c r="F420" s="141" t="s">
        <v>1098</v>
      </c>
      <c r="G420" s="108" t="s">
        <v>503</v>
      </c>
      <c r="H420" s="269" t="s">
        <v>422</v>
      </c>
      <c r="I420" s="269" t="s">
        <v>1099</v>
      </c>
      <c r="J420" s="87">
        <v>70</v>
      </c>
      <c r="L420" s="87">
        <v>3185</v>
      </c>
      <c r="M420" s="197">
        <f>=J420*L420</f>
        <v>222950</v>
      </c>
      <c r="N420" s="64">
        <v>2.5</v>
      </c>
      <c r="O420" s="189">
        <f>=ROUND(IF((TODAY()-A420+1)*N420*(L420/10000)+L420&lt;L420*1.002,L420*1.002,(TODAY()-A420+1)*N420*(L420/10000)+L420),2)</f>
        <v>3279.75</v>
      </c>
      <c r="P420" s="87">
        <v>70</v>
      </c>
      <c r="Q420" s="64">
        <f>=J420-P420</f>
        <v>0</v>
      </c>
      <c r="R420" s="258">
        <v>70</v>
      </c>
      <c r="S420" s="197">
        <f>=P420-R420</f>
        <v>0</v>
      </c>
      <c r="T420" s="71">
        <f>=S420*L420</f>
        <v>0</v>
      </c>
      <c r="U420" s="190">
        <f>=J420-P420</f>
        <v>0</v>
      </c>
    </row>
    <row r="421" spans="1:21" s="270" customFormat="true" ht="15.75" customHeight="true">
      <c r="A421" s="110">
        <v>46107</v>
      </c>
      <c r="B421" s="93">
        <f>=TODAY()-A421+1</f>
        <v>118</v>
      </c>
      <c r="C421" s="110" t="s">
        <v>196</v>
      </c>
      <c r="D421" s="83" t="s">
        <v>195</v>
      </c>
      <c r="E421" s="246" t="s">
        <v>1100</v>
      </c>
      <c r="F421" s="257" t="s">
        <v>1098</v>
      </c>
      <c r="G421" s="241" t="s">
        <v>503</v>
      </c>
      <c r="H421" s="268" t="s">
        <v>422</v>
      </c>
      <c r="I421" s="268" t="s">
        <v>1101</v>
      </c>
      <c r="J421" s="256">
        <v>52</v>
      </c>
      <c r="L421" s="258">
        <v>3185</v>
      </c>
      <c r="M421" s="228">
        <f>=J421*L421</f>
        <v>165620</v>
      </c>
      <c r="N421" s="83">
        <v>2.5</v>
      </c>
      <c r="O421" s="198">
        <f>=ROUND(IF((TODAY()-A421+1)*N421*(L421/10000)+L421&lt;L421*1.002,L421*1.002,(TODAY()-A421+1)*N421*(L421/10000)+L421),2)</f>
        <v>3279.75</v>
      </c>
      <c r="P421" s="256">
        <v>52</v>
      </c>
      <c r="Q421" s="83">
        <f>=J421-P421</f>
        <v>0</v>
      </c>
      <c r="R421" s="256">
        <v>52</v>
      </c>
      <c r="S421" s="228">
        <f>=P421-R421</f>
        <v>0</v>
      </c>
      <c r="T421" s="93">
        <f>=S421*L421</f>
        <v>0</v>
      </c>
      <c r="U421" s="190">
        <f>=J421-P421</f>
        <v>0</v>
      </c>
    </row>
    <row r="422" spans="1:21" s="270" customFormat="true" ht="15.75" customHeight="true">
      <c r="A422" s="110">
        <v>46107</v>
      </c>
      <c r="B422" s="93">
        <f>=TODAY()-A422+1</f>
        <v>118</v>
      </c>
      <c r="C422" s="110" t="s">
        <v>196</v>
      </c>
      <c r="D422" s="83" t="s">
        <v>195</v>
      </c>
      <c r="E422" s="246" t="s">
        <v>1102</v>
      </c>
      <c r="F422" s="257" t="s">
        <v>1098</v>
      </c>
      <c r="G422" s="241" t="s">
        <v>503</v>
      </c>
      <c r="H422" s="268" t="s">
        <v>422</v>
      </c>
      <c r="I422" s="268" t="s">
        <v>1103</v>
      </c>
      <c r="J422" s="256">
        <v>278</v>
      </c>
      <c r="L422" s="258">
        <v>3185</v>
      </c>
      <c r="M422" s="228">
        <f>=J422*L422</f>
        <v>885430</v>
      </c>
      <c r="N422" s="83">
        <v>2.5</v>
      </c>
      <c r="O422" s="198">
        <f>=ROUND(IF((TODAY()-A422+1)*N422*(L422/10000)+L422&lt;L422*1.002,L422*1.002,(TODAY()-A422+1)*N422*(L422/10000)+L422),2)</f>
        <v>3279.75</v>
      </c>
      <c r="P422" s="256">
        <v>278</v>
      </c>
      <c r="Q422" s="83">
        <f>=J422-P422</f>
        <v>0</v>
      </c>
      <c r="R422" s="270">
        <v>278</v>
      </c>
      <c r="S422" s="228">
        <f>=P422-R422</f>
        <v>0</v>
      </c>
      <c r="T422" s="93">
        <f>=S422*L422</f>
        <v>0</v>
      </c>
      <c r="U422" s="190">
        <f>=J422-P422</f>
        <v>0</v>
      </c>
    </row>
    <row r="423" spans="1:21" s="270" customFormat="true" ht="15.75" customHeight="true">
      <c r="A423" s="110">
        <v>46107</v>
      </c>
      <c r="B423" s="93">
        <f>=TODAY()-A423+1</f>
        <v>118</v>
      </c>
      <c r="C423" s="110" t="s">
        <v>196</v>
      </c>
      <c r="D423" s="83" t="s">
        <v>195</v>
      </c>
      <c r="E423" s="246" t="s">
        <v>1104</v>
      </c>
      <c r="F423" s="257" t="s">
        <v>1098</v>
      </c>
      <c r="G423" s="241" t="s">
        <v>503</v>
      </c>
      <c r="H423" s="268" t="s">
        <v>422</v>
      </c>
      <c r="I423" s="268" t="s">
        <v>1105</v>
      </c>
      <c r="J423" s="256">
        <v>392</v>
      </c>
      <c r="L423" s="258">
        <v>3185</v>
      </c>
      <c r="M423" s="228">
        <f>=J423*L423</f>
        <v>1248520</v>
      </c>
      <c r="N423" s="83">
        <v>2.5</v>
      </c>
      <c r="O423" s="198">
        <f>=ROUND(IF((TODAY()-A423+1)*N423*(L423/10000)+L423&lt;L423*1.002,L423*1.002,(TODAY()-A423+1)*N423*(L423/10000)+L423),2)</f>
        <v>3279.75</v>
      </c>
      <c r="P423" s="256">
        <v>392</v>
      </c>
      <c r="Q423" s="83">
        <f>=J423-P423</f>
        <v>0</v>
      </c>
      <c r="R423" s="270">
        <v>392</v>
      </c>
      <c r="S423" s="228">
        <f>=P423-R423</f>
        <v>0</v>
      </c>
      <c r="T423" s="93">
        <f>=S423*L423</f>
        <v>0</v>
      </c>
      <c r="U423" s="190">
        <f>=J423-P423</f>
        <v>0</v>
      </c>
    </row>
    <row r="424" spans="1:21" ht="15.75" customHeight="true">
      <c r="A424" s="80">
        <v>46107</v>
      </c>
      <c r="B424" s="71">
        <f>=TODAY()-A424+1</f>
        <v>118</v>
      </c>
      <c r="C424" s="98" t="s">
        <v>193</v>
      </c>
      <c r="D424" s="71" t="s">
        <v>138</v>
      </c>
      <c r="E424" s="160" t="s">
        <v>1106</v>
      </c>
      <c r="F424" s="242" t="s">
        <v>1019</v>
      </c>
      <c r="G424" s="71" t="s">
        <v>864</v>
      </c>
      <c r="H424" s="71" t="s">
        <v>422</v>
      </c>
      <c r="I424" s="71" t="s">
        <v>1107</v>
      </c>
      <c r="J424" s="71">
        <v>400</v>
      </c>
      <c r="K424" s="71" t="s"/>
      <c r="L424" s="71">
        <v>1800</v>
      </c>
      <c r="M424" s="112">
        <f>=J424*L424</f>
        <v>720000</v>
      </c>
      <c r="N424" s="71">
        <v>2.5</v>
      </c>
      <c r="O424" s="189">
        <f>=ROUND(IF((TODAY()-A424+1)*N424*(L424/10000)+L424&lt;L424*1.002,L424*1.002,(TODAY()-A424+1)*N424*(L424/10000)+L424),2)</f>
        <v>1853.55</v>
      </c>
      <c r="P424" s="71">
        <v>400</v>
      </c>
      <c r="Q424" s="71">
        <f>=J424-P424</f>
        <v>0</v>
      </c>
      <c r="R424">
        <v>400</v>
      </c>
      <c r="S424" s="112">
        <f>=P424-R424</f>
        <v>0</v>
      </c>
      <c r="T424" s="71">
        <f>=S424*L424</f>
        <v>0</v>
      </c>
      <c r="U424" s="190">
        <f>=J424-P424</f>
        <v>0</v>
      </c>
    </row>
    <row r="425" spans="1:21" ht="15.75" customHeight="true">
      <c r="A425" s="80">
        <v>46107</v>
      </c>
      <c r="B425" s="71">
        <f>=TODAY()-A425+1</f>
        <v>118</v>
      </c>
      <c r="C425" s="98" t="s">
        <v>193</v>
      </c>
      <c r="D425" s="71" t="s">
        <v>138</v>
      </c>
      <c r="E425" s="160" t="s">
        <v>1108</v>
      </c>
      <c r="F425" s="242" t="s">
        <v>1019</v>
      </c>
      <c r="G425" s="71" t="s">
        <v>864</v>
      </c>
      <c r="H425" s="71" t="s">
        <v>422</v>
      </c>
      <c r="I425" s="64" t="s">
        <v>1109</v>
      </c>
      <c r="J425" s="71">
        <v>400</v>
      </c>
      <c r="K425" s="71" t="s"/>
      <c r="L425" s="71">
        <v>1800</v>
      </c>
      <c r="M425" s="112">
        <f>=J425*L425</f>
        <v>720000</v>
      </c>
      <c r="N425" s="71">
        <v>2.5</v>
      </c>
      <c r="O425" s="189">
        <f>=ROUND(IF((TODAY()-A425+1)*N425*(L425/10000)+L425&lt;L425*1.002,L425*1.002,(TODAY()-A425+1)*N425*(L425/10000)+L425),2)</f>
        <v>1853.55</v>
      </c>
      <c r="P425" s="71">
        <v>400</v>
      </c>
      <c r="Q425" s="71">
        <f>=J425-P425</f>
        <v>0</v>
      </c>
      <c r="R425">
        <v>400</v>
      </c>
      <c r="S425" s="112">
        <f>=P425-R425</f>
        <v>0</v>
      </c>
      <c r="T425" s="71">
        <f>=S425*L425</f>
        <v>0</v>
      </c>
      <c r="U425" s="190">
        <f>=J425-P425</f>
        <v>0</v>
      </c>
    </row>
    <row r="426" spans="1:21" ht="15.75" customHeight="true">
      <c r="A426" s="80">
        <v>46106</v>
      </c>
      <c r="B426" s="71">
        <f>=TODAY()-A426+1</f>
        <v>119</v>
      </c>
      <c r="C426" s="98" t="s">
        <v>190</v>
      </c>
      <c r="D426" s="71" t="s">
        <v>189</v>
      </c>
      <c r="E426" s="160" t="s">
        <v>1110</v>
      </c>
      <c r="F426" s="242" t="s">
        <v>1045</v>
      </c>
      <c r="G426" s="64" t="s">
        <v>428</v>
      </c>
      <c r="H426" s="64" t="s">
        <v>422</v>
      </c>
      <c r="I426" s="64" t="s">
        <v>1111</v>
      </c>
      <c r="J426" s="71">
        <v>5</v>
      </c>
      <c r="K426" s="71" t="s"/>
      <c r="L426" s="71">
        <v>980</v>
      </c>
      <c r="M426" s="112">
        <f>=J426*L426</f>
        <v>4900</v>
      </c>
      <c r="N426" s="71">
        <v>3</v>
      </c>
      <c r="O426" s="189">
        <f>=ROUND(IF((TODAY()-A426+1)*N426*(L426/10000)+L426&lt;L426*1.002,L426*1.002,(TODAY()-A426+1)*N426*(L426/10000)+L426),2)</f>
        <v>1015.28</v>
      </c>
      <c r="P426" s="71">
        <v>5</v>
      </c>
      <c r="Q426" s="71">
        <f>=J426-P426</f>
        <v>0</v>
      </c>
      <c r="R426">
        <v>5</v>
      </c>
      <c r="S426" s="112">
        <f>=P426-R426</f>
        <v>0</v>
      </c>
      <c r="T426" s="71">
        <f>=S426*L426</f>
        <v>0</v>
      </c>
      <c r="U426" s="190">
        <f>=J426-P426</f>
        <v>0</v>
      </c>
    </row>
    <row r="427" spans="1:21" ht="15.75" customHeight="true">
      <c r="A427" s="80">
        <v>46106</v>
      </c>
      <c r="B427" s="71">
        <f>=TODAY()-A427+1</f>
        <v>119</v>
      </c>
      <c r="C427" s="98" t="s">
        <v>190</v>
      </c>
      <c r="D427" s="71" t="s">
        <v>189</v>
      </c>
      <c r="E427" s="160" t="s">
        <v>1112</v>
      </c>
      <c r="F427" s="242" t="s">
        <v>1045</v>
      </c>
      <c r="G427" s="64" t="s">
        <v>428</v>
      </c>
      <c r="H427" s="64" t="s">
        <v>422</v>
      </c>
      <c r="I427" s="64" t="s">
        <v>1113</v>
      </c>
      <c r="J427" s="71">
        <v>5</v>
      </c>
      <c r="K427" s="71" t="s"/>
      <c r="L427" s="71">
        <v>980</v>
      </c>
      <c r="M427" s="112">
        <f>=J427*L427</f>
        <v>4900</v>
      </c>
      <c r="N427" s="71">
        <v>3</v>
      </c>
      <c r="O427" s="189">
        <f>=ROUND(IF((TODAY()-A427+1)*N427*(L427/10000)+L427&lt;L427*1.002,L427*1.002,(TODAY()-A427+1)*N427*(L427/10000)+L427),2)</f>
        <v>1015.28</v>
      </c>
      <c r="P427" s="71">
        <v>5</v>
      </c>
      <c r="Q427" s="71">
        <f>=J427-P427</f>
        <v>0</v>
      </c>
      <c r="R427">
        <v>5</v>
      </c>
      <c r="S427" s="112">
        <f>=P427-R427</f>
        <v>0</v>
      </c>
      <c r="T427" s="71">
        <f>=S427*L427</f>
        <v>0</v>
      </c>
      <c r="U427" s="190">
        <f>=J427-P427</f>
        <v>0</v>
      </c>
    </row>
    <row r="428" spans="1:21" ht="15.75" customHeight="true">
      <c r="A428" s="80">
        <v>46107</v>
      </c>
      <c r="B428" s="71">
        <f>=TODAY()-A428+1</f>
        <v>118</v>
      </c>
      <c r="C428" s="98" t="s">
        <v>194</v>
      </c>
      <c r="D428" s="71" t="s">
        <v>189</v>
      </c>
      <c r="E428" s="160" t="s">
        <v>1114</v>
      </c>
      <c r="F428" s="242" t="s">
        <v>1045</v>
      </c>
      <c r="G428" s="64" t="s">
        <v>428</v>
      </c>
      <c r="H428" s="64" t="s">
        <v>422</v>
      </c>
      <c r="I428" s="156" t="s">
        <v>1115</v>
      </c>
      <c r="J428" s="71">
        <v>5</v>
      </c>
      <c r="K428" s="71" t="s"/>
      <c r="L428" s="71">
        <v>1750</v>
      </c>
      <c r="M428" s="112">
        <f>=J428*L428</f>
        <v>8750</v>
      </c>
      <c r="N428">
        <v>3</v>
      </c>
      <c r="O428" s="189">
        <f>=ROUND(IF((TODAY()-A428+1)*N428*(L428/10000)+L428&lt;L428*1.002,L428*1.002,(TODAY()-A428+1)*N428*(L428/10000)+L428),2)</f>
        <v>1812.48</v>
      </c>
      <c r="P428" s="71">
        <v>5</v>
      </c>
      <c r="Q428" s="71">
        <f>=J428-P428</f>
        <v>0</v>
      </c>
      <c r="R428">
        <v>5</v>
      </c>
      <c r="S428" s="112">
        <f>=P428-R428</f>
        <v>0</v>
      </c>
      <c r="T428" s="71">
        <f>=S428*L428</f>
        <v>0</v>
      </c>
      <c r="U428" s="190">
        <f>=J428-P428</f>
        <v>0</v>
      </c>
    </row>
    <row r="429" spans="1:21" ht="15.75" customHeight="true">
      <c r="A429" s="110">
        <v>46107</v>
      </c>
      <c r="B429" s="71">
        <f>=TODAY()-A429+1</f>
        <v>118</v>
      </c>
      <c r="C429" s="110" t="s">
        <v>194</v>
      </c>
      <c r="D429" s="83" t="s">
        <v>189</v>
      </c>
      <c r="E429" s="87" t="s">
        <v>37</v>
      </c>
      <c r="F429" s="141" t="s">
        <v>1045</v>
      </c>
      <c r="G429" s="258" t="s">
        <v>421</v>
      </c>
      <c r="H429" s="258" t="s">
        <v>422</v>
      </c>
      <c r="I429" s="258" t="s">
        <v>721</v>
      </c>
      <c r="J429" s="83">
        <v>5</v>
      </c>
      <c r="K429" s="83" t="s"/>
      <c r="L429" s="83">
        <v>8415</v>
      </c>
      <c r="M429" s="228">
        <f>=J429*L429</f>
        <v>42075</v>
      </c>
      <c r="N429" s="83">
        <v>3</v>
      </c>
      <c r="O429" s="198">
        <f>=ROUND(IF((TODAY()-A429+1)*N429*(L429/10000)+L429&lt;L429*1.002,L429*1.002,(TODAY()-A429+1)*N429*(L429/10000)+L429),2)</f>
        <v>8715.42</v>
      </c>
      <c r="P429" s="64">
        <v>5</v>
      </c>
      <c r="Q429" s="83">
        <f>=J429-P429</f>
        <v>0</v>
      </c>
      <c r="R429" s="64">
        <v>5</v>
      </c>
      <c r="S429" s="228">
        <f>=P429-R429</f>
        <v>0</v>
      </c>
      <c r="T429" s="93">
        <f>=S429*L429</f>
        <v>0</v>
      </c>
      <c r="U429" s="190">
        <f>=J429-P429</f>
        <v>0</v>
      </c>
    </row>
    <row r="430" spans="1:21" ht="15.75" customHeight="true">
      <c r="A430" s="80">
        <v>46109</v>
      </c>
      <c r="B430" s="71">
        <f>=TODAY()-A430+1</f>
        <v>116</v>
      </c>
      <c r="C430" s="80" t="s">
        <v>206</v>
      </c>
      <c r="D430" s="64" t="s">
        <v>189</v>
      </c>
      <c r="E430" s="160" t="s">
        <v>1116</v>
      </c>
      <c r="F430" s="141" t="s">
        <v>1045</v>
      </c>
      <c r="G430" s="64" t="s">
        <v>428</v>
      </c>
      <c r="H430" s="64" t="s">
        <v>422</v>
      </c>
      <c r="I430" s="140" t="s">
        <v>1117</v>
      </c>
      <c r="J430" s="140">
        <v>5</v>
      </c>
      <c r="L430" s="87">
        <v>3520</v>
      </c>
      <c r="M430" s="197">
        <f>=J430*L430</f>
        <v>17600</v>
      </c>
      <c r="N430" s="87">
        <v>3</v>
      </c>
      <c r="O430" s="189">
        <f>=ROUND(IF((TODAY()-A430+1)*N430*(L430/10000)+L430&lt;L430*1.002,L430*1.002,(TODAY()-A430+1)*N430*(L430/10000)+L430),2)</f>
        <v>3643.55</v>
      </c>
      <c r="P430" s="87">
        <v>5</v>
      </c>
      <c r="Q430" s="64">
        <f>=J430-P430</f>
        <v>0</v>
      </c>
      <c r="R430">
        <v>5</v>
      </c>
      <c r="S430" s="197">
        <f>=P430-R430</f>
        <v>0</v>
      </c>
      <c r="T430" s="71">
        <f>=S430*L430</f>
        <v>0</v>
      </c>
      <c r="U430" s="190">
        <f>=J430-P430</f>
        <v>0</v>
      </c>
    </row>
    <row r="431" spans="1:21" ht="15.75" customHeight="true">
      <c r="A431" s="80">
        <v>46106</v>
      </c>
      <c r="B431" s="71">
        <f>=TODAY()-A431+1</f>
        <v>119</v>
      </c>
      <c r="C431" s="98" t="s">
        <v>190</v>
      </c>
      <c r="D431" s="71" t="s">
        <v>189</v>
      </c>
      <c r="E431" s="160" t="s">
        <v>1118</v>
      </c>
      <c r="F431" s="242" t="s">
        <v>1045</v>
      </c>
      <c r="G431" s="64" t="s">
        <v>428</v>
      </c>
      <c r="H431" s="64" t="s">
        <v>422</v>
      </c>
      <c r="I431" s="64" t="s">
        <v>1119</v>
      </c>
      <c r="J431" s="71">
        <v>4</v>
      </c>
      <c r="K431" s="71" t="s"/>
      <c r="L431" s="71">
        <v>9200</v>
      </c>
      <c r="M431" s="112">
        <f>=J431*L431</f>
        <v>36800</v>
      </c>
      <c r="N431" s="71">
        <v>3</v>
      </c>
      <c r="O431" s="189">
        <f>=ROUND(IF((TODAY()-A431+1)*N431*(L431/10000)+L431&lt;L431*1.002,L431*1.002,(TODAY()-A431+1)*N431*(L431/10000)+L431),2)</f>
        <v>9531.2</v>
      </c>
      <c r="P431" s="71">
        <v>4</v>
      </c>
      <c r="Q431" s="71">
        <f>=J431-P431</f>
        <v>0</v>
      </c>
      <c r="R431" s="71">
        <v>4</v>
      </c>
      <c r="S431" s="112">
        <f>=P431-R431</f>
        <v>0</v>
      </c>
      <c r="T431" s="71">
        <f>=S431*L431</f>
        <v>0</v>
      </c>
      <c r="U431" s="190">
        <f>=J431-P431</f>
        <v>0</v>
      </c>
    </row>
    <row r="432" spans="1:21" ht="15.75" customHeight="true">
      <c r="A432" s="80">
        <v>46106</v>
      </c>
      <c r="B432" s="71">
        <f>=TODAY()-A432+1</f>
        <v>119</v>
      </c>
      <c r="C432" s="80" t="s">
        <v>190</v>
      </c>
      <c r="D432" s="64" t="s">
        <v>189</v>
      </c>
      <c r="E432" s="87" t="s">
        <v>37</v>
      </c>
      <c r="F432" s="141" t="s">
        <v>1045</v>
      </c>
      <c r="G432" s="83" t="s">
        <v>428</v>
      </c>
      <c r="H432" s="83" t="s">
        <v>422</v>
      </c>
      <c r="I432" s="83" t="s">
        <v>1120</v>
      </c>
      <c r="J432" s="83">
        <v>4</v>
      </c>
      <c r="K432" s="83" t="s"/>
      <c r="L432" s="83">
        <v>10400</v>
      </c>
      <c r="M432" s="228">
        <f>=J432*L432</f>
        <v>41600</v>
      </c>
      <c r="N432" s="64">
        <v>3</v>
      </c>
      <c r="O432" s="189">
        <f>=ROUND(IF((TODAY()-A432+1)*N432*(L432/10000)+L432&lt;L432*1.002,L432*1.002,(TODAY()-A432+1)*N432*(L432/10000)+L432),2)</f>
        <v>10774.4</v>
      </c>
      <c r="P432" s="64">
        <v>4</v>
      </c>
      <c r="Q432" s="64">
        <f>=J432-P432</f>
        <v>0</v>
      </c>
      <c r="R432" s="64">
        <v>4</v>
      </c>
      <c r="S432" s="197">
        <f>=P432-R432</f>
        <v>0</v>
      </c>
      <c r="T432" s="71">
        <f>=S432*L432</f>
        <v>0</v>
      </c>
      <c r="U432" s="190">
        <f>=J432-P432</f>
        <v>0</v>
      </c>
    </row>
    <row r="433" spans="1:21" ht="15.75" customHeight="true">
      <c r="A433" s="80">
        <v>46107</v>
      </c>
      <c r="B433" s="71">
        <f>=TODAY()-A433+1</f>
        <v>118</v>
      </c>
      <c r="C433" s="98" t="s">
        <v>194</v>
      </c>
      <c r="D433" s="71" t="s">
        <v>189</v>
      </c>
      <c r="E433" s="160" t="s">
        <v>1121</v>
      </c>
      <c r="F433" s="242" t="s">
        <v>1045</v>
      </c>
      <c r="G433" s="64" t="s">
        <v>428</v>
      </c>
      <c r="H433" s="64" t="s">
        <v>422</v>
      </c>
      <c r="I433" s="156" t="s">
        <v>1122</v>
      </c>
      <c r="J433" s="71">
        <v>4</v>
      </c>
      <c r="K433" s="71" t="s"/>
      <c r="L433" s="71">
        <v>3120</v>
      </c>
      <c r="M433" s="112">
        <f>=J433*L433</f>
        <v>12480</v>
      </c>
      <c r="N433" s="71">
        <v>3</v>
      </c>
      <c r="O433" s="189">
        <f>=ROUND(IF((TODAY()-A433+1)*N433*(L433/10000)+L433&lt;L433*1.002,L433*1.002,(TODAY()-A433+1)*N433*(L433/10000)+L433),2)</f>
        <v>3231.38</v>
      </c>
      <c r="P433" s="71">
        <v>4</v>
      </c>
      <c r="Q433" s="71">
        <f>=J433-P433</f>
        <v>0</v>
      </c>
      <c r="R433">
        <v>4</v>
      </c>
      <c r="S433" s="112">
        <f>=P433-R433</f>
        <v>0</v>
      </c>
      <c r="T433" s="71">
        <f>=S433*L433</f>
        <v>0</v>
      </c>
      <c r="U433" s="190">
        <f>=J433-P433</f>
        <v>0</v>
      </c>
    </row>
    <row r="434" spans="1:21" ht="15.75" customHeight="true">
      <c r="A434" s="80">
        <v>46107</v>
      </c>
      <c r="B434" s="71">
        <f>=TODAY()-A434+1</f>
        <v>118</v>
      </c>
      <c r="C434" s="80" t="s">
        <v>194</v>
      </c>
      <c r="D434" s="64" t="s">
        <v>189</v>
      </c>
      <c r="E434" s="87" t="s">
        <v>37</v>
      </c>
      <c r="F434" s="141" t="s">
        <v>1045</v>
      </c>
      <c r="G434" s="83" t="s">
        <v>428</v>
      </c>
      <c r="H434" s="83" t="s">
        <v>422</v>
      </c>
      <c r="I434" s="258" t="s">
        <v>1123</v>
      </c>
      <c r="J434" s="83">
        <v>4</v>
      </c>
      <c r="K434" s="83" t="s"/>
      <c r="L434" s="83">
        <v>7350</v>
      </c>
      <c r="M434" s="228">
        <f>=J434*L434</f>
        <v>29400</v>
      </c>
      <c r="N434" s="87">
        <v>3</v>
      </c>
      <c r="O434" s="189">
        <f>=ROUND(IF((TODAY()-A434+1)*N434*(L434/10000)+L434&lt;L434*1.002,L434*1.002,(TODAY()-A434+1)*N434*(L434/10000)+L434),2)</f>
        <v>7612.4</v>
      </c>
      <c r="P434" s="64">
        <v>4</v>
      </c>
      <c r="Q434" s="64">
        <f>=J434-P434</f>
        <v>0</v>
      </c>
      <c r="R434" s="64">
        <v>4</v>
      </c>
      <c r="S434" s="197">
        <f>=P434-R434</f>
        <v>0</v>
      </c>
      <c r="T434" s="71">
        <f>=S434*L434</f>
        <v>0</v>
      </c>
      <c r="U434" s="190">
        <f>=J434-P434</f>
        <v>0</v>
      </c>
    </row>
    <row r="435" spans="1:21" s="270" customFormat="true" ht="15.75" customHeight="true">
      <c r="A435" s="80">
        <v>46109</v>
      </c>
      <c r="B435" s="71">
        <f>=TODAY()-A435+1</f>
        <v>116</v>
      </c>
      <c r="C435" s="80" t="s">
        <v>206</v>
      </c>
      <c r="D435" s="64" t="s">
        <v>189</v>
      </c>
      <c r="E435" s="160" t="s">
        <v>1124</v>
      </c>
      <c r="F435" s="141" t="s">
        <v>1045</v>
      </c>
      <c r="G435" s="64" t="s">
        <v>428</v>
      </c>
      <c r="H435" s="64" t="s">
        <v>422</v>
      </c>
      <c r="I435" s="140" t="s">
        <v>1125</v>
      </c>
      <c r="J435" s="140">
        <v>4</v>
      </c>
      <c r="L435" s="87">
        <v>2760</v>
      </c>
      <c r="M435" s="197">
        <f>=J435*L435</f>
        <v>11040</v>
      </c>
      <c r="N435" s="87">
        <v>3</v>
      </c>
      <c r="O435" s="189">
        <f>=ROUND(IF((TODAY()-A435+1)*N435*(L435/10000)+L435&lt;L435*1.002,L435*1.002,(TODAY()-A435+1)*N435*(L435/10000)+L435),2)</f>
        <v>2856.88</v>
      </c>
      <c r="P435" s="87">
        <v>4</v>
      </c>
      <c r="Q435" s="64">
        <f>=J435-P435</f>
        <v>0</v>
      </c>
      <c r="R435" s="144">
        <v>4</v>
      </c>
      <c r="S435" s="197">
        <f>=P435-R435</f>
        <v>0</v>
      </c>
      <c r="T435" s="71">
        <f>=S435*L435</f>
        <v>0</v>
      </c>
      <c r="U435" s="190">
        <f>=J435-P435</f>
        <v>0</v>
      </c>
    </row>
    <row r="436" spans="1:21" ht="15.75" customHeight="true">
      <c r="A436" s="80">
        <v>46109</v>
      </c>
      <c r="B436" s="71">
        <f>=TODAY()-A436+1</f>
        <v>116</v>
      </c>
      <c r="C436" s="80" t="s">
        <v>206</v>
      </c>
      <c r="D436" s="64" t="s">
        <v>189</v>
      </c>
      <c r="E436" s="160" t="s">
        <v>1126</v>
      </c>
      <c r="F436" s="141" t="s">
        <v>1045</v>
      </c>
      <c r="G436" s="64" t="s">
        <v>428</v>
      </c>
      <c r="H436" s="64" t="s">
        <v>422</v>
      </c>
      <c r="I436" s="140" t="s">
        <v>1127</v>
      </c>
      <c r="J436" s="140">
        <v>4</v>
      </c>
      <c r="L436" s="87">
        <v>2760</v>
      </c>
      <c r="M436" s="197">
        <f>=J436*L436</f>
        <v>11040</v>
      </c>
      <c r="N436" s="87">
        <v>3</v>
      </c>
      <c r="O436" s="189">
        <f>=ROUND(IF((TODAY()-A436+1)*N436*(L436/10000)+L436&lt;L436*1.002,L436*1.002,(TODAY()-A436+1)*N436*(L436/10000)+L436),2)</f>
        <v>2856.88</v>
      </c>
      <c r="P436" s="87">
        <v>4</v>
      </c>
      <c r="Q436" s="64">
        <f>=J436-P436</f>
        <v>0</v>
      </c>
      <c r="R436">
        <v>4</v>
      </c>
      <c r="S436" s="197">
        <f>=P436-R436</f>
        <v>0</v>
      </c>
      <c r="T436" s="71">
        <f>=S436*L436</f>
        <v>0</v>
      </c>
      <c r="U436" s="190">
        <f>=J436-P436</f>
        <v>0</v>
      </c>
    </row>
    <row r="437" spans="1:21" ht="15.75" customHeight="true">
      <c r="A437" s="80">
        <v>46107</v>
      </c>
      <c r="B437" s="71">
        <f>=TODAY()-A437+1</f>
        <v>118</v>
      </c>
      <c r="C437" s="98" t="s">
        <v>194</v>
      </c>
      <c r="D437" s="71" t="s">
        <v>189</v>
      </c>
      <c r="E437" s="271" t="s">
        <v>1128</v>
      </c>
      <c r="F437" s="242" t="s">
        <v>1045</v>
      </c>
      <c r="G437" s="64" t="s">
        <v>428</v>
      </c>
      <c r="H437" s="64" t="s">
        <v>422</v>
      </c>
      <c r="I437" s="87" t="s">
        <v>1129</v>
      </c>
      <c r="J437" s="71">
        <v>3</v>
      </c>
      <c r="K437" s="71" t="s"/>
      <c r="L437" s="71">
        <v>7350</v>
      </c>
      <c r="M437" s="112">
        <f>=J437*L437</f>
        <v>22050</v>
      </c>
      <c r="N437" s="71">
        <v>3</v>
      </c>
      <c r="O437" s="189">
        <f>=ROUND(IF((TODAY()-A437+1)*N437*(L437/10000)+L437&lt;L437*1.002,L437*1.002,(TODAY()-A437+1)*N437*(L437/10000)+L437),2)</f>
        <v>7612.4</v>
      </c>
      <c r="P437" s="71">
        <v>3</v>
      </c>
      <c r="Q437" s="71">
        <f>=J437-P437</f>
        <v>0</v>
      </c>
      <c r="R437" s="71">
        <v>3</v>
      </c>
      <c r="S437" s="112">
        <f>=P437-R437</f>
        <v>0</v>
      </c>
      <c r="T437" s="71">
        <f>=S437*L437</f>
        <v>0</v>
      </c>
      <c r="U437" s="190">
        <f>=J437-P437</f>
        <v>0</v>
      </c>
    </row>
    <row r="438" spans="1:21" ht="15.75" customHeight="true">
      <c r="A438" s="110">
        <v>46107</v>
      </c>
      <c r="B438" s="71">
        <f>=TODAY()-A438+1</f>
        <v>118</v>
      </c>
      <c r="C438" s="102" t="s">
        <v>194</v>
      </c>
      <c r="D438" s="93" t="s">
        <v>189</v>
      </c>
      <c r="E438" s="160" t="s">
        <v>1130</v>
      </c>
      <c r="F438" s="242" t="s">
        <v>1045</v>
      </c>
      <c r="G438" s="64" t="s">
        <v>428</v>
      </c>
      <c r="H438" s="64" t="s">
        <v>422</v>
      </c>
      <c r="I438" s="87" t="s">
        <v>1131</v>
      </c>
      <c r="J438" s="93">
        <v>3</v>
      </c>
      <c r="K438" s="93" t="s"/>
      <c r="L438" s="93">
        <v>3600</v>
      </c>
      <c r="M438" s="217">
        <f>=J438*L438</f>
        <v>10800</v>
      </c>
      <c r="N438" s="93">
        <v>3</v>
      </c>
      <c r="O438" s="198">
        <f>=ROUND(IF((TODAY()-A438+1)*N438*(L438/10000)+L438&lt;L438*1.002,L438*1.002,(TODAY()-A438+1)*N438*(L438/10000)+L438),2)</f>
        <v>3728.52</v>
      </c>
      <c r="P438" s="71">
        <v>3</v>
      </c>
      <c r="Q438" s="93">
        <f>=J438-P438</f>
        <v>0</v>
      </c>
      <c r="R438" s="71">
        <v>3</v>
      </c>
      <c r="S438" s="217">
        <f>=P438-R438</f>
        <v>0</v>
      </c>
      <c r="T438" s="93">
        <f>=S438*L438</f>
        <v>0</v>
      </c>
      <c r="U438" s="190">
        <f>=J438-P438</f>
        <v>0</v>
      </c>
    </row>
    <row r="439" spans="1:21" ht="15.75" customHeight="true">
      <c r="A439" s="80">
        <v>46109</v>
      </c>
      <c r="B439" s="71">
        <f>=TODAY()-A439+1</f>
        <v>116</v>
      </c>
      <c r="C439" s="80" t="s">
        <v>206</v>
      </c>
      <c r="D439" s="64" t="s">
        <v>189</v>
      </c>
      <c r="E439" s="160" t="s">
        <v>1132</v>
      </c>
      <c r="F439" s="141" t="s">
        <v>1045</v>
      </c>
      <c r="G439" s="64" t="s">
        <v>428</v>
      </c>
      <c r="H439" s="64" t="s">
        <v>422</v>
      </c>
      <c r="I439" s="140" t="s">
        <v>1133</v>
      </c>
      <c r="J439" s="140">
        <v>3</v>
      </c>
      <c r="L439" s="87">
        <v>6800</v>
      </c>
      <c r="M439" s="197">
        <f>=J439*L439</f>
        <v>20400</v>
      </c>
      <c r="N439" s="87">
        <v>3</v>
      </c>
      <c r="O439" s="189">
        <f>=ROUND(IF((TODAY()-A439+1)*N439*(L439/10000)+L439&lt;L439*1.002,L439*1.002,(TODAY()-A439+1)*N439*(L439/10000)+L439),2)</f>
        <v>7038.68</v>
      </c>
      <c r="P439" s="87">
        <v>3</v>
      </c>
      <c r="Q439" s="64">
        <f>=J439-P439</f>
        <v>0</v>
      </c>
      <c r="R439" s="87">
        <v>3</v>
      </c>
      <c r="S439" s="197">
        <f>=P439-R439</f>
        <v>0</v>
      </c>
      <c r="T439" s="71">
        <f>=S439*L439</f>
        <v>0</v>
      </c>
      <c r="U439" s="190">
        <f>=J439-P439</f>
        <v>0</v>
      </c>
    </row>
    <row r="440" spans="1:21" ht="15.75" customHeight="true">
      <c r="A440" s="80">
        <v>46109</v>
      </c>
      <c r="B440" s="71">
        <f>=TODAY()-A440+1</f>
        <v>116</v>
      </c>
      <c r="C440" s="80" t="s">
        <v>206</v>
      </c>
      <c r="D440" s="64" t="s">
        <v>189</v>
      </c>
      <c r="E440" s="160" t="s">
        <v>1134</v>
      </c>
      <c r="F440" s="141" t="s">
        <v>1045</v>
      </c>
      <c r="G440" s="64" t="s">
        <v>428</v>
      </c>
      <c r="H440" s="64" t="s">
        <v>422</v>
      </c>
      <c r="I440" s="140" t="s">
        <v>1135</v>
      </c>
      <c r="J440" s="140">
        <v>3</v>
      </c>
      <c r="L440" s="87">
        <v>3360</v>
      </c>
      <c r="M440" s="197">
        <f>=J440*L440</f>
        <v>10080</v>
      </c>
      <c r="N440" s="87">
        <v>3</v>
      </c>
      <c r="O440" s="189">
        <f>=ROUND(IF((TODAY()-A440+1)*N440*(L440/10000)+L440&lt;L440*1.002,L440*1.002,(TODAY()-A440+1)*N440*(L440/10000)+L440),2)</f>
        <v>3477.94</v>
      </c>
      <c r="P440" s="87">
        <v>3</v>
      </c>
      <c r="Q440" s="64">
        <f>=J440-P440</f>
        <v>0</v>
      </c>
      <c r="R440" s="87">
        <v>3</v>
      </c>
      <c r="S440" s="197">
        <f>=P440-R440</f>
        <v>0</v>
      </c>
      <c r="T440" s="71">
        <f>=S440*L440</f>
        <v>0</v>
      </c>
      <c r="U440" s="190">
        <f>=J440-P440</f>
        <v>0</v>
      </c>
    </row>
    <row r="441" spans="1:21" ht="15.75" customHeight="true">
      <c r="A441" s="80">
        <v>46111</v>
      </c>
      <c r="B441" s="71">
        <f>=TODAY()-A441+1</f>
        <v>114</v>
      </c>
      <c r="C441" s="98" t="s">
        <v>208</v>
      </c>
      <c r="D441" s="71" t="s">
        <v>189</v>
      </c>
      <c r="E441" s="160" t="s">
        <v>1136</v>
      </c>
      <c r="F441" s="242" t="s">
        <v>1045</v>
      </c>
      <c r="G441" s="258" t="s">
        <v>428</v>
      </c>
      <c r="H441" s="258" t="s">
        <v>470</v>
      </c>
      <c r="I441" s="258" t="s">
        <v>1137</v>
      </c>
      <c r="J441">
        <v>3</v>
      </c>
      <c r="L441">
        <v>4270</v>
      </c>
      <c r="M441" s="217">
        <f>=J441*L441</f>
        <v>12810</v>
      </c>
      <c r="N441">
        <v>3</v>
      </c>
      <c r="O441" s="189">
        <f>=ROUND(IF((TODAY()-A441+1)*N441*(L441/10000)+L441&lt;L441*1.002,L441*1.002,(TODAY()-A441+1)*N441*(L441/10000)+L441),2)</f>
        <v>4417.32</v>
      </c>
      <c r="P441">
        <v>3</v>
      </c>
      <c r="Q441" s="71">
        <f>=J441-P441</f>
        <v>0</v>
      </c>
      <c r="R441">
        <v>3</v>
      </c>
      <c r="S441" s="112">
        <f>=P441-R441</f>
        <v>0</v>
      </c>
      <c r="T441" s="71">
        <f>=S441*L441</f>
        <v>0</v>
      </c>
      <c r="U441" s="190">
        <f>=J441-P441</f>
        <v>0</v>
      </c>
    </row>
    <row r="442" spans="1:21" s="270" customFormat="true" ht="15.75" customHeight="true">
      <c r="A442" s="80">
        <v>46111</v>
      </c>
      <c r="B442" s="71">
        <f>=TODAY()-A442+1</f>
        <v>114</v>
      </c>
      <c r="C442" s="98" t="s">
        <v>208</v>
      </c>
      <c r="D442" s="71" t="s">
        <v>189</v>
      </c>
      <c r="E442" s="246" t="s">
        <v>1138</v>
      </c>
      <c r="F442" s="242" t="s">
        <v>1045</v>
      </c>
      <c r="G442" s="258" t="s">
        <v>428</v>
      </c>
      <c r="H442" s="258" t="s">
        <v>470</v>
      </c>
      <c r="I442" s="258" t="s">
        <v>1139</v>
      </c>
      <c r="J442">
        <v>3</v>
      </c>
      <c r="L442">
        <v>5740</v>
      </c>
      <c r="M442" s="217">
        <f>=J442*L442</f>
        <v>17220</v>
      </c>
      <c r="N442">
        <v>3</v>
      </c>
      <c r="O442" s="189">
        <f>=ROUND(IF((TODAY()-A442+1)*N442*(L442/10000)+L442&lt;L442*1.002,L442*1.002,(TODAY()-A442+1)*N442*(L442/10000)+L442),2)</f>
        <v>5938.03</v>
      </c>
      <c r="P442">
        <v>3</v>
      </c>
      <c r="Q442" s="71">
        <f>=J442-P442</f>
        <v>0</v>
      </c>
      <c r="R442" s="117">
        <v>3</v>
      </c>
      <c r="S442" s="112">
        <f>=P442-R442</f>
        <v>0</v>
      </c>
      <c r="T442" s="71">
        <f>=S442*L442</f>
        <v>0</v>
      </c>
      <c r="U442" s="190">
        <f>=J442-P442</f>
        <v>0</v>
      </c>
    </row>
    <row r="443" spans="1:21" s="270" customFormat="true" ht="15.75" customHeight="true">
      <c r="A443" s="80">
        <v>46111</v>
      </c>
      <c r="B443" s="71">
        <f>=TODAY()-A443+1</f>
        <v>114</v>
      </c>
      <c r="C443" s="98" t="s">
        <v>208</v>
      </c>
      <c r="D443" s="71" t="s">
        <v>189</v>
      </c>
      <c r="E443" s="246" t="s">
        <v>1140</v>
      </c>
      <c r="F443" s="242" t="s">
        <v>1045</v>
      </c>
      <c r="G443" s="258" t="s">
        <v>428</v>
      </c>
      <c r="H443" s="258" t="s">
        <v>422</v>
      </c>
      <c r="I443" s="258" t="s">
        <v>1141</v>
      </c>
      <c r="J443">
        <v>3</v>
      </c>
      <c r="L443">
        <v>1435</v>
      </c>
      <c r="M443" s="217">
        <f>=J443*L443</f>
        <v>4305</v>
      </c>
      <c r="N443">
        <v>3</v>
      </c>
      <c r="O443" s="189">
        <f>=ROUND(IF((TODAY()-A443+1)*N443*(L443/10000)+L443&lt;L443*1.002,L443*1.002,(TODAY()-A443+1)*N443*(L443/10000)+L443),2)</f>
        <v>1484.51</v>
      </c>
      <c r="P443">
        <v>3</v>
      </c>
      <c r="Q443" s="71">
        <f>=J443-P443</f>
        <v>0</v>
      </c>
      <c r="R443" s="117">
        <v>3</v>
      </c>
      <c r="S443" s="112">
        <f>=P443-R443</f>
        <v>0</v>
      </c>
      <c r="T443" s="71">
        <f>=S443*L443</f>
        <v>0</v>
      </c>
      <c r="U443" s="190">
        <f>=J443-P443</f>
        <v>0</v>
      </c>
    </row>
    <row r="444" spans="1:21" s="270" customFormat="true" ht="15.75" customHeight="true">
      <c r="A444" s="80">
        <v>46111</v>
      </c>
      <c r="B444" s="71">
        <f>=TODAY()-A444+1</f>
        <v>114</v>
      </c>
      <c r="C444" s="98" t="s">
        <v>208</v>
      </c>
      <c r="D444" s="71" t="s">
        <v>189</v>
      </c>
      <c r="E444" s="160" t="s">
        <v>1142</v>
      </c>
      <c r="F444" s="242" t="s">
        <v>1045</v>
      </c>
      <c r="G444" s="258" t="s">
        <v>428</v>
      </c>
      <c r="H444" s="258" t="s">
        <v>422</v>
      </c>
      <c r="I444" s="258" t="s">
        <v>1143</v>
      </c>
      <c r="J444">
        <v>3</v>
      </c>
      <c r="L444">
        <v>4080</v>
      </c>
      <c r="M444" s="217">
        <f>=J444*L444</f>
        <v>12240</v>
      </c>
      <c r="N444">
        <v>3</v>
      </c>
      <c r="O444" s="189">
        <f>=ROUND(IF((TODAY()-A444+1)*N444*(L444/10000)+L444&lt;L444*1.002,L444*1.002,(TODAY()-A444+1)*N444*(L444/10000)+L444),2)</f>
        <v>4220.76</v>
      </c>
      <c r="P444">
        <v>3</v>
      </c>
      <c r="Q444" s="71">
        <f>=J444-P444</f>
        <v>0</v>
      </c>
      <c r="R444" s="117">
        <v>3</v>
      </c>
      <c r="S444" s="112">
        <f>=P444-R444</f>
        <v>0</v>
      </c>
      <c r="T444" s="71">
        <f>=S444*L444</f>
        <v>0</v>
      </c>
      <c r="U444" s="190">
        <f>=J444-P444</f>
        <v>0</v>
      </c>
    </row>
    <row r="445" spans="1:21" s="270" customFormat="true" ht="15.75" customHeight="true">
      <c r="A445" s="80">
        <v>46106</v>
      </c>
      <c r="B445" s="71">
        <f>=TODAY()-A445+1</f>
        <v>119</v>
      </c>
      <c r="C445" s="98" t="s">
        <v>190</v>
      </c>
      <c r="D445" s="71" t="s">
        <v>189</v>
      </c>
      <c r="E445" s="160" t="s">
        <v>1144</v>
      </c>
      <c r="F445" s="242" t="s">
        <v>1045</v>
      </c>
      <c r="G445" s="140" t="s">
        <v>428</v>
      </c>
      <c r="H445" s="140" t="s">
        <v>422</v>
      </c>
      <c r="I445" s="64" t="s">
        <v>1145</v>
      </c>
      <c r="J445" s="71">
        <v>2</v>
      </c>
      <c r="K445" s="71" t="s"/>
      <c r="L445" s="71">
        <v>10800</v>
      </c>
      <c r="M445" s="112">
        <f>=J445*L445</f>
        <v>21600</v>
      </c>
      <c r="N445" s="71">
        <v>3</v>
      </c>
      <c r="O445" s="189">
        <f>=ROUND(IF((TODAY()-A445+1)*N445*(L445/10000)+L445&lt;L445*1.002,L445*1.002,(TODAY()-A445+1)*N445*(L445/10000)+L445),2)</f>
        <v>11188.8</v>
      </c>
      <c r="P445" s="71">
        <v>2</v>
      </c>
      <c r="Q445" s="71">
        <f>=J445-P445</f>
        <v>0</v>
      </c>
      <c r="R445" s="71">
        <v>2</v>
      </c>
      <c r="S445" s="112">
        <f>=P445-R445</f>
        <v>0</v>
      </c>
      <c r="T445" s="71">
        <f>=S445*L445</f>
        <v>0</v>
      </c>
      <c r="U445" s="190">
        <f>=J445-P445</f>
        <v>0</v>
      </c>
    </row>
    <row r="446" spans="1:21" ht="15.75" customHeight="true">
      <c r="A446" s="80">
        <v>46106</v>
      </c>
      <c r="B446" s="71">
        <f>=TODAY()-A446+1</f>
        <v>119</v>
      </c>
      <c r="C446" s="80" t="s">
        <v>190</v>
      </c>
      <c r="D446" s="64" t="s">
        <v>189</v>
      </c>
      <c r="E446" s="87" t="s">
        <v>37</v>
      </c>
      <c r="F446" s="141" t="s">
        <v>1045</v>
      </c>
      <c r="G446" s="142" t="s">
        <v>428</v>
      </c>
      <c r="H446" s="142" t="s">
        <v>422</v>
      </c>
      <c r="I446" s="83" t="s">
        <v>1146</v>
      </c>
      <c r="J446" s="83">
        <v>2</v>
      </c>
      <c r="K446" s="83" t="s"/>
      <c r="L446" s="83">
        <v>10800</v>
      </c>
      <c r="M446" s="228">
        <f>=J446*L446</f>
        <v>21600</v>
      </c>
      <c r="N446" s="64">
        <v>3</v>
      </c>
      <c r="O446" s="189">
        <f>=ROUND(IF((TODAY()-A446+1)*N446*(L446/10000)+L446&lt;L446*1.002,L446*1.002,(TODAY()-A446+1)*N446*(L446/10000)+L446),2)</f>
        <v>11188.8</v>
      </c>
      <c r="P446" s="64">
        <v>2</v>
      </c>
      <c r="Q446" s="64">
        <f>=J446-P446</f>
        <v>0</v>
      </c>
      <c r="R446" s="64">
        <v>2</v>
      </c>
      <c r="S446" s="197">
        <f>=P446-R446</f>
        <v>0</v>
      </c>
      <c r="T446" s="71">
        <f>=S446*L446</f>
        <v>0</v>
      </c>
      <c r="U446" s="190">
        <f>=J446-P446</f>
        <v>0</v>
      </c>
    </row>
    <row r="447" spans="1:21" ht="15.75" customHeight="true">
      <c r="A447" s="80">
        <v>46107</v>
      </c>
      <c r="B447" s="71">
        <f>=TODAY()-A447+1</f>
        <v>118</v>
      </c>
      <c r="C447" s="98" t="s">
        <v>194</v>
      </c>
      <c r="D447" s="71" t="s">
        <v>189</v>
      </c>
      <c r="E447" s="160" t="s">
        <v>1147</v>
      </c>
      <c r="F447" s="242" t="s">
        <v>1045</v>
      </c>
      <c r="G447" s="140" t="s">
        <v>428</v>
      </c>
      <c r="H447" s="140" t="s">
        <v>422</v>
      </c>
      <c r="I447" s="156" t="s">
        <v>1148</v>
      </c>
      <c r="J447" s="71">
        <v>2</v>
      </c>
      <c r="K447" s="71" t="s"/>
      <c r="L447" s="71">
        <v>3520</v>
      </c>
      <c r="M447" s="112">
        <f>=J447*L447</f>
        <v>7040</v>
      </c>
      <c r="N447" s="71">
        <v>3</v>
      </c>
      <c r="O447" s="189">
        <f>=ROUND(IF((TODAY()-A447+1)*N447*(L447/10000)+L447&lt;L447*1.002,L447*1.002,(TODAY()-A447+1)*N447*(L447/10000)+L447),2)</f>
        <v>3645.66</v>
      </c>
      <c r="P447" s="71">
        <v>2</v>
      </c>
      <c r="Q447" s="71">
        <f>=J447-P447</f>
        <v>0</v>
      </c>
      <c r="R447">
        <v>2</v>
      </c>
      <c r="S447" s="112">
        <f>=P447-R447</f>
        <v>0</v>
      </c>
      <c r="T447" s="71">
        <f>=S447*L447</f>
        <v>0</v>
      </c>
      <c r="U447" s="190">
        <f>=J447-P447</f>
        <v>0</v>
      </c>
    </row>
    <row r="448" spans="1:21" ht="15.75" customHeight="true">
      <c r="A448" s="80">
        <v>46107</v>
      </c>
      <c r="B448" s="71">
        <f>=TODAY()-A448+1</f>
        <v>118</v>
      </c>
      <c r="C448" s="98" t="s">
        <v>194</v>
      </c>
      <c r="D448" s="71" t="s">
        <v>189</v>
      </c>
      <c r="E448" s="160" t="s">
        <v>1149</v>
      </c>
      <c r="F448" s="242" t="s">
        <v>1045</v>
      </c>
      <c r="G448" s="87" t="s">
        <v>428</v>
      </c>
      <c r="H448" s="87" t="s">
        <v>422</v>
      </c>
      <c r="I448" s="87" t="s">
        <v>1150</v>
      </c>
      <c r="J448" s="71">
        <v>2</v>
      </c>
      <c r="K448" s="71" t="s"/>
      <c r="L448" s="71">
        <v>7350</v>
      </c>
      <c r="M448" s="112">
        <f>=J448*L448</f>
        <v>14700</v>
      </c>
      <c r="N448">
        <v>3</v>
      </c>
      <c r="O448" s="189">
        <f>=ROUND(IF((TODAY()-A448+1)*N448*(L448/10000)+L448&lt;L448*1.002,L448*1.002,(TODAY()-A448+1)*N448*(L448/10000)+L448),2)</f>
        <v>7612.4</v>
      </c>
      <c r="P448" s="71">
        <v>2</v>
      </c>
      <c r="Q448" s="71">
        <f>=J448-P448</f>
        <v>0</v>
      </c>
      <c r="R448" s="71">
        <v>2</v>
      </c>
      <c r="S448" s="112">
        <f>=P448-R448</f>
        <v>0</v>
      </c>
      <c r="T448" s="71">
        <f>=S448*L448</f>
        <v>0</v>
      </c>
      <c r="U448" s="190">
        <f>=J448-P448</f>
        <v>0</v>
      </c>
    </row>
    <row r="449" spans="1:21" ht="15.75" customHeight="true">
      <c r="A449" s="110">
        <v>46107</v>
      </c>
      <c r="B449" s="71">
        <f>=TODAY()-A449+1</f>
        <v>118</v>
      </c>
      <c r="C449" s="102" t="s">
        <v>194</v>
      </c>
      <c r="D449" s="93" t="s">
        <v>189</v>
      </c>
      <c r="E449" s="160" t="s">
        <v>1151</v>
      </c>
      <c r="F449" s="242" t="s">
        <v>1045</v>
      </c>
      <c r="G449" s="87" t="s">
        <v>428</v>
      </c>
      <c r="H449" s="87" t="s">
        <v>422</v>
      </c>
      <c r="I449" s="87" t="s">
        <v>1152</v>
      </c>
      <c r="J449" s="93">
        <v>2</v>
      </c>
      <c r="K449" s="93" t="s"/>
      <c r="L449" s="93">
        <v>6960</v>
      </c>
      <c r="M449" s="217">
        <f>=J449*L449</f>
        <v>13920</v>
      </c>
      <c r="N449" s="254">
        <v>3</v>
      </c>
      <c r="O449" s="198">
        <f>=ROUND(IF((TODAY()-A449+1)*N449*(L449/10000)+L449&lt;L449*1.002,L449*1.002,(TODAY()-A449+1)*N449*(L449/10000)+L449),2)</f>
        <v>7208.47</v>
      </c>
      <c r="P449" s="71">
        <v>2</v>
      </c>
      <c r="Q449" s="93">
        <f>=J449-P449</f>
        <v>0</v>
      </c>
      <c r="R449" s="71">
        <v>2</v>
      </c>
      <c r="S449" s="217">
        <f>=P449-R449</f>
        <v>0</v>
      </c>
      <c r="T449" s="93">
        <f>=S449*L449</f>
        <v>0</v>
      </c>
      <c r="U449" s="190">
        <f>=J449-P449</f>
        <v>0</v>
      </c>
    </row>
    <row r="450" spans="1:21" ht="15.75" customHeight="true">
      <c r="A450" s="110">
        <v>46107</v>
      </c>
      <c r="B450" s="71">
        <f>=TODAY()-A450+1</f>
        <v>118</v>
      </c>
      <c r="C450" s="102" t="s">
        <v>194</v>
      </c>
      <c r="D450" s="93" t="s">
        <v>189</v>
      </c>
      <c r="E450" s="160" t="s">
        <v>1153</v>
      </c>
      <c r="F450" s="242" t="s">
        <v>1045</v>
      </c>
      <c r="G450" s="87" t="s">
        <v>421</v>
      </c>
      <c r="H450" s="87" t="s">
        <v>422</v>
      </c>
      <c r="I450" s="87" t="s">
        <v>851</v>
      </c>
      <c r="J450" s="101">
        <v>2</v>
      </c>
      <c r="K450" s="93" t="s"/>
      <c r="L450" s="93">
        <v>10030</v>
      </c>
      <c r="M450" s="217">
        <f>=J450*L450</f>
        <v>20060</v>
      </c>
      <c r="N450" s="93">
        <v>3</v>
      </c>
      <c r="O450" s="198">
        <f>=ROUND(IF((TODAY()-A450+1)*N450*(L450/10000)+L450&lt;L450*1.002,L450*1.002,(TODAY()-A450+1)*N450*(L450/10000)+L450),2)</f>
        <v>10388.07</v>
      </c>
      <c r="P450" s="71">
        <v>2</v>
      </c>
      <c r="Q450" s="93">
        <f>=J450-P450</f>
        <v>0</v>
      </c>
      <c r="R450" s="71">
        <v>2</v>
      </c>
      <c r="S450" s="217">
        <f>=P450-R450</f>
        <v>0</v>
      </c>
      <c r="T450" s="93">
        <f>=S450*L450</f>
        <v>0</v>
      </c>
      <c r="U450" s="190">
        <f>=J450-P450</f>
        <v>0</v>
      </c>
    </row>
    <row r="451" spans="1:21" ht="15.75" customHeight="true">
      <c r="A451" s="110">
        <v>46107</v>
      </c>
      <c r="B451" s="71">
        <f>=TODAY()-A451+1</f>
        <v>118</v>
      </c>
      <c r="C451" s="102" t="s">
        <v>194</v>
      </c>
      <c r="D451" s="93" t="s">
        <v>189</v>
      </c>
      <c r="E451" s="160" t="s">
        <v>1154</v>
      </c>
      <c r="F451" s="242" t="s">
        <v>1045</v>
      </c>
      <c r="G451" s="87" t="s">
        <v>428</v>
      </c>
      <c r="H451" s="87" t="s">
        <v>449</v>
      </c>
      <c r="I451" s="87" t="s">
        <v>1155</v>
      </c>
      <c r="J451" s="93">
        <v>2</v>
      </c>
      <c r="K451" s="93" t="s"/>
      <c r="L451" s="93">
        <v>2905</v>
      </c>
      <c r="M451" s="217">
        <f>=J451*L451</f>
        <v>5810</v>
      </c>
      <c r="N451" s="93">
        <v>3</v>
      </c>
      <c r="O451" s="198">
        <f>=ROUND(IF((TODAY()-A451+1)*N451*(L451/10000)+L451&lt;L451*1.002,L451*1.002,(TODAY()-A451+1)*N451*(L451/10000)+L451),2)</f>
        <v>3008.71</v>
      </c>
      <c r="P451" s="71">
        <v>2</v>
      </c>
      <c r="Q451" s="93">
        <f>=J451-P451</f>
        <v>0</v>
      </c>
      <c r="R451">
        <v>2</v>
      </c>
      <c r="S451" s="217">
        <f>=P451-R451</f>
        <v>0</v>
      </c>
      <c r="T451" s="93">
        <f>=S451*L451</f>
        <v>0</v>
      </c>
      <c r="U451" s="190">
        <f>=J451-P451</f>
        <v>0</v>
      </c>
    </row>
    <row r="452" spans="1:21" ht="15.75" customHeight="true">
      <c r="A452" s="110">
        <v>46107</v>
      </c>
      <c r="B452" s="71">
        <f>=TODAY()-A452+1</f>
        <v>118</v>
      </c>
      <c r="C452" s="102" t="s">
        <v>194</v>
      </c>
      <c r="D452" s="93" t="s">
        <v>189</v>
      </c>
      <c r="E452" s="160" t="s">
        <v>1156</v>
      </c>
      <c r="F452" s="242" t="s">
        <v>1045</v>
      </c>
      <c r="G452" s="87" t="s">
        <v>428</v>
      </c>
      <c r="H452" s="87" t="s">
        <v>449</v>
      </c>
      <c r="I452" s="87" t="s">
        <v>1157</v>
      </c>
      <c r="J452" s="93">
        <v>2</v>
      </c>
      <c r="K452" s="93" t="s"/>
      <c r="L452" s="93">
        <v>3080</v>
      </c>
      <c r="M452" s="217">
        <f>=J452*L452</f>
        <v>6160</v>
      </c>
      <c r="N452" s="254">
        <v>3</v>
      </c>
      <c r="O452" s="198">
        <f>=ROUND(IF((TODAY()-A452+1)*N452*(L452/10000)+L452&lt;L452*1.002,L452*1.002,(TODAY()-A452+1)*N452*(L452/10000)+L452),2)</f>
        <v>3189.96</v>
      </c>
      <c r="P452" s="71">
        <v>2</v>
      </c>
      <c r="Q452" s="93">
        <f>=J452-P452</f>
        <v>0</v>
      </c>
      <c r="R452">
        <v>2</v>
      </c>
      <c r="S452" s="217">
        <f>=P452-R452</f>
        <v>0</v>
      </c>
      <c r="T452" s="93">
        <f>=S452*L452</f>
        <v>0</v>
      </c>
      <c r="U452" s="190">
        <f>=J452-P452</f>
        <v>0</v>
      </c>
    </row>
    <row r="453" spans="1:21" ht="15.75" customHeight="true">
      <c r="A453" s="110">
        <v>46107</v>
      </c>
      <c r="B453" s="71">
        <f>=TODAY()-A453+1</f>
        <v>118</v>
      </c>
      <c r="C453" s="102" t="s">
        <v>194</v>
      </c>
      <c r="D453" s="93" t="s">
        <v>189</v>
      </c>
      <c r="E453" s="160" t="s">
        <v>1158</v>
      </c>
      <c r="F453" s="242" t="s">
        <v>1045</v>
      </c>
      <c r="G453" s="87" t="s">
        <v>428</v>
      </c>
      <c r="H453" s="87" t="s">
        <v>449</v>
      </c>
      <c r="I453" s="87" t="s">
        <v>1159</v>
      </c>
      <c r="J453" s="93">
        <v>2</v>
      </c>
      <c r="K453" s="93" t="s"/>
      <c r="L453" s="93">
        <v>3080</v>
      </c>
      <c r="M453" s="217">
        <f>=J453*L453</f>
        <v>6160</v>
      </c>
      <c r="N453" s="93">
        <v>3</v>
      </c>
      <c r="O453" s="198">
        <f>=ROUND(IF((TODAY()-A453+1)*N453*(L453/10000)+L453&lt;L453*1.002,L453*1.002,(TODAY()-A453+1)*N453*(L453/10000)+L453),2)</f>
        <v>3189.96</v>
      </c>
      <c r="P453" s="71">
        <v>2</v>
      </c>
      <c r="Q453" s="93">
        <f>=J453-P453</f>
        <v>0</v>
      </c>
      <c r="R453">
        <v>2</v>
      </c>
      <c r="S453" s="217">
        <f>=P453-R453</f>
        <v>0</v>
      </c>
      <c r="T453" s="93">
        <f>=S453*L453</f>
        <v>0</v>
      </c>
      <c r="U453" s="190">
        <f>=J453-P453</f>
        <v>0</v>
      </c>
    </row>
    <row r="454" spans="1:21" ht="15.75" customHeight="true">
      <c r="A454" s="80">
        <v>46106</v>
      </c>
      <c r="B454" s="71">
        <f>=TODAY()-A454+1</f>
        <v>119</v>
      </c>
      <c r="C454" s="165" t="s">
        <v>192</v>
      </c>
      <c r="D454" s="192" t="s">
        <v>191</v>
      </c>
      <c r="E454" s="160" t="s">
        <v>1160</v>
      </c>
      <c r="F454" s="242" t="s">
        <v>1076</v>
      </c>
      <c r="G454" s="64" t="s">
        <v>741</v>
      </c>
      <c r="H454" s="64" t="s">
        <v>422</v>
      </c>
      <c r="I454" s="64" t="s">
        <v>1161</v>
      </c>
      <c r="J454" s="71">
        <v>141</v>
      </c>
      <c r="K454" s="71" t="s"/>
      <c r="L454" s="71">
        <v>1225</v>
      </c>
      <c r="M454" s="197">
        <f>=J454*L454</f>
        <v>172725</v>
      </c>
      <c r="N454" s="71">
        <v>2.5</v>
      </c>
      <c r="O454" s="189">
        <f>=ROUND(IF((TODAY()-A454+1)*N454*(L454/10000)+L454&lt;L454*1.002,L454*1.002,(TODAY()-A454+1)*N454*(L454/10000)+L454),2)</f>
        <v>1261.75</v>
      </c>
      <c r="P454" s="71">
        <v>141</v>
      </c>
      <c r="Q454" s="71">
        <f>=J454-P454</f>
        <v>0</v>
      </c>
      <c r="R454" s="71">
        <v>141</v>
      </c>
      <c r="S454" s="112">
        <f>=P454-R454</f>
        <v>0</v>
      </c>
      <c r="T454" s="71">
        <f>=S454*L454</f>
        <v>0</v>
      </c>
      <c r="U454" s="190">
        <f>=J454-P454</f>
        <v>0</v>
      </c>
    </row>
    <row r="455" spans="1:21" ht="15.75" customHeight="true">
      <c r="A455" s="80">
        <v>46107</v>
      </c>
      <c r="B455" s="71">
        <f>=TODAY()-A455+1</f>
        <v>118</v>
      </c>
      <c r="C455" s="71" t="s">
        <v>198</v>
      </c>
      <c r="D455" s="94" t="s">
        <v>145</v>
      </c>
      <c r="E455" s="160" t="s">
        <v>1162</v>
      </c>
      <c r="F455" s="242" t="s">
        <v>889</v>
      </c>
      <c r="G455" s="87" t="s">
        <v>428</v>
      </c>
      <c r="H455" s="87" t="s">
        <v>422</v>
      </c>
      <c r="I455" t="s">
        <v>1163</v>
      </c>
      <c r="J455">
        <v>10</v>
      </c>
      <c r="L455">
        <v>3485</v>
      </c>
      <c r="M455" s="112">
        <f>=J455*L455</f>
        <v>34850</v>
      </c>
      <c r="N455" s="71">
        <v>2.5</v>
      </c>
      <c r="O455" s="189">
        <f>=ROUND(IF((TODAY()-A455+1)*N455*(L455/10000)+L455&lt;L455*1.002,L455*1.002,(TODAY()-A455+1)*N455*(L455/10000)+L455),2)</f>
        <v>3588.68</v>
      </c>
      <c r="P455">
        <v>10</v>
      </c>
      <c r="Q455" s="71">
        <f>=J455-P455</f>
        <v>0</v>
      </c>
      <c r="R455">
        <v>10</v>
      </c>
      <c r="S455" s="112">
        <f>=P455-R455</f>
        <v>0</v>
      </c>
      <c r="T455" s="71">
        <f>=S455*L455</f>
        <v>0</v>
      </c>
      <c r="U455" s="190">
        <f>=J455-P455</f>
        <v>0</v>
      </c>
    </row>
    <row r="456" spans="1:21" ht="15.75" customHeight="true">
      <c r="A456" s="80">
        <v>46107</v>
      </c>
      <c r="B456" s="71">
        <f>=TODAY()-A456+1</f>
        <v>118</v>
      </c>
      <c r="C456" s="71" t="s">
        <v>198</v>
      </c>
      <c r="D456" s="94" t="s">
        <v>145</v>
      </c>
      <c r="E456" s="160" t="s">
        <v>1164</v>
      </c>
      <c r="F456" s="242" t="s">
        <v>889</v>
      </c>
      <c r="G456" s="87" t="s">
        <v>428</v>
      </c>
      <c r="H456" s="87" t="s">
        <v>422</v>
      </c>
      <c r="I456" t="s">
        <v>629</v>
      </c>
      <c r="J456">
        <v>106</v>
      </c>
      <c r="L456">
        <v>3485</v>
      </c>
      <c r="M456" s="112">
        <f>=J456*L456</f>
        <v>369410</v>
      </c>
      <c r="N456" s="71">
        <v>2.5</v>
      </c>
      <c r="O456" s="189">
        <f>=ROUND(IF((TODAY()-A456+1)*N456*(L456/10000)+L456&lt;L456*1.002,L456*1.002,(TODAY()-A456+1)*N456*(L456/10000)+L456),2)</f>
        <v>3588.68</v>
      </c>
      <c r="P456">
        <v>106</v>
      </c>
      <c r="Q456" s="71">
        <f>=J456-P456</f>
        <v>0</v>
      </c>
      <c r="R456">
        <v>106</v>
      </c>
      <c r="S456" s="112">
        <f>=P456-R456</f>
        <v>0</v>
      </c>
      <c r="T456" s="71">
        <f>=S456*L456</f>
        <v>0</v>
      </c>
      <c r="U456" s="190">
        <f>=J456-P456</f>
        <v>0</v>
      </c>
    </row>
    <row r="457" spans="1:21" ht="15.75" customHeight="true">
      <c r="A457" s="80">
        <v>46107</v>
      </c>
      <c r="B457" s="71">
        <f>=TODAY()-A457+1</f>
        <v>118</v>
      </c>
      <c r="C457" s="71" t="s">
        <v>198</v>
      </c>
      <c r="D457" s="94" t="s">
        <v>145</v>
      </c>
      <c r="E457" s="160" t="s">
        <v>1165</v>
      </c>
      <c r="F457" s="242" t="s">
        <v>889</v>
      </c>
      <c r="G457" s="87" t="s">
        <v>428</v>
      </c>
      <c r="H457" s="87" t="s">
        <v>422</v>
      </c>
      <c r="I457" t="s">
        <v>499</v>
      </c>
      <c r="J457">
        <v>66</v>
      </c>
      <c r="L457">
        <v>3485</v>
      </c>
      <c r="M457" s="112">
        <f>=J457*L457</f>
        <v>230010</v>
      </c>
      <c r="N457" s="71">
        <v>2.5</v>
      </c>
      <c r="O457" s="189">
        <f>=ROUND(IF((TODAY()-A457+1)*N457*(L457/10000)+L457&lt;L457*1.002,L457*1.002,(TODAY()-A457+1)*N457*(L457/10000)+L457),2)</f>
        <v>3588.68</v>
      </c>
      <c r="P457">
        <v>66</v>
      </c>
      <c r="Q457" s="71">
        <f>=J457-P457</f>
        <v>0</v>
      </c>
      <c r="R457">
        <v>66</v>
      </c>
      <c r="S457" s="112">
        <f>=P457-R457</f>
        <v>0</v>
      </c>
      <c r="T457" s="71">
        <f>=S457*L457</f>
        <v>0</v>
      </c>
      <c r="U457" s="190">
        <f>=J457-P457</f>
        <v>0</v>
      </c>
    </row>
    <row r="458" spans="1:21" ht="15.75" customHeight="true">
      <c r="A458" s="80">
        <v>46107</v>
      </c>
      <c r="B458" s="71">
        <f>=TODAY()-A458+1</f>
        <v>118</v>
      </c>
      <c r="C458" s="71" t="s">
        <v>198</v>
      </c>
      <c r="D458" s="94" t="s">
        <v>145</v>
      </c>
      <c r="E458" s="160" t="s">
        <v>1166</v>
      </c>
      <c r="F458" s="242" t="s">
        <v>889</v>
      </c>
      <c r="G458" s="87" t="s">
        <v>428</v>
      </c>
      <c r="H458" s="87" t="s">
        <v>422</v>
      </c>
      <c r="I458" t="s">
        <v>892</v>
      </c>
      <c r="J458">
        <v>19</v>
      </c>
      <c r="L458">
        <v>3485</v>
      </c>
      <c r="M458" s="112">
        <f>=J458*L458</f>
        <v>66215</v>
      </c>
      <c r="N458" s="71">
        <v>2.5</v>
      </c>
      <c r="O458" s="189">
        <f>=ROUND(IF((TODAY()-A458+1)*N458*(L458/10000)+L458&lt;L458*1.002,L458*1.002,(TODAY()-A458+1)*N458*(L458/10000)+L458),2)</f>
        <v>3588.68</v>
      </c>
      <c r="P458">
        <v>19</v>
      </c>
      <c r="Q458" s="71">
        <f>=J458-P458</f>
        <v>0</v>
      </c>
      <c r="R458">
        <v>19</v>
      </c>
      <c r="S458" s="112">
        <f>=P458-R458</f>
        <v>0</v>
      </c>
      <c r="T458" s="71">
        <f>=S458*L458</f>
        <v>0</v>
      </c>
      <c r="U458" s="190">
        <f>=J458-P458</f>
        <v>0</v>
      </c>
    </row>
    <row r="459" spans="1:21" ht="15.75" customHeight="true">
      <c r="A459" s="110">
        <v>46107</v>
      </c>
      <c r="B459" s="93">
        <f>=TODAY()-A459+1</f>
        <v>118</v>
      </c>
      <c r="C459" s="93" t="s">
        <v>202</v>
      </c>
      <c r="D459" s="121" t="s">
        <v>201</v>
      </c>
      <c r="E459" s="136" t="s">
        <v>1167</v>
      </c>
      <c r="F459" s="242" t="s">
        <v>1168</v>
      </c>
      <c r="G459" t="s">
        <v>421</v>
      </c>
      <c r="H459" t="s">
        <v>422</v>
      </c>
      <c r="I459" t="s">
        <v>1169</v>
      </c>
      <c r="J459" s="272">
        <v>2180</v>
      </c>
      <c r="L459" s="272">
        <v>7800</v>
      </c>
      <c r="M459" s="217">
        <f>=J459*L459</f>
        <v>17004000</v>
      </c>
      <c r="N459" s="93">
        <v>2.3</v>
      </c>
      <c r="O459" s="198">
        <f>=ROUND(IF((TODAY()-A459+1)*N459*(L459/10000)+L459&lt;L459*1.002,L459*1.002,(TODAY()-A459+1)*N459*(L459/10000)+L459),2)</f>
        <v>8013.49</v>
      </c>
      <c r="P459">
        <v>2180</v>
      </c>
      <c r="Q459" s="93">
        <f>=J459-P459</f>
        <v>0</v>
      </c>
      <c r="R459">
        <v>2180</v>
      </c>
      <c r="S459" s="217">
        <f>=P459-R459</f>
        <v>0</v>
      </c>
      <c r="T459" s="93">
        <f>=S459*L459</f>
        <v>0</v>
      </c>
      <c r="U459" s="190">
        <f>=J459-P459</f>
        <v>0</v>
      </c>
    </row>
    <row r="460" spans="1:21" ht="15.75" customHeight="true">
      <c r="A460" s="110">
        <v>46107</v>
      </c>
      <c r="B460" s="93">
        <f>=TODAY()-A460+1</f>
        <v>118</v>
      </c>
      <c r="C460" s="93" t="s">
        <v>202</v>
      </c>
      <c r="D460" s="121" t="s">
        <v>201</v>
      </c>
      <c r="E460" s="136" t="s">
        <v>1170</v>
      </c>
      <c r="F460" s="242" t="s">
        <v>1168</v>
      </c>
      <c r="G460" t="s">
        <v>421</v>
      </c>
      <c r="H460" t="s">
        <v>422</v>
      </c>
      <c r="I460" t="s">
        <v>1171</v>
      </c>
      <c r="J460" s="273">
        <v>1000</v>
      </c>
      <c r="L460" s="273">
        <v>7800</v>
      </c>
      <c r="M460" s="217">
        <f>=J460*L460</f>
        <v>7800000</v>
      </c>
      <c r="N460" s="93">
        <v>2.3</v>
      </c>
      <c r="O460" s="198">
        <f>=ROUND(IF((TODAY()-A460+1)*N460*(L460/10000)+L460&lt;L460*1.002,L460*1.002,(TODAY()-A460+1)*N460*(L460/10000)+L460),2)</f>
        <v>8013.49</v>
      </c>
      <c r="P460">
        <v>1000</v>
      </c>
      <c r="Q460" s="93">
        <f>=J460-P460</f>
        <v>0</v>
      </c>
      <c r="R460">
        <v>1000</v>
      </c>
      <c r="S460" s="217">
        <f>=P460-R460</f>
        <v>0</v>
      </c>
      <c r="T460" s="93">
        <f>=S460*L460</f>
        <v>0</v>
      </c>
      <c r="U460" s="190">
        <f>=J460-P460</f>
        <v>0</v>
      </c>
    </row>
    <row r="461" spans="1:21" ht="15.75" customHeight="true">
      <c r="A461" s="110">
        <v>46107</v>
      </c>
      <c r="B461" s="93">
        <f>=TODAY()-A461+1</f>
        <v>118</v>
      </c>
      <c r="C461" s="93" t="s">
        <v>202</v>
      </c>
      <c r="D461" s="121" t="s">
        <v>201</v>
      </c>
      <c r="E461" s="136" t="s">
        <v>1172</v>
      </c>
      <c r="F461" s="242" t="s">
        <v>1168</v>
      </c>
      <c r="G461" t="s">
        <v>421</v>
      </c>
      <c r="H461" t="s">
        <v>422</v>
      </c>
      <c r="I461" t="s">
        <v>1173</v>
      </c>
      <c r="J461" s="273">
        <v>500</v>
      </c>
      <c r="L461" s="273">
        <v>7800</v>
      </c>
      <c r="M461" s="217">
        <f>=J461*L461</f>
        <v>3900000</v>
      </c>
      <c r="N461" s="93">
        <v>2.3</v>
      </c>
      <c r="O461" s="198">
        <f>=ROUND(IF((TODAY()-A461+1)*N461*(L461/10000)+L461&lt;L461*1.002,L461*1.002,(TODAY()-A461+1)*N461*(L461/10000)+L461),2)</f>
        <v>8013.49</v>
      </c>
      <c r="P461">
        <v>500</v>
      </c>
      <c r="Q461" s="93">
        <f>=J461-P461</f>
        <v>0</v>
      </c>
      <c r="R461">
        <v>500</v>
      </c>
      <c r="S461" s="217">
        <f>=P461-R461</f>
        <v>0</v>
      </c>
      <c r="T461" s="93">
        <f>=S461*L461</f>
        <v>0</v>
      </c>
      <c r="U461" s="190">
        <f>=J461-P461</f>
        <v>0</v>
      </c>
    </row>
    <row r="462" spans="1:21" ht="15.75" customHeight="true">
      <c r="A462" s="80">
        <v>46108</v>
      </c>
      <c r="B462" s="71">
        <f>=TODAY()-A462+1</f>
        <v>117</v>
      </c>
      <c r="C462" s="71" t="s">
        <v>203</v>
      </c>
      <c r="D462" s="94" t="s">
        <v>145</v>
      </c>
      <c r="E462" s="160" t="s">
        <v>1174</v>
      </c>
      <c r="F462" s="242" t="s">
        <v>889</v>
      </c>
      <c r="G462" t="s">
        <v>428</v>
      </c>
      <c r="H462" t="s">
        <v>422</v>
      </c>
      <c r="I462" t="s">
        <v>890</v>
      </c>
      <c r="J462">
        <v>130</v>
      </c>
      <c r="L462">
        <v>3655</v>
      </c>
      <c r="M462" s="112">
        <f>=J462*L462</f>
        <v>475150</v>
      </c>
      <c r="N462" s="71">
        <v>2.5</v>
      </c>
      <c r="O462" s="189">
        <f>=ROUND(IF((TODAY()-A462+1)*N462*(L462/10000)+L462&lt;L462*1.002,L462*1.002,(TODAY()-A462+1)*N462*(L462/10000)+L462),2)</f>
        <v>3762.82</v>
      </c>
      <c r="P462">
        <v>130</v>
      </c>
      <c r="Q462" s="71">
        <f>=J462-P462</f>
        <v>0</v>
      </c>
      <c r="R462">
        <v>130</v>
      </c>
      <c r="S462" s="112">
        <f>=P462-R462</f>
        <v>0</v>
      </c>
      <c r="T462" s="71">
        <f>=S462*L462</f>
        <v>0</v>
      </c>
      <c r="U462" s="190">
        <f>=J462-P462</f>
        <v>0</v>
      </c>
    </row>
    <row r="463" spans="1:21" ht="15.75" customHeight="true">
      <c r="A463" s="80">
        <v>46111</v>
      </c>
      <c r="B463" s="71">
        <f>=TODAY()-A463+1</f>
        <v>114</v>
      </c>
      <c r="C463" s="98" t="s">
        <v>210</v>
      </c>
      <c r="D463" s="71" t="s">
        <v>191</v>
      </c>
      <c r="E463" s="160" t="s">
        <v>1175</v>
      </c>
      <c r="F463" t="s">
        <v>1076</v>
      </c>
      <c r="G463" t="s">
        <v>741</v>
      </c>
      <c r="H463" t="s">
        <v>422</v>
      </c>
      <c r="I463" s="87" t="s">
        <v>1176</v>
      </c>
      <c r="J463">
        <v>150</v>
      </c>
      <c r="L463">
        <v>950</v>
      </c>
      <c r="M463" s="197">
        <f>=J463*L463</f>
        <v>142500</v>
      </c>
      <c r="N463">
        <v>2.5</v>
      </c>
      <c r="O463" s="189">
        <f>=ROUND(IF((TODAY()-A463+1)*N463*(L463/10000)+L463&lt;L463*1.002,L463*1.002,(TODAY()-A463+1)*N463*(L463/10000)+L463),2)</f>
        <v>977.31</v>
      </c>
      <c r="P463">
        <v>150</v>
      </c>
      <c r="Q463" s="71">
        <f>=J463-P463</f>
        <v>0</v>
      </c>
      <c r="R463">
        <v>150</v>
      </c>
      <c r="S463" s="112">
        <f>=P463-R463</f>
        <v>0</v>
      </c>
      <c r="T463" s="71">
        <f>=S463*L463</f>
        <v>0</v>
      </c>
      <c r="U463" s="190">
        <f>=J463-P463</f>
        <v>0</v>
      </c>
    </row>
    <row r="464" spans="1:21" ht="15.75" customHeight="true">
      <c r="A464" s="80">
        <v>46111</v>
      </c>
      <c r="B464" s="71">
        <f>=TODAY()-A464+1</f>
        <v>114</v>
      </c>
      <c r="C464" s="98" t="s">
        <v>210</v>
      </c>
      <c r="D464" s="71" t="s">
        <v>191</v>
      </c>
      <c r="E464" s="160" t="s">
        <v>1177</v>
      </c>
      <c r="F464" t="s">
        <v>1076</v>
      </c>
      <c r="G464" t="s">
        <v>741</v>
      </c>
      <c r="H464" t="s">
        <v>422</v>
      </c>
      <c r="I464" s="87" t="s">
        <v>1087</v>
      </c>
      <c r="J464">
        <v>100</v>
      </c>
      <c r="L464">
        <v>1050</v>
      </c>
      <c r="M464" s="197">
        <f>=J464*L464</f>
        <v>105000</v>
      </c>
      <c r="N464">
        <v>2.5</v>
      </c>
      <c r="O464" s="189">
        <f>=ROUND(IF((TODAY()-A464+1)*N464*(L464/10000)+L464&lt;L464*1.002,L464*1.002,(TODAY()-A464+1)*N464*(L464/10000)+L464),2)</f>
        <v>1080.19</v>
      </c>
      <c r="P464">
        <v>100</v>
      </c>
      <c r="Q464" s="71">
        <f>=J464-P464</f>
        <v>0</v>
      </c>
      <c r="R464">
        <v>100</v>
      </c>
      <c r="S464" s="112">
        <f>=P464-R464</f>
        <v>0</v>
      </c>
      <c r="T464" s="71">
        <f>=S464*L464</f>
        <v>0</v>
      </c>
      <c r="U464" s="190">
        <f>=J464-P464</f>
        <v>0</v>
      </c>
    </row>
    <row r="465" spans="1:21" ht="15.75" customHeight="true">
      <c r="A465" s="80">
        <v>46106</v>
      </c>
      <c r="B465" s="71">
        <f>=TODAY()-A465+1</f>
        <v>119</v>
      </c>
      <c r="C465" s="98" t="s">
        <v>192</v>
      </c>
      <c r="D465" s="71" t="s">
        <v>191</v>
      </c>
      <c r="E465" s="160" t="s">
        <v>1178</v>
      </c>
      <c r="F465" s="242" t="s">
        <v>1076</v>
      </c>
      <c r="G465" s="262" t="s">
        <v>741</v>
      </c>
      <c r="H465" s="262" t="s">
        <v>422</v>
      </c>
      <c r="I465" s="64" t="s">
        <v>1179</v>
      </c>
      <c r="J465" s="71">
        <v>112</v>
      </c>
      <c r="K465" s="71" t="s"/>
      <c r="L465" s="71">
        <v>1225</v>
      </c>
      <c r="M465" s="197">
        <f>=J465*L465</f>
        <v>137200</v>
      </c>
      <c r="N465" s="71">
        <v>2.5</v>
      </c>
      <c r="O465" s="189">
        <f>=ROUND(IF((TODAY()-A465+1)*N465*(L465/10000)+L465&lt;L465*1.002,L465*1.002,(TODAY()-A465+1)*N465*(L465/10000)+L465),2)</f>
        <v>1261.75</v>
      </c>
      <c r="P465" s="71">
        <v>112</v>
      </c>
      <c r="Q465" s="71">
        <f>=J465-P465</f>
        <v>0</v>
      </c>
      <c r="R465" s="71">
        <v>112</v>
      </c>
      <c r="S465" s="112">
        <f>=P465-R465</f>
        <v>0</v>
      </c>
      <c r="T465" s="71">
        <f>=S465*L465</f>
        <v>0</v>
      </c>
      <c r="U465" s="190">
        <f>=J465-P465</f>
        <v>0</v>
      </c>
    </row>
    <row r="466" spans="1:21" ht="15.75" customHeight="true">
      <c r="A466" s="80">
        <v>46108</v>
      </c>
      <c r="B466" s="71">
        <f>=TODAY()-A466+1</f>
        <v>117</v>
      </c>
      <c r="C466" s="71" t="s">
        <v>205</v>
      </c>
      <c r="D466" s="64" t="s">
        <v>52</v>
      </c>
      <c r="E466" s="136" t="s">
        <v>1180</v>
      </c>
      <c r="G466" t="s">
        <v>428</v>
      </c>
      <c r="H466" t="s">
        <v>422</v>
      </c>
      <c r="I466" s="136" t="s">
        <v>1122</v>
      </c>
      <c r="J466">
        <v>37</v>
      </c>
      <c r="L466">
        <v>2730</v>
      </c>
      <c r="M466" s="112">
        <f>=J466*L466</f>
        <v>101010</v>
      </c>
      <c r="N466">
        <v>3</v>
      </c>
      <c r="O466" s="189">
        <f>=ROUND(IF((TODAY()-A466+1)*N466*(L466/10000)+L466&lt;L466*1.002,L466*1.002,(TODAY()-A466+1)*N466*(L466/10000)+L466),2)</f>
        <v>2826.64</v>
      </c>
      <c r="P466">
        <v>37</v>
      </c>
      <c r="Q466" s="71">
        <f>=J466-P466</f>
        <v>0</v>
      </c>
      <c r="S466" s="112">
        <f>=P466-R466</f>
        <v>37</v>
      </c>
      <c r="T466" s="71">
        <f>=S466*L466</f>
        <v>101010</v>
      </c>
      <c r="U466" s="190">
        <f>=J466-P466</f>
        <v>0</v>
      </c>
    </row>
    <row r="467" spans="1:21" ht="15.75" customHeight="true">
      <c r="A467" s="80">
        <v>46108</v>
      </c>
      <c r="B467" s="71">
        <f>=TODAY()-A467+1</f>
        <v>117</v>
      </c>
      <c r="C467" s="71" t="s">
        <v>205</v>
      </c>
      <c r="D467" s="64" t="s">
        <v>52</v>
      </c>
      <c r="E467" s="136" t="s">
        <v>1181</v>
      </c>
      <c r="G467" t="s">
        <v>428</v>
      </c>
      <c r="H467" t="s">
        <v>422</v>
      </c>
      <c r="I467" s="136" t="s">
        <v>1182</v>
      </c>
      <c r="J467">
        <v>5</v>
      </c>
      <c r="L467">
        <v>2730</v>
      </c>
      <c r="M467" s="112">
        <f>=J467*L467</f>
        <v>13650</v>
      </c>
      <c r="N467">
        <v>3</v>
      </c>
      <c r="O467" s="189">
        <f>=ROUND(IF((TODAY()-A467+1)*N467*(L467/10000)+L467&lt;L467*1.002,L467*1.002,(TODAY()-A467+1)*N467*(L467/10000)+L467),2)</f>
        <v>2826.64</v>
      </c>
      <c r="P467">
        <v>5</v>
      </c>
      <c r="Q467" s="71">
        <f>=J467-P467</f>
        <v>0</v>
      </c>
      <c r="S467" s="112">
        <f>=P467-R467</f>
        <v>5</v>
      </c>
      <c r="T467" s="71">
        <f>=S467*L467</f>
        <v>13650</v>
      </c>
      <c r="U467" s="190">
        <f>=J467-P467</f>
        <v>0</v>
      </c>
    </row>
    <row r="468" spans="1:21" ht="15.75" customHeight="true">
      <c r="A468" s="80">
        <v>46108</v>
      </c>
      <c r="B468" s="71">
        <f>=TODAY()-A468+1</f>
        <v>117</v>
      </c>
      <c r="C468" s="71" t="s">
        <v>205</v>
      </c>
      <c r="D468" s="64" t="s">
        <v>52</v>
      </c>
      <c r="E468" s="136" t="s">
        <v>1183</v>
      </c>
      <c r="G468" t="s">
        <v>428</v>
      </c>
      <c r="H468" t="s">
        <v>422</v>
      </c>
      <c r="I468" t="s">
        <v>1184</v>
      </c>
      <c r="J468">
        <v>35</v>
      </c>
      <c r="L468">
        <v>2730</v>
      </c>
      <c r="M468" s="112">
        <f>=J468*L468</f>
        <v>95550</v>
      </c>
      <c r="N468">
        <v>3</v>
      </c>
      <c r="O468" s="189">
        <f>=ROUND(IF((TODAY()-A468+1)*N468*(L468/10000)+L468&lt;L468*1.002,L468*1.002,(TODAY()-A468+1)*N468*(L468/10000)+L468),2)</f>
        <v>2826.64</v>
      </c>
      <c r="P468">
        <v>35</v>
      </c>
      <c r="Q468" s="71">
        <f>=J468-P468</f>
        <v>0</v>
      </c>
      <c r="S468" s="112">
        <f>=P468-R468</f>
        <v>35</v>
      </c>
      <c r="T468" s="71">
        <f>=S468*L468</f>
        <v>95550</v>
      </c>
      <c r="U468" s="190">
        <f>=J468-P468</f>
        <v>0</v>
      </c>
    </row>
    <row r="469" spans="1:21" ht="15.75" customHeight="true">
      <c r="A469" s="80">
        <v>46108</v>
      </c>
      <c r="B469" s="71">
        <f>=TODAY()-A469+1</f>
        <v>117</v>
      </c>
      <c r="C469" s="71" t="s">
        <v>205</v>
      </c>
      <c r="D469" s="64" t="s">
        <v>52</v>
      </c>
      <c r="E469" s="136" t="s">
        <v>1185</v>
      </c>
      <c r="G469" t="s">
        <v>428</v>
      </c>
      <c r="H469" t="s">
        <v>422</v>
      </c>
      <c r="I469" t="s">
        <v>1070</v>
      </c>
      <c r="J469">
        <v>25</v>
      </c>
      <c r="L469">
        <v>2730</v>
      </c>
      <c r="M469" s="112">
        <f>=J469*L469</f>
        <v>68250</v>
      </c>
      <c r="N469">
        <v>3</v>
      </c>
      <c r="O469" s="189">
        <f>=ROUND(IF((TODAY()-A469+1)*N469*(L469/10000)+L469&lt;L469*1.002,L469*1.002,(TODAY()-A469+1)*N469*(L469/10000)+L469),2)</f>
        <v>2826.64</v>
      </c>
      <c r="P469">
        <v>25</v>
      </c>
      <c r="Q469" s="71">
        <f>=J469-P469</f>
        <v>0</v>
      </c>
      <c r="S469" s="112">
        <f>=P469-R469</f>
        <v>25</v>
      </c>
      <c r="T469" s="71">
        <f>=S469*L469</f>
        <v>68250</v>
      </c>
      <c r="U469" s="190">
        <f>=J469-P469</f>
        <v>0</v>
      </c>
    </row>
    <row r="470" spans="1:21" ht="15.75" customHeight="true">
      <c r="A470" s="80">
        <v>46108</v>
      </c>
      <c r="B470" s="71">
        <f>=TODAY()-A470+1</f>
        <v>117</v>
      </c>
      <c r="C470" s="71" t="s">
        <v>205</v>
      </c>
      <c r="D470" s="64" t="s">
        <v>52</v>
      </c>
      <c r="E470" s="263" t="s">
        <v>1186</v>
      </c>
      <c r="G470" t="s">
        <v>428</v>
      </c>
      <c r="H470" t="s">
        <v>422</v>
      </c>
      <c r="I470" t="s">
        <v>1148</v>
      </c>
      <c r="J470">
        <v>5</v>
      </c>
      <c r="L470">
        <v>3150</v>
      </c>
      <c r="M470" s="112">
        <f>=J470*L470</f>
        <v>15750</v>
      </c>
      <c r="N470">
        <v>3</v>
      </c>
      <c r="O470" s="189">
        <f>=ROUND(IF((TODAY()-A470+1)*N470*(L470/10000)+L470&lt;L470*1.002,L470*1.002,(TODAY()-A470+1)*N470*(L470/10000)+L470),2)</f>
        <v>3261.51</v>
      </c>
      <c r="P470">
        <v>5</v>
      </c>
      <c r="Q470" s="71">
        <f>=J470-P470</f>
        <v>0</v>
      </c>
      <c r="S470" s="112">
        <f>=P470-R470</f>
        <v>5</v>
      </c>
      <c r="T470" s="71">
        <f>=S470*L470</f>
        <v>15750</v>
      </c>
      <c r="U470" s="190">
        <f>=J470-P470</f>
        <v>0</v>
      </c>
    </row>
    <row r="471" spans="1:21" ht="15.75" customHeight="true">
      <c r="A471" s="80">
        <v>46108</v>
      </c>
      <c r="B471" s="71">
        <f>=TODAY()-A471+1</f>
        <v>117</v>
      </c>
      <c r="C471" s="71" t="s">
        <v>205</v>
      </c>
      <c r="D471" s="64" t="s">
        <v>52</v>
      </c>
      <c r="E471" s="136" t="s">
        <v>1187</v>
      </c>
      <c r="G471" t="s">
        <v>428</v>
      </c>
      <c r="H471" t="s">
        <v>422</v>
      </c>
      <c r="I471" t="s">
        <v>1188</v>
      </c>
      <c r="J471">
        <v>5</v>
      </c>
      <c r="L471">
        <v>3150</v>
      </c>
      <c r="M471" s="112">
        <f>=J471*L471</f>
        <v>15750</v>
      </c>
      <c r="N471">
        <v>3</v>
      </c>
      <c r="O471" s="189">
        <f>=ROUND(IF((TODAY()-A471+1)*N471*(L471/10000)+L471&lt;L471*1.002,L471*1.002,(TODAY()-A471+1)*N471*(L471/10000)+L471),2)</f>
        <v>3261.51</v>
      </c>
      <c r="P471">
        <v>5</v>
      </c>
      <c r="Q471" s="71">
        <f>=J471-P471</f>
        <v>0</v>
      </c>
      <c r="S471" s="112">
        <f>=P471-R471</f>
        <v>5</v>
      </c>
      <c r="T471" s="71">
        <f>=S471*L471</f>
        <v>15750</v>
      </c>
      <c r="U471" s="190">
        <f>=J471-P471</f>
        <v>0</v>
      </c>
    </row>
    <row r="472" spans="1:21" ht="15.75" customHeight="true">
      <c r="A472" s="80">
        <v>46108</v>
      </c>
      <c r="B472" s="71">
        <f>=TODAY()-A472+1</f>
        <v>117</v>
      </c>
      <c r="C472" s="71" t="s">
        <v>205</v>
      </c>
      <c r="D472" s="64" t="s">
        <v>52</v>
      </c>
      <c r="E472" s="136" t="s">
        <v>1189</v>
      </c>
      <c r="G472" t="s">
        <v>428</v>
      </c>
      <c r="H472" t="s">
        <v>422</v>
      </c>
      <c r="I472" t="s">
        <v>1190</v>
      </c>
      <c r="J472">
        <v>10</v>
      </c>
      <c r="L472">
        <v>3150</v>
      </c>
      <c r="M472" s="112">
        <f>=J472*L472</f>
        <v>31500</v>
      </c>
      <c r="N472">
        <v>3</v>
      </c>
      <c r="O472" s="189">
        <f>=ROUND(IF((TODAY()-A472+1)*N472*(L472/10000)+L472&lt;L472*1.002,L472*1.002,(TODAY()-A472+1)*N472*(L472/10000)+L472),2)</f>
        <v>3261.51</v>
      </c>
      <c r="P472">
        <v>10</v>
      </c>
      <c r="Q472" s="71">
        <f>=J472-P472</f>
        <v>0</v>
      </c>
      <c r="S472" s="112">
        <f>=P472-R472</f>
        <v>10</v>
      </c>
      <c r="T472" s="71">
        <f>=S472*L472</f>
        <v>31500</v>
      </c>
      <c r="U472" s="190">
        <f>=J472-P472</f>
        <v>0</v>
      </c>
    </row>
    <row r="473" spans="1:21" ht="15.75" customHeight="true">
      <c r="A473" s="80">
        <v>46108</v>
      </c>
      <c r="B473" s="71">
        <f>=TODAY()-A473+1</f>
        <v>117</v>
      </c>
      <c r="C473" s="71" t="s">
        <v>205</v>
      </c>
      <c r="D473" s="64" t="s">
        <v>52</v>
      </c>
      <c r="E473" s="136" t="s">
        <v>1191</v>
      </c>
      <c r="G473" t="s">
        <v>428</v>
      </c>
      <c r="H473" t="s">
        <v>422</v>
      </c>
      <c r="I473" t="s">
        <v>1192</v>
      </c>
      <c r="J473">
        <v>5</v>
      </c>
      <c r="L473">
        <v>3150</v>
      </c>
      <c r="M473" s="112">
        <f>=J473*L473</f>
        <v>15750</v>
      </c>
      <c r="N473">
        <v>3</v>
      </c>
      <c r="O473" s="189">
        <f>=ROUND(IF((TODAY()-A473+1)*N473*(L473/10000)+L473&lt;L473*1.002,L473*1.002,(TODAY()-A473+1)*N473*(L473/10000)+L473),2)</f>
        <v>3261.51</v>
      </c>
      <c r="P473">
        <v>5</v>
      </c>
      <c r="Q473" s="71">
        <f>=J473-P473</f>
        <v>0</v>
      </c>
      <c r="S473" s="112">
        <f>=P473-R473</f>
        <v>5</v>
      </c>
      <c r="T473" s="71">
        <f>=S473*L473</f>
        <v>15750</v>
      </c>
      <c r="U473" s="190">
        <f>=J473-P473</f>
        <v>0</v>
      </c>
    </row>
    <row r="474" spans="1:21" ht="15.75" customHeight="true">
      <c r="A474" s="80">
        <v>46108</v>
      </c>
      <c r="B474" s="71">
        <f>=TODAY()-A474+1</f>
        <v>117</v>
      </c>
      <c r="C474" s="71" t="s">
        <v>205</v>
      </c>
      <c r="D474" s="64" t="s">
        <v>52</v>
      </c>
      <c r="E474" s="136" t="s">
        <v>1193</v>
      </c>
      <c r="G474" t="s">
        <v>428</v>
      </c>
      <c r="H474" t="s">
        <v>422</v>
      </c>
      <c r="I474" t="s">
        <v>1194</v>
      </c>
      <c r="J474">
        <v>7</v>
      </c>
      <c r="L474">
        <v>3815</v>
      </c>
      <c r="M474" s="112">
        <f>=J474*L474</f>
        <v>26705</v>
      </c>
      <c r="N474">
        <v>3</v>
      </c>
      <c r="O474" s="189">
        <f>=ROUND(IF((TODAY()-A474+1)*N474*(L474/10000)+L474&lt;L474*1.002,L474*1.002,(TODAY()-A474+1)*N474*(L474/10000)+L474),2)</f>
        <v>3950.05</v>
      </c>
      <c r="P474">
        <v>7</v>
      </c>
      <c r="Q474" s="71">
        <f>=J474-P474</f>
        <v>0</v>
      </c>
      <c r="S474" s="112">
        <f>=P474-R474</f>
        <v>7</v>
      </c>
      <c r="T474" s="71">
        <f>=S474*L474</f>
        <v>26705</v>
      </c>
      <c r="U474" s="190">
        <f>=J474-P474</f>
        <v>0</v>
      </c>
    </row>
    <row r="475" spans="1:21" ht="15.75" customHeight="true">
      <c r="A475" s="80">
        <v>46108</v>
      </c>
      <c r="B475" s="71">
        <f>=TODAY()-A475+1</f>
        <v>117</v>
      </c>
      <c r="C475" s="71" t="s">
        <v>205</v>
      </c>
      <c r="D475" s="64" t="s">
        <v>52</v>
      </c>
      <c r="E475" s="136" t="s">
        <v>1195</v>
      </c>
      <c r="G475" t="s">
        <v>428</v>
      </c>
      <c r="H475" t="s">
        <v>422</v>
      </c>
      <c r="I475" t="s">
        <v>635</v>
      </c>
      <c r="J475">
        <v>10</v>
      </c>
      <c r="L475">
        <v>3815</v>
      </c>
      <c r="M475" s="112">
        <f>=J475*L475</f>
        <v>38150</v>
      </c>
      <c r="N475">
        <v>3</v>
      </c>
      <c r="O475" s="189">
        <f>=ROUND(IF((TODAY()-A475+1)*N475*(L475/10000)+L475&lt;L475*1.002,L475*1.002,(TODAY()-A475+1)*N475*(L475/10000)+L475),2)</f>
        <v>3950.05</v>
      </c>
      <c r="P475">
        <v>10</v>
      </c>
      <c r="Q475" s="71">
        <f>=J475-P475</f>
        <v>0</v>
      </c>
      <c r="S475" s="112">
        <f>=P475-R475</f>
        <v>10</v>
      </c>
      <c r="T475" s="71">
        <f>=S475*L475</f>
        <v>38150</v>
      </c>
      <c r="U475" s="190">
        <f>=J475-P475</f>
        <v>0</v>
      </c>
    </row>
    <row r="476" spans="1:21" ht="15.75" customHeight="true">
      <c r="A476" s="80">
        <v>46108</v>
      </c>
      <c r="B476" s="71">
        <f>=TODAY()-A476+1</f>
        <v>117</v>
      </c>
      <c r="C476" s="71" t="s">
        <v>205</v>
      </c>
      <c r="D476" s="64" t="s">
        <v>52</v>
      </c>
      <c r="E476" s="136" t="s">
        <v>1196</v>
      </c>
      <c r="G476" t="s">
        <v>428</v>
      </c>
      <c r="H476" t="s">
        <v>422</v>
      </c>
      <c r="I476" t="s">
        <v>497</v>
      </c>
      <c r="J476">
        <v>12</v>
      </c>
      <c r="L476">
        <v>3815</v>
      </c>
      <c r="M476" s="112">
        <f>=J476*L476</f>
        <v>45780</v>
      </c>
      <c r="N476">
        <v>3</v>
      </c>
      <c r="O476" s="189">
        <f>=ROUND(IF((TODAY()-A476+1)*N476*(L476/10000)+L476&lt;L476*1.002,L476*1.002,(TODAY()-A476+1)*N476*(L476/10000)+L476),2)</f>
        <v>3950.05</v>
      </c>
      <c r="P476">
        <v>12</v>
      </c>
      <c r="Q476" s="71">
        <f>=J476-P476</f>
        <v>0</v>
      </c>
      <c r="S476" s="112">
        <f>=P476-R476</f>
        <v>12</v>
      </c>
      <c r="T476" s="71">
        <f>=S476*L476</f>
        <v>45780</v>
      </c>
      <c r="U476" s="190">
        <f>=J476-P476</f>
        <v>0</v>
      </c>
    </row>
    <row r="477" spans="1:21" ht="15.75" customHeight="true">
      <c r="A477" s="80">
        <v>46108</v>
      </c>
      <c r="B477" s="71">
        <f>=TODAY()-A477+1</f>
        <v>117</v>
      </c>
      <c r="C477" s="71" t="s">
        <v>205</v>
      </c>
      <c r="D477" s="64" t="s">
        <v>52</v>
      </c>
      <c r="E477" s="136" t="s">
        <v>1197</v>
      </c>
      <c r="G477" t="s">
        <v>428</v>
      </c>
      <c r="H477" t="s">
        <v>422</v>
      </c>
      <c r="I477" s="87" t="s">
        <v>926</v>
      </c>
      <c r="J477">
        <v>6</v>
      </c>
      <c r="L477">
        <v>2870</v>
      </c>
      <c r="M477" s="112">
        <f>=J477*L477</f>
        <v>17220</v>
      </c>
      <c r="N477">
        <v>3</v>
      </c>
      <c r="O477" s="189">
        <f>=ROUND(IF((TODAY()-A477+1)*N477*(L477/10000)+L477&lt;L477*1.002,L477*1.002,(TODAY()-A477+1)*N477*(L477/10000)+L477),2)</f>
        <v>2971.6</v>
      </c>
      <c r="P477">
        <v>6</v>
      </c>
      <c r="Q477" s="71">
        <f>=J477-P477</f>
        <v>0</v>
      </c>
      <c r="R477">
        <v>6</v>
      </c>
      <c r="S477" s="112">
        <f>=P477-R477</f>
        <v>0</v>
      </c>
      <c r="T477" s="71">
        <f>=S477*L477</f>
        <v>0</v>
      </c>
      <c r="U477" s="190">
        <f>=J477-P477</f>
        <v>0</v>
      </c>
    </row>
    <row r="478" spans="1:21" ht="15.75" customHeight="true">
      <c r="A478" s="80">
        <v>46108</v>
      </c>
      <c r="B478" s="71">
        <f>=TODAY()-A478+1</f>
        <v>117</v>
      </c>
      <c r="C478" s="71" t="s">
        <v>205</v>
      </c>
      <c r="D478" s="64" t="s">
        <v>52</v>
      </c>
      <c r="E478" s="136" t="s">
        <v>1198</v>
      </c>
      <c r="G478" t="s">
        <v>428</v>
      </c>
      <c r="H478" t="s">
        <v>422</v>
      </c>
      <c r="I478" t="s">
        <v>928</v>
      </c>
      <c r="J478">
        <v>7</v>
      </c>
      <c r="L478">
        <v>2870</v>
      </c>
      <c r="M478" s="112">
        <f>=J478*L478</f>
        <v>20090</v>
      </c>
      <c r="N478">
        <v>3</v>
      </c>
      <c r="O478" s="189">
        <f>=ROUND(IF((TODAY()-A478+1)*N478*(L478/10000)+L478&lt;L478*1.002,L478*1.002,(TODAY()-A478+1)*N478*(L478/10000)+L478),2)</f>
        <v>2971.6</v>
      </c>
      <c r="P478">
        <v>7</v>
      </c>
      <c r="Q478" s="71">
        <f>=J478-P478</f>
        <v>0</v>
      </c>
      <c r="S478" s="112">
        <f>=P478-R478</f>
        <v>7</v>
      </c>
      <c r="T478" s="71">
        <f>=S478*L478</f>
        <v>20090</v>
      </c>
      <c r="U478" s="190">
        <f>=J478-P478</f>
        <v>0</v>
      </c>
    </row>
    <row r="479" spans="1:21" ht="15.75" customHeight="true">
      <c r="A479" s="80">
        <v>46108</v>
      </c>
      <c r="B479" s="71">
        <f>=TODAY()-A479+1</f>
        <v>117</v>
      </c>
      <c r="C479" s="71" t="s">
        <v>205</v>
      </c>
      <c r="D479" s="64" t="s">
        <v>52</v>
      </c>
      <c r="E479" s="136" t="s">
        <v>1199</v>
      </c>
      <c r="G479" t="s">
        <v>428</v>
      </c>
      <c r="H479" t="s">
        <v>422</v>
      </c>
      <c r="I479" t="s">
        <v>933</v>
      </c>
      <c r="J479">
        <v>10</v>
      </c>
      <c r="L479">
        <v>2870</v>
      </c>
      <c r="M479" s="112">
        <f>=J479*L479</f>
        <v>28700</v>
      </c>
      <c r="N479">
        <v>3</v>
      </c>
      <c r="O479" s="189">
        <f>=ROUND(IF((TODAY()-A479+1)*N479*(L479/10000)+L479&lt;L479*1.002,L479*1.002,(TODAY()-A479+1)*N479*(L479/10000)+L479),2)</f>
        <v>2971.6</v>
      </c>
      <c r="P479">
        <v>10</v>
      </c>
      <c r="Q479" s="71">
        <f>=J479-P479</f>
        <v>0</v>
      </c>
      <c r="S479" s="112">
        <f>=P479-R479</f>
        <v>10</v>
      </c>
      <c r="T479" s="71">
        <f>=S479*L479</f>
        <v>28700</v>
      </c>
      <c r="U479" s="190">
        <f>=J479-P479</f>
        <v>0</v>
      </c>
    </row>
    <row r="480" spans="1:21" ht="15.75" customHeight="true">
      <c r="A480" s="80">
        <v>46108</v>
      </c>
      <c r="B480" s="71">
        <f>=TODAY()-A480+1</f>
        <v>117</v>
      </c>
      <c r="C480" s="71" t="s">
        <v>205</v>
      </c>
      <c r="D480" s="64" t="s">
        <v>52</v>
      </c>
      <c r="E480" s="155" t="s">
        <v>1200</v>
      </c>
      <c r="F480" s="258" t="s"/>
      <c r="G480" s="267" t="s">
        <v>428</v>
      </c>
      <c r="H480" s="267" t="s">
        <v>422</v>
      </c>
      <c r="I480" s="87" t="s">
        <v>632</v>
      </c>
      <c r="J480">
        <v>5</v>
      </c>
      <c r="L480">
        <v>3080</v>
      </c>
      <c r="M480" s="112">
        <f>=J480*L480</f>
        <v>15400</v>
      </c>
      <c r="N480">
        <v>3</v>
      </c>
      <c r="O480" s="189">
        <f>=ROUND(IF((TODAY()-A480+1)*N480*(L480/10000)+L480&lt;L480*1.002,L480*1.002,(TODAY()-A480+1)*N480*(L480/10000)+L480),2)</f>
        <v>3189.03</v>
      </c>
      <c r="P480">
        <v>5</v>
      </c>
      <c r="Q480" s="71">
        <f>=J480-P480</f>
        <v>0</v>
      </c>
      <c r="R480">
        <v>5</v>
      </c>
      <c r="S480" s="112">
        <f>=P480-R480</f>
        <v>0</v>
      </c>
      <c r="T480" s="71">
        <f>=S480*L480</f>
        <v>0</v>
      </c>
      <c r="U480" s="190">
        <f>=J480-P480</f>
        <v>0</v>
      </c>
    </row>
    <row r="481" spans="1:21" ht="15.75" customHeight="true">
      <c r="A481" s="80">
        <v>46108</v>
      </c>
      <c r="B481" s="71">
        <f>=TODAY()-A481+1</f>
        <v>117</v>
      </c>
      <c r="C481" s="64" t="s">
        <v>205</v>
      </c>
      <c r="D481" s="64" t="s">
        <v>52</v>
      </c>
      <c r="E481" s="136" t="s">
        <v>1201</v>
      </c>
      <c r="G481" t="s">
        <v>428</v>
      </c>
      <c r="H481" t="s">
        <v>422</v>
      </c>
      <c r="I481" t="s">
        <v>629</v>
      </c>
      <c r="J481">
        <v>5</v>
      </c>
      <c r="L481">
        <v>2870</v>
      </c>
      <c r="M481" s="112">
        <f>=J481*L481</f>
        <v>14350</v>
      </c>
      <c r="N481">
        <v>3</v>
      </c>
      <c r="O481" s="189">
        <f>=ROUND(IF((TODAY()-A481+1)*N481*(L481/10000)+L481&lt;L481*1.002,L481*1.002,(TODAY()-A481+1)*N481*(L481/10000)+L481),2)</f>
        <v>2971.6</v>
      </c>
      <c r="P481">
        <v>5</v>
      </c>
      <c r="Q481" s="71">
        <f>=J481-P481</f>
        <v>0</v>
      </c>
      <c r="R481">
        <v>5</v>
      </c>
      <c r="S481" s="112">
        <f>=P481-R481</f>
        <v>0</v>
      </c>
      <c r="T481" s="71">
        <f>=S481*L481</f>
        <v>0</v>
      </c>
      <c r="U481" s="190">
        <f>=J481-P481</f>
        <v>0</v>
      </c>
    </row>
    <row r="482" spans="1:21" ht="15.75" customHeight="true">
      <c r="A482" s="80">
        <v>46108</v>
      </c>
      <c r="B482" s="71">
        <f>=TODAY()-A482+1</f>
        <v>117</v>
      </c>
      <c r="C482" s="64" t="s">
        <v>205</v>
      </c>
      <c r="D482" s="64" t="s">
        <v>52</v>
      </c>
      <c r="E482" s="136" t="s">
        <v>1202</v>
      </c>
      <c r="G482" t="s">
        <v>428</v>
      </c>
      <c r="H482" t="s">
        <v>422</v>
      </c>
      <c r="I482" t="s">
        <v>499</v>
      </c>
      <c r="J482">
        <v>7</v>
      </c>
      <c r="L482">
        <v>2870</v>
      </c>
      <c r="M482" s="112">
        <f>=J482*L482</f>
        <v>20090</v>
      </c>
      <c r="N482">
        <v>3</v>
      </c>
      <c r="O482" s="189">
        <f>=ROUND(IF((TODAY()-A482+1)*N482*(L482/10000)+L482&lt;L482*1.002,L482*1.002,(TODAY()-A482+1)*N482*(L482/10000)+L482),2)</f>
        <v>2971.6</v>
      </c>
      <c r="P482">
        <v>7</v>
      </c>
      <c r="Q482" s="71">
        <f>=J482-P482</f>
        <v>0</v>
      </c>
      <c r="R482">
        <v>7</v>
      </c>
      <c r="S482" s="112">
        <f>=P482-R482</f>
        <v>0</v>
      </c>
      <c r="T482" s="71">
        <f>=S482*L482</f>
        <v>0</v>
      </c>
      <c r="U482" s="190">
        <f>=J482-P482</f>
        <v>0</v>
      </c>
    </row>
    <row r="483" spans="1:21" ht="15.75" customHeight="true">
      <c r="A483" s="80">
        <v>46108</v>
      </c>
      <c r="B483" s="71">
        <f>=TODAY()-A483+1</f>
        <v>117</v>
      </c>
      <c r="C483" s="64" t="s">
        <v>205</v>
      </c>
      <c r="D483" s="64" t="s">
        <v>52</v>
      </c>
      <c r="E483" s="136" t="s">
        <v>1203</v>
      </c>
      <c r="G483" t="s">
        <v>428</v>
      </c>
      <c r="H483" t="s">
        <v>422</v>
      </c>
      <c r="I483" t="s">
        <v>890</v>
      </c>
      <c r="J483">
        <v>8</v>
      </c>
      <c r="L483">
        <v>3080</v>
      </c>
      <c r="M483" s="112">
        <f>=J483*L483</f>
        <v>24640</v>
      </c>
      <c r="N483">
        <v>3</v>
      </c>
      <c r="O483" s="189">
        <f>=ROUND(IF((TODAY()-A483+1)*N483*(L483/10000)+L483&lt;L483*1.002,L483*1.002,(TODAY()-A483+1)*N483*(L483/10000)+L483),2)</f>
        <v>3189.03</v>
      </c>
      <c r="P483">
        <v>8</v>
      </c>
      <c r="Q483" s="71">
        <f>=J483-P483</f>
        <v>0</v>
      </c>
      <c r="R483">
        <v>8</v>
      </c>
      <c r="S483" s="112">
        <f>=P483-R483</f>
        <v>0</v>
      </c>
      <c r="T483" s="71">
        <f>=S483*L483</f>
        <v>0</v>
      </c>
      <c r="U483" s="190">
        <f>=J483-P483</f>
        <v>0</v>
      </c>
    </row>
    <row r="484" spans="1:21" ht="15.75" customHeight="true">
      <c r="A484" s="80">
        <v>46108</v>
      </c>
      <c r="B484" s="71">
        <f>=TODAY()-A484+1</f>
        <v>117</v>
      </c>
      <c r="C484" s="64" t="s">
        <v>205</v>
      </c>
      <c r="D484" s="64" t="s">
        <v>52</v>
      </c>
      <c r="E484" s="136" t="s">
        <v>1204</v>
      </c>
      <c r="G484" t="s">
        <v>428</v>
      </c>
      <c r="H484" t="s">
        <v>422</v>
      </c>
      <c r="I484" t="s">
        <v>892</v>
      </c>
      <c r="J484">
        <v>8</v>
      </c>
      <c r="L484">
        <v>2870</v>
      </c>
      <c r="M484" s="112">
        <f>=J484*L484</f>
        <v>22960</v>
      </c>
      <c r="N484">
        <v>3</v>
      </c>
      <c r="O484" s="189">
        <f>=ROUND(IF((TODAY()-A484+1)*N484*(L484/10000)+L484&lt;L484*1.002,L484*1.002,(TODAY()-A484+1)*N484*(L484/10000)+L484),2)</f>
        <v>2971.6</v>
      </c>
      <c r="P484">
        <v>8</v>
      </c>
      <c r="Q484" s="71">
        <f>=J484-P484</f>
        <v>0</v>
      </c>
      <c r="R484">
        <v>8</v>
      </c>
      <c r="S484" s="112">
        <f>=P484-R484</f>
        <v>0</v>
      </c>
      <c r="T484" s="71">
        <f>=S484*L484</f>
        <v>0</v>
      </c>
      <c r="U484" s="190">
        <f>=J484-P484</f>
        <v>0</v>
      </c>
    </row>
    <row r="485" spans="1:21" ht="15.75" customHeight="true">
      <c r="A485" s="80">
        <v>46108</v>
      </c>
      <c r="B485" s="71">
        <f>=TODAY()-A485+1</f>
        <v>117</v>
      </c>
      <c r="C485" s="71" t="s">
        <v>205</v>
      </c>
      <c r="D485" s="64" t="s">
        <v>52</v>
      </c>
      <c r="E485" s="136" t="s">
        <v>1205</v>
      </c>
      <c r="G485" t="s">
        <v>428</v>
      </c>
      <c r="H485" t="s">
        <v>422</v>
      </c>
      <c r="I485" s="87" t="s">
        <v>643</v>
      </c>
      <c r="J485">
        <v>5</v>
      </c>
      <c r="L485">
        <v>2800</v>
      </c>
      <c r="M485" s="112">
        <f>=J485*L485</f>
        <v>14000</v>
      </c>
      <c r="N485">
        <v>3</v>
      </c>
      <c r="O485" s="189">
        <f>=ROUND(IF((TODAY()-A485+1)*N485*(L485/10000)+L485&lt;L485*1.002,L485*1.002,(TODAY()-A485+1)*N485*(L485/10000)+L485),2)</f>
        <v>2899.12</v>
      </c>
      <c r="P485">
        <v>5</v>
      </c>
      <c r="Q485" s="71">
        <f>=J485-P485</f>
        <v>0</v>
      </c>
      <c r="S485" s="112">
        <f>=P485-R485</f>
        <v>5</v>
      </c>
      <c r="T485" s="71">
        <f>=S485*L485</f>
        <v>14000</v>
      </c>
      <c r="U485" s="190">
        <f>=J485-P485</f>
        <v>0</v>
      </c>
    </row>
    <row r="486" spans="1:21" s="258" customFormat="true" ht="15.75" customHeight="true">
      <c r="A486" s="80">
        <v>46109</v>
      </c>
      <c r="B486" s="71">
        <f>=TODAY()-A486+1</f>
        <v>116</v>
      </c>
      <c r="C486" s="80" t="s">
        <v>206</v>
      </c>
      <c r="D486" s="64" t="s">
        <v>189</v>
      </c>
      <c r="E486" s="160" t="s">
        <v>1206</v>
      </c>
      <c r="F486" s="141" t="s">
        <v>1045</v>
      </c>
      <c r="G486" s="262" t="s">
        <v>428</v>
      </c>
      <c r="H486" s="262" t="s">
        <v>422</v>
      </c>
      <c r="I486" s="274" t="s">
        <v>1207</v>
      </c>
      <c r="J486" s="274">
        <v>2</v>
      </c>
      <c r="L486" s="87">
        <v>4720</v>
      </c>
      <c r="M486" s="197">
        <f>=J486*L486</f>
        <v>9440</v>
      </c>
      <c r="N486" s="87">
        <v>3</v>
      </c>
      <c r="O486" s="189">
        <f>=ROUND(IF((TODAY()-A486+1)*N486*(L486/10000)+L486&lt;L486*1.002,L486*1.002,(TODAY()-A486+1)*N486*(L486/10000)+L486),2)</f>
        <v>4885.67</v>
      </c>
      <c r="P486" s="87">
        <v>2</v>
      </c>
      <c r="Q486" s="64">
        <f>=J486-P486</f>
        <v>0</v>
      </c>
      <c r="R486" s="87">
        <v>2</v>
      </c>
      <c r="S486" s="197">
        <f>=P486-R486</f>
        <v>0</v>
      </c>
      <c r="T486" s="71">
        <f>=S486*L486</f>
        <v>0</v>
      </c>
      <c r="U486" s="190">
        <f>=J486-P486</f>
        <v>0</v>
      </c>
    </row>
    <row r="487" spans="1:21" s="258" customFormat="true" ht="15.75" customHeight="true">
      <c r="A487" s="80">
        <v>46109</v>
      </c>
      <c r="B487" s="71">
        <f>=TODAY()-A487+1</f>
        <v>116</v>
      </c>
      <c r="C487" s="80" t="s">
        <v>206</v>
      </c>
      <c r="D487" s="64" t="s">
        <v>189</v>
      </c>
      <c r="E487" s="160" t="s">
        <v>1208</v>
      </c>
      <c r="F487" s="141" t="s">
        <v>1045</v>
      </c>
      <c r="G487" s="275" t="s">
        <v>428</v>
      </c>
      <c r="H487" s="275" t="s">
        <v>422</v>
      </c>
      <c r="I487" s="276" t="s">
        <v>1209</v>
      </c>
      <c r="J487" s="274">
        <v>2</v>
      </c>
      <c r="L487" s="87">
        <v>6800</v>
      </c>
      <c r="M487" s="197">
        <f>=J487*L487</f>
        <v>13600</v>
      </c>
      <c r="N487" s="87">
        <v>3</v>
      </c>
      <c r="O487" s="189">
        <f>=ROUND(IF((TODAY()-A487+1)*N487*(L487/10000)+L487&lt;L487*1.002,L487*1.002,(TODAY()-A487+1)*N487*(L487/10000)+L487),2)</f>
        <v>7038.68</v>
      </c>
      <c r="P487" s="87">
        <v>2</v>
      </c>
      <c r="Q487" s="64">
        <f>=J487-P487</f>
        <v>0</v>
      </c>
      <c r="R487" s="87">
        <v>2</v>
      </c>
      <c r="S487" s="197">
        <f>=P487-R487</f>
        <v>0</v>
      </c>
      <c r="T487" s="71">
        <f>=S487*L487</f>
        <v>0</v>
      </c>
      <c r="U487" s="190">
        <f>=J487-P487</f>
        <v>0</v>
      </c>
    </row>
    <row r="488" spans="1:21" s="258" customFormat="true" ht="15.75" customHeight="true">
      <c r="A488" s="80">
        <v>46109</v>
      </c>
      <c r="B488" s="71">
        <f>=TODAY()-A488+1</f>
        <v>116</v>
      </c>
      <c r="C488" s="80" t="s">
        <v>206</v>
      </c>
      <c r="D488" s="64" t="s">
        <v>189</v>
      </c>
      <c r="E488" s="246" t="s">
        <v>1210</v>
      </c>
      <c r="F488" s="141" t="s">
        <v>1045</v>
      </c>
      <c r="G488" s="262" t="s">
        <v>428</v>
      </c>
      <c r="H488" s="262" t="s">
        <v>422</v>
      </c>
      <c r="I488" s="274" t="s">
        <v>1211</v>
      </c>
      <c r="J488" s="274">
        <v>2</v>
      </c>
      <c r="L488" s="87">
        <v>5920</v>
      </c>
      <c r="M488" s="197">
        <f>=J488*L488</f>
        <v>11840</v>
      </c>
      <c r="N488" s="87">
        <v>3</v>
      </c>
      <c r="O488" s="189">
        <f>=ROUND(IF((TODAY()-A488+1)*N488*(L488/10000)+L488&lt;L488*1.002,L488*1.002,(TODAY()-A488+1)*N488*(L488/10000)+L488),2)</f>
        <v>6127.79</v>
      </c>
      <c r="P488" s="87">
        <v>2</v>
      </c>
      <c r="Q488" s="64">
        <f>=J488-P488</f>
        <v>0</v>
      </c>
      <c r="R488" s="87">
        <v>2</v>
      </c>
      <c r="S488" s="197">
        <f>=P488-R488</f>
        <v>0</v>
      </c>
      <c r="T488" s="71">
        <f>=S488*L488</f>
        <v>0</v>
      </c>
      <c r="U488" s="190">
        <f>=J488-P488</f>
        <v>0</v>
      </c>
    </row>
    <row r="489" spans="1:21" s="258" customFormat="true" ht="15.75" customHeight="true">
      <c r="A489" s="80">
        <v>46111</v>
      </c>
      <c r="B489" s="71">
        <f>=TODAY()-A489+1</f>
        <v>114</v>
      </c>
      <c r="C489" s="98" t="s">
        <v>208</v>
      </c>
      <c r="D489" s="71" t="s">
        <v>189</v>
      </c>
      <c r="E489" s="246" t="s">
        <v>1212</v>
      </c>
      <c r="F489" s="242" t="s">
        <v>1045</v>
      </c>
      <c r="G489" s="277" t="s">
        <v>428</v>
      </c>
      <c r="H489" s="277" t="s">
        <v>422</v>
      </c>
      <c r="I489" s="278" t="s">
        <v>651</v>
      </c>
      <c r="J489" s="279">
        <v>2</v>
      </c>
      <c r="L489">
        <v>4720</v>
      </c>
      <c r="M489" s="217">
        <f>=J489*L489</f>
        <v>9440</v>
      </c>
      <c r="N489">
        <v>3</v>
      </c>
      <c r="O489" s="189">
        <f>=ROUND(IF((TODAY()-A489+1)*N489*(L489/10000)+L489&lt;L489*1.002,L489*1.002,(TODAY()-A489+1)*N489*(L489/10000)+L489),2)</f>
        <v>4882.84</v>
      </c>
      <c r="P489">
        <v>2</v>
      </c>
      <c r="Q489" s="71">
        <f>=J489-P489</f>
        <v>0</v>
      </c>
      <c r="R489" s="117">
        <v>2</v>
      </c>
      <c r="S489" s="112">
        <f>=P489-R489</f>
        <v>0</v>
      </c>
      <c r="T489" s="71">
        <f>=S489*L489</f>
        <v>0</v>
      </c>
      <c r="U489" s="190">
        <f>=J489-P489</f>
        <v>0</v>
      </c>
    </row>
    <row r="490" spans="1:21" s="258" customFormat="true" ht="15.75" customHeight="true">
      <c r="A490" s="80">
        <v>46111</v>
      </c>
      <c r="B490" s="71">
        <f>=TODAY()-A490+1</f>
        <v>114</v>
      </c>
      <c r="C490" s="98" t="s">
        <v>208</v>
      </c>
      <c r="D490" s="71" t="s">
        <v>189</v>
      </c>
      <c r="E490" s="246" t="s">
        <v>1213</v>
      </c>
      <c r="F490" s="242" t="s">
        <v>1045</v>
      </c>
      <c r="G490" s="277" t="s">
        <v>428</v>
      </c>
      <c r="H490" s="277" t="s">
        <v>422</v>
      </c>
      <c r="I490" s="278" t="s">
        <v>1214</v>
      </c>
      <c r="J490" s="279">
        <v>2</v>
      </c>
      <c r="L490">
        <v>4080</v>
      </c>
      <c r="M490" s="217">
        <f>=J490*L490</f>
        <v>8160</v>
      </c>
      <c r="N490">
        <v>3</v>
      </c>
      <c r="O490" s="189">
        <f>=ROUND(IF((TODAY()-A490+1)*N490*(L490/10000)+L490&lt;L490*1.002,L490*1.002,(TODAY()-A490+1)*N490*(L490/10000)+L490),2)</f>
        <v>4220.76</v>
      </c>
      <c r="P490">
        <v>2</v>
      </c>
      <c r="Q490" s="71">
        <f>=J490-P490</f>
        <v>0</v>
      </c>
      <c r="R490" s="117">
        <v>2</v>
      </c>
      <c r="S490" s="112">
        <f>=P490-R490</f>
        <v>0</v>
      </c>
      <c r="T490" s="71">
        <f>=S490*L490</f>
        <v>0</v>
      </c>
      <c r="U490" s="190">
        <f>=J490-P490</f>
        <v>0</v>
      </c>
    </row>
    <row r="491" spans="1:26" s="258" customFormat="true" ht="15.75" customHeight="true">
      <c r="A491" s="80">
        <v>46111</v>
      </c>
      <c r="B491" s="71">
        <f>=TODAY()-A491+1</f>
        <v>114</v>
      </c>
      <c r="C491" s="98" t="s">
        <v>208</v>
      </c>
      <c r="D491" s="71" t="s">
        <v>189</v>
      </c>
      <c r="E491" s="246" t="s">
        <v>1215</v>
      </c>
      <c r="F491" s="242" t="s">
        <v>1045</v>
      </c>
      <c r="G491" s="280" t="s">
        <v>428</v>
      </c>
      <c r="H491" s="280" t="s">
        <v>422</v>
      </c>
      <c r="I491" s="281" t="s">
        <v>1216</v>
      </c>
      <c r="J491" s="282">
        <v>2</v>
      </c>
      <c r="K491" s="283" t="s"/>
      <c r="L491" s="283">
        <v>4080</v>
      </c>
      <c r="M491" s="217">
        <f>=J491*L491</f>
        <v>8160</v>
      </c>
      <c r="N491" s="283">
        <v>3</v>
      </c>
      <c r="O491" s="189">
        <f>=ROUND(IF((TODAY()-A491+1)*N491*(L491/10000)+L491&lt;L491*1.002,L491*1.002,(TODAY()-A491+1)*N491*(L491/10000)+L491),2)</f>
        <v>4220.76</v>
      </c>
      <c r="P491">
        <v>2</v>
      </c>
      <c r="Q491" s="71">
        <f>=J491-P491</f>
        <v>0</v>
      </c>
      <c r="R491" s="144">
        <v>2</v>
      </c>
      <c r="S491" s="112">
        <f>=P491-R491</f>
        <v>0</v>
      </c>
      <c r="T491" s="71">
        <f>=S491*L491</f>
        <v>0</v>
      </c>
      <c r="U491" s="284">
        <f>=J491-P491</f>
        <v>0</v>
      </c>
      <c r="V491" s="283" t="s"/>
      <c r="W491" s="283" t="s"/>
      <c r="X491" s="283" t="s"/>
      <c r="Y491" s="283" t="s"/>
      <c r="Z491" s="283" t="s"/>
    </row>
    <row r="492" spans="1:21" s="258" customFormat="true" ht="15.75" customHeight="true">
      <c r="A492" s="80">
        <v>46106</v>
      </c>
      <c r="B492" s="71">
        <f>=TODAY()-A492+1</f>
        <v>119</v>
      </c>
      <c r="C492" s="98" t="s">
        <v>190</v>
      </c>
      <c r="D492" s="71" t="s">
        <v>189</v>
      </c>
      <c r="E492" s="160" t="s">
        <v>1217</v>
      </c>
      <c r="F492" s="242" t="s">
        <v>1045</v>
      </c>
      <c r="G492" s="262" t="s">
        <v>428</v>
      </c>
      <c r="H492" s="262" t="s">
        <v>422</v>
      </c>
      <c r="I492" s="248" t="s">
        <v>1218</v>
      </c>
      <c r="J492" s="207">
        <v>1</v>
      </c>
      <c r="K492" s="71" t="s"/>
      <c r="L492" s="71">
        <v>8400</v>
      </c>
      <c r="M492" s="112">
        <f>=J492*L492</f>
        <v>8400</v>
      </c>
      <c r="N492" s="71">
        <v>3</v>
      </c>
      <c r="O492" s="189">
        <f>=ROUND(IF((TODAY()-A492+1)*N492*(L492/10000)+L492&lt;L492*1.002,L492*1.002,(TODAY()-A492+1)*N492*(L492/10000)+L492),2)</f>
        <v>8702.4</v>
      </c>
      <c r="P492" s="71">
        <v>1</v>
      </c>
      <c r="Q492" s="71">
        <f>=J492-P492</f>
        <v>0</v>
      </c>
      <c r="R492" s="71">
        <v>1</v>
      </c>
      <c r="S492" s="112">
        <f>=P492-R492</f>
        <v>0</v>
      </c>
      <c r="T492" s="71">
        <f>=S492*L492</f>
        <v>0</v>
      </c>
      <c r="U492" s="190">
        <f>=J492-P492</f>
        <v>0</v>
      </c>
    </row>
    <row r="493" spans="1:21" s="258" customFormat="true" ht="15.75" customHeight="true">
      <c r="A493" s="80">
        <v>46106</v>
      </c>
      <c r="B493" s="71">
        <f>=TODAY()-A493+1</f>
        <v>119</v>
      </c>
      <c r="C493" s="98" t="s">
        <v>190</v>
      </c>
      <c r="D493" s="71" t="s">
        <v>189</v>
      </c>
      <c r="E493" s="246" t="s">
        <v>1219</v>
      </c>
      <c r="F493" s="242" t="s">
        <v>1045</v>
      </c>
      <c r="G493" s="262" t="s">
        <v>428</v>
      </c>
      <c r="H493" s="262" t="s">
        <v>422</v>
      </c>
      <c r="I493" s="248" t="s">
        <v>1220</v>
      </c>
      <c r="J493" s="207">
        <v>1</v>
      </c>
      <c r="K493" s="71" t="s"/>
      <c r="L493" s="71">
        <v>9200</v>
      </c>
      <c r="M493" s="112">
        <f>=J493*L493</f>
        <v>9200</v>
      </c>
      <c r="N493" s="71">
        <v>3</v>
      </c>
      <c r="O493" s="189">
        <f>=ROUND(IF((TODAY()-A493+1)*N493*(L493/10000)+L493&lt;L493*1.002,L493*1.002,(TODAY()-A493+1)*N493*(L493/10000)+L493),2)</f>
        <v>9531.2</v>
      </c>
      <c r="P493" s="71">
        <v>1</v>
      </c>
      <c r="Q493" s="71">
        <f>=J493-P493</f>
        <v>0</v>
      </c>
      <c r="R493" s="71">
        <v>1</v>
      </c>
      <c r="S493" s="112">
        <f>=P493-R493</f>
        <v>0</v>
      </c>
      <c r="T493" s="71">
        <f>=S493*L493</f>
        <v>0</v>
      </c>
      <c r="U493" s="190">
        <f>=J493-P493</f>
        <v>0</v>
      </c>
    </row>
    <row r="494" spans="1:21" s="258" customFormat="true" ht="15.75" customHeight="true">
      <c r="A494" s="80">
        <v>46106</v>
      </c>
      <c r="B494" s="71">
        <f>=TODAY()-A494+1</f>
        <v>119</v>
      </c>
      <c r="C494" s="80" t="s">
        <v>190</v>
      </c>
      <c r="D494" s="64" t="s">
        <v>189</v>
      </c>
      <c r="E494" s="258" t="s">
        <v>37</v>
      </c>
      <c r="F494" s="141" t="s">
        <v>1045</v>
      </c>
      <c r="G494" s="254" t="s">
        <v>428</v>
      </c>
      <c r="H494" s="254" t="s">
        <v>422</v>
      </c>
      <c r="I494" s="238" t="s">
        <v>1221</v>
      </c>
      <c r="J494" s="238">
        <v>1</v>
      </c>
      <c r="K494" s="83" t="s"/>
      <c r="L494" s="83">
        <v>10800</v>
      </c>
      <c r="M494" s="228">
        <f>=J494*L494</f>
        <v>10800</v>
      </c>
      <c r="N494" s="64">
        <v>3</v>
      </c>
      <c r="O494" s="189">
        <f>=ROUND(IF((TODAY()-A494+1)*N494*(L494/10000)+L494&lt;L494*1.002,L494*1.002,(TODAY()-A494+1)*N494*(L494/10000)+L494),2)</f>
        <v>11188.8</v>
      </c>
      <c r="P494" s="64">
        <v>1</v>
      </c>
      <c r="Q494" s="64">
        <f>=J494-P494</f>
        <v>0</v>
      </c>
      <c r="R494" s="64">
        <v>1</v>
      </c>
      <c r="S494" s="197">
        <f>=P494-R494</f>
        <v>0</v>
      </c>
      <c r="T494" s="71">
        <f>=S494*L494</f>
        <v>0</v>
      </c>
      <c r="U494" s="190">
        <f>=J494-P494</f>
        <v>0</v>
      </c>
    </row>
    <row r="495" spans="1:21" s="258" customFormat="true" ht="15.75" customHeight="true">
      <c r="A495" s="80">
        <v>46106</v>
      </c>
      <c r="B495" s="71">
        <f>=TODAY()-A495+1</f>
        <v>119</v>
      </c>
      <c r="C495" s="80" t="s">
        <v>190</v>
      </c>
      <c r="D495" s="64" t="s">
        <v>189</v>
      </c>
      <c r="E495" s="87" t="s">
        <v>37</v>
      </c>
      <c r="F495" s="141" t="s">
        <v>1045</v>
      </c>
      <c r="G495" s="254" t="s">
        <v>428</v>
      </c>
      <c r="H495" s="254" t="s">
        <v>422</v>
      </c>
      <c r="I495" s="238" t="s">
        <v>1222</v>
      </c>
      <c r="J495" s="238">
        <v>1</v>
      </c>
      <c r="K495" s="83" t="s"/>
      <c r="L495" s="83">
        <v>11200</v>
      </c>
      <c r="M495" s="228">
        <f>=J495*L495</f>
        <v>11200</v>
      </c>
      <c r="N495" s="64">
        <v>3</v>
      </c>
      <c r="O495" s="189">
        <f>=ROUND(IF((TODAY()-A495+1)*N495*(L495/10000)+L495&lt;L495*1.002,L495*1.002,(TODAY()-A495+1)*N495*(L495/10000)+L495),2)</f>
        <v>11603.2</v>
      </c>
      <c r="P495" s="64">
        <v>1</v>
      </c>
      <c r="Q495" s="64">
        <f>=J495-P495</f>
        <v>0</v>
      </c>
      <c r="R495" s="64">
        <v>1</v>
      </c>
      <c r="S495" s="197">
        <f>=P495-R495</f>
        <v>0</v>
      </c>
      <c r="T495" s="71">
        <f>=S495*L495</f>
        <v>0</v>
      </c>
      <c r="U495" s="190">
        <f>=J495-P495</f>
        <v>0</v>
      </c>
    </row>
    <row r="496" spans="1:21" s="258" customFormat="true" ht="15" customHeight="true">
      <c r="A496" s="80">
        <v>46107</v>
      </c>
      <c r="B496" s="71">
        <f>=TODAY()-A496+1</f>
        <v>118</v>
      </c>
      <c r="C496" s="98" t="s">
        <v>194</v>
      </c>
      <c r="D496" s="71" t="s">
        <v>189</v>
      </c>
      <c r="E496" s="246" t="s">
        <v>1223</v>
      </c>
      <c r="F496" s="242" t="s">
        <v>1045</v>
      </c>
      <c r="G496" s="267" t="s">
        <v>428</v>
      </c>
      <c r="H496" s="267" t="s">
        <v>422</v>
      </c>
      <c r="I496" s="285" t="s">
        <v>1224</v>
      </c>
      <c r="J496" s="207">
        <v>1</v>
      </c>
      <c r="K496" s="71" t="s"/>
      <c r="L496" s="71">
        <v>6790</v>
      </c>
      <c r="M496" s="112">
        <f>=J496*L496</f>
        <v>6790</v>
      </c>
      <c r="N496">
        <v>3</v>
      </c>
      <c r="O496" s="189">
        <f>=ROUND(IF((TODAY()-A496+1)*N496*(L496/10000)+L496&lt;L496*1.002,L496*1.002,(TODAY()-A496+1)*N496*(L496/10000)+L496),2)</f>
        <v>7032.4</v>
      </c>
      <c r="P496" s="71">
        <v>1</v>
      </c>
      <c r="Q496" s="71">
        <f>=J496-P496</f>
        <v>0</v>
      </c>
      <c r="R496" s="71">
        <v>1</v>
      </c>
      <c r="S496" s="112">
        <f>=P496-R496</f>
        <v>0</v>
      </c>
      <c r="T496" s="71">
        <f>=S496*L496</f>
        <v>0</v>
      </c>
      <c r="U496" s="190">
        <f>=J496-P496</f>
        <v>0</v>
      </c>
    </row>
    <row r="497" spans="1:21" s="258" customFormat="true" ht="15.75" customHeight="true">
      <c r="A497" s="80">
        <v>46107</v>
      </c>
      <c r="B497" s="71">
        <f>=TODAY()-A497+1</f>
        <v>118</v>
      </c>
      <c r="C497" s="98" t="s">
        <v>194</v>
      </c>
      <c r="D497" s="71" t="s">
        <v>189</v>
      </c>
      <c r="E497" s="246" t="s">
        <v>1225</v>
      </c>
      <c r="F497" s="242" t="s">
        <v>1045</v>
      </c>
      <c r="G497" s="267" t="s">
        <v>428</v>
      </c>
      <c r="H497" s="267" t="s">
        <v>422</v>
      </c>
      <c r="I497" s="285" t="s">
        <v>1226</v>
      </c>
      <c r="J497" s="207">
        <v>1</v>
      </c>
      <c r="K497" s="71" t="s"/>
      <c r="L497" s="71">
        <v>6790</v>
      </c>
      <c r="M497" s="112">
        <f>=J497*L497</f>
        <v>6790</v>
      </c>
      <c r="N497" s="71">
        <v>3</v>
      </c>
      <c r="O497" s="189">
        <f>=ROUND(IF((TODAY()-A497+1)*N497*(L497/10000)+L497&lt;L497*1.002,L497*1.002,(TODAY()-A497+1)*N497*(L497/10000)+L497),2)</f>
        <v>7032.4</v>
      </c>
      <c r="P497" s="71">
        <v>1</v>
      </c>
      <c r="Q497" s="71">
        <f>=J497-P497</f>
        <v>0</v>
      </c>
      <c r="R497" s="71">
        <v>1</v>
      </c>
      <c r="S497" s="112">
        <f>=P497-R497</f>
        <v>0</v>
      </c>
      <c r="T497" s="71">
        <f>=S497*L497</f>
        <v>0</v>
      </c>
      <c r="U497" s="190">
        <f>=J497-P497</f>
        <v>0</v>
      </c>
    </row>
    <row r="498" spans="1:21" s="258" customFormat="true" ht="15.75" customHeight="true">
      <c r="A498" s="110">
        <v>46107</v>
      </c>
      <c r="B498" s="71">
        <f>=TODAY()-A498+1</f>
        <v>118</v>
      </c>
      <c r="C498" s="102" t="s">
        <v>194</v>
      </c>
      <c r="D498" s="93" t="s">
        <v>189</v>
      </c>
      <c r="E498" s="160" t="s">
        <v>1227</v>
      </c>
      <c r="F498" s="242" t="s">
        <v>1045</v>
      </c>
      <c r="G498" s="267" t="s">
        <v>428</v>
      </c>
      <c r="H498" s="267" t="s">
        <v>422</v>
      </c>
      <c r="I498" s="285" t="s">
        <v>1228</v>
      </c>
      <c r="J498" s="286">
        <v>1</v>
      </c>
      <c r="K498" s="93" t="s"/>
      <c r="L498" s="93">
        <v>4800</v>
      </c>
      <c r="M498" s="217">
        <f>=J498*L498</f>
        <v>4800</v>
      </c>
      <c r="N498" s="254">
        <v>3</v>
      </c>
      <c r="O498" s="198">
        <f>=ROUND(IF((TODAY()-A498+1)*N498*(L498/10000)+L498&lt;L498*1.002,L498*1.002,(TODAY()-A498+1)*N498*(L498/10000)+L498),2)</f>
        <v>4971.36</v>
      </c>
      <c r="P498" s="71">
        <v>1</v>
      </c>
      <c r="Q498" s="93">
        <f>=J498-P498</f>
        <v>0</v>
      </c>
      <c r="R498" s="71">
        <v>1</v>
      </c>
      <c r="S498" s="217">
        <f>=P498-R498</f>
        <v>0</v>
      </c>
      <c r="T498" s="93">
        <f>=S498*L498</f>
        <v>0</v>
      </c>
      <c r="U498" s="190">
        <f>=J498-P498</f>
        <v>0</v>
      </c>
    </row>
    <row r="499" spans="1:21" s="258" customFormat="true" ht="15.75" customHeight="true">
      <c r="A499" s="110">
        <v>46107</v>
      </c>
      <c r="B499" s="71">
        <f>=TODAY()-A499+1</f>
        <v>118</v>
      </c>
      <c r="C499" s="102" t="s">
        <v>194</v>
      </c>
      <c r="D499" s="93" t="s">
        <v>189</v>
      </c>
      <c r="E499" s="160" t="s">
        <v>1229</v>
      </c>
      <c r="F499" s="242" t="s">
        <v>1045</v>
      </c>
      <c r="G499" s="267" t="s">
        <v>428</v>
      </c>
      <c r="H499" s="267" t="s">
        <v>422</v>
      </c>
      <c r="I499" s="285" t="s">
        <v>1230</v>
      </c>
      <c r="J499" s="286">
        <v>1</v>
      </c>
      <c r="K499" s="93" t="s"/>
      <c r="L499" s="93">
        <v>4800</v>
      </c>
      <c r="M499" s="217">
        <f>=J499*L499</f>
        <v>4800</v>
      </c>
      <c r="N499" s="93">
        <v>3</v>
      </c>
      <c r="O499" s="198">
        <f>=ROUND(IF((TODAY()-A499+1)*N499*(L499/10000)+L499&lt;L499*1.002,L499*1.002,(TODAY()-A499+1)*N499*(L499/10000)+L499),2)</f>
        <v>4971.36</v>
      </c>
      <c r="P499" s="71">
        <v>1</v>
      </c>
      <c r="Q499" s="93">
        <f>=J499-P499</f>
        <v>0</v>
      </c>
      <c r="R499" s="71">
        <v>1</v>
      </c>
      <c r="S499" s="217">
        <f>=P499-R499</f>
        <v>0</v>
      </c>
      <c r="T499" s="93">
        <f>=S499*L499</f>
        <v>0</v>
      </c>
      <c r="U499" s="190">
        <f>=J499-P499</f>
        <v>0</v>
      </c>
    </row>
    <row r="500" spans="1:21" s="258" customFormat="true" ht="15.75" customHeight="true">
      <c r="A500" s="110">
        <v>46107</v>
      </c>
      <c r="B500" s="71">
        <f>=TODAY()-A500+1</f>
        <v>118</v>
      </c>
      <c r="C500" s="102" t="s">
        <v>194</v>
      </c>
      <c r="D500" s="93" t="s">
        <v>189</v>
      </c>
      <c r="E500" s="160" t="s">
        <v>1231</v>
      </c>
      <c r="F500" s="242" t="s">
        <v>1045</v>
      </c>
      <c r="G500" s="287" t="s">
        <v>428</v>
      </c>
      <c r="H500" s="287" t="s">
        <v>422</v>
      </c>
      <c r="I500" s="288" t="s">
        <v>1232</v>
      </c>
      <c r="J500" s="289">
        <v>1</v>
      </c>
      <c r="K500" s="93" t="s"/>
      <c r="L500" s="93">
        <v>5920</v>
      </c>
      <c r="M500" s="217">
        <f>=J500*L500</f>
        <v>5920</v>
      </c>
      <c r="N500" s="254">
        <v>3</v>
      </c>
      <c r="O500" s="198">
        <f>=ROUND(IF((TODAY()-A500+1)*N500*(L500/10000)+L500&lt;L500*1.002,L500*1.002,(TODAY()-A500+1)*N500*(L500/10000)+L500),2)</f>
        <v>6131.34</v>
      </c>
      <c r="P500" s="71">
        <v>1</v>
      </c>
      <c r="Q500" s="93">
        <f>=J500-P500</f>
        <v>0</v>
      </c>
      <c r="R500" s="71">
        <v>1</v>
      </c>
      <c r="S500" s="217">
        <f>=P500-R500</f>
        <v>0</v>
      </c>
      <c r="T500" s="93">
        <f>=S500*L500</f>
        <v>0</v>
      </c>
      <c r="U500" s="190">
        <f>=J500-P500</f>
        <v>0</v>
      </c>
    </row>
    <row r="501" spans="1:21" s="258" customFormat="true" ht="15.75" customHeight="true">
      <c r="A501" s="110">
        <v>46107</v>
      </c>
      <c r="B501" s="71">
        <f>=TODAY()-A501+1</f>
        <v>118</v>
      </c>
      <c r="C501" s="102" t="s">
        <v>194</v>
      </c>
      <c r="D501" s="93" t="s">
        <v>189</v>
      </c>
      <c r="E501" s="160" t="s">
        <v>1233</v>
      </c>
      <c r="F501" s="242" t="s">
        <v>1045</v>
      </c>
      <c r="G501" s="267" t="s">
        <v>428</v>
      </c>
      <c r="H501" s="267" t="s">
        <v>422</v>
      </c>
      <c r="I501" s="285" t="s">
        <v>1234</v>
      </c>
      <c r="J501" s="286">
        <v>1</v>
      </c>
      <c r="K501" s="93" t="s"/>
      <c r="L501" s="93">
        <v>5920</v>
      </c>
      <c r="M501" s="217">
        <f>=J501*L501</f>
        <v>5920</v>
      </c>
      <c r="N501" s="93">
        <v>3</v>
      </c>
      <c r="O501" s="198">
        <f>=ROUND(IF((TODAY()-A501+1)*N501*(L501/10000)+L501&lt;L501*1.002,L501*1.002,(TODAY()-A501+1)*N501*(L501/10000)+L501),2)</f>
        <v>6131.34</v>
      </c>
      <c r="P501" s="71">
        <v>1</v>
      </c>
      <c r="Q501" s="93">
        <f>=J501-P501</f>
        <v>0</v>
      </c>
      <c r="R501" s="71">
        <v>1</v>
      </c>
      <c r="S501" s="217">
        <f>=P501-R501</f>
        <v>0</v>
      </c>
      <c r="T501" s="93">
        <f>=S501*L501</f>
        <v>0</v>
      </c>
      <c r="U501" s="190">
        <f>=J501-P501</f>
        <v>0</v>
      </c>
    </row>
    <row r="502" spans="1:21" s="258" customFormat="true" ht="15.75" customHeight="true">
      <c r="A502" s="110">
        <v>46107</v>
      </c>
      <c r="B502" s="71">
        <f>=TODAY()-A502+1</f>
        <v>118</v>
      </c>
      <c r="C502" s="110" t="s">
        <v>194</v>
      </c>
      <c r="D502" s="83" t="s">
        <v>189</v>
      </c>
      <c r="E502" s="87" t="s">
        <v>37</v>
      </c>
      <c r="F502" s="141" t="s">
        <v>1045</v>
      </c>
      <c r="G502" s="277" t="s">
        <v>428</v>
      </c>
      <c r="H502" s="277" t="s">
        <v>422</v>
      </c>
      <c r="I502" s="278" t="s">
        <v>1235</v>
      </c>
      <c r="J502" s="238">
        <v>1</v>
      </c>
      <c r="K502" s="83" t="s"/>
      <c r="L502" s="83">
        <v>14400</v>
      </c>
      <c r="M502" s="228">
        <f>=J502*L502</f>
        <v>14400</v>
      </c>
      <c r="N502" s="83">
        <v>3</v>
      </c>
      <c r="O502" s="198">
        <f>=ROUND(IF((TODAY()-A502+1)*N502*(L502/10000)+L502&lt;L502*1.002,L502*1.002,(TODAY()-A502+1)*N502*(L502/10000)+L502),2)</f>
        <v>14914.08</v>
      </c>
      <c r="P502" s="64">
        <v>1</v>
      </c>
      <c r="Q502" s="83">
        <f>=J502-P502</f>
        <v>0</v>
      </c>
      <c r="R502" s="64">
        <v>1</v>
      </c>
      <c r="S502" s="228">
        <f>=P502-R502</f>
        <v>0</v>
      </c>
      <c r="T502" s="93">
        <f>=S502*L502</f>
        <v>0</v>
      </c>
      <c r="U502" s="190">
        <f>=J502-P502</f>
        <v>0</v>
      </c>
    </row>
    <row r="503" spans="1:21" s="258" customFormat="true" ht="15.75" customHeight="true">
      <c r="A503" s="110">
        <v>46107</v>
      </c>
      <c r="B503" s="71">
        <f>=TODAY()-A503+1</f>
        <v>118</v>
      </c>
      <c r="C503" s="110" t="s">
        <v>194</v>
      </c>
      <c r="D503" s="83" t="s">
        <v>189</v>
      </c>
      <c r="E503" s="87" t="s">
        <v>37</v>
      </c>
      <c r="F503" s="141" t="s">
        <v>1045</v>
      </c>
      <c r="G503" s="277" t="s">
        <v>428</v>
      </c>
      <c r="H503" s="277" t="s">
        <v>422</v>
      </c>
      <c r="I503" s="278" t="s">
        <v>1236</v>
      </c>
      <c r="J503" s="238">
        <v>1</v>
      </c>
      <c r="K503" s="83" t="s"/>
      <c r="L503" s="83">
        <v>16000</v>
      </c>
      <c r="M503" s="228">
        <f>=J503*L503</f>
        <v>16000</v>
      </c>
      <c r="N503" s="142">
        <v>3</v>
      </c>
      <c r="O503" s="198">
        <f>=ROUND(IF((TODAY()-A503+1)*N503*(L503/10000)+L503&lt;L503*1.002,L503*1.002,(TODAY()-A503+1)*N503*(L503/10000)+L503),2)</f>
        <v>16571.2</v>
      </c>
      <c r="P503" s="64">
        <v>1</v>
      </c>
      <c r="Q503" s="83">
        <f>=J503-P503</f>
        <v>0</v>
      </c>
      <c r="R503" s="64">
        <v>1</v>
      </c>
      <c r="S503" s="228">
        <f>=P503-R503</f>
        <v>0</v>
      </c>
      <c r="T503" s="93">
        <f>=S503*L503</f>
        <v>0</v>
      </c>
      <c r="U503" s="190">
        <f>=J503-P503</f>
        <v>0</v>
      </c>
    </row>
    <row r="504" spans="1:21" s="258" customFormat="true" ht="15.75" customHeight="true">
      <c r="A504" s="110">
        <v>46107</v>
      </c>
      <c r="B504" s="71">
        <f>=TODAY()-A504+1</f>
        <v>118</v>
      </c>
      <c r="C504" s="110" t="s">
        <v>194</v>
      </c>
      <c r="D504" s="83" t="s">
        <v>189</v>
      </c>
      <c r="E504" s="87" t="s">
        <v>37</v>
      </c>
      <c r="F504" s="141" t="s">
        <v>1045</v>
      </c>
      <c r="G504" s="258" t="s">
        <v>421</v>
      </c>
      <c r="H504" s="258" t="s">
        <v>422</v>
      </c>
      <c r="I504" s="278" t="s">
        <v>852</v>
      </c>
      <c r="J504" s="238">
        <v>1</v>
      </c>
      <c r="K504" s="83" t="s"/>
      <c r="L504" s="83">
        <v>10030</v>
      </c>
      <c r="M504" s="228">
        <f>=J504*L504</f>
        <v>10030</v>
      </c>
      <c r="N504" s="142">
        <v>3</v>
      </c>
      <c r="O504" s="198">
        <f>=ROUND(IF((TODAY()-A504+1)*N504*(L504/10000)+L504&lt;L504*1.002,L504*1.002,(TODAY()-A504+1)*N504*(L504/10000)+L504),2)</f>
        <v>10388.07</v>
      </c>
      <c r="P504" s="64">
        <v>1</v>
      </c>
      <c r="Q504" s="83">
        <f>=J504-P504</f>
        <v>0</v>
      </c>
      <c r="R504" s="64">
        <v>1</v>
      </c>
      <c r="S504" s="228">
        <f>=P504-R504</f>
        <v>0</v>
      </c>
      <c r="T504" s="93">
        <f>=S504*L504</f>
        <v>0</v>
      </c>
      <c r="U504" s="190">
        <f>=J504-P504</f>
        <v>0</v>
      </c>
    </row>
    <row r="505" spans="1:21" s="258" customFormat="true" ht="15.75" customHeight="true">
      <c r="A505" s="110">
        <v>46107</v>
      </c>
      <c r="B505" s="71">
        <f>=TODAY()-A505+1</f>
        <v>118</v>
      </c>
      <c r="C505" s="102" t="s">
        <v>194</v>
      </c>
      <c r="D505" s="93" t="s">
        <v>189</v>
      </c>
      <c r="E505" s="160" t="s">
        <v>1237</v>
      </c>
      <c r="F505" s="242" t="s">
        <v>1045</v>
      </c>
      <c r="G505" s="87" t="s">
        <v>428</v>
      </c>
      <c r="H505" s="87" t="s">
        <v>449</v>
      </c>
      <c r="I505" s="285" t="s">
        <v>1238</v>
      </c>
      <c r="J505" s="286">
        <v>1</v>
      </c>
      <c r="K505" s="93" t="s"/>
      <c r="L505" s="93">
        <v>3150</v>
      </c>
      <c r="M505" s="217">
        <f>=J505*L505</f>
        <v>3150</v>
      </c>
      <c r="N505" s="254">
        <v>3</v>
      </c>
      <c r="O505" s="198">
        <f>=ROUND(IF((TODAY()-A505+1)*N505*(L505/10000)+L505&lt;L505*1.002,L505*1.002,(TODAY()-A505+1)*N505*(L505/10000)+L505),2)</f>
        <v>3262.46</v>
      </c>
      <c r="P505" s="71">
        <v>1</v>
      </c>
      <c r="Q505" s="93">
        <f>=J505-P505</f>
        <v>0</v>
      </c>
      <c r="R505" s="117">
        <v>1</v>
      </c>
      <c r="S505" s="217">
        <f>=P505-R505</f>
        <v>0</v>
      </c>
      <c r="T505" s="93">
        <f>=S505*L505</f>
        <v>0</v>
      </c>
      <c r="U505" s="190">
        <f>=J505-P505</f>
        <v>0</v>
      </c>
    </row>
    <row r="506" spans="1:21" s="258" customFormat="true" ht="15.75" customHeight="true">
      <c r="A506" s="80">
        <v>46109</v>
      </c>
      <c r="B506" s="71">
        <f>=TODAY()-A506+1</f>
        <v>116</v>
      </c>
      <c r="C506" s="80" t="s">
        <v>206</v>
      </c>
      <c r="D506" s="64" t="s">
        <v>189</v>
      </c>
      <c r="E506" s="160" t="s">
        <v>1239</v>
      </c>
      <c r="F506" s="141" t="s">
        <v>1045</v>
      </c>
      <c r="G506" s="142" t="s">
        <v>428</v>
      </c>
      <c r="H506" s="142" t="s">
        <v>422</v>
      </c>
      <c r="I506" s="290" t="s">
        <v>1240</v>
      </c>
      <c r="J506" s="274">
        <v>1</v>
      </c>
      <c r="L506" s="87">
        <v>4720</v>
      </c>
      <c r="M506" s="197">
        <f>=J506*L506</f>
        <v>4720</v>
      </c>
      <c r="N506" s="87">
        <v>3</v>
      </c>
      <c r="O506" s="189">
        <f>=ROUND(IF((TODAY()-A506+1)*N506*(L506/10000)+L506&lt;L506*1.002,L506*1.002,(TODAY()-A506+1)*N506*(L506/10000)+L506),2)</f>
        <v>4885.67</v>
      </c>
      <c r="P506" s="87">
        <v>1</v>
      </c>
      <c r="Q506" s="64">
        <f>=J506-P506</f>
        <v>0</v>
      </c>
      <c r="R506" s="87">
        <v>1</v>
      </c>
      <c r="S506" s="197">
        <f>=P506-R506</f>
        <v>0</v>
      </c>
      <c r="T506" s="71">
        <f>=S506*L506</f>
        <v>0</v>
      </c>
      <c r="U506" s="190">
        <f>=J506-P506</f>
        <v>0</v>
      </c>
    </row>
    <row r="507" spans="1:21" s="258" customFormat="true" ht="15.75" customHeight="true">
      <c r="A507" s="80">
        <v>46109</v>
      </c>
      <c r="B507" s="71">
        <f>=TODAY()-A507+1</f>
        <v>116</v>
      </c>
      <c r="C507" s="80" t="s">
        <v>206</v>
      </c>
      <c r="D507" s="64" t="s">
        <v>189</v>
      </c>
      <c r="E507" s="160" t="s">
        <v>1241</v>
      </c>
      <c r="F507" s="141" t="s">
        <v>1045</v>
      </c>
      <c r="G507" s="140" t="s">
        <v>428</v>
      </c>
      <c r="H507" s="140" t="s">
        <v>422</v>
      </c>
      <c r="I507" s="274" t="s">
        <v>1242</v>
      </c>
      <c r="J507" s="274">
        <v>1</v>
      </c>
      <c r="L507" s="87">
        <v>5680</v>
      </c>
      <c r="M507" s="197">
        <f>=J507*L507</f>
        <v>5680</v>
      </c>
      <c r="N507" s="87">
        <v>3</v>
      </c>
      <c r="O507" s="189">
        <f>=ROUND(IF((TODAY()-A507+1)*N507*(L507/10000)+L507&lt;L507*1.002,L507*1.002,(TODAY()-A507+1)*N507*(L507/10000)+L507),2)</f>
        <v>5879.37</v>
      </c>
      <c r="P507" s="87">
        <v>1</v>
      </c>
      <c r="Q507" s="64">
        <f>=J507-P507</f>
        <v>0</v>
      </c>
      <c r="R507" s="87">
        <v>1</v>
      </c>
      <c r="S507" s="197">
        <f>=P507-R507</f>
        <v>0</v>
      </c>
      <c r="T507" s="71">
        <f>=S507*L507</f>
        <v>0</v>
      </c>
      <c r="U507" s="190">
        <f>=J507-P507</f>
        <v>0</v>
      </c>
    </row>
    <row r="508" spans="1:26" s="258" customFormat="true" ht="15.75" customHeight="true">
      <c r="A508" s="80">
        <v>46109</v>
      </c>
      <c r="B508" s="71">
        <f>=TODAY()-A508+1</f>
        <v>116</v>
      </c>
      <c r="C508" s="80" t="s">
        <v>206</v>
      </c>
      <c r="D508" s="64" t="s">
        <v>189</v>
      </c>
      <c r="E508" s="160" t="s">
        <v>1243</v>
      </c>
      <c r="F508" s="141" t="s">
        <v>1045</v>
      </c>
      <c r="G508" s="87" t="s">
        <v>428</v>
      </c>
      <c r="H508" s="87" t="s">
        <v>422</v>
      </c>
      <c r="I508" s="285" t="s">
        <v>1244</v>
      </c>
      <c r="J508" s="285">
        <v>1</v>
      </c>
      <c r="K508" s="87" t="s"/>
      <c r="L508" s="87">
        <v>4880</v>
      </c>
      <c r="M508" s="197">
        <f>=J508*L508</f>
        <v>4880</v>
      </c>
      <c r="N508" s="87">
        <v>3</v>
      </c>
      <c r="O508" s="189">
        <f>=ROUND(IF((TODAY()-A508+1)*N508*(L508/10000)+L508&lt;L508*1.002,L508*1.002,(TODAY()-A508+1)*N508*(L508/10000)+L508),2)</f>
        <v>5051.29</v>
      </c>
      <c r="P508" s="87">
        <v>1</v>
      </c>
      <c r="Q508" s="64">
        <f>=J508-P508</f>
        <v>0</v>
      </c>
      <c r="R508" s="87">
        <v>1</v>
      </c>
      <c r="S508" s="197">
        <f>=P508-R508</f>
        <v>0</v>
      </c>
      <c r="T508" s="71">
        <f>=S508*L508</f>
        <v>0</v>
      </c>
      <c r="U508" s="190">
        <f>=J508-P508</f>
        <v>0</v>
      </c>
      <c r="V508" s="87" t="s"/>
      <c r="W508" s="87" t="s"/>
      <c r="X508" s="87" t="s"/>
      <c r="Y508" s="87" t="s"/>
      <c r="Z508" s="87" t="s"/>
    </row>
    <row r="509" spans="1:26" s="578" customFormat="true">
      <c r="A509" s="110">
        <v>46109</v>
      </c>
      <c r="B509" s="93">
        <f>=TODAY()-A509+1</f>
        <v>116</v>
      </c>
      <c r="C509" s="110" t="s">
        <v>207</v>
      </c>
      <c r="D509" s="83" t="s">
        <v>135</v>
      </c>
      <c r="E509" s="247" t="s">
        <v>1245</v>
      </c>
      <c r="F509" s="232" t="s">
        <v>856</v>
      </c>
      <c r="G509" s="83" t="s">
        <v>428</v>
      </c>
      <c r="H509" s="83" t="s">
        <v>422</v>
      </c>
      <c r="I509" s="238" t="s">
        <v>1246</v>
      </c>
      <c r="J509" s="253">
        <v>500</v>
      </c>
      <c r="K509" s="97" t="s"/>
      <c r="L509" s="291">
        <v>686</v>
      </c>
      <c r="M509" s="228">
        <f>=J509*L509</f>
        <v>343000</v>
      </c>
      <c r="N509" s="235">
        <v>2.5</v>
      </c>
      <c r="O509" s="198">
        <f>=ROUND(IF((TODAY()-A509+1)*N509*(L509/10000)+L509&lt;L509*1.002,L509*1.002,(TODAY()-A509+1)*N509*(L509/10000)+L509),2)</f>
        <v>706.07</v>
      </c>
      <c r="P509" s="235">
        <v>500</v>
      </c>
      <c r="Q509" s="83">
        <f>=J509-P509</f>
        <v>0</v>
      </c>
      <c r="R509" s="258">
        <v>500</v>
      </c>
      <c r="S509" s="228">
        <f>=P509-R509</f>
        <v>0</v>
      </c>
      <c r="T509" s="93">
        <f>=S509*L509</f>
        <v>0</v>
      </c>
      <c r="U509" s="190">
        <f>=J509-P509</f>
        <v>0</v>
      </c>
      <c r="V509" s="87" t="s"/>
      <c r="W509" s="87" t="s"/>
      <c r="X509" s="87" t="s"/>
      <c r="Y509" s="87" t="s"/>
      <c r="Z509" s="87" t="s"/>
    </row>
    <row r="510" spans="1:26" s="578" customFormat="true" ht="15.75" customHeight="true">
      <c r="A510" s="110">
        <v>46111</v>
      </c>
      <c r="B510" s="93">
        <f>=TODAY()-A510+1</f>
        <v>114</v>
      </c>
      <c r="C510" s="110" t="s">
        <v>209</v>
      </c>
      <c r="D510" s="83" t="s">
        <v>135</v>
      </c>
      <c r="E510" s="247" t="s">
        <v>1247</v>
      </c>
      <c r="F510" s="232" t="s">
        <v>856</v>
      </c>
      <c r="G510" s="83" t="s">
        <v>428</v>
      </c>
      <c r="H510" s="83" t="s">
        <v>422</v>
      </c>
      <c r="I510" s="238" t="s">
        <v>1046</v>
      </c>
      <c r="J510" s="232">
        <v>500</v>
      </c>
      <c r="K510" s="140" t="s"/>
      <c r="L510" s="235">
        <v>686</v>
      </c>
      <c r="M510" s="228">
        <f>=J510*L510</f>
        <v>343000</v>
      </c>
      <c r="N510" s="235">
        <v>2.5</v>
      </c>
      <c r="O510" s="198">
        <f>=ROUND(IF((TODAY()-A510+1)*N510*(L510/10000)+L510&lt;L510*1.002,L510*1.002,(TODAY()-A510+1)*N510*(L510/10000)+L510),2)</f>
        <v>705.72</v>
      </c>
      <c r="P510" s="235">
        <v>500</v>
      </c>
      <c r="Q510" s="83">
        <f>=J510-P510</f>
        <v>0</v>
      </c>
      <c r="R510" s="142">
        <v>500</v>
      </c>
      <c r="S510" s="228">
        <f>=P510-R510</f>
        <v>0</v>
      </c>
      <c r="T510" s="93">
        <f>=S510*L510</f>
        <v>0</v>
      </c>
      <c r="U510" s="264">
        <f>=J510-P510</f>
        <v>0</v>
      </c>
      <c r="V510" s="140" t="s"/>
      <c r="W510" s="140" t="s"/>
      <c r="X510" s="140" t="s"/>
      <c r="Y510" s="140" t="s"/>
      <c r="Z510" s="140" t="s"/>
    </row>
    <row r="511" spans="1:26" s="218" customFormat="true" ht="15.75" customHeight="true">
      <c r="A511" s="292">
        <v>46111</v>
      </c>
      <c r="B511" s="93">
        <f>=TODAY()-A511+1</f>
        <v>114</v>
      </c>
      <c r="C511" s="222" t="s">
        <v>209</v>
      </c>
      <c r="D511" s="101" t="s">
        <v>135</v>
      </c>
      <c r="E511" s="160" t="s">
        <v>1248</v>
      </c>
      <c r="F511" s="293" t="s">
        <v>856</v>
      </c>
      <c r="G511" s="294" t="s">
        <v>741</v>
      </c>
      <c r="H511" s="294" t="s">
        <v>422</v>
      </c>
      <c r="I511" s="295" t="s">
        <v>1249</v>
      </c>
      <c r="J511" s="293">
        <v>280</v>
      </c>
      <c r="K511" s="212" t="s"/>
      <c r="L511" s="296">
        <v>707</v>
      </c>
      <c r="M511" s="226">
        <f>=J511*L511</f>
        <v>197960</v>
      </c>
      <c r="N511" s="296">
        <v>2.5</v>
      </c>
      <c r="O511" s="198">
        <f>=ROUND(IF((TODAY()-A511+1)*N511*(L511/10000)+L511&lt;L511*1.002,L511*1.002,(TODAY()-A511+1)*N511*(L511/10000)+L511),2)</f>
        <v>727.33</v>
      </c>
      <c r="P511" s="296">
        <v>280</v>
      </c>
      <c r="Q511" s="101">
        <f>=J511-P511</f>
        <v>0</v>
      </c>
      <c r="R511" s="250">
        <v>280</v>
      </c>
      <c r="S511" s="226">
        <f>=P511-R511</f>
        <v>0</v>
      </c>
      <c r="T511" s="93">
        <f>=S511*L511</f>
        <v>0</v>
      </c>
      <c r="U511" s="190">
        <f>=J511-P511</f>
        <v>0</v>
      </c>
      <c r="V511" s="212" t="s"/>
      <c r="W511" s="212" t="s"/>
      <c r="X511" s="212" t="s"/>
      <c r="Y511" s="212" t="s"/>
      <c r="Z511" s="212" t="s"/>
    </row>
    <row r="512" spans="1:26" s="270" customFormat="true" ht="15.75" customHeight="true">
      <c r="A512" s="297">
        <v>46111</v>
      </c>
      <c r="B512" s="298">
        <f>=TODAY()-A512+1</f>
        <v>114</v>
      </c>
      <c r="C512" s="297" t="s">
        <v>209</v>
      </c>
      <c r="D512" s="299" t="s">
        <v>135</v>
      </c>
      <c r="E512" s="300" t="s">
        <v>1250</v>
      </c>
      <c r="F512" s="232" t="s">
        <v>856</v>
      </c>
      <c r="G512" s="236" t="s">
        <v>428</v>
      </c>
      <c r="H512" s="236" t="s">
        <v>422</v>
      </c>
      <c r="I512" s="236" t="s">
        <v>861</v>
      </c>
      <c r="J512" s="232">
        <v>140</v>
      </c>
      <c r="K512" s="117" t="s"/>
      <c r="L512" s="235">
        <v>1085</v>
      </c>
      <c r="M512" s="301">
        <f>=J512*L512</f>
        <v>151900</v>
      </c>
      <c r="N512" s="235">
        <v>2.5</v>
      </c>
      <c r="O512" s="302">
        <f>=ROUND(IF((TODAY()-A512+1)*N512*(L512/10000)+L512&lt;L512*1.002,L512*1.002,(TODAY()-A512+1)*N512*(L512/10000)+L512),2)</f>
        <v>1116.19</v>
      </c>
      <c r="P512" s="235">
        <v>140</v>
      </c>
      <c r="Q512" s="236">
        <f>=J512-P512</f>
        <v>0</v>
      </c>
      <c r="R512" s="235">
        <v>140</v>
      </c>
      <c r="S512" s="301">
        <f>=P512-R512</f>
        <v>0</v>
      </c>
      <c r="T512" s="298">
        <f>=S512*L512</f>
        <v>0</v>
      </c>
      <c r="U512" s="261">
        <f>=J512-P512</f>
        <v>0</v>
      </c>
      <c r="V512" s="303" t="s"/>
      <c r="W512" s="303" t="s"/>
      <c r="X512" s="117" t="s"/>
      <c r="Y512" s="117" t="s"/>
      <c r="Z512" s="117" t="s"/>
    </row>
    <row r="513" spans="1:26" s="270" customFormat="true" ht="15.75" customHeight="true">
      <c r="A513" s="110">
        <v>46111</v>
      </c>
      <c r="B513" s="93">
        <f>=TODAY()-A513+1</f>
        <v>114</v>
      </c>
      <c r="C513" s="110" t="s">
        <v>209</v>
      </c>
      <c r="D513" s="83" t="s">
        <v>135</v>
      </c>
      <c r="E513" s="247" t="s">
        <v>1251</v>
      </c>
      <c r="F513" s="232" t="s">
        <v>856</v>
      </c>
      <c r="G513" s="266" t="s">
        <v>428</v>
      </c>
      <c r="H513" s="266" t="s">
        <v>422</v>
      </c>
      <c r="I513" s="304" t="s">
        <v>857</v>
      </c>
      <c r="J513" s="232">
        <v>100</v>
      </c>
      <c r="K513" s="232" t="s"/>
      <c r="L513" s="232">
        <v>1085</v>
      </c>
      <c r="M513" s="228">
        <f>=J513*L513</f>
        <v>108500</v>
      </c>
      <c r="N513" s="232">
        <v>2.5</v>
      </c>
      <c r="O513" s="198">
        <f>=ROUND(IF((TODAY()-A513+1)*N513*(L513/10000)+L513&lt;L513*1.002,L513*1.002,(TODAY()-A513+1)*N513*(L513/10000)+L513),2)</f>
        <v>1116.19</v>
      </c>
      <c r="P513" s="232">
        <v>100</v>
      </c>
      <c r="Q513" s="83">
        <f>=J513-P513</f>
        <v>0</v>
      </c>
      <c r="R513" s="232">
        <v>100</v>
      </c>
      <c r="S513" s="228">
        <f>=P513-R513</f>
        <v>0</v>
      </c>
      <c r="T513" s="93">
        <f>=S513*L513</f>
        <v>0</v>
      </c>
      <c r="U513" s="305">
        <f>=J513-P513</f>
        <v>0</v>
      </c>
      <c r="V513" s="258" t="s"/>
      <c r="W513" s="258" t="s"/>
      <c r="X513" s="232" t="s"/>
      <c r="Y513" s="232" t="s"/>
      <c r="Z513" s="232" t="s"/>
    </row>
    <row r="514" spans="1:26" s="270" customFormat="true" ht="15.75" customHeight="true">
      <c r="A514" s="110">
        <v>46111</v>
      </c>
      <c r="B514" s="93">
        <f>=TODAY()-A514+1</f>
        <v>114</v>
      </c>
      <c r="C514" s="110" t="s">
        <v>209</v>
      </c>
      <c r="D514" s="83" t="s">
        <v>135</v>
      </c>
      <c r="E514" s="247" t="s">
        <v>1252</v>
      </c>
      <c r="F514" s="232" t="s">
        <v>856</v>
      </c>
      <c r="G514" s="266" t="s">
        <v>428</v>
      </c>
      <c r="H514" s="266" t="s">
        <v>422</v>
      </c>
      <c r="I514" s="304" t="s">
        <v>606</v>
      </c>
      <c r="J514" s="232">
        <v>100</v>
      </c>
      <c r="K514" s="232" t="s"/>
      <c r="L514" s="232">
        <v>945</v>
      </c>
      <c r="M514" s="228">
        <f>=J514*L514</f>
        <v>94500</v>
      </c>
      <c r="N514" s="232">
        <v>2.5</v>
      </c>
      <c r="O514" s="198">
        <f>=ROUND(IF((TODAY()-A514+1)*N514*(L514/10000)+L514&lt;L514*1.002,L514*1.002,(TODAY()-A514+1)*N514*(L514/10000)+L514),2)</f>
        <v>972.17</v>
      </c>
      <c r="P514" s="232">
        <v>100</v>
      </c>
      <c r="Q514" s="83">
        <f>=J514-P514</f>
        <v>0</v>
      </c>
      <c r="R514" s="232" t="s"/>
      <c r="S514" s="228">
        <f>=P514-R514</f>
        <v>100</v>
      </c>
      <c r="T514" s="93">
        <f>=S514*L514</f>
        <v>94500</v>
      </c>
      <c r="U514" s="305">
        <f>=J514-P514</f>
        <v>0</v>
      </c>
      <c r="V514" s="258" t="s"/>
      <c r="W514" s="258" t="s"/>
      <c r="X514" s="232" t="s"/>
      <c r="Y514" s="232" t="s"/>
      <c r="Z514" s="232" t="s"/>
    </row>
    <row r="515" spans="1:26" s="270" customFormat="true" ht="15.75" customHeight="true">
      <c r="A515" s="110">
        <v>46111</v>
      </c>
      <c r="B515" s="93">
        <f>=TODAY()-A515+1</f>
        <v>114</v>
      </c>
      <c r="C515" s="110" t="s">
        <v>209</v>
      </c>
      <c r="D515" s="83" t="s">
        <v>135</v>
      </c>
      <c r="E515" s="247" t="s">
        <v>1253</v>
      </c>
      <c r="F515" s="232" t="s">
        <v>856</v>
      </c>
      <c r="G515" s="266" t="s">
        <v>428</v>
      </c>
      <c r="H515" s="266" t="s">
        <v>422</v>
      </c>
      <c r="I515" s="306" t="s">
        <v>905</v>
      </c>
      <c r="J515" s="232">
        <v>100</v>
      </c>
      <c r="K515" s="232" t="s"/>
      <c r="L515" s="232">
        <v>1470</v>
      </c>
      <c r="M515" s="228">
        <f>=J515*L515</f>
        <v>147000</v>
      </c>
      <c r="N515" s="232">
        <v>2.5</v>
      </c>
      <c r="O515" s="198">
        <f>=ROUND(IF((TODAY()-A515+1)*N515*(L515/10000)+L515&lt;L515*1.002,L515*1.002,(TODAY()-A515+1)*N515*(L515/10000)+L515),2)</f>
        <v>1512.26</v>
      </c>
      <c r="P515" s="232">
        <v>100</v>
      </c>
      <c r="Q515" s="83">
        <f>=J515-P515</f>
        <v>0</v>
      </c>
      <c r="R515" s="232" t="s"/>
      <c r="S515" s="228">
        <f>=P515-R515</f>
        <v>100</v>
      </c>
      <c r="T515" s="93">
        <f>=S515*L515</f>
        <v>147000</v>
      </c>
      <c r="U515" s="305">
        <f>=J515-P515</f>
        <v>0</v>
      </c>
      <c r="V515" s="258" t="s"/>
      <c r="W515" s="258" t="s"/>
      <c r="X515" s="232" t="s"/>
      <c r="Y515" s="232" t="s"/>
      <c r="Z515" s="232" t="s"/>
    </row>
    <row r="516" spans="1:26" s="270" customFormat="true" ht="15.75" customHeight="true">
      <c r="A516" s="110">
        <v>46111</v>
      </c>
      <c r="B516" s="93">
        <f>=TODAY()-A516+1</f>
        <v>114</v>
      </c>
      <c r="C516" s="110" t="s">
        <v>209</v>
      </c>
      <c r="D516" s="83" t="s">
        <v>135</v>
      </c>
      <c r="E516" s="247" t="s">
        <v>1254</v>
      </c>
      <c r="F516" s="232" t="s">
        <v>856</v>
      </c>
      <c r="G516" s="266" t="s">
        <v>428</v>
      </c>
      <c r="H516" s="266" t="s">
        <v>422</v>
      </c>
      <c r="I516" s="306" t="s">
        <v>495</v>
      </c>
      <c r="J516" s="232">
        <v>100</v>
      </c>
      <c r="K516" s="232" t="s"/>
      <c r="L516" s="232">
        <v>1470</v>
      </c>
      <c r="M516" s="228">
        <f>=J516*L516</f>
        <v>147000</v>
      </c>
      <c r="N516" s="232">
        <v>2.5</v>
      </c>
      <c r="O516" s="198">
        <f>=ROUND(IF((TODAY()-A516+1)*N516*(L516/10000)+L516&lt;L516*1.002,L516*1.002,(TODAY()-A516+1)*N516*(L516/10000)+L516),2)</f>
        <v>1512.26</v>
      </c>
      <c r="P516" s="232">
        <v>100</v>
      </c>
      <c r="Q516" s="83">
        <f>=J516-P516</f>
        <v>0</v>
      </c>
      <c r="R516" s="232" t="s"/>
      <c r="S516" s="228">
        <f>=P516-R516</f>
        <v>100</v>
      </c>
      <c r="T516" s="93">
        <f>=S516*L516</f>
        <v>147000</v>
      </c>
      <c r="U516" s="305">
        <f>=J516-P516</f>
        <v>0</v>
      </c>
      <c r="V516" s="258" t="s"/>
      <c r="W516" s="258" t="s"/>
      <c r="X516" s="232" t="s"/>
      <c r="Y516" s="232" t="s"/>
      <c r="Z516" s="232" t="s"/>
    </row>
    <row r="517" spans="1:26" s="258" customFormat="true" ht="15.75" customHeight="true">
      <c r="A517" s="110">
        <v>46111</v>
      </c>
      <c r="B517" s="93">
        <f>=TODAY()-A517+1</f>
        <v>114</v>
      </c>
      <c r="C517" s="102" t="s">
        <v>209</v>
      </c>
      <c r="D517" s="93" t="s">
        <v>135</v>
      </c>
      <c r="E517" s="160" t="s">
        <v>1255</v>
      </c>
      <c r="F517" s="232" t="s">
        <v>856</v>
      </c>
      <c r="G517" s="265" t="s">
        <v>428</v>
      </c>
      <c r="H517" s="265" t="s">
        <v>422</v>
      </c>
      <c r="I517" s="304" t="s">
        <v>859</v>
      </c>
      <c r="J517" s="232">
        <v>60</v>
      </c>
      <c r="K517" s="232" t="s"/>
      <c r="L517" s="232">
        <v>1085</v>
      </c>
      <c r="M517" s="217">
        <f>=J517*L517</f>
        <v>65100</v>
      </c>
      <c r="N517" s="232">
        <v>2.5</v>
      </c>
      <c r="O517" s="198">
        <f>=ROUND(IF((TODAY()-A517+1)*N517*(L517/10000)+L517&lt;L517*1.002,L517*1.002,(TODAY()-A517+1)*N517*(L517/10000)+L517),2)</f>
        <v>1116.19</v>
      </c>
      <c r="P517" s="232">
        <v>60</v>
      </c>
      <c r="Q517" s="93">
        <f>=J517-P517</f>
        <v>0</v>
      </c>
      <c r="R517" s="232">
        <v>60</v>
      </c>
      <c r="S517" s="217">
        <f>=P517-R517</f>
        <v>0</v>
      </c>
      <c r="T517" s="93">
        <f>=S517*L517</f>
        <v>0</v>
      </c>
      <c r="U517" s="305">
        <f>=J517-P517</f>
        <v>0</v>
      </c>
      <c r="V517" s="218" t="s"/>
      <c r="W517" s="218" t="s"/>
      <c r="X517" s="232" t="s"/>
      <c r="Y517" s="232" t="s"/>
      <c r="Z517" s="232" t="s"/>
    </row>
    <row r="518" spans="1:26" s="258" customFormat="true" ht="15.75" customHeight="true">
      <c r="A518" s="110">
        <v>46111</v>
      </c>
      <c r="B518" s="93">
        <f>=TODAY()-A518+1</f>
        <v>114</v>
      </c>
      <c r="C518" s="102" t="s">
        <v>209</v>
      </c>
      <c r="D518" s="93" t="s">
        <v>135</v>
      </c>
      <c r="E518" s="160" t="s">
        <v>1256</v>
      </c>
      <c r="F518" s="232" t="s">
        <v>856</v>
      </c>
      <c r="G518" s="220" t="s">
        <v>428</v>
      </c>
      <c r="H518" s="254" t="s">
        <v>422</v>
      </c>
      <c r="I518" s="304" t="s">
        <v>604</v>
      </c>
      <c r="J518" s="232">
        <v>50</v>
      </c>
      <c r="K518" s="232" t="s"/>
      <c r="L518" s="232">
        <v>945</v>
      </c>
      <c r="M518" s="217">
        <f>=J518*L518</f>
        <v>47250</v>
      </c>
      <c r="N518" s="232">
        <v>2.5</v>
      </c>
      <c r="O518" s="198">
        <f>=ROUND(IF((TODAY()-A518+1)*N518*(L518/10000)+L518&lt;L518*1.002,L518*1.002,(TODAY()-A518+1)*N518*(L518/10000)+L518),2)</f>
        <v>972.17</v>
      </c>
      <c r="P518" s="232">
        <v>50</v>
      </c>
      <c r="Q518" s="93">
        <f>=J518-P518</f>
        <v>0</v>
      </c>
      <c r="R518" s="232">
        <v>50</v>
      </c>
      <c r="S518" s="217">
        <f>=P518-R518</f>
        <v>0</v>
      </c>
      <c r="T518" s="93">
        <f>=S518*L518</f>
        <v>0</v>
      </c>
      <c r="U518" s="305">
        <f>=J518-P518</f>
        <v>0</v>
      </c>
      <c r="V518" s="218" t="s"/>
      <c r="W518" s="218" t="s"/>
      <c r="X518" s="232" t="s"/>
      <c r="Y518" s="232" t="s"/>
      <c r="Z518" s="232" t="s"/>
    </row>
    <row r="519" spans="1:26" s="258" customFormat="true" ht="15.75" customHeight="true">
      <c r="A519" s="110">
        <v>46111</v>
      </c>
      <c r="B519" s="93">
        <f>=TODAY()-A519+1</f>
        <v>114</v>
      </c>
      <c r="C519" s="102" t="s">
        <v>209</v>
      </c>
      <c r="D519" s="93" t="s">
        <v>135</v>
      </c>
      <c r="E519" s="160" t="s">
        <v>1257</v>
      </c>
      <c r="F519" s="232" t="s">
        <v>856</v>
      </c>
      <c r="G519" s="220" t="s">
        <v>428</v>
      </c>
      <c r="H519" s="254" t="s">
        <v>422</v>
      </c>
      <c r="I519" s="304" t="s">
        <v>1258</v>
      </c>
      <c r="J519" s="232">
        <v>50</v>
      </c>
      <c r="K519" s="232" t="s"/>
      <c r="L519" s="232">
        <v>945</v>
      </c>
      <c r="M519" s="217">
        <f>=J519*L519</f>
        <v>47250</v>
      </c>
      <c r="N519" s="232">
        <v>2.5</v>
      </c>
      <c r="O519" s="198">
        <f>=ROUND(IF((TODAY()-A519+1)*N519*(L519/10000)+L519&lt;L519*1.002,L519*1.002,(TODAY()-A519+1)*N519*(L519/10000)+L519),2)</f>
        <v>972.17</v>
      </c>
      <c r="P519" s="232">
        <v>50</v>
      </c>
      <c r="Q519" s="93">
        <f>=J519-P519</f>
        <v>0</v>
      </c>
      <c r="R519" s="232">
        <v>50</v>
      </c>
      <c r="S519" s="217">
        <f>=P519-R519</f>
        <v>0</v>
      </c>
      <c r="T519" s="93">
        <f>=S519*L519</f>
        <v>0</v>
      </c>
      <c r="U519" s="305">
        <f>=J519-P519</f>
        <v>0</v>
      </c>
      <c r="V519" s="218" t="s"/>
      <c r="W519" s="218" t="s"/>
      <c r="X519" s="232" t="s"/>
      <c r="Y519" s="232" t="s"/>
      <c r="Z519" s="232" t="s"/>
    </row>
    <row r="520" spans="1:26" s="258" customFormat="true" ht="15.75" customHeight="true">
      <c r="A520" s="110">
        <v>46114</v>
      </c>
      <c r="B520" s="93">
        <f>=TODAY()-A520+1</f>
        <v>111</v>
      </c>
      <c r="C520" s="102" t="s">
        <v>237</v>
      </c>
      <c r="D520" s="93" t="s">
        <v>135</v>
      </c>
      <c r="E520" s="160" t="s">
        <v>1259</v>
      </c>
      <c r="F520" s="232" t="s">
        <v>856</v>
      </c>
      <c r="G520" s="93" t="s">
        <v>428</v>
      </c>
      <c r="H520" s="93" t="s">
        <v>422</v>
      </c>
      <c r="I520" s="236" t="s">
        <v>1260</v>
      </c>
      <c r="J520" s="232">
        <v>200</v>
      </c>
      <c r="K520" s="117" t="s"/>
      <c r="L520" s="235">
        <v>525</v>
      </c>
      <c r="M520" s="217">
        <f>=J520*L520</f>
        <v>105000</v>
      </c>
      <c r="N520" s="235">
        <v>2.5</v>
      </c>
      <c r="O520" s="198">
        <f>=ROUND(IF((TODAY()-A520+1)*N520*(L520/10000)+L520&lt;L520*1.002,L520*1.002,(TODAY()-A520+1)*N520*(L520/10000)+L520),2)</f>
        <v>539.7</v>
      </c>
      <c r="P520" s="235">
        <v>200</v>
      </c>
      <c r="Q520" s="93">
        <f>=J520-P520</f>
        <v>0</v>
      </c>
      <c r="R520" s="235">
        <v>200</v>
      </c>
      <c r="S520" s="217">
        <f>=P520-R520</f>
        <v>0</v>
      </c>
      <c r="T520" s="93">
        <f>=S520*L520</f>
        <v>0</v>
      </c>
      <c r="U520" s="261">
        <f>=J520-P520</f>
        <v>0</v>
      </c>
      <c r="V520" s="190" t="s"/>
      <c r="W520" s="190" t="s"/>
      <c r="X520" s="117" t="s"/>
      <c r="Y520" s="117" t="s"/>
      <c r="Z520" s="117" t="s"/>
    </row>
    <row r="521" spans="1:26" s="258" customFormat="true" ht="15.75" customHeight="true">
      <c r="A521" s="110">
        <v>46114</v>
      </c>
      <c r="B521" s="93">
        <f>=TODAY()-A521+1</f>
        <v>111</v>
      </c>
      <c r="C521" s="102" t="s">
        <v>237</v>
      </c>
      <c r="D521" s="93" t="s">
        <v>135</v>
      </c>
      <c r="E521" s="160" t="s">
        <v>1261</v>
      </c>
      <c r="F521" s="232" t="s">
        <v>856</v>
      </c>
      <c r="G521" s="93" t="s">
        <v>428</v>
      </c>
      <c r="H521" s="93" t="s">
        <v>422</v>
      </c>
      <c r="I521" s="232" t="s">
        <v>1262</v>
      </c>
      <c r="J521" s="232">
        <v>155</v>
      </c>
      <c r="K521" s="117" t="s"/>
      <c r="L521" s="235">
        <v>1155</v>
      </c>
      <c r="M521" s="217">
        <f>=J521*L521</f>
        <v>179025</v>
      </c>
      <c r="N521" s="235">
        <v>2.5</v>
      </c>
      <c r="O521" s="198">
        <f>=ROUND(IF((TODAY()-A521+1)*N521*(L521/10000)+L521&lt;L521*1.002,L521*1.002,(TODAY()-A521+1)*N521*(L521/10000)+L521),2)</f>
        <v>1187.34</v>
      </c>
      <c r="P521" s="235">
        <v>155</v>
      </c>
      <c r="Q521" s="93">
        <f>=J521-P521</f>
        <v>0</v>
      </c>
      <c r="R521" s="235">
        <v>155</v>
      </c>
      <c r="S521" s="217">
        <f>=P521-R521</f>
        <v>0</v>
      </c>
      <c r="T521" s="93">
        <f>=S521*L521</f>
        <v>0</v>
      </c>
      <c r="U521" s="261">
        <f>=J521-P521</f>
        <v>0</v>
      </c>
      <c r="V521" s="190" t="s"/>
      <c r="W521" s="190" t="s"/>
      <c r="X521" s="117" t="s"/>
      <c r="Y521" s="117" t="s"/>
      <c r="Z521" s="117" t="s"/>
    </row>
    <row r="522" spans="1:26" s="258" customFormat="true" ht="15.75" customHeight="true">
      <c r="A522" s="110">
        <v>46114</v>
      </c>
      <c r="B522" s="93">
        <f>=TODAY()-A522+1</f>
        <v>111</v>
      </c>
      <c r="C522" s="102" t="s">
        <v>237</v>
      </c>
      <c r="D522" s="93" t="s">
        <v>135</v>
      </c>
      <c r="E522" s="160" t="s">
        <v>1263</v>
      </c>
      <c r="F522" s="232" t="s">
        <v>856</v>
      </c>
      <c r="G522" s="93" t="s">
        <v>428</v>
      </c>
      <c r="H522" s="93" t="s">
        <v>422</v>
      </c>
      <c r="I522" s="236" t="s">
        <v>1246</v>
      </c>
      <c r="J522" s="232">
        <v>150</v>
      </c>
      <c r="K522" s="117" t="s"/>
      <c r="L522" s="235">
        <v>665</v>
      </c>
      <c r="M522" s="217">
        <f>=J522*L522</f>
        <v>99750</v>
      </c>
      <c r="N522" s="235">
        <v>2.5</v>
      </c>
      <c r="O522" s="198">
        <f>=ROUND(IF((TODAY()-A522+1)*N522*(L522/10000)+L522&lt;L522*1.002,L522*1.002,(TODAY()-A522+1)*N522*(L522/10000)+L522),2)</f>
        <v>683.62</v>
      </c>
      <c r="P522" s="235">
        <v>150</v>
      </c>
      <c r="Q522" s="93">
        <f>=J522-P522</f>
        <v>0</v>
      </c>
      <c r="R522" s="235">
        <v>150</v>
      </c>
      <c r="S522" s="217">
        <f>=P522-R522</f>
        <v>0</v>
      </c>
      <c r="T522" s="93">
        <f>=S522*L522</f>
        <v>0</v>
      </c>
      <c r="U522" s="261">
        <f>=J522-P522</f>
        <v>0</v>
      </c>
      <c r="V522" s="190" t="s"/>
      <c r="W522" s="190" t="s"/>
      <c r="X522" s="117" t="s"/>
      <c r="Y522" s="117" t="s"/>
      <c r="Z522" s="117" t="s"/>
    </row>
    <row r="523" spans="1:26" s="258" customFormat="true" ht="15.75" customHeight="true">
      <c r="A523" s="80">
        <v>46114</v>
      </c>
      <c r="B523" s="71">
        <f>=TODAY()-A523+1</f>
        <v>111</v>
      </c>
      <c r="C523" s="98" t="s">
        <v>237</v>
      </c>
      <c r="D523" s="71" t="s">
        <v>135</v>
      </c>
      <c r="E523" s="160" t="s">
        <v>1264</v>
      </c>
      <c r="F523" s="97" t="s">
        <v>856</v>
      </c>
      <c r="G523" s="71" t="s">
        <v>428</v>
      </c>
      <c r="H523" s="71" t="s">
        <v>422</v>
      </c>
      <c r="I523" s="307" t="s">
        <v>861</v>
      </c>
      <c r="J523" s="97">
        <v>120</v>
      </c>
      <c r="K523" s="97" t="s"/>
      <c r="L523" s="97">
        <v>1085</v>
      </c>
      <c r="M523" s="112">
        <f>=J523*L523</f>
        <v>130200</v>
      </c>
      <c r="N523" s="97">
        <v>2.5</v>
      </c>
      <c r="O523" s="189">
        <f>=ROUND(IF((TODAY()-A523+1)*N523*(L523/10000)+L523&lt;L523*1.002,L523*1.002,(TODAY()-A523+1)*N523*(L523/10000)+L523),2)</f>
        <v>1115.38</v>
      </c>
      <c r="P523" s="97">
        <v>120</v>
      </c>
      <c r="Q523" s="71">
        <f>=J523-P523</f>
        <v>0</v>
      </c>
      <c r="R523" s="97">
        <v>120</v>
      </c>
      <c r="S523" s="112">
        <f>=P523-R523</f>
        <v>0</v>
      </c>
      <c r="T523" s="71">
        <f>=S523*L523</f>
        <v>0</v>
      </c>
      <c r="U523" s="264">
        <f>=J523-P523</f>
        <v>0</v>
      </c>
      <c r="V523" s="190" t="s"/>
      <c r="W523" s="190" t="s"/>
      <c r="X523" s="97" t="s"/>
      <c r="Y523" s="97" t="s"/>
      <c r="Z523" s="97" t="s"/>
    </row>
    <row r="524" spans="1:23" ht="15.75" customHeight="true">
      <c r="A524" s="80">
        <v>46114</v>
      </c>
      <c r="B524" s="71">
        <f>=TODAY()-A524+1</f>
        <v>111</v>
      </c>
      <c r="C524" s="98" t="s">
        <v>237</v>
      </c>
      <c r="D524" s="71" t="s">
        <v>135</v>
      </c>
      <c r="E524" s="160" t="s">
        <v>1265</v>
      </c>
      <c r="F524" t="s">
        <v>856</v>
      </c>
      <c r="G524" s="204" t="s">
        <v>428</v>
      </c>
      <c r="H524" s="204" t="s">
        <v>422</v>
      </c>
      <c r="I524" t="s">
        <v>1266</v>
      </c>
      <c r="J524">
        <v>100</v>
      </c>
      <c r="L524">
        <v>525</v>
      </c>
      <c r="M524" s="112">
        <f>=J524*L524</f>
        <v>52500</v>
      </c>
      <c r="N524">
        <v>2.5</v>
      </c>
      <c r="O524" s="189">
        <f>=ROUND(IF((TODAY()-A524+1)*N524*(L524/10000)+L524&lt;L524*1.002,L524*1.002,(TODAY()-A524+1)*N524*(L524/10000)+L524),2)</f>
        <v>539.7</v>
      </c>
      <c r="P524">
        <v>100</v>
      </c>
      <c r="Q524" s="71">
        <f>=J524-P524</f>
        <v>0</v>
      </c>
      <c r="R524">
        <v>100</v>
      </c>
      <c r="S524" s="112">
        <f>=P524-R524</f>
        <v>0</v>
      </c>
      <c r="T524" s="71">
        <f>=S524*L524</f>
        <v>0</v>
      </c>
      <c r="U524" s="190">
        <f>=J524-P524</f>
        <v>0</v>
      </c>
      <c r="V524" s="190" t="s"/>
      <c r="W524" s="190" t="s"/>
    </row>
    <row r="525" spans="1:23" ht="15.75" customHeight="true">
      <c r="A525" s="80">
        <v>46114</v>
      </c>
      <c r="B525" s="71">
        <f>=TODAY()-A525+1</f>
        <v>111</v>
      </c>
      <c r="C525" s="98" t="s">
        <v>237</v>
      </c>
      <c r="D525" s="71" t="s">
        <v>135</v>
      </c>
      <c r="E525" s="160" t="s">
        <v>1267</v>
      </c>
      <c r="F525" t="s">
        <v>856</v>
      </c>
      <c r="G525" s="204" t="s">
        <v>428</v>
      </c>
      <c r="H525" s="204" t="s">
        <v>422</v>
      </c>
      <c r="I525" t="s">
        <v>1268</v>
      </c>
      <c r="J525">
        <v>100</v>
      </c>
      <c r="L525">
        <v>525</v>
      </c>
      <c r="M525" s="112">
        <f>=J525*L525</f>
        <v>52500</v>
      </c>
      <c r="N525">
        <v>2.5</v>
      </c>
      <c r="O525" s="189">
        <f>=ROUND(IF((TODAY()-A525+1)*N525*(L525/10000)+L525&lt;L525*1.002,L525*1.002,(TODAY()-A525+1)*N525*(L525/10000)+L525),2)</f>
        <v>539.7</v>
      </c>
      <c r="P525">
        <v>100</v>
      </c>
      <c r="Q525" s="71">
        <f>=J525-P525</f>
        <v>0</v>
      </c>
      <c r="R525">
        <v>100</v>
      </c>
      <c r="S525" s="112">
        <f>=P525-R525</f>
        <v>0</v>
      </c>
      <c r="T525" s="71">
        <f>=S525*L525</f>
        <v>0</v>
      </c>
      <c r="U525" s="190">
        <f>=J525-P525</f>
        <v>0</v>
      </c>
      <c r="V525" s="190" t="s"/>
      <c r="W525" s="190" t="s"/>
    </row>
    <row r="526" spans="1:23" ht="15.75" customHeight="true">
      <c r="A526" s="80">
        <v>46114</v>
      </c>
      <c r="B526" s="71">
        <f>=TODAY()-A526+1</f>
        <v>111</v>
      </c>
      <c r="C526" s="98" t="s">
        <v>237</v>
      </c>
      <c r="D526" s="71" t="s">
        <v>135</v>
      </c>
      <c r="E526" s="160" t="s">
        <v>1269</v>
      </c>
      <c r="F526" t="s">
        <v>856</v>
      </c>
      <c r="G526" s="204" t="s">
        <v>428</v>
      </c>
      <c r="H526" s="204" t="s">
        <v>422</v>
      </c>
      <c r="I526" s="248" t="s">
        <v>857</v>
      </c>
      <c r="J526">
        <v>90</v>
      </c>
      <c r="L526">
        <v>1085</v>
      </c>
      <c r="M526" s="112">
        <f>=J526*L526</f>
        <v>97650</v>
      </c>
      <c r="N526">
        <v>2.5</v>
      </c>
      <c r="O526" s="189">
        <f>=ROUND(IF((TODAY()-A526+1)*N526*(L526/10000)+L526&lt;L526*1.002,L526*1.002,(TODAY()-A526+1)*N526*(L526/10000)+L526),2)</f>
        <v>1115.38</v>
      </c>
      <c r="P526">
        <v>90</v>
      </c>
      <c r="Q526" s="71">
        <f>=J526-P526</f>
        <v>0</v>
      </c>
      <c r="R526">
        <v>90</v>
      </c>
      <c r="S526" s="112">
        <f>=P526-R526</f>
        <v>0</v>
      </c>
      <c r="T526" s="71">
        <f>=S526*L526</f>
        <v>0</v>
      </c>
      <c r="U526" s="190">
        <f>=J526-P526</f>
        <v>0</v>
      </c>
      <c r="V526" s="190" t="s"/>
      <c r="W526" s="190" t="s"/>
    </row>
    <row r="527" spans="1:23" ht="15.75" customHeight="true">
      <c r="A527" s="80">
        <v>46114</v>
      </c>
      <c r="B527" s="71">
        <f>=TODAY()-A527+1</f>
        <v>111</v>
      </c>
      <c r="C527" s="98" t="s">
        <v>237</v>
      </c>
      <c r="D527" s="71" t="s">
        <v>135</v>
      </c>
      <c r="E527" s="160" t="s">
        <v>1270</v>
      </c>
      <c r="F527" t="s">
        <v>856</v>
      </c>
      <c r="G527" s="204" t="s">
        <v>428</v>
      </c>
      <c r="H527" s="204" t="s">
        <v>422</v>
      </c>
      <c r="I527" s="87" t="s">
        <v>1271</v>
      </c>
      <c r="J527">
        <v>75</v>
      </c>
      <c r="L527">
        <v>1155</v>
      </c>
      <c r="M527" s="112">
        <f>=J527*L527</f>
        <v>86625</v>
      </c>
      <c r="N527">
        <v>2.5</v>
      </c>
      <c r="O527" s="189">
        <f>=ROUND(IF((TODAY()-A527+1)*N527*(L527/10000)+L527&lt;L527*1.002,L527*1.002,(TODAY()-A527+1)*N527*(L527/10000)+L527),2)</f>
        <v>1187.34</v>
      </c>
      <c r="P527">
        <v>75</v>
      </c>
      <c r="Q527" s="71">
        <f>=J527-P527</f>
        <v>0</v>
      </c>
      <c r="R527">
        <v>75</v>
      </c>
      <c r="S527" s="112">
        <f>=P527-R527</f>
        <v>0</v>
      </c>
      <c r="T527" s="71">
        <f>=S527*L527</f>
        <v>0</v>
      </c>
      <c r="U527" s="190">
        <f>=J527-P527</f>
        <v>0</v>
      </c>
      <c r="V527" s="190" t="s"/>
      <c r="W527" s="190" t="s"/>
    </row>
    <row r="528" spans="1:23" ht="15.75" customHeight="true">
      <c r="A528" s="80">
        <v>46114</v>
      </c>
      <c r="B528" s="71">
        <f>=TODAY()-A528+1</f>
        <v>111</v>
      </c>
      <c r="C528" s="98" t="s">
        <v>237</v>
      </c>
      <c r="D528" s="71" t="s">
        <v>135</v>
      </c>
      <c r="E528" s="160" t="s">
        <v>1272</v>
      </c>
      <c r="F528" t="s">
        <v>856</v>
      </c>
      <c r="G528" s="204" t="s">
        <v>428</v>
      </c>
      <c r="H528" s="204" t="s">
        <v>422</v>
      </c>
      <c r="I528" s="64" t="s">
        <v>485</v>
      </c>
      <c r="J528">
        <v>70</v>
      </c>
      <c r="L528">
        <v>735</v>
      </c>
      <c r="M528" s="112">
        <f>=J528*L528</f>
        <v>51450</v>
      </c>
      <c r="N528">
        <v>2.5</v>
      </c>
      <c r="O528" s="189">
        <f>=ROUND(IF((TODAY()-A528+1)*N528*(L528/10000)+L528&lt;L528*1.002,L528*1.002,(TODAY()-A528+1)*N528*(L528/10000)+L528),2)</f>
        <v>755.58</v>
      </c>
      <c r="P528">
        <v>70</v>
      </c>
      <c r="Q528" s="71">
        <f>=J528-P528</f>
        <v>0</v>
      </c>
      <c r="R528">
        <v>70</v>
      </c>
      <c r="S528" s="112">
        <f>=P528-R528</f>
        <v>0</v>
      </c>
      <c r="T528" s="71">
        <f>=S528*L528</f>
        <v>0</v>
      </c>
      <c r="U528" s="190">
        <f>=J528-P528</f>
        <v>0</v>
      </c>
      <c r="V528" s="190" t="s"/>
      <c r="W528" s="190" t="s"/>
    </row>
    <row r="529" spans="1:21" ht="15.75" customHeight="true">
      <c r="A529" s="80">
        <v>46111</v>
      </c>
      <c r="B529" s="71">
        <f>=TODAY()-A529+1</f>
        <v>114</v>
      </c>
      <c r="C529" s="98" t="s">
        <v>210</v>
      </c>
      <c r="D529" s="192" t="s">
        <v>191</v>
      </c>
      <c r="E529" s="160" t="s">
        <v>1273</v>
      </c>
      <c r="F529" t="s">
        <v>1076</v>
      </c>
      <c r="G529" t="s">
        <v>741</v>
      </c>
      <c r="H529" t="s">
        <v>422</v>
      </c>
      <c r="I529" s="268" t="s">
        <v>1089</v>
      </c>
      <c r="J529">
        <v>1</v>
      </c>
      <c r="L529">
        <v>1050</v>
      </c>
      <c r="M529" s="197">
        <f>=J529*L529</f>
        <v>1050</v>
      </c>
      <c r="N529">
        <v>2.5</v>
      </c>
      <c r="O529" s="189">
        <f>=ROUND(IF((TODAY()-A529+1)*N529*(L529/10000)+L529&lt;L529*1.002,L529*1.002,(TODAY()-A529+1)*N529*(L529/10000)+L529),2)</f>
        <v>1080.19</v>
      </c>
      <c r="P529">
        <v>1</v>
      </c>
      <c r="Q529" s="71">
        <f>=J529-P529</f>
        <v>0</v>
      </c>
      <c r="R529">
        <v>1</v>
      </c>
      <c r="S529" s="112">
        <f>=P529-R529</f>
        <v>0</v>
      </c>
      <c r="T529" s="71">
        <f>=S529*L529</f>
        <v>0</v>
      </c>
      <c r="U529" s="190">
        <f>=J529-P529</f>
        <v>0</v>
      </c>
    </row>
    <row r="530" spans="1:21" ht="15.75" customHeight="true">
      <c r="A530" s="80">
        <v>46111</v>
      </c>
      <c r="B530" s="71">
        <f>=TODAY()-A530+1</f>
        <v>114</v>
      </c>
      <c r="C530" s="98" t="s">
        <v>210</v>
      </c>
      <c r="D530" s="71" t="s">
        <v>191</v>
      </c>
      <c r="E530" s="160" t="s">
        <v>1274</v>
      </c>
      <c r="F530" t="s">
        <v>1076</v>
      </c>
      <c r="G530" t="s">
        <v>741</v>
      </c>
      <c r="H530" t="s">
        <v>422</v>
      </c>
      <c r="I530" s="87" t="s">
        <v>1089</v>
      </c>
      <c r="J530">
        <v>100</v>
      </c>
      <c r="L530">
        <v>1050</v>
      </c>
      <c r="M530" s="197">
        <f>=J530*L530</f>
        <v>105000</v>
      </c>
      <c r="N530">
        <v>2.5</v>
      </c>
      <c r="O530" s="189">
        <f>=ROUND(IF((TODAY()-A530+1)*N530*(L530/10000)+L530&lt;L530*1.002,L530*1.002,(TODAY()-A530+1)*N530*(L530/10000)+L530),2)</f>
        <v>1080.19</v>
      </c>
      <c r="P530">
        <v>100</v>
      </c>
      <c r="Q530" s="71">
        <f>=J530-P530</f>
        <v>0</v>
      </c>
      <c r="R530">
        <v>100</v>
      </c>
      <c r="S530" s="112">
        <f>=P530-R530</f>
        <v>0</v>
      </c>
      <c r="T530" s="71">
        <f>=S530*L530</f>
        <v>0</v>
      </c>
      <c r="U530" s="190">
        <f>=J530-P530</f>
        <v>0</v>
      </c>
    </row>
    <row r="531" spans="1:21" ht="15.75" customHeight="true">
      <c r="A531" s="80">
        <v>46111</v>
      </c>
      <c r="B531" s="71">
        <f>=TODAY()-A531+1</f>
        <v>114</v>
      </c>
      <c r="C531" s="102" t="s">
        <v>210</v>
      </c>
      <c r="D531" s="93" t="s">
        <v>191</v>
      </c>
      <c r="E531" s="160" t="s">
        <v>1275</v>
      </c>
      <c r="F531" t="s">
        <v>1076</v>
      </c>
      <c r="G531" t="s">
        <v>741</v>
      </c>
      <c r="H531" t="s">
        <v>422</v>
      </c>
      <c r="I531" s="87" t="s">
        <v>1082</v>
      </c>
      <c r="J531">
        <v>100</v>
      </c>
      <c r="L531">
        <v>950</v>
      </c>
      <c r="M531" s="197">
        <f>=J531*L531</f>
        <v>95000</v>
      </c>
      <c r="N531">
        <v>2.5</v>
      </c>
      <c r="O531" s="189">
        <f>=ROUND(IF((TODAY()-A531+1)*N531*(L531/10000)+L531&lt;L531*1.002,L531*1.002,(TODAY()-A531+1)*N531*(L531/10000)+L531),2)</f>
        <v>977.31</v>
      </c>
      <c r="P531">
        <v>100</v>
      </c>
      <c r="Q531" s="71">
        <f>=J531-P531</f>
        <v>0</v>
      </c>
      <c r="R531">
        <v>100</v>
      </c>
      <c r="S531" s="112">
        <f>=P531-R531</f>
        <v>0</v>
      </c>
      <c r="T531" s="71">
        <f>=S531*L531</f>
        <v>0</v>
      </c>
      <c r="U531" s="190">
        <f>=J531-P531</f>
        <v>0</v>
      </c>
    </row>
    <row r="532" spans="1:21" ht="15.75" customHeight="true">
      <c r="A532" s="80">
        <v>46111</v>
      </c>
      <c r="B532" s="71">
        <f>=TODAY()-A532+1</f>
        <v>114</v>
      </c>
      <c r="C532" s="98" t="s">
        <v>210</v>
      </c>
      <c r="D532" s="71" t="s">
        <v>191</v>
      </c>
      <c r="E532" s="160" t="s">
        <v>1276</v>
      </c>
      <c r="F532" t="s">
        <v>1076</v>
      </c>
      <c r="G532" t="s">
        <v>741</v>
      </c>
      <c r="H532" t="s">
        <v>422</v>
      </c>
      <c r="I532" s="258" t="s">
        <v>1026</v>
      </c>
      <c r="J532">
        <v>99</v>
      </c>
      <c r="L532">
        <v>1050</v>
      </c>
      <c r="M532" s="197">
        <f>=J532*L532</f>
        <v>103950</v>
      </c>
      <c r="N532">
        <v>2.5</v>
      </c>
      <c r="O532" s="189">
        <f>=ROUND(IF((TODAY()-A532+1)*N532*(L532/10000)+L532&lt;L532*1.002,L532*1.002,(TODAY()-A532+1)*N532*(L532/10000)+L532),2)</f>
        <v>1080.19</v>
      </c>
      <c r="P532">
        <v>99</v>
      </c>
      <c r="Q532" s="71">
        <f>=J532-P532</f>
        <v>0</v>
      </c>
      <c r="R532">
        <v>99</v>
      </c>
      <c r="S532" s="112">
        <f>=P532-R532</f>
        <v>0</v>
      </c>
      <c r="T532" s="71">
        <f>=S532*L532</f>
        <v>0</v>
      </c>
      <c r="U532" s="190">
        <f>=J532-P532</f>
        <v>0</v>
      </c>
    </row>
    <row r="533" spans="1:21" ht="15.75" customHeight="true">
      <c r="A533" s="80">
        <v>46112</v>
      </c>
      <c r="B533" s="71">
        <f>=TODAY()-A533+1</f>
        <v>113</v>
      </c>
      <c r="C533" s="98" t="s">
        <v>225</v>
      </c>
      <c r="D533" s="71" t="s">
        <v>191</v>
      </c>
      <c r="E533" s="160" t="s">
        <v>1277</v>
      </c>
      <c r="F533" t="s">
        <v>1076</v>
      </c>
      <c r="G533" t="s">
        <v>741</v>
      </c>
      <c r="H533" t="s">
        <v>422</v>
      </c>
      <c r="I533" s="87" t="s">
        <v>1278</v>
      </c>
      <c r="J533">
        <v>120</v>
      </c>
      <c r="L533">
        <v>945</v>
      </c>
      <c r="M533" s="197">
        <f>=J533*L533</f>
        <v>113400</v>
      </c>
      <c r="N533">
        <v>2.5</v>
      </c>
      <c r="O533" s="189">
        <f>=ROUND(IF((TODAY()-A533+1)*N533*(L533/10000)+L533&lt;L533*1.002,L533*1.002,(TODAY()-A533+1)*N533*(L533/10000)+L533),2)</f>
        <v>971.93</v>
      </c>
      <c r="P533">
        <v>120</v>
      </c>
      <c r="Q533" s="71">
        <f>=J533-P533</f>
        <v>0</v>
      </c>
      <c r="R533">
        <v>10</v>
      </c>
      <c r="S533" s="112">
        <f>=P533-R533</f>
        <v>110</v>
      </c>
      <c r="T533" s="71">
        <f>=S533*L533</f>
        <v>103950</v>
      </c>
      <c r="U533" s="190">
        <f>=J533-P533</f>
        <v>0</v>
      </c>
    </row>
    <row r="534" spans="1:21" ht="15.75" customHeight="true">
      <c r="A534" s="80">
        <v>46112</v>
      </c>
      <c r="B534" s="71">
        <f>=TODAY()-A534+1</f>
        <v>113</v>
      </c>
      <c r="C534" s="98" t="s">
        <v>225</v>
      </c>
      <c r="D534" s="71" t="s">
        <v>191</v>
      </c>
      <c r="E534" s="160" t="s">
        <v>1279</v>
      </c>
      <c r="F534" t="s">
        <v>1076</v>
      </c>
      <c r="G534" t="s">
        <v>741</v>
      </c>
      <c r="H534" t="s">
        <v>422</v>
      </c>
      <c r="I534" s="87" t="s">
        <v>1026</v>
      </c>
      <c r="J534">
        <v>90</v>
      </c>
      <c r="L534">
        <v>1085</v>
      </c>
      <c r="M534" s="197">
        <f>=J534*L534</f>
        <v>97650</v>
      </c>
      <c r="N534">
        <v>2.5</v>
      </c>
      <c r="O534" s="189">
        <f>=ROUND(IF((TODAY()-A534+1)*N534*(L534/10000)+L534&lt;L534*1.002,L534*1.002,(TODAY()-A534+1)*N534*(L534/10000)+L534),2)</f>
        <v>1115.92</v>
      </c>
      <c r="P534">
        <v>90</v>
      </c>
      <c r="Q534" s="71">
        <f>=J534-P534</f>
        <v>0</v>
      </c>
      <c r="S534" s="112">
        <f>=P534-R534</f>
        <v>90</v>
      </c>
      <c r="T534" s="71">
        <f>=S534*L534</f>
        <v>97650</v>
      </c>
      <c r="U534" s="190">
        <f>=J534-P534</f>
        <v>0</v>
      </c>
    </row>
    <row r="535" spans="1:21" ht="15.75" customHeight="true">
      <c r="A535" s="80">
        <v>46111</v>
      </c>
      <c r="B535" s="71">
        <f>=TODAY()-A535+1</f>
        <v>114</v>
      </c>
      <c r="C535" s="135" t="s">
        <v>212</v>
      </c>
      <c r="D535" s="100" t="s">
        <v>211</v>
      </c>
      <c r="E535" s="160" t="s">
        <v>1280</v>
      </c>
      <c r="F535" s="136" t="s">
        <v>1281</v>
      </c>
      <c r="G535" s="136" t="s">
        <v>421</v>
      </c>
      <c r="H535" s="136" t="s">
        <v>470</v>
      </c>
      <c r="I535" s="136" t="s">
        <v>1282</v>
      </c>
      <c r="J535">
        <v>261</v>
      </c>
      <c r="L535">
        <v>3220</v>
      </c>
      <c r="M535" s="112">
        <f>=J535*L535</f>
        <v>840420</v>
      </c>
      <c r="N535">
        <v>2.5</v>
      </c>
      <c r="O535" s="189">
        <f>=ROUND(IF((TODAY()-A535+1)*N535*(L535/10000)+L535&lt;L535*1.002,L535*1.002,(TODAY()-A535+1)*N535*(L535/10000)+L535),2)</f>
        <v>3312.58</v>
      </c>
      <c r="P535">
        <v>261</v>
      </c>
      <c r="Q535" s="71">
        <f>=J535-P535</f>
        <v>0</v>
      </c>
      <c r="S535" s="112">
        <f>=P535-R535</f>
        <v>261</v>
      </c>
      <c r="T535" s="71">
        <f>=S535*L535</f>
        <v>840420</v>
      </c>
      <c r="U535" s="190">
        <f>=J535-P535</f>
        <v>0</v>
      </c>
    </row>
    <row r="536" spans="1:21" ht="15.75" customHeight="true">
      <c r="A536" s="80">
        <v>46114</v>
      </c>
      <c r="B536" s="71">
        <f>=TODAY()-A536+1</f>
        <v>111</v>
      </c>
      <c r="C536" s="135" t="s">
        <v>238</v>
      </c>
      <c r="D536" s="100" t="s">
        <v>211</v>
      </c>
      <c r="E536" s="160" t="s">
        <v>1283</v>
      </c>
      <c r="F536" s="136" t="s">
        <v>1281</v>
      </c>
      <c r="G536" s="263" t="s">
        <v>421</v>
      </c>
      <c r="H536" s="263" t="s">
        <v>470</v>
      </c>
      <c r="I536" s="308" t="s">
        <v>1284</v>
      </c>
      <c r="J536">
        <v>247</v>
      </c>
      <c r="L536">
        <v>3220</v>
      </c>
      <c r="M536" s="112">
        <f>=J536*L536</f>
        <v>795340</v>
      </c>
      <c r="N536">
        <v>2.5</v>
      </c>
      <c r="O536" s="189">
        <f>=ROUND(IF((TODAY()-A536+1)*N536*(L536/10000)+L536&lt;L536*1.002,L536*1.002,(TODAY()-A536+1)*N536*(L536/10000)+L536),2)</f>
        <v>3310.16</v>
      </c>
      <c r="P536">
        <v>247</v>
      </c>
      <c r="Q536" s="71">
        <f>=J536-P536</f>
        <v>0</v>
      </c>
      <c r="R536">
        <v>247</v>
      </c>
      <c r="S536" s="112">
        <f>=P536-R536</f>
        <v>0</v>
      </c>
      <c r="T536" s="71">
        <f>=S536*L536</f>
        <v>0</v>
      </c>
      <c r="U536" s="190">
        <f>=J536-P536</f>
        <v>0</v>
      </c>
    </row>
    <row r="537" spans="1:21" ht="15.75" customHeight="true">
      <c r="A537" s="80">
        <v>46114</v>
      </c>
      <c r="B537" s="71">
        <f>=TODAY()-A537+1</f>
        <v>111</v>
      </c>
      <c r="C537" s="135" t="s">
        <v>238</v>
      </c>
      <c r="D537" s="100" t="s">
        <v>211</v>
      </c>
      <c r="E537" s="160" t="s">
        <v>1285</v>
      </c>
      <c r="F537" s="136" t="s">
        <v>1281</v>
      </c>
      <c r="G537" s="263" t="s">
        <v>421</v>
      </c>
      <c r="H537" s="263" t="s">
        <v>470</v>
      </c>
      <c r="I537" s="308" t="s">
        <v>1286</v>
      </c>
      <c r="J537">
        <v>240</v>
      </c>
      <c r="L537">
        <v>2800</v>
      </c>
      <c r="M537" s="112">
        <f>=J537*L537</f>
        <v>672000</v>
      </c>
      <c r="N537">
        <v>2.5</v>
      </c>
      <c r="O537" s="189">
        <f>=ROUND(IF((TODAY()-A537+1)*N537*(L537/10000)+L537&lt;L537*1.002,L537*1.002,(TODAY()-A537+1)*N537*(L537/10000)+L537),2)</f>
        <v>2878.4</v>
      </c>
      <c r="P537">
        <v>240</v>
      </c>
      <c r="Q537" s="71">
        <f>=J537-P537</f>
        <v>0</v>
      </c>
      <c r="R537">
        <v>240</v>
      </c>
      <c r="S537" s="112">
        <f>=P537-R537</f>
        <v>0</v>
      </c>
      <c r="T537" s="71">
        <f>=S537*L537</f>
        <v>0</v>
      </c>
      <c r="U537" s="190">
        <f>=J537-P537</f>
        <v>0</v>
      </c>
    </row>
    <row r="538" spans="1:21" ht="15.75" customHeight="true">
      <c r="A538" s="80">
        <v>46114</v>
      </c>
      <c r="B538" s="71">
        <f>=TODAY()-A538+1</f>
        <v>111</v>
      </c>
      <c r="C538" s="135" t="s">
        <v>238</v>
      </c>
      <c r="D538" s="100" t="s">
        <v>211</v>
      </c>
      <c r="E538" s="160" t="s">
        <v>1287</v>
      </c>
      <c r="F538" s="136" t="s">
        <v>1281</v>
      </c>
      <c r="G538" s="146" t="s">
        <v>421</v>
      </c>
      <c r="H538" s="146" t="s">
        <v>470</v>
      </c>
      <c r="I538" s="308" t="s">
        <v>1288</v>
      </c>
      <c r="J538" s="87">
        <v>174</v>
      </c>
      <c r="L538">
        <v>2800</v>
      </c>
      <c r="M538" s="112">
        <f>=J538*L538</f>
        <v>487200</v>
      </c>
      <c r="N538">
        <v>2.5</v>
      </c>
      <c r="O538" s="189">
        <f>=ROUND(IF((TODAY()-A538+1)*N538*(L538/10000)+L538&lt;L538*1.002,L538*1.002,(TODAY()-A538+1)*N538*(L538/10000)+L538),2)</f>
        <v>2878.4</v>
      </c>
      <c r="P538">
        <v>174</v>
      </c>
      <c r="Q538" s="71">
        <f>=J538-P538</f>
        <v>0</v>
      </c>
      <c r="S538" s="112">
        <f>=P538-R538</f>
        <v>174</v>
      </c>
      <c r="T538" s="71">
        <f>=S538*L538</f>
        <v>487200</v>
      </c>
      <c r="U538" s="190">
        <f>=J538-P538</f>
        <v>0</v>
      </c>
    </row>
    <row r="539" spans="1:21" ht="15.75" customHeight="true">
      <c r="A539" s="109">
        <v>46112</v>
      </c>
      <c r="B539" s="71">
        <f>=TODAY()-A539+1</f>
        <v>113</v>
      </c>
      <c r="C539" s="135" t="s">
        <v>213</v>
      </c>
      <c r="D539" s="100" t="s">
        <v>156</v>
      </c>
      <c r="E539" s="242" t="s">
        <v>1289</v>
      </c>
      <c r="F539" s="242" t="s">
        <v>919</v>
      </c>
      <c r="G539" s="136" t="s">
        <v>421</v>
      </c>
      <c r="H539" s="136" t="s">
        <v>470</v>
      </c>
      <c r="I539" s="136" t="s">
        <v>1017</v>
      </c>
      <c r="J539">
        <v>100</v>
      </c>
      <c r="L539">
        <v>3220</v>
      </c>
      <c r="M539" s="112">
        <f>=J539*L539</f>
        <v>322000</v>
      </c>
      <c r="N539">
        <v>2.5</v>
      </c>
      <c r="O539" s="189">
        <f>=ROUND(IF((TODAY()-A539+1)*N539*(L539/10000)+L539&lt;L539*1.002,L539*1.002,(TODAY()-A539+1)*N539*(L539/10000)+L539),2)</f>
        <v>3311.77</v>
      </c>
      <c r="P539">
        <v>100</v>
      </c>
      <c r="Q539" s="71">
        <f>=J539-P539</f>
        <v>0</v>
      </c>
      <c r="R539">
        <v>100</v>
      </c>
      <c r="S539" s="112">
        <f>=P539-R539</f>
        <v>0</v>
      </c>
      <c r="T539" s="71">
        <f>=S539*L539</f>
        <v>0</v>
      </c>
      <c r="U539" s="190">
        <f>=J539-P539</f>
        <v>0</v>
      </c>
    </row>
    <row r="540" spans="1:21" ht="15.75" customHeight="true">
      <c r="A540" s="80">
        <v>46112</v>
      </c>
      <c r="B540" s="71">
        <f>=TODAY()-A540+1</f>
        <v>113</v>
      </c>
      <c r="C540" s="135" t="s">
        <v>213</v>
      </c>
      <c r="D540" s="100" t="s">
        <v>156</v>
      </c>
      <c r="E540" t="s">
        <v>37</v>
      </c>
      <c r="F540" s="242" t="s">
        <v>919</v>
      </c>
      <c r="G540" s="136" t="s">
        <v>421</v>
      </c>
      <c r="H540" s="136" t="s">
        <v>470</v>
      </c>
      <c r="I540" t="s">
        <v>1290</v>
      </c>
      <c r="J540">
        <v>140</v>
      </c>
      <c r="L540">
        <v>2800</v>
      </c>
      <c r="M540" s="112">
        <f>=J540*L540</f>
        <v>392000</v>
      </c>
      <c r="N540">
        <v>2.5</v>
      </c>
      <c r="O540" s="189">
        <f>=ROUND(IF((TODAY()-A540+1)*N540*(L540/10000)+L540&lt;L540*1.002,L540*1.002,(TODAY()-A540+1)*N540*(L540/10000)+L540),2)</f>
        <v>2879.8</v>
      </c>
      <c r="P540">
        <v>140</v>
      </c>
      <c r="Q540" s="71">
        <f>=J540-P540</f>
        <v>0</v>
      </c>
      <c r="R540">
        <v>140</v>
      </c>
      <c r="S540" s="112">
        <f>=P540-R540</f>
        <v>0</v>
      </c>
      <c r="T540" s="71">
        <f>=S540*L540</f>
        <v>0</v>
      </c>
      <c r="U540" s="190">
        <f>=J540-P540</f>
        <v>0</v>
      </c>
    </row>
    <row r="541" spans="1:21" ht="15.75" customHeight="true">
      <c r="A541" s="109">
        <v>46112</v>
      </c>
      <c r="B541" s="71">
        <f>=TODAY()-A541+1</f>
        <v>113</v>
      </c>
      <c r="C541" s="135" t="s">
        <v>213</v>
      </c>
      <c r="D541" s="100" t="s">
        <v>156</v>
      </c>
      <c r="E541" s="242" t="s">
        <v>1291</v>
      </c>
      <c r="F541" s="242" t="s">
        <v>919</v>
      </c>
      <c r="G541" s="136" t="s">
        <v>421</v>
      </c>
      <c r="H541" s="136" t="s">
        <v>470</v>
      </c>
      <c r="I541" t="s">
        <v>1015</v>
      </c>
      <c r="J541">
        <v>110</v>
      </c>
      <c r="L541">
        <v>3220</v>
      </c>
      <c r="M541" s="112">
        <f>=J541*L541</f>
        <v>354200</v>
      </c>
      <c r="N541">
        <v>2.5</v>
      </c>
      <c r="O541" s="189">
        <f>=ROUND(IF((TODAY()-A541+1)*N541*(L541/10000)+L541&lt;L541*1.002,L541*1.002,(TODAY()-A541+1)*N541*(L541/10000)+L541),2)</f>
        <v>3311.77</v>
      </c>
      <c r="P541">
        <v>110</v>
      </c>
      <c r="Q541" s="71">
        <f>=J541-P541</f>
        <v>0</v>
      </c>
      <c r="R541">
        <v>110</v>
      </c>
      <c r="S541" s="112">
        <f>=P541-R541</f>
        <v>0</v>
      </c>
      <c r="T541" s="71">
        <f>=S541*L541</f>
        <v>0</v>
      </c>
      <c r="U541" s="190">
        <f>=J541-P541</f>
        <v>0</v>
      </c>
    </row>
    <row r="542" spans="1:21" ht="15.75" customHeight="true">
      <c r="A542" s="80">
        <v>46112</v>
      </c>
      <c r="B542" s="71">
        <f>=TODAY()-A542+1</f>
        <v>113</v>
      </c>
      <c r="C542" s="135" t="s">
        <v>213</v>
      </c>
      <c r="D542" s="100" t="s">
        <v>156</v>
      </c>
      <c r="E542" t="s">
        <v>37</v>
      </c>
      <c r="F542" s="242" t="s">
        <v>919</v>
      </c>
      <c r="G542" s="136" t="s">
        <v>421</v>
      </c>
      <c r="H542" s="136" t="s">
        <v>470</v>
      </c>
      <c r="I542" t="s">
        <v>1292</v>
      </c>
      <c r="J542">
        <v>70</v>
      </c>
      <c r="L542">
        <v>3220</v>
      </c>
      <c r="M542" s="112">
        <f>=J542*L542</f>
        <v>225400</v>
      </c>
      <c r="N542">
        <v>2.5</v>
      </c>
      <c r="O542" s="189">
        <f>=ROUND(IF((TODAY()-A542+1)*N542*(L542/10000)+L542&lt;L542*1.002,L542*1.002,(TODAY()-A542+1)*N542*(L542/10000)+L542),2)</f>
        <v>3311.77</v>
      </c>
      <c r="P542">
        <v>70</v>
      </c>
      <c r="Q542" s="71">
        <f>=J542-P542</f>
        <v>0</v>
      </c>
      <c r="R542">
        <v>70</v>
      </c>
      <c r="S542" s="112">
        <f>=P542-R542</f>
        <v>0</v>
      </c>
      <c r="T542" s="71">
        <f>=S542*L542</f>
        <v>0</v>
      </c>
      <c r="U542" s="190">
        <f>=J542-P542</f>
        <v>0</v>
      </c>
    </row>
    <row r="543" spans="1:26" ht="15.75" customHeight="true">
      <c r="A543" s="110">
        <v>46109</v>
      </c>
      <c r="B543" s="93">
        <f>=TODAY()-A543+1</f>
        <v>116</v>
      </c>
      <c r="C543" s="102" t="s">
        <v>206</v>
      </c>
      <c r="D543" s="93" t="s">
        <v>189</v>
      </c>
      <c r="E543" s="309" t="s">
        <v>1293</v>
      </c>
      <c r="F543" s="221" t="s">
        <v>1045</v>
      </c>
      <c r="G543" s="142" t="s">
        <v>428</v>
      </c>
      <c r="H543" s="142" t="s">
        <v>422</v>
      </c>
      <c r="I543" s="142" t="s">
        <v>1294</v>
      </c>
      <c r="J543" s="254">
        <v>1</v>
      </c>
      <c r="K543" s="310" t="s"/>
      <c r="L543" s="240">
        <v>4880</v>
      </c>
      <c r="M543" s="217">
        <f>=J543*L543</f>
        <v>4880</v>
      </c>
      <c r="N543" s="240">
        <v>3</v>
      </c>
      <c r="O543" s="198">
        <f>=ROUND(IF((TODAY()-A543+1)*N543*(L543/10000)+L543&lt;L543*1.002,L543*1.002,(TODAY()-A543+1)*N543*(L543/10000)+L543),2)</f>
        <v>5051.29</v>
      </c>
      <c r="P543" s="277">
        <v>1</v>
      </c>
      <c r="Q543" s="93">
        <f>=J543-P543</f>
        <v>0</v>
      </c>
      <c r="R543" s="311">
        <v>1</v>
      </c>
      <c r="S543" s="217">
        <f>=P543-R543</f>
        <v>0</v>
      </c>
      <c r="T543" s="93">
        <f>=S543*L543</f>
        <v>0</v>
      </c>
      <c r="U543" s="312">
        <f>=J543-P543</f>
        <v>0</v>
      </c>
      <c r="V543" s="310" t="s"/>
      <c r="W543" s="310" t="s"/>
      <c r="X543" s="310" t="s"/>
      <c r="Y543" s="310" t="s"/>
      <c r="Z543" s="310" t="s"/>
    </row>
    <row r="544" spans="1:21" ht="15.75" customHeight="true">
      <c r="A544" s="80">
        <v>46109</v>
      </c>
      <c r="B544" s="71">
        <f>=TODAY()-A544+1</f>
        <v>116</v>
      </c>
      <c r="C544" s="80" t="s">
        <v>206</v>
      </c>
      <c r="D544" s="64" t="s">
        <v>189</v>
      </c>
      <c r="E544" s="160" t="s">
        <v>1295</v>
      </c>
      <c r="F544" s="141" t="s">
        <v>1045</v>
      </c>
      <c r="G544" s="140" t="s">
        <v>428</v>
      </c>
      <c r="H544" s="140" t="s">
        <v>422</v>
      </c>
      <c r="I544" s="140" t="s">
        <v>1296</v>
      </c>
      <c r="J544" s="140">
        <v>1</v>
      </c>
      <c r="L544" s="87">
        <v>5920</v>
      </c>
      <c r="M544" s="197">
        <f>=J544*L544</f>
        <v>5920</v>
      </c>
      <c r="N544" s="87">
        <v>3</v>
      </c>
      <c r="O544" s="189">
        <f>=ROUND(IF((TODAY()-A544+1)*N544*(L544/10000)+L544&lt;L544*1.002,L544*1.002,(TODAY()-A544+1)*N544*(L544/10000)+L544),2)</f>
        <v>6127.79</v>
      </c>
      <c r="P544" s="87">
        <v>1</v>
      </c>
      <c r="Q544" s="64">
        <f>=J544-P544</f>
        <v>0</v>
      </c>
      <c r="R544" s="87">
        <v>1</v>
      </c>
      <c r="S544" s="197">
        <f>=P544-R544</f>
        <v>0</v>
      </c>
      <c r="T544" s="71">
        <f>=S544*L544</f>
        <v>0</v>
      </c>
      <c r="U544" s="190">
        <f>=J544-P544</f>
        <v>0</v>
      </c>
    </row>
    <row r="545" spans="1:21" ht="15.75" customHeight="true">
      <c r="A545" s="80">
        <v>46109</v>
      </c>
      <c r="B545" s="71">
        <f>=TODAY()-A545+1</f>
        <v>116</v>
      </c>
      <c r="C545" s="80" t="s">
        <v>206</v>
      </c>
      <c r="D545" s="64" t="s">
        <v>189</v>
      </c>
      <c r="E545" s="136" t="s">
        <v>1297</v>
      </c>
      <c r="F545" s="141" t="s">
        <v>1045</v>
      </c>
      <c r="G545" s="140" t="s">
        <v>428</v>
      </c>
      <c r="H545" s="140" t="s">
        <v>422</v>
      </c>
      <c r="I545" s="140" t="s">
        <v>1298</v>
      </c>
      <c r="J545" s="140">
        <v>1</v>
      </c>
      <c r="L545" s="87">
        <v>1435</v>
      </c>
      <c r="M545" s="197">
        <f>=J545*L545</f>
        <v>1435</v>
      </c>
      <c r="N545" s="87">
        <v>3</v>
      </c>
      <c r="O545" s="189">
        <f>=ROUND(IF((TODAY()-A545+1)*N545*(L545/10000)+L545&lt;L545*1.002,L545*1.002,(TODAY()-A545+1)*N545*(L545/10000)+L545),2)</f>
        <v>1485.37</v>
      </c>
      <c r="P545" s="87">
        <v>1</v>
      </c>
      <c r="Q545" s="64">
        <f>=J545-P545</f>
        <v>0</v>
      </c>
      <c r="R545" s="87">
        <v>1</v>
      </c>
      <c r="S545" s="197">
        <f>=P545-R545</f>
        <v>0</v>
      </c>
      <c r="T545" s="71">
        <f>=S545*L545</f>
        <v>0</v>
      </c>
      <c r="U545" s="190">
        <f>=J545-P545</f>
        <v>0</v>
      </c>
    </row>
    <row r="546" spans="1:21" ht="15.75" customHeight="true">
      <c r="A546" s="110">
        <v>46109</v>
      </c>
      <c r="B546" s="93">
        <f>=TODAY()-A546+1</f>
        <v>116</v>
      </c>
      <c r="C546" s="110" t="s">
        <v>206</v>
      </c>
      <c r="D546" s="83" t="s">
        <v>189</v>
      </c>
      <c r="E546" s="160" t="s">
        <v>1299</v>
      </c>
      <c r="F546" s="257" t="s">
        <v>1045</v>
      </c>
      <c r="G546" s="142" t="s">
        <v>428</v>
      </c>
      <c r="H546" s="142" t="s">
        <v>422</v>
      </c>
      <c r="I546" s="142" t="s">
        <v>1300</v>
      </c>
      <c r="J546" s="142">
        <v>1</v>
      </c>
      <c r="L546" s="258">
        <v>2760</v>
      </c>
      <c r="M546" s="228">
        <f>=J546*L546</f>
        <v>2760</v>
      </c>
      <c r="N546" s="258">
        <v>3</v>
      </c>
      <c r="O546" s="198">
        <f>=ROUND(IF((TODAY()-A546+1)*N546*(L546/10000)+L546&lt;L546*1.002,L546*1.002,(TODAY()-A546+1)*N546*(L546/10000)+L546),2)</f>
        <v>2856.88</v>
      </c>
      <c r="P546" s="258">
        <v>1</v>
      </c>
      <c r="Q546" s="83">
        <f>=J546-P546</f>
        <v>0</v>
      </c>
      <c r="R546">
        <v>1</v>
      </c>
      <c r="S546" s="228">
        <f>=P546-R546</f>
        <v>0</v>
      </c>
      <c r="T546" s="93">
        <f>=S546*L546</f>
        <v>0</v>
      </c>
      <c r="U546" s="190">
        <f>=J546-P546</f>
        <v>0</v>
      </c>
    </row>
    <row r="547" spans="1:21" ht="15.75" customHeight="true">
      <c r="A547" s="80">
        <v>46109</v>
      </c>
      <c r="B547" s="71">
        <f>=TODAY()-A547+1</f>
        <v>116</v>
      </c>
      <c r="C547" s="80" t="s">
        <v>206</v>
      </c>
      <c r="D547" s="64" t="s">
        <v>189</v>
      </c>
      <c r="E547" s="160" t="s">
        <v>1299</v>
      </c>
      <c r="F547" s="141" t="s">
        <v>1045</v>
      </c>
      <c r="G547" s="140" t="s">
        <v>428</v>
      </c>
      <c r="H547" s="140" t="s">
        <v>422</v>
      </c>
      <c r="I547" s="140" t="s">
        <v>1301</v>
      </c>
      <c r="J547" s="140">
        <v>1</v>
      </c>
      <c r="L547" s="87">
        <v>4240</v>
      </c>
      <c r="M547" s="197">
        <f>=J547*L547</f>
        <v>4240</v>
      </c>
      <c r="N547" s="87">
        <v>3</v>
      </c>
      <c r="O547" s="189">
        <f>=ROUND(IF((TODAY()-A547+1)*N547*(L547/10000)+L547&lt;L547*1.002,L547*1.002,(TODAY()-A547+1)*N547*(L547/10000)+L547),2)</f>
        <v>4388.82</v>
      </c>
      <c r="P547" s="87">
        <v>1</v>
      </c>
      <c r="Q547" s="64">
        <f>=J547-P547</f>
        <v>0</v>
      </c>
      <c r="R547">
        <v>1</v>
      </c>
      <c r="S547" s="197">
        <f>=P547-R547</f>
        <v>0</v>
      </c>
      <c r="T547" s="71">
        <f>=S547*L547</f>
        <v>0</v>
      </c>
      <c r="U547" s="190">
        <f>=J547-P547</f>
        <v>0</v>
      </c>
    </row>
    <row r="548" spans="1:21" ht="15.75" customHeight="true">
      <c r="A548" s="80">
        <v>46109</v>
      </c>
      <c r="B548" s="71">
        <f>=TODAY()-A548+1</f>
        <v>116</v>
      </c>
      <c r="C548" s="80" t="s">
        <v>206</v>
      </c>
      <c r="D548" s="64" t="s">
        <v>189</v>
      </c>
      <c r="E548" s="160" t="s">
        <v>1302</v>
      </c>
      <c r="F548" s="141" t="s">
        <v>1045</v>
      </c>
      <c r="G548" s="140" t="s">
        <v>428</v>
      </c>
      <c r="H548" s="140" t="s">
        <v>422</v>
      </c>
      <c r="I548" s="140" t="s">
        <v>1303</v>
      </c>
      <c r="J548" s="140">
        <v>1</v>
      </c>
      <c r="L548" s="87">
        <v>3360</v>
      </c>
      <c r="M548" s="197">
        <f>=J548*L548</f>
        <v>3360</v>
      </c>
      <c r="N548" s="87">
        <v>3</v>
      </c>
      <c r="O548" s="189">
        <f>=ROUND(IF((TODAY()-A548+1)*N548*(L548/10000)+L548&lt;L548*1.002,L548*1.002,(TODAY()-A548+1)*N548*(L548/10000)+L548),2)</f>
        <v>3477.94</v>
      </c>
      <c r="P548" s="87">
        <v>1</v>
      </c>
      <c r="Q548" s="64">
        <f>=J548-P548</f>
        <v>0</v>
      </c>
      <c r="R548" s="87">
        <v>1</v>
      </c>
      <c r="S548" s="197">
        <f>=P548-R548</f>
        <v>0</v>
      </c>
      <c r="T548" s="71">
        <f>=S548*L548</f>
        <v>0</v>
      </c>
      <c r="U548" s="190">
        <f>=J548-P548</f>
        <v>0</v>
      </c>
    </row>
    <row r="549" spans="1:21" ht="15.75" customHeight="true">
      <c r="A549" s="80">
        <v>46109</v>
      </c>
      <c r="B549" s="71">
        <f>=TODAY()-A549+1</f>
        <v>116</v>
      </c>
      <c r="C549" s="80" t="s">
        <v>206</v>
      </c>
      <c r="D549" s="64" t="s">
        <v>189</v>
      </c>
      <c r="E549" s="160" t="s">
        <v>1304</v>
      </c>
      <c r="F549" s="141" t="s">
        <v>1045</v>
      </c>
      <c r="G549" s="140" t="s">
        <v>428</v>
      </c>
      <c r="H549" s="140" t="s">
        <v>422</v>
      </c>
      <c r="I549" s="140" t="s">
        <v>1305</v>
      </c>
      <c r="J549" s="140">
        <v>1</v>
      </c>
      <c r="L549" s="87">
        <v>3520</v>
      </c>
      <c r="M549" s="197">
        <f>=J549*L549</f>
        <v>3520</v>
      </c>
      <c r="N549" s="87">
        <v>3</v>
      </c>
      <c r="O549" s="189">
        <f>=ROUND(IF((TODAY()-A549+1)*N549*(L549/10000)+L549&lt;L549*1.002,L549*1.002,(TODAY()-A549+1)*N549*(L549/10000)+L549),2)</f>
        <v>3643.55</v>
      </c>
      <c r="P549" s="87">
        <v>1</v>
      </c>
      <c r="Q549" s="64">
        <f>=J549-P549</f>
        <v>0</v>
      </c>
      <c r="R549">
        <v>1</v>
      </c>
      <c r="S549" s="197">
        <f>=P549-R549</f>
        <v>0</v>
      </c>
      <c r="T549" s="71">
        <f>=S549*L549</f>
        <v>0</v>
      </c>
      <c r="U549" s="190">
        <f>=J549-P549</f>
        <v>0</v>
      </c>
    </row>
    <row r="550" spans="1:21" ht="15.75" customHeight="true">
      <c r="A550" s="80">
        <v>46111</v>
      </c>
      <c r="B550" s="71">
        <f>=TODAY()-A550+1</f>
        <v>114</v>
      </c>
      <c r="C550" s="98" t="s">
        <v>208</v>
      </c>
      <c r="D550" s="71" t="s">
        <v>189</v>
      </c>
      <c r="E550" s="160" t="s">
        <v>1306</v>
      </c>
      <c r="F550" s="242" t="s">
        <v>1045</v>
      </c>
      <c r="G550" s="258" t="s">
        <v>428</v>
      </c>
      <c r="H550" s="258" t="s">
        <v>470</v>
      </c>
      <c r="I550" s="258" t="s">
        <v>1307</v>
      </c>
      <c r="J550">
        <v>1</v>
      </c>
      <c r="L550">
        <v>3710</v>
      </c>
      <c r="M550" s="217">
        <f>=J550*L550</f>
        <v>3710</v>
      </c>
      <c r="N550">
        <v>3</v>
      </c>
      <c r="O550" s="189">
        <f>=ROUND(IF((TODAY()-A550+1)*N550*(L550/10000)+L550&lt;L550*1.002,L550*1.002,(TODAY()-A550+1)*N550*(L550/10000)+L550),2)</f>
        <v>3838</v>
      </c>
      <c r="P550">
        <v>1</v>
      </c>
      <c r="Q550" s="71">
        <f>=J550-P550</f>
        <v>0</v>
      </c>
      <c r="R550">
        <v>1</v>
      </c>
      <c r="S550" s="112">
        <f>=P550-R550</f>
        <v>0</v>
      </c>
      <c r="T550" s="71">
        <f>=S550*L550</f>
        <v>0</v>
      </c>
      <c r="U550" s="190">
        <f>=J550-P550</f>
        <v>0</v>
      </c>
    </row>
    <row r="551" spans="1:21" ht="15.75" customHeight="true">
      <c r="A551" s="80">
        <v>46111</v>
      </c>
      <c r="B551" s="71">
        <f>=TODAY()-A551+1</f>
        <v>114</v>
      </c>
      <c r="C551" s="98" t="s">
        <v>208</v>
      </c>
      <c r="D551" s="71" t="s">
        <v>189</v>
      </c>
      <c r="E551" s="160" t="s">
        <v>1308</v>
      </c>
      <c r="F551" s="242" t="s">
        <v>1045</v>
      </c>
      <c r="G551" s="258" t="s">
        <v>428</v>
      </c>
      <c r="H551" s="258" t="s">
        <v>470</v>
      </c>
      <c r="I551" s="258" t="s">
        <v>1309</v>
      </c>
      <c r="J551">
        <v>1</v>
      </c>
      <c r="L551">
        <v>4270</v>
      </c>
      <c r="M551" s="217">
        <f>=J551*L551</f>
        <v>4270</v>
      </c>
      <c r="N551">
        <v>3</v>
      </c>
      <c r="O551" s="189">
        <f>=ROUND(IF((TODAY()-A551+1)*N551*(L551/10000)+L551&lt;L551*1.002,L551*1.002,(TODAY()-A551+1)*N551*(L551/10000)+L551),2)</f>
        <v>4417.32</v>
      </c>
      <c r="P551">
        <v>1</v>
      </c>
      <c r="Q551" s="71">
        <f>=J551-P551</f>
        <v>0</v>
      </c>
      <c r="R551">
        <v>1</v>
      </c>
      <c r="S551" s="112">
        <f>=P551-R551</f>
        <v>0</v>
      </c>
      <c r="T551" s="71">
        <f>=S551*L551</f>
        <v>0</v>
      </c>
      <c r="U551" s="190">
        <f>=J551-P551</f>
        <v>0</v>
      </c>
    </row>
    <row r="552" spans="1:21" ht="15.75" customHeight="true">
      <c r="A552" s="80">
        <v>46111</v>
      </c>
      <c r="B552" s="71">
        <f>=TODAY()-A552+1</f>
        <v>114</v>
      </c>
      <c r="C552" s="98" t="s">
        <v>208</v>
      </c>
      <c r="D552" s="71" t="s">
        <v>189</v>
      </c>
      <c r="E552" s="160" t="s">
        <v>1310</v>
      </c>
      <c r="F552" s="242" t="s">
        <v>1045</v>
      </c>
      <c r="G552" s="258" t="s">
        <v>428</v>
      </c>
      <c r="H552" s="258" t="s">
        <v>470</v>
      </c>
      <c r="I552" s="258" t="s">
        <v>1311</v>
      </c>
      <c r="J552">
        <v>1</v>
      </c>
      <c r="L552">
        <v>4760</v>
      </c>
      <c r="M552" s="217">
        <f>=J552*L552</f>
        <v>4760</v>
      </c>
      <c r="N552">
        <v>3</v>
      </c>
      <c r="O552" s="189">
        <f>=ROUND(IF((TODAY()-A552+1)*N552*(L552/10000)+L552&lt;L552*1.002,L552*1.002,(TODAY()-A552+1)*N552*(L552/10000)+L552),2)</f>
        <v>4924.22</v>
      </c>
      <c r="P552">
        <v>1</v>
      </c>
      <c r="Q552" s="71">
        <f>=J552-P552</f>
        <v>0</v>
      </c>
      <c r="R552">
        <v>1</v>
      </c>
      <c r="S552" s="112">
        <f>=P552-R552</f>
        <v>0</v>
      </c>
      <c r="T552" s="71">
        <f>=S552*L552</f>
        <v>0</v>
      </c>
      <c r="U552" s="190">
        <f>=J552-P552</f>
        <v>0</v>
      </c>
    </row>
    <row r="553" spans="1:21" ht="15.75" customHeight="true">
      <c r="A553" s="80">
        <v>46111</v>
      </c>
      <c r="B553" s="71">
        <f>=TODAY()-A553+1</f>
        <v>114</v>
      </c>
      <c r="C553" s="98" t="s">
        <v>208</v>
      </c>
      <c r="D553" s="71" t="s">
        <v>189</v>
      </c>
      <c r="E553" s="160" t="s">
        <v>1312</v>
      </c>
      <c r="F553" s="242" t="s">
        <v>1045</v>
      </c>
      <c r="G553" s="258" t="s">
        <v>428</v>
      </c>
      <c r="H553" s="258" t="s">
        <v>422</v>
      </c>
      <c r="I553" s="258" t="s">
        <v>1145</v>
      </c>
      <c r="J553">
        <v>1</v>
      </c>
      <c r="L553">
        <v>11200</v>
      </c>
      <c r="M553" s="217">
        <f>=J553*L553</f>
        <v>11200</v>
      </c>
      <c r="N553">
        <v>3</v>
      </c>
      <c r="O553" s="189">
        <f>=ROUND(IF((TODAY()-A553+1)*N553*(L553/10000)+L553&lt;L553*1.002,L553*1.002,(TODAY()-A553+1)*N553*(L553/10000)+L553),2)</f>
        <v>11586.4</v>
      </c>
      <c r="P553">
        <v>1</v>
      </c>
      <c r="Q553" s="71">
        <f>=J553-P553</f>
        <v>0</v>
      </c>
      <c r="R553">
        <v>1</v>
      </c>
      <c r="S553" s="112">
        <f>=P553-R553</f>
        <v>0</v>
      </c>
      <c r="T553" s="71">
        <f>=S553*L553</f>
        <v>0</v>
      </c>
      <c r="U553" s="190">
        <f>=J553-P553</f>
        <v>0</v>
      </c>
    </row>
    <row r="554" spans="1:21" ht="15.75" customHeight="true">
      <c r="A554" s="80">
        <v>46111</v>
      </c>
      <c r="B554" s="71">
        <f>=TODAY()-A554+1</f>
        <v>114</v>
      </c>
      <c r="C554" s="98" t="s">
        <v>208</v>
      </c>
      <c r="D554" s="71" t="s">
        <v>189</v>
      </c>
      <c r="E554" s="160" t="s">
        <v>1313</v>
      </c>
      <c r="F554" s="242" t="s">
        <v>1045</v>
      </c>
      <c r="G554" s="258" t="s">
        <v>428</v>
      </c>
      <c r="H554" s="258" t="s">
        <v>422</v>
      </c>
      <c r="I554" s="258" t="s">
        <v>1314</v>
      </c>
      <c r="J554">
        <v>1</v>
      </c>
      <c r="L554">
        <v>2720</v>
      </c>
      <c r="M554" s="217">
        <f>=J554*L554</f>
        <v>2720</v>
      </c>
      <c r="N554">
        <v>3</v>
      </c>
      <c r="O554" s="189">
        <f>=ROUND(IF((TODAY()-A554+1)*N554*(L554/10000)+L554&lt;L554*1.002,L554*1.002,(TODAY()-A554+1)*N554*(L554/10000)+L554),2)</f>
        <v>2813.84</v>
      </c>
      <c r="P554">
        <v>1</v>
      </c>
      <c r="Q554" s="71">
        <f>=J554-P554</f>
        <v>0</v>
      </c>
      <c r="R554">
        <v>1</v>
      </c>
      <c r="S554" s="112">
        <f>=P554-R554</f>
        <v>0</v>
      </c>
      <c r="T554" s="71">
        <f>=S554*L554</f>
        <v>0</v>
      </c>
      <c r="U554" s="190">
        <f>=J554-P554</f>
        <v>0</v>
      </c>
    </row>
    <row r="555" spans="1:21" ht="15.75" customHeight="true">
      <c r="A555" s="80">
        <v>46111</v>
      </c>
      <c r="B555" s="71">
        <f>=TODAY()-A555+1</f>
        <v>114</v>
      </c>
      <c r="C555" s="98" t="s">
        <v>208</v>
      </c>
      <c r="D555" s="71" t="s">
        <v>189</v>
      </c>
      <c r="E555" s="160" t="s">
        <v>1315</v>
      </c>
      <c r="F555" s="242" t="s">
        <v>1045</v>
      </c>
      <c r="G555" s="258" t="s">
        <v>428</v>
      </c>
      <c r="H555" s="258" t="s">
        <v>422</v>
      </c>
      <c r="I555" s="258" t="s">
        <v>1316</v>
      </c>
      <c r="J555">
        <v>1</v>
      </c>
      <c r="L555">
        <v>5040</v>
      </c>
      <c r="M555" s="217">
        <f>=J555*L555</f>
        <v>5040</v>
      </c>
      <c r="N555">
        <v>3</v>
      </c>
      <c r="O555" s="189">
        <f>=ROUND(IF((TODAY()-A555+1)*N555*(L555/10000)+L555&lt;L555*1.002,L555*1.002,(TODAY()-A555+1)*N555*(L555/10000)+L555),2)</f>
        <v>5213.88</v>
      </c>
      <c r="P555">
        <v>1</v>
      </c>
      <c r="Q555" s="71">
        <f>=J555-P555</f>
        <v>0</v>
      </c>
      <c r="R555">
        <v>1</v>
      </c>
      <c r="S555" s="112">
        <f>=P555-R555</f>
        <v>0</v>
      </c>
      <c r="T555" s="71">
        <f>=S555*L555</f>
        <v>0</v>
      </c>
      <c r="U555" s="190">
        <f>=J555-P555</f>
        <v>0</v>
      </c>
    </row>
    <row r="556" spans="1:21" ht="15.75" customHeight="true">
      <c r="A556" s="80">
        <v>46111</v>
      </c>
      <c r="B556" s="71">
        <f>=TODAY()-A556+1</f>
        <v>114</v>
      </c>
      <c r="C556" s="98" t="s">
        <v>208</v>
      </c>
      <c r="D556" s="71" t="s">
        <v>189</v>
      </c>
      <c r="E556" s="160" t="s">
        <v>1317</v>
      </c>
      <c r="F556" s="242" t="s">
        <v>1045</v>
      </c>
      <c r="G556" s="258" t="s">
        <v>428</v>
      </c>
      <c r="H556" s="258" t="s">
        <v>422</v>
      </c>
      <c r="I556" s="258" t="s">
        <v>1318</v>
      </c>
      <c r="J556">
        <v>1</v>
      </c>
      <c r="L556">
        <v>3760</v>
      </c>
      <c r="M556" s="217">
        <f>=J556*L556</f>
        <v>3760</v>
      </c>
      <c r="N556">
        <v>3</v>
      </c>
      <c r="O556" s="189">
        <f>=ROUND(IF((TODAY()-A556+1)*N556*(L556/10000)+L556&lt;L556*1.002,L556*1.002,(TODAY()-A556+1)*N556*(L556/10000)+L556),2)</f>
        <v>3889.72</v>
      </c>
      <c r="P556">
        <v>1</v>
      </c>
      <c r="Q556" s="71">
        <f>=J556-P556</f>
        <v>0</v>
      </c>
      <c r="R556">
        <v>1</v>
      </c>
      <c r="S556" s="112">
        <f>=P556-R556</f>
        <v>0</v>
      </c>
      <c r="T556" s="71">
        <f>=S556*L556</f>
        <v>0</v>
      </c>
      <c r="U556" s="190">
        <f>=J556-P556</f>
        <v>0</v>
      </c>
    </row>
    <row r="557" spans="1:21" ht="15.75" customHeight="true">
      <c r="A557" s="80">
        <v>46111</v>
      </c>
      <c r="B557" s="71">
        <f>=TODAY()-A557+1</f>
        <v>114</v>
      </c>
      <c r="C557" s="98" t="s">
        <v>208</v>
      </c>
      <c r="D557" s="71" t="s">
        <v>189</v>
      </c>
      <c r="E557" s="160" t="s">
        <v>1319</v>
      </c>
      <c r="F557" s="242" t="s">
        <v>1045</v>
      </c>
      <c r="G557" s="258" t="s">
        <v>428</v>
      </c>
      <c r="H557" s="258" t="s">
        <v>422</v>
      </c>
      <c r="I557" s="258" t="s">
        <v>1320</v>
      </c>
      <c r="J557">
        <v>1</v>
      </c>
      <c r="L557">
        <v>8400</v>
      </c>
      <c r="M557" s="217">
        <f>=J557*L557</f>
        <v>8400</v>
      </c>
      <c r="N557">
        <v>3</v>
      </c>
      <c r="O557" s="189">
        <f>=ROUND(IF((TODAY()-A557+1)*N557*(L557/10000)+L557&lt;L557*1.002,L557*1.002,(TODAY()-A557+1)*N557*(L557/10000)+L557),2)</f>
        <v>8689.8</v>
      </c>
      <c r="P557">
        <v>1</v>
      </c>
      <c r="Q557" s="71">
        <f>=J557-P557</f>
        <v>0</v>
      </c>
      <c r="R557">
        <v>1</v>
      </c>
      <c r="S557" s="112">
        <f>=P557-R557</f>
        <v>0</v>
      </c>
      <c r="T557" s="71">
        <f>=S557*L557</f>
        <v>0</v>
      </c>
      <c r="U557" s="190">
        <f>=J557-P557</f>
        <v>0</v>
      </c>
    </row>
    <row r="558" spans="1:21" ht="15.75" customHeight="true">
      <c r="A558" s="80">
        <v>46111</v>
      </c>
      <c r="B558" s="71">
        <f>=TODAY()-A558+1</f>
        <v>114</v>
      </c>
      <c r="C558" s="98" t="s">
        <v>208</v>
      </c>
      <c r="D558" s="71" t="s">
        <v>189</v>
      </c>
      <c r="E558" s="160" t="s">
        <v>1321</v>
      </c>
      <c r="F558" s="242" t="s">
        <v>1045</v>
      </c>
      <c r="G558" s="258" t="s">
        <v>428</v>
      </c>
      <c r="H558" s="258" t="s">
        <v>422</v>
      </c>
      <c r="I558" s="258" t="s">
        <v>1220</v>
      </c>
      <c r="J558">
        <v>1</v>
      </c>
      <c r="L558">
        <v>9200</v>
      </c>
      <c r="M558" s="217">
        <f>=J558*L558</f>
        <v>9200</v>
      </c>
      <c r="N558">
        <v>3</v>
      </c>
      <c r="O558" s="189">
        <f>=ROUND(IF((TODAY()-A558+1)*N558*(L558/10000)+L558&lt;L558*1.002,L558*1.002,(TODAY()-A558+1)*N558*(L558/10000)+L558),2)</f>
        <v>9517.4</v>
      </c>
      <c r="P558">
        <v>1</v>
      </c>
      <c r="Q558" s="71">
        <f>=J558-P558</f>
        <v>0</v>
      </c>
      <c r="R558">
        <v>1</v>
      </c>
      <c r="S558" s="112">
        <f>=P558-R558</f>
        <v>0</v>
      </c>
      <c r="T558" s="71">
        <f>=S558*L558</f>
        <v>0</v>
      </c>
      <c r="U558" s="190">
        <f>=J558-P558</f>
        <v>0</v>
      </c>
    </row>
    <row r="559" spans="1:21" ht="15.75" customHeight="true">
      <c r="A559" s="80">
        <v>46111</v>
      </c>
      <c r="B559" s="71">
        <f>=TODAY()-A559+1</f>
        <v>114</v>
      </c>
      <c r="C559" s="98" t="s">
        <v>208</v>
      </c>
      <c r="D559" s="71" t="s">
        <v>189</v>
      </c>
      <c r="E559" s="160" t="s">
        <v>1322</v>
      </c>
      <c r="F559" s="242" t="s">
        <v>1045</v>
      </c>
      <c r="G559" s="258" t="s">
        <v>428</v>
      </c>
      <c r="H559" s="258" t="s">
        <v>422</v>
      </c>
      <c r="I559" s="258" t="s">
        <v>1323</v>
      </c>
      <c r="J559">
        <v>1</v>
      </c>
      <c r="L559">
        <v>6400</v>
      </c>
      <c r="M559" s="217">
        <f>=J559*L559</f>
        <v>6400</v>
      </c>
      <c r="N559">
        <v>3</v>
      </c>
      <c r="O559" s="189">
        <f>=ROUND(IF((TODAY()-A559+1)*N559*(L559/10000)+L559&lt;L559*1.002,L559*1.002,(TODAY()-A559+1)*N559*(L559/10000)+L559),2)</f>
        <v>6620.8</v>
      </c>
      <c r="P559">
        <v>1</v>
      </c>
      <c r="Q559" s="71">
        <f>=J559-P559</f>
        <v>0</v>
      </c>
      <c r="R559">
        <v>1</v>
      </c>
      <c r="S559" s="112">
        <f>=P559-R559</f>
        <v>0</v>
      </c>
      <c r="T559" s="71">
        <f>=S559*L559</f>
        <v>0</v>
      </c>
      <c r="U559" s="190">
        <f>=J559-P559</f>
        <v>0</v>
      </c>
    </row>
    <row r="560" spans="1:21" ht="15.75" customHeight="true">
      <c r="A560" s="80">
        <v>46111</v>
      </c>
      <c r="B560" s="71">
        <f>=TODAY()-A560+1</f>
        <v>114</v>
      </c>
      <c r="C560" s="98" t="s">
        <v>208</v>
      </c>
      <c r="D560" s="71" t="s">
        <v>189</v>
      </c>
      <c r="E560" s="160" t="s">
        <v>1324</v>
      </c>
      <c r="F560" s="242" t="s">
        <v>1045</v>
      </c>
      <c r="G560" s="258" t="s">
        <v>428</v>
      </c>
      <c r="H560" s="258" t="s">
        <v>422</v>
      </c>
      <c r="I560" s="258" t="s">
        <v>1325</v>
      </c>
      <c r="J560">
        <v>1</v>
      </c>
      <c r="L560">
        <v>4480</v>
      </c>
      <c r="M560" s="217">
        <f>=J560*L560</f>
        <v>4480</v>
      </c>
      <c r="N560">
        <v>3</v>
      </c>
      <c r="O560" s="189">
        <f>=ROUND(IF((TODAY()-A560+1)*N560*(L560/10000)+L560&lt;L560*1.002,L560*1.002,(TODAY()-A560+1)*N560*(L560/10000)+L560),2)</f>
        <v>4634.56</v>
      </c>
      <c r="P560">
        <v>1</v>
      </c>
      <c r="Q560" s="71">
        <f>=J560-P560</f>
        <v>0</v>
      </c>
      <c r="R560">
        <v>1</v>
      </c>
      <c r="S560" s="112">
        <f>=P560-R560</f>
        <v>0</v>
      </c>
      <c r="T560" s="71">
        <f>=S560*L560</f>
        <v>0</v>
      </c>
      <c r="U560" s="190">
        <f>=J560-P560</f>
        <v>0</v>
      </c>
    </row>
    <row r="561" spans="1:21" ht="15.75" customHeight="true">
      <c r="A561" s="80">
        <v>46111</v>
      </c>
      <c r="B561" s="71">
        <f>=TODAY()-A561+1</f>
        <v>114</v>
      </c>
      <c r="C561" s="98" t="s">
        <v>208</v>
      </c>
      <c r="D561" s="71" t="s">
        <v>189</v>
      </c>
      <c r="E561" s="160" t="s">
        <v>1326</v>
      </c>
      <c r="F561" s="242" t="s">
        <v>1045</v>
      </c>
      <c r="G561" s="258" t="s">
        <v>428</v>
      </c>
      <c r="H561" s="258" t="s">
        <v>422</v>
      </c>
      <c r="I561" s="258" t="s">
        <v>1327</v>
      </c>
      <c r="J561">
        <v>1</v>
      </c>
      <c r="L561">
        <v>3440</v>
      </c>
      <c r="M561" s="217">
        <f>=J561*L561</f>
        <v>3440</v>
      </c>
      <c r="N561">
        <v>3</v>
      </c>
      <c r="O561" s="189">
        <f>=ROUND(IF((TODAY()-A561+1)*N561*(L561/10000)+L561&lt;L561*1.002,L561*1.002,(TODAY()-A561+1)*N561*(L561/10000)+L561),2)</f>
        <v>3558.68</v>
      </c>
      <c r="P561">
        <v>1</v>
      </c>
      <c r="Q561" s="71">
        <f>=J561-P561</f>
        <v>0</v>
      </c>
      <c r="R561">
        <v>1</v>
      </c>
      <c r="S561" s="112">
        <f>=P561-R561</f>
        <v>0</v>
      </c>
      <c r="T561" s="71">
        <f>=S561*L561</f>
        <v>0</v>
      </c>
      <c r="U561" s="190">
        <f>=J561-P561</f>
        <v>0</v>
      </c>
    </row>
    <row r="562" spans="1:21" ht="15.75" customHeight="true">
      <c r="A562" s="80">
        <v>46111</v>
      </c>
      <c r="B562" s="71">
        <f>=TODAY()-A562+1</f>
        <v>114</v>
      </c>
      <c r="C562" s="98" t="s">
        <v>208</v>
      </c>
      <c r="D562" s="71" t="s">
        <v>189</v>
      </c>
      <c r="E562" s="160" t="s">
        <v>1328</v>
      </c>
      <c r="F562" s="242" t="s">
        <v>1045</v>
      </c>
      <c r="G562" s="258" t="s">
        <v>428</v>
      </c>
      <c r="H562" s="258" t="s">
        <v>422</v>
      </c>
      <c r="I562" s="258" t="s">
        <v>499</v>
      </c>
      <c r="J562">
        <v>1</v>
      </c>
      <c r="L562">
        <v>3280</v>
      </c>
      <c r="M562" s="217">
        <f>=J562*L562</f>
        <v>3280</v>
      </c>
      <c r="N562">
        <v>3</v>
      </c>
      <c r="O562" s="189">
        <f>=ROUND(IF((TODAY()-A562+1)*N562*(L562/10000)+L562&lt;L562*1.002,L562*1.002,(TODAY()-A562+1)*N562*(L562/10000)+L562),2)</f>
        <v>3393.16</v>
      </c>
      <c r="P562">
        <v>1</v>
      </c>
      <c r="Q562" s="71">
        <f>=J562-P562</f>
        <v>0</v>
      </c>
      <c r="R562">
        <v>1</v>
      </c>
      <c r="S562" s="112">
        <f>=P562-R562</f>
        <v>0</v>
      </c>
      <c r="T562" s="71">
        <f>=S562*L562</f>
        <v>0</v>
      </c>
      <c r="U562" s="190">
        <f>=J562-P562</f>
        <v>0</v>
      </c>
    </row>
    <row r="563" spans="1:21" ht="15.75" customHeight="true">
      <c r="A563" s="80">
        <v>46111</v>
      </c>
      <c r="B563" s="71">
        <f>=TODAY()-A563+1</f>
        <v>114</v>
      </c>
      <c r="C563" s="98" t="s">
        <v>208</v>
      </c>
      <c r="D563" s="71" t="s">
        <v>189</v>
      </c>
      <c r="E563" s="160" t="s">
        <v>1329</v>
      </c>
      <c r="F563" s="242" t="s">
        <v>1045</v>
      </c>
      <c r="G563" s="258" t="s">
        <v>428</v>
      </c>
      <c r="H563" s="258" t="s">
        <v>422</v>
      </c>
      <c r="I563" s="258" t="s">
        <v>923</v>
      </c>
      <c r="J563">
        <v>1</v>
      </c>
      <c r="L563">
        <v>3440</v>
      </c>
      <c r="M563" s="217">
        <f>=J563*L563</f>
        <v>3440</v>
      </c>
      <c r="N563">
        <v>3</v>
      </c>
      <c r="O563" s="189">
        <f>=ROUND(IF((TODAY()-A563+1)*N563*(L563/10000)+L563&lt;L563*1.002,L563*1.002,(TODAY()-A563+1)*N563*(L563/10000)+L563),2)</f>
        <v>3558.68</v>
      </c>
      <c r="P563">
        <v>1</v>
      </c>
      <c r="Q563" s="71">
        <f>=J563-P563</f>
        <v>0</v>
      </c>
      <c r="R563">
        <v>1</v>
      </c>
      <c r="S563" s="112">
        <f>=P563-R563</f>
        <v>0</v>
      </c>
      <c r="T563" s="71">
        <f>=S563*L563</f>
        <v>0</v>
      </c>
      <c r="U563" s="190">
        <f>=J563-P563</f>
        <v>0</v>
      </c>
    </row>
    <row r="564" spans="1:21" ht="15.75" customHeight="true">
      <c r="A564" s="80">
        <v>46111</v>
      </c>
      <c r="B564" s="71">
        <f>=TODAY()-A564+1</f>
        <v>114</v>
      </c>
      <c r="C564" s="98" t="s">
        <v>208</v>
      </c>
      <c r="D564" s="71" t="s">
        <v>189</v>
      </c>
      <c r="E564" s="160" t="s">
        <v>1330</v>
      </c>
      <c r="F564" s="242" t="s">
        <v>1045</v>
      </c>
      <c r="G564" s="258" t="s">
        <v>428</v>
      </c>
      <c r="H564" s="258" t="s">
        <v>422</v>
      </c>
      <c r="I564" s="258" t="s">
        <v>892</v>
      </c>
      <c r="J564">
        <v>1</v>
      </c>
      <c r="L564">
        <v>3280</v>
      </c>
      <c r="M564" s="217">
        <f>=J564*L564</f>
        <v>3280</v>
      </c>
      <c r="N564">
        <v>3</v>
      </c>
      <c r="O564" s="189">
        <f>=ROUND(IF((TODAY()-A564+1)*N564*(L564/10000)+L564&lt;L564*1.002,L564*1.002,(TODAY()-A564+1)*N564*(L564/10000)+L564),2)</f>
        <v>3393.16</v>
      </c>
      <c r="P564">
        <v>1</v>
      </c>
      <c r="Q564" s="71">
        <f>=J564-P564</f>
        <v>0</v>
      </c>
      <c r="R564">
        <v>1</v>
      </c>
      <c r="S564" s="112">
        <f>=P564-R564</f>
        <v>0</v>
      </c>
      <c r="T564" s="71">
        <f>=S564*L564</f>
        <v>0</v>
      </c>
      <c r="U564" s="190">
        <f>=J564-P564</f>
        <v>0</v>
      </c>
    </row>
    <row r="565" spans="1:21" ht="15.75" customHeight="true">
      <c r="A565" s="80">
        <v>46111</v>
      </c>
      <c r="B565" s="71">
        <f>=TODAY()-A565+1</f>
        <v>114</v>
      </c>
      <c r="C565" s="98" t="s">
        <v>208</v>
      </c>
      <c r="D565" s="71" t="s">
        <v>189</v>
      </c>
      <c r="E565" s="160" t="s">
        <v>1331</v>
      </c>
      <c r="F565" s="242" t="s">
        <v>1045</v>
      </c>
      <c r="G565" s="258" t="s">
        <v>428</v>
      </c>
      <c r="H565" s="258" t="s">
        <v>422</v>
      </c>
      <c r="I565" s="258" t="s">
        <v>629</v>
      </c>
      <c r="J565">
        <v>1</v>
      </c>
      <c r="L565">
        <v>3280</v>
      </c>
      <c r="M565" s="217">
        <f>=J565*L565</f>
        <v>3280</v>
      </c>
      <c r="N565">
        <v>3</v>
      </c>
      <c r="O565" s="189">
        <f>=ROUND(IF((TODAY()-A565+1)*N565*(L565/10000)+L565&lt;L565*1.002,L565*1.002,(TODAY()-A565+1)*N565*(L565/10000)+L565),2)</f>
        <v>3393.16</v>
      </c>
      <c r="P565">
        <v>1</v>
      </c>
      <c r="Q565" s="71">
        <f>=J565-P565</f>
        <v>0</v>
      </c>
      <c r="R565">
        <v>1</v>
      </c>
      <c r="S565" s="112">
        <f>=P565-R565</f>
        <v>0</v>
      </c>
      <c r="T565" s="71">
        <f>=S565*L565</f>
        <v>0</v>
      </c>
      <c r="U565" s="190">
        <f>=J565-P565</f>
        <v>0</v>
      </c>
    </row>
    <row r="566" spans="1:21" s="270" customFormat="true" ht="15.75" customHeight="true">
      <c r="A566" s="110">
        <v>46111</v>
      </c>
      <c r="B566" s="93">
        <f>=TODAY()-A566+1</f>
        <v>114</v>
      </c>
      <c r="C566" s="110" t="s">
        <v>221</v>
      </c>
      <c r="D566" s="258" t="s">
        <v>220</v>
      </c>
      <c r="E566" s="213" t="s">
        <v>1332</v>
      </c>
      <c r="F566" s="258" t="s">
        <v>1333</v>
      </c>
      <c r="G566" s="241" t="s">
        <v>503</v>
      </c>
      <c r="H566" s="83" t="s">
        <v>422</v>
      </c>
      <c r="I566" s="83" t="s">
        <v>1334</v>
      </c>
      <c r="J566" s="111">
        <v>33</v>
      </c>
      <c r="L566" s="111">
        <v>1365</v>
      </c>
      <c r="M566" s="228">
        <f>=J566*L566</f>
        <v>45045</v>
      </c>
      <c r="N566">
        <v>3</v>
      </c>
      <c r="O566" s="198">
        <f>=ROUND(IF((TODAY()-A566+1)*N566*(L566/10000)+L566&lt;L566*1.002,L566*1.002,(TODAY()-A566+1)*N566*(L566/10000)+L566),2)</f>
        <v>1412.09</v>
      </c>
      <c r="P566" s="111">
        <v>33</v>
      </c>
      <c r="Q566" s="93">
        <f>=J566-P566</f>
        <v>0</v>
      </c>
      <c r="R566" s="313">
        <v>33</v>
      </c>
      <c r="S566" s="217">
        <f>=P566-R566</f>
        <v>0</v>
      </c>
      <c r="T566" s="93">
        <f>=S566*L566</f>
        <v>0</v>
      </c>
      <c r="U566" s="190">
        <f>=J566-P566</f>
        <v>0</v>
      </c>
    </row>
    <row r="567" spans="1:21" s="270" customFormat="true" ht="15.75" customHeight="true">
      <c r="A567" s="110">
        <v>46111</v>
      </c>
      <c r="B567" s="93">
        <f>=TODAY()-A567+1</f>
        <v>114</v>
      </c>
      <c r="C567" s="110" t="s">
        <v>221</v>
      </c>
      <c r="D567" s="258" t="s">
        <v>220</v>
      </c>
      <c r="E567" s="213" t="s">
        <v>1335</v>
      </c>
      <c r="F567" s="258" t="s">
        <v>1333</v>
      </c>
      <c r="G567" s="83" t="s">
        <v>864</v>
      </c>
      <c r="H567" s="83" t="s">
        <v>422</v>
      </c>
      <c r="I567" s="83" t="s">
        <v>1336</v>
      </c>
      <c r="J567" s="111">
        <v>20</v>
      </c>
      <c r="L567" s="111">
        <v>2590</v>
      </c>
      <c r="M567" s="228">
        <f>=J567*L567</f>
        <v>51800</v>
      </c>
      <c r="N567">
        <v>3</v>
      </c>
      <c r="O567" s="198">
        <f>=ROUND(IF((TODAY()-A567+1)*N567*(L567/10000)+L567&lt;L567*1.002,L567*1.002,(TODAY()-A567+1)*N567*(L567/10000)+L567),2)</f>
        <v>2679.36</v>
      </c>
      <c r="P567" s="111">
        <v>20</v>
      </c>
      <c r="Q567" s="93">
        <f>=J567-P567</f>
        <v>0</v>
      </c>
      <c r="R567" s="313">
        <v>20</v>
      </c>
      <c r="S567" s="217">
        <f>=P567-R567</f>
        <v>0</v>
      </c>
      <c r="T567" s="93">
        <f>=S567*L567</f>
        <v>0</v>
      </c>
      <c r="U567" s="190">
        <f>=J567-P567</f>
        <v>0</v>
      </c>
    </row>
    <row r="568" spans="1:21" s="270" customFormat="true" ht="15.75" customHeight="true">
      <c r="A568" s="110">
        <v>46111</v>
      </c>
      <c r="B568" s="93">
        <f>=TODAY()-A568+1</f>
        <v>114</v>
      </c>
      <c r="C568" s="110" t="s">
        <v>221</v>
      </c>
      <c r="D568" s="258" t="s">
        <v>220</v>
      </c>
      <c r="E568" s="213" t="s">
        <v>1337</v>
      </c>
      <c r="F568" s="258" t="s">
        <v>1333</v>
      </c>
      <c r="G568" s="83" t="s">
        <v>864</v>
      </c>
      <c r="H568" s="83" t="s">
        <v>422</v>
      </c>
      <c r="I568" s="83" t="s">
        <v>1338</v>
      </c>
      <c r="J568" s="111">
        <v>19</v>
      </c>
      <c r="L568" s="111">
        <v>2590</v>
      </c>
      <c r="M568" s="228">
        <f>=J568*L568</f>
        <v>49210</v>
      </c>
      <c r="N568">
        <v>3</v>
      </c>
      <c r="O568" s="198">
        <f>=ROUND(IF((TODAY()-A568+1)*N568*(L568/10000)+L568&lt;L568*1.002,L568*1.002,(TODAY()-A568+1)*N568*(L568/10000)+L568),2)</f>
        <v>2679.36</v>
      </c>
      <c r="P568" s="111">
        <v>19</v>
      </c>
      <c r="Q568" s="93">
        <f>=J568-P568</f>
        <v>0</v>
      </c>
      <c r="R568" s="313">
        <v>19</v>
      </c>
      <c r="S568" s="217">
        <f>=P568-R568</f>
        <v>0</v>
      </c>
      <c r="T568" s="93">
        <f>=S568*L568</f>
        <v>0</v>
      </c>
      <c r="U568" s="190">
        <f>=J568-P568</f>
        <v>0</v>
      </c>
    </row>
    <row r="569" spans="1:21" s="270" customFormat="true" ht="15.75" customHeight="true">
      <c r="A569" s="110">
        <v>46111</v>
      </c>
      <c r="B569" s="93">
        <f>=TODAY()-A569+1</f>
        <v>114</v>
      </c>
      <c r="C569" s="110" t="s">
        <v>221</v>
      </c>
      <c r="D569" s="258" t="s">
        <v>220</v>
      </c>
      <c r="E569" s="247" t="s">
        <v>1339</v>
      </c>
      <c r="F569" s="258" t="s">
        <v>1333</v>
      </c>
      <c r="G569" s="83" t="s">
        <v>895</v>
      </c>
      <c r="H569" s="83" t="s">
        <v>422</v>
      </c>
      <c r="I569" s="83" t="s">
        <v>1340</v>
      </c>
      <c r="J569" s="111">
        <v>13</v>
      </c>
      <c r="L569" s="111">
        <v>1225</v>
      </c>
      <c r="M569" s="228">
        <f>=J569*L569</f>
        <v>15925</v>
      </c>
      <c r="N569">
        <v>3</v>
      </c>
      <c r="O569" s="198">
        <f>=ROUND(IF((TODAY()-A569+1)*N569*(L569/10000)+L569&lt;L569*1.002,L569*1.002,(TODAY()-A569+1)*N569*(L569/10000)+L569),2)</f>
        <v>1267.26</v>
      </c>
      <c r="P569" s="111">
        <v>13</v>
      </c>
      <c r="Q569" s="93">
        <f>=J569-P569</f>
        <v>0</v>
      </c>
      <c r="R569" s="313">
        <v>13</v>
      </c>
      <c r="S569" s="217">
        <f>=P569-R569</f>
        <v>0</v>
      </c>
      <c r="T569" s="93">
        <f>=S569*L569</f>
        <v>0</v>
      </c>
      <c r="U569" s="190">
        <f>=J569-P569</f>
        <v>0</v>
      </c>
    </row>
    <row r="570" spans="1:21" s="270" customFormat="true" ht="15.75" customHeight="true">
      <c r="A570" s="80">
        <v>46111</v>
      </c>
      <c r="B570" s="71">
        <f>=TODAY()-A570+1</f>
        <v>114</v>
      </c>
      <c r="C570" s="80" t="s">
        <v>221</v>
      </c>
      <c r="D570" s="87" t="s">
        <v>220</v>
      </c>
      <c r="E570" s="247" t="s">
        <v>1341</v>
      </c>
      <c r="F570" s="87" t="s">
        <v>1333</v>
      </c>
      <c r="G570" s="241" t="s">
        <v>503</v>
      </c>
      <c r="H570" s="258" t="s">
        <v>422</v>
      </c>
      <c r="I570" s="258" t="s">
        <v>1103</v>
      </c>
      <c r="J570" s="258">
        <v>10</v>
      </c>
      <c r="L570" s="258">
        <v>3150</v>
      </c>
      <c r="M570" s="228">
        <f>=J570*L570</f>
        <v>31500</v>
      </c>
      <c r="N570">
        <v>3</v>
      </c>
      <c r="O570" s="189">
        <f>=ROUND(IF((TODAY()-A570+1)*N570*(L570/10000)+L570&lt;L570*1.002,L570*1.002,(TODAY()-A570+1)*N570*(L570/10000)+L570),2)</f>
        <v>3258.68</v>
      </c>
      <c r="P570" s="87">
        <v>10</v>
      </c>
      <c r="Q570" s="71">
        <f>=J570-P570</f>
        <v>0</v>
      </c>
      <c r="R570" s="87">
        <v>10</v>
      </c>
      <c r="S570" s="112">
        <f>=P570-R570</f>
        <v>0</v>
      </c>
      <c r="T570" s="71">
        <f>=S570*L570</f>
        <v>0</v>
      </c>
      <c r="U570" s="190">
        <f>=J570-P570</f>
        <v>0</v>
      </c>
    </row>
    <row r="571" spans="1:21" s="270" customFormat="true" ht="15.75" customHeight="true">
      <c r="A571" s="110">
        <v>46111</v>
      </c>
      <c r="B571" s="93">
        <f>=TODAY()-A571+1</f>
        <v>114</v>
      </c>
      <c r="C571" s="110" t="s">
        <v>221</v>
      </c>
      <c r="D571" s="258" t="s">
        <v>220</v>
      </c>
      <c r="E571" s="247" t="s">
        <v>1342</v>
      </c>
      <c r="F571" s="258" t="s">
        <v>1333</v>
      </c>
      <c r="G571" s="83" t="s">
        <v>864</v>
      </c>
      <c r="H571" s="83" t="s">
        <v>422</v>
      </c>
      <c r="I571" s="83" t="s">
        <v>1343</v>
      </c>
      <c r="J571" s="111">
        <v>10</v>
      </c>
      <c r="L571" s="111">
        <v>1540</v>
      </c>
      <c r="M571" s="228">
        <f>=J571*L571</f>
        <v>15400</v>
      </c>
      <c r="N571">
        <v>3</v>
      </c>
      <c r="O571" s="198">
        <f>=ROUND(IF((TODAY()-A571+1)*N571*(L571/10000)+L571&lt;L571*1.002,L571*1.002,(TODAY()-A571+1)*N571*(L571/10000)+L571),2)</f>
        <v>1593.13</v>
      </c>
      <c r="P571" s="111">
        <v>10</v>
      </c>
      <c r="Q571" s="93">
        <f>=J571-P571</f>
        <v>0</v>
      </c>
      <c r="R571" s="313">
        <v>10</v>
      </c>
      <c r="S571" s="217">
        <f>=P571-R571</f>
        <v>0</v>
      </c>
      <c r="T571" s="93">
        <f>=S571*L571</f>
        <v>0</v>
      </c>
      <c r="U571" s="190">
        <f>=J571-P571</f>
        <v>0</v>
      </c>
    </row>
    <row r="572" spans="1:21" s="270" customFormat="true" ht="15.75" customHeight="true">
      <c r="A572" s="110">
        <v>46111</v>
      </c>
      <c r="B572" s="93">
        <f>=TODAY()-A572+1</f>
        <v>114</v>
      </c>
      <c r="C572" s="110" t="s">
        <v>221</v>
      </c>
      <c r="D572" s="258" t="s">
        <v>220</v>
      </c>
      <c r="E572" s="247" t="s">
        <v>1344</v>
      </c>
      <c r="F572" s="258" t="s">
        <v>1333</v>
      </c>
      <c r="G572" s="83" t="s">
        <v>895</v>
      </c>
      <c r="H572" s="83" t="s">
        <v>422</v>
      </c>
      <c r="I572" s="83" t="s">
        <v>1345</v>
      </c>
      <c r="J572" s="111">
        <v>8</v>
      </c>
      <c r="L572" s="111">
        <v>1155</v>
      </c>
      <c r="M572" s="228">
        <f>=J572*L572</f>
        <v>9240</v>
      </c>
      <c r="N572">
        <v>3</v>
      </c>
      <c r="O572" s="198">
        <f>=ROUND(IF((TODAY()-A572+1)*N572*(L572/10000)+L572&lt;L572*1.002,L572*1.002,(TODAY()-A572+1)*N572*(L572/10000)+L572),2)</f>
        <v>1194.85</v>
      </c>
      <c r="P572" s="111">
        <v>8</v>
      </c>
      <c r="Q572" s="93">
        <f>=J572-P572</f>
        <v>0</v>
      </c>
      <c r="R572" s="313">
        <v>8</v>
      </c>
      <c r="S572" s="217">
        <f>=P572-R572</f>
        <v>0</v>
      </c>
      <c r="T572" s="93">
        <f>=S572*L572</f>
        <v>0</v>
      </c>
      <c r="U572" s="190">
        <f>=J572-P572</f>
        <v>0</v>
      </c>
    </row>
    <row r="573" spans="1:21" s="270" customFormat="true" ht="15.75" customHeight="true">
      <c r="A573" s="110">
        <v>46111</v>
      </c>
      <c r="B573" s="93">
        <f>=TODAY()-A573+1</f>
        <v>114</v>
      </c>
      <c r="C573" s="110" t="s">
        <v>221</v>
      </c>
      <c r="D573" s="258" t="s">
        <v>220</v>
      </c>
      <c r="E573" s="247" t="s">
        <v>1346</v>
      </c>
      <c r="F573" s="258" t="s">
        <v>1333</v>
      </c>
      <c r="G573" s="83" t="s">
        <v>895</v>
      </c>
      <c r="H573" s="83" t="s">
        <v>422</v>
      </c>
      <c r="I573" s="83" t="s">
        <v>1347</v>
      </c>
      <c r="J573" s="111">
        <v>7</v>
      </c>
      <c r="L573" s="111">
        <v>1330</v>
      </c>
      <c r="M573" s="228">
        <f>=J573*L573</f>
        <v>9310</v>
      </c>
      <c r="N573">
        <v>3</v>
      </c>
      <c r="O573" s="198">
        <f>=ROUND(IF((TODAY()-A573+1)*N573*(L573/10000)+L573&lt;L573*1.002,L573*1.002,(TODAY()-A573+1)*N573*(L573/10000)+L573),2)</f>
        <v>1375.89</v>
      </c>
      <c r="P573" s="111">
        <v>7</v>
      </c>
      <c r="Q573" s="93">
        <f>=J573-P573</f>
        <v>0</v>
      </c>
      <c r="R573" s="313">
        <v>7</v>
      </c>
      <c r="S573" s="217">
        <f>=P573-R573</f>
        <v>0</v>
      </c>
      <c r="T573" s="93">
        <f>=S573*L573</f>
        <v>0</v>
      </c>
      <c r="U573" s="190">
        <f>=J573-P573</f>
        <v>0</v>
      </c>
    </row>
    <row r="574" spans="1:21" s="270" customFormat="true" ht="15.75" customHeight="true">
      <c r="A574" s="110">
        <v>46111</v>
      </c>
      <c r="B574" s="93">
        <f>=TODAY()-A574+1</f>
        <v>114</v>
      </c>
      <c r="C574" s="110" t="s">
        <v>221</v>
      </c>
      <c r="D574" s="258" t="s">
        <v>220</v>
      </c>
      <c r="E574" s="247" t="s">
        <v>1348</v>
      </c>
      <c r="F574" s="258" t="s">
        <v>1333</v>
      </c>
      <c r="G574" s="241" t="s">
        <v>503</v>
      </c>
      <c r="H574" s="142" t="s">
        <v>422</v>
      </c>
      <c r="I574" s="83" t="s">
        <v>1349</v>
      </c>
      <c r="J574" s="111">
        <v>6</v>
      </c>
      <c r="L574" s="111">
        <v>1750</v>
      </c>
      <c r="M574" s="228">
        <f>=J574*L574</f>
        <v>10500</v>
      </c>
      <c r="N574">
        <v>3</v>
      </c>
      <c r="O574" s="198">
        <f>=ROUND(IF((TODAY()-A574+1)*N574*(L574/10000)+L574&lt;L574*1.002,L574*1.002,(TODAY()-A574+1)*N574*(L574/10000)+L574),2)</f>
        <v>1810.38</v>
      </c>
      <c r="P574" s="111">
        <v>6</v>
      </c>
      <c r="Q574" s="93">
        <f>=J574-P574</f>
        <v>0</v>
      </c>
      <c r="R574" s="313">
        <v>6</v>
      </c>
      <c r="S574" s="217">
        <f>=P574-R574</f>
        <v>0</v>
      </c>
      <c r="T574" s="93">
        <f>=S574*L574</f>
        <v>0</v>
      </c>
      <c r="U574" s="190">
        <f>=J574-P574</f>
        <v>0</v>
      </c>
    </row>
    <row r="575" spans="1:21" s="270" customFormat="true" ht="15.75" customHeight="true">
      <c r="A575" s="80">
        <v>46111</v>
      </c>
      <c r="B575" s="71">
        <f>=TODAY()-A575+1</f>
        <v>114</v>
      </c>
      <c r="C575" s="80" t="s">
        <v>221</v>
      </c>
      <c r="D575" s="87" t="s">
        <v>220</v>
      </c>
      <c r="E575" s="247" t="s">
        <v>1350</v>
      </c>
      <c r="F575" s="87" t="s">
        <v>1333</v>
      </c>
      <c r="G575" s="241" t="s">
        <v>503</v>
      </c>
      <c r="H575" s="258" t="s">
        <v>422</v>
      </c>
      <c r="I575" s="258" t="s">
        <v>1351</v>
      </c>
      <c r="J575" s="258">
        <v>5</v>
      </c>
      <c r="L575" s="258">
        <v>2135</v>
      </c>
      <c r="M575" s="228">
        <f>=J575*L575</f>
        <v>10675</v>
      </c>
      <c r="N575">
        <v>3</v>
      </c>
      <c r="O575" s="189">
        <f>=ROUND(IF((TODAY()-A575+1)*N575*(L575/10000)+L575&lt;L575*1.002,L575*1.002,(TODAY()-A575+1)*N575*(L575/10000)+L575),2)</f>
        <v>2208.66</v>
      </c>
      <c r="P575" s="87">
        <v>5</v>
      </c>
      <c r="Q575" s="71">
        <f>=J575-P575</f>
        <v>0</v>
      </c>
      <c r="R575" s="87">
        <v>5</v>
      </c>
      <c r="S575" s="112">
        <f>=P575-R575</f>
        <v>0</v>
      </c>
      <c r="T575" s="71">
        <f>=S575*L575</f>
        <v>0</v>
      </c>
      <c r="U575" s="190">
        <f>=J575-P575</f>
        <v>0</v>
      </c>
    </row>
    <row r="576" spans="1:21" s="270" customFormat="true" ht="15.75" customHeight="true">
      <c r="A576" s="110">
        <v>46111</v>
      </c>
      <c r="B576" s="93">
        <f>=TODAY()-A576+1</f>
        <v>114</v>
      </c>
      <c r="C576" s="110" t="s">
        <v>221</v>
      </c>
      <c r="D576" s="258" t="s">
        <v>220</v>
      </c>
      <c r="E576" s="247" t="s">
        <v>1352</v>
      </c>
      <c r="F576" s="258" t="s">
        <v>1333</v>
      </c>
      <c r="G576" s="241" t="s">
        <v>503</v>
      </c>
      <c r="H576" s="142" t="s">
        <v>422</v>
      </c>
      <c r="I576" s="83" t="s">
        <v>1353</v>
      </c>
      <c r="J576" s="111">
        <v>5</v>
      </c>
      <c r="L576" s="111">
        <v>1365</v>
      </c>
      <c r="M576" s="228">
        <f>=J576*L576</f>
        <v>6825</v>
      </c>
      <c r="N576">
        <v>3</v>
      </c>
      <c r="O576" s="198">
        <f>=ROUND(IF((TODAY()-A576+1)*N576*(L576/10000)+L576&lt;L576*1.002,L576*1.002,(TODAY()-A576+1)*N576*(L576/10000)+L576),2)</f>
        <v>1412.09</v>
      </c>
      <c r="P576" s="111">
        <v>5</v>
      </c>
      <c r="Q576" s="93">
        <f>=J576-P576</f>
        <v>0</v>
      </c>
      <c r="R576" s="313">
        <v>5</v>
      </c>
      <c r="S576" s="217">
        <f>=P576-R576</f>
        <v>0</v>
      </c>
      <c r="T576" s="93">
        <f>=S576*L576</f>
        <v>0</v>
      </c>
      <c r="U576" s="190">
        <f>=J576-P576</f>
        <v>0</v>
      </c>
    </row>
    <row r="577" spans="1:21" s="270" customFormat="true" ht="15.75" customHeight="true">
      <c r="A577" s="80">
        <v>46111</v>
      </c>
      <c r="B577" s="71">
        <f>=TODAY()-A577+1</f>
        <v>114</v>
      </c>
      <c r="C577" s="80" t="s">
        <v>221</v>
      </c>
      <c r="D577" s="87" t="s">
        <v>220</v>
      </c>
      <c r="E577" s="247" t="s">
        <v>1354</v>
      </c>
      <c r="F577" s="87" t="s">
        <v>1333</v>
      </c>
      <c r="G577" s="241" t="s">
        <v>503</v>
      </c>
      <c r="H577" s="258" t="s">
        <v>422</v>
      </c>
      <c r="I577" s="258" t="s">
        <v>1355</v>
      </c>
      <c r="J577" s="258">
        <v>4</v>
      </c>
      <c r="L577" s="258">
        <v>1960</v>
      </c>
      <c r="M577" s="228">
        <f>=J577*L577</f>
        <v>7840</v>
      </c>
      <c r="N577">
        <v>3</v>
      </c>
      <c r="O577" s="189">
        <f>=ROUND(IF((TODAY()-A577+1)*N577*(L577/10000)+L577&lt;L577*1.002,L577*1.002,(TODAY()-A577+1)*N577*(L577/10000)+L577),2)</f>
        <v>2027.62</v>
      </c>
      <c r="P577" s="87">
        <v>4</v>
      </c>
      <c r="Q577" s="71">
        <f>=J577-P577</f>
        <v>0</v>
      </c>
      <c r="R577" s="87">
        <v>4</v>
      </c>
      <c r="S577" s="112">
        <f>=P577-R577</f>
        <v>0</v>
      </c>
      <c r="T577" s="71">
        <f>=S577*L577</f>
        <v>0</v>
      </c>
      <c r="U577" s="190">
        <f>=J577-P577</f>
        <v>0</v>
      </c>
    </row>
    <row r="578" spans="1:21" s="270" customFormat="true" ht="15.75" customHeight="true">
      <c r="A578" s="110">
        <v>46111</v>
      </c>
      <c r="B578" s="93">
        <f>=TODAY()-A578+1</f>
        <v>114</v>
      </c>
      <c r="C578" s="110" t="s">
        <v>221</v>
      </c>
      <c r="D578" s="258" t="s">
        <v>220</v>
      </c>
      <c r="E578" s="247" t="s">
        <v>1356</v>
      </c>
      <c r="F578" s="258" t="s">
        <v>1333</v>
      </c>
      <c r="G578" s="83" t="s">
        <v>895</v>
      </c>
      <c r="H578" s="83" t="s">
        <v>422</v>
      </c>
      <c r="I578" s="83" t="s">
        <v>1357</v>
      </c>
      <c r="J578" s="111">
        <v>4</v>
      </c>
      <c r="L578" s="111">
        <v>1225</v>
      </c>
      <c r="M578" s="228">
        <f>=J578*L578</f>
        <v>4900</v>
      </c>
      <c r="N578">
        <v>3</v>
      </c>
      <c r="O578" s="198">
        <f>=ROUND(IF((TODAY()-A578+1)*N578*(L578/10000)+L578&lt;L578*1.002,L578*1.002,(TODAY()-A578+1)*N578*(L578/10000)+L578),2)</f>
        <v>1267.26</v>
      </c>
      <c r="P578" s="111">
        <v>4</v>
      </c>
      <c r="Q578" s="93">
        <f>=J578-P578</f>
        <v>0</v>
      </c>
      <c r="R578" s="313">
        <v>4</v>
      </c>
      <c r="S578" s="217">
        <f>=P578-R578</f>
        <v>0</v>
      </c>
      <c r="T578" s="93">
        <f>=S578*L578</f>
        <v>0</v>
      </c>
      <c r="U578" s="190">
        <f>=J578-P578</f>
        <v>0</v>
      </c>
    </row>
    <row r="579" spans="1:21" s="270" customFormat="true" ht="15.75" customHeight="true">
      <c r="A579" s="110">
        <v>46111</v>
      </c>
      <c r="B579" s="93">
        <f>=TODAY()-A579+1</f>
        <v>114</v>
      </c>
      <c r="C579" s="110" t="s">
        <v>221</v>
      </c>
      <c r="D579" s="258" t="s">
        <v>220</v>
      </c>
      <c r="E579" s="247" t="s">
        <v>1358</v>
      </c>
      <c r="F579" s="258" t="s">
        <v>1333</v>
      </c>
      <c r="G579" s="241" t="s">
        <v>503</v>
      </c>
      <c r="H579" s="142" t="s">
        <v>422</v>
      </c>
      <c r="I579" s="83" t="s">
        <v>1359</v>
      </c>
      <c r="J579" s="111">
        <v>4</v>
      </c>
      <c r="L579" s="111">
        <v>1680</v>
      </c>
      <c r="M579" s="228">
        <f>=J579*L579</f>
        <v>6720</v>
      </c>
      <c r="N579">
        <v>3</v>
      </c>
      <c r="O579" s="198">
        <f>=ROUND(IF((TODAY()-A579+1)*N579*(L579/10000)+L579&lt;L579*1.002,L579*1.002,(TODAY()-A579+1)*N579*(L579/10000)+L579),2)</f>
        <v>1737.96</v>
      </c>
      <c r="P579" s="111">
        <v>4</v>
      </c>
      <c r="Q579" s="93">
        <f>=J579-P579</f>
        <v>0</v>
      </c>
      <c r="R579" s="313">
        <v>4</v>
      </c>
      <c r="S579" s="217">
        <f>=P579-R579</f>
        <v>0</v>
      </c>
      <c r="T579" s="93">
        <f>=S579*L579</f>
        <v>0</v>
      </c>
      <c r="U579" s="190">
        <f>=J579-P579</f>
        <v>0</v>
      </c>
    </row>
    <row r="580" spans="1:21" s="270" customFormat="true" ht="15.75" customHeight="true">
      <c r="A580" s="110">
        <v>46111</v>
      </c>
      <c r="B580" s="93">
        <f>=TODAY()-A580+1</f>
        <v>114</v>
      </c>
      <c r="C580" s="110" t="s">
        <v>221</v>
      </c>
      <c r="D580" s="258" t="s">
        <v>220</v>
      </c>
      <c r="E580" s="247" t="s">
        <v>1360</v>
      </c>
      <c r="F580" s="258" t="s">
        <v>1333</v>
      </c>
      <c r="G580" s="83" t="s">
        <v>864</v>
      </c>
      <c r="H580" s="83" t="s">
        <v>422</v>
      </c>
      <c r="I580" s="83" t="s">
        <v>1361</v>
      </c>
      <c r="J580" s="111">
        <v>4</v>
      </c>
      <c r="L580" s="111">
        <v>1785</v>
      </c>
      <c r="M580" s="228">
        <f>=J580*L580</f>
        <v>7140</v>
      </c>
      <c r="N580">
        <v>3</v>
      </c>
      <c r="O580" s="198">
        <f>=ROUND(IF((TODAY()-A580+1)*N580*(L580/10000)+L580&lt;L580*1.002,L580*1.002,(TODAY()-A580+1)*N580*(L580/10000)+L580),2)</f>
        <v>1846.58</v>
      </c>
      <c r="P580" s="111">
        <v>4</v>
      </c>
      <c r="Q580" s="93">
        <f>=J580-P580</f>
        <v>0</v>
      </c>
      <c r="R580" s="313">
        <v>4</v>
      </c>
      <c r="S580" s="217">
        <f>=P580-R580</f>
        <v>0</v>
      </c>
      <c r="T580" s="93">
        <f>=S580*L580</f>
        <v>0</v>
      </c>
      <c r="U580" s="190">
        <f>=J580-P580</f>
        <v>0</v>
      </c>
    </row>
    <row r="581" spans="1:21" s="270" customFormat="true" ht="15.75" customHeight="true">
      <c r="A581" s="80">
        <v>46111</v>
      </c>
      <c r="B581" s="71">
        <f>=TODAY()-A581+1</f>
        <v>114</v>
      </c>
      <c r="C581" s="80" t="s">
        <v>221</v>
      </c>
      <c r="D581" s="87" t="s">
        <v>220</v>
      </c>
      <c r="E581" s="247" t="s">
        <v>1362</v>
      </c>
      <c r="F581" s="87" t="s">
        <v>1333</v>
      </c>
      <c r="G581" s="241" t="s">
        <v>503</v>
      </c>
      <c r="H581" s="258" t="s">
        <v>422</v>
      </c>
      <c r="I581" s="258" t="s">
        <v>1363</v>
      </c>
      <c r="J581" s="258">
        <v>3</v>
      </c>
      <c r="L581" s="258">
        <v>2135</v>
      </c>
      <c r="M581" s="228">
        <f>=J581*L581</f>
        <v>6405</v>
      </c>
      <c r="N581">
        <v>3</v>
      </c>
      <c r="O581" s="189">
        <f>=ROUND(IF((TODAY()-A581+1)*N581*(L581/10000)+L581&lt;L581*1.002,L581*1.002,(TODAY()-A581+1)*N581*(L581/10000)+L581),2)</f>
        <v>2208.66</v>
      </c>
      <c r="P581" s="87">
        <v>3</v>
      </c>
      <c r="Q581" s="71">
        <f>=J581-P581</f>
        <v>0</v>
      </c>
      <c r="R581" s="87">
        <v>3</v>
      </c>
      <c r="S581" s="112">
        <f>=P581-R581</f>
        <v>0</v>
      </c>
      <c r="T581" s="71">
        <f>=S581*L581</f>
        <v>0</v>
      </c>
      <c r="U581" s="190">
        <f>=J581-P581</f>
        <v>0</v>
      </c>
    </row>
    <row r="582" spans="1:21" s="270" customFormat="true" ht="15.75" customHeight="true">
      <c r="A582" s="80">
        <v>46111</v>
      </c>
      <c r="B582" s="71">
        <f>=TODAY()-A582+1</f>
        <v>114</v>
      </c>
      <c r="C582" s="80" t="s">
        <v>221</v>
      </c>
      <c r="D582" s="87" t="s">
        <v>220</v>
      </c>
      <c r="E582" s="247" t="s">
        <v>1364</v>
      </c>
      <c r="F582" s="87" t="s">
        <v>1333</v>
      </c>
      <c r="G582" s="83" t="s">
        <v>864</v>
      </c>
      <c r="H582" s="83" t="s">
        <v>422</v>
      </c>
      <c r="I582" s="258" t="s">
        <v>1020</v>
      </c>
      <c r="J582" s="258">
        <v>3</v>
      </c>
      <c r="L582" s="258">
        <v>1540</v>
      </c>
      <c r="M582" s="228">
        <f>=J582*L582</f>
        <v>4620</v>
      </c>
      <c r="N582">
        <v>3</v>
      </c>
      <c r="O582" s="189">
        <f>=ROUND(IF((TODAY()-A582+1)*N582*(L582/10000)+L582&lt;L582*1.002,L582*1.002,(TODAY()-A582+1)*N582*(L582/10000)+L582),2)</f>
        <v>1593.13</v>
      </c>
      <c r="P582" s="87">
        <v>3</v>
      </c>
      <c r="Q582" s="71">
        <f>=J582-P582</f>
        <v>0</v>
      </c>
      <c r="R582" s="87">
        <v>3</v>
      </c>
      <c r="S582" s="112">
        <f>=P582-R582</f>
        <v>0</v>
      </c>
      <c r="T582" s="71">
        <f>=S582*L582</f>
        <v>0</v>
      </c>
      <c r="U582" s="190">
        <f>=J582-P582</f>
        <v>0</v>
      </c>
    </row>
    <row r="583" spans="1:21" s="270" customFormat="true" ht="15.75" customHeight="true">
      <c r="A583" s="80">
        <v>46111</v>
      </c>
      <c r="B583" s="71">
        <f>=TODAY()-A583+1</f>
        <v>114</v>
      </c>
      <c r="C583" s="80" t="s">
        <v>221</v>
      </c>
      <c r="D583" s="87" t="s">
        <v>220</v>
      </c>
      <c r="E583" s="247" t="s">
        <v>1365</v>
      </c>
      <c r="F583" s="87" t="s">
        <v>1333</v>
      </c>
      <c r="G583" s="83" t="s">
        <v>864</v>
      </c>
      <c r="H583" s="83" t="s">
        <v>422</v>
      </c>
      <c r="I583" s="258" t="s">
        <v>1366</v>
      </c>
      <c r="J583" s="258">
        <v>3</v>
      </c>
      <c r="L583" s="258">
        <v>1715</v>
      </c>
      <c r="M583" s="228">
        <f>=J583*L583</f>
        <v>5145</v>
      </c>
      <c r="N583">
        <v>3</v>
      </c>
      <c r="O583" s="189">
        <f>=ROUND(IF((TODAY()-A583+1)*N583*(L583/10000)+L583&lt;L583*1.002,L583*1.002,(TODAY()-A583+1)*N583*(L583/10000)+L583),2)</f>
        <v>1774.17</v>
      </c>
      <c r="P583" s="87">
        <v>3</v>
      </c>
      <c r="Q583" s="71">
        <f>=J583-P583</f>
        <v>0</v>
      </c>
      <c r="R583" s="87">
        <v>3</v>
      </c>
      <c r="S583" s="112">
        <f>=P583-R583</f>
        <v>0</v>
      </c>
      <c r="T583" s="71">
        <f>=S583*L583</f>
        <v>0</v>
      </c>
      <c r="U583" s="190">
        <f>=J583-P583</f>
        <v>0</v>
      </c>
    </row>
    <row r="584" spans="1:21" s="270" customFormat="true" ht="15.75" customHeight="true">
      <c r="A584" s="110">
        <v>46111</v>
      </c>
      <c r="B584" s="93">
        <f>=TODAY()-A584+1</f>
        <v>114</v>
      </c>
      <c r="C584" s="110" t="s">
        <v>221</v>
      </c>
      <c r="D584" s="258" t="s">
        <v>220</v>
      </c>
      <c r="E584" s="247" t="s">
        <v>1367</v>
      </c>
      <c r="F584" s="258" t="s">
        <v>1333</v>
      </c>
      <c r="G584" s="83" t="s">
        <v>895</v>
      </c>
      <c r="H584" s="83" t="s">
        <v>422</v>
      </c>
      <c r="I584" s="83" t="s">
        <v>1368</v>
      </c>
      <c r="J584" s="111">
        <v>3</v>
      </c>
      <c r="L584" s="111">
        <v>1155</v>
      </c>
      <c r="M584" s="228">
        <f>=J584*L584</f>
        <v>3465</v>
      </c>
      <c r="N584">
        <v>3</v>
      </c>
      <c r="O584" s="198">
        <f>=ROUND(IF((TODAY()-A584+1)*N584*(L584/10000)+L584&lt;L584*1.002,L584*1.002,(TODAY()-A584+1)*N584*(L584/10000)+L584),2)</f>
        <v>1194.85</v>
      </c>
      <c r="P584" s="111">
        <v>3</v>
      </c>
      <c r="Q584" s="93">
        <f>=J584-P584</f>
        <v>0</v>
      </c>
      <c r="R584" s="313">
        <v>3</v>
      </c>
      <c r="S584" s="217">
        <f>=P584-R584</f>
        <v>0</v>
      </c>
      <c r="T584" s="93">
        <f>=S584*L584</f>
        <v>0</v>
      </c>
      <c r="U584" s="190">
        <f>=J584-P584</f>
        <v>0</v>
      </c>
    </row>
    <row r="585" spans="1:21" s="270" customFormat="true" ht="15.75" customHeight="true">
      <c r="A585" s="110">
        <v>46111</v>
      </c>
      <c r="B585" s="93">
        <f>=TODAY()-A585+1</f>
        <v>114</v>
      </c>
      <c r="C585" s="110" t="s">
        <v>221</v>
      </c>
      <c r="D585" s="258" t="s">
        <v>220</v>
      </c>
      <c r="E585" s="247" t="s">
        <v>1369</v>
      </c>
      <c r="F585" s="258" t="s">
        <v>1333</v>
      </c>
      <c r="G585" s="314" t="s">
        <v>895</v>
      </c>
      <c r="H585" s="314" t="s">
        <v>422</v>
      </c>
      <c r="I585" s="315" t="s">
        <v>1370</v>
      </c>
      <c r="J585" s="111">
        <v>3</v>
      </c>
      <c r="L585" s="111">
        <v>1155</v>
      </c>
      <c r="M585" s="228">
        <f>=J585*L585</f>
        <v>3465</v>
      </c>
      <c r="N585">
        <v>3</v>
      </c>
      <c r="O585" s="198">
        <f>=ROUND(IF((TODAY()-A585+1)*N585*(L585/10000)+L585&lt;L585*1.002,L585*1.002,(TODAY()-A585+1)*N585*(L585/10000)+L585),2)</f>
        <v>1194.85</v>
      </c>
      <c r="P585" s="111">
        <v>3</v>
      </c>
      <c r="Q585" s="93">
        <f>=J585-P585</f>
        <v>0</v>
      </c>
      <c r="R585" s="313">
        <v>3</v>
      </c>
      <c r="S585" s="217">
        <f>=P585-R585</f>
        <v>0</v>
      </c>
      <c r="T585" s="93">
        <f>=S585*L585</f>
        <v>0</v>
      </c>
      <c r="U585" s="190">
        <f>=J585-P585</f>
        <v>0</v>
      </c>
    </row>
    <row r="586" spans="1:21" s="270" customFormat="true" ht="15.75" customHeight="true">
      <c r="A586" s="110">
        <v>46111</v>
      </c>
      <c r="B586" s="93">
        <f>=TODAY()-A586+1</f>
        <v>114</v>
      </c>
      <c r="C586" s="110" t="s">
        <v>221</v>
      </c>
      <c r="D586" s="258" t="s">
        <v>220</v>
      </c>
      <c r="E586" s="247" t="s">
        <v>1371</v>
      </c>
      <c r="F586" s="258" t="s">
        <v>1333</v>
      </c>
      <c r="G586" s="83" t="s">
        <v>895</v>
      </c>
      <c r="H586" s="83" t="s">
        <v>422</v>
      </c>
      <c r="I586" s="83" t="s">
        <v>1372</v>
      </c>
      <c r="J586" s="111">
        <v>3</v>
      </c>
      <c r="L586" s="111">
        <v>1225</v>
      </c>
      <c r="M586" s="228">
        <f>=J586*L586</f>
        <v>3675</v>
      </c>
      <c r="N586">
        <v>3</v>
      </c>
      <c r="O586" s="198">
        <f>=ROUND(IF((TODAY()-A586+1)*N586*(L586/10000)+L586&lt;L586*1.002,L586*1.002,(TODAY()-A586+1)*N586*(L586/10000)+L586),2)</f>
        <v>1267.26</v>
      </c>
      <c r="P586" s="111">
        <v>3</v>
      </c>
      <c r="Q586" s="93">
        <f>=J586-P586</f>
        <v>0</v>
      </c>
      <c r="R586" s="313">
        <v>3</v>
      </c>
      <c r="S586" s="217">
        <f>=P586-R586</f>
        <v>0</v>
      </c>
      <c r="T586" s="93">
        <f>=S586*L586</f>
        <v>0</v>
      </c>
      <c r="U586" s="190">
        <f>=J586-P586</f>
        <v>0</v>
      </c>
    </row>
    <row r="587" spans="1:21" s="270" customFormat="true" ht="15.75" customHeight="true">
      <c r="A587" s="110">
        <v>46111</v>
      </c>
      <c r="B587" s="93">
        <f>=TODAY()-A587+1</f>
        <v>114</v>
      </c>
      <c r="C587" s="110" t="s">
        <v>221</v>
      </c>
      <c r="D587" s="258" t="s">
        <v>220</v>
      </c>
      <c r="E587" s="247" t="s">
        <v>1373</v>
      </c>
      <c r="F587" s="258" t="s">
        <v>1333</v>
      </c>
      <c r="G587" s="241" t="s">
        <v>503</v>
      </c>
      <c r="H587" s="142" t="s">
        <v>422</v>
      </c>
      <c r="I587" s="83" t="s">
        <v>1374</v>
      </c>
      <c r="J587" s="111">
        <v>3</v>
      </c>
      <c r="K587" s="258" t="s"/>
      <c r="L587" s="111">
        <v>1960</v>
      </c>
      <c r="M587" s="228">
        <f>=J587*L587</f>
        <v>5880</v>
      </c>
      <c r="N587">
        <v>3</v>
      </c>
      <c r="O587" s="198">
        <f>=ROUND(IF((TODAY()-A587+1)*N587*(L587/10000)+L587&lt;L587*1.002,L587*1.002,(TODAY()-A587+1)*N587*(L587/10000)+L587),2)</f>
        <v>2027.62</v>
      </c>
      <c r="P587" s="111">
        <v>3</v>
      </c>
      <c r="Q587" s="93">
        <f>=J587-P587</f>
        <v>0</v>
      </c>
      <c r="R587" s="313">
        <v>3</v>
      </c>
      <c r="S587" s="217">
        <f>=P587-R587</f>
        <v>0</v>
      </c>
      <c r="T587" s="93">
        <f>=S587*L587</f>
        <v>0</v>
      </c>
      <c r="U587" s="190">
        <f>=J587-P587</f>
        <v>0</v>
      </c>
    </row>
    <row r="588" spans="1:21" s="270" customFormat="true" ht="15.75" customHeight="true">
      <c r="A588" s="110">
        <v>46111</v>
      </c>
      <c r="B588" s="93">
        <f>=TODAY()-A588+1</f>
        <v>114</v>
      </c>
      <c r="C588" s="110" t="s">
        <v>221</v>
      </c>
      <c r="D588" s="258" t="s">
        <v>220</v>
      </c>
      <c r="E588" s="247" t="s">
        <v>1375</v>
      </c>
      <c r="F588" s="258" t="s">
        <v>1333</v>
      </c>
      <c r="G588" s="241" t="s">
        <v>503</v>
      </c>
      <c r="H588" s="142" t="s">
        <v>422</v>
      </c>
      <c r="I588" s="83" t="s">
        <v>1376</v>
      </c>
      <c r="J588" s="111">
        <v>3</v>
      </c>
      <c r="L588" s="111">
        <v>1155</v>
      </c>
      <c r="M588" s="228">
        <f>=J588*L588</f>
        <v>3465</v>
      </c>
      <c r="N588">
        <v>3</v>
      </c>
      <c r="O588" s="198">
        <f>=ROUND(IF((TODAY()-A588+1)*N588*(L588/10000)+L588&lt;L588*1.002,L588*1.002,(TODAY()-A588+1)*N588*(L588/10000)+L588),2)</f>
        <v>1194.85</v>
      </c>
      <c r="P588" s="111">
        <v>3</v>
      </c>
      <c r="Q588" s="93">
        <f>=J588-P588</f>
        <v>0</v>
      </c>
      <c r="R588" s="313">
        <v>3</v>
      </c>
      <c r="S588" s="217">
        <f>=P588-R588</f>
        <v>0</v>
      </c>
      <c r="T588" s="93">
        <f>=S588*L588</f>
        <v>0</v>
      </c>
      <c r="U588" s="190">
        <f>=J588-P588</f>
        <v>0</v>
      </c>
    </row>
    <row r="589" spans="1:21" s="270" customFormat="true" ht="15.75" customHeight="true">
      <c r="A589" s="110">
        <v>46111</v>
      </c>
      <c r="B589" s="93">
        <f>=TODAY()-A589+1</f>
        <v>114</v>
      </c>
      <c r="C589" s="110" t="s">
        <v>221</v>
      </c>
      <c r="D589" s="258" t="s">
        <v>220</v>
      </c>
      <c r="E589" s="247" t="s">
        <v>1377</v>
      </c>
      <c r="F589" s="258" t="s">
        <v>1333</v>
      </c>
      <c r="G589" s="241" t="s">
        <v>503</v>
      </c>
      <c r="H589" s="142" t="s">
        <v>422</v>
      </c>
      <c r="I589" s="83" t="s">
        <v>1378</v>
      </c>
      <c r="J589" s="111">
        <v>3</v>
      </c>
      <c r="L589" s="111">
        <v>1540</v>
      </c>
      <c r="M589" s="228">
        <f>=J589*L589</f>
        <v>4620</v>
      </c>
      <c r="N589">
        <v>3</v>
      </c>
      <c r="O589" s="198">
        <f>=ROUND(IF((TODAY()-A589+1)*N589*(L589/10000)+L589&lt;L589*1.002,L589*1.002,(TODAY()-A589+1)*N589*(L589/10000)+L589),2)</f>
        <v>1593.13</v>
      </c>
      <c r="P589" s="111">
        <v>3</v>
      </c>
      <c r="Q589" s="93">
        <f>=J589-P589</f>
        <v>0</v>
      </c>
      <c r="R589" s="313">
        <v>3</v>
      </c>
      <c r="S589" s="217">
        <f>=P589-R589</f>
        <v>0</v>
      </c>
      <c r="T589" s="93">
        <f>=S589*L589</f>
        <v>0</v>
      </c>
      <c r="U589" s="190">
        <f>=J589-P589</f>
        <v>0</v>
      </c>
    </row>
    <row r="590" spans="1:21" s="270" customFormat="true" ht="15.75" customHeight="true">
      <c r="A590" s="80">
        <v>46111</v>
      </c>
      <c r="B590" s="71">
        <f>=TODAY()-A590+1</f>
        <v>114</v>
      </c>
      <c r="C590" s="80" t="s">
        <v>221</v>
      </c>
      <c r="D590" s="87" t="s">
        <v>220</v>
      </c>
      <c r="E590" s="247" t="s">
        <v>1379</v>
      </c>
      <c r="F590" s="87" t="s">
        <v>1333</v>
      </c>
      <c r="G590" s="241" t="s">
        <v>503</v>
      </c>
      <c r="H590" s="258" t="s">
        <v>422</v>
      </c>
      <c r="I590" s="258" t="s">
        <v>1380</v>
      </c>
      <c r="J590" s="258">
        <v>2</v>
      </c>
      <c r="L590" s="258">
        <v>1820</v>
      </c>
      <c r="M590" s="228">
        <f>=J590*L590</f>
        <v>3640</v>
      </c>
      <c r="N590">
        <v>3</v>
      </c>
      <c r="O590" s="189">
        <f>=ROUND(IF((TODAY()-A590+1)*N590*(L590/10000)+L590&lt;L590*1.002,L590*1.002,(TODAY()-A590+1)*N590*(L590/10000)+L590),2)</f>
        <v>1882.79</v>
      </c>
      <c r="P590" s="87">
        <v>2</v>
      </c>
      <c r="Q590" s="71">
        <f>=J590-P590</f>
        <v>0</v>
      </c>
      <c r="R590" s="87">
        <v>2</v>
      </c>
      <c r="S590" s="112">
        <f>=P590-R590</f>
        <v>0</v>
      </c>
      <c r="T590" s="71">
        <f>=S590*L590</f>
        <v>0</v>
      </c>
      <c r="U590" s="190">
        <f>=J590-P590</f>
        <v>0</v>
      </c>
    </row>
    <row r="591" spans="1:21" s="270" customFormat="true" ht="15.75" customHeight="true">
      <c r="A591" s="80">
        <v>46111</v>
      </c>
      <c r="B591" s="71">
        <f>=TODAY()-A591+1</f>
        <v>114</v>
      </c>
      <c r="C591" s="80" t="s">
        <v>221</v>
      </c>
      <c r="D591" s="87" t="s">
        <v>220</v>
      </c>
      <c r="E591" s="247" t="s">
        <v>1381</v>
      </c>
      <c r="F591" s="87" t="s">
        <v>1333</v>
      </c>
      <c r="G591" s="83" t="s">
        <v>864</v>
      </c>
      <c r="H591" s="83" t="s">
        <v>422</v>
      </c>
      <c r="I591" s="258" t="s">
        <v>1382</v>
      </c>
      <c r="J591" s="258">
        <v>2</v>
      </c>
      <c r="L591" s="258">
        <v>1995</v>
      </c>
      <c r="M591" s="228">
        <f>=J591*L591</f>
        <v>3990</v>
      </c>
      <c r="N591">
        <v>3</v>
      </c>
      <c r="O591" s="189">
        <f>=ROUND(IF((TODAY()-A591+1)*N591*(L591/10000)+L591&lt;L591*1.002,L591*1.002,(TODAY()-A591+1)*N591*(L591/10000)+L591),2)</f>
        <v>2063.83</v>
      </c>
      <c r="P591" s="87">
        <v>2</v>
      </c>
      <c r="Q591" s="71">
        <f>=J591-P591</f>
        <v>0</v>
      </c>
      <c r="R591" s="87">
        <v>2</v>
      </c>
      <c r="S591" s="112">
        <f>=P591-R591</f>
        <v>0</v>
      </c>
      <c r="T591" s="71">
        <f>=S591*L591</f>
        <v>0</v>
      </c>
      <c r="U591" s="190">
        <f>=J591-P591</f>
        <v>0</v>
      </c>
    </row>
    <row r="592" spans="1:21" s="270" customFormat="true" ht="15.75" customHeight="true">
      <c r="A592" s="110">
        <v>46111</v>
      </c>
      <c r="B592" s="93">
        <f>=TODAY()-A592+1</f>
        <v>114</v>
      </c>
      <c r="C592" s="110" t="s">
        <v>221</v>
      </c>
      <c r="D592" s="258" t="s">
        <v>220</v>
      </c>
      <c r="E592" s="247" t="s">
        <v>1383</v>
      </c>
      <c r="F592" s="258" t="s">
        <v>1333</v>
      </c>
      <c r="G592" s="241" t="s">
        <v>503</v>
      </c>
      <c r="H592" s="142" t="s">
        <v>422</v>
      </c>
      <c r="I592" s="83" t="s">
        <v>1384</v>
      </c>
      <c r="J592" s="111">
        <v>2</v>
      </c>
      <c r="L592" s="111">
        <v>1610</v>
      </c>
      <c r="M592" s="228">
        <f>=J592*L592</f>
        <v>3220</v>
      </c>
      <c r="N592">
        <v>3</v>
      </c>
      <c r="O592" s="198">
        <f>=ROUND(IF((TODAY()-A592+1)*N592*(L592/10000)+L592&lt;L592*1.002,L592*1.002,(TODAY()-A592+1)*N592*(L592/10000)+L592),2)</f>
        <v>1665.55</v>
      </c>
      <c r="P592" s="111">
        <v>2</v>
      </c>
      <c r="Q592" s="93">
        <f>=J592-P592</f>
        <v>0</v>
      </c>
      <c r="R592" s="313">
        <v>2</v>
      </c>
      <c r="S592" s="217">
        <f>=P592-R592</f>
        <v>0</v>
      </c>
      <c r="T592" s="93">
        <f>=S592*L592</f>
        <v>0</v>
      </c>
      <c r="U592" s="190">
        <f>=J592-P592</f>
        <v>0</v>
      </c>
    </row>
    <row r="593" spans="1:21" s="270" customFormat="true" ht="15.75" customHeight="true">
      <c r="A593" s="110">
        <v>46111</v>
      </c>
      <c r="B593" s="93">
        <f>=TODAY()-A593+1</f>
        <v>114</v>
      </c>
      <c r="C593" s="110" t="s">
        <v>221</v>
      </c>
      <c r="D593" s="258" t="s">
        <v>220</v>
      </c>
      <c r="E593" s="247" t="s">
        <v>1385</v>
      </c>
      <c r="F593" s="258" t="s">
        <v>1333</v>
      </c>
      <c r="G593" s="83" t="s">
        <v>864</v>
      </c>
      <c r="H593" s="83" t="s">
        <v>422</v>
      </c>
      <c r="I593" s="83" t="s">
        <v>1386</v>
      </c>
      <c r="J593" s="111">
        <v>2</v>
      </c>
      <c r="L593" s="111">
        <v>1785</v>
      </c>
      <c r="M593" s="228">
        <f>=J593*L593</f>
        <v>3570</v>
      </c>
      <c r="N593">
        <v>3</v>
      </c>
      <c r="O593" s="198">
        <f>=ROUND(IF((TODAY()-A593+1)*N593*(L593/10000)+L593&lt;L593*1.002,L593*1.002,(TODAY()-A593+1)*N593*(L593/10000)+L593),2)</f>
        <v>1846.58</v>
      </c>
      <c r="P593" s="111">
        <v>2</v>
      </c>
      <c r="Q593" s="93">
        <f>=J593-P593</f>
        <v>0</v>
      </c>
      <c r="R593" s="313">
        <v>2</v>
      </c>
      <c r="S593" s="217">
        <f>=P593-R593</f>
        <v>0</v>
      </c>
      <c r="T593" s="93">
        <f>=S593*L593</f>
        <v>0</v>
      </c>
      <c r="U593" s="190">
        <f>=J593-P593</f>
        <v>0</v>
      </c>
    </row>
    <row r="594" spans="1:21" s="270" customFormat="true" ht="15.75" customHeight="true">
      <c r="A594" s="110">
        <v>46111</v>
      </c>
      <c r="B594" s="93">
        <f>=TODAY()-A594+1</f>
        <v>114</v>
      </c>
      <c r="C594" s="110" t="s">
        <v>221</v>
      </c>
      <c r="D594" s="258" t="s">
        <v>220</v>
      </c>
      <c r="E594" s="247" t="s">
        <v>1387</v>
      </c>
      <c r="F594" s="258" t="s">
        <v>1333</v>
      </c>
      <c r="G594" s="83" t="s">
        <v>864</v>
      </c>
      <c r="H594" s="83" t="s">
        <v>422</v>
      </c>
      <c r="I594" s="83" t="s">
        <v>1388</v>
      </c>
      <c r="J594" s="111">
        <v>2</v>
      </c>
      <c r="L594" s="111">
        <v>1540</v>
      </c>
      <c r="M594" s="228">
        <f>=J594*L594</f>
        <v>3080</v>
      </c>
      <c r="N594">
        <v>3</v>
      </c>
      <c r="O594" s="198">
        <f>=ROUND(IF((TODAY()-A594+1)*N594*(L594/10000)+L594&lt;L594*1.002,L594*1.002,(TODAY()-A594+1)*N594*(L594/10000)+L594),2)</f>
        <v>1593.13</v>
      </c>
      <c r="P594" s="111">
        <v>2</v>
      </c>
      <c r="Q594" s="93">
        <f>=J594-P594</f>
        <v>0</v>
      </c>
      <c r="R594" s="313">
        <v>2</v>
      </c>
      <c r="S594" s="217">
        <f>=P594-R594</f>
        <v>0</v>
      </c>
      <c r="T594" s="93">
        <f>=S594*L594</f>
        <v>0</v>
      </c>
      <c r="U594" s="190">
        <f>=J594-P594</f>
        <v>0</v>
      </c>
    </row>
    <row r="595" spans="1:21" s="270" customFormat="true" ht="15.75" customHeight="true">
      <c r="A595" s="80">
        <v>46111</v>
      </c>
      <c r="B595" s="71">
        <f>=TODAY()-A595+1</f>
        <v>114</v>
      </c>
      <c r="C595" s="80" t="s">
        <v>221</v>
      </c>
      <c r="D595" s="87" t="s">
        <v>220</v>
      </c>
      <c r="E595" s="247" t="s">
        <v>1389</v>
      </c>
      <c r="F595" s="87" t="s">
        <v>1333</v>
      </c>
      <c r="G595" s="241" t="s">
        <v>503</v>
      </c>
      <c r="H595" s="258" t="s">
        <v>422</v>
      </c>
      <c r="I595" s="258" t="s">
        <v>1390</v>
      </c>
      <c r="J595" s="258">
        <v>1</v>
      </c>
      <c r="L595" s="258">
        <v>2660</v>
      </c>
      <c r="M595" s="228">
        <f>=J595*L595</f>
        <v>2660</v>
      </c>
      <c r="N595">
        <v>3</v>
      </c>
      <c r="O595" s="189">
        <f>=ROUND(IF((TODAY()-A595+1)*N595*(L595/10000)+L595&lt;L595*1.002,L595*1.002,(TODAY()-A595+1)*N595*(L595/10000)+L595),2)</f>
        <v>2751.77</v>
      </c>
      <c r="P595" s="87">
        <v>1</v>
      </c>
      <c r="Q595" s="71">
        <f>=J595-P595</f>
        <v>0</v>
      </c>
      <c r="R595" s="87">
        <v>1</v>
      </c>
      <c r="S595" s="112">
        <f>=P595-R595</f>
        <v>0</v>
      </c>
      <c r="T595" s="71">
        <f>=S595*L595</f>
        <v>0</v>
      </c>
      <c r="U595" s="190">
        <f>=J595-P595</f>
        <v>0</v>
      </c>
    </row>
    <row r="596" spans="1:21" s="270" customFormat="true" ht="15.75" customHeight="true">
      <c r="A596" s="80">
        <v>46111</v>
      </c>
      <c r="B596" s="71">
        <f>=TODAY()-A596+1</f>
        <v>114</v>
      </c>
      <c r="C596" s="80" t="s">
        <v>221</v>
      </c>
      <c r="D596" s="87" t="s">
        <v>220</v>
      </c>
      <c r="E596" s="247" t="s">
        <v>1391</v>
      </c>
      <c r="F596" s="87" t="s">
        <v>1333</v>
      </c>
      <c r="G596" s="241" t="s">
        <v>503</v>
      </c>
      <c r="H596" s="258" t="s">
        <v>422</v>
      </c>
      <c r="I596" s="258" t="s">
        <v>1392</v>
      </c>
      <c r="J596" s="258">
        <v>1</v>
      </c>
      <c r="L596" s="258">
        <v>1715</v>
      </c>
      <c r="M596" s="228">
        <f>=J596*L596</f>
        <v>1715</v>
      </c>
      <c r="N596">
        <v>3</v>
      </c>
      <c r="O596" s="189">
        <f>=ROUND(IF((TODAY()-A596+1)*N596*(L596/10000)+L596&lt;L596*1.002,L596*1.002,(TODAY()-A596+1)*N596*(L596/10000)+L596),2)</f>
        <v>1774.17</v>
      </c>
      <c r="P596" s="87">
        <v>1</v>
      </c>
      <c r="Q596" s="71">
        <f>=J596-P596</f>
        <v>0</v>
      </c>
      <c r="R596" s="87">
        <v>1</v>
      </c>
      <c r="S596" s="112">
        <f>=P596-R596</f>
        <v>0</v>
      </c>
      <c r="T596" s="71">
        <f>=S596*L596</f>
        <v>0</v>
      </c>
      <c r="U596" s="190">
        <f>=J596-P596</f>
        <v>0</v>
      </c>
    </row>
    <row r="597" spans="1:21" s="270" customFormat="true" ht="15.75" customHeight="true">
      <c r="A597" s="80">
        <v>46111</v>
      </c>
      <c r="B597" s="71">
        <f>=TODAY()-A597+1</f>
        <v>114</v>
      </c>
      <c r="C597" s="80" t="s">
        <v>221</v>
      </c>
      <c r="D597" s="87" t="s">
        <v>220</v>
      </c>
      <c r="E597" s="247" t="s">
        <v>1393</v>
      </c>
      <c r="F597" s="87" t="s">
        <v>1333</v>
      </c>
      <c r="G597" s="83" t="s">
        <v>864</v>
      </c>
      <c r="H597" s="83" t="s">
        <v>422</v>
      </c>
      <c r="I597" s="258" t="s">
        <v>1394</v>
      </c>
      <c r="J597" s="258">
        <v>1</v>
      </c>
      <c r="L597" s="258">
        <v>1715</v>
      </c>
      <c r="M597" s="228">
        <f>=J597*L597</f>
        <v>1715</v>
      </c>
      <c r="N597">
        <v>3</v>
      </c>
      <c r="O597" s="189">
        <f>=ROUND(IF((TODAY()-A597+1)*N597*(L597/10000)+L597&lt;L597*1.002,L597*1.002,(TODAY()-A597+1)*N597*(L597/10000)+L597),2)</f>
        <v>1774.17</v>
      </c>
      <c r="P597" s="87">
        <v>1</v>
      </c>
      <c r="Q597" s="71">
        <f>=J597-P597</f>
        <v>0</v>
      </c>
      <c r="R597" s="87">
        <v>1</v>
      </c>
      <c r="S597" s="112">
        <f>=P597-R597</f>
        <v>0</v>
      </c>
      <c r="T597" s="71">
        <f>=S597*L597</f>
        <v>0</v>
      </c>
      <c r="U597" s="190">
        <f>=J597-P597</f>
        <v>0</v>
      </c>
    </row>
    <row r="598" spans="1:21" s="270" customFormat="true" ht="15.75" customHeight="true">
      <c r="A598" s="110">
        <v>46111</v>
      </c>
      <c r="B598" s="93">
        <f>=TODAY()-A598+1</f>
        <v>114</v>
      </c>
      <c r="C598" s="110" t="s">
        <v>221</v>
      </c>
      <c r="D598" s="258" t="s">
        <v>220</v>
      </c>
      <c r="E598" s="247" t="s">
        <v>1395</v>
      </c>
      <c r="F598" s="258" t="s">
        <v>1333</v>
      </c>
      <c r="G598" s="83" t="s">
        <v>895</v>
      </c>
      <c r="H598" s="83" t="s">
        <v>422</v>
      </c>
      <c r="I598" s="83" t="s">
        <v>1396</v>
      </c>
      <c r="J598" s="111">
        <v>1</v>
      </c>
      <c r="L598" s="111">
        <v>1435</v>
      </c>
      <c r="M598" s="228">
        <f>=J598*L598</f>
        <v>1435</v>
      </c>
      <c r="N598">
        <v>3</v>
      </c>
      <c r="O598" s="198">
        <f>=ROUND(IF((TODAY()-A598+1)*N598*(L598/10000)+L598&lt;L598*1.002,L598*1.002,(TODAY()-A598+1)*N598*(L598/10000)+L598),2)</f>
        <v>1484.51</v>
      </c>
      <c r="P598" s="111">
        <v>1</v>
      </c>
      <c r="Q598" s="93">
        <f>=J598-P598</f>
        <v>0</v>
      </c>
      <c r="R598" s="313">
        <v>1</v>
      </c>
      <c r="S598" s="217">
        <f>=P598-R598</f>
        <v>0</v>
      </c>
      <c r="T598" s="93">
        <f>=S598*L598</f>
        <v>0</v>
      </c>
      <c r="U598" s="190">
        <f>=J598-P598</f>
        <v>0</v>
      </c>
    </row>
    <row r="599" spans="1:21" s="270" customFormat="true" ht="15.75" customHeight="true">
      <c r="A599" s="110">
        <v>46111</v>
      </c>
      <c r="B599" s="93">
        <f>=TODAY()-A599+1</f>
        <v>114</v>
      </c>
      <c r="C599" s="110" t="s">
        <v>221</v>
      </c>
      <c r="D599" s="258" t="s">
        <v>220</v>
      </c>
      <c r="E599" s="247" t="s">
        <v>1397</v>
      </c>
      <c r="F599" s="258" t="s">
        <v>1333</v>
      </c>
      <c r="G599" s="241" t="s">
        <v>503</v>
      </c>
      <c r="H599" s="83" t="s">
        <v>422</v>
      </c>
      <c r="I599" s="83" t="s">
        <v>1398</v>
      </c>
      <c r="J599" s="111">
        <v>1</v>
      </c>
      <c r="L599" s="111">
        <v>1365</v>
      </c>
      <c r="M599" s="228">
        <f>=J599*L599</f>
        <v>1365</v>
      </c>
      <c r="N599">
        <v>3</v>
      </c>
      <c r="O599" s="198">
        <f>=ROUND(IF((TODAY()-A599+1)*N599*(L599/10000)+L599&lt;L599*1.002,L599*1.002,(TODAY()-A599+1)*N599*(L599/10000)+L599),2)</f>
        <v>1412.09</v>
      </c>
      <c r="P599" s="111">
        <v>1</v>
      </c>
      <c r="Q599" s="93">
        <f>=J599-P599</f>
        <v>0</v>
      </c>
      <c r="R599" s="313">
        <v>1</v>
      </c>
      <c r="S599" s="217">
        <f>=P599-R599</f>
        <v>0</v>
      </c>
      <c r="T599" s="93">
        <f>=S599*L599</f>
        <v>0</v>
      </c>
      <c r="U599" s="190">
        <f>=J599-P599</f>
        <v>0</v>
      </c>
    </row>
    <row r="600" spans="1:21" s="270" customFormat="true" ht="15.75" customHeight="true">
      <c r="A600" s="110">
        <v>46111</v>
      </c>
      <c r="B600" s="93">
        <f>=TODAY()-A600+1</f>
        <v>114</v>
      </c>
      <c r="C600" s="110" t="s">
        <v>221</v>
      </c>
      <c r="D600" s="258" t="s">
        <v>220</v>
      </c>
      <c r="E600" s="247" t="s">
        <v>1399</v>
      </c>
      <c r="F600" s="258" t="s">
        <v>1333</v>
      </c>
      <c r="G600" s="241" t="s">
        <v>503</v>
      </c>
      <c r="H600" s="83" t="s">
        <v>422</v>
      </c>
      <c r="I600" s="83" t="s">
        <v>1400</v>
      </c>
      <c r="J600" s="111">
        <v>1</v>
      </c>
      <c r="L600" s="111">
        <v>1365</v>
      </c>
      <c r="M600" s="228">
        <f>=J600*L600</f>
        <v>1365</v>
      </c>
      <c r="N600">
        <v>3</v>
      </c>
      <c r="O600" s="198">
        <f>=ROUND(IF((TODAY()-A600+1)*N600*(L600/10000)+L600&lt;L600*1.002,L600*1.002,(TODAY()-A600+1)*N600*(L600/10000)+L600),2)</f>
        <v>1412.09</v>
      </c>
      <c r="P600" s="111">
        <v>1</v>
      </c>
      <c r="Q600" s="93">
        <f>=J600-P600</f>
        <v>0</v>
      </c>
      <c r="R600" s="313">
        <v>1</v>
      </c>
      <c r="S600" s="217">
        <f>=P600-R600</f>
        <v>0</v>
      </c>
      <c r="T600" s="93">
        <f>=S600*L600</f>
        <v>0</v>
      </c>
      <c r="U600" s="190">
        <f>=J600-P600</f>
        <v>0</v>
      </c>
    </row>
    <row r="601" spans="1:21" s="270" customFormat="true" ht="15.75" customHeight="true">
      <c r="A601" s="110">
        <v>46111</v>
      </c>
      <c r="B601" s="93">
        <f>=TODAY()-A601+1</f>
        <v>114</v>
      </c>
      <c r="C601" s="110" t="s">
        <v>221</v>
      </c>
      <c r="D601" s="258" t="s">
        <v>220</v>
      </c>
      <c r="E601" s="247" t="s">
        <v>1401</v>
      </c>
      <c r="F601" s="258" t="s">
        <v>1333</v>
      </c>
      <c r="G601" s="241" t="s">
        <v>503</v>
      </c>
      <c r="H601" s="83" t="s">
        <v>422</v>
      </c>
      <c r="I601" s="83" t="s">
        <v>1402</v>
      </c>
      <c r="J601" s="111">
        <v>1</v>
      </c>
      <c r="L601" s="111">
        <v>1365</v>
      </c>
      <c r="M601" s="228">
        <f>=J601*L601</f>
        <v>1365</v>
      </c>
      <c r="N601">
        <v>3</v>
      </c>
      <c r="O601" s="198">
        <f>=ROUND(IF((TODAY()-A601+1)*N601*(L601/10000)+L601&lt;L601*1.002,L601*1.002,(TODAY()-A601+1)*N601*(L601/10000)+L601),2)</f>
        <v>1412.09</v>
      </c>
      <c r="P601" s="111">
        <v>1</v>
      </c>
      <c r="Q601" s="93">
        <f>=J601-P601</f>
        <v>0</v>
      </c>
      <c r="R601" s="313">
        <v>1</v>
      </c>
      <c r="S601" s="217">
        <f>=P601-R601</f>
        <v>0</v>
      </c>
      <c r="T601" s="93">
        <f>=S601*L601</f>
        <v>0</v>
      </c>
      <c r="U601" s="190">
        <f>=J601-P601</f>
        <v>0</v>
      </c>
    </row>
    <row r="602" spans="1:21" s="270" customFormat="true" ht="15.75" customHeight="true">
      <c r="A602" s="110">
        <v>46111</v>
      </c>
      <c r="B602" s="93">
        <f>=TODAY()-A602+1</f>
        <v>114</v>
      </c>
      <c r="C602" s="110" t="s">
        <v>221</v>
      </c>
      <c r="D602" s="258" t="s">
        <v>220</v>
      </c>
      <c r="E602" s="247" t="s">
        <v>1403</v>
      </c>
      <c r="F602" s="258" t="s">
        <v>1333</v>
      </c>
      <c r="G602" s="241" t="s">
        <v>503</v>
      </c>
      <c r="H602" s="83" t="s">
        <v>422</v>
      </c>
      <c r="I602" s="83" t="s">
        <v>1404</v>
      </c>
      <c r="J602" s="111">
        <v>1</v>
      </c>
      <c r="L602" s="111">
        <v>1785</v>
      </c>
      <c r="M602" s="228">
        <f>=J602*L602</f>
        <v>1785</v>
      </c>
      <c r="N602">
        <v>3</v>
      </c>
      <c r="O602" s="198">
        <f>=ROUND(IF((TODAY()-A602+1)*N602*(L602/10000)+L602&lt;L602*1.002,L602*1.002,(TODAY()-A602+1)*N602*(L602/10000)+L602),2)</f>
        <v>1846.58</v>
      </c>
      <c r="P602" s="111">
        <v>1</v>
      </c>
      <c r="Q602" s="93">
        <f>=J602-P602</f>
        <v>0</v>
      </c>
      <c r="R602" s="313">
        <v>1</v>
      </c>
      <c r="S602" s="217">
        <f>=P602-R602</f>
        <v>0</v>
      </c>
      <c r="T602" s="93">
        <f>=S602*L602</f>
        <v>0</v>
      </c>
      <c r="U602" s="190">
        <f>=J602-P602</f>
        <v>0</v>
      </c>
    </row>
    <row r="603" spans="1:21" s="270" customFormat="true" ht="15.75" customHeight="true">
      <c r="A603" s="110">
        <v>46111</v>
      </c>
      <c r="B603" s="93">
        <f>=TODAY()-A603+1</f>
        <v>114</v>
      </c>
      <c r="C603" s="110" t="s">
        <v>221</v>
      </c>
      <c r="D603" s="258" t="s">
        <v>220</v>
      </c>
      <c r="E603" s="247" t="s">
        <v>1405</v>
      </c>
      <c r="F603" s="258" t="s">
        <v>1333</v>
      </c>
      <c r="G603" s="241" t="s">
        <v>503</v>
      </c>
      <c r="H603" s="83" t="s">
        <v>422</v>
      </c>
      <c r="I603" s="83" t="s">
        <v>1406</v>
      </c>
      <c r="J603" s="111">
        <v>1</v>
      </c>
      <c r="L603" s="111">
        <v>1540</v>
      </c>
      <c r="M603" s="228">
        <f>=J603*L603</f>
        <v>1540</v>
      </c>
      <c r="N603">
        <v>3</v>
      </c>
      <c r="O603" s="198">
        <f>=ROUND(IF((TODAY()-A603+1)*N603*(L603/10000)+L603&lt;L603*1.002,L603*1.002,(TODAY()-A603+1)*N603*(L603/10000)+L603),2)</f>
        <v>1593.13</v>
      </c>
      <c r="P603" s="111">
        <v>1</v>
      </c>
      <c r="Q603" s="93">
        <f>=J603-P603</f>
        <v>0</v>
      </c>
      <c r="R603" s="313">
        <v>1</v>
      </c>
      <c r="S603" s="217">
        <f>=P603-R603</f>
        <v>0</v>
      </c>
      <c r="T603" s="93">
        <f>=S603*L603</f>
        <v>0</v>
      </c>
      <c r="U603" s="190">
        <f>=J603-P603</f>
        <v>0</v>
      </c>
    </row>
    <row r="604" spans="1:21" s="270" customFormat="true" ht="15.75" customHeight="true">
      <c r="A604" s="110">
        <v>46111</v>
      </c>
      <c r="B604" s="93">
        <f>=TODAY()-A604+1</f>
        <v>114</v>
      </c>
      <c r="C604" s="110" t="s">
        <v>221</v>
      </c>
      <c r="D604" s="258" t="s">
        <v>220</v>
      </c>
      <c r="E604" s="247" t="s">
        <v>1407</v>
      </c>
      <c r="F604" s="258" t="s">
        <v>1333</v>
      </c>
      <c r="G604" s="241" t="s">
        <v>503</v>
      </c>
      <c r="H604" s="83" t="s">
        <v>422</v>
      </c>
      <c r="I604" s="83" t="s">
        <v>1408</v>
      </c>
      <c r="J604" s="111">
        <v>1</v>
      </c>
      <c r="L604" s="111">
        <v>1820</v>
      </c>
      <c r="M604" s="228">
        <f>=J604*L604</f>
        <v>1820</v>
      </c>
      <c r="N604">
        <v>3</v>
      </c>
      <c r="O604" s="198">
        <f>=ROUND(IF((TODAY()-A604+1)*N604*(L604/10000)+L604&lt;L604*1.002,L604*1.002,(TODAY()-A604+1)*N604*(L604/10000)+L604),2)</f>
        <v>1882.79</v>
      </c>
      <c r="P604" s="111">
        <v>1</v>
      </c>
      <c r="Q604" s="93">
        <f>=J604-P604</f>
        <v>0</v>
      </c>
      <c r="R604" s="313">
        <v>1</v>
      </c>
      <c r="S604" s="217">
        <f>=P604-R604</f>
        <v>0</v>
      </c>
      <c r="T604" s="93">
        <f>=S604*L604</f>
        <v>0</v>
      </c>
      <c r="U604" s="190">
        <f>=J604-P604</f>
        <v>0</v>
      </c>
    </row>
    <row r="605" spans="1:21" s="270" customFormat="true" ht="15.75" customHeight="true">
      <c r="A605" s="110">
        <v>46111</v>
      </c>
      <c r="B605" s="93">
        <f>=TODAY()-A605+1</f>
        <v>114</v>
      </c>
      <c r="C605" s="110" t="s">
        <v>221</v>
      </c>
      <c r="D605" s="258" t="s">
        <v>220</v>
      </c>
      <c r="E605" s="247" t="s">
        <v>1409</v>
      </c>
      <c r="F605" s="258" t="s">
        <v>1333</v>
      </c>
      <c r="G605" s="241" t="s">
        <v>503</v>
      </c>
      <c r="H605" s="83" t="s">
        <v>422</v>
      </c>
      <c r="I605" s="83" t="s">
        <v>1410</v>
      </c>
      <c r="J605" s="111">
        <v>1</v>
      </c>
      <c r="L605" s="111">
        <v>1680</v>
      </c>
      <c r="M605" s="228">
        <f>=J605*L605</f>
        <v>1680</v>
      </c>
      <c r="N605">
        <v>3</v>
      </c>
      <c r="O605" s="198">
        <f>=ROUND(IF((TODAY()-A605+1)*N605*(L605/10000)+L605&lt;L605*1.002,L605*1.002,(TODAY()-A605+1)*N605*(L605/10000)+L605),2)</f>
        <v>1737.96</v>
      </c>
      <c r="P605" s="111">
        <v>1</v>
      </c>
      <c r="Q605" s="93">
        <f>=J605-P605</f>
        <v>0</v>
      </c>
      <c r="R605" s="313">
        <v>1</v>
      </c>
      <c r="S605" s="217">
        <f>=P605-R605</f>
        <v>0</v>
      </c>
      <c r="T605" s="93">
        <f>=S605*L605</f>
        <v>0</v>
      </c>
      <c r="U605" s="190">
        <f>=J605-P605</f>
        <v>0</v>
      </c>
    </row>
    <row r="606" spans="1:21" s="270" customFormat="true" ht="15.75" customHeight="true">
      <c r="A606" s="110">
        <v>46111</v>
      </c>
      <c r="B606" s="93">
        <f>=TODAY()-A606+1</f>
        <v>114</v>
      </c>
      <c r="C606" s="110" t="s">
        <v>221</v>
      </c>
      <c r="D606" s="258" t="s">
        <v>220</v>
      </c>
      <c r="E606" s="247" t="s">
        <v>1411</v>
      </c>
      <c r="F606" s="258" t="s">
        <v>1333</v>
      </c>
      <c r="G606" s="241" t="s">
        <v>503</v>
      </c>
      <c r="H606" s="83" t="s">
        <v>422</v>
      </c>
      <c r="I606" s="83" t="s">
        <v>1412</v>
      </c>
      <c r="J606" s="111">
        <v>1</v>
      </c>
      <c r="L606" s="111">
        <v>1995</v>
      </c>
      <c r="M606" s="228">
        <f>=J606*L606</f>
        <v>1995</v>
      </c>
      <c r="N606">
        <v>3</v>
      </c>
      <c r="O606" s="198">
        <f>=ROUND(IF((TODAY()-A606+1)*N606*(L606/10000)+L606&lt;L606*1.002,L606*1.002,(TODAY()-A606+1)*N606*(L606/10000)+L606),2)</f>
        <v>2063.83</v>
      </c>
      <c r="P606" s="111">
        <v>1</v>
      </c>
      <c r="Q606" s="93">
        <f>=J606-P606</f>
        <v>0</v>
      </c>
      <c r="R606" s="313">
        <v>1</v>
      </c>
      <c r="S606" s="217">
        <f>=P606-R606</f>
        <v>0</v>
      </c>
      <c r="T606" s="93">
        <f>=S606*L606</f>
        <v>0</v>
      </c>
      <c r="U606" s="190">
        <f>=J606-P606</f>
        <v>0</v>
      </c>
    </row>
    <row r="607" spans="1:21" s="270" customFormat="true" ht="15.75" customHeight="true">
      <c r="A607" s="110">
        <v>46111</v>
      </c>
      <c r="B607" s="93">
        <f>=TODAY()-A607+1</f>
        <v>114</v>
      </c>
      <c r="C607" s="110" t="s">
        <v>221</v>
      </c>
      <c r="D607" s="258" t="s">
        <v>220</v>
      </c>
      <c r="E607" s="247" t="s">
        <v>1413</v>
      </c>
      <c r="F607" s="258" t="s">
        <v>1333</v>
      </c>
      <c r="G607" s="241" t="s">
        <v>503</v>
      </c>
      <c r="H607" s="83" t="s">
        <v>422</v>
      </c>
      <c r="I607" s="83" t="s">
        <v>1414</v>
      </c>
      <c r="J607" s="111">
        <v>1</v>
      </c>
      <c r="L607" s="111">
        <v>1995</v>
      </c>
      <c r="M607" s="228">
        <f>=J607*L607</f>
        <v>1995</v>
      </c>
      <c r="N607">
        <v>3</v>
      </c>
      <c r="O607" s="198">
        <f>=ROUND(IF((TODAY()-A607+1)*N607*(L607/10000)+L607&lt;L607*1.002,L607*1.002,(TODAY()-A607+1)*N607*(L607/10000)+L607),2)</f>
        <v>2063.83</v>
      </c>
      <c r="P607" s="111">
        <v>1</v>
      </c>
      <c r="Q607" s="93">
        <f>=J607-P607</f>
        <v>0</v>
      </c>
      <c r="R607" s="313">
        <v>1</v>
      </c>
      <c r="S607" s="217">
        <f>=P607-R607</f>
        <v>0</v>
      </c>
      <c r="T607" s="93">
        <f>=S607*L607</f>
        <v>0</v>
      </c>
      <c r="U607" s="190">
        <f>=J607-P607</f>
        <v>0</v>
      </c>
    </row>
    <row r="608" spans="1:21" s="270" customFormat="true" ht="15.75" customHeight="true">
      <c r="A608" s="110">
        <v>46111</v>
      </c>
      <c r="B608" s="93">
        <f>=TODAY()-A608+1</f>
        <v>114</v>
      </c>
      <c r="C608" s="110" t="s">
        <v>221</v>
      </c>
      <c r="D608" s="258" t="s">
        <v>220</v>
      </c>
      <c r="E608" s="247" t="s">
        <v>1415</v>
      </c>
      <c r="F608" s="258" t="s">
        <v>1333</v>
      </c>
      <c r="G608" s="241" t="s">
        <v>503</v>
      </c>
      <c r="H608" s="83" t="s">
        <v>422</v>
      </c>
      <c r="I608" s="83" t="s">
        <v>1416</v>
      </c>
      <c r="J608" s="111">
        <v>1</v>
      </c>
      <c r="L608" s="111">
        <v>1995</v>
      </c>
      <c r="M608" s="228">
        <f>=J608*L608</f>
        <v>1995</v>
      </c>
      <c r="N608">
        <v>3</v>
      </c>
      <c r="O608" s="198">
        <f>=ROUND(IF((TODAY()-A608+1)*N608*(L608/10000)+L608&lt;L608*1.002,L608*1.002,(TODAY()-A608+1)*N608*(L608/10000)+L608),2)</f>
        <v>2063.83</v>
      </c>
      <c r="P608" s="111">
        <v>1</v>
      </c>
      <c r="Q608" s="93">
        <f>=J608-P608</f>
        <v>0</v>
      </c>
      <c r="R608" s="313">
        <v>1</v>
      </c>
      <c r="S608" s="217">
        <f>=P608-R608</f>
        <v>0</v>
      </c>
      <c r="T608" s="93">
        <f>=S608*L608</f>
        <v>0</v>
      </c>
      <c r="U608" s="190">
        <f>=J608-P608</f>
        <v>0</v>
      </c>
    </row>
    <row r="609" spans="1:21" s="270" customFormat="true" ht="15.75" customHeight="true">
      <c r="A609" s="110">
        <v>46111</v>
      </c>
      <c r="B609" s="93">
        <f>=TODAY()-A609+1</f>
        <v>114</v>
      </c>
      <c r="C609" s="110" t="s">
        <v>221</v>
      </c>
      <c r="D609" s="258" t="s">
        <v>220</v>
      </c>
      <c r="E609" s="247" t="s">
        <v>1417</v>
      </c>
      <c r="F609" s="258" t="s">
        <v>1333</v>
      </c>
      <c r="G609" s="83" t="s">
        <v>864</v>
      </c>
      <c r="H609" s="83" t="s">
        <v>422</v>
      </c>
      <c r="I609" s="83" t="s">
        <v>1418</v>
      </c>
      <c r="J609" s="111">
        <v>1</v>
      </c>
      <c r="L609" s="111">
        <v>2905</v>
      </c>
      <c r="M609" s="228">
        <f>=J609*L609</f>
        <v>2905</v>
      </c>
      <c r="N609">
        <v>3</v>
      </c>
      <c r="O609" s="198">
        <f>=ROUND(IF((TODAY()-A609+1)*N609*(L609/10000)+L609&lt;L609*1.002,L609*1.002,(TODAY()-A609+1)*N609*(L609/10000)+L609),2)</f>
        <v>3005.22</v>
      </c>
      <c r="P609" s="111">
        <v>1</v>
      </c>
      <c r="Q609" s="93">
        <f>=J609-P609</f>
        <v>0</v>
      </c>
      <c r="R609" s="313">
        <v>1</v>
      </c>
      <c r="S609" s="217">
        <f>=P609-R609</f>
        <v>0</v>
      </c>
      <c r="T609" s="93">
        <f>=S609*L609</f>
        <v>0</v>
      </c>
      <c r="U609" s="190">
        <f>=J609-P609</f>
        <v>0</v>
      </c>
    </row>
    <row r="610" spans="1:21" s="270" customFormat="true" ht="15.75" customHeight="true">
      <c r="A610" s="110">
        <v>46111</v>
      </c>
      <c r="B610" s="93">
        <f>=TODAY()-A610+1</f>
        <v>114</v>
      </c>
      <c r="C610" s="110" t="s">
        <v>221</v>
      </c>
      <c r="D610" s="258" t="s">
        <v>220</v>
      </c>
      <c r="E610" s="247" t="s">
        <v>1419</v>
      </c>
      <c r="F610" s="258" t="s">
        <v>1333</v>
      </c>
      <c r="G610" s="83" t="s">
        <v>864</v>
      </c>
      <c r="H610" s="83" t="s">
        <v>422</v>
      </c>
      <c r="I610" s="83" t="s">
        <v>1420</v>
      </c>
      <c r="J610" s="111">
        <v>1</v>
      </c>
      <c r="L610" s="111">
        <v>1785</v>
      </c>
      <c r="M610" s="228">
        <f>=J610*L610</f>
        <v>1785</v>
      </c>
      <c r="N610">
        <v>3</v>
      </c>
      <c r="O610" s="198">
        <f>=ROUND(IF((TODAY()-A610+1)*N610*(L610/10000)+L610&lt;L610*1.002,L610*1.002,(TODAY()-A610+1)*N610*(L610/10000)+L610),2)</f>
        <v>1846.58</v>
      </c>
      <c r="P610" s="111">
        <v>1</v>
      </c>
      <c r="Q610" s="93">
        <f>=J610-P610</f>
        <v>0</v>
      </c>
      <c r="R610" s="313">
        <v>1</v>
      </c>
      <c r="S610" s="217">
        <f>=P610-R610</f>
        <v>0</v>
      </c>
      <c r="T610" s="93">
        <f>=S610*L610</f>
        <v>0</v>
      </c>
      <c r="U610" s="190">
        <f>=J610-P610</f>
        <v>0</v>
      </c>
    </row>
    <row r="611" spans="1:21" s="270" customFormat="true" ht="15.75" customHeight="true">
      <c r="A611" s="110">
        <v>46111</v>
      </c>
      <c r="B611" s="93">
        <f>=TODAY()-A611+1</f>
        <v>114</v>
      </c>
      <c r="C611" s="222" t="s">
        <v>216</v>
      </c>
      <c r="D611" s="101" t="s">
        <v>215</v>
      </c>
      <c r="E611" s="316" t="s">
        <v>1421</v>
      </c>
      <c r="F611" s="268" t="s">
        <v>1422</v>
      </c>
      <c r="G611" s="258" t="s">
        <v>421</v>
      </c>
      <c r="H611" s="258" t="s">
        <v>470</v>
      </c>
      <c r="I611" s="258" t="s">
        <v>1015</v>
      </c>
      <c r="J611" s="258">
        <v>100</v>
      </c>
      <c r="L611" s="258">
        <v>3220</v>
      </c>
      <c r="M611" s="228">
        <f>=J611*L611</f>
        <v>322000</v>
      </c>
      <c r="N611" s="117">
        <v>2.5</v>
      </c>
      <c r="O611" s="198">
        <f>=ROUND(IF((TODAY()-A611+1)*N611*(L611/10000)+L611&lt;L611*1.002,L611*1.002,(TODAY()-A611+1)*N611*(L611/10000)+L611),2)</f>
        <v>3312.58</v>
      </c>
      <c r="P611" s="258">
        <v>100</v>
      </c>
      <c r="Q611" s="93">
        <f>=J611-P611</f>
        <v>0</v>
      </c>
      <c r="R611" s="270">
        <v>100</v>
      </c>
      <c r="S611" s="217">
        <f>=P611-R611</f>
        <v>0</v>
      </c>
      <c r="T611" s="93">
        <f>=S611*L611</f>
        <v>0</v>
      </c>
      <c r="U611" s="190">
        <f>=J611-P611</f>
        <v>0</v>
      </c>
    </row>
    <row r="612" spans="1:21" s="270" customFormat="true" ht="15.75" customHeight="true">
      <c r="A612" s="110">
        <v>46111</v>
      </c>
      <c r="B612" s="93">
        <f>=TODAY()-A612+1</f>
        <v>114</v>
      </c>
      <c r="C612" s="102" t="s">
        <v>216</v>
      </c>
      <c r="D612" s="93" t="s">
        <v>215</v>
      </c>
      <c r="E612" s="316" t="s">
        <v>1423</v>
      </c>
      <c r="F612" s="268" t="s">
        <v>1422</v>
      </c>
      <c r="G612" s="258" t="s">
        <v>421</v>
      </c>
      <c r="H612" s="258" t="s">
        <v>470</v>
      </c>
      <c r="I612" s="258" t="s">
        <v>1424</v>
      </c>
      <c r="J612" s="87">
        <v>100</v>
      </c>
      <c r="L612" s="258">
        <v>2800</v>
      </c>
      <c r="M612" s="228">
        <f>=J612*L612</f>
        <v>280000</v>
      </c>
      <c r="N612" s="243">
        <v>2.5</v>
      </c>
      <c r="O612" s="198">
        <f>=ROUND(IF((TODAY()-A612+1)*N612*(L612/10000)+L612&lt;L612*1.002,L612*1.002,(TODAY()-A612+1)*N612*(L612/10000)+L612),2)</f>
        <v>2880.5</v>
      </c>
      <c r="P612" s="87">
        <v>100</v>
      </c>
      <c r="Q612" s="93">
        <f>=J612-P612</f>
        <v>0</v>
      </c>
      <c r="R612" s="270">
        <v>100</v>
      </c>
      <c r="S612" s="217">
        <f>=P612-R612</f>
        <v>0</v>
      </c>
      <c r="T612" s="93">
        <f>=S612*L612</f>
        <v>0</v>
      </c>
      <c r="U612" s="190">
        <f>=J612-P612</f>
        <v>0</v>
      </c>
    </row>
    <row r="613" spans="1:21" s="270" customFormat="true" ht="15.75" customHeight="true">
      <c r="A613" s="110">
        <v>46111</v>
      </c>
      <c r="B613" s="93">
        <f>=TODAY()-A613+1</f>
        <v>114</v>
      </c>
      <c r="C613" s="102" t="s">
        <v>216</v>
      </c>
      <c r="D613" s="93" t="s">
        <v>215</v>
      </c>
      <c r="E613" s="316" t="s">
        <v>1425</v>
      </c>
      <c r="F613" s="258" t="s">
        <v>1426</v>
      </c>
      <c r="G613" s="258" t="s">
        <v>421</v>
      </c>
      <c r="H613" s="258" t="s">
        <v>470</v>
      </c>
      <c r="I613" s="258" t="s">
        <v>1290</v>
      </c>
      <c r="J613" s="258">
        <v>150</v>
      </c>
      <c r="L613" s="258">
        <v>2800</v>
      </c>
      <c r="M613" s="228">
        <f>=J613*L613</f>
        <v>420000</v>
      </c>
      <c r="N613" s="310">
        <v>2.5</v>
      </c>
      <c r="O613" s="198">
        <f>=ROUND(IF((TODAY()-A613+1)*N613*(L613/10000)+L613&lt;L613*1.002,L613*1.002,(TODAY()-A613+1)*N613*(L613/10000)+L613),2)</f>
        <v>2880.5</v>
      </c>
      <c r="P613" s="258">
        <v>150</v>
      </c>
      <c r="Q613" s="93">
        <f>=J613-P613</f>
        <v>0</v>
      </c>
      <c r="R613" s="270">
        <v>150</v>
      </c>
      <c r="S613" s="217">
        <f>=P613-R613</f>
        <v>0</v>
      </c>
      <c r="T613" s="93">
        <f>=S613*L613</f>
        <v>0</v>
      </c>
      <c r="U613" s="190">
        <f>=J613-P613</f>
        <v>0</v>
      </c>
    </row>
    <row r="614" spans="1:21" ht="15.75" customHeight="true">
      <c r="A614" s="80">
        <v>46112</v>
      </c>
      <c r="B614" s="71">
        <f>=TODAY()-A614+1</f>
        <v>118</v>
      </c>
      <c r="C614" s="98" t="s">
        <v>219</v>
      </c>
      <c r="D614" t="s">
        <v>217</v>
      </c>
      <c r="E614" s="160" t="s">
        <v>1427</v>
      </c>
      <c r="F614" t="s">
        <v>1428</v>
      </c>
      <c r="G614" s="62" t="s">
        <v>421</v>
      </c>
      <c r="H614" s="62" t="s">
        <v>422</v>
      </c>
      <c r="I614" s="62" t="s">
        <v>1429</v>
      </c>
      <c r="J614" s="62">
        <v>170</v>
      </c>
      <c r="L614" s="62">
        <v>4640</v>
      </c>
      <c r="M614" s="217">
        <f>=J614*L614</f>
        <v>788800</v>
      </c>
      <c r="N614" s="97">
        <v>2.5</v>
      </c>
      <c r="O614" s="189">
        <f>=ROUND(IF((TODAY()-A614+1)*N614*(L614/10000)+L614&lt;L614*1.002,L614*1.002,(TODAY()-A614+1)*N614*(L614/10000)+L614),2)</f>
        <v>4776.88</v>
      </c>
      <c r="P614" s="62">
        <v>170</v>
      </c>
      <c r="Q614" s="71">
        <f>=J614-P614</f>
        <v>0</v>
      </c>
      <c r="R614">
        <v>102</v>
      </c>
      <c r="S614" s="112">
        <f>=P614-R614</f>
        <v>68</v>
      </c>
      <c r="T614" s="71">
        <f>=S614*L614</f>
        <v>315520</v>
      </c>
      <c r="U614" s="190">
        <f>=J614-P614</f>
        <v>0</v>
      </c>
    </row>
    <row r="615" spans="1:21" ht="15.75" customHeight="true">
      <c r="A615" s="80">
        <v>46112</v>
      </c>
      <c r="B615" s="71">
        <f>=TODAY()-A615+1</f>
        <v>113</v>
      </c>
      <c r="C615" s="98" t="s">
        <v>219</v>
      </c>
      <c r="D615" t="s">
        <v>217</v>
      </c>
      <c r="E615" s="247" t="s">
        <v>1430</v>
      </c>
      <c r="F615" t="s">
        <v>1428</v>
      </c>
      <c r="G615" s="317" t="s">
        <v>864</v>
      </c>
      <c r="H615" s="317" t="s">
        <v>422</v>
      </c>
      <c r="I615" s="317" t="s">
        <v>1431</v>
      </c>
      <c r="J615">
        <v>16</v>
      </c>
      <c r="L615">
        <v>1540</v>
      </c>
      <c r="M615" s="217">
        <f>=J615*L615</f>
        <v>24640</v>
      </c>
      <c r="N615" s="97">
        <v>2.5</v>
      </c>
      <c r="O615" s="189">
        <f>=ROUND(IF((TODAY()-A615+1)*N615*(L615/10000)+L615&lt;L615*1.002,L615*1.002,(TODAY()-A615+1)*N615*(L615/10000)+L615),2)</f>
        <v>1583.89</v>
      </c>
      <c r="P615">
        <v>16</v>
      </c>
      <c r="Q615" s="71">
        <f>=J615-P615</f>
        <v>0</v>
      </c>
      <c r="R615">
        <v>16</v>
      </c>
      <c r="S615" s="112">
        <f>=P615-R615</f>
        <v>0</v>
      </c>
      <c r="T615" s="71">
        <f>=S615*L615</f>
        <v>0</v>
      </c>
      <c r="U615" s="190">
        <f>=J615-P615</f>
        <v>0</v>
      </c>
    </row>
    <row r="616" spans="1:21" ht="15.75" customHeight="true">
      <c r="A616" s="110">
        <v>46111</v>
      </c>
      <c r="B616" s="93">
        <f>=TODAY()-A616+1</f>
        <v>114</v>
      </c>
      <c r="C616" s="93" t="s">
        <v>214</v>
      </c>
      <c r="D616" s="94" t="s">
        <v>201</v>
      </c>
      <c r="E616" s="136" t="s">
        <v>1432</v>
      </c>
      <c r="F616" s="242" t="s">
        <v>1168</v>
      </c>
      <c r="G616" s="62" t="s">
        <v>421</v>
      </c>
      <c r="H616" s="62" t="s">
        <v>422</v>
      </c>
      <c r="I616" t="s">
        <v>1169</v>
      </c>
      <c r="J616">
        <v>1600</v>
      </c>
      <c r="L616">
        <v>7800</v>
      </c>
      <c r="M616" s="217">
        <f>=J616*L616</f>
        <v>12480000</v>
      </c>
      <c r="N616" s="93">
        <v>2.3</v>
      </c>
      <c r="O616" s="198">
        <f>=ROUND(IF((TODAY()-A616+1)*N616*(L616/10000)+L616&lt;L616*1.002,L616*1.002,(TODAY()-A616+1)*N616*(L616/10000)+L616),2)</f>
        <v>8006.31</v>
      </c>
      <c r="P616">
        <v>1600</v>
      </c>
      <c r="Q616" s="93">
        <f>=J616-P616</f>
        <v>0</v>
      </c>
      <c r="R616">
        <v>1600</v>
      </c>
      <c r="S616" s="217">
        <f>=P616-R616</f>
        <v>0</v>
      </c>
      <c r="T616" s="93">
        <f>=S616*L616</f>
        <v>0</v>
      </c>
      <c r="U616" s="190">
        <f>=J616-P616</f>
        <v>0</v>
      </c>
    </row>
    <row r="617" spans="1:21" ht="15.75" customHeight="true">
      <c r="A617" s="110">
        <v>46111</v>
      </c>
      <c r="B617" s="93">
        <f>=TODAY()-A617+1</f>
        <v>114</v>
      </c>
      <c r="C617" s="93" t="s">
        <v>214</v>
      </c>
      <c r="D617" s="94" t="s">
        <v>201</v>
      </c>
      <c r="E617" s="136" t="s">
        <v>1433</v>
      </c>
      <c r="F617" s="242" t="s">
        <v>1168</v>
      </c>
      <c r="G617" s="62" t="s">
        <v>421</v>
      </c>
      <c r="H617" s="62" t="s">
        <v>422</v>
      </c>
      <c r="I617" t="s">
        <v>1171</v>
      </c>
      <c r="J617">
        <v>800</v>
      </c>
      <c r="L617">
        <v>7800</v>
      </c>
      <c r="M617" s="217">
        <f>=J617*L617</f>
        <v>6240000</v>
      </c>
      <c r="N617" s="93">
        <v>2.3</v>
      </c>
      <c r="O617" s="198">
        <f>=ROUND(IF((TODAY()-A617+1)*N617*(L617/10000)+L617&lt;L617*1.002,L617*1.002,(TODAY()-A617+1)*N617*(L617/10000)+L617),2)</f>
        <v>8006.31</v>
      </c>
      <c r="P617">
        <v>800</v>
      </c>
      <c r="Q617" s="93">
        <f>=J617-P617</f>
        <v>0</v>
      </c>
      <c r="R617">
        <v>800</v>
      </c>
      <c r="S617" s="217">
        <f>=P617-R617</f>
        <v>0</v>
      </c>
      <c r="T617" s="93">
        <f>=S617*L617</f>
        <v>0</v>
      </c>
      <c r="U617" s="190">
        <f>=J617-P617</f>
        <v>0</v>
      </c>
    </row>
    <row r="618" spans="1:21" ht="15.75" customHeight="true">
      <c r="A618" s="110">
        <v>46111</v>
      </c>
      <c r="B618" s="93">
        <f>=TODAY()-A618+1</f>
        <v>114</v>
      </c>
      <c r="C618" s="93" t="s">
        <v>214</v>
      </c>
      <c r="D618" s="94" t="s">
        <v>201</v>
      </c>
      <c r="E618" s="136" t="s">
        <v>1434</v>
      </c>
      <c r="F618" s="242" t="s">
        <v>1168</v>
      </c>
      <c r="G618" s="62" t="s">
        <v>421</v>
      </c>
      <c r="H618" s="62" t="s">
        <v>422</v>
      </c>
      <c r="I618" t="s">
        <v>1173</v>
      </c>
      <c r="J618">
        <v>300</v>
      </c>
      <c r="L618">
        <v>7800</v>
      </c>
      <c r="M618" s="217">
        <f>=J618*L618</f>
        <v>2340000</v>
      </c>
      <c r="N618" s="93">
        <v>2.3</v>
      </c>
      <c r="O618" s="198">
        <f>=ROUND(IF((TODAY()-A618+1)*N618*(L618/10000)+L618&lt;L618*1.002,L618*1.002,(TODAY()-A618+1)*N618*(L618/10000)+L618),2)</f>
        <v>8006.31</v>
      </c>
      <c r="P618">
        <v>300</v>
      </c>
      <c r="Q618" s="93">
        <f>=J618-P618</f>
        <v>0</v>
      </c>
      <c r="R618">
        <v>300</v>
      </c>
      <c r="S618" s="217">
        <f>=P618-R618</f>
        <v>0</v>
      </c>
      <c r="T618" s="93">
        <f>=S618*L618</f>
        <v>0</v>
      </c>
      <c r="U618" s="190">
        <f>=J618-P618</f>
        <v>0</v>
      </c>
    </row>
    <row r="619" spans="1:21" ht="15.75" customHeight="true">
      <c r="A619" s="80">
        <v>46112</v>
      </c>
      <c r="B619" s="71">
        <f>=TODAY()-A619+1</f>
        <v>113</v>
      </c>
      <c r="C619" s="98" t="s">
        <v>219</v>
      </c>
      <c r="D619" t="s">
        <v>217</v>
      </c>
      <c r="E619" s="247" t="s">
        <v>1435</v>
      </c>
      <c r="F619" s="87" t="s">
        <v>1428</v>
      </c>
      <c r="G619" s="83" t="s">
        <v>864</v>
      </c>
      <c r="H619" s="83" t="s">
        <v>422</v>
      </c>
      <c r="I619" s="317" t="s">
        <v>1436</v>
      </c>
      <c r="J619" s="318">
        <v>14</v>
      </c>
      <c r="L619" s="258">
        <v>1995</v>
      </c>
      <c r="M619" s="228">
        <f>=J619*L619</f>
        <v>27930</v>
      </c>
      <c r="N619" s="97">
        <v>2.5</v>
      </c>
      <c r="O619" s="189">
        <f>=ROUND(IF((TODAY()-A619+1)*N619*(L619/10000)+L619&lt;L619*1.002,L619*1.002,(TODAY()-A619+1)*N619*(L619/10000)+L619),2)</f>
        <v>2051.86</v>
      </c>
      <c r="P619" s="87">
        <v>14</v>
      </c>
      <c r="Q619" s="71">
        <f>=J619-P619</f>
        <v>0</v>
      </c>
      <c r="R619" s="87">
        <v>14</v>
      </c>
      <c r="S619" s="112">
        <f>=P619-R619</f>
        <v>0</v>
      </c>
      <c r="T619" s="71">
        <f>=S619*L619</f>
        <v>0</v>
      </c>
      <c r="U619" s="190">
        <f>=J619-P619</f>
        <v>0</v>
      </c>
    </row>
    <row r="620" spans="1:21" ht="15.75" customHeight="true">
      <c r="A620" s="80">
        <v>46112</v>
      </c>
      <c r="B620" s="71">
        <f>=TODAY()-A620+1</f>
        <v>113</v>
      </c>
      <c r="C620" s="98" t="s">
        <v>219</v>
      </c>
      <c r="D620" t="s">
        <v>217</v>
      </c>
      <c r="E620" s="247" t="s">
        <v>1437</v>
      </c>
      <c r="F620" t="s">
        <v>1428</v>
      </c>
      <c r="G620" s="62" t="s">
        <v>1438</v>
      </c>
      <c r="H620" s="62" t="s">
        <v>422</v>
      </c>
      <c r="I620" s="62" t="s">
        <v>1439</v>
      </c>
      <c r="J620" s="62">
        <v>13</v>
      </c>
      <c r="L620" s="62">
        <v>1645</v>
      </c>
      <c r="M620" s="217">
        <f>=J620*L620</f>
        <v>21385</v>
      </c>
      <c r="N620" s="97">
        <v>2.5</v>
      </c>
      <c r="O620" s="189">
        <f>=ROUND(IF((TODAY()-A620+1)*N620*(L620/10000)+L620&lt;L620*1.002,L620*1.002,(TODAY()-A620+1)*N620*(L620/10000)+L620),2)</f>
        <v>1691.88</v>
      </c>
      <c r="P620" s="62">
        <v>13</v>
      </c>
      <c r="Q620" s="71">
        <f>=J620-P620</f>
        <v>0</v>
      </c>
      <c r="R620" s="62">
        <v>13</v>
      </c>
      <c r="S620" s="112">
        <f>=P620-R620</f>
        <v>0</v>
      </c>
      <c r="T620" s="71">
        <f>=S620*L620</f>
        <v>0</v>
      </c>
      <c r="U620" s="190">
        <f>=J620-P620</f>
        <v>0</v>
      </c>
    </row>
    <row r="621" spans="1:21" ht="15.75" customHeight="true">
      <c r="A621" s="80">
        <v>46112</v>
      </c>
      <c r="B621" s="71">
        <f>=TODAY()-A621+1</f>
        <v>113</v>
      </c>
      <c r="C621" s="98" t="s">
        <v>219</v>
      </c>
      <c r="D621" t="s">
        <v>217</v>
      </c>
      <c r="E621" s="247" t="s">
        <v>1440</v>
      </c>
      <c r="F621" t="s">
        <v>1428</v>
      </c>
      <c r="G621" s="62" t="s">
        <v>895</v>
      </c>
      <c r="H621" s="62" t="s">
        <v>422</v>
      </c>
      <c r="I621" s="62" t="s">
        <v>1441</v>
      </c>
      <c r="J621" s="62">
        <v>10</v>
      </c>
      <c r="K621" s="62" t="s"/>
      <c r="L621">
        <v>1155</v>
      </c>
      <c r="M621" s="217">
        <f>=J621*L621</f>
        <v>11550</v>
      </c>
      <c r="N621" s="97">
        <v>2.5</v>
      </c>
      <c r="O621" s="189">
        <f>=ROUND(IF((TODAY()-A621+1)*N621*(L621/10000)+L621&lt;L621*1.002,L621*1.002,(TODAY()-A621+1)*N621*(L621/10000)+L621),2)</f>
        <v>1187.92</v>
      </c>
      <c r="P621" s="62">
        <v>10</v>
      </c>
      <c r="Q621" s="71">
        <f>=J621-P621</f>
        <v>0</v>
      </c>
      <c r="R621" s="62">
        <v>10</v>
      </c>
      <c r="S621" s="112">
        <f>=P621-R621</f>
        <v>0</v>
      </c>
      <c r="T621" s="71">
        <f>=S621*L621</f>
        <v>0</v>
      </c>
      <c r="U621" s="190">
        <f>=J621-P621</f>
        <v>0</v>
      </c>
    </row>
    <row r="622" spans="1:21" ht="15.75" customHeight="true">
      <c r="A622" s="80">
        <v>46112</v>
      </c>
      <c r="B622" s="71">
        <f>=TODAY()-A622+1</f>
        <v>113</v>
      </c>
      <c r="C622" s="98" t="s">
        <v>219</v>
      </c>
      <c r="D622" t="s">
        <v>217</v>
      </c>
      <c r="E622" s="247" t="s">
        <v>1442</v>
      </c>
      <c r="F622" t="s">
        <v>1428</v>
      </c>
      <c r="G622" s="62" t="s">
        <v>895</v>
      </c>
      <c r="H622" s="62" t="s">
        <v>422</v>
      </c>
      <c r="I622" t="s">
        <v>1443</v>
      </c>
      <c r="J622">
        <v>9</v>
      </c>
      <c r="L622">
        <v>840</v>
      </c>
      <c r="M622" s="217">
        <f>=J622*L622</f>
        <v>7560</v>
      </c>
      <c r="N622" s="97">
        <v>2.5</v>
      </c>
      <c r="O622" s="189">
        <f>=ROUND(IF((TODAY()-A622+1)*N622*(L622/10000)+L622&lt;L622*1.002,L622*1.002,(TODAY()-A622+1)*N622*(L622/10000)+L622),2)</f>
        <v>863.94</v>
      </c>
      <c r="P622">
        <v>9</v>
      </c>
      <c r="Q622" s="71">
        <f>=J622-P622</f>
        <v>0</v>
      </c>
      <c r="R622">
        <v>9</v>
      </c>
      <c r="S622" s="112">
        <f>=P622-R622</f>
        <v>0</v>
      </c>
      <c r="T622" s="71">
        <f>=S622*L622</f>
        <v>0</v>
      </c>
      <c r="U622" s="190">
        <f>=J622-P622</f>
        <v>0</v>
      </c>
    </row>
    <row r="623" spans="1:21" ht="15.75" customHeight="true">
      <c r="A623" s="110">
        <v>46112</v>
      </c>
      <c r="B623" s="71">
        <f>=TODAY()-A623+1</f>
        <v>113</v>
      </c>
      <c r="C623" s="98" t="s">
        <v>219</v>
      </c>
      <c r="D623" t="s">
        <v>217</v>
      </c>
      <c r="E623" s="247" t="s">
        <v>1444</v>
      </c>
      <c r="F623" t="s">
        <v>1428</v>
      </c>
      <c r="G623" s="108" t="s">
        <v>503</v>
      </c>
      <c r="H623" s="64" t="s">
        <v>422</v>
      </c>
      <c r="I623" s="62" t="s">
        <v>1355</v>
      </c>
      <c r="J623" s="62">
        <v>8</v>
      </c>
      <c r="L623" s="62">
        <v>1960</v>
      </c>
      <c r="M623" s="217">
        <f>=J623*L623</f>
        <v>15680</v>
      </c>
      <c r="N623" s="97">
        <v>2.5</v>
      </c>
      <c r="O623" s="189">
        <f>=ROUND(IF((TODAY()-A623+1)*N623*(L623/10000)+L623&lt;L623*1.002,L623*1.002,(TODAY()-A623+1)*N623*(L623/10000)+L623),2)</f>
        <v>2015.86</v>
      </c>
      <c r="P623" s="62">
        <v>8</v>
      </c>
      <c r="Q623" s="71">
        <f>=J623-P623</f>
        <v>0</v>
      </c>
      <c r="R623" s="62">
        <v>8</v>
      </c>
      <c r="S623" s="112">
        <f>=P623-R623</f>
        <v>0</v>
      </c>
      <c r="T623" s="71">
        <f>=S623*L623</f>
        <v>0</v>
      </c>
      <c r="U623" s="190">
        <f>=J623-P623</f>
        <v>0</v>
      </c>
    </row>
    <row r="624" spans="1:21" ht="15.75" customHeight="true">
      <c r="A624" s="80">
        <v>46112</v>
      </c>
      <c r="B624" s="71">
        <f>=TODAY()-A624+1</f>
        <v>113</v>
      </c>
      <c r="C624" s="98" t="s">
        <v>219</v>
      </c>
      <c r="D624" t="s">
        <v>217</v>
      </c>
      <c r="E624" s="247" t="s">
        <v>1445</v>
      </c>
      <c r="F624" t="s">
        <v>1428</v>
      </c>
      <c r="G624" s="64" t="s">
        <v>864</v>
      </c>
      <c r="H624" s="64" t="s">
        <v>422</v>
      </c>
      <c r="I624" t="s">
        <v>1446</v>
      </c>
      <c r="J624">
        <v>7</v>
      </c>
      <c r="L624">
        <v>2520</v>
      </c>
      <c r="M624" s="217">
        <f>=J624*L624</f>
        <v>17640</v>
      </c>
      <c r="N624" s="97">
        <v>2.5</v>
      </c>
      <c r="O624" s="189">
        <f>=ROUND(IF((TODAY()-A624+1)*N624*(L624/10000)+L624&lt;L624*1.002,L624*1.002,(TODAY()-A624+1)*N624*(L624/10000)+L624),2)</f>
        <v>2591.82</v>
      </c>
      <c r="P624">
        <v>7</v>
      </c>
      <c r="Q624" s="71">
        <f>=J624-P624</f>
        <v>0</v>
      </c>
      <c r="R624">
        <v>7</v>
      </c>
      <c r="S624" s="112">
        <f>=P624-R624</f>
        <v>0</v>
      </c>
      <c r="T624" s="71">
        <f>=S624*L624</f>
        <v>0</v>
      </c>
      <c r="U624" s="190">
        <f>=J624-P624</f>
        <v>0</v>
      </c>
    </row>
    <row r="625" spans="1:21" ht="15.75" customHeight="true">
      <c r="A625" s="110">
        <v>46112</v>
      </c>
      <c r="B625" s="71">
        <f>=TODAY()-A625+1</f>
        <v>113</v>
      </c>
      <c r="C625" s="98" t="s">
        <v>219</v>
      </c>
      <c r="D625" t="s">
        <v>217</v>
      </c>
      <c r="E625" s="247" t="s">
        <v>1447</v>
      </c>
      <c r="F625" t="s">
        <v>1428</v>
      </c>
      <c r="G625" s="108" t="s">
        <v>503</v>
      </c>
      <c r="H625" s="64" t="s">
        <v>422</v>
      </c>
      <c r="I625" s="62" t="s">
        <v>1448</v>
      </c>
      <c r="J625" s="62">
        <v>7</v>
      </c>
      <c r="L625" s="62">
        <v>3150</v>
      </c>
      <c r="M625" s="217">
        <f>=J625*L625</f>
        <v>22050</v>
      </c>
      <c r="N625" s="97">
        <v>2.5</v>
      </c>
      <c r="O625" s="189">
        <f>=ROUND(IF((TODAY()-A625+1)*N625*(L625/10000)+L625&lt;L625*1.002,L625*1.002,(TODAY()-A625+1)*N625*(L625/10000)+L625),2)</f>
        <v>3239.78</v>
      </c>
      <c r="P625" s="62">
        <v>7</v>
      </c>
      <c r="Q625" s="71">
        <f>=J625-P625</f>
        <v>0</v>
      </c>
      <c r="R625" s="62">
        <v>7</v>
      </c>
      <c r="S625" s="112">
        <f>=P625-R625</f>
        <v>0</v>
      </c>
      <c r="T625" s="71">
        <f>=S625*L625</f>
        <v>0</v>
      </c>
      <c r="U625" s="190">
        <f>=J625-P625</f>
        <v>0</v>
      </c>
    </row>
    <row r="626" spans="1:21" ht="15.75" customHeight="true">
      <c r="A626" s="110">
        <v>46112</v>
      </c>
      <c r="B626" s="71">
        <f>=TODAY()-A626+1</f>
        <v>113</v>
      </c>
      <c r="C626" s="98" t="s">
        <v>219</v>
      </c>
      <c r="D626" t="s">
        <v>217</v>
      </c>
      <c r="E626" s="247" t="s">
        <v>1449</v>
      </c>
      <c r="F626" t="s">
        <v>1428</v>
      </c>
      <c r="G626" s="108" t="s">
        <v>503</v>
      </c>
      <c r="H626" s="64" t="s">
        <v>422</v>
      </c>
      <c r="I626" s="62" t="s">
        <v>1450</v>
      </c>
      <c r="J626" s="62">
        <v>7</v>
      </c>
      <c r="L626" s="62">
        <v>1365</v>
      </c>
      <c r="M626" s="217">
        <f>=J626*L626</f>
        <v>9555</v>
      </c>
      <c r="N626" s="97">
        <v>2.5</v>
      </c>
      <c r="O626" s="189">
        <f>=ROUND(IF((TODAY()-A626+1)*N626*(L626/10000)+L626&lt;L626*1.002,L626*1.002,(TODAY()-A626+1)*N626*(L626/10000)+L626),2)</f>
        <v>1403.9</v>
      </c>
      <c r="P626" s="62">
        <v>7</v>
      </c>
      <c r="Q626" s="71">
        <f>=J626-P626</f>
        <v>0</v>
      </c>
      <c r="R626" s="62">
        <v>7</v>
      </c>
      <c r="S626" s="112">
        <f>=P626-R626</f>
        <v>0</v>
      </c>
      <c r="T626" s="71">
        <f>=S626*L626</f>
        <v>0</v>
      </c>
      <c r="U626" s="190">
        <f>=J626-P626</f>
        <v>0</v>
      </c>
    </row>
    <row r="627" spans="1:21" ht="15.75" customHeight="true">
      <c r="A627" s="110">
        <v>46112</v>
      </c>
      <c r="B627" s="71">
        <f>=TODAY()-A627+1</f>
        <v>113</v>
      </c>
      <c r="C627" s="98" t="s">
        <v>219</v>
      </c>
      <c r="D627" t="s">
        <v>217</v>
      </c>
      <c r="E627" s="247" t="s">
        <v>1451</v>
      </c>
      <c r="F627" t="s">
        <v>1428</v>
      </c>
      <c r="G627" s="108" t="s">
        <v>503</v>
      </c>
      <c r="H627" s="64" t="s">
        <v>422</v>
      </c>
      <c r="I627" s="62" t="s">
        <v>1452</v>
      </c>
      <c r="J627" s="62">
        <v>7</v>
      </c>
      <c r="L627" s="62">
        <v>1540</v>
      </c>
      <c r="M627" s="217">
        <f>=J627*L627</f>
        <v>10780</v>
      </c>
      <c r="N627" s="97">
        <v>2.5</v>
      </c>
      <c r="O627" s="189">
        <f>=ROUND(IF((TODAY()-A627+1)*N627*(L627/10000)+L627&lt;L627*1.002,L627*1.002,(TODAY()-A627+1)*N627*(L627/10000)+L627),2)</f>
        <v>1583.89</v>
      </c>
      <c r="P627" s="62">
        <v>7</v>
      </c>
      <c r="Q627" s="71">
        <f>=J627-P627</f>
        <v>0</v>
      </c>
      <c r="R627" s="62">
        <v>7</v>
      </c>
      <c r="S627" s="112">
        <f>=P627-R627</f>
        <v>0</v>
      </c>
      <c r="T627" s="71">
        <f>=S627*L627</f>
        <v>0</v>
      </c>
      <c r="U627" s="190">
        <f>=J627-P627</f>
        <v>0</v>
      </c>
    </row>
    <row r="628" spans="1:21" ht="15.75" customHeight="true">
      <c r="A628" s="110">
        <v>46112</v>
      </c>
      <c r="B628" s="71">
        <f>=TODAY()-A628+1</f>
        <v>113</v>
      </c>
      <c r="C628" s="98" t="s">
        <v>219</v>
      </c>
      <c r="D628" t="s">
        <v>217</v>
      </c>
      <c r="E628" s="247" t="s">
        <v>1453</v>
      </c>
      <c r="F628" t="s">
        <v>1428</v>
      </c>
      <c r="G628" s="108" t="s">
        <v>503</v>
      </c>
      <c r="H628" s="64" t="s">
        <v>422</v>
      </c>
      <c r="I628" s="62" t="s">
        <v>1454</v>
      </c>
      <c r="J628" s="62">
        <v>6</v>
      </c>
      <c r="L628" s="62">
        <v>3150</v>
      </c>
      <c r="M628" s="217">
        <f>=J628*L628</f>
        <v>18900</v>
      </c>
      <c r="N628" s="97">
        <v>2.5</v>
      </c>
      <c r="O628" s="189">
        <f>=ROUND(IF((TODAY()-A628+1)*N628*(L628/10000)+L628&lt;L628*1.002,L628*1.002,(TODAY()-A628+1)*N628*(L628/10000)+L628),2)</f>
        <v>3239.78</v>
      </c>
      <c r="P628" s="62">
        <v>6</v>
      </c>
      <c r="Q628" s="71">
        <f>=J628-P628</f>
        <v>0</v>
      </c>
      <c r="R628" s="62">
        <v>6</v>
      </c>
      <c r="S628" s="112">
        <f>=P628-R628</f>
        <v>0</v>
      </c>
      <c r="T628" s="71">
        <f>=S628*L628</f>
        <v>0</v>
      </c>
      <c r="U628" s="190">
        <f>=J628-P628</f>
        <v>0</v>
      </c>
    </row>
    <row r="629" spans="1:21" ht="15.75" customHeight="true">
      <c r="A629" s="80">
        <v>46112</v>
      </c>
      <c r="B629" s="71">
        <f>=TODAY()-A629+1</f>
        <v>113</v>
      </c>
      <c r="C629" s="98" t="s">
        <v>219</v>
      </c>
      <c r="D629" t="s">
        <v>217</v>
      </c>
      <c r="E629" s="247" t="s">
        <v>1455</v>
      </c>
      <c r="F629" t="s">
        <v>1428</v>
      </c>
      <c r="G629" s="108" t="s">
        <v>503</v>
      </c>
      <c r="H629" s="64" t="s">
        <v>422</v>
      </c>
      <c r="I629" s="62" t="s">
        <v>1456</v>
      </c>
      <c r="J629" s="62">
        <v>6</v>
      </c>
      <c r="L629" s="62">
        <v>1680</v>
      </c>
      <c r="M629" s="217">
        <f>=J629*L629</f>
        <v>10080</v>
      </c>
      <c r="N629" s="97">
        <v>2.5</v>
      </c>
      <c r="O629" s="189">
        <f>=ROUND(IF((TODAY()-A629+1)*N629*(L629/10000)+L629&lt;L629*1.002,L629*1.002,(TODAY()-A629+1)*N629*(L629/10000)+L629),2)</f>
        <v>1727.88</v>
      </c>
      <c r="P629" s="62">
        <v>6</v>
      </c>
      <c r="Q629" s="71">
        <f>=J629-P629</f>
        <v>0</v>
      </c>
      <c r="R629" s="62">
        <v>6</v>
      </c>
      <c r="S629" s="112">
        <f>=P629-R629</f>
        <v>0</v>
      </c>
      <c r="T629" s="71">
        <f>=S629*L629</f>
        <v>0</v>
      </c>
      <c r="U629" s="190">
        <f>=J629-P629</f>
        <v>0</v>
      </c>
    </row>
    <row r="630" spans="1:21" ht="15.75" customHeight="true">
      <c r="A630" s="80">
        <v>46112</v>
      </c>
      <c r="B630" s="71">
        <f>=TODAY()-A630+1</f>
        <v>113</v>
      </c>
      <c r="C630" s="98" t="s">
        <v>219</v>
      </c>
      <c r="D630" t="s">
        <v>217</v>
      </c>
      <c r="E630" s="247" t="s">
        <v>1457</v>
      </c>
      <c r="F630" t="s">
        <v>1428</v>
      </c>
      <c r="G630" s="64" t="s">
        <v>864</v>
      </c>
      <c r="H630" s="64" t="s">
        <v>422</v>
      </c>
      <c r="I630" s="62" t="s">
        <v>1458</v>
      </c>
      <c r="J630">
        <v>5</v>
      </c>
      <c r="L630">
        <v>1295</v>
      </c>
      <c r="M630" s="217">
        <f>=J630*L630</f>
        <v>6475</v>
      </c>
      <c r="N630" s="97">
        <v>2.5</v>
      </c>
      <c r="O630" s="189">
        <f>=ROUND(IF((TODAY()-A630+1)*N630*(L630/10000)+L630&lt;L630*1.002,L630*1.002,(TODAY()-A630+1)*N630*(L630/10000)+L630),2)</f>
        <v>1331.91</v>
      </c>
      <c r="P630">
        <v>5</v>
      </c>
      <c r="Q630" s="71">
        <f>=J630-P630</f>
        <v>0</v>
      </c>
      <c r="R630">
        <v>5</v>
      </c>
      <c r="S630" s="112">
        <f>=P630-R630</f>
        <v>0</v>
      </c>
      <c r="T630" s="71">
        <f>=S630*L630</f>
        <v>0</v>
      </c>
      <c r="U630" s="190">
        <f>=J630-P630</f>
        <v>0</v>
      </c>
    </row>
    <row r="631" spans="1:21" ht="15.75" customHeight="true">
      <c r="A631" s="110">
        <v>46112</v>
      </c>
      <c r="B631" s="71">
        <f>=TODAY()-A631+1</f>
        <v>113</v>
      </c>
      <c r="C631" s="98" t="s">
        <v>219</v>
      </c>
      <c r="D631" t="s">
        <v>217</v>
      </c>
      <c r="E631" s="247" t="s">
        <v>1459</v>
      </c>
      <c r="F631" t="s">
        <v>1428</v>
      </c>
      <c r="G631" s="108" t="s">
        <v>503</v>
      </c>
      <c r="H631" s="64" t="s">
        <v>422</v>
      </c>
      <c r="I631" s="62" t="s">
        <v>1460</v>
      </c>
      <c r="J631" s="62">
        <v>5</v>
      </c>
      <c r="L631" s="62">
        <v>2625</v>
      </c>
      <c r="M631" s="217">
        <f>=J631*L631</f>
        <v>13125</v>
      </c>
      <c r="N631" s="97">
        <v>2.5</v>
      </c>
      <c r="O631" s="189">
        <f>=ROUND(IF((TODAY()-A631+1)*N631*(L631/10000)+L631&lt;L631*1.002,L631*1.002,(TODAY()-A631+1)*N631*(L631/10000)+L631),2)</f>
        <v>2699.81</v>
      </c>
      <c r="P631" s="62">
        <v>5</v>
      </c>
      <c r="Q631" s="71">
        <f>=J631-P631</f>
        <v>0</v>
      </c>
      <c r="R631" s="62">
        <v>5</v>
      </c>
      <c r="S631" s="112">
        <f>=P631-R631</f>
        <v>0</v>
      </c>
      <c r="T631" s="71">
        <f>=S631*L631</f>
        <v>0</v>
      </c>
      <c r="U631" s="190">
        <f>=J631-P631</f>
        <v>0</v>
      </c>
    </row>
    <row r="632" spans="1:21" ht="15.75" customHeight="true">
      <c r="A632" s="80">
        <v>46112</v>
      </c>
      <c r="B632" s="71">
        <f>=TODAY()-A632+1</f>
        <v>113</v>
      </c>
      <c r="C632" s="98" t="s">
        <v>219</v>
      </c>
      <c r="D632" t="s">
        <v>217</v>
      </c>
      <c r="E632" s="247" t="s">
        <v>1461</v>
      </c>
      <c r="F632" s="87" t="s">
        <v>1428</v>
      </c>
      <c r="G632" s="83" t="s">
        <v>864</v>
      </c>
      <c r="H632" s="83" t="s">
        <v>422</v>
      </c>
      <c r="I632" s="83" t="s">
        <v>1462</v>
      </c>
      <c r="J632" s="258">
        <v>4</v>
      </c>
      <c r="L632" s="258">
        <v>1785</v>
      </c>
      <c r="M632" s="228">
        <f>=J632*L632</f>
        <v>7140</v>
      </c>
      <c r="N632" s="97">
        <v>2.5</v>
      </c>
      <c r="O632" s="189">
        <f>=ROUND(IF((TODAY()-A632+1)*N632*(L632/10000)+L632&lt;L632*1.002,L632*1.002,(TODAY()-A632+1)*N632*(L632/10000)+L632),2)</f>
        <v>1835.87</v>
      </c>
      <c r="P632" s="87">
        <v>4</v>
      </c>
      <c r="Q632" s="71">
        <f>=J632-P632</f>
        <v>0</v>
      </c>
      <c r="R632" s="87">
        <v>4</v>
      </c>
      <c r="S632" s="112">
        <f>=P632-R632</f>
        <v>0</v>
      </c>
      <c r="T632" s="71">
        <f>=S632*L632</f>
        <v>0</v>
      </c>
      <c r="U632" s="190">
        <f>=J632-P632</f>
        <v>0</v>
      </c>
    </row>
    <row r="633" spans="1:21" ht="15.75" customHeight="true">
      <c r="A633" s="80">
        <v>46112</v>
      </c>
      <c r="B633" s="71">
        <f>=TODAY()-A633+1</f>
        <v>113</v>
      </c>
      <c r="C633" s="98" t="s">
        <v>219</v>
      </c>
      <c r="D633" t="s">
        <v>217</v>
      </c>
      <c r="E633" s="247" t="s">
        <v>1463</v>
      </c>
      <c r="F633" t="s">
        <v>1428</v>
      </c>
      <c r="G633" s="108" t="s">
        <v>503</v>
      </c>
      <c r="H633" s="64" t="s">
        <v>422</v>
      </c>
      <c r="I633" s="62" t="s">
        <v>1464</v>
      </c>
      <c r="J633" s="62">
        <v>4</v>
      </c>
      <c r="L633" s="62">
        <v>1820</v>
      </c>
      <c r="M633" s="217">
        <f>=J633*L633</f>
        <v>7280</v>
      </c>
      <c r="N633" s="97">
        <v>2.5</v>
      </c>
      <c r="O633" s="189">
        <f>=ROUND(IF((TODAY()-A633+1)*N633*(L633/10000)+L633&lt;L633*1.002,L633*1.002,(TODAY()-A633+1)*N633*(L633/10000)+L633),2)</f>
        <v>1871.87</v>
      </c>
      <c r="P633" s="62">
        <v>4</v>
      </c>
      <c r="Q633" s="71">
        <f>=J633-P633</f>
        <v>0</v>
      </c>
      <c r="R633" s="62">
        <v>4</v>
      </c>
      <c r="S633" s="112">
        <f>=P633-R633</f>
        <v>0</v>
      </c>
      <c r="T633" s="71">
        <f>=S633*L633</f>
        <v>0</v>
      </c>
      <c r="U633" s="190">
        <f>=J633-P633</f>
        <v>0</v>
      </c>
    </row>
    <row r="634" spans="1:21" ht="15.75" customHeight="true">
      <c r="A634" s="80">
        <v>46111</v>
      </c>
      <c r="B634" s="71">
        <f>=TODAY()-A634+1</f>
        <v>114</v>
      </c>
      <c r="C634" s="98" t="s">
        <v>218</v>
      </c>
      <c r="D634" t="s">
        <v>217</v>
      </c>
      <c r="E634" s="247" t="s">
        <v>1465</v>
      </c>
      <c r="F634" t="s">
        <v>1428</v>
      </c>
      <c r="G634" s="62" t="s">
        <v>895</v>
      </c>
      <c r="H634" s="62" t="s">
        <v>422</v>
      </c>
      <c r="I634" t="s">
        <v>1466</v>
      </c>
      <c r="J634">
        <v>3</v>
      </c>
      <c r="L634">
        <v>1155</v>
      </c>
      <c r="M634" s="217">
        <f>=J634*L634</f>
        <v>3465</v>
      </c>
      <c r="N634" s="97">
        <v>2.5</v>
      </c>
      <c r="O634" s="189">
        <f>=ROUND(IF((TODAY()-A634+1)*N634*(L634/10000)+L634&lt;L634*1.002,L634*1.002,(TODAY()-A634+1)*N634*(L634/10000)+L634),2)</f>
        <v>1188.21</v>
      </c>
      <c r="P634">
        <v>3</v>
      </c>
      <c r="Q634" s="71">
        <f>=J634-P634</f>
        <v>0</v>
      </c>
      <c r="R634">
        <v>3</v>
      </c>
      <c r="S634" s="112">
        <f>=P634-R634</f>
        <v>0</v>
      </c>
      <c r="T634" s="71">
        <f>=S634*L634</f>
        <v>0</v>
      </c>
      <c r="U634" s="190">
        <f>=J634-P634</f>
        <v>0</v>
      </c>
    </row>
    <row r="635" spans="1:21" ht="15.75" customHeight="true">
      <c r="A635" s="80">
        <v>46112</v>
      </c>
      <c r="B635" s="71">
        <f>=TODAY()-A635+1</f>
        <v>113</v>
      </c>
      <c r="C635" s="98" t="s">
        <v>219</v>
      </c>
      <c r="D635" t="s">
        <v>217</v>
      </c>
      <c r="E635" s="247" t="s">
        <v>1467</v>
      </c>
      <c r="F635" t="s">
        <v>1428</v>
      </c>
      <c r="G635" s="62" t="s">
        <v>895</v>
      </c>
      <c r="H635" s="62" t="s">
        <v>422</v>
      </c>
      <c r="I635" t="s">
        <v>1468</v>
      </c>
      <c r="J635">
        <v>3</v>
      </c>
      <c r="L635">
        <v>1925</v>
      </c>
      <c r="M635" s="217">
        <f>=J635*L635</f>
        <v>5775</v>
      </c>
      <c r="N635" s="97">
        <v>2.5</v>
      </c>
      <c r="O635" s="189">
        <f>=ROUND(IF((TODAY()-A635+1)*N635*(L635/10000)+L635&lt;L635*1.002,L635*1.002,(TODAY()-A635+1)*N635*(L635/10000)+L635),2)</f>
        <v>1979.86</v>
      </c>
      <c r="P635">
        <v>3</v>
      </c>
      <c r="Q635" s="71">
        <f>=J635-P635</f>
        <v>0</v>
      </c>
      <c r="R635">
        <v>3</v>
      </c>
      <c r="S635" s="112">
        <f>=P635-R635</f>
        <v>0</v>
      </c>
      <c r="T635" s="71">
        <f>=S635*L635</f>
        <v>0</v>
      </c>
      <c r="U635" s="190">
        <f>=J635-P635</f>
        <v>0</v>
      </c>
    </row>
    <row r="636" spans="1:21" s="270" customFormat="true" ht="15.75" customHeight="true">
      <c r="A636" s="80">
        <v>46112</v>
      </c>
      <c r="B636" s="71">
        <f>=TODAY()-A636+1</f>
        <v>113</v>
      </c>
      <c r="C636" s="98" t="s">
        <v>219</v>
      </c>
      <c r="D636" t="s">
        <v>217</v>
      </c>
      <c r="E636" s="247" t="s">
        <v>1469</v>
      </c>
      <c r="F636" t="s">
        <v>1428</v>
      </c>
      <c r="G636" s="62" t="s">
        <v>895</v>
      </c>
      <c r="H636" s="62" t="s">
        <v>422</v>
      </c>
      <c r="I636" t="s">
        <v>943</v>
      </c>
      <c r="J636">
        <v>3</v>
      </c>
      <c r="L636">
        <v>1960</v>
      </c>
      <c r="M636" s="217">
        <f>=J636*L636</f>
        <v>5880</v>
      </c>
      <c r="N636" s="97">
        <v>2.5</v>
      </c>
      <c r="O636" s="189">
        <f>=ROUND(IF((TODAY()-A636+1)*N636*(L636/10000)+L636&lt;L636*1.002,L636*1.002,(TODAY()-A636+1)*N636*(L636/10000)+L636),2)</f>
        <v>2015.86</v>
      </c>
      <c r="P636">
        <v>3</v>
      </c>
      <c r="Q636" s="71">
        <f>=J636-P636</f>
        <v>0</v>
      </c>
      <c r="R636" s="117">
        <v>3</v>
      </c>
      <c r="S636" s="112">
        <f>=P636-R636</f>
        <v>0</v>
      </c>
      <c r="T636" s="71">
        <f>=S636*L636</f>
        <v>0</v>
      </c>
      <c r="U636" s="190">
        <f>=J636-P636</f>
        <v>0</v>
      </c>
    </row>
    <row r="637" spans="1:21" s="270" customFormat="true" ht="15.75" customHeight="true">
      <c r="A637" s="80">
        <v>46112</v>
      </c>
      <c r="B637" s="71">
        <f>=TODAY()-A637+1</f>
        <v>113</v>
      </c>
      <c r="C637" s="98" t="s">
        <v>219</v>
      </c>
      <c r="D637" t="s">
        <v>217</v>
      </c>
      <c r="E637" s="247" t="s">
        <v>1470</v>
      </c>
      <c r="F637" t="s">
        <v>1428</v>
      </c>
      <c r="G637" s="62" t="s">
        <v>895</v>
      </c>
      <c r="H637" s="62" t="s">
        <v>422</v>
      </c>
      <c r="I637" t="s">
        <v>937</v>
      </c>
      <c r="J637">
        <v>3</v>
      </c>
      <c r="L637">
        <v>1960</v>
      </c>
      <c r="M637" s="217">
        <f>=J637*L637</f>
        <v>5880</v>
      </c>
      <c r="N637" s="97">
        <v>2.5</v>
      </c>
      <c r="O637" s="189">
        <f>=ROUND(IF((TODAY()-A637+1)*N637*(L637/10000)+L637&lt;L637*1.002,L637*1.002,(TODAY()-A637+1)*N637*(L637/10000)+L637),2)</f>
        <v>2015.86</v>
      </c>
      <c r="P637">
        <v>3</v>
      </c>
      <c r="Q637" s="71">
        <f>=J637-P637</f>
        <v>0</v>
      </c>
      <c r="R637" s="117">
        <v>3</v>
      </c>
      <c r="S637" s="112">
        <f>=P637-R637</f>
        <v>0</v>
      </c>
      <c r="T637" s="71">
        <f>=S637*L637</f>
        <v>0</v>
      </c>
      <c r="U637" s="190">
        <f>=J637-P637</f>
        <v>0</v>
      </c>
    </row>
    <row r="638" spans="1:21" s="270" customFormat="true" ht="15.75" customHeight="true">
      <c r="A638" s="80">
        <v>46112</v>
      </c>
      <c r="B638" s="71">
        <f>=TODAY()-A638+1</f>
        <v>113</v>
      </c>
      <c r="C638" s="98" t="s">
        <v>219</v>
      </c>
      <c r="D638" t="s">
        <v>217</v>
      </c>
      <c r="E638" s="247" t="s">
        <v>1471</v>
      </c>
      <c r="F638" t="s">
        <v>1428</v>
      </c>
      <c r="G638" s="64" t="s">
        <v>864</v>
      </c>
      <c r="H638" s="64" t="s">
        <v>422</v>
      </c>
      <c r="I638" s="62" t="s">
        <v>1472</v>
      </c>
      <c r="J638">
        <v>3</v>
      </c>
      <c r="L638">
        <v>1295</v>
      </c>
      <c r="M638" s="217">
        <f>=J638*L638</f>
        <v>3885</v>
      </c>
      <c r="N638" s="97">
        <v>2.5</v>
      </c>
      <c r="O638" s="189">
        <f>=ROUND(IF((TODAY()-A638+1)*N638*(L638/10000)+L638&lt;L638*1.002,L638*1.002,(TODAY()-A638+1)*N638*(L638/10000)+L638),2)</f>
        <v>1331.91</v>
      </c>
      <c r="P638">
        <v>3</v>
      </c>
      <c r="Q638" s="71">
        <f>=J638-P638</f>
        <v>0</v>
      </c>
      <c r="R638" s="117">
        <v>3</v>
      </c>
      <c r="S638" s="112">
        <f>=P638-R638</f>
        <v>0</v>
      </c>
      <c r="T638" s="71">
        <f>=S638*L638</f>
        <v>0</v>
      </c>
      <c r="U638" s="190">
        <f>=J638-P638</f>
        <v>0</v>
      </c>
    </row>
    <row r="639" spans="1:21" s="270" customFormat="true" ht="15.75" customHeight="true">
      <c r="A639" s="80">
        <v>46112</v>
      </c>
      <c r="B639" s="71">
        <f>=TODAY()-A639+1</f>
        <v>113</v>
      </c>
      <c r="C639" s="98" t="s">
        <v>219</v>
      </c>
      <c r="D639" t="s">
        <v>217</v>
      </c>
      <c r="E639" s="247" t="s">
        <v>1473</v>
      </c>
      <c r="F639" s="87" t="s">
        <v>1428</v>
      </c>
      <c r="G639" s="83" t="s">
        <v>864</v>
      </c>
      <c r="H639" s="83" t="s">
        <v>422</v>
      </c>
      <c r="I639" s="83" t="s">
        <v>1474</v>
      </c>
      <c r="J639" s="258">
        <v>3</v>
      </c>
      <c r="L639" s="258">
        <v>2030</v>
      </c>
      <c r="M639" s="228">
        <f>=J639*L639</f>
        <v>6090</v>
      </c>
      <c r="N639" s="97">
        <v>2.5</v>
      </c>
      <c r="O639" s="189">
        <f>=ROUND(IF((TODAY()-A639+1)*N639*(L639/10000)+L639&lt;L639*1.002,L639*1.002,(TODAY()-A639+1)*N639*(L639/10000)+L639),2)</f>
        <v>2087.86</v>
      </c>
      <c r="P639" s="87">
        <v>3</v>
      </c>
      <c r="Q639" s="71">
        <f>=J639-P639</f>
        <v>0</v>
      </c>
      <c r="R639" s="87">
        <v>3</v>
      </c>
      <c r="S639" s="112">
        <f>=P639-R639</f>
        <v>0</v>
      </c>
      <c r="T639" s="71">
        <f>=S639*L639</f>
        <v>0</v>
      </c>
      <c r="U639" s="190">
        <f>=J639-P639</f>
        <v>0</v>
      </c>
    </row>
    <row r="640" spans="1:21" s="270" customFormat="true" ht="15.75" customHeight="true">
      <c r="A640" s="80">
        <v>46112</v>
      </c>
      <c r="B640" s="71">
        <f>=TODAY()-A640+1</f>
        <v>113</v>
      </c>
      <c r="C640" s="98" t="s">
        <v>219</v>
      </c>
      <c r="D640" t="s">
        <v>217</v>
      </c>
      <c r="E640" s="247" t="s">
        <v>1475</v>
      </c>
      <c r="F640" t="s">
        <v>1428</v>
      </c>
      <c r="G640" s="64" t="s">
        <v>864</v>
      </c>
      <c r="H640" s="64" t="s">
        <v>422</v>
      </c>
      <c r="I640" s="62" t="s">
        <v>1476</v>
      </c>
      <c r="J640">
        <v>3</v>
      </c>
      <c r="L640">
        <v>1470</v>
      </c>
      <c r="M640" s="217">
        <f>=J640*L640</f>
        <v>4410</v>
      </c>
      <c r="N640" s="97">
        <v>2.5</v>
      </c>
      <c r="O640" s="189">
        <f>=ROUND(IF((TODAY()-A640+1)*N640*(L640/10000)+L640&lt;L640*1.002,L640*1.002,(TODAY()-A640+1)*N640*(L640/10000)+L640),2)</f>
        <v>1511.9</v>
      </c>
      <c r="P640">
        <v>3</v>
      </c>
      <c r="Q640" s="71">
        <f>=J640-P640</f>
        <v>0</v>
      </c>
      <c r="R640" s="117">
        <v>3</v>
      </c>
      <c r="S640" s="112">
        <f>=P640-R640</f>
        <v>0</v>
      </c>
      <c r="T640" s="71">
        <f>=S640*L640</f>
        <v>0</v>
      </c>
      <c r="U640" s="190">
        <f>=J640-P640</f>
        <v>0</v>
      </c>
    </row>
    <row r="641" spans="1:21" s="270" customFormat="true" ht="15.75" customHeight="true">
      <c r="A641" s="110">
        <v>46112</v>
      </c>
      <c r="B641" s="71">
        <f>=TODAY()-A641+1</f>
        <v>113</v>
      </c>
      <c r="C641" s="98" t="s">
        <v>219</v>
      </c>
      <c r="D641" t="s">
        <v>217</v>
      </c>
      <c r="E641" s="247" t="s">
        <v>1477</v>
      </c>
      <c r="F641" t="s">
        <v>1428</v>
      </c>
      <c r="G641" s="108" t="s">
        <v>503</v>
      </c>
      <c r="H641" s="64" t="s">
        <v>422</v>
      </c>
      <c r="I641" s="62" t="s">
        <v>1478</v>
      </c>
      <c r="J641" s="62">
        <v>3</v>
      </c>
      <c r="L641" s="62">
        <v>2625</v>
      </c>
      <c r="M641" s="217">
        <f>=J641*L641</f>
        <v>7875</v>
      </c>
      <c r="N641" s="97">
        <v>2.5</v>
      </c>
      <c r="O641" s="189">
        <f>=ROUND(IF((TODAY()-A641+1)*N641*(L641/10000)+L641&lt;L641*1.002,L641*1.002,(TODAY()-A641+1)*N641*(L641/10000)+L641),2)</f>
        <v>2699.81</v>
      </c>
      <c r="P641" s="62">
        <v>3</v>
      </c>
      <c r="Q641" s="71">
        <f>=J641-P641</f>
        <v>0</v>
      </c>
      <c r="R641" s="313">
        <v>3</v>
      </c>
      <c r="S641" s="112">
        <f>=P641-R641</f>
        <v>0</v>
      </c>
      <c r="T641" s="71">
        <f>=S641*L641</f>
        <v>0</v>
      </c>
      <c r="U641" s="190">
        <f>=J641-P641</f>
        <v>0</v>
      </c>
    </row>
    <row r="642" spans="1:21" s="270" customFormat="true" ht="15.75" customHeight="true">
      <c r="A642" s="110">
        <v>46112</v>
      </c>
      <c r="B642" s="71">
        <f>=TODAY()-A642+1</f>
        <v>113</v>
      </c>
      <c r="C642" s="98" t="s">
        <v>219</v>
      </c>
      <c r="D642" t="s">
        <v>217</v>
      </c>
      <c r="E642" s="247" t="s">
        <v>1479</v>
      </c>
      <c r="F642" t="s">
        <v>1428</v>
      </c>
      <c r="G642" s="108" t="s">
        <v>503</v>
      </c>
      <c r="H642" s="64" t="s">
        <v>422</v>
      </c>
      <c r="I642" s="62" t="s">
        <v>1480</v>
      </c>
      <c r="J642" s="62">
        <v>3</v>
      </c>
      <c r="L642" s="62">
        <v>2765</v>
      </c>
      <c r="M642" s="217">
        <f>=J642*L642</f>
        <v>8295</v>
      </c>
      <c r="N642" s="97">
        <v>2.5</v>
      </c>
      <c r="O642" s="189">
        <f>=ROUND(IF((TODAY()-A642+1)*N642*(L642/10000)+L642&lt;L642*1.002,L642*1.002,(TODAY()-A642+1)*N642*(L642/10000)+L642),2)</f>
        <v>2843.8</v>
      </c>
      <c r="P642" s="62">
        <v>3</v>
      </c>
      <c r="Q642" s="71">
        <f>=J642-P642</f>
        <v>0</v>
      </c>
      <c r="R642" s="313">
        <v>3</v>
      </c>
      <c r="S642" s="112">
        <f>=P642-R642</f>
        <v>0</v>
      </c>
      <c r="T642" s="71">
        <f>=S642*L642</f>
        <v>0</v>
      </c>
      <c r="U642" s="190">
        <f>=J642-P642</f>
        <v>0</v>
      </c>
    </row>
    <row r="643" spans="1:21" s="270" customFormat="true" ht="15.75" customHeight="true">
      <c r="A643" s="110">
        <v>46112</v>
      </c>
      <c r="B643" s="71">
        <f>=TODAY()-A643+1</f>
        <v>113</v>
      </c>
      <c r="C643" s="98" t="s">
        <v>219</v>
      </c>
      <c r="D643" t="s">
        <v>217</v>
      </c>
      <c r="E643" s="247" t="s">
        <v>1481</v>
      </c>
      <c r="F643" t="s">
        <v>1428</v>
      </c>
      <c r="G643" s="108" t="s">
        <v>503</v>
      </c>
      <c r="H643" s="64" t="s">
        <v>422</v>
      </c>
      <c r="I643" s="62" t="s">
        <v>1482</v>
      </c>
      <c r="J643" s="62">
        <v>3</v>
      </c>
      <c r="L643" s="62">
        <v>3150</v>
      </c>
      <c r="M643" s="217">
        <f>=J643*L643</f>
        <v>9450</v>
      </c>
      <c r="N643" s="97">
        <v>2.5</v>
      </c>
      <c r="O643" s="189">
        <f>=ROUND(IF((TODAY()-A643+1)*N643*(L643/10000)+L643&lt;L643*1.002,L643*1.002,(TODAY()-A643+1)*N643*(L643/10000)+L643),2)</f>
        <v>3239.78</v>
      </c>
      <c r="P643" s="62">
        <v>3</v>
      </c>
      <c r="Q643" s="71">
        <f>=J643-P643</f>
        <v>0</v>
      </c>
      <c r="R643" s="313">
        <v>3</v>
      </c>
      <c r="S643" s="112">
        <f>=P643-R643</f>
        <v>0</v>
      </c>
      <c r="T643" s="71">
        <f>=S643*L643</f>
        <v>0</v>
      </c>
      <c r="U643" s="190">
        <f>=J643-P643</f>
        <v>0</v>
      </c>
    </row>
    <row r="644" spans="1:21" ht="15.75" customHeight="true">
      <c r="A644" s="110">
        <v>46112</v>
      </c>
      <c r="B644" s="71">
        <f>=TODAY()-A644+1</f>
        <v>113</v>
      </c>
      <c r="C644" s="98" t="s">
        <v>219</v>
      </c>
      <c r="D644" t="s">
        <v>217</v>
      </c>
      <c r="E644" s="247" t="s">
        <v>1483</v>
      </c>
      <c r="F644" t="s">
        <v>1428</v>
      </c>
      <c r="G644" s="108" t="s">
        <v>503</v>
      </c>
      <c r="H644" s="64" t="s">
        <v>422</v>
      </c>
      <c r="I644" s="62" t="s">
        <v>1484</v>
      </c>
      <c r="J644" s="62">
        <v>3</v>
      </c>
      <c r="L644" s="62">
        <v>1960</v>
      </c>
      <c r="M644" s="217">
        <f>=J644*L644</f>
        <v>5880</v>
      </c>
      <c r="N644" s="97">
        <v>2.5</v>
      </c>
      <c r="O644" s="189">
        <f>=ROUND(IF((TODAY()-A644+1)*N644*(L644/10000)+L644&lt;L644*1.002,L644*1.002,(TODAY()-A644+1)*N644*(L644/10000)+L644),2)</f>
        <v>2015.86</v>
      </c>
      <c r="P644" s="62">
        <v>3</v>
      </c>
      <c r="Q644" s="71">
        <f>=J644-P644</f>
        <v>0</v>
      </c>
      <c r="R644" s="62">
        <v>3</v>
      </c>
      <c r="S644" s="112">
        <f>=P644-R644</f>
        <v>0</v>
      </c>
      <c r="T644" s="71">
        <f>=S644*L644</f>
        <v>0</v>
      </c>
      <c r="U644" s="190">
        <f>=J644-P644</f>
        <v>0</v>
      </c>
    </row>
    <row r="645" spans="1:21" ht="15.75" customHeight="true">
      <c r="A645" s="110">
        <v>46112</v>
      </c>
      <c r="B645" s="71">
        <f>=TODAY()-A645+1</f>
        <v>113</v>
      </c>
      <c r="C645" s="98" t="s">
        <v>219</v>
      </c>
      <c r="D645" t="s">
        <v>217</v>
      </c>
      <c r="E645" s="247" t="s">
        <v>1485</v>
      </c>
      <c r="F645" t="s">
        <v>1428</v>
      </c>
      <c r="G645" s="108" t="s">
        <v>503</v>
      </c>
      <c r="H645" s="64" t="s">
        <v>422</v>
      </c>
      <c r="I645" t="s">
        <v>1486</v>
      </c>
      <c r="J645">
        <v>3</v>
      </c>
      <c r="L645">
        <v>1155</v>
      </c>
      <c r="M645" s="217">
        <f>=J645*L645</f>
        <v>3465</v>
      </c>
      <c r="N645" s="97">
        <v>2.5</v>
      </c>
      <c r="O645" s="189">
        <f>=ROUND(IF((TODAY()-A645+1)*N645*(L645/10000)+L645&lt;L645*1.002,L645*1.002,(TODAY()-A645+1)*N645*(L645/10000)+L645),2)</f>
        <v>1187.92</v>
      </c>
      <c r="P645">
        <v>3</v>
      </c>
      <c r="Q645" s="71">
        <f>=J645-P645</f>
        <v>0</v>
      </c>
      <c r="R645">
        <v>3</v>
      </c>
      <c r="S645" s="112">
        <f>=P645-R645</f>
        <v>0</v>
      </c>
      <c r="T645" s="71">
        <f>=S645*L645</f>
        <v>0</v>
      </c>
      <c r="U645" s="190">
        <f>=J645-P645</f>
        <v>0</v>
      </c>
    </row>
    <row r="646" spans="1:21" ht="15.75" customHeight="true">
      <c r="A646" s="110">
        <v>46112</v>
      </c>
      <c r="B646" s="71">
        <f>=TODAY()-A646+1</f>
        <v>113</v>
      </c>
      <c r="C646" s="98" t="s">
        <v>219</v>
      </c>
      <c r="D646" t="s">
        <v>217</v>
      </c>
      <c r="E646" s="247" t="s">
        <v>1487</v>
      </c>
      <c r="F646" t="s">
        <v>1428</v>
      </c>
      <c r="G646" s="108" t="s">
        <v>503</v>
      </c>
      <c r="H646" s="64" t="s">
        <v>422</v>
      </c>
      <c r="I646" t="s">
        <v>1488</v>
      </c>
      <c r="J646">
        <v>3</v>
      </c>
      <c r="L646">
        <v>1225</v>
      </c>
      <c r="M646" s="217">
        <f>=J646*L646</f>
        <v>3675</v>
      </c>
      <c r="N646" s="97">
        <v>2.5</v>
      </c>
      <c r="O646" s="189">
        <f>=ROUND(IF((TODAY()-A646+1)*N646*(L646/10000)+L646&lt;L646*1.002,L646*1.002,(TODAY()-A646+1)*N646*(L646/10000)+L646),2)</f>
        <v>1259.91</v>
      </c>
      <c r="P646">
        <v>3</v>
      </c>
      <c r="Q646" s="71">
        <f>=J646-P646</f>
        <v>0</v>
      </c>
      <c r="R646">
        <v>3</v>
      </c>
      <c r="S646" s="112">
        <f>=P646-R646</f>
        <v>0</v>
      </c>
      <c r="T646" s="71">
        <f>=S646*L646</f>
        <v>0</v>
      </c>
      <c r="U646" s="190">
        <f>=J646-P646</f>
        <v>0</v>
      </c>
    </row>
    <row r="647" spans="1:21" ht="15.75" customHeight="true">
      <c r="A647" s="80">
        <v>46112</v>
      </c>
      <c r="B647" s="71">
        <f>=TODAY()-A647+1</f>
        <v>113</v>
      </c>
      <c r="C647" s="98" t="s">
        <v>219</v>
      </c>
      <c r="D647" t="s">
        <v>217</v>
      </c>
      <c r="E647" s="247" t="s">
        <v>1489</v>
      </c>
      <c r="F647" t="s">
        <v>1428</v>
      </c>
      <c r="G647" s="108" t="s">
        <v>503</v>
      </c>
      <c r="H647" s="64" t="s">
        <v>422</v>
      </c>
      <c r="I647" s="62" t="s">
        <v>1490</v>
      </c>
      <c r="J647" s="62">
        <v>3</v>
      </c>
      <c r="L647" s="62">
        <v>1820</v>
      </c>
      <c r="M647" s="217">
        <f>=J647*L647</f>
        <v>5460</v>
      </c>
      <c r="N647" s="97">
        <v>2.5</v>
      </c>
      <c r="O647" s="189">
        <f>=ROUND(IF((TODAY()-A647+1)*N647*(L647/10000)+L647&lt;L647*1.002,L647*1.002,(TODAY()-A647+1)*N647*(L647/10000)+L647),2)</f>
        <v>1871.87</v>
      </c>
      <c r="P647" s="62">
        <v>3</v>
      </c>
      <c r="Q647" s="71">
        <f>=J647-P647</f>
        <v>0</v>
      </c>
      <c r="R647" s="62">
        <v>3</v>
      </c>
      <c r="S647" s="112">
        <f>=P647-R647</f>
        <v>0</v>
      </c>
      <c r="T647" s="71">
        <f>=S647*L647</f>
        <v>0</v>
      </c>
      <c r="U647" s="190">
        <f>=J647-P647</f>
        <v>0</v>
      </c>
    </row>
    <row r="648" spans="1:21" ht="15.75" customHeight="true">
      <c r="A648" s="80">
        <v>46112</v>
      </c>
      <c r="B648" s="71">
        <f>=TODAY()-A648+1</f>
        <v>113</v>
      </c>
      <c r="C648" s="98" t="s">
        <v>219</v>
      </c>
      <c r="D648" t="s">
        <v>217</v>
      </c>
      <c r="E648" s="247" t="s">
        <v>1491</v>
      </c>
      <c r="F648" t="s">
        <v>1428</v>
      </c>
      <c r="G648" s="62" t="s">
        <v>1438</v>
      </c>
      <c r="H648" s="62" t="s">
        <v>422</v>
      </c>
      <c r="I648" s="62" t="s">
        <v>1492</v>
      </c>
      <c r="J648" s="62">
        <v>3</v>
      </c>
      <c r="L648" s="62">
        <v>1575</v>
      </c>
      <c r="M648" s="217">
        <f>=J648*L648</f>
        <v>4725</v>
      </c>
      <c r="N648" s="97">
        <v>2.5</v>
      </c>
      <c r="O648" s="189">
        <f>=ROUND(IF((TODAY()-A648+1)*N648*(L648/10000)+L648&lt;L648*1.002,L648*1.002,(TODAY()-A648+1)*N648*(L648/10000)+L648),2)</f>
        <v>1619.89</v>
      </c>
      <c r="P648" s="62">
        <v>3</v>
      </c>
      <c r="Q648" s="71">
        <f>=J648-P648</f>
        <v>0</v>
      </c>
      <c r="R648" s="62">
        <v>3</v>
      </c>
      <c r="S648" s="112">
        <f>=P648-R648</f>
        <v>0</v>
      </c>
      <c r="T648" s="71">
        <f>=S648*L648</f>
        <v>0</v>
      </c>
      <c r="U648" s="190">
        <f>=J648-P648</f>
        <v>0</v>
      </c>
    </row>
    <row r="649" spans="1:21" ht="15.75" customHeight="true">
      <c r="A649" s="80">
        <v>46112</v>
      </c>
      <c r="B649" s="71">
        <f>=TODAY()-A649+1</f>
        <v>113</v>
      </c>
      <c r="C649" s="98" t="s">
        <v>219</v>
      </c>
      <c r="D649" t="s">
        <v>217</v>
      </c>
      <c r="E649" s="247" t="s">
        <v>1493</v>
      </c>
      <c r="F649" t="s">
        <v>1428</v>
      </c>
      <c r="G649" s="62" t="s">
        <v>1438</v>
      </c>
      <c r="H649" s="62" t="s">
        <v>422</v>
      </c>
      <c r="I649" s="62" t="s">
        <v>1494</v>
      </c>
      <c r="J649" s="62">
        <v>3</v>
      </c>
      <c r="L649" s="62">
        <v>1855</v>
      </c>
      <c r="M649" s="217">
        <f>=J649*L649</f>
        <v>5565</v>
      </c>
      <c r="N649" s="97">
        <v>2.5</v>
      </c>
      <c r="O649" s="189">
        <f>=ROUND(IF((TODAY()-A649+1)*N649*(L649/10000)+L649&lt;L649*1.002,L649*1.002,(TODAY()-A649+1)*N649*(L649/10000)+L649),2)</f>
        <v>1907.87</v>
      </c>
      <c r="P649" s="62">
        <v>3</v>
      </c>
      <c r="Q649" s="71">
        <f>=J649-P649</f>
        <v>0</v>
      </c>
      <c r="R649" s="62">
        <v>3</v>
      </c>
      <c r="S649" s="112">
        <f>=P649-R649</f>
        <v>0</v>
      </c>
      <c r="T649" s="71">
        <f>=S649*L649</f>
        <v>0</v>
      </c>
      <c r="U649" s="190">
        <f>=J649-P649</f>
        <v>0</v>
      </c>
    </row>
    <row r="650" spans="1:21" ht="15.75" customHeight="true">
      <c r="A650" s="80">
        <v>46112</v>
      </c>
      <c r="B650" s="71">
        <f>=TODAY()-A650+1</f>
        <v>113</v>
      </c>
      <c r="C650" s="98" t="s">
        <v>219</v>
      </c>
      <c r="D650" t="s">
        <v>217</v>
      </c>
      <c r="E650" s="247" t="s">
        <v>1495</v>
      </c>
      <c r="F650" t="s">
        <v>1428</v>
      </c>
      <c r="G650" s="62" t="s">
        <v>895</v>
      </c>
      <c r="H650" s="62" t="s">
        <v>422</v>
      </c>
      <c r="I650" s="62" t="s">
        <v>1496</v>
      </c>
      <c r="J650" s="62">
        <v>3</v>
      </c>
      <c r="K650" s="62" t="s"/>
      <c r="L650">
        <v>1155</v>
      </c>
      <c r="M650" s="217">
        <f>=J650*L650</f>
        <v>3465</v>
      </c>
      <c r="N650" s="97">
        <v>2.5</v>
      </c>
      <c r="O650" s="189">
        <f>=ROUND(IF((TODAY()-A650+1)*N650*(L650/10000)+L650&lt;L650*1.002,L650*1.002,(TODAY()-A650+1)*N650*(L650/10000)+L650),2)</f>
        <v>1187.92</v>
      </c>
      <c r="P650" s="62">
        <v>3</v>
      </c>
      <c r="Q650" s="71">
        <f>=J650-P650</f>
        <v>0</v>
      </c>
      <c r="R650" s="62">
        <v>3</v>
      </c>
      <c r="S650" s="112">
        <f>=P650-R650</f>
        <v>0</v>
      </c>
      <c r="T650" s="71">
        <f>=S650*L650</f>
        <v>0</v>
      </c>
      <c r="U650" s="190">
        <f>=J650-P650</f>
        <v>0</v>
      </c>
    </row>
    <row r="651" spans="1:21" ht="15.75" customHeight="true">
      <c r="A651" s="80">
        <v>46112</v>
      </c>
      <c r="B651" s="71">
        <f>=TODAY()-A651+1</f>
        <v>113</v>
      </c>
      <c r="C651" s="98" t="s">
        <v>219</v>
      </c>
      <c r="D651" t="s">
        <v>217</v>
      </c>
      <c r="E651" s="247" t="s">
        <v>1497</v>
      </c>
      <c r="F651" t="s">
        <v>1428</v>
      </c>
      <c r="G651" s="62" t="s">
        <v>895</v>
      </c>
      <c r="H651" s="62" t="s">
        <v>422</v>
      </c>
      <c r="I651" t="s">
        <v>1498</v>
      </c>
      <c r="J651">
        <v>2</v>
      </c>
      <c r="L651">
        <v>1925</v>
      </c>
      <c r="M651" s="217">
        <f>=J651*L651</f>
        <v>3850</v>
      </c>
      <c r="N651" s="97">
        <v>2.5</v>
      </c>
      <c r="O651" s="189">
        <f>=ROUND(IF((TODAY()-A651+1)*N651*(L651/10000)+L651&lt;L651*1.002,L651*1.002,(TODAY()-A651+1)*N651*(L651/10000)+L651),2)</f>
        <v>1979.86</v>
      </c>
      <c r="P651">
        <v>2</v>
      </c>
      <c r="Q651" s="71">
        <f>=J651-P651</f>
        <v>0</v>
      </c>
      <c r="R651">
        <v>2</v>
      </c>
      <c r="S651" s="112">
        <f>=P651-R651</f>
        <v>0</v>
      </c>
      <c r="T651" s="71">
        <f>=S651*L651</f>
        <v>0</v>
      </c>
      <c r="U651" s="190">
        <f>=J651-P651</f>
        <v>0</v>
      </c>
    </row>
    <row r="652" spans="1:21" ht="15.75" customHeight="true">
      <c r="A652" s="80">
        <v>46112</v>
      </c>
      <c r="B652" s="71">
        <f>=TODAY()-A652+1</f>
        <v>113</v>
      </c>
      <c r="C652" s="98" t="s">
        <v>219</v>
      </c>
      <c r="D652" t="s">
        <v>217</v>
      </c>
      <c r="E652" s="247" t="s">
        <v>1499</v>
      </c>
      <c r="F652" t="s">
        <v>1428</v>
      </c>
      <c r="G652" t="s">
        <v>864</v>
      </c>
      <c r="H652" t="s">
        <v>422</v>
      </c>
      <c r="I652" t="s">
        <v>1500</v>
      </c>
      <c r="J652">
        <v>2</v>
      </c>
      <c r="L652">
        <v>3115</v>
      </c>
      <c r="M652" s="217">
        <f>=J652*L652</f>
        <v>6230</v>
      </c>
      <c r="N652" s="97">
        <v>2.5</v>
      </c>
      <c r="O652" s="189">
        <f>=ROUND(IF((TODAY()-A652+1)*N652*(L652/10000)+L652&lt;L652*1.002,L652*1.002,(TODAY()-A652+1)*N652*(L652/10000)+L652),2)</f>
        <v>3203.78</v>
      </c>
      <c r="P652">
        <v>2</v>
      </c>
      <c r="Q652" s="71">
        <f>=J652-P652</f>
        <v>0</v>
      </c>
      <c r="R652">
        <v>2</v>
      </c>
      <c r="S652" s="112">
        <f>=P652-R652</f>
        <v>0</v>
      </c>
      <c r="T652" s="71">
        <f>=S652*L652</f>
        <v>0</v>
      </c>
      <c r="U652" s="190">
        <f>=J652-P652</f>
        <v>0</v>
      </c>
    </row>
    <row r="653" spans="1:21" ht="15.75" customHeight="true">
      <c r="A653" s="80">
        <v>46112</v>
      </c>
      <c r="B653" s="71">
        <f>=TODAY()-A653+1</f>
        <v>113</v>
      </c>
      <c r="C653" s="98" t="s">
        <v>219</v>
      </c>
      <c r="D653" t="s">
        <v>217</v>
      </c>
      <c r="E653" s="247" t="s">
        <v>1501</v>
      </c>
      <c r="F653" t="s">
        <v>1428</v>
      </c>
      <c r="G653" s="95" t="s">
        <v>864</v>
      </c>
      <c r="H653" s="95" t="s">
        <v>422</v>
      </c>
      <c r="I653" s="62" t="s">
        <v>1502</v>
      </c>
      <c r="J653">
        <v>2</v>
      </c>
      <c r="L653">
        <v>1540</v>
      </c>
      <c r="M653" s="217">
        <f>=J653*L653</f>
        <v>3080</v>
      </c>
      <c r="N653" s="97">
        <v>2.5</v>
      </c>
      <c r="O653" s="189">
        <f>=ROUND(IF((TODAY()-A653+1)*N653*(L653/10000)+L653&lt;L653*1.002,L653*1.002,(TODAY()-A653+1)*N653*(L653/10000)+L653),2)</f>
        <v>1583.89</v>
      </c>
      <c r="P653">
        <v>2</v>
      </c>
      <c r="Q653" s="71">
        <f>=J653-P653</f>
        <v>0</v>
      </c>
      <c r="R653">
        <v>2</v>
      </c>
      <c r="S653" s="112">
        <f>=P653-R653</f>
        <v>0</v>
      </c>
      <c r="T653" s="71">
        <f>=S653*L653</f>
        <v>0</v>
      </c>
      <c r="U653" s="190">
        <f>=J653-P653</f>
        <v>0</v>
      </c>
    </row>
    <row r="654" spans="1:21" ht="15.75" customHeight="true">
      <c r="A654" s="110">
        <v>46112</v>
      </c>
      <c r="B654" s="71">
        <f>=TODAY()-A654+1</f>
        <v>113</v>
      </c>
      <c r="C654" s="98" t="s">
        <v>219</v>
      </c>
      <c r="D654" t="s">
        <v>217</v>
      </c>
      <c r="E654" s="247" t="s">
        <v>1503</v>
      </c>
      <c r="F654" t="s">
        <v>1428</v>
      </c>
      <c r="G654" s="108" t="s">
        <v>503</v>
      </c>
      <c r="H654" s="64" t="s">
        <v>422</v>
      </c>
      <c r="I654" s="62" t="s">
        <v>1504</v>
      </c>
      <c r="J654" s="62">
        <v>2</v>
      </c>
      <c r="L654" s="62">
        <v>1820</v>
      </c>
      <c r="M654" s="217">
        <f>=J654*L654</f>
        <v>3640</v>
      </c>
      <c r="N654" s="97">
        <v>2.5</v>
      </c>
      <c r="O654" s="189">
        <f>=ROUND(IF((TODAY()-A654+1)*N654*(L654/10000)+L654&lt;L654*1.002,L654*1.002,(TODAY()-A654+1)*N654*(L654/10000)+L654),2)</f>
        <v>1871.87</v>
      </c>
      <c r="P654" s="62">
        <v>2</v>
      </c>
      <c r="Q654" s="71">
        <f>=J654-P654</f>
        <v>0</v>
      </c>
      <c r="R654" s="62">
        <v>2</v>
      </c>
      <c r="S654" s="112">
        <f>=P654-R654</f>
        <v>0</v>
      </c>
      <c r="T654" s="71">
        <f>=S654*L654</f>
        <v>0</v>
      </c>
      <c r="U654" s="190">
        <f>=J654-P654</f>
        <v>0</v>
      </c>
    </row>
    <row r="655" spans="1:21" ht="15.75" customHeight="true">
      <c r="A655" s="110">
        <v>46112</v>
      </c>
      <c r="B655" s="71">
        <f>=TODAY()-A655+1</f>
        <v>113</v>
      </c>
      <c r="C655" s="98" t="s">
        <v>219</v>
      </c>
      <c r="D655" t="s">
        <v>217</v>
      </c>
      <c r="E655" s="247" t="s">
        <v>1505</v>
      </c>
      <c r="F655" t="s">
        <v>1428</v>
      </c>
      <c r="G655" s="108" t="s">
        <v>503</v>
      </c>
      <c r="H655" s="64" t="s">
        <v>422</v>
      </c>
      <c r="I655" s="62" t="s">
        <v>1363</v>
      </c>
      <c r="J655" s="62">
        <v>2</v>
      </c>
      <c r="L655" s="62">
        <v>2065</v>
      </c>
      <c r="M655" s="217">
        <f>=J655*L655</f>
        <v>4130</v>
      </c>
      <c r="N655" s="97">
        <v>2.5</v>
      </c>
      <c r="O655" s="189">
        <f>=ROUND(IF((TODAY()-A655+1)*N655*(L655/10000)+L655&lt;L655*1.002,L655*1.002,(TODAY()-A655+1)*N655*(L655/10000)+L655),2)</f>
        <v>2123.85</v>
      </c>
      <c r="P655" s="62">
        <v>2</v>
      </c>
      <c r="Q655" s="71">
        <f>=J655-P655</f>
        <v>0</v>
      </c>
      <c r="R655" s="62">
        <v>2</v>
      </c>
      <c r="S655" s="112">
        <f>=P655-R655</f>
        <v>0</v>
      </c>
      <c r="T655" s="71">
        <f>=S655*L655</f>
        <v>0</v>
      </c>
      <c r="U655" s="190">
        <f>=J655-P655</f>
        <v>0</v>
      </c>
    </row>
    <row r="656" spans="1:21" ht="15.75" customHeight="true">
      <c r="A656" s="110">
        <v>46112</v>
      </c>
      <c r="B656" s="71">
        <f>=TODAY()-A656+1</f>
        <v>113</v>
      </c>
      <c r="C656" s="98" t="s">
        <v>219</v>
      </c>
      <c r="D656" t="s">
        <v>217</v>
      </c>
      <c r="E656" s="247" t="s">
        <v>1506</v>
      </c>
      <c r="F656" t="s">
        <v>1428</v>
      </c>
      <c r="G656" s="108" t="s">
        <v>503</v>
      </c>
      <c r="H656" s="64" t="s">
        <v>422</v>
      </c>
      <c r="I656" s="62" t="s">
        <v>1507</v>
      </c>
      <c r="J656" s="62">
        <v>2</v>
      </c>
      <c r="L656" s="62">
        <v>1540</v>
      </c>
      <c r="M656" s="217">
        <f>=J656*L656</f>
        <v>3080</v>
      </c>
      <c r="N656" s="97">
        <v>2.5</v>
      </c>
      <c r="O656" s="189">
        <f>=ROUND(IF((TODAY()-A656+1)*N656*(L656/10000)+L656&lt;L656*1.002,L656*1.002,(TODAY()-A656+1)*N656*(L656/10000)+L656),2)</f>
        <v>1583.89</v>
      </c>
      <c r="P656" s="62">
        <v>2</v>
      </c>
      <c r="Q656" s="71">
        <f>=J656-P656</f>
        <v>0</v>
      </c>
      <c r="R656" s="62">
        <v>2</v>
      </c>
      <c r="S656" s="112">
        <f>=P656-R656</f>
        <v>0</v>
      </c>
      <c r="T656" s="71">
        <f>=S656*L656</f>
        <v>0</v>
      </c>
      <c r="U656" s="190">
        <f>=J656-P656</f>
        <v>0</v>
      </c>
    </row>
    <row r="657" spans="1:21" ht="15.75" customHeight="true">
      <c r="A657" s="80">
        <v>46112</v>
      </c>
      <c r="B657" s="71">
        <f>=TODAY()-A657+1</f>
        <v>113</v>
      </c>
      <c r="C657" s="98" t="s">
        <v>219</v>
      </c>
      <c r="D657" t="s">
        <v>217</v>
      </c>
      <c r="E657" s="247" t="s">
        <v>1508</v>
      </c>
      <c r="F657" t="s">
        <v>1428</v>
      </c>
      <c r="G657" s="108" t="s">
        <v>503</v>
      </c>
      <c r="H657" s="64" t="s">
        <v>422</v>
      </c>
      <c r="I657" s="62" t="s">
        <v>1509</v>
      </c>
      <c r="J657" s="62">
        <v>2</v>
      </c>
      <c r="L657" s="62">
        <v>1540</v>
      </c>
      <c r="M657" s="217">
        <f>=J657*L657</f>
        <v>3080</v>
      </c>
      <c r="N657" s="97">
        <v>2.5</v>
      </c>
      <c r="O657" s="189">
        <f>=ROUND(IF((TODAY()-A657+1)*N657*(L657/10000)+L657&lt;L657*1.002,L657*1.002,(TODAY()-A657+1)*N657*(L657/10000)+L657),2)</f>
        <v>1583.89</v>
      </c>
      <c r="P657" s="62">
        <v>2</v>
      </c>
      <c r="Q657" s="71">
        <f>=J657-P657</f>
        <v>0</v>
      </c>
      <c r="R657" s="62">
        <v>2</v>
      </c>
      <c r="S657" s="112">
        <f>=P657-R657</f>
        <v>0</v>
      </c>
      <c r="T657" s="71">
        <f>=S657*L657</f>
        <v>0</v>
      </c>
      <c r="U657" s="190">
        <f>=J657-P657</f>
        <v>0</v>
      </c>
    </row>
    <row r="658" spans="1:21" ht="15.75" customHeight="true">
      <c r="A658" s="80">
        <v>46112</v>
      </c>
      <c r="B658" s="71">
        <f>=TODAY()-A658+1</f>
        <v>113</v>
      </c>
      <c r="C658" s="98" t="s">
        <v>219</v>
      </c>
      <c r="D658" t="s">
        <v>217</v>
      </c>
      <c r="E658" s="247" t="s">
        <v>1510</v>
      </c>
      <c r="F658" t="s">
        <v>1428</v>
      </c>
      <c r="G658" s="62" t="s">
        <v>1438</v>
      </c>
      <c r="H658" s="62" t="s">
        <v>422</v>
      </c>
      <c r="I658" s="62" t="s">
        <v>1511</v>
      </c>
      <c r="J658" s="62">
        <v>2</v>
      </c>
      <c r="L658" s="62">
        <v>1645</v>
      </c>
      <c r="M658" s="217">
        <f>=J658*L658</f>
        <v>3290</v>
      </c>
      <c r="N658" s="97">
        <v>2.5</v>
      </c>
      <c r="O658" s="189">
        <f>=ROUND(IF((TODAY()-A658+1)*N658*(L658/10000)+L658&lt;L658*1.002,L658*1.002,(TODAY()-A658+1)*N658*(L658/10000)+L658),2)</f>
        <v>1691.88</v>
      </c>
      <c r="P658" s="62">
        <v>2</v>
      </c>
      <c r="Q658" s="71">
        <f>=J658-P658</f>
        <v>0</v>
      </c>
      <c r="R658" s="62">
        <v>2</v>
      </c>
      <c r="S658" s="112">
        <f>=P658-R658</f>
        <v>0</v>
      </c>
      <c r="T658" s="71">
        <f>=S658*L658</f>
        <v>0</v>
      </c>
      <c r="U658" s="190">
        <f>=J658-P658</f>
        <v>0</v>
      </c>
    </row>
    <row r="659" spans="1:21" ht="15.75" customHeight="true">
      <c r="A659" s="80">
        <v>46111</v>
      </c>
      <c r="B659" s="71">
        <f>=TODAY()-A659+1</f>
        <v>114</v>
      </c>
      <c r="C659" s="98" t="s">
        <v>218</v>
      </c>
      <c r="D659" t="s">
        <v>217</v>
      </c>
      <c r="E659" s="247" t="s">
        <v>1512</v>
      </c>
      <c r="F659" t="s">
        <v>1428</v>
      </c>
      <c r="G659" s="62" t="s">
        <v>895</v>
      </c>
      <c r="H659" s="62" t="s">
        <v>422</v>
      </c>
      <c r="I659" t="s">
        <v>1513</v>
      </c>
      <c r="J659">
        <v>1</v>
      </c>
      <c r="L659">
        <v>1260</v>
      </c>
      <c r="M659" s="217">
        <f>=J659*L659</f>
        <v>1260</v>
      </c>
      <c r="N659" s="97">
        <v>2.5</v>
      </c>
      <c r="O659" s="189">
        <f>=ROUND(IF((TODAY()-A659+1)*N659*(L659/10000)+L659&lt;L659*1.002,L659*1.002,(TODAY()-A659+1)*N659*(L659/10000)+L659),2)</f>
        <v>1296.23</v>
      </c>
      <c r="P659">
        <v>1</v>
      </c>
      <c r="Q659" s="71">
        <f>=J659-P659</f>
        <v>0</v>
      </c>
      <c r="R659">
        <v>1</v>
      </c>
      <c r="S659" s="112">
        <f>=P659-R659</f>
        <v>0</v>
      </c>
      <c r="T659" s="71">
        <f>=S659*L659</f>
        <v>0</v>
      </c>
      <c r="U659" s="190">
        <f>=J659-P659</f>
        <v>0</v>
      </c>
    </row>
    <row r="660" spans="1:21" ht="15.75" customHeight="true">
      <c r="A660" s="80">
        <v>46112</v>
      </c>
      <c r="B660" s="71">
        <f>=TODAY()-A660+1</f>
        <v>113</v>
      </c>
      <c r="C660" s="98" t="s">
        <v>219</v>
      </c>
      <c r="D660" t="s">
        <v>217</v>
      </c>
      <c r="E660" s="247" t="s">
        <v>1514</v>
      </c>
      <c r="F660" t="s">
        <v>1428</v>
      </c>
      <c r="G660" s="62" t="s">
        <v>895</v>
      </c>
      <c r="H660" s="62" t="s">
        <v>422</v>
      </c>
      <c r="I660" t="s">
        <v>1515</v>
      </c>
      <c r="J660">
        <v>1</v>
      </c>
      <c r="L660">
        <v>1225</v>
      </c>
      <c r="M660" s="217">
        <f>=J660*L660</f>
        <v>1225</v>
      </c>
      <c r="N660" s="97">
        <v>2.5</v>
      </c>
      <c r="O660" s="189">
        <f>=ROUND(IF((TODAY()-A660+1)*N660*(L660/10000)+L660&lt;L660*1.002,L660*1.002,(TODAY()-A660+1)*N660*(L660/10000)+L660),2)</f>
        <v>1259.91</v>
      </c>
      <c r="P660">
        <v>1</v>
      </c>
      <c r="Q660" s="71">
        <f>=J660-P660</f>
        <v>0</v>
      </c>
      <c r="R660">
        <v>1</v>
      </c>
      <c r="S660" s="112">
        <f>=P660-R660</f>
        <v>0</v>
      </c>
      <c r="T660" s="71">
        <f>=S660*L660</f>
        <v>0</v>
      </c>
      <c r="U660" s="190">
        <f>=J660-P660</f>
        <v>0</v>
      </c>
    </row>
    <row r="661" spans="1:21" ht="15.75" customHeight="true">
      <c r="A661" s="80">
        <v>46112</v>
      </c>
      <c r="B661" s="71">
        <f>=TODAY()-A661+1</f>
        <v>113</v>
      </c>
      <c r="C661" s="98" t="s">
        <v>219</v>
      </c>
      <c r="D661" t="s">
        <v>217</v>
      </c>
      <c r="E661" s="247" t="s">
        <v>1516</v>
      </c>
      <c r="F661" t="s">
        <v>1428</v>
      </c>
      <c r="G661" s="62" t="s">
        <v>895</v>
      </c>
      <c r="H661" s="62" t="s">
        <v>422</v>
      </c>
      <c r="I661" t="s">
        <v>1517</v>
      </c>
      <c r="J661">
        <v>1</v>
      </c>
      <c r="L661">
        <v>1225</v>
      </c>
      <c r="M661" s="217">
        <f>=J661*L661</f>
        <v>1225</v>
      </c>
      <c r="N661" s="97">
        <v>2.5</v>
      </c>
      <c r="O661" s="189">
        <f>=ROUND(IF((TODAY()-A661+1)*N661*(L661/10000)+L661&lt;L661*1.002,L661*1.002,(TODAY()-A661+1)*N661*(L661/10000)+L661),2)</f>
        <v>1259.91</v>
      </c>
      <c r="P661">
        <v>1</v>
      </c>
      <c r="Q661" s="71">
        <f>=J661-P661</f>
        <v>0</v>
      </c>
      <c r="R661">
        <v>1</v>
      </c>
      <c r="S661" s="112">
        <f>=P661-R661</f>
        <v>0</v>
      </c>
      <c r="T661" s="71">
        <f>=S661*L661</f>
        <v>0</v>
      </c>
      <c r="U661" s="190">
        <f>=J661-P661</f>
        <v>0</v>
      </c>
    </row>
    <row r="662" spans="1:21" ht="15.75" customHeight="true">
      <c r="A662" s="80">
        <v>46112</v>
      </c>
      <c r="B662" s="71">
        <f>=TODAY()-A662+1</f>
        <v>113</v>
      </c>
      <c r="C662" s="98" t="s">
        <v>219</v>
      </c>
      <c r="D662" t="s">
        <v>217</v>
      </c>
      <c r="E662" s="247" t="s">
        <v>1518</v>
      </c>
      <c r="F662" t="s">
        <v>1428</v>
      </c>
      <c r="G662" s="62" t="s">
        <v>895</v>
      </c>
      <c r="H662" s="62" t="s">
        <v>422</v>
      </c>
      <c r="I662" t="s">
        <v>1519</v>
      </c>
      <c r="J662">
        <v>1</v>
      </c>
      <c r="L662">
        <v>1645</v>
      </c>
      <c r="M662" s="217">
        <f>=J662*L662</f>
        <v>1645</v>
      </c>
      <c r="N662" s="97">
        <v>2.5</v>
      </c>
      <c r="O662" s="189">
        <f>=ROUND(IF((TODAY()-A662+1)*N662*(L662/10000)+L662&lt;L662*1.002,L662*1.002,(TODAY()-A662+1)*N662*(L662/10000)+L662),2)</f>
        <v>1691.88</v>
      </c>
      <c r="P662">
        <v>1</v>
      </c>
      <c r="Q662" s="71">
        <f>=J662-P662</f>
        <v>0</v>
      </c>
      <c r="R662">
        <v>1</v>
      </c>
      <c r="S662" s="112">
        <f>=P662-R662</f>
        <v>0</v>
      </c>
      <c r="T662" s="71">
        <f>=S662*L662</f>
        <v>0</v>
      </c>
      <c r="U662" s="190">
        <f>=J662-P662</f>
        <v>0</v>
      </c>
    </row>
    <row r="663" spans="1:21" ht="15.75" customHeight="true">
      <c r="A663" s="80">
        <v>46112</v>
      </c>
      <c r="B663" s="71">
        <f>=TODAY()-A663+1</f>
        <v>113</v>
      </c>
      <c r="C663" s="98" t="s">
        <v>219</v>
      </c>
      <c r="D663" t="s">
        <v>217</v>
      </c>
      <c r="E663" s="247" t="s">
        <v>1520</v>
      </c>
      <c r="F663" t="s">
        <v>1428</v>
      </c>
      <c r="G663" s="62" t="s">
        <v>895</v>
      </c>
      <c r="H663" s="62" t="s">
        <v>422</v>
      </c>
      <c r="I663" t="s">
        <v>1521</v>
      </c>
      <c r="J663">
        <v>1</v>
      </c>
      <c r="L663">
        <v>840</v>
      </c>
      <c r="M663" s="217">
        <f>=J663*L663</f>
        <v>840</v>
      </c>
      <c r="N663" s="97">
        <v>2.5</v>
      </c>
      <c r="O663" s="189">
        <f>=ROUND(IF((TODAY()-A663+1)*N663*(L663/10000)+L663&lt;L663*1.002,L663*1.002,(TODAY()-A663+1)*N663*(L663/10000)+L663),2)</f>
        <v>863.94</v>
      </c>
      <c r="P663">
        <v>1</v>
      </c>
      <c r="Q663" s="71">
        <f>=J663-P663</f>
        <v>0</v>
      </c>
      <c r="R663">
        <v>1</v>
      </c>
      <c r="S663" s="112">
        <f>=P663-R663</f>
        <v>0</v>
      </c>
      <c r="T663" s="71">
        <f>=S663*L663</f>
        <v>0</v>
      </c>
      <c r="U663" s="190">
        <f>=J663-P663</f>
        <v>0</v>
      </c>
    </row>
    <row r="664" spans="1:21" ht="15.75" customHeight="true">
      <c r="A664" s="80">
        <v>46112</v>
      </c>
      <c r="B664" s="71">
        <f>=TODAY()-A664+1</f>
        <v>113</v>
      </c>
      <c r="C664" s="98" t="s">
        <v>219</v>
      </c>
      <c r="D664" t="s">
        <v>217</v>
      </c>
      <c r="E664" s="247" t="s">
        <v>1522</v>
      </c>
      <c r="F664" t="s">
        <v>1428</v>
      </c>
      <c r="G664" s="62" t="s">
        <v>895</v>
      </c>
      <c r="H664" s="62" t="s">
        <v>422</v>
      </c>
      <c r="I664" t="s">
        <v>1523</v>
      </c>
      <c r="J664">
        <v>1</v>
      </c>
      <c r="L664">
        <v>1750</v>
      </c>
      <c r="M664" s="217">
        <f>=J664*L664</f>
        <v>1750</v>
      </c>
      <c r="N664" s="97">
        <v>2.5</v>
      </c>
      <c r="O664" s="189">
        <f>=ROUND(IF((TODAY()-A664+1)*N664*(L664/10000)+L664&lt;L664*1.002,L664*1.002,(TODAY()-A664+1)*N664*(L664/10000)+L664),2)</f>
        <v>1799.88</v>
      </c>
      <c r="P664">
        <v>1</v>
      </c>
      <c r="Q664" s="71">
        <f>=J664-P664</f>
        <v>0</v>
      </c>
      <c r="R664">
        <v>1</v>
      </c>
      <c r="S664" s="112">
        <f>=P664-R664</f>
        <v>0</v>
      </c>
      <c r="T664" s="71">
        <f>=S664*L664</f>
        <v>0</v>
      </c>
      <c r="U664" s="190">
        <f>=J664-P664</f>
        <v>0</v>
      </c>
    </row>
    <row r="665" spans="1:21" ht="15.75" customHeight="true">
      <c r="A665" s="80">
        <v>46112</v>
      </c>
      <c r="B665" s="71">
        <f>=TODAY()-A665+1</f>
        <v>113</v>
      </c>
      <c r="C665" s="98" t="s">
        <v>219</v>
      </c>
      <c r="D665" t="s">
        <v>217</v>
      </c>
      <c r="E665" s="247" t="s">
        <v>1524</v>
      </c>
      <c r="F665" t="s">
        <v>1428</v>
      </c>
      <c r="G665" s="62" t="s">
        <v>895</v>
      </c>
      <c r="H665" s="62" t="s">
        <v>422</v>
      </c>
      <c r="I665" t="s">
        <v>1525</v>
      </c>
      <c r="J665">
        <v>1</v>
      </c>
      <c r="L665">
        <v>1925</v>
      </c>
      <c r="M665" s="217">
        <f>=J665*L665</f>
        <v>1925</v>
      </c>
      <c r="N665" s="97">
        <v>2.5</v>
      </c>
      <c r="O665" s="189">
        <f>=ROUND(IF((TODAY()-A665+1)*N665*(L665/10000)+L665&lt;L665*1.002,L665*1.002,(TODAY()-A665+1)*N665*(L665/10000)+L665),2)</f>
        <v>1979.86</v>
      </c>
      <c r="P665">
        <v>1</v>
      </c>
      <c r="Q665" s="71">
        <f>=J665-P665</f>
        <v>0</v>
      </c>
      <c r="R665">
        <v>1</v>
      </c>
      <c r="S665" s="112">
        <f>=P665-R665</f>
        <v>0</v>
      </c>
      <c r="T665" s="71">
        <f>=S665*L665</f>
        <v>0</v>
      </c>
      <c r="U665" s="190">
        <f>=J665-P665</f>
        <v>0</v>
      </c>
    </row>
    <row r="666" spans="1:21" ht="15.75" customHeight="true">
      <c r="A666" s="80">
        <v>46112</v>
      </c>
      <c r="B666" s="71">
        <f>=TODAY()-A666+1</f>
        <v>113</v>
      </c>
      <c r="C666" s="98" t="s">
        <v>219</v>
      </c>
      <c r="D666" t="s">
        <v>217</v>
      </c>
      <c r="E666" s="247" t="s">
        <v>1526</v>
      </c>
      <c r="F666" t="s">
        <v>1428</v>
      </c>
      <c r="G666" t="s">
        <v>864</v>
      </c>
      <c r="H666" t="s">
        <v>422</v>
      </c>
      <c r="I666" t="s">
        <v>1527</v>
      </c>
      <c r="J666">
        <v>1</v>
      </c>
      <c r="L666">
        <v>2520</v>
      </c>
      <c r="M666" s="217">
        <f>=J666*L666</f>
        <v>2520</v>
      </c>
      <c r="N666" s="97">
        <v>2.5</v>
      </c>
      <c r="O666" s="189">
        <f>=ROUND(IF((TODAY()-A666+1)*N666*(L666/10000)+L666&lt;L666*1.002,L666*1.002,(TODAY()-A666+1)*N666*(L666/10000)+L666),2)</f>
        <v>2591.82</v>
      </c>
      <c r="P666">
        <v>1</v>
      </c>
      <c r="Q666" s="71">
        <f>=J666-P666</f>
        <v>0</v>
      </c>
      <c r="R666">
        <v>1</v>
      </c>
      <c r="S666" s="112">
        <f>=P666-R666</f>
        <v>0</v>
      </c>
      <c r="T666" s="71">
        <f>=S666*L666</f>
        <v>0</v>
      </c>
      <c r="U666" s="190">
        <f>=J666-P666</f>
        <v>0</v>
      </c>
    </row>
    <row r="667" spans="1:21" ht="15.75" customHeight="true">
      <c r="A667" s="80">
        <v>46112</v>
      </c>
      <c r="B667" s="71">
        <f>=TODAY()-A667+1</f>
        <v>113</v>
      </c>
      <c r="C667" s="98" t="s">
        <v>219</v>
      </c>
      <c r="D667" t="s">
        <v>217</v>
      </c>
      <c r="E667" s="247" t="s">
        <v>1528</v>
      </c>
      <c r="F667" t="s">
        <v>1428</v>
      </c>
      <c r="G667" s="95" t="s">
        <v>864</v>
      </c>
      <c r="H667" s="95" t="s">
        <v>422</v>
      </c>
      <c r="I667" s="62" t="s">
        <v>1529</v>
      </c>
      <c r="J667">
        <v>1</v>
      </c>
      <c r="L667">
        <v>1330</v>
      </c>
      <c r="M667" s="217">
        <f>=J667*L667</f>
        <v>1330</v>
      </c>
      <c r="N667" s="97">
        <v>2.5</v>
      </c>
      <c r="O667" s="189">
        <f>=ROUND(IF((TODAY()-A667+1)*N667*(L667/10000)+L667&lt;L667*1.002,L667*1.002,(TODAY()-A667+1)*N667*(L667/10000)+L667),2)</f>
        <v>1367.91</v>
      </c>
      <c r="P667">
        <v>1</v>
      </c>
      <c r="Q667" s="71">
        <f>=J667-P667</f>
        <v>0</v>
      </c>
      <c r="R667">
        <v>1</v>
      </c>
      <c r="S667" s="112">
        <f>=P667-R667</f>
        <v>0</v>
      </c>
      <c r="T667" s="71">
        <f>=S667*L667</f>
        <v>0</v>
      </c>
      <c r="U667" s="190">
        <f>=J667-P667</f>
        <v>0</v>
      </c>
    </row>
    <row r="668" spans="1:21" ht="15.75" customHeight="true">
      <c r="A668" s="80">
        <v>46112</v>
      </c>
      <c r="B668" s="71">
        <f>=TODAY()-A668+1</f>
        <v>113</v>
      </c>
      <c r="C668" s="98" t="s">
        <v>219</v>
      </c>
      <c r="D668" t="s">
        <v>217</v>
      </c>
      <c r="E668" s="247" t="s">
        <v>1530</v>
      </c>
      <c r="F668" s="87" t="s">
        <v>1428</v>
      </c>
      <c r="G668" s="254" t="s">
        <v>864</v>
      </c>
      <c r="H668" s="254" t="s">
        <v>422</v>
      </c>
      <c r="I668" s="83" t="s">
        <v>1531</v>
      </c>
      <c r="J668" s="258">
        <v>1</v>
      </c>
      <c r="L668" s="258">
        <v>1785</v>
      </c>
      <c r="M668" s="228">
        <f>=J668*L668</f>
        <v>1785</v>
      </c>
      <c r="N668" s="97">
        <v>2.5</v>
      </c>
      <c r="O668" s="189">
        <f>=ROUND(IF((TODAY()-A668+1)*N668*(L668/10000)+L668&lt;L668*1.002,L668*1.002,(TODAY()-A668+1)*N668*(L668/10000)+L668),2)</f>
        <v>1835.87</v>
      </c>
      <c r="P668" s="87">
        <v>1</v>
      </c>
      <c r="Q668" s="71">
        <f>=J668-P668</f>
        <v>0</v>
      </c>
      <c r="R668" s="87">
        <v>1</v>
      </c>
      <c r="S668" s="112">
        <f>=P668-R668</f>
        <v>0</v>
      </c>
      <c r="T668" s="71">
        <f>=S668*L668</f>
        <v>0</v>
      </c>
      <c r="U668" s="190">
        <f>=J668-P668</f>
        <v>0</v>
      </c>
    </row>
    <row r="669" spans="1:21" ht="15.75" customHeight="true">
      <c r="A669" s="80">
        <v>46112</v>
      </c>
      <c r="B669" s="71">
        <f>=TODAY()-A669+1</f>
        <v>113</v>
      </c>
      <c r="C669" s="98" t="s">
        <v>219</v>
      </c>
      <c r="D669" t="s">
        <v>217</v>
      </c>
      <c r="E669" s="247" t="s">
        <v>1532</v>
      </c>
      <c r="F669" s="87" t="s">
        <v>1428</v>
      </c>
      <c r="G669" s="254" t="s">
        <v>864</v>
      </c>
      <c r="H669" s="254" t="s">
        <v>422</v>
      </c>
      <c r="I669" s="83" t="s">
        <v>1533</v>
      </c>
      <c r="J669" s="258">
        <v>1</v>
      </c>
      <c r="L669" s="258">
        <v>2030</v>
      </c>
      <c r="M669" s="228">
        <f>=J669*L669</f>
        <v>2030</v>
      </c>
      <c r="N669" s="97">
        <v>2.5</v>
      </c>
      <c r="O669" s="189">
        <f>=ROUND(IF((TODAY()-A669+1)*N669*(L669/10000)+L669&lt;L669*1.002,L669*1.002,(TODAY()-A669+1)*N669*(L669/10000)+L669),2)</f>
        <v>2087.86</v>
      </c>
      <c r="P669" s="87">
        <v>1</v>
      </c>
      <c r="Q669" s="71">
        <f>=J669-P669</f>
        <v>0</v>
      </c>
      <c r="R669" s="87">
        <v>1</v>
      </c>
      <c r="S669" s="112">
        <f>=P669-R669</f>
        <v>0</v>
      </c>
      <c r="T669" s="71">
        <f>=S669*L669</f>
        <v>0</v>
      </c>
      <c r="U669" s="190">
        <f>=J669-P669</f>
        <v>0</v>
      </c>
    </row>
    <row r="670" spans="1:21" ht="15.75" customHeight="true">
      <c r="A670" s="80">
        <v>46112</v>
      </c>
      <c r="B670" s="71">
        <f>=TODAY()-A670+1</f>
        <v>113</v>
      </c>
      <c r="C670" s="98" t="s">
        <v>219</v>
      </c>
      <c r="D670" t="s">
        <v>217</v>
      </c>
      <c r="E670" s="247" t="s">
        <v>1534</v>
      </c>
      <c r="F670" s="87" t="s">
        <v>1428</v>
      </c>
      <c r="G670" s="254" t="s">
        <v>864</v>
      </c>
      <c r="H670" s="254" t="s">
        <v>422</v>
      </c>
      <c r="I670" s="83" t="s">
        <v>1535</v>
      </c>
      <c r="J670" s="258">
        <v>1</v>
      </c>
      <c r="L670" s="258">
        <v>1995</v>
      </c>
      <c r="M670" s="228">
        <f>=J670*L670</f>
        <v>1995</v>
      </c>
      <c r="N670" s="97">
        <v>2.5</v>
      </c>
      <c r="O670" s="189">
        <f>=ROUND(IF((TODAY()-A670+1)*N670*(L670/10000)+L670&lt;L670*1.002,L670*1.002,(TODAY()-A670+1)*N670*(L670/10000)+L670),2)</f>
        <v>2051.86</v>
      </c>
      <c r="P670" s="87">
        <v>1</v>
      </c>
      <c r="Q670" s="71">
        <f>=J670-P670</f>
        <v>0</v>
      </c>
      <c r="R670" s="87">
        <v>1</v>
      </c>
      <c r="S670" s="112">
        <f>=P670-R670</f>
        <v>0</v>
      </c>
      <c r="T670" s="71">
        <f>=S670*L670</f>
        <v>0</v>
      </c>
      <c r="U670" s="190">
        <f>=J670-P670</f>
        <v>0</v>
      </c>
    </row>
    <row r="671" spans="1:21" ht="15.75" customHeight="true">
      <c r="A671" s="80">
        <v>46112</v>
      </c>
      <c r="B671" s="71">
        <f>=TODAY()-A671+1</f>
        <v>113</v>
      </c>
      <c r="C671" s="98" t="s">
        <v>219</v>
      </c>
      <c r="D671" t="s">
        <v>217</v>
      </c>
      <c r="E671" s="247" t="s">
        <v>1536</v>
      </c>
      <c r="F671" s="87" t="s">
        <v>1428</v>
      </c>
      <c r="G671" s="254" t="s">
        <v>864</v>
      </c>
      <c r="H671" s="254" t="s">
        <v>422</v>
      </c>
      <c r="I671" s="83" t="s">
        <v>1537</v>
      </c>
      <c r="J671" s="258">
        <v>1</v>
      </c>
      <c r="L671" s="258">
        <v>2240</v>
      </c>
      <c r="M671" s="228">
        <f>=J671*L671</f>
        <v>2240</v>
      </c>
      <c r="N671" s="97">
        <v>2.5</v>
      </c>
      <c r="O671" s="189">
        <f>=ROUND(IF((TODAY()-A671+1)*N671*(L671/10000)+L671&lt;L671*1.002,L671*1.002,(TODAY()-A671+1)*N671*(L671/10000)+L671),2)</f>
        <v>2303.84</v>
      </c>
      <c r="P671" s="87">
        <v>1</v>
      </c>
      <c r="Q671" s="71">
        <f>=J671-P671</f>
        <v>0</v>
      </c>
      <c r="R671" s="87">
        <v>1</v>
      </c>
      <c r="S671" s="112">
        <f>=P671-R671</f>
        <v>0</v>
      </c>
      <c r="T671" s="71">
        <f>=S671*L671</f>
        <v>0</v>
      </c>
      <c r="U671" s="190">
        <f>=J671-P671</f>
        <v>0</v>
      </c>
    </row>
    <row r="672" spans="1:21" ht="15.75" customHeight="true">
      <c r="A672" s="80">
        <v>46112</v>
      </c>
      <c r="B672" s="71">
        <f>=TODAY()-A672+1</f>
        <v>113</v>
      </c>
      <c r="C672" s="98" t="s">
        <v>219</v>
      </c>
      <c r="D672" t="s">
        <v>217</v>
      </c>
      <c r="E672" s="247" t="s">
        <v>1538</v>
      </c>
      <c r="F672" s="87" t="s">
        <v>1428</v>
      </c>
      <c r="G672" s="254" t="s">
        <v>864</v>
      </c>
      <c r="H672" s="254" t="s">
        <v>422</v>
      </c>
      <c r="I672" s="83" t="s">
        <v>1539</v>
      </c>
      <c r="J672" s="258">
        <v>1</v>
      </c>
      <c r="L672" s="258">
        <v>1540</v>
      </c>
      <c r="M672" s="228">
        <f>=J672*L672</f>
        <v>1540</v>
      </c>
      <c r="N672" s="97">
        <v>2.5</v>
      </c>
      <c r="O672" s="189">
        <f>=ROUND(IF((TODAY()-A672+1)*N672*(L672/10000)+L672&lt;L672*1.002,L672*1.002,(TODAY()-A672+1)*N672*(L672/10000)+L672),2)</f>
        <v>1583.89</v>
      </c>
      <c r="P672" s="87">
        <v>1</v>
      </c>
      <c r="Q672" s="71">
        <f>=J672-P672</f>
        <v>0</v>
      </c>
      <c r="R672" s="87">
        <v>1</v>
      </c>
      <c r="S672" s="112">
        <f>=P672-R672</f>
        <v>0</v>
      </c>
      <c r="T672" s="71">
        <f>=S672*L672</f>
        <v>0</v>
      </c>
      <c r="U672" s="190">
        <f>=J672-P672</f>
        <v>0</v>
      </c>
    </row>
    <row r="673" spans="1:21" ht="15.75" customHeight="true">
      <c r="A673" s="80">
        <v>46112</v>
      </c>
      <c r="B673" s="71">
        <f>=TODAY()-A673+1</f>
        <v>113</v>
      </c>
      <c r="C673" s="98" t="s">
        <v>219</v>
      </c>
      <c r="D673" t="s">
        <v>217</v>
      </c>
      <c r="E673" s="247" t="s">
        <v>1540</v>
      </c>
      <c r="F673" t="s">
        <v>1428</v>
      </c>
      <c r="G673" s="254" t="s">
        <v>864</v>
      </c>
      <c r="H673" s="254" t="s">
        <v>422</v>
      </c>
      <c r="I673" s="83" t="s">
        <v>1541</v>
      </c>
      <c r="J673">
        <v>1</v>
      </c>
      <c r="L673">
        <v>1470</v>
      </c>
      <c r="M673" s="217">
        <f>=J673*L673</f>
        <v>1470</v>
      </c>
      <c r="N673" s="97">
        <v>2.5</v>
      </c>
      <c r="O673" s="189">
        <f>=ROUND(IF((TODAY()-A673+1)*N673*(L673/10000)+L673&lt;L673*1.002,L673*1.002,(TODAY()-A673+1)*N673*(L673/10000)+L673),2)</f>
        <v>1511.9</v>
      </c>
      <c r="P673">
        <v>1</v>
      </c>
      <c r="Q673" s="71">
        <f>=J673-P673</f>
        <v>0</v>
      </c>
      <c r="R673">
        <v>1</v>
      </c>
      <c r="S673" s="112">
        <f>=P673-R673</f>
        <v>0</v>
      </c>
      <c r="T673" s="71">
        <f>=S673*L673</f>
        <v>0</v>
      </c>
      <c r="U673" s="190">
        <f>=J673-P673</f>
        <v>0</v>
      </c>
    </row>
    <row r="674" spans="1:21" ht="15.75" customHeight="true">
      <c r="A674" s="80">
        <v>46112</v>
      </c>
      <c r="B674" s="71">
        <f>=TODAY()-A674+1</f>
        <v>113</v>
      </c>
      <c r="C674" s="98" t="s">
        <v>219</v>
      </c>
      <c r="D674" t="s">
        <v>217</v>
      </c>
      <c r="E674" s="247" t="s">
        <v>1542</v>
      </c>
      <c r="F674" t="s">
        <v>1428</v>
      </c>
      <c r="G674" s="95" t="s">
        <v>864</v>
      </c>
      <c r="H674" s="95" t="s">
        <v>422</v>
      </c>
      <c r="I674" s="62" t="s">
        <v>1543</v>
      </c>
      <c r="J674">
        <v>1</v>
      </c>
      <c r="L674">
        <v>1470</v>
      </c>
      <c r="M674" s="217">
        <f>=J674*L674</f>
        <v>1470</v>
      </c>
      <c r="N674" s="97">
        <v>2.5</v>
      </c>
      <c r="O674" s="189">
        <f>=ROUND(IF((TODAY()-A674+1)*N674*(L674/10000)+L674&lt;L674*1.002,L674*1.002,(TODAY()-A674+1)*N674*(L674/10000)+L674),2)</f>
        <v>1511.9</v>
      </c>
      <c r="P674">
        <v>1</v>
      </c>
      <c r="Q674" s="71">
        <f>=J674-P674</f>
        <v>0</v>
      </c>
      <c r="R674">
        <v>1</v>
      </c>
      <c r="S674" s="112">
        <f>=P674-R674</f>
        <v>0</v>
      </c>
      <c r="T674" s="71">
        <f>=S674*L674</f>
        <v>0</v>
      </c>
      <c r="U674" s="190">
        <f>=J674-P674</f>
        <v>0</v>
      </c>
    </row>
    <row r="675" spans="1:21" ht="15.75" customHeight="true">
      <c r="A675" s="110">
        <v>46112</v>
      </c>
      <c r="B675" s="71">
        <f>=TODAY()-A675+1</f>
        <v>113</v>
      </c>
      <c r="C675" s="98" t="s">
        <v>219</v>
      </c>
      <c r="D675" t="s">
        <v>217</v>
      </c>
      <c r="E675" s="247" t="s">
        <v>1544</v>
      </c>
      <c r="F675" t="s">
        <v>1428</v>
      </c>
      <c r="G675" s="108" t="s">
        <v>503</v>
      </c>
      <c r="H675" s="64" t="s">
        <v>422</v>
      </c>
      <c r="I675" t="s">
        <v>1545</v>
      </c>
      <c r="J675">
        <v>1</v>
      </c>
      <c r="L675">
        <v>1715</v>
      </c>
      <c r="M675" s="217">
        <f>=J675*L675</f>
        <v>1715</v>
      </c>
      <c r="N675" s="97">
        <v>2.5</v>
      </c>
      <c r="O675" s="189">
        <f>=ROUND(IF((TODAY()-A675+1)*N675*(L675/10000)+L675&lt;L675*1.002,L675*1.002,(TODAY()-A675+1)*N675*(L675/10000)+L675),2)</f>
        <v>1763.88</v>
      </c>
      <c r="P675">
        <v>1</v>
      </c>
      <c r="Q675" s="71">
        <f>=J675-P675</f>
        <v>0</v>
      </c>
      <c r="R675">
        <v>1</v>
      </c>
      <c r="S675" s="112">
        <f>=P675-R675</f>
        <v>0</v>
      </c>
      <c r="T675" s="71">
        <f>=S675*L675</f>
        <v>0</v>
      </c>
      <c r="U675" s="190">
        <f>=J675-P675</f>
        <v>0</v>
      </c>
    </row>
    <row r="676" spans="1:21" ht="15.75" customHeight="true">
      <c r="A676" s="110">
        <v>46112</v>
      </c>
      <c r="B676" s="71">
        <f>=TODAY()-A676+1</f>
        <v>113</v>
      </c>
      <c r="C676" s="98" t="s">
        <v>219</v>
      </c>
      <c r="D676" t="s">
        <v>217</v>
      </c>
      <c r="E676" s="247" t="s">
        <v>1546</v>
      </c>
      <c r="F676" t="s">
        <v>1428</v>
      </c>
      <c r="G676" s="108" t="s">
        <v>503</v>
      </c>
      <c r="H676" s="64" t="s">
        <v>422</v>
      </c>
      <c r="I676" t="s">
        <v>1547</v>
      </c>
      <c r="J676">
        <v>1</v>
      </c>
      <c r="L676">
        <v>1715</v>
      </c>
      <c r="M676" s="217">
        <f>=J676*L676</f>
        <v>1715</v>
      </c>
      <c r="N676" s="97">
        <v>2.5</v>
      </c>
      <c r="O676" s="189">
        <f>=ROUND(IF((TODAY()-A676+1)*N676*(L676/10000)+L676&lt;L676*1.002,L676*1.002,(TODAY()-A676+1)*N676*(L676/10000)+L676),2)</f>
        <v>1763.88</v>
      </c>
      <c r="P676">
        <v>1</v>
      </c>
      <c r="Q676" s="71">
        <f>=J676-P676</f>
        <v>0</v>
      </c>
      <c r="R676">
        <v>1</v>
      </c>
      <c r="S676" s="112">
        <f>=P676-R676</f>
        <v>0</v>
      </c>
      <c r="T676" s="71">
        <f>=S676*L676</f>
        <v>0</v>
      </c>
      <c r="U676" s="190">
        <f>=J676-P676</f>
        <v>0</v>
      </c>
    </row>
    <row r="677" spans="1:21" ht="15.75" customHeight="true">
      <c r="A677" s="110">
        <v>46112</v>
      </c>
      <c r="B677" s="71">
        <f>=TODAY()-A677+1</f>
        <v>113</v>
      </c>
      <c r="C677" s="98" t="s">
        <v>219</v>
      </c>
      <c r="D677" t="s">
        <v>217</v>
      </c>
      <c r="E677" s="247" t="s">
        <v>1548</v>
      </c>
      <c r="F677" t="s">
        <v>1428</v>
      </c>
      <c r="G677" s="108" t="s">
        <v>503</v>
      </c>
      <c r="H677" s="64" t="s">
        <v>422</v>
      </c>
      <c r="I677" t="s">
        <v>1392</v>
      </c>
      <c r="J677">
        <v>1</v>
      </c>
      <c r="L677">
        <v>1715</v>
      </c>
      <c r="M677" s="217">
        <f>=J677*L677</f>
        <v>1715</v>
      </c>
      <c r="N677" s="97">
        <v>2.5</v>
      </c>
      <c r="O677" s="189">
        <f>=ROUND(IF((TODAY()-A677+1)*N677*(L677/10000)+L677&lt;L677*1.002,L677*1.002,(TODAY()-A677+1)*N677*(L677/10000)+L677),2)</f>
        <v>1763.88</v>
      </c>
      <c r="P677">
        <v>1</v>
      </c>
      <c r="Q677" s="71">
        <f>=J677-P677</f>
        <v>0</v>
      </c>
      <c r="R677">
        <v>1</v>
      </c>
      <c r="S677" s="112">
        <f>=P677-R677</f>
        <v>0</v>
      </c>
      <c r="T677" s="71">
        <f>=S677*L677</f>
        <v>0</v>
      </c>
      <c r="U677" s="190">
        <f>=J677-P677</f>
        <v>0</v>
      </c>
    </row>
    <row r="678" spans="1:21" ht="15.75" customHeight="true">
      <c r="A678" s="110">
        <v>46112</v>
      </c>
      <c r="B678" s="71">
        <f>=TODAY()-A678+1</f>
        <v>113</v>
      </c>
      <c r="C678" s="98" t="s">
        <v>219</v>
      </c>
      <c r="D678" t="s">
        <v>217</v>
      </c>
      <c r="E678" s="160" t="s">
        <v>1549</v>
      </c>
      <c r="F678" t="s">
        <v>1428</v>
      </c>
      <c r="G678" s="108" t="s">
        <v>503</v>
      </c>
      <c r="H678" s="64" t="s">
        <v>422</v>
      </c>
      <c r="I678" s="62" t="s">
        <v>1550</v>
      </c>
      <c r="J678" s="62">
        <v>1</v>
      </c>
      <c r="L678" s="62">
        <v>2065</v>
      </c>
      <c r="M678" s="217">
        <f>=J678*L678</f>
        <v>2065</v>
      </c>
      <c r="N678" s="97">
        <v>2.5</v>
      </c>
      <c r="O678" s="189">
        <f>=ROUND(IF((TODAY()-A678+1)*N678*(L678/10000)+L678&lt;L678*1.002,L678*1.002,(TODAY()-A678+1)*N678*(L678/10000)+L678),2)</f>
        <v>2123.85</v>
      </c>
      <c r="P678" s="62">
        <v>1</v>
      </c>
      <c r="Q678" s="71">
        <f>=J678-P678</f>
        <v>0</v>
      </c>
      <c r="R678" s="62">
        <v>1</v>
      </c>
      <c r="S678" s="112">
        <f>=P678-R678</f>
        <v>0</v>
      </c>
      <c r="T678" s="71">
        <f>=S678*L678</f>
        <v>0</v>
      </c>
      <c r="U678" s="190">
        <f>=J678-P678</f>
        <v>0</v>
      </c>
    </row>
    <row r="679" spans="1:21" ht="15.75" customHeight="true">
      <c r="A679" s="110">
        <v>46112</v>
      </c>
      <c r="B679" s="71">
        <f>=TODAY()-A679+1</f>
        <v>113</v>
      </c>
      <c r="C679" s="98" t="s">
        <v>219</v>
      </c>
      <c r="D679" t="s">
        <v>217</v>
      </c>
      <c r="E679" s="160" t="s">
        <v>1551</v>
      </c>
      <c r="F679" t="s">
        <v>1428</v>
      </c>
      <c r="G679" s="108" t="s">
        <v>503</v>
      </c>
      <c r="H679" s="64" t="s">
        <v>422</v>
      </c>
      <c r="I679" t="s">
        <v>1552</v>
      </c>
      <c r="J679">
        <v>1</v>
      </c>
      <c r="L679">
        <v>1225</v>
      </c>
      <c r="M679" s="217">
        <f>=J679*L679</f>
        <v>1225</v>
      </c>
      <c r="N679" s="97">
        <v>2.5</v>
      </c>
      <c r="O679" s="189">
        <f>=ROUND(IF((TODAY()-A679+1)*N679*(L679/10000)+L679&lt;L679*1.002,L679*1.002,(TODAY()-A679+1)*N679*(L679/10000)+L679),2)</f>
        <v>1259.91</v>
      </c>
      <c r="P679">
        <v>1</v>
      </c>
      <c r="Q679" s="71">
        <f>=J679-P679</f>
        <v>0</v>
      </c>
      <c r="R679">
        <v>1</v>
      </c>
      <c r="S679" s="112">
        <f>=P679-R679</f>
        <v>0</v>
      </c>
      <c r="T679" s="71">
        <f>=S679*L679</f>
        <v>0</v>
      </c>
      <c r="U679" s="190">
        <f>=J679-P679</f>
        <v>0</v>
      </c>
    </row>
    <row r="680" spans="1:21" ht="15.75" customHeight="true">
      <c r="A680" s="110">
        <v>46112</v>
      </c>
      <c r="B680" s="71">
        <f>=TODAY()-A680+1</f>
        <v>113</v>
      </c>
      <c r="C680" s="98" t="s">
        <v>219</v>
      </c>
      <c r="D680" t="s">
        <v>217</v>
      </c>
      <c r="E680" s="160" t="s">
        <v>1553</v>
      </c>
      <c r="F680" t="s">
        <v>1428</v>
      </c>
      <c r="G680" s="108" t="s">
        <v>503</v>
      </c>
      <c r="H680" s="64" t="s">
        <v>422</v>
      </c>
      <c r="I680" s="62" t="s">
        <v>1554</v>
      </c>
      <c r="J680" s="62">
        <v>1</v>
      </c>
      <c r="L680" s="62">
        <v>1365</v>
      </c>
      <c r="M680" s="217">
        <f>=J680*L680</f>
        <v>1365</v>
      </c>
      <c r="N680" s="97">
        <v>2.5</v>
      </c>
      <c r="O680" s="189">
        <f>=ROUND(IF((TODAY()-A680+1)*N680*(L680/10000)+L680&lt;L680*1.002,L680*1.002,(TODAY()-A680+1)*N680*(L680/10000)+L680),2)</f>
        <v>1403.9</v>
      </c>
      <c r="P680" s="62">
        <v>1</v>
      </c>
      <c r="Q680" s="71">
        <f>=J680-P680</f>
        <v>0</v>
      </c>
      <c r="R680" s="62">
        <v>1</v>
      </c>
      <c r="S680" s="112">
        <f>=P680-R680</f>
        <v>0</v>
      </c>
      <c r="T680" s="71">
        <f>=S680*L680</f>
        <v>0</v>
      </c>
      <c r="U680" s="190">
        <f>=J680-P680</f>
        <v>0</v>
      </c>
    </row>
    <row r="681" spans="1:21">
      <c r="A681" s="80">
        <v>46112</v>
      </c>
      <c r="B681" s="71">
        <f>=TODAY()-A681+1</f>
        <v>113</v>
      </c>
      <c r="C681" s="98" t="s">
        <v>219</v>
      </c>
      <c r="D681" t="s">
        <v>217</v>
      </c>
      <c r="E681" s="160" t="s">
        <v>1555</v>
      </c>
      <c r="F681" t="s">
        <v>1428</v>
      </c>
      <c r="G681" s="108" t="s">
        <v>503</v>
      </c>
      <c r="H681" s="64" t="s">
        <v>422</v>
      </c>
      <c r="I681" s="62" t="s">
        <v>1556</v>
      </c>
      <c r="J681" s="62">
        <v>1</v>
      </c>
      <c r="L681" s="62">
        <v>1995</v>
      </c>
      <c r="M681" s="217">
        <f>=J681*L681</f>
        <v>1995</v>
      </c>
      <c r="N681" s="97">
        <v>2.5</v>
      </c>
      <c r="O681" s="189">
        <f>=ROUND(IF((TODAY()-A681+1)*N681*(L681/10000)+L681&lt;L681*1.002,L681*1.002,(TODAY()-A681+1)*N681*(L681/10000)+L681),2)</f>
        <v>2051.86</v>
      </c>
      <c r="P681" s="62">
        <v>1</v>
      </c>
      <c r="Q681" s="71">
        <f>=J681-P681</f>
        <v>0</v>
      </c>
      <c r="R681" s="62">
        <v>1</v>
      </c>
      <c r="S681" s="112">
        <f>=P681-R681</f>
        <v>0</v>
      </c>
      <c r="T681" s="71">
        <f>=S681*L681</f>
        <v>0</v>
      </c>
      <c r="U681" s="190">
        <f>=J681-P681</f>
        <v>0</v>
      </c>
    </row>
    <row r="682" spans="1:21">
      <c r="A682" s="80">
        <v>46112</v>
      </c>
      <c r="B682" s="71">
        <f>=TODAY()-A682+1</f>
        <v>113</v>
      </c>
      <c r="C682" s="98" t="s">
        <v>219</v>
      </c>
      <c r="D682" t="s">
        <v>217</v>
      </c>
      <c r="E682" s="160" t="s">
        <v>1557</v>
      </c>
      <c r="F682" t="s">
        <v>1428</v>
      </c>
      <c r="G682" s="62" t="s">
        <v>1438</v>
      </c>
      <c r="H682" s="62" t="s">
        <v>422</v>
      </c>
      <c r="I682" s="62" t="s">
        <v>1558</v>
      </c>
      <c r="J682" s="62">
        <v>1</v>
      </c>
      <c r="L682" s="62">
        <v>1645</v>
      </c>
      <c r="M682" s="217">
        <f>=J682*L682</f>
        <v>1645</v>
      </c>
      <c r="N682" s="97">
        <v>2.5</v>
      </c>
      <c r="O682" s="189">
        <f>=ROUND(IF((TODAY()-A682+1)*N682*(L682/10000)+L682&lt;L682*1.002,L682*1.002,(TODAY()-A682+1)*N682*(L682/10000)+L682),2)</f>
        <v>1691.88</v>
      </c>
      <c r="P682" s="62">
        <v>1</v>
      </c>
      <c r="Q682" s="71">
        <f>=J682-P682</f>
        <v>0</v>
      </c>
      <c r="R682" s="62">
        <v>1</v>
      </c>
      <c r="S682" s="112">
        <f>=P682-R682</f>
        <v>0</v>
      </c>
      <c r="T682" s="71">
        <f>=S682*L682</f>
        <v>0</v>
      </c>
      <c r="U682" s="190">
        <f>=J682-P682</f>
        <v>0</v>
      </c>
    </row>
    <row r="683" spans="1:21" ht="15.75" customHeight="true">
      <c r="A683" s="80">
        <v>46112</v>
      </c>
      <c r="B683" s="71">
        <f>=TODAY()-A683+1</f>
        <v>113</v>
      </c>
      <c r="C683" s="98" t="s">
        <v>219</v>
      </c>
      <c r="D683" t="s">
        <v>217</v>
      </c>
      <c r="E683" s="160" t="s">
        <v>1559</v>
      </c>
      <c r="F683" t="s">
        <v>1428</v>
      </c>
      <c r="G683" s="62" t="s">
        <v>1438</v>
      </c>
      <c r="H683" s="62" t="s">
        <v>422</v>
      </c>
      <c r="I683" s="62" t="s">
        <v>1560</v>
      </c>
      <c r="J683" s="62">
        <v>1</v>
      </c>
      <c r="L683" s="62">
        <v>1855</v>
      </c>
      <c r="M683" s="217">
        <f>=J683*L683</f>
        <v>1855</v>
      </c>
      <c r="N683" s="97">
        <v>2.5</v>
      </c>
      <c r="O683" s="189">
        <f>=ROUND(IF((TODAY()-A683+1)*N683*(L683/10000)+L683&lt;L683*1.002,L683*1.002,(TODAY()-A683+1)*N683*(L683/10000)+L683),2)</f>
        <v>1907.87</v>
      </c>
      <c r="P683" s="62">
        <v>1</v>
      </c>
      <c r="Q683" s="71">
        <f>=J683-P683</f>
        <v>0</v>
      </c>
      <c r="R683" s="62">
        <v>1</v>
      </c>
      <c r="S683" s="112">
        <f>=P683-R683</f>
        <v>0</v>
      </c>
      <c r="T683" s="71">
        <f>=S683*L683</f>
        <v>0</v>
      </c>
      <c r="U683" s="190">
        <f>=J683-P683</f>
        <v>0</v>
      </c>
    </row>
    <row r="684" spans="1:21" ht="15.75" customHeight="true">
      <c r="A684" s="80">
        <v>46112</v>
      </c>
      <c r="B684" s="71">
        <f>=TODAY()-A684+1</f>
        <v>113</v>
      </c>
      <c r="C684" s="98" t="s">
        <v>219</v>
      </c>
      <c r="D684" t="s">
        <v>217</v>
      </c>
      <c r="E684" s="160" t="s">
        <v>1561</v>
      </c>
      <c r="F684" t="s">
        <v>1428</v>
      </c>
      <c r="G684" s="62" t="s">
        <v>1438</v>
      </c>
      <c r="H684" s="62" t="s">
        <v>422</v>
      </c>
      <c r="I684" s="62" t="s">
        <v>1562</v>
      </c>
      <c r="J684" s="62">
        <v>1</v>
      </c>
      <c r="L684" s="62">
        <v>1855</v>
      </c>
      <c r="M684" s="217">
        <f>=J684*L684</f>
        <v>1855</v>
      </c>
      <c r="N684" s="97">
        <v>2.5</v>
      </c>
      <c r="O684" s="189">
        <f>=ROUND(IF((TODAY()-A684+1)*N684*(L684/10000)+L684&lt;L684*1.002,L684*1.002,(TODAY()-A684+1)*N684*(L684/10000)+L684),2)</f>
        <v>1907.87</v>
      </c>
      <c r="P684" s="62">
        <v>1</v>
      </c>
      <c r="Q684" s="71">
        <f>=J684-P684</f>
        <v>0</v>
      </c>
      <c r="R684" s="62">
        <v>1</v>
      </c>
      <c r="S684" s="112">
        <f>=P684-R684</f>
        <v>0</v>
      </c>
      <c r="T684" s="71">
        <f>=S684*L684</f>
        <v>0</v>
      </c>
      <c r="U684" s="190">
        <f>=J684-P684</f>
        <v>0</v>
      </c>
    </row>
    <row r="685" spans="1:21" ht="15.75" customHeight="true">
      <c r="A685" s="80">
        <v>46112</v>
      </c>
      <c r="B685" s="71">
        <f>=TODAY()-A685+1</f>
        <v>113</v>
      </c>
      <c r="C685" s="98" t="s">
        <v>219</v>
      </c>
      <c r="D685" t="s">
        <v>217</v>
      </c>
      <c r="E685" s="160" t="s">
        <v>1563</v>
      </c>
      <c r="F685" t="s">
        <v>1428</v>
      </c>
      <c r="G685" s="62" t="s">
        <v>1438</v>
      </c>
      <c r="H685" s="62" t="s">
        <v>422</v>
      </c>
      <c r="I685" s="62" t="s">
        <v>1564</v>
      </c>
      <c r="J685" s="62">
        <v>1</v>
      </c>
      <c r="L685" s="62">
        <v>1855</v>
      </c>
      <c r="M685" s="217">
        <f>=J685*L685</f>
        <v>1855</v>
      </c>
      <c r="N685" s="97">
        <v>2.5</v>
      </c>
      <c r="O685" s="189">
        <f>=ROUND(IF((TODAY()-A685+1)*N685*(L685/10000)+L685&lt;L685*1.002,L685*1.002,(TODAY()-A685+1)*N685*(L685/10000)+L685),2)</f>
        <v>1907.87</v>
      </c>
      <c r="P685" s="62">
        <v>1</v>
      </c>
      <c r="Q685" s="71">
        <f>=J685-P685</f>
        <v>0</v>
      </c>
      <c r="R685" s="62">
        <v>1</v>
      </c>
      <c r="S685" s="112">
        <f>=P685-R685</f>
        <v>0</v>
      </c>
      <c r="T685" s="71">
        <f>=S685*L685</f>
        <v>0</v>
      </c>
      <c r="U685" s="190">
        <f>=J685-P685</f>
        <v>0</v>
      </c>
    </row>
    <row r="686" spans="1:21" ht="15.75" customHeight="true">
      <c r="A686" s="80">
        <v>46112</v>
      </c>
      <c r="B686" s="71">
        <f>=TODAY()-A686+1</f>
        <v>113</v>
      </c>
      <c r="C686" s="98" t="s">
        <v>219</v>
      </c>
      <c r="D686" t="s">
        <v>217</v>
      </c>
      <c r="E686" s="160" t="s">
        <v>1565</v>
      </c>
      <c r="F686" t="s">
        <v>1428</v>
      </c>
      <c r="G686" s="62" t="s">
        <v>1438</v>
      </c>
      <c r="H686" s="62" t="s">
        <v>422</v>
      </c>
      <c r="I686" s="62" t="s">
        <v>1566</v>
      </c>
      <c r="J686" s="62">
        <v>1</v>
      </c>
      <c r="L686" s="62">
        <v>2135</v>
      </c>
      <c r="M686" s="217">
        <f>=J686*L686</f>
        <v>2135</v>
      </c>
      <c r="N686" s="97">
        <v>2.5</v>
      </c>
      <c r="O686" s="189">
        <f>=ROUND(IF((TODAY()-A686+1)*N686*(L686/10000)+L686&lt;L686*1.002,L686*1.002,(TODAY()-A686+1)*N686*(L686/10000)+L686),2)</f>
        <v>2195.85</v>
      </c>
      <c r="P686" s="62">
        <v>1</v>
      </c>
      <c r="Q686" s="71">
        <f>=J686-P686</f>
        <v>0</v>
      </c>
      <c r="R686" s="62">
        <v>1</v>
      </c>
      <c r="S686" s="112">
        <f>=P686-R686</f>
        <v>0</v>
      </c>
      <c r="T686" s="71">
        <f>=S686*L686</f>
        <v>0</v>
      </c>
      <c r="U686" s="190">
        <f>=J686-P686</f>
        <v>0</v>
      </c>
    </row>
    <row r="687" spans="1:21" ht="15.75" customHeight="true">
      <c r="A687" s="80">
        <v>46112</v>
      </c>
      <c r="B687" s="71">
        <f>=TODAY()-A687+1</f>
        <v>113</v>
      </c>
      <c r="C687" s="98" t="s">
        <v>219</v>
      </c>
      <c r="D687" t="s">
        <v>217</v>
      </c>
      <c r="E687" s="160" t="s">
        <v>1567</v>
      </c>
      <c r="F687" t="s">
        <v>1428</v>
      </c>
      <c r="G687" s="62" t="s">
        <v>1438</v>
      </c>
      <c r="H687" s="62" t="s">
        <v>422</v>
      </c>
      <c r="I687" s="62" t="s">
        <v>1568</v>
      </c>
      <c r="J687" s="62">
        <v>1</v>
      </c>
      <c r="L687" s="62">
        <v>2905</v>
      </c>
      <c r="M687" s="217">
        <f>=J687*L687</f>
        <v>2905</v>
      </c>
      <c r="N687" s="97">
        <v>2.5</v>
      </c>
      <c r="O687" s="189">
        <f>=ROUND(IF((TODAY()-A687+1)*N687*(L687/10000)+L687&lt;L687*1.002,L687*1.002,(TODAY()-A687+1)*N687*(L687/10000)+L687),2)</f>
        <v>2987.79</v>
      </c>
      <c r="P687" s="62">
        <v>1</v>
      </c>
      <c r="Q687" s="71">
        <f>=J687-P687</f>
        <v>0</v>
      </c>
      <c r="R687" s="62">
        <v>1</v>
      </c>
      <c r="S687" s="112">
        <f>=P687-R687</f>
        <v>0</v>
      </c>
      <c r="T687" s="71">
        <f>=S687*L687</f>
        <v>0</v>
      </c>
      <c r="U687" s="190">
        <f>=J687-P687</f>
        <v>0</v>
      </c>
    </row>
    <row r="688" spans="1:21" ht="15.75" customHeight="true">
      <c r="A688" s="80">
        <v>46112</v>
      </c>
      <c r="B688" s="71">
        <f>=TODAY()-A688+1</f>
        <v>113</v>
      </c>
      <c r="C688" s="98" t="s">
        <v>219</v>
      </c>
      <c r="D688" t="s">
        <v>217</v>
      </c>
      <c r="E688" s="160" t="s">
        <v>1569</v>
      </c>
      <c r="F688" t="s">
        <v>1428</v>
      </c>
      <c r="G688" s="62" t="s">
        <v>895</v>
      </c>
      <c r="H688" s="62" t="s">
        <v>422</v>
      </c>
      <c r="I688" s="62" t="s">
        <v>1570</v>
      </c>
      <c r="J688" s="62">
        <v>1</v>
      </c>
      <c r="K688" s="62" t="s"/>
      <c r="L688">
        <v>1260</v>
      </c>
      <c r="M688" s="217">
        <f>=J688*L688</f>
        <v>1260</v>
      </c>
      <c r="N688" s="97">
        <v>2.5</v>
      </c>
      <c r="O688" s="189">
        <f>=ROUND(IF((TODAY()-A688+1)*N688*(L688/10000)+L688&lt;L688*1.002,L688*1.002,(TODAY()-A688+1)*N688*(L688/10000)+L688),2)</f>
        <v>1295.91</v>
      </c>
      <c r="P688" s="62">
        <v>1</v>
      </c>
      <c r="Q688" s="71">
        <f>=J688-P688</f>
        <v>0</v>
      </c>
      <c r="R688" s="62">
        <v>1</v>
      </c>
      <c r="S688" s="112">
        <f>=P688-R688</f>
        <v>0</v>
      </c>
      <c r="T688" s="71">
        <f>=S688*L688</f>
        <v>0</v>
      </c>
      <c r="U688" s="190">
        <f>=J688-P688</f>
        <v>0</v>
      </c>
    </row>
    <row r="689" spans="1:21" ht="15.75" customHeight="true">
      <c r="A689" s="80">
        <v>46112</v>
      </c>
      <c r="B689" s="71">
        <f>=TODAY()-A689+1</f>
        <v>113</v>
      </c>
      <c r="C689" s="98" t="s">
        <v>224</v>
      </c>
      <c r="D689" t="s">
        <v>223</v>
      </c>
      <c r="E689" s="242" t="s">
        <v>1571</v>
      </c>
      <c r="F689" t="s">
        <v>1572</v>
      </c>
      <c r="G689" s="263" t="s">
        <v>421</v>
      </c>
      <c r="H689" s="263" t="s">
        <v>470</v>
      </c>
      <c r="I689" s="308" t="s">
        <v>1017</v>
      </c>
      <c r="J689">
        <v>300</v>
      </c>
      <c r="L689">
        <v>3337</v>
      </c>
      <c r="M689" s="217">
        <f>=J689*L689</f>
        <v>1001100</v>
      </c>
      <c r="N689" s="97">
        <v>2.5</v>
      </c>
      <c r="O689" s="189">
        <f>=ROUND(IF((TODAY()-A689+1)*N689*(L689/10000)+L689&lt;L689*1.002,L689*1.002,(TODAY()-A689+1)*N689*(L689/10000)+L689),2)</f>
        <v>3432.1</v>
      </c>
      <c r="P689">
        <v>300</v>
      </c>
      <c r="Q689" s="93">
        <f>=J689-P689</f>
        <v>0</v>
      </c>
      <c r="R689">
        <v>300</v>
      </c>
      <c r="S689" s="112">
        <f>=P689-R689</f>
        <v>0</v>
      </c>
      <c r="T689" s="71">
        <f>=S689*L689</f>
        <v>0</v>
      </c>
      <c r="U689" s="190">
        <f>=J689-P689</f>
        <v>0</v>
      </c>
    </row>
    <row r="690" spans="1:21" ht="15.75" customHeight="true">
      <c r="A690" s="80">
        <v>46112</v>
      </c>
      <c r="B690" s="71">
        <f>=TODAY()-A690+1</f>
        <v>113</v>
      </c>
      <c r="C690" s="98" t="s">
        <v>224</v>
      </c>
      <c r="D690" t="s">
        <v>223</v>
      </c>
      <c r="E690" s="242" t="s">
        <v>1573</v>
      </c>
      <c r="F690" t="s">
        <v>1572</v>
      </c>
      <c r="G690" s="263" t="s">
        <v>421</v>
      </c>
      <c r="H690" s="263" t="s">
        <v>470</v>
      </c>
      <c r="I690" s="263" t="s">
        <v>1284</v>
      </c>
      <c r="J690">
        <v>700</v>
      </c>
      <c r="L690">
        <v>3337</v>
      </c>
      <c r="M690" s="217">
        <f>=J690*L690</f>
        <v>2335900</v>
      </c>
      <c r="N690" s="97">
        <v>2.5</v>
      </c>
      <c r="O690" s="189">
        <f>=ROUND(IF((TODAY()-A690+1)*N690*(L690/10000)+L690&lt;L690*1.002,L690*1.002,(TODAY()-A690+1)*N690*(L690/10000)+L690),2)</f>
        <v>3432.1</v>
      </c>
      <c r="P690">
        <v>700</v>
      </c>
      <c r="Q690" s="93">
        <f>=J690-P690</f>
        <v>0</v>
      </c>
      <c r="R690">
        <v>700</v>
      </c>
      <c r="S690" s="112">
        <f>=P690-R690</f>
        <v>0</v>
      </c>
      <c r="T690" s="71">
        <f>=S690*L690</f>
        <v>0</v>
      </c>
      <c r="U690" s="190">
        <f>=J690-P690</f>
        <v>0</v>
      </c>
    </row>
    <row r="691" spans="1:21" ht="15.75" customHeight="true">
      <c r="A691" s="80">
        <v>46113</v>
      </c>
      <c r="B691" s="71">
        <f>=TODAY()-A691+1</f>
        <v>112</v>
      </c>
      <c r="C691" s="135" t="s">
        <v>231</v>
      </c>
      <c r="D691" s="71" t="s">
        <v>211</v>
      </c>
      <c r="E691" s="160" t="s">
        <v>1574</v>
      </c>
      <c r="F691" s="136" t="s">
        <v>1281</v>
      </c>
      <c r="G691" s="136" t="s">
        <v>421</v>
      </c>
      <c r="H691" s="136" t="s">
        <v>470</v>
      </c>
      <c r="I691" s="136" t="s">
        <v>1017</v>
      </c>
      <c r="J691">
        <v>84</v>
      </c>
      <c r="L691">
        <v>3220</v>
      </c>
      <c r="M691" s="112">
        <f>=J691*L691</f>
        <v>270480</v>
      </c>
      <c r="N691">
        <v>2.5</v>
      </c>
      <c r="O691" s="189">
        <f>=ROUND(IF((TODAY()-A691+1)*N691*(L691/10000)+L691&lt;L691*1.002,L691*1.002,(TODAY()-A691+1)*N691*(L691/10000)+L691),2)</f>
        <v>3310.97</v>
      </c>
      <c r="P691">
        <v>84</v>
      </c>
      <c r="Q691" s="71">
        <f>=J691-P691</f>
        <v>0</v>
      </c>
      <c r="S691" s="112">
        <f>=P691-R691</f>
        <v>84</v>
      </c>
      <c r="T691" s="71">
        <f>=S691*L691</f>
        <v>270480</v>
      </c>
      <c r="U691" s="190">
        <f>=J691-P691</f>
        <v>0</v>
      </c>
    </row>
    <row r="692" spans="1:21" ht="15.75" customHeight="true">
      <c r="A692" s="110">
        <v>46113</v>
      </c>
      <c r="B692" s="71">
        <f>=TODAY()-A692+1</f>
        <v>112</v>
      </c>
      <c r="C692" s="135" t="s">
        <v>231</v>
      </c>
      <c r="D692" s="71" t="s">
        <v>211</v>
      </c>
      <c r="E692" s="160" t="s">
        <v>1575</v>
      </c>
      <c r="F692" s="136" t="s">
        <v>1281</v>
      </c>
      <c r="G692" s="263" t="s">
        <v>421</v>
      </c>
      <c r="H692" s="263" t="s">
        <v>470</v>
      </c>
      <c r="I692" s="308" t="s">
        <v>1286</v>
      </c>
      <c r="J692" s="62">
        <v>69</v>
      </c>
      <c r="K692" s="62" t="s"/>
      <c r="L692">
        <v>2800</v>
      </c>
      <c r="M692" s="217">
        <f>=J692*L692</f>
        <v>193200</v>
      </c>
      <c r="N692">
        <v>2.5</v>
      </c>
      <c r="O692" s="189">
        <f>=ROUND(IF((TODAY()-A692+1)*N692*(L692/10000)+L692&lt;L692*1.002,L692*1.002,(TODAY()-A692+1)*N692*(L692/10000)+L692),2)</f>
        <v>2879.1</v>
      </c>
      <c r="P692" s="62">
        <v>69</v>
      </c>
      <c r="Q692" s="71">
        <f>=J692-P692</f>
        <v>0</v>
      </c>
      <c r="R692">
        <v>69</v>
      </c>
      <c r="S692" s="112">
        <f>=P692-R692</f>
        <v>0</v>
      </c>
      <c r="T692" s="71">
        <f>=S692*L692</f>
        <v>0</v>
      </c>
      <c r="U692" s="190">
        <f>=J692-P692</f>
        <v>0</v>
      </c>
    </row>
    <row r="693" spans="1:21" ht="15.75" customHeight="true">
      <c r="A693" s="110">
        <v>46113</v>
      </c>
      <c r="B693" s="71">
        <f>=TODAY()-A693+1</f>
        <v>112</v>
      </c>
      <c r="C693" s="135" t="s">
        <v>231</v>
      </c>
      <c r="D693" s="71" t="s">
        <v>211</v>
      </c>
      <c r="E693" s="160" t="s">
        <v>1576</v>
      </c>
      <c r="F693" s="136" t="s">
        <v>1281</v>
      </c>
      <c r="G693" s="263" t="s">
        <v>421</v>
      </c>
      <c r="H693" s="263" t="s">
        <v>470</v>
      </c>
      <c r="I693" s="308" t="s">
        <v>1284</v>
      </c>
      <c r="J693" s="62">
        <v>38</v>
      </c>
      <c r="K693" s="62" t="s"/>
      <c r="L693">
        <v>3220</v>
      </c>
      <c r="M693" s="217">
        <f>=J693*L693</f>
        <v>122360</v>
      </c>
      <c r="N693">
        <v>2.5</v>
      </c>
      <c r="O693" s="189">
        <f>=ROUND(IF((TODAY()-A693+1)*N693*(L693/10000)+L693&lt;L693*1.002,L693*1.002,(TODAY()-A693+1)*N693*(L693/10000)+L693),2)</f>
        <v>3310.97</v>
      </c>
      <c r="P693" s="62">
        <v>38</v>
      </c>
      <c r="Q693" s="71">
        <f>=J693-P693</f>
        <v>0</v>
      </c>
      <c r="R693">
        <v>38</v>
      </c>
      <c r="S693" s="112">
        <f>=P693-R693</f>
        <v>0</v>
      </c>
      <c r="T693" s="71">
        <f>=S693*L693</f>
        <v>0</v>
      </c>
      <c r="U693" s="190">
        <f>=J693-P693</f>
        <v>0</v>
      </c>
    </row>
    <row r="694" spans="1:21">
      <c r="A694" s="110">
        <v>46113</v>
      </c>
      <c r="B694" s="71">
        <f>=TODAY()-A694+1</f>
        <v>112</v>
      </c>
      <c r="C694" s="135" t="s">
        <v>231</v>
      </c>
      <c r="D694" s="71" t="s">
        <v>211</v>
      </c>
      <c r="E694" s="160" t="s">
        <v>1577</v>
      </c>
      <c r="F694" s="136" t="s">
        <v>1281</v>
      </c>
      <c r="G694" s="263" t="s">
        <v>421</v>
      </c>
      <c r="H694" s="263" t="s">
        <v>470</v>
      </c>
      <c r="I694" s="263" t="s">
        <v>1288</v>
      </c>
      <c r="J694" s="62">
        <v>33</v>
      </c>
      <c r="K694" s="62" t="s"/>
      <c r="L694">
        <v>2800</v>
      </c>
      <c r="M694" s="217">
        <f>=J694*L694</f>
        <v>92400</v>
      </c>
      <c r="N694">
        <v>2.5</v>
      </c>
      <c r="O694" s="189">
        <f>=ROUND(IF((TODAY()-A694+1)*N694*(L694/10000)+L694&lt;L694*1.002,L694*1.002,(TODAY()-A694+1)*N694*(L694/10000)+L694),2)</f>
        <v>2879.1</v>
      </c>
      <c r="P694" s="62">
        <v>33</v>
      </c>
      <c r="Q694" s="71">
        <f>=J694-P694</f>
        <v>0</v>
      </c>
      <c r="S694" s="112">
        <f>=P694-R694</f>
        <v>33</v>
      </c>
      <c r="T694" s="71">
        <f>=S694*L694</f>
        <v>92400</v>
      </c>
      <c r="U694" s="190">
        <f>=J694-P694</f>
        <v>0</v>
      </c>
    </row>
    <row r="695" spans="1:21" ht="15.75" customHeight="true">
      <c r="A695" s="80">
        <v>46111</v>
      </c>
      <c r="B695" s="71">
        <f>=TODAY()-A695+1</f>
        <v>114</v>
      </c>
      <c r="C695" s="135" t="s">
        <v>212</v>
      </c>
      <c r="D695" s="100" t="s">
        <v>211</v>
      </c>
      <c r="E695" s="160" t="s">
        <v>1578</v>
      </c>
      <c r="F695" s="136" t="s">
        <v>1281</v>
      </c>
      <c r="G695" s="136" t="s">
        <v>421</v>
      </c>
      <c r="H695" s="136" t="s">
        <v>470</v>
      </c>
      <c r="I695" s="136" t="s">
        <v>1579</v>
      </c>
      <c r="J695">
        <v>6</v>
      </c>
      <c r="L695">
        <v>3220</v>
      </c>
      <c r="M695" s="112">
        <f>=J695*L695</f>
        <v>19320</v>
      </c>
      <c r="N695">
        <v>2.5</v>
      </c>
      <c r="O695" s="189">
        <f>=ROUND(IF((TODAY()-A695+1)*N695*(L695/10000)+L695&lt;L695*1.002,L695*1.002,(TODAY()-A695+1)*N695*(L695/10000)+L695),2)</f>
        <v>3312.58</v>
      </c>
      <c r="P695">
        <v>6</v>
      </c>
      <c r="Q695" s="71">
        <f>=J695-P695</f>
        <v>0</v>
      </c>
      <c r="S695" s="112">
        <f>=P695-R695</f>
        <v>6</v>
      </c>
      <c r="T695" s="71">
        <f>=S695*L695</f>
        <v>19320</v>
      </c>
      <c r="U695" s="190">
        <f>=J695-P695</f>
        <v>0</v>
      </c>
    </row>
    <row r="696" spans="1:21" ht="15.75" customHeight="true">
      <c r="A696" s="110">
        <v>46113</v>
      </c>
      <c r="B696" s="71">
        <f>=TODAY()-A696+1</f>
        <v>112</v>
      </c>
      <c r="C696" s="135" t="s">
        <v>231</v>
      </c>
      <c r="D696" s="71" t="s">
        <v>211</v>
      </c>
      <c r="E696" s="160" t="s">
        <v>1580</v>
      </c>
      <c r="F696" s="136" t="s">
        <v>1281</v>
      </c>
      <c r="G696" s="263" t="s">
        <v>421</v>
      </c>
      <c r="H696" s="263" t="s">
        <v>470</v>
      </c>
      <c r="I696" s="62" t="s">
        <v>1292</v>
      </c>
      <c r="J696" s="62">
        <v>2</v>
      </c>
      <c r="K696" s="62" t="s"/>
      <c r="L696">
        <v>3220</v>
      </c>
      <c r="M696" s="217">
        <f>=J696*L696</f>
        <v>6440</v>
      </c>
      <c r="N696">
        <v>2.5</v>
      </c>
      <c r="O696" s="189">
        <f>=ROUND(IF((TODAY()-A696+1)*N696*(L696/10000)+L696&lt;L696*1.002,L696*1.002,(TODAY()-A696+1)*N696*(L696/10000)+L696),2)</f>
        <v>3310.97</v>
      </c>
      <c r="P696" s="62">
        <v>2</v>
      </c>
      <c r="Q696" s="71">
        <f>=J696-P696</f>
        <v>0</v>
      </c>
      <c r="S696" s="112">
        <f>=P696-R696</f>
        <v>2</v>
      </c>
      <c r="T696" s="71">
        <f>=S696*L696</f>
        <v>6440</v>
      </c>
      <c r="U696" s="190">
        <f>=J696-P696</f>
        <v>0</v>
      </c>
    </row>
    <row r="697" spans="1:21" ht="15.75" customHeight="true">
      <c r="A697" s="110">
        <v>46113</v>
      </c>
      <c r="B697" s="71">
        <f>=TODAY()-A697+1</f>
        <v>112</v>
      </c>
      <c r="C697" s="135" t="s">
        <v>231</v>
      </c>
      <c r="D697" s="71" t="s">
        <v>211</v>
      </c>
      <c r="E697" s="160" t="s">
        <v>1581</v>
      </c>
      <c r="F697" s="136" t="s">
        <v>1281</v>
      </c>
      <c r="G697" s="263" t="s">
        <v>421</v>
      </c>
      <c r="H697" s="263" t="s">
        <v>470</v>
      </c>
      <c r="I697" s="64" t="s">
        <v>1582</v>
      </c>
      <c r="J697" s="62">
        <v>2</v>
      </c>
      <c r="K697" s="62" t="s"/>
      <c r="L697">
        <v>2800</v>
      </c>
      <c r="M697" s="217">
        <f>=J697*L697</f>
        <v>5600</v>
      </c>
      <c r="N697">
        <v>2.5</v>
      </c>
      <c r="O697" s="189">
        <f>=ROUND(IF((TODAY()-A697+1)*N697*(L697/10000)+L697&lt;L697*1.002,L697*1.002,(TODAY()-A697+1)*N697*(L697/10000)+L697),2)</f>
        <v>2879.1</v>
      </c>
      <c r="P697" s="62">
        <v>2</v>
      </c>
      <c r="Q697" s="71">
        <f>=J697-P697</f>
        <v>0</v>
      </c>
      <c r="R697" s="62">
        <v>2</v>
      </c>
      <c r="S697" s="112">
        <f>=P697-R697</f>
        <v>0</v>
      </c>
      <c r="T697" s="71">
        <f>=S697*L697</f>
        <v>0</v>
      </c>
      <c r="U697" s="190">
        <f>=J697-P697</f>
        <v>0</v>
      </c>
    </row>
    <row r="698" spans="1:21" ht="15.75" customHeight="true">
      <c r="A698" s="80">
        <v>46111</v>
      </c>
      <c r="B698" s="71">
        <f>=TODAY()-A698+1</f>
        <v>114</v>
      </c>
      <c r="C698" s="135" t="s">
        <v>212</v>
      </c>
      <c r="D698" s="100" t="s">
        <v>211</v>
      </c>
      <c r="E698" s="160" t="s">
        <v>1583</v>
      </c>
      <c r="F698" s="136" t="s">
        <v>1281</v>
      </c>
      <c r="G698" s="136" t="s">
        <v>421</v>
      </c>
      <c r="H698" s="136" t="s">
        <v>470</v>
      </c>
      <c r="I698" s="155" t="s">
        <v>1582</v>
      </c>
      <c r="J698">
        <v>1</v>
      </c>
      <c r="L698">
        <v>2800</v>
      </c>
      <c r="M698" s="112">
        <f>=J698*L698</f>
        <v>2800</v>
      </c>
      <c r="N698">
        <v>2.5</v>
      </c>
      <c r="O698" s="189">
        <f>=ROUND(IF((TODAY()-A698+1)*N698*(L698/10000)+L698&lt;L698*1.002,L698*1.002,(TODAY()-A698+1)*N698*(L698/10000)+L698),2)</f>
        <v>2880.5</v>
      </c>
      <c r="P698">
        <v>1</v>
      </c>
      <c r="Q698" s="71">
        <f>=J698-P698</f>
        <v>0</v>
      </c>
      <c r="R698">
        <v>1</v>
      </c>
      <c r="S698" s="112">
        <f>=P698-R698</f>
        <v>0</v>
      </c>
      <c r="T698" s="71">
        <f>=S698*L698</f>
        <v>0</v>
      </c>
      <c r="U698" s="190">
        <f>=J698-P698</f>
        <v>0</v>
      </c>
    </row>
    <row r="699" spans="1:21" ht="15.75" customHeight="true">
      <c r="A699" s="80">
        <v>46111</v>
      </c>
      <c r="B699" s="71">
        <f>=TODAY()-A699+1</f>
        <v>114</v>
      </c>
      <c r="C699" s="135" t="s">
        <v>212</v>
      </c>
      <c r="D699" s="100" t="s">
        <v>211</v>
      </c>
      <c r="E699" s="160" t="s">
        <v>1584</v>
      </c>
      <c r="F699" s="136" t="s">
        <v>1281</v>
      </c>
      <c r="G699" s="136" t="s">
        <v>421</v>
      </c>
      <c r="H699" s="136" t="s">
        <v>470</v>
      </c>
      <c r="I699" s="136" t="s">
        <v>1585</v>
      </c>
      <c r="J699">
        <v>1</v>
      </c>
      <c r="L699">
        <v>3220</v>
      </c>
      <c r="M699" s="112">
        <f>=J699*L699</f>
        <v>3220</v>
      </c>
      <c r="N699">
        <v>2.5</v>
      </c>
      <c r="O699" s="189">
        <f>=ROUND(IF((TODAY()-A699+1)*N699*(L699/10000)+L699&lt;L699*1.002,L699*1.002,(TODAY()-A699+1)*N699*(L699/10000)+L699),2)</f>
        <v>3312.58</v>
      </c>
      <c r="P699">
        <v>1</v>
      </c>
      <c r="Q699" s="71">
        <f>=J699-P699</f>
        <v>0</v>
      </c>
      <c r="R699">
        <v>1</v>
      </c>
      <c r="S699" s="112">
        <f>=P699-R699</f>
        <v>0</v>
      </c>
      <c r="T699" s="71">
        <f>=S699*L699</f>
        <v>0</v>
      </c>
      <c r="U699" s="190">
        <f>=J699-P699</f>
        <v>0</v>
      </c>
    </row>
    <row r="700" spans="1:21" ht="15.75" customHeight="true">
      <c r="A700" s="110">
        <v>46112</v>
      </c>
      <c r="B700" s="71">
        <f>=TODAY()-A700+1</f>
        <v>113</v>
      </c>
      <c r="C700" t="s">
        <v>228</v>
      </c>
      <c r="D700" t="s">
        <v>227</v>
      </c>
      <c r="E700" s="160" t="s">
        <v>1586</v>
      </c>
      <c r="F700" t="s">
        <v>1587</v>
      </c>
      <c r="G700" s="108" t="s">
        <v>503</v>
      </c>
      <c r="H700" s="64" t="s">
        <v>422</v>
      </c>
      <c r="I700" s="62" t="s">
        <v>1488</v>
      </c>
      <c r="J700" s="62">
        <v>181</v>
      </c>
      <c r="K700" s="62" t="s"/>
      <c r="L700">
        <v>1350</v>
      </c>
      <c r="M700" s="217">
        <f>=J700*L700</f>
        <v>244350</v>
      </c>
      <c r="N700">
        <v>2.5</v>
      </c>
      <c r="O700" s="189">
        <f>=ROUND(IF((TODAY()-A700+1)*N700*(L700/10000)+L700&lt;L700*1.002,L700*1.002,(TODAY()-A700+1)*N700*(L700/10000)+L700),2)</f>
        <v>1388.48</v>
      </c>
      <c r="P700" s="62">
        <v>181</v>
      </c>
      <c r="Q700" s="71">
        <f>=J700-P700</f>
        <v>0</v>
      </c>
      <c r="R700" s="62">
        <v>181</v>
      </c>
      <c r="S700" s="112">
        <f>=P700-R700</f>
        <v>0</v>
      </c>
      <c r="T700" s="71">
        <f>=S700*L700</f>
        <v>0</v>
      </c>
      <c r="U700" s="190">
        <f>=J700-P700</f>
        <v>0</v>
      </c>
    </row>
    <row r="701" spans="1:21" ht="15.75" customHeight="true">
      <c r="A701" s="80">
        <v>46112</v>
      </c>
      <c r="B701" s="71">
        <f>=TODAY()-A701+1</f>
        <v>113</v>
      </c>
      <c r="C701" t="s">
        <v>228</v>
      </c>
      <c r="D701" t="s">
        <v>227</v>
      </c>
      <c r="E701" s="160" t="s">
        <v>1588</v>
      </c>
      <c r="F701" t="s">
        <v>1587</v>
      </c>
      <c r="G701" s="108" t="s">
        <v>503</v>
      </c>
      <c r="H701" s="64" t="s">
        <v>422</v>
      </c>
      <c r="I701" s="62" t="s">
        <v>1552</v>
      </c>
      <c r="J701" s="62">
        <v>130</v>
      </c>
      <c r="K701" s="62" t="s"/>
      <c r="L701">
        <v>1350</v>
      </c>
      <c r="M701" s="112">
        <f>=J701*L701</f>
        <v>175500</v>
      </c>
      <c r="N701">
        <v>2.5</v>
      </c>
      <c r="O701" s="189">
        <f>=ROUND(IF((TODAY()-A701+1)*N701*(L701/10000)+L701&lt;L701*1.002,L701*1.002,(TODAY()-A701+1)*N701*(L701/10000)+L701),2)</f>
        <v>1388.48</v>
      </c>
      <c r="P701" s="62">
        <v>130</v>
      </c>
      <c r="Q701" s="71">
        <f>=J701-P701</f>
        <v>0</v>
      </c>
      <c r="R701" s="62">
        <v>130</v>
      </c>
      <c r="S701" s="112">
        <f>=P701-R701</f>
        <v>0</v>
      </c>
      <c r="T701" s="71">
        <f>=S701*L701</f>
        <v>0</v>
      </c>
      <c r="U701" s="190">
        <f>=J701-P701</f>
        <v>0</v>
      </c>
    </row>
    <row r="702" spans="1:21" ht="15.75" customHeight="true">
      <c r="A702" s="80">
        <v>46112</v>
      </c>
      <c r="B702" s="71">
        <f>=TODAY()-A702+1</f>
        <v>113</v>
      </c>
      <c r="C702" t="s">
        <v>228</v>
      </c>
      <c r="D702" t="s">
        <v>227</v>
      </c>
      <c r="E702" s="160" t="s">
        <v>1589</v>
      </c>
      <c r="F702" t="s">
        <v>1587</v>
      </c>
      <c r="G702" s="108" t="s">
        <v>503</v>
      </c>
      <c r="H702" s="64" t="s">
        <v>422</v>
      </c>
      <c r="I702" s="62" t="s">
        <v>1590</v>
      </c>
      <c r="J702" s="62">
        <v>76</v>
      </c>
      <c r="K702" s="62" t="s"/>
      <c r="L702">
        <v>1650</v>
      </c>
      <c r="M702" s="112">
        <f>=J702*L702</f>
        <v>125400</v>
      </c>
      <c r="N702">
        <v>2.5</v>
      </c>
      <c r="O702" s="189">
        <f>=ROUND(IF((TODAY()-A702+1)*N702*(L702/10000)+L702&lt;L702*1.002,L702*1.002,(TODAY()-A702+1)*N702*(L702/10000)+L702),2)</f>
        <v>1697.03</v>
      </c>
      <c r="P702" s="62">
        <v>76</v>
      </c>
      <c r="Q702" s="71">
        <f>=J702-P702</f>
        <v>0</v>
      </c>
      <c r="R702" s="62">
        <v>76</v>
      </c>
      <c r="S702" s="112">
        <f>=P702-R702</f>
        <v>0</v>
      </c>
      <c r="T702" s="71">
        <f>=S702*L702</f>
        <v>0</v>
      </c>
      <c r="U702" s="190">
        <f>=J702-P702</f>
        <v>0</v>
      </c>
    </row>
    <row r="703" spans="1:21" ht="15.75" customHeight="true">
      <c r="A703" s="80">
        <v>46112</v>
      </c>
      <c r="B703" s="71">
        <f>=TODAY()-A703+1</f>
        <v>113</v>
      </c>
      <c r="C703" t="s">
        <v>228</v>
      </c>
      <c r="D703" t="s">
        <v>227</v>
      </c>
      <c r="E703" s="160" t="s">
        <v>1591</v>
      </c>
      <c r="F703" t="s">
        <v>1587</v>
      </c>
      <c r="G703" s="108" t="s">
        <v>503</v>
      </c>
      <c r="H703" s="64" t="s">
        <v>422</v>
      </c>
      <c r="I703" s="62" t="s">
        <v>1592</v>
      </c>
      <c r="J703" s="62">
        <v>69</v>
      </c>
      <c r="K703" s="62" t="s"/>
      <c r="L703">
        <v>1650</v>
      </c>
      <c r="M703" s="112">
        <f>=J703*L703</f>
        <v>113850</v>
      </c>
      <c r="N703">
        <v>2.5</v>
      </c>
      <c r="O703" s="189">
        <f>=ROUND(IF((TODAY()-A703+1)*N703*(L703/10000)+L703&lt;L703*1.002,L703*1.002,(TODAY()-A703+1)*N703*(L703/10000)+L703),2)</f>
        <v>1697.03</v>
      </c>
      <c r="P703" s="62">
        <v>69</v>
      </c>
      <c r="Q703" s="71">
        <f>=J703-P703</f>
        <v>0</v>
      </c>
      <c r="R703" s="62">
        <v>69</v>
      </c>
      <c r="S703" s="112">
        <f>=P703-R703</f>
        <v>0</v>
      </c>
      <c r="T703" s="71">
        <f>=S703*L703</f>
        <v>0</v>
      </c>
      <c r="U703" s="190">
        <f>=J703-P703</f>
        <v>0</v>
      </c>
    </row>
    <row r="704" spans="1:21" ht="15.75" customHeight="true">
      <c r="A704" s="80">
        <v>46112</v>
      </c>
      <c r="B704" s="71">
        <f>=TODAY()-A704+1</f>
        <v>113</v>
      </c>
      <c r="C704" t="s">
        <v>228</v>
      </c>
      <c r="D704" t="s">
        <v>227</v>
      </c>
      <c r="E704" s="160" t="s">
        <v>1593</v>
      </c>
      <c r="F704" t="s">
        <v>1587</v>
      </c>
      <c r="G704" s="108" t="s">
        <v>503</v>
      </c>
      <c r="H704" s="64" t="s">
        <v>422</v>
      </c>
      <c r="I704" s="62" t="s">
        <v>1594</v>
      </c>
      <c r="J704" s="62">
        <v>69</v>
      </c>
      <c r="K704" s="62" t="s"/>
      <c r="L704">
        <v>1650</v>
      </c>
      <c r="M704" s="112">
        <f>=J704*L704</f>
        <v>113850</v>
      </c>
      <c r="N704">
        <v>2.5</v>
      </c>
      <c r="O704" s="189">
        <f>=ROUND(IF((TODAY()-A704+1)*N704*(L704/10000)+L704&lt;L704*1.002,L704*1.002,(TODAY()-A704+1)*N704*(L704/10000)+L704),2)</f>
        <v>1697.03</v>
      </c>
      <c r="P704" s="62">
        <v>69</v>
      </c>
      <c r="Q704" s="71">
        <f>=J704-P704</f>
        <v>0</v>
      </c>
      <c r="R704" s="62">
        <v>69</v>
      </c>
      <c r="S704" s="112">
        <f>=P704-R704</f>
        <v>0</v>
      </c>
      <c r="T704" s="71">
        <f>=S704*L704</f>
        <v>0</v>
      </c>
      <c r="U704" s="190">
        <f>=J704-P704</f>
        <v>0</v>
      </c>
    </row>
    <row r="705" spans="1:21" ht="15.75" customHeight="true">
      <c r="A705" s="80">
        <v>46112</v>
      </c>
      <c r="B705" s="71">
        <f>=TODAY()-A705+1</f>
        <v>113</v>
      </c>
      <c r="C705" t="s">
        <v>228</v>
      </c>
      <c r="D705" t="s">
        <v>227</v>
      </c>
      <c r="E705" s="160" t="s">
        <v>1595</v>
      </c>
      <c r="F705" t="s">
        <v>1587</v>
      </c>
      <c r="G705" s="108" t="s">
        <v>503</v>
      </c>
      <c r="H705" s="64" t="s">
        <v>422</v>
      </c>
      <c r="I705" s="62" t="s">
        <v>1596</v>
      </c>
      <c r="J705" s="62">
        <v>57</v>
      </c>
      <c r="K705" s="62" t="s"/>
      <c r="L705">
        <v>1650</v>
      </c>
      <c r="M705" s="112">
        <f>=J705*L705</f>
        <v>94050</v>
      </c>
      <c r="N705">
        <v>2.5</v>
      </c>
      <c r="O705" s="189">
        <f>=ROUND(IF((TODAY()-A705+1)*N705*(L705/10000)+L705&lt;L705*1.002,L705*1.002,(TODAY()-A705+1)*N705*(L705/10000)+L705),2)</f>
        <v>1697.03</v>
      </c>
      <c r="P705" s="62">
        <v>57</v>
      </c>
      <c r="Q705" s="71">
        <f>=J705-P705</f>
        <v>0</v>
      </c>
      <c r="R705" s="62">
        <v>57</v>
      </c>
      <c r="S705" s="112">
        <f>=P705-R705</f>
        <v>0</v>
      </c>
      <c r="T705" s="71">
        <f>=S705*L705</f>
        <v>0</v>
      </c>
      <c r="U705" s="190">
        <f>=J705-P705</f>
        <v>0</v>
      </c>
    </row>
    <row r="706" spans="1:21" ht="15.75" customHeight="true">
      <c r="A706" s="80">
        <v>46112</v>
      </c>
      <c r="B706" s="71">
        <f>=TODAY()-A706+1</f>
        <v>113</v>
      </c>
      <c r="C706" t="s">
        <v>228</v>
      </c>
      <c r="D706" t="s">
        <v>227</v>
      </c>
      <c r="E706" s="160" t="s">
        <v>1597</v>
      </c>
      <c r="F706" t="s">
        <v>1587</v>
      </c>
      <c r="G706" s="108" t="s">
        <v>503</v>
      </c>
      <c r="H706" s="64" t="s">
        <v>422</v>
      </c>
      <c r="I706" s="62" t="s">
        <v>1598</v>
      </c>
      <c r="J706" s="62">
        <v>55</v>
      </c>
      <c r="K706" s="62" t="s"/>
      <c r="L706">
        <v>1390</v>
      </c>
      <c r="M706" s="112">
        <f>=J706*L706</f>
        <v>76450</v>
      </c>
      <c r="N706">
        <v>2.5</v>
      </c>
      <c r="O706" s="189">
        <f>=ROUND(IF((TODAY()-A706+1)*N706*(L706/10000)+L706&lt;L706*1.002,L706*1.002,(TODAY()-A706+1)*N706*(L706/10000)+L706),2)</f>
        <v>1429.62</v>
      </c>
      <c r="P706" s="62">
        <v>55</v>
      </c>
      <c r="Q706" s="71">
        <f>=J706-P706</f>
        <v>0</v>
      </c>
      <c r="R706" s="62">
        <v>55</v>
      </c>
      <c r="S706" s="112">
        <f>=P706-R706</f>
        <v>0</v>
      </c>
      <c r="T706" s="71">
        <f>=S706*L706</f>
        <v>0</v>
      </c>
      <c r="U706" s="190">
        <f>=J706-P706</f>
        <v>0</v>
      </c>
    </row>
    <row r="707" spans="1:21" ht="15.75" customHeight="true">
      <c r="A707" s="80">
        <v>46112</v>
      </c>
      <c r="B707" s="71">
        <f>=TODAY()-A707+1</f>
        <v>113</v>
      </c>
      <c r="C707" t="s">
        <v>228</v>
      </c>
      <c r="D707" t="s">
        <v>227</v>
      </c>
      <c r="E707" s="160" t="s">
        <v>1599</v>
      </c>
      <c r="F707" t="s">
        <v>1587</v>
      </c>
      <c r="G707" s="108" t="s">
        <v>503</v>
      </c>
      <c r="H707" s="64" t="s">
        <v>422</v>
      </c>
      <c r="I707" s="62" t="s">
        <v>1600</v>
      </c>
      <c r="J707" s="62">
        <v>12</v>
      </c>
      <c r="K707" s="62" t="s"/>
      <c r="L707">
        <v>1575</v>
      </c>
      <c r="M707" s="112">
        <f>=J707*L707</f>
        <v>18900</v>
      </c>
      <c r="N707">
        <v>2.5</v>
      </c>
      <c r="O707" s="189">
        <f>=ROUND(IF((TODAY()-A707+1)*N707*(L707/10000)+L707&lt;L707*1.002,L707*1.002,(TODAY()-A707+1)*N707*(L707/10000)+L707),2)</f>
        <v>1619.89</v>
      </c>
      <c r="P707" s="62">
        <v>12</v>
      </c>
      <c r="Q707" s="71">
        <f>=J707-P707</f>
        <v>0</v>
      </c>
      <c r="R707" s="62">
        <v>12</v>
      </c>
      <c r="S707" s="112">
        <f>=P707-R707</f>
        <v>0</v>
      </c>
      <c r="T707" s="71">
        <f>=S707*L707</f>
        <v>0</v>
      </c>
      <c r="U707" s="190">
        <f>=J707-P707</f>
        <v>0</v>
      </c>
    </row>
    <row r="708" spans="1:21" ht="15.75" customHeight="true">
      <c r="A708" s="80">
        <v>46112</v>
      </c>
      <c r="B708" s="71">
        <f>=TODAY()-A708+1</f>
        <v>113</v>
      </c>
      <c r="C708" t="s">
        <v>228</v>
      </c>
      <c r="D708" t="s">
        <v>227</v>
      </c>
      <c r="E708" s="160" t="s">
        <v>1601</v>
      </c>
      <c r="F708" t="s">
        <v>1587</v>
      </c>
      <c r="G708" s="108" t="s">
        <v>503</v>
      </c>
      <c r="H708" s="64" t="s">
        <v>422</v>
      </c>
      <c r="I708" s="62" t="s">
        <v>1602</v>
      </c>
      <c r="J708" s="62">
        <v>10</v>
      </c>
      <c r="K708" s="62" t="s"/>
      <c r="L708">
        <v>1390</v>
      </c>
      <c r="M708" s="112">
        <f>=J708*L708</f>
        <v>13900</v>
      </c>
      <c r="N708">
        <v>2.5</v>
      </c>
      <c r="O708" s="189">
        <f>=ROUND(IF((TODAY()-A708+1)*N708*(L708/10000)+L708&lt;L708*1.002,L708*1.002,(TODAY()-A708+1)*N708*(L708/10000)+L708),2)</f>
        <v>1429.62</v>
      </c>
      <c r="P708" s="62">
        <v>10</v>
      </c>
      <c r="Q708" s="71">
        <f>=J708-P708</f>
        <v>0</v>
      </c>
      <c r="R708" s="62">
        <v>10</v>
      </c>
      <c r="S708" s="112">
        <f>=P708-R708</f>
        <v>0</v>
      </c>
      <c r="T708" s="71">
        <f>=S708*L708</f>
        <v>0</v>
      </c>
      <c r="U708" s="190">
        <f>=J708-P708</f>
        <v>0</v>
      </c>
    </row>
    <row r="709" spans="1:21" ht="15.75" customHeight="true">
      <c r="A709" s="80">
        <v>46112</v>
      </c>
      <c r="B709" s="71">
        <f>=TODAY()-A709+1</f>
        <v>113</v>
      </c>
      <c r="C709" t="s">
        <v>228</v>
      </c>
      <c r="D709" t="s">
        <v>227</v>
      </c>
      <c r="E709" s="160" t="s">
        <v>1603</v>
      </c>
      <c r="F709" t="s">
        <v>1587</v>
      </c>
      <c r="G709" s="108" t="s">
        <v>503</v>
      </c>
      <c r="H709" s="64" t="s">
        <v>422</v>
      </c>
      <c r="I709" s="62" t="s">
        <v>1604</v>
      </c>
      <c r="J709" s="62">
        <v>4</v>
      </c>
      <c r="K709" s="62" t="s"/>
      <c r="L709">
        <v>1390</v>
      </c>
      <c r="M709" s="112">
        <f>=J709*L709</f>
        <v>5560</v>
      </c>
      <c r="N709">
        <v>2.5</v>
      </c>
      <c r="O709" s="189">
        <f>=ROUND(IF((TODAY()-A709+1)*N709*(L709/10000)+L709&lt;L709*1.002,L709*1.002,(TODAY()-A709+1)*N709*(L709/10000)+L709),2)</f>
        <v>1429.62</v>
      </c>
      <c r="P709" s="62">
        <v>4</v>
      </c>
      <c r="Q709" s="71">
        <f>=J709-P709</f>
        <v>0</v>
      </c>
      <c r="R709" s="62">
        <v>4</v>
      </c>
      <c r="S709" s="112">
        <f>=P709-R709</f>
        <v>0</v>
      </c>
      <c r="T709" s="71">
        <f>=S709*L709</f>
        <v>0</v>
      </c>
      <c r="U709" s="190">
        <f>=J709-P709</f>
        <v>0</v>
      </c>
    </row>
    <row r="710" spans="1:21" ht="15.75" customHeight="true">
      <c r="A710" s="80">
        <v>46113</v>
      </c>
      <c r="B710" s="71">
        <f>=TODAY()-A710+1</f>
        <v>112</v>
      </c>
      <c r="C710" t="s">
        <v>229</v>
      </c>
      <c r="D710" s="71" t="s">
        <v>50</v>
      </c>
      <c r="E710" s="160" t="s">
        <v>1605</v>
      </c>
      <c r="F710" s="258" t="s">
        <v>469</v>
      </c>
      <c r="G710" s="62" t="s">
        <v>428</v>
      </c>
      <c r="H710" s="62" t="s">
        <v>422</v>
      </c>
      <c r="I710" s="74" t="s">
        <v>1606</v>
      </c>
      <c r="J710" s="74">
        <v>1</v>
      </c>
      <c r="K710" s="62" t="s"/>
      <c r="L710" s="272">
        <v>1645</v>
      </c>
      <c r="M710" s="112">
        <f>=J710*L710</f>
        <v>1645</v>
      </c>
      <c r="N710">
        <v>2.5</v>
      </c>
      <c r="O710" s="189">
        <f>=ROUND(IF((TODAY()-A710+1)*N710*(L710/10000)+L710&lt;L710*1.002,L710*1.002,(TODAY()-A710+1)*N710*(L710/10000)+L710),2)</f>
        <v>1691.47</v>
      </c>
      <c r="P710" s="62">
        <v>1</v>
      </c>
      <c r="Q710" s="71">
        <f>=J710-P710</f>
        <v>0</v>
      </c>
      <c r="S710" s="112">
        <f>=P710-R710</f>
        <v>1</v>
      </c>
      <c r="T710" s="71">
        <f>=S710*L710</f>
        <v>1645</v>
      </c>
      <c r="U710" s="190">
        <f>=J710-P710</f>
        <v>0</v>
      </c>
    </row>
    <row r="711" spans="1:21" ht="15.75" customHeight="true">
      <c r="A711" s="80">
        <v>46113</v>
      </c>
      <c r="B711" s="71">
        <f>=TODAY()-A711+1</f>
        <v>112</v>
      </c>
      <c r="C711" t="s">
        <v>229</v>
      </c>
      <c r="D711" s="71" t="s">
        <v>50</v>
      </c>
      <c r="E711" s="160" t="s">
        <v>1607</v>
      </c>
      <c r="F711" s="258" t="s">
        <v>469</v>
      </c>
      <c r="G711" s="62" t="s">
        <v>428</v>
      </c>
      <c r="H711" s="62" t="s">
        <v>422</v>
      </c>
      <c r="I711" s="74" t="s">
        <v>1608</v>
      </c>
      <c r="J711" s="74">
        <v>1</v>
      </c>
      <c r="K711" s="62" t="s"/>
      <c r="L711" s="272">
        <v>1400</v>
      </c>
      <c r="M711" s="112">
        <f>=J711*L711</f>
        <v>1400</v>
      </c>
      <c r="N711">
        <v>2.5</v>
      </c>
      <c r="O711" s="189">
        <f>=ROUND(IF((TODAY()-A711+1)*N711*(L711/10000)+L711&lt;L711*1.002,L711*1.002,(TODAY()-A711+1)*N711*(L711/10000)+L711),2)</f>
        <v>1439.55</v>
      </c>
      <c r="P711" s="62">
        <v>1</v>
      </c>
      <c r="Q711" s="71">
        <f>=J711-P711</f>
        <v>0</v>
      </c>
      <c r="S711" s="112">
        <f>=P711-R711</f>
        <v>1</v>
      </c>
      <c r="T711" s="71">
        <f>=S711*L711</f>
        <v>1400</v>
      </c>
      <c r="U711" s="190">
        <f>=J711-P711</f>
        <v>0</v>
      </c>
    </row>
    <row r="712" spans="1:21" ht="15.75" customHeight="true">
      <c r="A712" s="80">
        <v>46113</v>
      </c>
      <c r="B712" s="71">
        <f>=TODAY()-A712+1</f>
        <v>112</v>
      </c>
      <c r="C712" t="s">
        <v>229</v>
      </c>
      <c r="D712" s="71" t="s">
        <v>50</v>
      </c>
      <c r="E712" s="160" t="s">
        <v>1609</v>
      </c>
      <c r="F712" s="258" t="s">
        <v>469</v>
      </c>
      <c r="G712" s="62" t="s">
        <v>428</v>
      </c>
      <c r="H712" s="62" t="s">
        <v>422</v>
      </c>
      <c r="I712" s="74" t="s">
        <v>1610</v>
      </c>
      <c r="J712" s="74">
        <v>1</v>
      </c>
      <c r="K712" s="62" t="s"/>
      <c r="L712" s="272">
        <v>2415</v>
      </c>
      <c r="M712" s="112">
        <f>=J712*L712</f>
        <v>2415</v>
      </c>
      <c r="N712">
        <v>2.5</v>
      </c>
      <c r="O712" s="189">
        <f>=ROUND(IF((TODAY()-A712+1)*N712*(L712/10000)+L712&lt;L712*1.002,L712*1.002,(TODAY()-A712+1)*N712*(L712/10000)+L712),2)</f>
        <v>2483.22</v>
      </c>
      <c r="P712" s="62">
        <v>1</v>
      </c>
      <c r="Q712" s="71">
        <f>=J712-P712</f>
        <v>0</v>
      </c>
      <c r="S712" s="112">
        <f>=P712-R712</f>
        <v>1</v>
      </c>
      <c r="T712" s="71">
        <f>=S712*L712</f>
        <v>2415</v>
      </c>
      <c r="U712" s="190">
        <f>=J712-P712</f>
        <v>0</v>
      </c>
    </row>
    <row r="713" spans="1:21" ht="15.75" customHeight="true">
      <c r="A713" s="80">
        <v>46113</v>
      </c>
      <c r="B713" s="71">
        <f>=TODAY()-A713+1</f>
        <v>112</v>
      </c>
      <c r="C713" t="s">
        <v>229</v>
      </c>
      <c r="D713" s="71" t="s">
        <v>50</v>
      </c>
      <c r="E713" s="160" t="s">
        <v>1611</v>
      </c>
      <c r="F713" s="221" t="s">
        <v>469</v>
      </c>
      <c r="G713" s="62" t="s">
        <v>428</v>
      </c>
      <c r="H713" s="62" t="s">
        <v>422</v>
      </c>
      <c r="I713" s="74" t="s">
        <v>1612</v>
      </c>
      <c r="J713" s="74">
        <v>1</v>
      </c>
      <c r="K713" s="62" t="s"/>
      <c r="L713" s="272">
        <v>1610</v>
      </c>
      <c r="M713" s="112">
        <f>=J713*L713</f>
        <v>1610</v>
      </c>
      <c r="N713">
        <v>2.5</v>
      </c>
      <c r="O713" s="189">
        <f>=ROUND(IF((TODAY()-A713+1)*N713*(L713/10000)+L713&lt;L713*1.002,L713*1.002,(TODAY()-A713+1)*N713*(L713/10000)+L713),2)</f>
        <v>1655.48</v>
      </c>
      <c r="P713" s="62">
        <v>1</v>
      </c>
      <c r="Q713" s="71">
        <f>=J713-P713</f>
        <v>0</v>
      </c>
      <c r="S713" s="112">
        <f>=P713-R713</f>
        <v>1</v>
      </c>
      <c r="T713" s="71">
        <f>=S713*L713</f>
        <v>1610</v>
      </c>
      <c r="U713" s="190">
        <f>=J713-P713</f>
        <v>0</v>
      </c>
    </row>
    <row r="714" spans="1:21" ht="15.75" customHeight="true">
      <c r="A714" s="80">
        <v>46113</v>
      </c>
      <c r="B714" s="71">
        <f>=TODAY()-A714+1</f>
        <v>112</v>
      </c>
      <c r="C714" t="s">
        <v>229</v>
      </c>
      <c r="D714" s="71" t="s">
        <v>50</v>
      </c>
      <c r="E714" s="160" t="s">
        <v>1613</v>
      </c>
      <c r="F714" s="258" t="s">
        <v>469</v>
      </c>
      <c r="G714" s="62" t="s">
        <v>428</v>
      </c>
      <c r="H714" s="62" t="s">
        <v>422</v>
      </c>
      <c r="I714" s="74" t="s">
        <v>1614</v>
      </c>
      <c r="J714" s="74">
        <v>1</v>
      </c>
      <c r="K714" s="62" t="s"/>
      <c r="L714" s="272">
        <v>1750</v>
      </c>
      <c r="M714" s="112">
        <f>=J714*L714</f>
        <v>1750</v>
      </c>
      <c r="N714">
        <v>2.5</v>
      </c>
      <c r="O714" s="189">
        <f>=ROUND(IF((TODAY()-A714+1)*N714*(L714/10000)+L714&lt;L714*1.002,L714*1.002,(TODAY()-A714+1)*N714*(L714/10000)+L714),2)</f>
        <v>1799.44</v>
      </c>
      <c r="P714" s="62">
        <v>1</v>
      </c>
      <c r="Q714" s="71">
        <f>=J714-P714</f>
        <v>0</v>
      </c>
      <c r="S714" s="112">
        <f>=P714-R714</f>
        <v>1</v>
      </c>
      <c r="T714" s="71">
        <f>=S714*L714</f>
        <v>1750</v>
      </c>
      <c r="U714" s="190">
        <f>=J714-P714</f>
        <v>0</v>
      </c>
    </row>
    <row r="715" spans="1:21" ht="15.75" customHeight="true">
      <c r="A715" s="110">
        <v>46114</v>
      </c>
      <c r="B715" s="93">
        <f>=TODAY()-A715+1</f>
        <v>111</v>
      </c>
      <c r="C715" t="s">
        <v>230</v>
      </c>
      <c r="D715" s="93" t="s">
        <v>50</v>
      </c>
      <c r="E715" s="160" t="s">
        <v>1615</v>
      </c>
      <c r="F715" s="140" t="s">
        <v>469</v>
      </c>
      <c r="G715" s="62" t="s">
        <v>428</v>
      </c>
      <c r="H715" s="62" t="s">
        <v>422</v>
      </c>
      <c r="I715" s="319" t="s">
        <v>1616</v>
      </c>
      <c r="J715" s="238">
        <v>1</v>
      </c>
      <c r="K715" s="62" t="s"/>
      <c r="L715" s="279">
        <v>2240</v>
      </c>
      <c r="M715" s="217">
        <f>=J715*L715</f>
        <v>2240</v>
      </c>
      <c r="N715">
        <v>2.5</v>
      </c>
      <c r="O715" s="198">
        <f>=ROUND(IF((TODAY()-A715+1)*N715*(L715/10000)+L715&lt;L715*1.002,L715*1.002,(TODAY()-A715+1)*N715*(L715/10000)+L715),2)</f>
        <v>2302.72</v>
      </c>
      <c r="P715" s="62">
        <v>1</v>
      </c>
      <c r="Q715" s="93">
        <f>=J715-P715</f>
        <v>0</v>
      </c>
      <c r="S715" s="217">
        <f>=P715-R715</f>
        <v>1</v>
      </c>
      <c r="T715" s="93">
        <f>=S715*L715</f>
        <v>2240</v>
      </c>
      <c r="U715" s="190">
        <f>=J715-P715</f>
        <v>0</v>
      </c>
    </row>
    <row r="716" spans="1:21" ht="15.75" customHeight="true">
      <c r="A716" s="80">
        <v>46113</v>
      </c>
      <c r="B716" s="71">
        <f>=TODAY()-A716+1</f>
        <v>112</v>
      </c>
      <c r="C716" t="s">
        <v>229</v>
      </c>
      <c r="D716" s="71" t="s">
        <v>50</v>
      </c>
      <c r="E716" s="160" t="s">
        <v>1617</v>
      </c>
      <c r="F716" s="221" t="s">
        <v>469</v>
      </c>
      <c r="G716" s="62" t="s">
        <v>428</v>
      </c>
      <c r="H716" s="62" t="s">
        <v>422</v>
      </c>
      <c r="I716" s="74" t="s">
        <v>1618</v>
      </c>
      <c r="J716" s="74">
        <v>2</v>
      </c>
      <c r="K716" s="62" t="s"/>
      <c r="L716" s="272">
        <v>1470</v>
      </c>
      <c r="M716" s="112">
        <f>=J716*L716</f>
        <v>2940</v>
      </c>
      <c r="N716">
        <v>2.5</v>
      </c>
      <c r="O716" s="189">
        <f>=ROUND(IF((TODAY()-A716+1)*N716*(L716/10000)+L716&lt;L716*1.002,L716*1.002,(TODAY()-A716+1)*N716*(L716/10000)+L716),2)</f>
        <v>1511.53</v>
      </c>
      <c r="P716" s="62">
        <v>2</v>
      </c>
      <c r="Q716" s="71">
        <f>=J716-P716</f>
        <v>0</v>
      </c>
      <c r="S716" s="112">
        <f>=P716-R716</f>
        <v>2</v>
      </c>
      <c r="T716" s="71">
        <f>=S716*L716</f>
        <v>2940</v>
      </c>
      <c r="U716" s="190">
        <f>=J716-P716</f>
        <v>0</v>
      </c>
    </row>
    <row r="717" spans="1:21" ht="15.75" customHeight="true">
      <c r="A717" s="80">
        <v>46113</v>
      </c>
      <c r="B717" s="71">
        <f>=TODAY()-A717+1</f>
        <v>112</v>
      </c>
      <c r="C717" t="s">
        <v>229</v>
      </c>
      <c r="D717" s="71" t="s">
        <v>50</v>
      </c>
      <c r="E717" s="160" t="s">
        <v>1619</v>
      </c>
      <c r="F717" s="221" t="s">
        <v>469</v>
      </c>
      <c r="G717" s="62" t="s">
        <v>428</v>
      </c>
      <c r="H717" s="62" t="s">
        <v>422</v>
      </c>
      <c r="I717" s="74" t="s">
        <v>1620</v>
      </c>
      <c r="J717" s="74">
        <v>2</v>
      </c>
      <c r="K717" s="62" t="s"/>
      <c r="L717" s="272">
        <v>1750</v>
      </c>
      <c r="M717" s="112">
        <f>=J717*L717</f>
        <v>3500</v>
      </c>
      <c r="N717">
        <v>2.5</v>
      </c>
      <c r="O717" s="189">
        <f>=ROUND(IF((TODAY()-A717+1)*N717*(L717/10000)+L717&lt;L717*1.002,L717*1.002,(TODAY()-A717+1)*N717*(L717/10000)+L717),2)</f>
        <v>1799.44</v>
      </c>
      <c r="P717" s="62">
        <v>2</v>
      </c>
      <c r="Q717" s="71">
        <f>=J717-P717</f>
        <v>0</v>
      </c>
      <c r="S717" s="112">
        <f>=P717-R717</f>
        <v>2</v>
      </c>
      <c r="T717" s="71">
        <f>=S717*L717</f>
        <v>3500</v>
      </c>
      <c r="U717" s="190">
        <f>=J717-P717</f>
        <v>0</v>
      </c>
    </row>
    <row r="718" spans="1:21" ht="15.75" customHeight="true">
      <c r="A718" s="80">
        <v>46114</v>
      </c>
      <c r="B718" s="71">
        <f>=TODAY()-A718+1</f>
        <v>111</v>
      </c>
      <c r="C718" t="s">
        <v>230</v>
      </c>
      <c r="D718" s="71" t="s">
        <v>50</v>
      </c>
      <c r="E718" s="160" t="s">
        <v>1621</v>
      </c>
      <c r="F718" s="87" t="s">
        <v>469</v>
      </c>
      <c r="G718" s="62" t="s">
        <v>428</v>
      </c>
      <c r="H718" s="62" t="s">
        <v>422</v>
      </c>
      <c r="I718" s="74" t="s">
        <v>1622</v>
      </c>
      <c r="J718" s="248">
        <v>2</v>
      </c>
      <c r="K718" s="62" t="s"/>
      <c r="L718" s="279">
        <v>2415</v>
      </c>
      <c r="M718" s="112">
        <f>=J718*L718</f>
        <v>4830</v>
      </c>
      <c r="N718">
        <v>2.5</v>
      </c>
      <c r="O718" s="189">
        <f>=ROUND(IF((TODAY()-A718+1)*N718*(L718/10000)+L718&lt;L718*1.002,L718*1.002,(TODAY()-A718+1)*N718*(L718/10000)+L718),2)</f>
        <v>2482.62</v>
      </c>
      <c r="P718" s="62">
        <v>2</v>
      </c>
      <c r="Q718" s="71">
        <f>=J718-P718</f>
        <v>0</v>
      </c>
      <c r="S718" s="112">
        <f>=P718-R718</f>
        <v>2</v>
      </c>
      <c r="T718" s="71">
        <f>=S718*L718</f>
        <v>4830</v>
      </c>
      <c r="U718" s="190">
        <f>=J718-P718</f>
        <v>0</v>
      </c>
    </row>
    <row r="719" spans="1:21" ht="15.75" customHeight="true">
      <c r="A719" s="80">
        <v>46113</v>
      </c>
      <c r="B719" s="71">
        <f>=TODAY()-A719+1</f>
        <v>112</v>
      </c>
      <c r="C719" t="s">
        <v>229</v>
      </c>
      <c r="D719" s="71" t="s">
        <v>50</v>
      </c>
      <c r="E719" s="160" t="s">
        <v>1623</v>
      </c>
      <c r="F719" s="221" t="s">
        <v>469</v>
      </c>
      <c r="G719" s="62" t="s">
        <v>428</v>
      </c>
      <c r="H719" s="62" t="s">
        <v>422</v>
      </c>
      <c r="I719" s="74" t="s">
        <v>1624</v>
      </c>
      <c r="J719" s="74">
        <v>3</v>
      </c>
      <c r="K719" s="62" t="s"/>
      <c r="L719" s="272">
        <v>1645</v>
      </c>
      <c r="M719" s="112">
        <f>=J719*L719</f>
        <v>4935</v>
      </c>
      <c r="N719">
        <v>2.5</v>
      </c>
      <c r="O719" s="189">
        <f>=ROUND(IF((TODAY()-A719+1)*N719*(L719/10000)+L719&lt;L719*1.002,L719*1.002,(TODAY()-A719+1)*N719*(L719/10000)+L719),2)</f>
        <v>1691.47</v>
      </c>
      <c r="P719" s="62">
        <v>3</v>
      </c>
      <c r="Q719" s="71">
        <f>=J719-P719</f>
        <v>0</v>
      </c>
      <c r="S719" s="112">
        <f>=P719-R719</f>
        <v>3</v>
      </c>
      <c r="T719" s="71">
        <f>=S719*L719</f>
        <v>4935</v>
      </c>
      <c r="U719" s="190">
        <f>=J719-P719</f>
        <v>0</v>
      </c>
    </row>
    <row r="720" spans="1:21" ht="15.75" customHeight="true">
      <c r="A720" s="80">
        <v>46113</v>
      </c>
      <c r="B720" s="71">
        <f>=TODAY()-A720+1</f>
        <v>112</v>
      </c>
      <c r="C720" t="s">
        <v>229</v>
      </c>
      <c r="D720" s="71" t="s">
        <v>50</v>
      </c>
      <c r="E720" s="160" t="s">
        <v>1625</v>
      </c>
      <c r="F720" s="258" t="s">
        <v>469</v>
      </c>
      <c r="G720" s="62" t="s">
        <v>428</v>
      </c>
      <c r="H720" s="62" t="s">
        <v>422</v>
      </c>
      <c r="I720" s="74" t="s">
        <v>1626</v>
      </c>
      <c r="J720" s="74">
        <v>3</v>
      </c>
      <c r="K720" s="62" t="s"/>
      <c r="L720" s="272">
        <v>1645</v>
      </c>
      <c r="M720" s="112">
        <f>=J720*L720</f>
        <v>4935</v>
      </c>
      <c r="N720">
        <v>2.5</v>
      </c>
      <c r="O720" s="189">
        <f>=ROUND(IF((TODAY()-A720+1)*N720*(L720/10000)+L720&lt;L720*1.002,L720*1.002,(TODAY()-A720+1)*N720*(L720/10000)+L720),2)</f>
        <v>1691.47</v>
      </c>
      <c r="P720" s="62">
        <v>3</v>
      </c>
      <c r="Q720" s="71">
        <f>=J720-P720</f>
        <v>0</v>
      </c>
      <c r="S720" s="112">
        <f>=P720-R720</f>
        <v>3</v>
      </c>
      <c r="T720" s="71">
        <f>=S720*L720</f>
        <v>4935</v>
      </c>
      <c r="U720" s="190">
        <f>=J720-P720</f>
        <v>0</v>
      </c>
    </row>
    <row r="721" spans="1:21" ht="15.75" customHeight="true">
      <c r="A721" s="80">
        <v>46113</v>
      </c>
      <c r="B721" s="71">
        <f>=TODAY()-A721+1</f>
        <v>112</v>
      </c>
      <c r="C721" t="s">
        <v>229</v>
      </c>
      <c r="D721" s="71" t="s">
        <v>50</v>
      </c>
      <c r="E721" s="160" t="s">
        <v>1627</v>
      </c>
      <c r="F721" s="221" t="s">
        <v>469</v>
      </c>
      <c r="G721" s="62" t="s">
        <v>428</v>
      </c>
      <c r="H721" s="62" t="s">
        <v>422</v>
      </c>
      <c r="I721" s="74" t="s">
        <v>1628</v>
      </c>
      <c r="J721" s="74">
        <v>3</v>
      </c>
      <c r="K721" s="62" t="s"/>
      <c r="L721" s="272">
        <v>1750</v>
      </c>
      <c r="M721" s="112">
        <f>=J721*L721</f>
        <v>5250</v>
      </c>
      <c r="N721">
        <v>2.5</v>
      </c>
      <c r="O721" s="189">
        <f>=ROUND(IF((TODAY()-A721+1)*N721*(L721/10000)+L721&lt;L721*1.002,L721*1.002,(TODAY()-A721+1)*N721*(L721/10000)+L721),2)</f>
        <v>1799.44</v>
      </c>
      <c r="P721" s="62">
        <v>3</v>
      </c>
      <c r="Q721" s="71">
        <f>=J721-P721</f>
        <v>0</v>
      </c>
      <c r="S721" s="112">
        <f>=P721-R721</f>
        <v>3</v>
      </c>
      <c r="T721" s="71">
        <f>=S721*L721</f>
        <v>5250</v>
      </c>
      <c r="U721" s="190">
        <f>=J721-P721</f>
        <v>0</v>
      </c>
    </row>
    <row r="722" spans="1:21" ht="15.75" customHeight="true">
      <c r="A722" s="80">
        <v>46113</v>
      </c>
      <c r="B722" s="71">
        <f>=TODAY()-A722+1</f>
        <v>112</v>
      </c>
      <c r="C722" t="s">
        <v>229</v>
      </c>
      <c r="D722" s="71" t="s">
        <v>50</v>
      </c>
      <c r="E722" s="160" t="s">
        <v>1629</v>
      </c>
      <c r="F722" s="258" t="s">
        <v>469</v>
      </c>
      <c r="G722" s="62" t="s">
        <v>428</v>
      </c>
      <c r="H722" s="62" t="s">
        <v>422</v>
      </c>
      <c r="I722" s="74" t="s">
        <v>1630</v>
      </c>
      <c r="J722" s="74">
        <v>5</v>
      </c>
      <c r="K722" s="62" t="s"/>
      <c r="L722" s="272">
        <v>1645</v>
      </c>
      <c r="M722" s="112">
        <f>=J722*L722</f>
        <v>8225</v>
      </c>
      <c r="N722">
        <v>2.5</v>
      </c>
      <c r="O722" s="189">
        <f>=ROUND(IF((TODAY()-A722+1)*N722*(L722/10000)+L722&lt;L722*1.002,L722*1.002,(TODAY()-A722+1)*N722*(L722/10000)+L722),2)</f>
        <v>1691.47</v>
      </c>
      <c r="P722" s="62">
        <v>5</v>
      </c>
      <c r="Q722" s="71">
        <f>=J722-P722</f>
        <v>0</v>
      </c>
      <c r="S722" s="112">
        <f>=P722-R722</f>
        <v>5</v>
      </c>
      <c r="T722" s="71">
        <f>=S722*L722</f>
        <v>8225</v>
      </c>
      <c r="U722" s="190">
        <f>=J722-P722</f>
        <v>0</v>
      </c>
    </row>
    <row r="723" spans="1:21" ht="15.75" customHeight="true">
      <c r="A723" s="80">
        <v>46114</v>
      </c>
      <c r="B723" s="71">
        <f>=TODAY()-A723+1</f>
        <v>111</v>
      </c>
      <c r="C723" t="s">
        <v>230</v>
      </c>
      <c r="D723" s="71" t="s">
        <v>50</v>
      </c>
      <c r="E723" s="160" t="s">
        <v>1631</v>
      </c>
      <c r="F723" s="242" t="s">
        <v>469</v>
      </c>
      <c r="G723" s="62" t="s">
        <v>428</v>
      </c>
      <c r="H723" s="62" t="s">
        <v>422</v>
      </c>
      <c r="I723" s="74" t="s">
        <v>1632</v>
      </c>
      <c r="J723" s="248">
        <v>5</v>
      </c>
      <c r="K723" s="62" t="s"/>
      <c r="L723" s="279">
        <v>1400</v>
      </c>
      <c r="M723" s="112">
        <f>=J723*L723</f>
        <v>7000</v>
      </c>
      <c r="N723">
        <v>2.5</v>
      </c>
      <c r="O723" s="189">
        <f>=ROUND(IF((TODAY()-A723+1)*N723*(L723/10000)+L723&lt;L723*1.002,L723*1.002,(TODAY()-A723+1)*N723*(L723/10000)+L723),2)</f>
        <v>1439.2</v>
      </c>
      <c r="P723" s="62">
        <v>5</v>
      </c>
      <c r="Q723" s="71">
        <f>=J723-P723</f>
        <v>0</v>
      </c>
      <c r="S723" s="112">
        <f>=P723-R723</f>
        <v>5</v>
      </c>
      <c r="T723" s="71">
        <f>=S723*L723</f>
        <v>7000</v>
      </c>
      <c r="U723" s="190">
        <f>=J723-P723</f>
        <v>0</v>
      </c>
    </row>
    <row r="724" spans="1:21" ht="15.75" customHeight="true">
      <c r="A724" s="80">
        <v>46113</v>
      </c>
      <c r="B724" s="71">
        <f>=TODAY()-A724+1</f>
        <v>112</v>
      </c>
      <c r="C724" t="s">
        <v>229</v>
      </c>
      <c r="D724" s="71" t="s">
        <v>50</v>
      </c>
      <c r="E724" s="160" t="s">
        <v>1633</v>
      </c>
      <c r="F724" s="258" t="s">
        <v>469</v>
      </c>
      <c r="G724" s="62" t="s">
        <v>428</v>
      </c>
      <c r="H724" s="62" t="s">
        <v>422</v>
      </c>
      <c r="I724" s="74" t="s">
        <v>1634</v>
      </c>
      <c r="J724" s="74">
        <v>6</v>
      </c>
      <c r="K724" s="62" t="s"/>
      <c r="L724" s="272">
        <v>1470</v>
      </c>
      <c r="M724" s="112">
        <f>=J724*L724</f>
        <v>8820</v>
      </c>
      <c r="N724">
        <v>2.5</v>
      </c>
      <c r="O724" s="189">
        <f>=ROUND(IF((TODAY()-A724+1)*N724*(L724/10000)+L724&lt;L724*1.002,L724*1.002,(TODAY()-A724+1)*N724*(L724/10000)+L724),2)</f>
        <v>1511.53</v>
      </c>
      <c r="P724" s="62">
        <v>6</v>
      </c>
      <c r="Q724" s="71">
        <f>=J724-P724</f>
        <v>0</v>
      </c>
      <c r="S724" s="112">
        <f>=P724-R724</f>
        <v>6</v>
      </c>
      <c r="T724" s="71">
        <f>=S724*L724</f>
        <v>8820</v>
      </c>
      <c r="U724" s="190">
        <f>=J724-P724</f>
        <v>0</v>
      </c>
    </row>
    <row r="725" spans="1:21" ht="15.75" customHeight="true">
      <c r="A725" s="80">
        <v>46113</v>
      </c>
      <c r="B725" s="71">
        <f>=TODAY()-A725+1</f>
        <v>112</v>
      </c>
      <c r="C725" t="s">
        <v>229</v>
      </c>
      <c r="D725" s="71" t="s">
        <v>50</v>
      </c>
      <c r="E725" s="160" t="s">
        <v>1635</v>
      </c>
      <c r="F725" s="258" t="s">
        <v>469</v>
      </c>
      <c r="G725" s="62" t="s">
        <v>428</v>
      </c>
      <c r="H725" s="62" t="s">
        <v>422</v>
      </c>
      <c r="I725" s="74" t="s">
        <v>1636</v>
      </c>
      <c r="J725" s="74">
        <v>8</v>
      </c>
      <c r="K725" s="62" t="s"/>
      <c r="L725" s="272">
        <v>1470</v>
      </c>
      <c r="M725" s="112">
        <f>=J725*L725</f>
        <v>11760</v>
      </c>
      <c r="N725">
        <v>2.5</v>
      </c>
      <c r="O725" s="189">
        <f>=ROUND(IF((TODAY()-A725+1)*N725*(L725/10000)+L725&lt;L725*1.002,L725*1.002,(TODAY()-A725+1)*N725*(L725/10000)+L725),2)</f>
        <v>1511.53</v>
      </c>
      <c r="P725" s="62">
        <v>8</v>
      </c>
      <c r="Q725" s="71">
        <f>=J725-P725</f>
        <v>0</v>
      </c>
      <c r="S725" s="112">
        <f>=P725-R725</f>
        <v>8</v>
      </c>
      <c r="T725" s="71">
        <f>=S725*L725</f>
        <v>11760</v>
      </c>
      <c r="U725" s="190">
        <f>=J725-P725</f>
        <v>0</v>
      </c>
    </row>
    <row r="726" spans="1:21" ht="15.75" customHeight="true">
      <c r="A726" s="80">
        <v>46114</v>
      </c>
      <c r="B726" s="71">
        <f>=TODAY()-A726+1</f>
        <v>111</v>
      </c>
      <c r="C726" t="s">
        <v>230</v>
      </c>
      <c r="D726" s="71" t="s">
        <v>50</v>
      </c>
      <c r="E726" s="160" t="s">
        <v>1637</v>
      </c>
      <c r="F726" s="242" t="s">
        <v>469</v>
      </c>
      <c r="G726" s="62" t="s">
        <v>428</v>
      </c>
      <c r="H726" s="62" t="s">
        <v>422</v>
      </c>
      <c r="I726" s="74" t="s">
        <v>1638</v>
      </c>
      <c r="J726" s="248">
        <v>9</v>
      </c>
      <c r="K726" s="62" t="s"/>
      <c r="L726" s="279">
        <v>1610</v>
      </c>
      <c r="M726" s="112">
        <f>=J726*L726</f>
        <v>14490</v>
      </c>
      <c r="N726">
        <v>2.5</v>
      </c>
      <c r="O726" s="189">
        <f>=ROUND(IF((TODAY()-A726+1)*N726*(L726/10000)+L726&lt;L726*1.002,L726*1.002,(TODAY()-A726+1)*N726*(L726/10000)+L726),2)</f>
        <v>1655.08</v>
      </c>
      <c r="P726" s="62">
        <v>9</v>
      </c>
      <c r="Q726" s="71">
        <f>=J726-P726</f>
        <v>0</v>
      </c>
      <c r="S726" s="112">
        <f>=P726-R726</f>
        <v>9</v>
      </c>
      <c r="T726" s="71">
        <f>=S726*L726</f>
        <v>14490</v>
      </c>
      <c r="U726" s="190">
        <f>=J726-P726</f>
        <v>0</v>
      </c>
    </row>
    <row r="727" spans="1:21" ht="15.75" customHeight="true">
      <c r="A727" s="80">
        <v>46114</v>
      </c>
      <c r="B727" s="71">
        <f>=TODAY()-A727+1</f>
        <v>111</v>
      </c>
      <c r="C727" t="s">
        <v>230</v>
      </c>
      <c r="D727" s="71" t="s">
        <v>50</v>
      </c>
      <c r="E727" s="160" t="s">
        <v>1639</v>
      </c>
      <c r="F727" s="87" t="s">
        <v>469</v>
      </c>
      <c r="G727" s="62" t="s">
        <v>428</v>
      </c>
      <c r="H727" s="62" t="s">
        <v>422</v>
      </c>
      <c r="I727" s="74" t="s">
        <v>1640</v>
      </c>
      <c r="J727" s="248">
        <v>9</v>
      </c>
      <c r="K727" s="62" t="s"/>
      <c r="L727" s="279">
        <v>1750</v>
      </c>
      <c r="M727" s="112">
        <f>=J727*L727</f>
        <v>15750</v>
      </c>
      <c r="N727">
        <v>2.5</v>
      </c>
      <c r="O727" s="189">
        <f>=ROUND(IF((TODAY()-A727+1)*N727*(L727/10000)+L727&lt;L727*1.002,L727*1.002,(TODAY()-A727+1)*N727*(L727/10000)+L727),2)</f>
        <v>1799</v>
      </c>
      <c r="P727" s="62">
        <v>9</v>
      </c>
      <c r="Q727" s="71">
        <f>=J727-P727</f>
        <v>0</v>
      </c>
      <c r="S727" s="112">
        <f>=P727-R727</f>
        <v>9</v>
      </c>
      <c r="T727" s="71">
        <f>=S727*L727</f>
        <v>15750</v>
      </c>
      <c r="U727" s="190">
        <f>=J727-P727</f>
        <v>0</v>
      </c>
    </row>
    <row r="728" spans="1:21" ht="15.75" customHeight="true">
      <c r="A728" s="80">
        <v>46113</v>
      </c>
      <c r="B728" s="71">
        <f>=TODAY()-A728+1</f>
        <v>112</v>
      </c>
      <c r="C728" t="s">
        <v>229</v>
      </c>
      <c r="D728" s="71" t="s">
        <v>50</v>
      </c>
      <c r="E728" s="160" t="s">
        <v>1641</v>
      </c>
      <c r="F728" s="221" t="s">
        <v>469</v>
      </c>
      <c r="G728" s="62" t="s">
        <v>428</v>
      </c>
      <c r="H728" s="62" t="s">
        <v>422</v>
      </c>
      <c r="I728" s="74" t="s">
        <v>1642</v>
      </c>
      <c r="J728" s="74">
        <v>10</v>
      </c>
      <c r="K728" s="62" t="s"/>
      <c r="L728" s="272">
        <v>1400</v>
      </c>
      <c r="M728" s="112">
        <f>=J728*L728</f>
        <v>14000</v>
      </c>
      <c r="N728">
        <v>2.5</v>
      </c>
      <c r="O728" s="189">
        <f>=ROUND(IF((TODAY()-A728+1)*N728*(L728/10000)+L728&lt;L728*1.002,L728*1.002,(TODAY()-A728+1)*N728*(L728/10000)+L728),2)</f>
        <v>1439.55</v>
      </c>
      <c r="P728" s="62">
        <v>10</v>
      </c>
      <c r="Q728" s="71">
        <f>=J728-P728</f>
        <v>0</v>
      </c>
      <c r="S728" s="112">
        <f>=P728-R728</f>
        <v>10</v>
      </c>
      <c r="T728" s="71">
        <f>=S728*L728</f>
        <v>14000</v>
      </c>
      <c r="U728" s="190">
        <f>=J728-P728</f>
        <v>0</v>
      </c>
    </row>
    <row r="729" spans="1:21" ht="15.75" customHeight="true">
      <c r="A729" s="80">
        <v>46113</v>
      </c>
      <c r="B729" s="71">
        <f>=TODAY()-A729+1</f>
        <v>112</v>
      </c>
      <c r="C729" t="s">
        <v>229</v>
      </c>
      <c r="D729" s="71" t="s">
        <v>50</v>
      </c>
      <c r="E729" s="160" t="s">
        <v>1643</v>
      </c>
      <c r="F729" s="221" t="s">
        <v>469</v>
      </c>
      <c r="G729" s="62" t="s">
        <v>428</v>
      </c>
      <c r="H729" s="62" t="s">
        <v>422</v>
      </c>
      <c r="I729" s="74" t="s">
        <v>1644</v>
      </c>
      <c r="J729" s="74">
        <v>10</v>
      </c>
      <c r="K729" s="62" t="s"/>
      <c r="L729" s="272">
        <v>2415</v>
      </c>
      <c r="M729" s="112">
        <f>=J729*L729</f>
        <v>24150</v>
      </c>
      <c r="N729">
        <v>2.5</v>
      </c>
      <c r="O729" s="189">
        <f>=ROUND(IF((TODAY()-A729+1)*N729*(L729/10000)+L729&lt;L729*1.002,L729*1.002,(TODAY()-A729+1)*N729*(L729/10000)+L729),2)</f>
        <v>2483.22</v>
      </c>
      <c r="P729" s="62">
        <v>10</v>
      </c>
      <c r="Q729" s="71">
        <f>=J729-P729</f>
        <v>0</v>
      </c>
      <c r="S729" s="112">
        <f>=P729-R729</f>
        <v>10</v>
      </c>
      <c r="T729" s="71">
        <f>=S729*L729</f>
        <v>24150</v>
      </c>
      <c r="U729" s="190">
        <f>=J729-P729</f>
        <v>0</v>
      </c>
    </row>
    <row r="730" spans="1:21" ht="15.75" customHeight="true">
      <c r="A730" s="80">
        <v>46113</v>
      </c>
      <c r="B730" s="71">
        <f>=TODAY()-A730+1</f>
        <v>112</v>
      </c>
      <c r="C730" t="s">
        <v>229</v>
      </c>
      <c r="D730" s="71" t="s">
        <v>50</v>
      </c>
      <c r="E730" s="160" t="s">
        <v>1645</v>
      </c>
      <c r="F730" s="258" t="s">
        <v>469</v>
      </c>
      <c r="G730" s="62" t="s">
        <v>428</v>
      </c>
      <c r="H730" s="62" t="s">
        <v>422</v>
      </c>
      <c r="I730" s="74" t="s">
        <v>1646</v>
      </c>
      <c r="J730" s="74">
        <v>13</v>
      </c>
      <c r="K730" s="62" t="s"/>
      <c r="L730" s="272">
        <v>1610</v>
      </c>
      <c r="M730" s="112">
        <f>=J730*L730</f>
        <v>20930</v>
      </c>
      <c r="N730">
        <v>2.5</v>
      </c>
      <c r="O730" s="189">
        <f>=ROUND(IF((TODAY()-A730+1)*N730*(L730/10000)+L730&lt;L730*1.002,L730*1.002,(TODAY()-A730+1)*N730*(L730/10000)+L730),2)</f>
        <v>1655.48</v>
      </c>
      <c r="P730" s="62">
        <v>13</v>
      </c>
      <c r="Q730" s="71">
        <f>=J730-P730</f>
        <v>0</v>
      </c>
      <c r="S730" s="112">
        <f>=P730-R730</f>
        <v>13</v>
      </c>
      <c r="T730" s="71">
        <f>=S730*L730</f>
        <v>20930</v>
      </c>
      <c r="U730" s="190">
        <f>=J730-P730</f>
        <v>0</v>
      </c>
    </row>
    <row r="731" spans="1:21" ht="15.75" customHeight="true">
      <c r="A731" s="80">
        <v>46114</v>
      </c>
      <c r="B731" s="71">
        <f>=TODAY()-A731+1</f>
        <v>111</v>
      </c>
      <c r="C731" t="s">
        <v>230</v>
      </c>
      <c r="D731" s="71" t="s">
        <v>50</v>
      </c>
      <c r="E731" s="160" t="s">
        <v>1647</v>
      </c>
      <c r="F731" s="87" t="s">
        <v>469</v>
      </c>
      <c r="G731" s="62" t="s">
        <v>428</v>
      </c>
      <c r="H731" s="62" t="s">
        <v>422</v>
      </c>
      <c r="I731" s="74" t="s">
        <v>1648</v>
      </c>
      <c r="J731" s="248">
        <v>17</v>
      </c>
      <c r="K731" s="62" t="s"/>
      <c r="L731" s="279">
        <v>1610</v>
      </c>
      <c r="M731" s="112">
        <f>=J731*L731</f>
        <v>27370</v>
      </c>
      <c r="N731">
        <v>2.5</v>
      </c>
      <c r="O731" s="189">
        <f>=ROUND(IF((TODAY()-A731+1)*N731*(L731/10000)+L731&lt;L731*1.002,L731*1.002,(TODAY()-A731+1)*N731*(L731/10000)+L731),2)</f>
        <v>1655.08</v>
      </c>
      <c r="P731" s="62">
        <v>17</v>
      </c>
      <c r="Q731" s="71">
        <f>=J731-P731</f>
        <v>0</v>
      </c>
      <c r="S731" s="112">
        <f>=P731-R731</f>
        <v>17</v>
      </c>
      <c r="T731" s="71">
        <f>=S731*L731</f>
        <v>27370</v>
      </c>
      <c r="U731" s="190">
        <f>=J731-P731</f>
        <v>0</v>
      </c>
    </row>
    <row r="732" spans="1:21" ht="15.75" customHeight="true">
      <c r="A732" s="80">
        <v>46106</v>
      </c>
      <c r="B732" s="71">
        <f>=TODAY()-A732+1</f>
        <v>119</v>
      </c>
      <c r="C732" s="165" t="s">
        <v>192</v>
      </c>
      <c r="D732" s="192" t="s">
        <v>191</v>
      </c>
      <c r="E732" s="160" t="s">
        <v>1649</v>
      </c>
      <c r="F732" s="242" t="s">
        <v>1076</v>
      </c>
      <c r="G732" s="64" t="s">
        <v>741</v>
      </c>
      <c r="H732" s="64" t="s">
        <v>422</v>
      </c>
      <c r="I732" s="64" t="s">
        <v>1650</v>
      </c>
      <c r="J732" s="71">
        <v>97</v>
      </c>
      <c r="K732" s="71" t="s"/>
      <c r="L732" s="71">
        <v>1225</v>
      </c>
      <c r="M732" s="197">
        <f>=J732*L732</f>
        <v>118825</v>
      </c>
      <c r="N732" s="71">
        <v>2.5</v>
      </c>
      <c r="O732" s="189">
        <f>=ROUND(IF((TODAY()-A732+1)*N732*(L732/10000)+L732&lt;L732*1.002,L732*1.002,(TODAY()-A732+1)*N732*(L732/10000)+L732),2)</f>
        <v>1261.75</v>
      </c>
      <c r="P732" s="71">
        <v>97</v>
      </c>
      <c r="Q732" s="71">
        <f>=J732-P732</f>
        <v>0</v>
      </c>
      <c r="R732" s="71">
        <v>97</v>
      </c>
      <c r="S732" s="112">
        <f>=P732-R732</f>
        <v>0</v>
      </c>
      <c r="T732" s="71">
        <f>=S732*L732</f>
        <v>0</v>
      </c>
      <c r="U732" s="190">
        <f>=J732-P732</f>
        <v>0</v>
      </c>
    </row>
    <row r="733" spans="1:21" ht="15.75" customHeight="true">
      <c r="A733" s="80">
        <v>46112</v>
      </c>
      <c r="B733" s="71">
        <f>=TODAY()-A733+1</f>
        <v>113</v>
      </c>
      <c r="C733" s="98" t="s">
        <v>225</v>
      </c>
      <c r="D733" s="71" t="s">
        <v>191</v>
      </c>
      <c r="E733" s="160" t="s">
        <v>1651</v>
      </c>
      <c r="F733" t="s">
        <v>1076</v>
      </c>
      <c r="G733" s="64" t="s">
        <v>741</v>
      </c>
      <c r="H733" s="64" t="s">
        <v>422</v>
      </c>
      <c r="I733" s="87" t="s">
        <v>1652</v>
      </c>
      <c r="J733">
        <v>40</v>
      </c>
      <c r="L733">
        <v>945</v>
      </c>
      <c r="M733" s="197">
        <f>=J733*L733</f>
        <v>37800</v>
      </c>
      <c r="N733">
        <v>2.5</v>
      </c>
      <c r="O733" s="189">
        <f>=ROUND(IF((TODAY()-A733+1)*N733*(L733/10000)+L733&lt;L733*1.002,L733*1.002,(TODAY()-A733+1)*N733*(L733/10000)+L733),2)</f>
        <v>971.93</v>
      </c>
      <c r="P733">
        <v>40</v>
      </c>
      <c r="Q733" s="71">
        <f>=J733-P733</f>
        <v>0</v>
      </c>
      <c r="R733">
        <v>8</v>
      </c>
      <c r="S733" s="112">
        <f>=P733-R733</f>
        <v>32</v>
      </c>
      <c r="T733" s="71">
        <f>=S733*L733</f>
        <v>30240</v>
      </c>
      <c r="U733" s="190">
        <f>=J733-P733</f>
        <v>0</v>
      </c>
    </row>
    <row r="734" spans="1:21" ht="15.75" customHeight="true">
      <c r="A734" s="110">
        <v>46112</v>
      </c>
      <c r="B734" s="93">
        <f>=TODAY()-A734+1</f>
        <v>113</v>
      </c>
      <c r="C734" s="102" t="s">
        <v>225</v>
      </c>
      <c r="D734" s="93" t="s">
        <v>191</v>
      </c>
      <c r="E734" s="160" t="s">
        <v>1653</v>
      </c>
      <c r="F734" t="s">
        <v>1076</v>
      </c>
      <c r="G734" s="83" t="s">
        <v>741</v>
      </c>
      <c r="H734" s="83" t="s">
        <v>422</v>
      </c>
      <c r="I734" t="s">
        <v>1089</v>
      </c>
      <c r="J734">
        <v>40</v>
      </c>
      <c r="L734">
        <v>1085</v>
      </c>
      <c r="M734" s="228">
        <f>=J734*L734</f>
        <v>43400</v>
      </c>
      <c r="N734">
        <v>2.5</v>
      </c>
      <c r="O734" s="198">
        <f>=ROUND(IF((TODAY()-A734+1)*N734*(L734/10000)+L734&lt;L734*1.002,L734*1.002,(TODAY()-A734+1)*N734*(L734/10000)+L734),2)</f>
        <v>1115.92</v>
      </c>
      <c r="P734">
        <v>40</v>
      </c>
      <c r="Q734" s="93">
        <f>=J734-P734</f>
        <v>0</v>
      </c>
      <c r="S734" s="217">
        <f>=P734-R734</f>
        <v>40</v>
      </c>
      <c r="T734" s="93">
        <f>=S734*L734</f>
        <v>43400</v>
      </c>
      <c r="U734" s="218">
        <f>=J734-P734</f>
        <v>0</v>
      </c>
    </row>
    <row r="735" spans="1:21" ht="15.75" customHeight="true">
      <c r="A735" s="110">
        <v>46112</v>
      </c>
      <c r="B735" s="93">
        <f>=TODAY()-A735+1</f>
        <v>113</v>
      </c>
      <c r="C735" s="102" t="s">
        <v>225</v>
      </c>
      <c r="D735" s="93" t="s">
        <v>191</v>
      </c>
      <c r="E735" s="160" t="s">
        <v>1654</v>
      </c>
      <c r="F735" t="s">
        <v>1076</v>
      </c>
      <c r="G735" s="83" t="s">
        <v>741</v>
      </c>
      <c r="H735" s="83" t="s">
        <v>422</v>
      </c>
      <c r="I735" t="s">
        <v>1084</v>
      </c>
      <c r="J735">
        <v>40</v>
      </c>
      <c r="L735">
        <v>1085</v>
      </c>
      <c r="M735" s="228">
        <f>=J735*L735</f>
        <v>43400</v>
      </c>
      <c r="N735">
        <v>2.5</v>
      </c>
      <c r="O735" s="198">
        <f>=ROUND(IF((TODAY()-A735+1)*N735*(L735/10000)+L735&lt;L735*1.002,L735*1.002,(TODAY()-A735+1)*N735*(L735/10000)+L735),2)</f>
        <v>1115.92</v>
      </c>
      <c r="P735">
        <v>40</v>
      </c>
      <c r="Q735" s="93">
        <f>=J735-P735</f>
        <v>0</v>
      </c>
      <c r="S735" s="217">
        <f>=P735-R735</f>
        <v>40</v>
      </c>
      <c r="T735" s="93">
        <f>=S735*L735</f>
        <v>43400</v>
      </c>
      <c r="U735" s="218">
        <f>=J735-P735</f>
        <v>0</v>
      </c>
    </row>
    <row r="736" spans="1:21" ht="15.75" customHeight="true">
      <c r="A736" s="80">
        <v>46112</v>
      </c>
      <c r="B736" s="71">
        <f>=TODAY()-A736+1</f>
        <v>113</v>
      </c>
      <c r="C736" s="98" t="s">
        <v>225</v>
      </c>
      <c r="D736" s="71" t="s">
        <v>191</v>
      </c>
      <c r="E736" s="160" t="s">
        <v>1655</v>
      </c>
      <c r="F736" t="s">
        <v>1076</v>
      </c>
      <c r="G736" s="64" t="s">
        <v>741</v>
      </c>
      <c r="H736" s="64" t="s">
        <v>422</v>
      </c>
      <c r="I736" s="87" t="s">
        <v>1087</v>
      </c>
      <c r="J736">
        <v>20</v>
      </c>
      <c r="L736">
        <v>1085</v>
      </c>
      <c r="M736" s="197">
        <f>=J736*L736</f>
        <v>21700</v>
      </c>
      <c r="N736">
        <v>2.5</v>
      </c>
      <c r="O736" s="189">
        <f>=ROUND(IF((TODAY()-A736+1)*N736*(L736/10000)+L736&lt;L736*1.002,L736*1.002,(TODAY()-A736+1)*N736*(L736/10000)+L736),2)</f>
        <v>1115.92</v>
      </c>
      <c r="P736">
        <v>20</v>
      </c>
      <c r="Q736" s="71">
        <f>=J736-P736</f>
        <v>0</v>
      </c>
      <c r="S736" s="112">
        <f>=P736-R736</f>
        <v>20</v>
      </c>
      <c r="T736" s="71">
        <f>=S736*L736</f>
        <v>21700</v>
      </c>
      <c r="U736" s="190">
        <f>=J736-P736</f>
        <v>0</v>
      </c>
    </row>
    <row r="737" spans="1:21" ht="15.75" customHeight="true">
      <c r="A737" s="80">
        <v>46113</v>
      </c>
      <c r="B737" s="71">
        <f>=TODAY()-A737+1</f>
        <v>112</v>
      </c>
      <c r="C737" s="98" t="s">
        <v>235</v>
      </c>
      <c r="D737" s="71" t="s">
        <v>191</v>
      </c>
      <c r="E737" s="160" t="s">
        <v>1656</v>
      </c>
      <c r="F737" t="s">
        <v>1076</v>
      </c>
      <c r="G737" s="64" t="s">
        <v>741</v>
      </c>
      <c r="H737" s="64" t="s">
        <v>422</v>
      </c>
      <c r="I737" t="s">
        <v>1082</v>
      </c>
      <c r="J737">
        <v>80</v>
      </c>
      <c r="L737">
        <v>1010</v>
      </c>
      <c r="M737" s="197">
        <f>=J737*L737</f>
        <v>80800</v>
      </c>
      <c r="N737">
        <v>2.5</v>
      </c>
      <c r="O737" s="189">
        <f>=ROUND(IF((TODAY()-A737+1)*N737*(L737/10000)+L737&lt;L737*1.002,L737*1.002,(TODAY()-A737+1)*N737*(L737/10000)+L737),2)</f>
        <v>1038.53</v>
      </c>
      <c r="P737">
        <v>80</v>
      </c>
      <c r="Q737" s="71">
        <f>=J737-P737</f>
        <v>0</v>
      </c>
      <c r="S737" s="112">
        <f>=P737-R737</f>
        <v>80</v>
      </c>
      <c r="T737" s="71">
        <f>=S737*L737</f>
        <v>80800</v>
      </c>
      <c r="U737" s="190">
        <f>=J737-P737</f>
        <v>0</v>
      </c>
    </row>
    <row r="738" spans="1:21" ht="15.75" customHeight="true">
      <c r="A738" s="80">
        <v>46115</v>
      </c>
      <c r="B738" s="71">
        <f>=TODAY()-A738+1</f>
        <v>110</v>
      </c>
      <c r="C738" s="71" t="s">
        <v>232</v>
      </c>
      <c r="D738" s="64" t="s">
        <v>52</v>
      </c>
      <c r="E738" s="136" t="s">
        <v>1657</v>
      </c>
      <c r="G738" s="320" t="s">
        <v>428</v>
      </c>
      <c r="H738" s="320" t="s">
        <v>422</v>
      </c>
      <c r="I738" s="320" t="s">
        <v>1658</v>
      </c>
      <c r="J738">
        <v>11</v>
      </c>
      <c r="L738" s="321">
        <v>2625</v>
      </c>
      <c r="M738" s="112">
        <f>=J738*L738</f>
        <v>28875</v>
      </c>
      <c r="N738">
        <v>3</v>
      </c>
      <c r="O738" s="189">
        <f>=ROUND(IF((TODAY()-A738+1)*N738*(L738/10000)+L738&lt;L738*1.002,L738*1.002,(TODAY()-A738+1)*N738*(L738/10000)+L738),2)</f>
        <v>2712.41</v>
      </c>
      <c r="P738">
        <v>11</v>
      </c>
      <c r="Q738" s="71">
        <f>=J738-P738</f>
        <v>0</v>
      </c>
      <c r="S738" s="112">
        <f>=P738-R738</f>
        <v>11</v>
      </c>
      <c r="T738" s="71">
        <f>=S738*L738</f>
        <v>28875</v>
      </c>
      <c r="U738" s="190">
        <f>=J738-P738</f>
        <v>0</v>
      </c>
    </row>
    <row r="739" spans="1:21" ht="15.75" customHeight="true">
      <c r="A739" s="80">
        <v>46115</v>
      </c>
      <c r="B739" s="71">
        <f>=TODAY()-A739+1</f>
        <v>110</v>
      </c>
      <c r="C739" s="64" t="s">
        <v>232</v>
      </c>
      <c r="D739" s="64" t="s">
        <v>52</v>
      </c>
      <c r="E739" s="136" t="s">
        <v>1659</v>
      </c>
      <c r="G739" s="320" t="s">
        <v>428</v>
      </c>
      <c r="H739" s="320" t="s">
        <v>422</v>
      </c>
      <c r="I739" s="262" t="s">
        <v>890</v>
      </c>
      <c r="J739">
        <v>6</v>
      </c>
      <c r="L739" s="321">
        <v>3010</v>
      </c>
      <c r="M739" s="112">
        <f>=J739*L739</f>
        <v>18060</v>
      </c>
      <c r="N739">
        <v>3</v>
      </c>
      <c r="O739" s="189">
        <f>=ROUND(IF((TODAY()-A739+1)*N739*(L739/10000)+L739&lt;L739*1.002,L739*1.002,(TODAY()-A739+1)*N739*(L739/10000)+L739),2)</f>
        <v>3110.23</v>
      </c>
      <c r="P739">
        <v>6</v>
      </c>
      <c r="Q739" s="71">
        <f>=J739-P739</f>
        <v>0</v>
      </c>
      <c r="R739">
        <v>6</v>
      </c>
      <c r="S739" s="112">
        <f>=P739-R739</f>
        <v>0</v>
      </c>
      <c r="T739" s="71">
        <f>=S739*L739</f>
        <v>0</v>
      </c>
      <c r="U739" s="190">
        <f>=J739-P739</f>
        <v>0</v>
      </c>
    </row>
    <row r="740" spans="1:21" ht="15.75" customHeight="true">
      <c r="A740" s="80">
        <v>46115</v>
      </c>
      <c r="B740" s="71">
        <f>=TODAY()-A740+1</f>
        <v>110</v>
      </c>
      <c r="C740" s="71" t="s">
        <v>232</v>
      </c>
      <c r="D740" s="64" t="s">
        <v>52</v>
      </c>
      <c r="E740" s="136" t="s">
        <v>1660</v>
      </c>
      <c r="G740" s="320" t="s">
        <v>428</v>
      </c>
      <c r="H740" s="320" t="s">
        <v>422</v>
      </c>
      <c r="I740" s="140" t="s">
        <v>926</v>
      </c>
      <c r="J740">
        <v>13</v>
      </c>
      <c r="L740" s="321">
        <v>2870</v>
      </c>
      <c r="M740" s="112">
        <f>=J740*L740</f>
        <v>37310</v>
      </c>
      <c r="N740">
        <v>3</v>
      </c>
      <c r="O740" s="189">
        <f>=ROUND(IF((TODAY()-A740+1)*N740*(L740/10000)+L740&lt;L740*1.002,L740*1.002,(TODAY()-A740+1)*N740*(L740/10000)+L740),2)</f>
        <v>2965.57</v>
      </c>
      <c r="P740">
        <v>13</v>
      </c>
      <c r="Q740" s="71">
        <f>=J740-P740</f>
        <v>0</v>
      </c>
      <c r="R740">
        <v>9</v>
      </c>
      <c r="S740" s="112">
        <f>=P740-R740</f>
        <v>4</v>
      </c>
      <c r="T740" s="71">
        <f>=S740*L740</f>
        <v>11480</v>
      </c>
      <c r="U740" s="190">
        <f>=J740-P740</f>
        <v>0</v>
      </c>
    </row>
    <row r="741" spans="1:21" ht="15.75" customHeight="true">
      <c r="A741" s="80">
        <v>46115</v>
      </c>
      <c r="B741" s="71">
        <f>=TODAY()-A741+1</f>
        <v>110</v>
      </c>
      <c r="C741" s="71" t="s">
        <v>232</v>
      </c>
      <c r="D741" s="64" t="s">
        <v>52</v>
      </c>
      <c r="E741" s="136" t="s">
        <v>1661</v>
      </c>
      <c r="G741" s="320" t="s">
        <v>428</v>
      </c>
      <c r="H741" s="320" t="s">
        <v>422</v>
      </c>
      <c r="I741" s="262" t="s">
        <v>931</v>
      </c>
      <c r="J741">
        <v>8</v>
      </c>
      <c r="L741" s="321">
        <v>2870</v>
      </c>
      <c r="M741" s="112">
        <f>=J741*L741</f>
        <v>22960</v>
      </c>
      <c r="N741">
        <v>3</v>
      </c>
      <c r="O741" s="189">
        <f>=ROUND(IF((TODAY()-A741+1)*N741*(L741/10000)+L741&lt;L741*1.002,L741*1.002,(TODAY()-A741+1)*N741*(L741/10000)+L741),2)</f>
        <v>2965.57</v>
      </c>
      <c r="P741">
        <v>8</v>
      </c>
      <c r="Q741" s="71">
        <f>=J741-P741</f>
        <v>0</v>
      </c>
      <c r="S741" s="112">
        <f>=P741-R741</f>
        <v>8</v>
      </c>
      <c r="T741" s="71">
        <f>=S741*L741</f>
        <v>22960</v>
      </c>
      <c r="U741" s="190">
        <f>=J741-P741</f>
        <v>0</v>
      </c>
    </row>
    <row r="742" spans="1:21" ht="15.75" customHeight="true">
      <c r="A742" s="80">
        <v>46115</v>
      </c>
      <c r="B742" s="71">
        <f>=TODAY()-A742+1</f>
        <v>110</v>
      </c>
      <c r="C742" s="71" t="s">
        <v>232</v>
      </c>
      <c r="D742" s="64" t="s">
        <v>52</v>
      </c>
      <c r="E742" s="136" t="s">
        <v>1662</v>
      </c>
      <c r="G742" s="320" t="s">
        <v>428</v>
      </c>
      <c r="H742" s="320" t="s">
        <v>422</v>
      </c>
      <c r="I742" s="320" t="s">
        <v>1663</v>
      </c>
      <c r="J742">
        <v>10</v>
      </c>
      <c r="L742" s="321">
        <v>4165</v>
      </c>
      <c r="M742" s="112">
        <f>=J742*L742</f>
        <v>41650</v>
      </c>
      <c r="N742">
        <v>3</v>
      </c>
      <c r="O742" s="189">
        <f>=ROUND(IF((TODAY()-A742+1)*N742*(L742/10000)+L742&lt;L742*1.002,L742*1.002,(TODAY()-A742+1)*N742*(L742/10000)+L742),2)</f>
        <v>4303.69</v>
      </c>
      <c r="P742">
        <v>10</v>
      </c>
      <c r="Q742" s="71">
        <f>=J742-P742</f>
        <v>0</v>
      </c>
      <c r="R742">
        <v>10</v>
      </c>
      <c r="S742" s="112">
        <f>=P742-R742</f>
        <v>0</v>
      </c>
      <c r="T742" s="71">
        <f>=S742*L742</f>
        <v>0</v>
      </c>
      <c r="U742" s="190">
        <f>=J742-P742</f>
        <v>0</v>
      </c>
    </row>
    <row r="743" spans="1:21" ht="15.75" customHeight="true">
      <c r="A743" s="80">
        <v>46115</v>
      </c>
      <c r="B743" s="71">
        <f>=TODAY()-A743+1</f>
        <v>110</v>
      </c>
      <c r="C743" s="71" t="s">
        <v>232</v>
      </c>
      <c r="D743" s="64" t="s">
        <v>52</v>
      </c>
      <c r="E743" s="136" t="s">
        <v>1664</v>
      </c>
      <c r="G743" s="320" t="s">
        <v>428</v>
      </c>
      <c r="H743" s="320" t="s">
        <v>429</v>
      </c>
      <c r="I743" s="320" t="s">
        <v>1665</v>
      </c>
      <c r="J743">
        <v>8</v>
      </c>
      <c r="L743" s="321">
        <v>1260</v>
      </c>
      <c r="M743" s="112">
        <f>=J743*L743</f>
        <v>10080</v>
      </c>
      <c r="N743">
        <v>3</v>
      </c>
      <c r="O743" s="189">
        <f>=ROUND(IF((TODAY()-A743+1)*N743*(L743/10000)+L743&lt;L743*1.002,L743*1.002,(TODAY()-A743+1)*N743*(L743/10000)+L743),2)</f>
        <v>1301.96</v>
      </c>
      <c r="P743">
        <v>8</v>
      </c>
      <c r="Q743" s="71">
        <f>=J743-P743</f>
        <v>0</v>
      </c>
      <c r="R743">
        <v>8</v>
      </c>
      <c r="S743" s="112">
        <f>=P743-R743</f>
        <v>0</v>
      </c>
      <c r="T743" s="71">
        <f>=S743*L743</f>
        <v>0</v>
      </c>
      <c r="U743" s="190">
        <f>=J743-P743</f>
        <v>0</v>
      </c>
    </row>
    <row r="744" spans="1:21" s="258" customFormat="true" ht="15.75" customHeight="true">
      <c r="A744" s="80">
        <v>46115</v>
      </c>
      <c r="B744" s="71">
        <f>=TODAY()-A744+1</f>
        <v>110</v>
      </c>
      <c r="C744" s="71" t="s">
        <v>232</v>
      </c>
      <c r="D744" s="64" t="s">
        <v>52</v>
      </c>
      <c r="E744" s="155" t="s">
        <v>1666</v>
      </c>
      <c r="G744" s="320" t="s">
        <v>428</v>
      </c>
      <c r="H744" s="320" t="s">
        <v>429</v>
      </c>
      <c r="I744" s="320" t="s">
        <v>1667</v>
      </c>
      <c r="J744" s="87">
        <v>10</v>
      </c>
      <c r="L744" s="322">
        <v>770</v>
      </c>
      <c r="M744" s="197">
        <f>=J744*L744</f>
        <v>7700</v>
      </c>
      <c r="N744" s="87">
        <v>3</v>
      </c>
      <c r="O744" s="189">
        <f>=ROUND(IF((TODAY()-A744+1)*N744*(L744/10000)+L744&lt;L744*1.002,L744*1.002,(TODAY()-A744+1)*N744*(L744/10000)+L744),2)</f>
        <v>795.64</v>
      </c>
      <c r="P744" s="87">
        <v>10</v>
      </c>
      <c r="Q744" s="64">
        <f>=J744-P744</f>
        <v>0</v>
      </c>
      <c r="R744" s="87">
        <v>10</v>
      </c>
      <c r="S744" s="197">
        <f>=P744-R744</f>
        <v>0</v>
      </c>
      <c r="T744" s="71">
        <f>=S744*L744</f>
        <v>0</v>
      </c>
      <c r="U744" s="190">
        <f>=J744-P744</f>
        <v>0</v>
      </c>
    </row>
    <row r="745" spans="1:21" ht="15.75" customHeight="true">
      <c r="A745" s="80">
        <v>46120</v>
      </c>
      <c r="B745" s="71">
        <f>=TODAY()-A745+1</f>
        <v>105</v>
      </c>
      <c r="C745" s="71" t="s">
        <v>233</v>
      </c>
      <c r="D745" s="64" t="s">
        <v>52</v>
      </c>
      <c r="E745" s="136" t="s">
        <v>1668</v>
      </c>
      <c r="G745" s="320" t="s">
        <v>428</v>
      </c>
      <c r="H745" s="320" t="s">
        <v>429</v>
      </c>
      <c r="I745" s="320" t="s">
        <v>1669</v>
      </c>
      <c r="J745">
        <v>9</v>
      </c>
      <c r="L745" s="321">
        <v>700</v>
      </c>
      <c r="M745" s="112">
        <f>=J745*L745</f>
        <v>6300</v>
      </c>
      <c r="N745">
        <v>3</v>
      </c>
      <c r="O745" s="189">
        <f>=ROUND(IF((TODAY()-A745+1)*N745*(L745/10000)+L745&lt;L745*1.002,L745*1.002,(TODAY()-A745+1)*N745*(L745/10000)+L745),2)</f>
        <v>722.26</v>
      </c>
      <c r="P745">
        <v>9</v>
      </c>
      <c r="Q745" s="71">
        <f>=J745-P745</f>
        <v>0</v>
      </c>
      <c r="R745">
        <v>9</v>
      </c>
      <c r="S745" s="112">
        <f>=P745-R745</f>
        <v>0</v>
      </c>
      <c r="T745" s="71">
        <f>=S745*L745</f>
        <v>0</v>
      </c>
      <c r="U745" s="190">
        <f>=J745-P745</f>
        <v>0</v>
      </c>
    </row>
    <row r="746" spans="1:21" ht="15.75" customHeight="true">
      <c r="A746" s="109">
        <v>46115</v>
      </c>
      <c r="B746" s="71">
        <f>=TODAY()-A746+1</f>
        <v>110</v>
      </c>
      <c r="C746" s="71" t="s">
        <v>232</v>
      </c>
      <c r="D746" s="64" t="s">
        <v>52</v>
      </c>
      <c r="E746" s="136" t="s">
        <v>1670</v>
      </c>
      <c r="G746" s="320" t="s">
        <v>428</v>
      </c>
      <c r="H746" s="320" t="s">
        <v>422</v>
      </c>
      <c r="I746" s="320" t="s">
        <v>1671</v>
      </c>
      <c r="J746">
        <v>36</v>
      </c>
      <c r="L746" s="321">
        <v>910</v>
      </c>
      <c r="M746" s="112">
        <f>=J746*L746</f>
        <v>32760</v>
      </c>
      <c r="N746">
        <v>3</v>
      </c>
      <c r="O746" s="189">
        <f>=ROUND(IF((TODAY()-A746+1)*N746*(L746/10000)+L746&lt;L746*1.002,L746*1.002,(TODAY()-A746+1)*N746*(L746/10000)+L746),2)</f>
        <v>940.3</v>
      </c>
      <c r="P746">
        <v>36</v>
      </c>
      <c r="Q746" s="71">
        <f>=J746-P746</f>
        <v>0</v>
      </c>
      <c r="R746">
        <v>36</v>
      </c>
      <c r="S746" s="112">
        <f>=P746-R746</f>
        <v>0</v>
      </c>
      <c r="T746" s="71">
        <f>=S746*L746</f>
        <v>0</v>
      </c>
      <c r="U746" s="190">
        <f>=J746-P746</f>
        <v>0</v>
      </c>
    </row>
    <row r="747" spans="1:21" ht="15.75" customHeight="true">
      <c r="A747" s="80">
        <v>46114</v>
      </c>
      <c r="B747" s="71">
        <f>=TODAY()-A747+1</f>
        <v>111</v>
      </c>
      <c r="C747" s="98" t="s">
        <v>234</v>
      </c>
      <c r="D747" s="162" t="s">
        <v>215</v>
      </c>
      <c r="E747" s="214" t="s">
        <v>1672</v>
      </c>
      <c r="F747" s="87" t="s">
        <v>1426</v>
      </c>
      <c r="G747" s="87" t="s">
        <v>421</v>
      </c>
      <c r="H747" s="87" t="s">
        <v>470</v>
      </c>
      <c r="I747" s="87" t="s">
        <v>914</v>
      </c>
      <c r="J747">
        <v>119</v>
      </c>
      <c r="L747">
        <v>5650</v>
      </c>
      <c r="M747" s="112">
        <f>=J747*L747</f>
        <v>672350</v>
      </c>
      <c r="N747">
        <v>2.5</v>
      </c>
      <c r="O747" s="189">
        <f>=ROUND(IF((TODAY()-A747+1)*N747*(L747/10000)+L747&lt;L747*1.002,L747*1.002,(TODAY()-A747+1)*N747*(L747/10000)+L747),2)</f>
        <v>5808.2</v>
      </c>
      <c r="P747">
        <v>119</v>
      </c>
      <c r="Q747" s="71">
        <f>=J747-P747</f>
        <v>0</v>
      </c>
      <c r="R747">
        <v>119</v>
      </c>
      <c r="S747" s="112">
        <f>=P747-R747</f>
        <v>0</v>
      </c>
      <c r="T747" s="71">
        <f>=S747*L747</f>
        <v>0</v>
      </c>
      <c r="U747" s="190">
        <f>=J747-P747</f>
        <v>0</v>
      </c>
    </row>
    <row r="748" spans="1:21">
      <c r="A748" s="80">
        <v>46114</v>
      </c>
      <c r="B748" s="71">
        <f>=TODAY()-A748+1</f>
        <v>111</v>
      </c>
      <c r="C748" s="98" t="s">
        <v>234</v>
      </c>
      <c r="D748" s="71" t="s">
        <v>215</v>
      </c>
      <c r="E748" s="242" t="s">
        <v>1673</v>
      </c>
      <c r="F748" s="87" t="s">
        <v>1426</v>
      </c>
      <c r="G748" s="87" t="s">
        <v>421</v>
      </c>
      <c r="H748" s="87" t="s">
        <v>470</v>
      </c>
      <c r="I748" s="87" t="s">
        <v>1674</v>
      </c>
      <c r="J748">
        <v>160</v>
      </c>
      <c r="L748">
        <v>3220</v>
      </c>
      <c r="M748" s="112">
        <f>=J748*L748</f>
        <v>515200</v>
      </c>
      <c r="N748">
        <v>2.5</v>
      </c>
      <c r="O748" s="189">
        <f>=ROUND(IF((TODAY()-A748+1)*N748*(L748/10000)+L748&lt;L748*1.002,L748*1.002,(TODAY()-A748+1)*N748*(L748/10000)+L748),2)</f>
        <v>3310.16</v>
      </c>
      <c r="P748">
        <v>160</v>
      </c>
      <c r="Q748" s="71">
        <f>=J748-P748</f>
        <v>0</v>
      </c>
      <c r="S748" s="112">
        <f>=P748-R748</f>
        <v>160</v>
      </c>
      <c r="T748" s="71">
        <f>=S748*L748</f>
        <v>515200</v>
      </c>
      <c r="U748" s="190">
        <f>=J748-P748</f>
        <v>0</v>
      </c>
    </row>
    <row r="749" spans="1:21">
      <c r="A749" s="80">
        <v>46113</v>
      </c>
      <c r="B749" s="71">
        <f>=TODAY()-A749+1</f>
        <v>112</v>
      </c>
      <c r="C749" s="98" t="s">
        <v>235</v>
      </c>
      <c r="D749" s="71" t="s">
        <v>191</v>
      </c>
      <c r="E749" s="160" t="s">
        <v>1675</v>
      </c>
      <c r="F749" t="s">
        <v>1076</v>
      </c>
      <c r="G749" t="s">
        <v>741</v>
      </c>
      <c r="H749" t="s">
        <v>422</v>
      </c>
      <c r="I749" t="s">
        <v>1089</v>
      </c>
      <c r="J749">
        <v>120</v>
      </c>
      <c r="L749">
        <v>1160</v>
      </c>
      <c r="M749" s="197">
        <f>=J749*L749</f>
        <v>139200</v>
      </c>
      <c r="N749">
        <v>2.5</v>
      </c>
      <c r="O749" s="189">
        <f>=ROUND(IF((TODAY()-A749+1)*N749*(L749/10000)+L749&lt;L749*1.002,L749*1.002,(TODAY()-A749+1)*N749*(L749/10000)+L749),2)</f>
        <v>1192.77</v>
      </c>
      <c r="P749">
        <v>120</v>
      </c>
      <c r="Q749" s="71">
        <f>=J749-P749</f>
        <v>0</v>
      </c>
      <c r="S749" s="112">
        <f>=P749-R749</f>
        <v>120</v>
      </c>
      <c r="T749" s="71">
        <f>=S749*L749</f>
        <v>139200</v>
      </c>
      <c r="U749" s="190">
        <f>=J749-P749</f>
        <v>0</v>
      </c>
    </row>
    <row r="750" spans="1:21" ht="15.75" customHeight="true">
      <c r="A750" s="80">
        <v>46113</v>
      </c>
      <c r="B750" s="71">
        <f>=TODAY()-A750+1</f>
        <v>112</v>
      </c>
      <c r="C750" s="98" t="s">
        <v>235</v>
      </c>
      <c r="D750" s="71" t="s">
        <v>191</v>
      </c>
      <c r="E750" s="160" t="s">
        <v>1676</v>
      </c>
      <c r="F750" t="s">
        <v>1076</v>
      </c>
      <c r="G750" t="s">
        <v>741</v>
      </c>
      <c r="H750" t="s">
        <v>422</v>
      </c>
      <c r="I750" s="87" t="s">
        <v>1087</v>
      </c>
      <c r="J750">
        <v>100</v>
      </c>
      <c r="L750">
        <v>1160</v>
      </c>
      <c r="M750" s="197">
        <f>=J750*L750</f>
        <v>116000</v>
      </c>
      <c r="N750">
        <v>2.5</v>
      </c>
      <c r="O750" s="189">
        <f>=ROUND(IF((TODAY()-A750+1)*N750*(L750/10000)+L750&lt;L750*1.002,L750*1.002,(TODAY()-A750+1)*N750*(L750/10000)+L750),2)</f>
        <v>1192.77</v>
      </c>
      <c r="P750">
        <v>100</v>
      </c>
      <c r="Q750" s="71">
        <f>=J750-P750</f>
        <v>0</v>
      </c>
      <c r="R750">
        <v>45</v>
      </c>
      <c r="S750" s="112">
        <f>=P750-R750</f>
        <v>55</v>
      </c>
      <c r="T750" s="71">
        <f>=S750*L750</f>
        <v>63800</v>
      </c>
      <c r="U750" s="190">
        <f>=J750-P750</f>
        <v>0</v>
      </c>
    </row>
    <row r="751" spans="1:21" ht="15.75" customHeight="true">
      <c r="A751" s="80">
        <v>46113</v>
      </c>
      <c r="B751" s="71">
        <f>=TODAY()-A751+1</f>
        <v>112</v>
      </c>
      <c r="C751" s="98" t="s">
        <v>235</v>
      </c>
      <c r="D751" s="71" t="s">
        <v>191</v>
      </c>
      <c r="E751" s="160" t="s">
        <v>1677</v>
      </c>
      <c r="F751" t="s">
        <v>1076</v>
      </c>
      <c r="G751" t="s">
        <v>741</v>
      </c>
      <c r="H751" t="s">
        <v>422</v>
      </c>
      <c r="I751" t="s">
        <v>1176</v>
      </c>
      <c r="J751">
        <v>60</v>
      </c>
      <c r="L751">
        <v>1010</v>
      </c>
      <c r="M751" s="197">
        <f>=J751*L751</f>
        <v>60600</v>
      </c>
      <c r="N751">
        <v>2.5</v>
      </c>
      <c r="O751" s="189">
        <f>=ROUND(IF((TODAY()-A751+1)*N751*(L751/10000)+L751&lt;L751*1.002,L751*1.002,(TODAY()-A751+1)*N751*(L751/10000)+L751),2)</f>
        <v>1038.53</v>
      </c>
      <c r="P751">
        <v>60</v>
      </c>
      <c r="Q751" s="71">
        <f>=J751-P751</f>
        <v>0</v>
      </c>
      <c r="S751" s="112">
        <f>=P751-R751</f>
        <v>60</v>
      </c>
      <c r="T751" s="71">
        <f>=S751*L751</f>
        <v>60600</v>
      </c>
      <c r="U751" s="190">
        <f>=J751-P751</f>
        <v>0</v>
      </c>
    </row>
    <row r="752" spans="1:21" ht="15.75" customHeight="true">
      <c r="A752" s="80">
        <v>46113</v>
      </c>
      <c r="B752" s="71">
        <f>=TODAY()-A752+1</f>
        <v>112</v>
      </c>
      <c r="C752" s="98" t="s">
        <v>235</v>
      </c>
      <c r="D752" s="71" t="s">
        <v>191</v>
      </c>
      <c r="E752" s="160" t="s">
        <v>1678</v>
      </c>
      <c r="F752" t="s">
        <v>1076</v>
      </c>
      <c r="G752" t="s">
        <v>741</v>
      </c>
      <c r="H752" t="s">
        <v>422</v>
      </c>
      <c r="I752" t="s">
        <v>1278</v>
      </c>
      <c r="J752">
        <v>40</v>
      </c>
      <c r="L752">
        <v>1010</v>
      </c>
      <c r="M752" s="197">
        <f>=J752*L752</f>
        <v>40400</v>
      </c>
      <c r="N752">
        <v>2.5</v>
      </c>
      <c r="O752" s="189">
        <f>=ROUND(IF((TODAY()-A752+1)*N752*(L752/10000)+L752&lt;L752*1.002,L752*1.002,(TODAY()-A752+1)*N752*(L752/10000)+L752),2)</f>
        <v>1038.53</v>
      </c>
      <c r="P752">
        <v>40</v>
      </c>
      <c r="Q752" s="71">
        <f>=J752-P752</f>
        <v>0</v>
      </c>
      <c r="S752" s="112">
        <f>=P752-R752</f>
        <v>40</v>
      </c>
      <c r="T752" s="71">
        <f>=S752*L752</f>
        <v>40400</v>
      </c>
      <c r="U752" s="190">
        <f>=J752-P752</f>
        <v>0</v>
      </c>
    </row>
    <row r="753" spans="1:21" ht="15.75" customHeight="true">
      <c r="A753" s="80">
        <v>46113</v>
      </c>
      <c r="B753" s="71">
        <f>=TODAY()-A753+1</f>
        <v>112</v>
      </c>
      <c r="C753" s="98" t="s">
        <v>235</v>
      </c>
      <c r="D753" s="71" t="s">
        <v>191</v>
      </c>
      <c r="E753" s="160" t="s">
        <v>1679</v>
      </c>
      <c r="F753" t="s">
        <v>1076</v>
      </c>
      <c r="G753" t="s">
        <v>741</v>
      </c>
      <c r="H753" t="s">
        <v>422</v>
      </c>
      <c r="I753" t="s">
        <v>1652</v>
      </c>
      <c r="J753">
        <v>20</v>
      </c>
      <c r="L753">
        <v>1010</v>
      </c>
      <c r="M753" s="197">
        <f>=J753*L753</f>
        <v>20200</v>
      </c>
      <c r="N753">
        <v>2.5</v>
      </c>
      <c r="O753" s="189">
        <f>=ROUND(IF((TODAY()-A753+1)*N753*(L753/10000)+L753&lt;L753*1.002,L753*1.002,(TODAY()-A753+1)*N753*(L753/10000)+L753),2)</f>
        <v>1038.53</v>
      </c>
      <c r="P753">
        <v>20</v>
      </c>
      <c r="Q753" s="71">
        <f>=J753-P753</f>
        <v>0</v>
      </c>
      <c r="S753" s="112">
        <f>=P753-R753</f>
        <v>20</v>
      </c>
      <c r="T753" s="71">
        <f>=S753*L753</f>
        <v>20200</v>
      </c>
      <c r="U753" s="190">
        <f>=J753-P753</f>
        <v>0</v>
      </c>
    </row>
    <row r="754" spans="1:21" ht="15.75" customHeight="true">
      <c r="A754" s="80">
        <v>46114</v>
      </c>
      <c r="B754" s="71">
        <f>=TODAY()-A754+1</f>
        <v>111</v>
      </c>
      <c r="C754" s="98" t="s">
        <v>236</v>
      </c>
      <c r="D754" s="71" t="s">
        <v>191</v>
      </c>
      <c r="E754" s="160" t="s">
        <v>1680</v>
      </c>
      <c r="F754" t="s">
        <v>1076</v>
      </c>
      <c r="G754" t="s">
        <v>1438</v>
      </c>
      <c r="H754" t="s">
        <v>422</v>
      </c>
      <c r="I754" s="87" t="s">
        <v>1681</v>
      </c>
      <c r="J754">
        <v>50</v>
      </c>
      <c r="L754">
        <v>1890</v>
      </c>
      <c r="M754" s="197">
        <f>=J754*L754</f>
        <v>94500</v>
      </c>
      <c r="N754">
        <v>2.5</v>
      </c>
      <c r="O754" s="189">
        <f>=ROUND(IF((TODAY()-A754+1)*N754*(L754/10000)+L754&lt;L754*1.002,L754*1.002,(TODAY()-A754+1)*N754*(L754/10000)+L754),2)</f>
        <v>1942.92</v>
      </c>
      <c r="P754">
        <v>50</v>
      </c>
      <c r="Q754" s="71">
        <f>=J754-P754</f>
        <v>0</v>
      </c>
      <c r="R754">
        <v>50</v>
      </c>
      <c r="S754" s="112">
        <f>=P754-R754</f>
        <v>0</v>
      </c>
      <c r="T754" s="71">
        <f>=S754*L754</f>
        <v>0</v>
      </c>
      <c r="U754" s="190">
        <f>=J754-P754</f>
        <v>0</v>
      </c>
    </row>
    <row r="755" spans="1:21" ht="15.75" customHeight="true">
      <c r="A755" s="80">
        <v>46111</v>
      </c>
      <c r="B755" s="71">
        <f>=TODAY()-A755+1</f>
        <v>114</v>
      </c>
      <c r="C755" s="98" t="s">
        <v>209</v>
      </c>
      <c r="D755" s="71" t="s">
        <v>135</v>
      </c>
      <c r="E755" s="160" t="s">
        <v>1682</v>
      </c>
      <c r="F755" t="s">
        <v>856</v>
      </c>
      <c r="G755" s="277" t="s">
        <v>741</v>
      </c>
      <c r="H755" s="277" t="s">
        <v>422</v>
      </c>
      <c r="I755" s="258" t="s">
        <v>1683</v>
      </c>
      <c r="J755">
        <v>60</v>
      </c>
      <c r="L755">
        <v>707</v>
      </c>
      <c r="M755" s="112">
        <f>=J755*L755</f>
        <v>42420</v>
      </c>
      <c r="N755">
        <v>2.5</v>
      </c>
      <c r="O755" s="189">
        <f>=ROUND(IF((TODAY()-A755+1)*N755*(L755/10000)+L755&lt;L755*1.002,L755*1.002,(TODAY()-A755+1)*N755*(L755/10000)+L755),2)</f>
        <v>727.33</v>
      </c>
      <c r="P755">
        <v>60</v>
      </c>
      <c r="Q755" s="71">
        <f>=J755-P755</f>
        <v>0</v>
      </c>
      <c r="R755">
        <v>60</v>
      </c>
      <c r="S755" s="112">
        <f>=P755-R755</f>
        <v>0</v>
      </c>
      <c r="T755" s="71">
        <f>=S755*L755</f>
        <v>0</v>
      </c>
      <c r="U755" s="190">
        <f>=J755-P755</f>
        <v>0</v>
      </c>
    </row>
    <row r="756" spans="1:21" ht="15.75" customHeight="true">
      <c r="A756" s="80">
        <v>46111</v>
      </c>
      <c r="B756" s="71">
        <f>=TODAY()-A756+1</f>
        <v>114</v>
      </c>
      <c r="C756" s="98" t="s">
        <v>209</v>
      </c>
      <c r="D756" s="71" t="s">
        <v>135</v>
      </c>
      <c r="E756" s="160" t="s">
        <v>1684</v>
      </c>
      <c r="F756" t="s">
        <v>856</v>
      </c>
      <c r="G756" s="277" t="s">
        <v>741</v>
      </c>
      <c r="H756" s="277" t="s">
        <v>422</v>
      </c>
      <c r="I756" s="258" t="s">
        <v>1685</v>
      </c>
      <c r="J756">
        <v>60</v>
      </c>
      <c r="L756">
        <v>707</v>
      </c>
      <c r="M756" s="112">
        <f>=J756*L756</f>
        <v>42420</v>
      </c>
      <c r="N756">
        <v>2.5</v>
      </c>
      <c r="O756" s="189">
        <f>=ROUND(IF((TODAY()-A756+1)*N756*(L756/10000)+L756&lt;L756*1.002,L756*1.002,(TODAY()-A756+1)*N756*(L756/10000)+L756),2)</f>
        <v>727.33</v>
      </c>
      <c r="P756">
        <v>60</v>
      </c>
      <c r="Q756" s="71">
        <f>=J756-P756</f>
        <v>0</v>
      </c>
      <c r="R756">
        <v>60</v>
      </c>
      <c r="S756" s="112">
        <f>=P756-R756</f>
        <v>0</v>
      </c>
      <c r="T756" s="71">
        <f>=S756*L756</f>
        <v>0</v>
      </c>
      <c r="U756" s="190">
        <f>=J756-P756</f>
        <v>0</v>
      </c>
    </row>
    <row r="757" spans="1:21" ht="15.75" customHeight="true">
      <c r="A757" s="80">
        <v>46105</v>
      </c>
      <c r="B757" s="71">
        <f>=TODAY()-A757+1</f>
        <v>120</v>
      </c>
      <c r="C757" s="98" t="s">
        <v>186</v>
      </c>
      <c r="D757" s="71" t="s">
        <v>135</v>
      </c>
      <c r="E757" s="160" t="s">
        <v>1686</v>
      </c>
      <c r="F757" s="242" t="s">
        <v>856</v>
      </c>
      <c r="G757" s="262" t="s">
        <v>741</v>
      </c>
      <c r="H757" s="262" t="s">
        <v>422</v>
      </c>
      <c r="I757" s="71" t="s">
        <v>1687</v>
      </c>
      <c r="J757" s="71">
        <v>50</v>
      </c>
      <c r="K757" s="71" t="s"/>
      <c r="L757" s="71">
        <v>1365</v>
      </c>
      <c r="M757" s="112">
        <f>=J757*L757</f>
        <v>68250</v>
      </c>
      <c r="N757" s="71">
        <v>2.5</v>
      </c>
      <c r="O757" s="189">
        <f>=ROUND(IF((TODAY()-A757+1)*N757*(L757/10000)+L757&lt;L757*1.002,L757*1.002,(TODAY()-A757+1)*N757*(L757/10000)+L757),2)</f>
        <v>1406.29</v>
      </c>
      <c r="P757" s="71">
        <v>50</v>
      </c>
      <c r="Q757" s="71">
        <f>=J757-P757</f>
        <v>0</v>
      </c>
      <c r="R757">
        <v>50</v>
      </c>
      <c r="S757" s="112">
        <f>=P757-R757</f>
        <v>0</v>
      </c>
      <c r="T757" s="71">
        <f>=S757*L757</f>
        <v>0</v>
      </c>
      <c r="U757" s="190">
        <f>=J757-P757</f>
        <v>0</v>
      </c>
    </row>
    <row r="758" spans="1:21" ht="15.75" customHeight="true">
      <c r="A758" s="80">
        <v>46105</v>
      </c>
      <c r="B758" s="71">
        <f>=TODAY()-A758+1</f>
        <v>120</v>
      </c>
      <c r="C758" s="98" t="s">
        <v>186</v>
      </c>
      <c r="D758" s="71" t="s">
        <v>135</v>
      </c>
      <c r="E758" s="160" t="s">
        <v>1688</v>
      </c>
      <c r="F758" s="242" t="s">
        <v>856</v>
      </c>
      <c r="G758" s="262" t="s">
        <v>741</v>
      </c>
      <c r="H758" s="262" t="s">
        <v>422</v>
      </c>
      <c r="I758" s="71" t="s">
        <v>1689</v>
      </c>
      <c r="J758" s="71">
        <v>50</v>
      </c>
      <c r="K758" s="71" t="s"/>
      <c r="L758" s="71">
        <v>1365</v>
      </c>
      <c r="M758" s="112">
        <f>=J758*L758</f>
        <v>68250</v>
      </c>
      <c r="N758" s="71">
        <v>2.5</v>
      </c>
      <c r="O758" s="189">
        <f>=ROUND(IF((TODAY()-A758+1)*N758*(L758/10000)+L758&lt;L758*1.002,L758*1.002,(TODAY()-A758+1)*N758*(L758/10000)+L758),2)</f>
        <v>1406.29</v>
      </c>
      <c r="P758" s="71">
        <v>50</v>
      </c>
      <c r="Q758" s="71">
        <f>=J758-P758</f>
        <v>0</v>
      </c>
      <c r="R758">
        <v>50</v>
      </c>
      <c r="S758" s="112">
        <f>=P758-R758</f>
        <v>0</v>
      </c>
      <c r="T758" s="71">
        <f>=S758*L758</f>
        <v>0</v>
      </c>
      <c r="U758" s="190">
        <f>=J758-P758</f>
        <v>0</v>
      </c>
    </row>
    <row r="759" spans="1:21" ht="15.75" customHeight="true">
      <c r="A759" s="80">
        <v>46105</v>
      </c>
      <c r="B759" s="71">
        <f>=TODAY()-A759+1</f>
        <v>120</v>
      </c>
      <c r="C759" s="98" t="s">
        <v>186</v>
      </c>
      <c r="D759" s="71" t="s">
        <v>135</v>
      </c>
      <c r="E759" t="s">
        <v>37</v>
      </c>
      <c r="F759" s="242" t="s">
        <v>856</v>
      </c>
      <c r="G759" s="262" t="s">
        <v>741</v>
      </c>
      <c r="H759" s="262" t="s">
        <v>422</v>
      </c>
      <c r="I759" s="71" t="s">
        <v>1084</v>
      </c>
      <c r="J759" s="71">
        <v>50</v>
      </c>
      <c r="K759" s="71" t="s"/>
      <c r="L759" s="71">
        <v>1120</v>
      </c>
      <c r="M759" s="112">
        <f>=J759*L759</f>
        <v>56000</v>
      </c>
      <c r="N759" s="71">
        <v>2.5</v>
      </c>
      <c r="O759" s="189">
        <f>=ROUND(IF((TODAY()-A759+1)*N759*(L759/10000)+L759&lt;L759*1.002,L759*1.002,(TODAY()-A759+1)*N759*(L759/10000)+L759),2)</f>
        <v>1153.88</v>
      </c>
      <c r="P759" s="71">
        <v>50</v>
      </c>
      <c r="Q759" s="71">
        <f>=J759-P759</f>
        <v>0</v>
      </c>
      <c r="R759">
        <v>50</v>
      </c>
      <c r="S759" s="112">
        <f>=P759-R759</f>
        <v>0</v>
      </c>
      <c r="T759" s="71">
        <f>=S759*L759</f>
        <v>0</v>
      </c>
      <c r="U759" s="190">
        <f>=J759-P759</f>
        <v>0</v>
      </c>
    </row>
    <row r="760" spans="1:21" ht="15.75" customHeight="true">
      <c r="A760" s="80">
        <v>46105</v>
      </c>
      <c r="B760" s="71">
        <f>=TODAY()-A760+1</f>
        <v>120</v>
      </c>
      <c r="C760" s="98" t="s">
        <v>186</v>
      </c>
      <c r="D760" s="71" t="s">
        <v>135</v>
      </c>
      <c r="E760" s="160" t="s">
        <v>1690</v>
      </c>
      <c r="F760" s="242" t="s">
        <v>856</v>
      </c>
      <c r="G760" s="262" t="s">
        <v>741</v>
      </c>
      <c r="H760" s="262" t="s">
        <v>422</v>
      </c>
      <c r="I760" s="71" t="s">
        <v>1179</v>
      </c>
      <c r="J760" s="71">
        <v>50</v>
      </c>
      <c r="K760" s="71" t="s"/>
      <c r="L760" s="71">
        <v>1225</v>
      </c>
      <c r="M760" s="112">
        <f>=J760*L760</f>
        <v>61250</v>
      </c>
      <c r="N760" s="71">
        <v>2.5</v>
      </c>
      <c r="O760" s="189">
        <f>=ROUND(IF((TODAY()-A760+1)*N760*(L760/10000)+L760&lt;L760*1.002,L760*1.002,(TODAY()-A760+1)*N760*(L760/10000)+L760),2)</f>
        <v>1262.06</v>
      </c>
      <c r="P760" s="71">
        <v>50</v>
      </c>
      <c r="Q760" s="71">
        <f>=J760-P760</f>
        <v>0</v>
      </c>
      <c r="R760">
        <v>50</v>
      </c>
      <c r="S760" s="112">
        <f>=P760-R760</f>
        <v>0</v>
      </c>
      <c r="T760" s="71">
        <f>=S760*L760</f>
        <v>0</v>
      </c>
      <c r="U760" s="190">
        <f>=J760-P760</f>
        <v>0</v>
      </c>
    </row>
    <row r="761" spans="1:23" ht="15.75" customHeight="true">
      <c r="A761" s="80">
        <v>46114</v>
      </c>
      <c r="B761" s="71">
        <f>=TODAY()-A761+1</f>
        <v>111</v>
      </c>
      <c r="C761" s="98" t="s">
        <v>237</v>
      </c>
      <c r="D761" s="71" t="s">
        <v>135</v>
      </c>
      <c r="E761" s="160" t="s">
        <v>1691</v>
      </c>
      <c r="F761" t="s">
        <v>856</v>
      </c>
      <c r="G761" s="156" t="s">
        <v>428</v>
      </c>
      <c r="H761" t="s">
        <v>422</v>
      </c>
      <c r="I761" s="71" t="s">
        <v>1692</v>
      </c>
      <c r="J761">
        <v>50</v>
      </c>
      <c r="L761">
        <v>735</v>
      </c>
      <c r="M761" s="112">
        <f>=J761*L761</f>
        <v>36750</v>
      </c>
      <c r="N761">
        <v>2.5</v>
      </c>
      <c r="O761" s="189">
        <f>=ROUND(IF((TODAY()-A761+1)*N761*(L761/10000)+L761&lt;L761*1.002,L761*1.002,(TODAY()-A761+1)*N761*(L761/10000)+L761),2)</f>
        <v>755.58</v>
      </c>
      <c r="P761">
        <v>50</v>
      </c>
      <c r="Q761" s="71">
        <f>=J761-P761</f>
        <v>0</v>
      </c>
      <c r="R761">
        <v>50</v>
      </c>
      <c r="S761" s="112">
        <f>=P761-R761</f>
        <v>0</v>
      </c>
      <c r="T761" s="71">
        <f>=S761*L761</f>
        <v>0</v>
      </c>
      <c r="U761" s="190">
        <f>=J761-P761</f>
        <v>0</v>
      </c>
      <c r="V761" s="190" t="s"/>
      <c r="W761" s="190" t="s"/>
    </row>
    <row r="762" spans="1:23" ht="15.75" customHeight="true">
      <c r="A762" s="80">
        <v>46114</v>
      </c>
      <c r="B762" s="71">
        <f>=TODAY()-A762+1</f>
        <v>111</v>
      </c>
      <c r="C762" s="98" t="s">
        <v>237</v>
      </c>
      <c r="D762" s="71" t="s">
        <v>135</v>
      </c>
      <c r="E762" s="160" t="s">
        <v>1693</v>
      </c>
      <c r="F762" t="s">
        <v>856</v>
      </c>
      <c r="G762" s="156" t="s">
        <v>428</v>
      </c>
      <c r="H762" t="s">
        <v>422</v>
      </c>
      <c r="I762" s="64" t="s">
        <v>487</v>
      </c>
      <c r="J762">
        <v>50</v>
      </c>
      <c r="L762">
        <v>735</v>
      </c>
      <c r="M762" s="112">
        <f>=J762*L762</f>
        <v>36750</v>
      </c>
      <c r="N762">
        <v>2.5</v>
      </c>
      <c r="O762" s="189">
        <f>=ROUND(IF((TODAY()-A762+1)*N762*(L762/10000)+L762&lt;L762*1.002,L762*1.002,(TODAY()-A762+1)*N762*(L762/10000)+L762),2)</f>
        <v>755.58</v>
      </c>
      <c r="P762">
        <v>50</v>
      </c>
      <c r="Q762" s="71">
        <f>=J762-P762</f>
        <v>0</v>
      </c>
      <c r="R762">
        <v>50</v>
      </c>
      <c r="S762" s="112">
        <f>=P762-R762</f>
        <v>0</v>
      </c>
      <c r="T762" s="71">
        <f>=S762*L762</f>
        <v>0</v>
      </c>
      <c r="U762" s="190">
        <f>=J762-P762</f>
        <v>0</v>
      </c>
      <c r="V762" s="190" t="s"/>
      <c r="W762" s="190" t="s"/>
    </row>
    <row r="763" spans="1:23" ht="15.75" customHeight="true">
      <c r="A763" s="80">
        <v>46114</v>
      </c>
      <c r="B763" s="71">
        <f>=TODAY()-A763+1</f>
        <v>111</v>
      </c>
      <c r="C763" s="98" t="s">
        <v>237</v>
      </c>
      <c r="D763" s="71" t="s">
        <v>135</v>
      </c>
      <c r="E763" s="160" t="s">
        <v>1694</v>
      </c>
      <c r="F763" t="s">
        <v>856</v>
      </c>
      <c r="G763" s="156" t="s">
        <v>428</v>
      </c>
      <c r="H763" t="s">
        <v>422</v>
      </c>
      <c r="I763" s="248" t="s">
        <v>1695</v>
      </c>
      <c r="J763">
        <v>50</v>
      </c>
      <c r="L763">
        <v>665</v>
      </c>
      <c r="M763" s="112">
        <f>=J763*L763</f>
        <v>33250</v>
      </c>
      <c r="N763">
        <v>2.5</v>
      </c>
      <c r="O763" s="189">
        <f>=ROUND(IF((TODAY()-A763+1)*N763*(L763/10000)+L763&lt;L763*1.002,L763*1.002,(TODAY()-A763+1)*N763*(L763/10000)+L763),2)</f>
        <v>683.62</v>
      </c>
      <c r="P763">
        <v>50</v>
      </c>
      <c r="Q763" s="71">
        <f>=J763-P763</f>
        <v>0</v>
      </c>
      <c r="R763">
        <v>50</v>
      </c>
      <c r="S763" s="112">
        <f>=P763-R763</f>
        <v>0</v>
      </c>
      <c r="T763" s="71">
        <f>=S763*L763</f>
        <v>0</v>
      </c>
      <c r="U763" s="190">
        <f>=J763-P763</f>
        <v>0</v>
      </c>
      <c r="V763" s="190" t="s"/>
      <c r="W763" s="190" t="s"/>
    </row>
    <row r="764" spans="1:23" ht="15.75" customHeight="true">
      <c r="A764" s="80">
        <v>46114</v>
      </c>
      <c r="B764" s="71">
        <f>=TODAY()-A764+1</f>
        <v>111</v>
      </c>
      <c r="C764" s="98" t="s">
        <v>237</v>
      </c>
      <c r="D764" s="71" t="s">
        <v>135</v>
      </c>
      <c r="E764" s="160" t="s">
        <v>1696</v>
      </c>
      <c r="F764" t="s">
        <v>856</v>
      </c>
      <c r="G764" s="156" t="s">
        <v>428</v>
      </c>
      <c r="H764" t="s">
        <v>422</v>
      </c>
      <c r="I764" s="248" t="s">
        <v>1697</v>
      </c>
      <c r="J764">
        <v>50</v>
      </c>
      <c r="L764">
        <v>665</v>
      </c>
      <c r="M764" s="112">
        <f>=J764*L764</f>
        <v>33250</v>
      </c>
      <c r="N764">
        <v>2.5</v>
      </c>
      <c r="O764" s="189">
        <f>=ROUND(IF((TODAY()-A764+1)*N764*(L764/10000)+L764&lt;L764*1.002,L764*1.002,(TODAY()-A764+1)*N764*(L764/10000)+L764),2)</f>
        <v>683.62</v>
      </c>
      <c r="P764">
        <v>50</v>
      </c>
      <c r="Q764" s="71">
        <f>=J764-P764</f>
        <v>0</v>
      </c>
      <c r="R764">
        <v>50</v>
      </c>
      <c r="S764" s="112">
        <f>=P764-R764</f>
        <v>0</v>
      </c>
      <c r="T764" s="71">
        <f>=S764*L764</f>
        <v>0</v>
      </c>
      <c r="U764" s="190">
        <f>=J764-P764</f>
        <v>0</v>
      </c>
      <c r="V764" s="190" t="s"/>
      <c r="W764" s="190" t="s"/>
    </row>
    <row r="765" spans="1:23" ht="15.75" customHeight="true">
      <c r="A765" s="80">
        <v>46114</v>
      </c>
      <c r="B765" s="71">
        <f>=TODAY()-A765+1</f>
        <v>111</v>
      </c>
      <c r="C765" s="98" t="s">
        <v>237</v>
      </c>
      <c r="D765" s="71" t="s">
        <v>135</v>
      </c>
      <c r="E765" s="160" t="s">
        <v>1698</v>
      </c>
      <c r="F765" t="s">
        <v>856</v>
      </c>
      <c r="G765" s="156" t="s">
        <v>428</v>
      </c>
      <c r="H765" t="s">
        <v>422</v>
      </c>
      <c r="I765" s="243" t="s">
        <v>886</v>
      </c>
      <c r="J765">
        <v>50</v>
      </c>
      <c r="L765">
        <v>770</v>
      </c>
      <c r="M765" s="112">
        <f>=J765*L765</f>
        <v>38500</v>
      </c>
      <c r="N765">
        <v>2.5</v>
      </c>
      <c r="O765" s="189">
        <f>=ROUND(IF((TODAY()-A765+1)*N765*(L765/10000)+L765&lt;L765*1.002,L765*1.002,(TODAY()-A765+1)*N765*(L765/10000)+L765),2)</f>
        <v>791.56</v>
      </c>
      <c r="P765">
        <v>50</v>
      </c>
      <c r="Q765" s="71">
        <f>=J765-P765</f>
        <v>0</v>
      </c>
      <c r="R765">
        <v>50</v>
      </c>
      <c r="S765" s="112">
        <f>=P765-R765</f>
        <v>0</v>
      </c>
      <c r="T765" s="71">
        <f>=S765*L765</f>
        <v>0</v>
      </c>
      <c r="U765" s="190">
        <f>=J765-P765</f>
        <v>0</v>
      </c>
      <c r="V765" s="190" t="s"/>
      <c r="W765" s="190" t="s"/>
    </row>
    <row r="766" spans="1:23" ht="15.75" customHeight="true">
      <c r="A766" s="80">
        <v>46114</v>
      </c>
      <c r="B766" s="71">
        <f>=TODAY()-A766+1</f>
        <v>111</v>
      </c>
      <c r="C766" s="98" t="s">
        <v>237</v>
      </c>
      <c r="D766" s="71" t="s">
        <v>135</v>
      </c>
      <c r="E766" s="160" t="s">
        <v>1699</v>
      </c>
      <c r="F766" t="s">
        <v>856</v>
      </c>
      <c r="G766" s="156" t="s">
        <v>428</v>
      </c>
      <c r="H766" t="s">
        <v>422</v>
      </c>
      <c r="I766" s="243" t="s">
        <v>884</v>
      </c>
      <c r="J766">
        <v>50</v>
      </c>
      <c r="L766">
        <v>770</v>
      </c>
      <c r="M766" s="112">
        <f>=J766*L766</f>
        <v>38500</v>
      </c>
      <c r="N766">
        <v>2.5</v>
      </c>
      <c r="O766" s="189">
        <f>=ROUND(IF((TODAY()-A766+1)*N766*(L766/10000)+L766&lt;L766*1.002,L766*1.002,(TODAY()-A766+1)*N766*(L766/10000)+L766),2)</f>
        <v>791.56</v>
      </c>
      <c r="P766">
        <v>50</v>
      </c>
      <c r="Q766" s="71">
        <f>=J766-P766</f>
        <v>0</v>
      </c>
      <c r="R766">
        <v>50</v>
      </c>
      <c r="S766" s="112">
        <f>=P766-R766</f>
        <v>0</v>
      </c>
      <c r="T766" s="71">
        <f>=S766*L766</f>
        <v>0</v>
      </c>
      <c r="U766" s="190">
        <f>=J766-P766</f>
        <v>0</v>
      </c>
      <c r="V766" s="190" t="s"/>
      <c r="W766" s="190" t="s"/>
    </row>
    <row r="767" spans="1:23" ht="15.75" customHeight="true">
      <c r="A767" s="80">
        <v>46114</v>
      </c>
      <c r="B767" s="71">
        <f>=TODAY()-A767+1</f>
        <v>111</v>
      </c>
      <c r="C767" s="98" t="s">
        <v>237</v>
      </c>
      <c r="D767" s="71" t="s">
        <v>135</v>
      </c>
      <c r="E767" s="160" t="s">
        <v>1700</v>
      </c>
      <c r="F767" t="s">
        <v>856</v>
      </c>
      <c r="G767" s="156" t="s">
        <v>428</v>
      </c>
      <c r="H767" t="s">
        <v>422</v>
      </c>
      <c r="I767" s="248" t="s">
        <v>912</v>
      </c>
      <c r="J767">
        <v>40</v>
      </c>
      <c r="L767">
        <v>910</v>
      </c>
      <c r="M767" s="112">
        <f>=J767*L767</f>
        <v>36400</v>
      </c>
      <c r="N767">
        <v>2.5</v>
      </c>
      <c r="O767" s="189">
        <f>=ROUND(IF((TODAY()-A767+1)*N767*(L767/10000)+L767&lt;L767*1.002,L767*1.002,(TODAY()-A767+1)*N767*(L767/10000)+L767),2)</f>
        <v>935.48</v>
      </c>
      <c r="P767">
        <v>40</v>
      </c>
      <c r="Q767" s="71">
        <f>=J767-P767</f>
        <v>0</v>
      </c>
      <c r="S767" s="112">
        <f>=P767-R767</f>
        <v>40</v>
      </c>
      <c r="T767" s="71">
        <f>=S767*L767</f>
        <v>36400</v>
      </c>
      <c r="U767" s="190">
        <f>=J767-P767</f>
        <v>0</v>
      </c>
      <c r="V767" s="190" t="s"/>
      <c r="W767" s="190" t="s"/>
    </row>
    <row r="768" spans="1:23" ht="15.75" customHeight="true">
      <c r="A768" s="80">
        <v>46114</v>
      </c>
      <c r="B768" s="71">
        <f>=TODAY()-A768+1</f>
        <v>111</v>
      </c>
      <c r="C768" s="98" t="s">
        <v>237</v>
      </c>
      <c r="D768" s="71" t="s">
        <v>135</v>
      </c>
      <c r="E768" s="160" t="s">
        <v>1701</v>
      </c>
      <c r="F768" t="s">
        <v>856</v>
      </c>
      <c r="G768" s="156" t="s">
        <v>428</v>
      </c>
      <c r="H768" t="s">
        <v>422</v>
      </c>
      <c r="I768" s="248" t="s">
        <v>859</v>
      </c>
      <c r="J768">
        <v>30</v>
      </c>
      <c r="L768">
        <v>1085</v>
      </c>
      <c r="M768" s="112">
        <f>=J768*L768</f>
        <v>32550</v>
      </c>
      <c r="N768">
        <v>2.5</v>
      </c>
      <c r="O768" s="189">
        <f>=ROUND(IF((TODAY()-A768+1)*N768*(L768/10000)+L768&lt;L768*1.002,L768*1.002,(TODAY()-A768+1)*N768*(L768/10000)+L768),2)</f>
        <v>1115.38</v>
      </c>
      <c r="P768">
        <v>30</v>
      </c>
      <c r="Q768" s="71">
        <f>=J768-P768</f>
        <v>0</v>
      </c>
      <c r="R768">
        <v>30</v>
      </c>
      <c r="S768" s="112">
        <f>=P768-R768</f>
        <v>0</v>
      </c>
      <c r="T768" s="71">
        <f>=S768*L768</f>
        <v>0</v>
      </c>
      <c r="U768" s="190">
        <f>=J768-P768</f>
        <v>0</v>
      </c>
      <c r="V768" s="190" t="s"/>
      <c r="W768" s="190" t="s"/>
    </row>
    <row r="769" spans="1:23" ht="15.75" customHeight="true">
      <c r="A769" s="80">
        <v>46114</v>
      </c>
      <c r="B769" s="71">
        <f>=TODAY()-A769+1</f>
        <v>111</v>
      </c>
      <c r="C769" s="98" t="s">
        <v>237</v>
      </c>
      <c r="D769" s="71" t="s">
        <v>135</v>
      </c>
      <c r="E769" s="160" t="s">
        <v>1702</v>
      </c>
      <c r="F769" t="s">
        <v>856</v>
      </c>
      <c r="G769" s="156" t="s">
        <v>428</v>
      </c>
      <c r="H769" t="s">
        <v>422</v>
      </c>
      <c r="I769" s="248" t="s">
        <v>1703</v>
      </c>
      <c r="J769">
        <v>20</v>
      </c>
      <c r="L769">
        <v>665</v>
      </c>
      <c r="M769" s="112">
        <f>=J769*L769</f>
        <v>13300</v>
      </c>
      <c r="N769">
        <v>2.5</v>
      </c>
      <c r="O769" s="189">
        <f>=ROUND(IF((TODAY()-A769+1)*N769*(L769/10000)+L769&lt;L769*1.002,L769*1.002,(TODAY()-A769+1)*N769*(L769/10000)+L769),2)</f>
        <v>683.62</v>
      </c>
      <c r="P769">
        <v>20</v>
      </c>
      <c r="Q769" s="71">
        <f>=J769-P769</f>
        <v>0</v>
      </c>
      <c r="R769">
        <v>20</v>
      </c>
      <c r="S769" s="112">
        <f>=P769-R769</f>
        <v>0</v>
      </c>
      <c r="T769" s="71">
        <f>=S769*L769</f>
        <v>0</v>
      </c>
      <c r="U769" s="190">
        <f>=J769-P769</f>
        <v>0</v>
      </c>
      <c r="V769" s="190" t="s"/>
      <c r="W769" s="190" t="s"/>
    </row>
    <row r="770" spans="1:23" s="270" customFormat="true" ht="15.75" customHeight="true">
      <c r="A770" s="80">
        <v>46114</v>
      </c>
      <c r="B770" s="71">
        <f>=TODAY()-A770+1</f>
        <v>111</v>
      </c>
      <c r="C770" s="80" t="s">
        <v>237</v>
      </c>
      <c r="D770" s="64" t="s">
        <v>135</v>
      </c>
      <c r="E770" s="247" t="s">
        <v>1704</v>
      </c>
      <c r="F770" s="87" t="s">
        <v>856</v>
      </c>
      <c r="G770" s="259" t="s">
        <v>428</v>
      </c>
      <c r="H770" s="87" t="s">
        <v>422</v>
      </c>
      <c r="I770" s="248" t="s">
        <v>1046</v>
      </c>
      <c r="J770" s="87">
        <v>20</v>
      </c>
      <c r="L770" s="87">
        <v>665</v>
      </c>
      <c r="M770" s="197">
        <f>=J770*L770</f>
        <v>13300</v>
      </c>
      <c r="N770" s="87">
        <v>2.5</v>
      </c>
      <c r="O770" s="189">
        <f>=ROUND(IF((TODAY()-A770+1)*N770*(L770/10000)+L770&lt;L770*1.002,L770*1.002,(TODAY()-A770+1)*N770*(L770/10000)+L770),2)</f>
        <v>683.62</v>
      </c>
      <c r="P770" s="87">
        <v>20</v>
      </c>
      <c r="Q770" s="64">
        <f>=J770-P770</f>
        <v>0</v>
      </c>
      <c r="R770" s="258">
        <v>20</v>
      </c>
      <c r="S770" s="197">
        <f>=P770-R770</f>
        <v>0</v>
      </c>
      <c r="T770" s="71">
        <f>=S770*L770</f>
        <v>0</v>
      </c>
      <c r="U770" s="190">
        <f>=J770-P770</f>
        <v>0</v>
      </c>
      <c r="V770" s="87" t="s"/>
      <c r="W770" s="87" t="s"/>
    </row>
    <row r="771" spans="1:21" ht="15.75" customHeight="true">
      <c r="A771" s="80">
        <v>46114</v>
      </c>
      <c r="B771" s="71">
        <f>=TODAY()-A771+1</f>
        <v>111</v>
      </c>
      <c r="C771" s="98" t="s">
        <v>236</v>
      </c>
      <c r="D771" s="71" t="s">
        <v>191</v>
      </c>
      <c r="E771" s="160" t="s">
        <v>1705</v>
      </c>
      <c r="F771" t="s">
        <v>1076</v>
      </c>
      <c r="G771" t="s">
        <v>1438</v>
      </c>
      <c r="H771" t="s">
        <v>422</v>
      </c>
      <c r="I771" s="87" t="s">
        <v>1706</v>
      </c>
      <c r="J771">
        <v>50</v>
      </c>
      <c r="L771">
        <v>1890</v>
      </c>
      <c r="M771" s="197">
        <f>=J771*L771</f>
        <v>94500</v>
      </c>
      <c r="N771">
        <v>2.5</v>
      </c>
      <c r="O771" s="189">
        <f>=ROUND(IF((TODAY()-A771+1)*N771*(L771/10000)+L771&lt;L771*1.002,L771*1.002,(TODAY()-A771+1)*N771*(L771/10000)+L771),2)</f>
        <v>1942.92</v>
      </c>
      <c r="P771">
        <v>50</v>
      </c>
      <c r="Q771" s="71">
        <f>=J771-P771</f>
        <v>0</v>
      </c>
      <c r="R771">
        <v>50</v>
      </c>
      <c r="S771" s="112">
        <f>=P771-R771</f>
        <v>0</v>
      </c>
      <c r="T771" s="71">
        <f>=S771*L771</f>
        <v>0</v>
      </c>
      <c r="U771" s="190">
        <f>=J771-P771</f>
        <v>0</v>
      </c>
    </row>
    <row r="772" spans="1:21" ht="15.75" customHeight="true">
      <c r="A772" s="80">
        <v>46115</v>
      </c>
      <c r="B772" s="71">
        <f>=TODAY()-A772+1</f>
        <v>110</v>
      </c>
      <c r="C772" s="98" t="s">
        <v>241</v>
      </c>
      <c r="D772" s="71" t="s">
        <v>191</v>
      </c>
      <c r="E772" s="242" t="s">
        <v>1707</v>
      </c>
      <c r="F772" t="s">
        <v>1076</v>
      </c>
      <c r="G772" t="s">
        <v>741</v>
      </c>
      <c r="H772" t="s">
        <v>422</v>
      </c>
      <c r="I772" t="s">
        <v>1026</v>
      </c>
      <c r="J772">
        <v>195</v>
      </c>
      <c r="L772">
        <v>1160</v>
      </c>
      <c r="M772" s="197">
        <f>=J772*L772</f>
        <v>226200</v>
      </c>
      <c r="N772">
        <v>2.5</v>
      </c>
      <c r="O772" s="189">
        <f>=ROUND(IF((TODAY()-A772+1)*N772*(L772/10000)+L772&lt;L772*1.002,L772*1.002,(TODAY()-A772+1)*N772*(L772/10000)+L772),2)</f>
        <v>1192.19</v>
      </c>
      <c r="P772">
        <v>195</v>
      </c>
      <c r="Q772" s="71">
        <f>=J772-P772</f>
        <v>0</v>
      </c>
      <c r="S772" s="112">
        <f>=P772-R772</f>
        <v>195</v>
      </c>
      <c r="T772" s="71">
        <f>=S772*L772</f>
        <v>226200</v>
      </c>
      <c r="U772" s="190">
        <f>=J772-P772</f>
        <v>0</v>
      </c>
    </row>
    <row r="773" spans="1:21" ht="15.75" customHeight="true">
      <c r="A773" s="80">
        <v>46115</v>
      </c>
      <c r="B773" s="71">
        <f>=TODAY()-A773+1</f>
        <v>110</v>
      </c>
      <c r="C773" s="98" t="s">
        <v>241</v>
      </c>
      <c r="D773" s="71" t="s">
        <v>191</v>
      </c>
      <c r="E773" s="242" t="s">
        <v>1708</v>
      </c>
      <c r="F773" t="s">
        <v>1076</v>
      </c>
      <c r="G773" t="s">
        <v>741</v>
      </c>
      <c r="H773" t="s">
        <v>422</v>
      </c>
      <c r="I773" s="87" t="s">
        <v>1087</v>
      </c>
      <c r="J773">
        <v>45</v>
      </c>
      <c r="L773">
        <v>1160</v>
      </c>
      <c r="M773" s="197">
        <f>=J773*L773</f>
        <v>52200</v>
      </c>
      <c r="N773">
        <v>2.5</v>
      </c>
      <c r="O773" s="189">
        <f>=ROUND(IF((TODAY()-A773+1)*N773*(L773/10000)+L773&lt;L773*1.002,L773*1.002,(TODAY()-A773+1)*N773*(L773/10000)+L773),2)</f>
        <v>1192.19</v>
      </c>
      <c r="P773">
        <v>45</v>
      </c>
      <c r="Q773" s="71">
        <f>=J773-P773</f>
        <v>0</v>
      </c>
      <c r="S773" s="112">
        <f>=P773-R773</f>
        <v>45</v>
      </c>
      <c r="T773" s="71">
        <f>=S773*L773</f>
        <v>52200</v>
      </c>
      <c r="U773" s="190">
        <f>=J773-P773</f>
        <v>0</v>
      </c>
    </row>
    <row r="774" spans="1:21" ht="15.75" customHeight="true">
      <c r="A774" s="80">
        <v>46115</v>
      </c>
      <c r="B774" s="71">
        <f>=TODAY()-A774+1</f>
        <v>110</v>
      </c>
      <c r="C774" s="98" t="s">
        <v>241</v>
      </c>
      <c r="D774" s="71" t="s">
        <v>191</v>
      </c>
      <c r="E774" s="323" t="s">
        <v>1709</v>
      </c>
      <c r="F774" t="s">
        <v>1076</v>
      </c>
      <c r="G774" t="s">
        <v>741</v>
      </c>
      <c r="H774" t="s">
        <v>422</v>
      </c>
      <c r="I774" t="s">
        <v>1084</v>
      </c>
      <c r="J774">
        <v>30</v>
      </c>
      <c r="L774">
        <v>1160</v>
      </c>
      <c r="M774" s="197">
        <f>=J774*L774</f>
        <v>34800</v>
      </c>
      <c r="N774">
        <v>2.5</v>
      </c>
      <c r="O774" s="189">
        <f>=ROUND(IF((TODAY()-A774+1)*N774*(L774/10000)+L774&lt;L774*1.002,L774*1.002,(TODAY()-A774+1)*N774*(L774/10000)+L774),2)</f>
        <v>1192.19</v>
      </c>
      <c r="P774">
        <v>30</v>
      </c>
      <c r="Q774" s="71">
        <f>=J774-P774</f>
        <v>0</v>
      </c>
      <c r="S774" s="112">
        <f>=P774-R774</f>
        <v>30</v>
      </c>
      <c r="T774" s="71">
        <f>=S774*L774</f>
        <v>34800</v>
      </c>
      <c r="U774" s="190">
        <f>=J774-P774</f>
        <v>0</v>
      </c>
    </row>
    <row r="775" spans="1:21" ht="15.75" customHeight="true">
      <c r="A775" s="80">
        <v>46115</v>
      </c>
      <c r="B775" s="71">
        <f>=TODAY()-A775+1</f>
        <v>110</v>
      </c>
      <c r="C775" s="98" t="s">
        <v>241</v>
      </c>
      <c r="D775" s="71" t="s">
        <v>191</v>
      </c>
      <c r="E775" s="242" t="s">
        <v>1710</v>
      </c>
      <c r="F775" t="s">
        <v>1076</v>
      </c>
      <c r="G775" t="s">
        <v>741</v>
      </c>
      <c r="H775" t="s">
        <v>422</v>
      </c>
      <c r="I775" t="s">
        <v>1089</v>
      </c>
      <c r="J775">
        <v>75</v>
      </c>
      <c r="L775">
        <v>1160</v>
      </c>
      <c r="M775" s="197">
        <f>=J775*L775</f>
        <v>87000</v>
      </c>
      <c r="N775">
        <v>2.5</v>
      </c>
      <c r="O775" s="189">
        <f>=ROUND(IF((TODAY()-A775+1)*N775*(L775/10000)+L775&lt;L775*1.002,L775*1.002,(TODAY()-A775+1)*N775*(L775/10000)+L775),2)</f>
        <v>1192.19</v>
      </c>
      <c r="P775">
        <v>75</v>
      </c>
      <c r="Q775" s="71">
        <f>=J775-P775</f>
        <v>0</v>
      </c>
      <c r="S775" s="112">
        <f>=P775-R775</f>
        <v>75</v>
      </c>
      <c r="T775" s="71">
        <f>=S775*L775</f>
        <v>87000</v>
      </c>
      <c r="U775" s="190">
        <f>=J775-P775</f>
        <v>0</v>
      </c>
    </row>
    <row r="776" spans="1:21" ht="15.75" customHeight="true">
      <c r="A776" s="80">
        <v>46115</v>
      </c>
      <c r="B776" s="71">
        <f>=TODAY()-A776+1</f>
        <v>110</v>
      </c>
      <c r="C776" s="98" t="s">
        <v>241</v>
      </c>
      <c r="D776" s="71" t="s">
        <v>191</v>
      </c>
      <c r="E776" s="242" t="s">
        <v>1711</v>
      </c>
      <c r="F776" t="s">
        <v>1076</v>
      </c>
      <c r="G776" t="s">
        <v>741</v>
      </c>
      <c r="H776" t="s">
        <v>422</v>
      </c>
      <c r="I776" t="s">
        <v>1176</v>
      </c>
      <c r="J776">
        <v>5</v>
      </c>
      <c r="L776">
        <v>1010</v>
      </c>
      <c r="M776" s="197">
        <f>=J776*L776</f>
        <v>5050</v>
      </c>
      <c r="N776">
        <v>2.5</v>
      </c>
      <c r="O776" s="189">
        <f>=ROUND(IF((TODAY()-A776+1)*N776*(L776/10000)+L776&lt;L776*1.002,L776*1.002,(TODAY()-A776+1)*N776*(L776/10000)+L776),2)</f>
        <v>1038.03</v>
      </c>
      <c r="P776">
        <v>5</v>
      </c>
      <c r="Q776" s="71">
        <f>=J776-P776</f>
        <v>0</v>
      </c>
      <c r="S776" s="112">
        <f>=P776-R776</f>
        <v>5</v>
      </c>
      <c r="T776" s="71">
        <f>=S776*L776</f>
        <v>5050</v>
      </c>
      <c r="U776" s="190">
        <f>=J776-P776</f>
        <v>0</v>
      </c>
    </row>
    <row r="777" spans="1:21" ht="15.75" customHeight="true">
      <c r="A777" s="80">
        <v>46115</v>
      </c>
      <c r="B777" s="71">
        <f>=TODAY()-A777+1</f>
        <v>110</v>
      </c>
      <c r="C777" s="98" t="s">
        <v>241</v>
      </c>
      <c r="D777" s="71" t="s">
        <v>191</v>
      </c>
      <c r="E777" s="242" t="s">
        <v>1712</v>
      </c>
      <c r="F777" t="s">
        <v>1076</v>
      </c>
      <c r="G777" t="s">
        <v>741</v>
      </c>
      <c r="H777" t="s">
        <v>422</v>
      </c>
      <c r="I777" t="s">
        <v>1652</v>
      </c>
      <c r="J777">
        <v>8</v>
      </c>
      <c r="L777">
        <v>1010</v>
      </c>
      <c r="M777" s="197">
        <f>=J777*L777</f>
        <v>8080</v>
      </c>
      <c r="N777">
        <v>2.5</v>
      </c>
      <c r="O777" s="189">
        <f>=ROUND(IF((TODAY()-A777+1)*N777*(L777/10000)+L777&lt;L777*1.002,L777*1.002,(TODAY()-A777+1)*N777*(L777/10000)+L777),2)</f>
        <v>1038.03</v>
      </c>
      <c r="P777">
        <v>8</v>
      </c>
      <c r="Q777" s="71">
        <f>=J777-P777</f>
        <v>0</v>
      </c>
      <c r="S777" s="112">
        <f>=P777-R777</f>
        <v>8</v>
      </c>
      <c r="T777" s="71">
        <f>=S777*L777</f>
        <v>8080</v>
      </c>
      <c r="U777" s="190">
        <f>=J777-P777</f>
        <v>0</v>
      </c>
    </row>
    <row r="778" spans="1:21" ht="15.75" customHeight="true">
      <c r="A778" s="80">
        <v>46115</v>
      </c>
      <c r="B778" s="71">
        <f>=TODAY()-A778+1</f>
        <v>110</v>
      </c>
      <c r="C778" s="98" t="s">
        <v>241</v>
      </c>
      <c r="D778" s="71" t="s">
        <v>191</v>
      </c>
      <c r="E778" s="242" t="s">
        <v>1713</v>
      </c>
      <c r="F778" t="s">
        <v>1076</v>
      </c>
      <c r="G778" t="s">
        <v>741</v>
      </c>
      <c r="H778" t="s">
        <v>422</v>
      </c>
      <c r="I778" t="s">
        <v>1278</v>
      </c>
      <c r="J778">
        <v>10</v>
      </c>
      <c r="L778">
        <v>1010</v>
      </c>
      <c r="M778" s="197">
        <f>=J778*L778</f>
        <v>10100</v>
      </c>
      <c r="N778">
        <v>2.5</v>
      </c>
      <c r="O778" s="189">
        <f>=ROUND(IF((TODAY()-A778+1)*N778*(L778/10000)+L778&lt;L778*1.002,L778*1.002,(TODAY()-A778+1)*N778*(L778/10000)+L778),2)</f>
        <v>1038.03</v>
      </c>
      <c r="P778">
        <v>10</v>
      </c>
      <c r="Q778" s="71">
        <f>=J778-P778</f>
        <v>0</v>
      </c>
      <c r="S778" s="112">
        <f>=P778-R778</f>
        <v>10</v>
      </c>
      <c r="T778" s="71">
        <f>=S778*L778</f>
        <v>10100</v>
      </c>
      <c r="U778" s="190">
        <f>=J778-P778</f>
        <v>0</v>
      </c>
    </row>
    <row r="779" spans="1:21" ht="15.75" customHeight="true">
      <c r="A779" s="80">
        <v>46115</v>
      </c>
      <c r="B779" s="71">
        <f>=TODAY()-A779+1</f>
        <v>110</v>
      </c>
      <c r="C779" s="98" t="s">
        <v>241</v>
      </c>
      <c r="D779" s="71" t="s">
        <v>191</v>
      </c>
      <c r="E779" s="323" t="s">
        <v>1714</v>
      </c>
      <c r="F779" t="s">
        <v>1076</v>
      </c>
      <c r="G779" t="s">
        <v>741</v>
      </c>
      <c r="H779" t="s">
        <v>422</v>
      </c>
      <c r="I779" t="s">
        <v>1082</v>
      </c>
      <c r="J779">
        <v>30</v>
      </c>
      <c r="L779">
        <v>1010</v>
      </c>
      <c r="M779" s="197">
        <f>=J779*L779</f>
        <v>30300</v>
      </c>
      <c r="N779">
        <v>2.5</v>
      </c>
      <c r="O779" s="189">
        <f>=ROUND(IF((TODAY()-A779+1)*N779*(L779/10000)+L779&lt;L779*1.002,L779*1.002,(TODAY()-A779+1)*N779*(L779/10000)+L779),2)</f>
        <v>1038.03</v>
      </c>
      <c r="P779">
        <v>30</v>
      </c>
      <c r="Q779" s="71">
        <f>=J779-P779</f>
        <v>0</v>
      </c>
      <c r="S779" s="112">
        <f>=P779-R779</f>
        <v>30</v>
      </c>
      <c r="T779" s="71">
        <f>=S779*L779</f>
        <v>30300</v>
      </c>
      <c r="U779" s="190">
        <f>=J779-P779</f>
        <v>0</v>
      </c>
    </row>
    <row r="780" spans="1:21" ht="15.75" customHeight="true">
      <c r="A780" s="80">
        <v>46114</v>
      </c>
      <c r="B780" s="71">
        <f>=TODAY()-A780+1</f>
        <v>111</v>
      </c>
      <c r="C780" t="s">
        <v>230</v>
      </c>
      <c r="D780" s="71" t="s">
        <v>50</v>
      </c>
      <c r="E780" s="160" t="s">
        <v>1715</v>
      </c>
      <c r="F780" s="242" t="s">
        <v>469</v>
      </c>
      <c r="G780" s="156" t="s">
        <v>428</v>
      </c>
      <c r="H780" s="95" t="s">
        <v>422</v>
      </c>
      <c r="I780" s="74" t="s">
        <v>1716</v>
      </c>
      <c r="J780" s="248">
        <v>19</v>
      </c>
      <c r="K780" s="62" t="s"/>
      <c r="L780" s="279">
        <v>2625</v>
      </c>
      <c r="M780" s="112">
        <f>=J780*L780</f>
        <v>49875</v>
      </c>
      <c r="N780">
        <v>2.5</v>
      </c>
      <c r="O780" s="189">
        <f>=ROUND(IF((TODAY()-A780+1)*N780*(L780/10000)+L780&lt;L780*1.002,L780*1.002,(TODAY()-A780+1)*N780*(L780/10000)+L780),2)</f>
        <v>2698.5</v>
      </c>
      <c r="P780" s="62">
        <v>19</v>
      </c>
      <c r="Q780" s="71">
        <f>=J780-P780</f>
        <v>0</v>
      </c>
      <c r="S780" s="112">
        <f>=P780-R780</f>
        <v>19</v>
      </c>
      <c r="T780" s="71">
        <f>=S780*L780</f>
        <v>49875</v>
      </c>
      <c r="U780" s="190">
        <f>=J780-P780</f>
        <v>0</v>
      </c>
    </row>
    <row r="781" spans="1:21" ht="15.75" customHeight="true">
      <c r="A781" s="80">
        <v>46114</v>
      </c>
      <c r="B781" s="71">
        <f>=TODAY()-A781+1</f>
        <v>111</v>
      </c>
      <c r="C781" t="s">
        <v>230</v>
      </c>
      <c r="D781" s="71" t="s">
        <v>50</v>
      </c>
      <c r="E781" s="160" t="s">
        <v>1717</v>
      </c>
      <c r="F781" s="87" t="s">
        <v>469</v>
      </c>
      <c r="G781" s="156" t="s">
        <v>428</v>
      </c>
      <c r="H781" s="95" t="s">
        <v>422</v>
      </c>
      <c r="I781" s="74" t="s">
        <v>1718</v>
      </c>
      <c r="J781" s="248">
        <v>19</v>
      </c>
      <c r="K781" s="62" t="s"/>
      <c r="L781" s="279">
        <v>2625</v>
      </c>
      <c r="M781" s="112">
        <f>=J781*L781</f>
        <v>49875</v>
      </c>
      <c r="N781">
        <v>2.5</v>
      </c>
      <c r="O781" s="189">
        <f>=ROUND(IF((TODAY()-A781+1)*N781*(L781/10000)+L781&lt;L781*1.002,L781*1.002,(TODAY()-A781+1)*N781*(L781/10000)+L781),2)</f>
        <v>2698.5</v>
      </c>
      <c r="P781" s="62">
        <v>19</v>
      </c>
      <c r="Q781" s="71">
        <f>=J781-P781</f>
        <v>0</v>
      </c>
      <c r="S781" s="112">
        <f>=P781-R781</f>
        <v>19</v>
      </c>
      <c r="T781" s="71">
        <f>=S781*L781</f>
        <v>49875</v>
      </c>
      <c r="U781" s="190">
        <f>=J781-P781</f>
        <v>0</v>
      </c>
    </row>
    <row r="782" spans="1:21" ht="15.75" customHeight="true">
      <c r="A782" s="80">
        <v>46113</v>
      </c>
      <c r="B782" s="71">
        <f>=TODAY()-A782+1</f>
        <v>112</v>
      </c>
      <c r="C782" t="s">
        <v>229</v>
      </c>
      <c r="D782" s="71" t="s">
        <v>50</v>
      </c>
      <c r="E782" s="160" t="s">
        <v>1719</v>
      </c>
      <c r="F782" s="258" t="s">
        <v>469</v>
      </c>
      <c r="G782" s="156" t="s">
        <v>428</v>
      </c>
      <c r="H782" s="95" t="s">
        <v>422</v>
      </c>
      <c r="I782" s="74" t="s">
        <v>1720</v>
      </c>
      <c r="J782" s="74">
        <v>20</v>
      </c>
      <c r="K782" s="62" t="s"/>
      <c r="L782" s="272">
        <v>1365</v>
      </c>
      <c r="M782" s="112">
        <f>=J782*L782</f>
        <v>27300</v>
      </c>
      <c r="N782">
        <v>2.5</v>
      </c>
      <c r="O782" s="189">
        <f>=ROUND(IF((TODAY()-A782+1)*N782*(L782/10000)+L782&lt;L782*1.002,L782*1.002,(TODAY()-A782+1)*N782*(L782/10000)+L782),2)</f>
        <v>1403.56</v>
      </c>
      <c r="P782" s="62">
        <v>20</v>
      </c>
      <c r="Q782" s="71">
        <f>=J782-P782</f>
        <v>0</v>
      </c>
      <c r="S782" s="112">
        <f>=P782-R782</f>
        <v>20</v>
      </c>
      <c r="T782" s="71">
        <f>=S782*L782</f>
        <v>27300</v>
      </c>
      <c r="U782" s="190">
        <f>=J782-P782</f>
        <v>0</v>
      </c>
    </row>
    <row r="783" spans="1:21" ht="15.75" customHeight="true">
      <c r="A783" s="80">
        <v>46113</v>
      </c>
      <c r="B783" s="71">
        <f>=TODAY()-A783+1</f>
        <v>112</v>
      </c>
      <c r="C783" t="s">
        <v>229</v>
      </c>
      <c r="D783" s="71" t="s">
        <v>50</v>
      </c>
      <c r="E783" s="160" t="s">
        <v>1721</v>
      </c>
      <c r="F783" s="258" t="s">
        <v>469</v>
      </c>
      <c r="G783" s="156" t="s">
        <v>428</v>
      </c>
      <c r="H783" s="95" t="s">
        <v>422</v>
      </c>
      <c r="I783" s="74" t="s">
        <v>1722</v>
      </c>
      <c r="J783" s="74">
        <v>20</v>
      </c>
      <c r="K783" s="62" t="s"/>
      <c r="L783" s="272">
        <v>2240</v>
      </c>
      <c r="M783" s="112">
        <f>=J783*L783</f>
        <v>44800</v>
      </c>
      <c r="N783">
        <v>2.5</v>
      </c>
      <c r="O783" s="189">
        <f>=ROUND(IF((TODAY()-A783+1)*N783*(L783/10000)+L783&lt;L783*1.002,L783*1.002,(TODAY()-A783+1)*N783*(L783/10000)+L783),2)</f>
        <v>2303.28</v>
      </c>
      <c r="P783" s="62">
        <v>20</v>
      </c>
      <c r="Q783" s="71">
        <f>=J783-P783</f>
        <v>0</v>
      </c>
      <c r="S783" s="112">
        <f>=P783-R783</f>
        <v>20</v>
      </c>
      <c r="T783" s="71">
        <f>=S783*L783</f>
        <v>44800</v>
      </c>
      <c r="U783" s="190">
        <f>=J783-P783</f>
        <v>0</v>
      </c>
    </row>
    <row r="784" spans="1:21" ht="15.75" customHeight="true">
      <c r="A784" s="80">
        <v>46113</v>
      </c>
      <c r="B784" s="71">
        <f>=TODAY()-A784+1</f>
        <v>112</v>
      </c>
      <c r="C784" t="s">
        <v>229</v>
      </c>
      <c r="D784" s="71" t="s">
        <v>50</v>
      </c>
      <c r="E784" s="160" t="s">
        <v>1723</v>
      </c>
      <c r="F784" s="258" t="s">
        <v>469</v>
      </c>
      <c r="G784" s="156" t="s">
        <v>428</v>
      </c>
      <c r="H784" s="95" t="s">
        <v>422</v>
      </c>
      <c r="I784" s="74" t="s">
        <v>1724</v>
      </c>
      <c r="J784" s="74">
        <v>21</v>
      </c>
      <c r="K784" s="62" t="s"/>
      <c r="L784" s="272">
        <v>1400</v>
      </c>
      <c r="M784" s="112">
        <f>=J784*L784</f>
        <v>29400</v>
      </c>
      <c r="N784">
        <v>2.5</v>
      </c>
      <c r="O784" s="189">
        <f>=ROUND(IF((TODAY()-A784+1)*N784*(L784/10000)+L784&lt;L784*1.002,L784*1.002,(TODAY()-A784+1)*N784*(L784/10000)+L784),2)</f>
        <v>1439.55</v>
      </c>
      <c r="P784" s="62">
        <v>21</v>
      </c>
      <c r="Q784" s="71">
        <f>=J784-P784</f>
        <v>0</v>
      </c>
      <c r="S784" s="112">
        <f>=P784-R784</f>
        <v>21</v>
      </c>
      <c r="T784" s="71">
        <f>=S784*L784</f>
        <v>29400</v>
      </c>
      <c r="U784" s="190">
        <f>=J784-P784</f>
        <v>0</v>
      </c>
    </row>
    <row r="785" spans="1:21" ht="15.75" customHeight="true">
      <c r="A785" s="80">
        <v>46114</v>
      </c>
      <c r="B785" s="71">
        <f>=TODAY()-A785+1</f>
        <v>111</v>
      </c>
      <c r="C785" t="s">
        <v>230</v>
      </c>
      <c r="D785" s="71" t="s">
        <v>50</v>
      </c>
      <c r="E785" s="160" t="s">
        <v>1725</v>
      </c>
      <c r="F785" s="242" t="s">
        <v>469</v>
      </c>
      <c r="G785" s="156" t="s">
        <v>428</v>
      </c>
      <c r="H785" s="95" t="s">
        <v>422</v>
      </c>
      <c r="I785" s="74" t="s">
        <v>1726</v>
      </c>
      <c r="J785" s="248">
        <v>24</v>
      </c>
      <c r="K785" s="62" t="s"/>
      <c r="L785" s="279">
        <v>1470</v>
      </c>
      <c r="M785" s="112">
        <f>=J785*L785</f>
        <v>35280</v>
      </c>
      <c r="N785">
        <v>2.5</v>
      </c>
      <c r="O785" s="189">
        <f>=ROUND(IF((TODAY()-A785+1)*N785*(L785/10000)+L785&lt;L785*1.002,L785*1.002,(TODAY()-A785+1)*N785*(L785/10000)+L785),2)</f>
        <v>1511.16</v>
      </c>
      <c r="P785" s="62">
        <v>24</v>
      </c>
      <c r="Q785" s="71">
        <f>=J785-P785</f>
        <v>0</v>
      </c>
      <c r="S785" s="112">
        <f>=P785-R785</f>
        <v>24</v>
      </c>
      <c r="T785" s="71">
        <f>=S785*L785</f>
        <v>35280</v>
      </c>
      <c r="U785" s="190">
        <f>=J785-P785</f>
        <v>0</v>
      </c>
    </row>
    <row r="786" spans="1:21" ht="15.75" customHeight="true">
      <c r="A786" s="80">
        <v>46114</v>
      </c>
      <c r="B786" s="71">
        <f>=TODAY()-A786+1</f>
        <v>111</v>
      </c>
      <c r="C786" t="s">
        <v>230</v>
      </c>
      <c r="D786" s="71" t="s">
        <v>50</v>
      </c>
      <c r="E786" s="160" t="s">
        <v>1727</v>
      </c>
      <c r="F786" s="242" t="s">
        <v>469</v>
      </c>
      <c r="G786" s="156" t="s">
        <v>428</v>
      </c>
      <c r="H786" s="95" t="s">
        <v>422</v>
      </c>
      <c r="I786" s="74" t="s">
        <v>1728</v>
      </c>
      <c r="J786" s="248">
        <v>29</v>
      </c>
      <c r="K786" s="62" t="s"/>
      <c r="L786" s="279">
        <v>1225</v>
      </c>
      <c r="M786" s="112">
        <f>=J786*L786</f>
        <v>35525</v>
      </c>
      <c r="N786">
        <v>2.5</v>
      </c>
      <c r="O786" s="189">
        <f>=ROUND(IF((TODAY()-A786+1)*N786*(L786/10000)+L786&lt;L786*1.002,L786*1.002,(TODAY()-A786+1)*N786*(L786/10000)+L786),2)</f>
        <v>1259.3</v>
      </c>
      <c r="P786" s="62">
        <v>29</v>
      </c>
      <c r="Q786" s="71">
        <f>=J786-P786</f>
        <v>0</v>
      </c>
      <c r="S786" s="112">
        <f>=P786-R786</f>
        <v>29</v>
      </c>
      <c r="T786" s="71">
        <f>=S786*L786</f>
        <v>35525</v>
      </c>
      <c r="U786" s="190">
        <f>=J786-P786</f>
        <v>0</v>
      </c>
    </row>
    <row r="787" spans="1:21" ht="15.75" customHeight="true">
      <c r="A787" s="80">
        <v>46113</v>
      </c>
      <c r="B787" s="71">
        <f>=TODAY()-A787+1</f>
        <v>112</v>
      </c>
      <c r="C787" t="s">
        <v>229</v>
      </c>
      <c r="D787" s="71" t="s">
        <v>50</v>
      </c>
      <c r="E787" s="160" t="s">
        <v>1729</v>
      </c>
      <c r="F787" s="221" t="s">
        <v>469</v>
      </c>
      <c r="G787" s="156" t="s">
        <v>428</v>
      </c>
      <c r="H787" s="95" t="s">
        <v>422</v>
      </c>
      <c r="I787" s="74" t="s">
        <v>1730</v>
      </c>
      <c r="J787" s="74">
        <v>30</v>
      </c>
      <c r="K787" s="62" t="s"/>
      <c r="L787" s="272">
        <v>1365</v>
      </c>
      <c r="M787" s="112">
        <f>=J787*L787</f>
        <v>40950</v>
      </c>
      <c r="N787">
        <v>2.5</v>
      </c>
      <c r="O787" s="189">
        <f>=ROUND(IF((TODAY()-A787+1)*N787*(L787/10000)+L787&lt;L787*1.002,L787*1.002,(TODAY()-A787+1)*N787*(L787/10000)+L787),2)</f>
        <v>1403.56</v>
      </c>
      <c r="P787" s="62">
        <v>30</v>
      </c>
      <c r="Q787" s="71">
        <f>=J787-P787</f>
        <v>0</v>
      </c>
      <c r="S787" s="112">
        <f>=P787-R787</f>
        <v>30</v>
      </c>
      <c r="T787" s="71">
        <f>=S787*L787</f>
        <v>40950</v>
      </c>
      <c r="U787" s="190">
        <f>=J787-P787</f>
        <v>0</v>
      </c>
    </row>
    <row r="788" spans="1:21" ht="15.75" customHeight="true">
      <c r="A788" s="80">
        <v>46114</v>
      </c>
      <c r="B788" s="71">
        <f>=TODAY()-A788+1</f>
        <v>111</v>
      </c>
      <c r="C788" t="s">
        <v>230</v>
      </c>
      <c r="D788" s="71" t="s">
        <v>50</v>
      </c>
      <c r="E788" s="160" t="s">
        <v>1731</v>
      </c>
      <c r="F788" s="87" t="s">
        <v>469</v>
      </c>
      <c r="G788" s="156" t="s">
        <v>428</v>
      </c>
      <c r="H788" s="95" t="s">
        <v>422</v>
      </c>
      <c r="I788" s="74" t="s">
        <v>1732</v>
      </c>
      <c r="J788" s="248">
        <v>30</v>
      </c>
      <c r="K788" s="62" t="s"/>
      <c r="L788" s="279">
        <v>840</v>
      </c>
      <c r="M788" s="112">
        <f>=J788*L788</f>
        <v>25200</v>
      </c>
      <c r="N788">
        <v>2.5</v>
      </c>
      <c r="O788" s="189">
        <f>=ROUND(IF((TODAY()-A788+1)*N788*(L788/10000)+L788&lt;L788*1.002,L788*1.002,(TODAY()-A788+1)*N788*(L788/10000)+L788),2)</f>
        <v>863.52</v>
      </c>
      <c r="P788" s="62">
        <v>30</v>
      </c>
      <c r="Q788" s="71">
        <f>=J788-P788</f>
        <v>0</v>
      </c>
      <c r="S788" s="112">
        <f>=P788-R788</f>
        <v>30</v>
      </c>
      <c r="T788" s="71">
        <f>=S788*L788</f>
        <v>25200</v>
      </c>
      <c r="U788" s="190">
        <f>=J788-P788</f>
        <v>0</v>
      </c>
    </row>
    <row r="789" spans="1:21" ht="15.75" customHeight="true">
      <c r="A789" s="80">
        <v>46114</v>
      </c>
      <c r="B789" s="71">
        <f>=TODAY()-A789+1</f>
        <v>111</v>
      </c>
      <c r="C789" t="s">
        <v>230</v>
      </c>
      <c r="D789" s="71" t="s">
        <v>50</v>
      </c>
      <c r="E789" s="160" t="s">
        <v>1733</v>
      </c>
      <c r="F789" s="242" t="s">
        <v>469</v>
      </c>
      <c r="G789" s="156" t="s">
        <v>428</v>
      </c>
      <c r="H789" s="95" t="s">
        <v>422</v>
      </c>
      <c r="I789" s="74" t="s">
        <v>1734</v>
      </c>
      <c r="J789" s="248">
        <v>30</v>
      </c>
      <c r="K789" s="62" t="s"/>
      <c r="L789" s="279">
        <v>840</v>
      </c>
      <c r="M789" s="112">
        <f>=J789*L789</f>
        <v>25200</v>
      </c>
      <c r="N789">
        <v>2.5</v>
      </c>
      <c r="O789" s="189">
        <f>=ROUND(IF((TODAY()-A789+1)*N789*(L789/10000)+L789&lt;L789*1.002,L789*1.002,(TODAY()-A789+1)*N789*(L789/10000)+L789),2)</f>
        <v>863.52</v>
      </c>
      <c r="P789" s="62">
        <v>30</v>
      </c>
      <c r="Q789" s="71">
        <f>=J789-P789</f>
        <v>0</v>
      </c>
      <c r="S789" s="112">
        <f>=P789-R789</f>
        <v>30</v>
      </c>
      <c r="T789" s="71">
        <f>=S789*L789</f>
        <v>25200</v>
      </c>
      <c r="U789" s="190">
        <f>=J789-P789</f>
        <v>0</v>
      </c>
    </row>
    <row r="790" spans="1:21" ht="15.75" customHeight="true">
      <c r="A790" s="80">
        <v>46114</v>
      </c>
      <c r="B790" s="71">
        <f>=TODAY()-A790+1</f>
        <v>111</v>
      </c>
      <c r="C790" t="s">
        <v>230</v>
      </c>
      <c r="D790" s="71" t="s">
        <v>50</v>
      </c>
      <c r="E790" s="160" t="s">
        <v>1735</v>
      </c>
      <c r="F790" s="87" t="s">
        <v>469</v>
      </c>
      <c r="G790" s="156" t="s">
        <v>428</v>
      </c>
      <c r="H790" s="95" t="s">
        <v>422</v>
      </c>
      <c r="I790" s="62" t="s">
        <v>1736</v>
      </c>
      <c r="J790" s="64">
        <v>30</v>
      </c>
      <c r="K790" s="62" t="s"/>
      <c r="L790">
        <v>840</v>
      </c>
      <c r="M790" s="112">
        <f>=J790*L790</f>
        <v>25200</v>
      </c>
      <c r="N790">
        <v>2.5</v>
      </c>
      <c r="O790" s="189">
        <f>=ROUND(IF((TODAY()-A790+1)*N790*(L790/10000)+L790&lt;L790*1.002,L790*1.002,(TODAY()-A790+1)*N790*(L790/10000)+L790),2)</f>
        <v>863.52</v>
      </c>
      <c r="P790" s="62">
        <v>30</v>
      </c>
      <c r="Q790" s="71">
        <f>=J790-P790</f>
        <v>0</v>
      </c>
      <c r="S790" s="112">
        <f>=P790-R790</f>
        <v>30</v>
      </c>
      <c r="T790" s="71">
        <f>=S790*L790</f>
        <v>25200</v>
      </c>
      <c r="U790" s="190">
        <f>=J790-P790</f>
        <v>0</v>
      </c>
    </row>
    <row r="791" spans="1:21" ht="15.75" customHeight="true">
      <c r="A791" s="80">
        <v>46114</v>
      </c>
      <c r="B791" s="71">
        <f>=TODAY()-A791+1</f>
        <v>111</v>
      </c>
      <c r="C791" t="s">
        <v>230</v>
      </c>
      <c r="D791" s="71" t="s">
        <v>50</v>
      </c>
      <c r="E791" s="160" t="s">
        <v>1737</v>
      </c>
      <c r="F791" s="242" t="s">
        <v>469</v>
      </c>
      <c r="G791" s="156" t="s">
        <v>428</v>
      </c>
      <c r="H791" s="95" t="s">
        <v>422</v>
      </c>
      <c r="I791" s="62" t="s">
        <v>1738</v>
      </c>
      <c r="J791" s="64">
        <v>36</v>
      </c>
      <c r="K791" s="62" t="s"/>
      <c r="L791">
        <v>1645</v>
      </c>
      <c r="M791" s="112">
        <f>=J791*L791</f>
        <v>59220</v>
      </c>
      <c r="N791">
        <v>2.5</v>
      </c>
      <c r="O791" s="189">
        <f>=ROUND(IF((TODAY()-A791+1)*N791*(L791/10000)+L791&lt;L791*1.002,L791*1.002,(TODAY()-A791+1)*N791*(L791/10000)+L791),2)</f>
        <v>1691.06</v>
      </c>
      <c r="P791" s="62">
        <v>36</v>
      </c>
      <c r="Q791" s="71">
        <f>=J791-P791</f>
        <v>0</v>
      </c>
      <c r="S791" s="112">
        <f>=P791-R791</f>
        <v>36</v>
      </c>
      <c r="T791" s="71">
        <f>=S791*L791</f>
        <v>59220</v>
      </c>
      <c r="U791" s="190">
        <f>=J791-P791</f>
        <v>0</v>
      </c>
    </row>
    <row r="792" spans="1:21" ht="15.75" customHeight="true">
      <c r="A792" s="80">
        <v>46113</v>
      </c>
      <c r="B792" s="71">
        <f>=TODAY()-A792+1</f>
        <v>112</v>
      </c>
      <c r="C792" t="s">
        <v>229</v>
      </c>
      <c r="D792" s="71" t="s">
        <v>50</v>
      </c>
      <c r="E792" s="160" t="s">
        <v>1739</v>
      </c>
      <c r="F792" s="221" t="s">
        <v>469</v>
      </c>
      <c r="G792" s="156" t="s">
        <v>428</v>
      </c>
      <c r="H792" s="95" t="s">
        <v>422</v>
      </c>
      <c r="I792" s="62" t="s">
        <v>1740</v>
      </c>
      <c r="J792" s="62">
        <v>40</v>
      </c>
      <c r="K792" s="62" t="s"/>
      <c r="L792" s="272">
        <v>1645</v>
      </c>
      <c r="M792" s="112">
        <f>=J792*L792</f>
        <v>65800</v>
      </c>
      <c r="N792">
        <v>2.5</v>
      </c>
      <c r="O792" s="189">
        <f>=ROUND(IF((TODAY()-A792+1)*N792*(L792/10000)+L792&lt;L792*1.002,L792*1.002,(TODAY()-A792+1)*N792*(L792/10000)+L792),2)</f>
        <v>1691.47</v>
      </c>
      <c r="P792" s="62">
        <v>40</v>
      </c>
      <c r="Q792" s="71">
        <f>=J792-P792</f>
        <v>0</v>
      </c>
      <c r="S792" s="112">
        <f>=P792-R792</f>
        <v>40</v>
      </c>
      <c r="T792" s="71">
        <f>=S792*L792</f>
        <v>65800</v>
      </c>
      <c r="U792" s="190">
        <f>=J792-P792</f>
        <v>0</v>
      </c>
    </row>
    <row r="793" spans="1:21" ht="15.75" customHeight="true">
      <c r="A793" s="80">
        <v>46114</v>
      </c>
      <c r="B793" s="71">
        <f>=TODAY()-A793+1</f>
        <v>111</v>
      </c>
      <c r="C793" t="s">
        <v>230</v>
      </c>
      <c r="D793" s="71" t="s">
        <v>50</v>
      </c>
      <c r="E793" s="160" t="s">
        <v>1741</v>
      </c>
      <c r="F793" s="242" t="s">
        <v>469</v>
      </c>
      <c r="G793" s="156" t="s">
        <v>428</v>
      </c>
      <c r="H793" s="95" t="s">
        <v>422</v>
      </c>
      <c r="I793" s="62" t="s">
        <v>1742</v>
      </c>
      <c r="J793" s="64">
        <v>81</v>
      </c>
      <c r="K793" s="62" t="s"/>
      <c r="L793">
        <v>1645</v>
      </c>
      <c r="M793" s="112">
        <f>=J793*L793</f>
        <v>133245</v>
      </c>
      <c r="N793">
        <v>2.5</v>
      </c>
      <c r="O793" s="189">
        <f>=ROUND(IF((TODAY()-A793+1)*N793*(L793/10000)+L793&lt;L793*1.002,L793*1.002,(TODAY()-A793+1)*N793*(L793/10000)+L793),2)</f>
        <v>1691.06</v>
      </c>
      <c r="P793" s="62">
        <v>81</v>
      </c>
      <c r="Q793" s="71">
        <f>=J793-P793</f>
        <v>0</v>
      </c>
      <c r="S793" s="112">
        <f>=P793-R793</f>
        <v>81</v>
      </c>
      <c r="T793" s="71">
        <f>=S793*L793</f>
        <v>133245</v>
      </c>
      <c r="U793" s="190">
        <f>=J793-P793</f>
        <v>0</v>
      </c>
    </row>
    <row r="794" spans="1:21" ht="15.75" customHeight="true">
      <c r="A794" s="80">
        <v>46114</v>
      </c>
      <c r="B794" s="71">
        <f>=TODAY()-A794+1</f>
        <v>111</v>
      </c>
      <c r="C794" t="s">
        <v>230</v>
      </c>
      <c r="D794" s="71" t="s">
        <v>50</v>
      </c>
      <c r="E794" s="160" t="s">
        <v>1743</v>
      </c>
      <c r="F794" s="242" t="s">
        <v>469</v>
      </c>
      <c r="G794" s="156" t="s">
        <v>428</v>
      </c>
      <c r="H794" s="95" t="s">
        <v>422</v>
      </c>
      <c r="I794" s="62" t="s">
        <v>1744</v>
      </c>
      <c r="J794" s="64">
        <v>120</v>
      </c>
      <c r="K794" s="62" t="s"/>
      <c r="L794">
        <v>1050</v>
      </c>
      <c r="M794" s="112">
        <f>=J794*L794</f>
        <v>126000</v>
      </c>
      <c r="N794">
        <v>2.5</v>
      </c>
      <c r="O794" s="189">
        <f>=ROUND(IF((TODAY()-A794+1)*N794*(L794/10000)+L794&lt;L794*1.002,L794*1.002,(TODAY()-A794+1)*N794*(L794/10000)+L794),2)</f>
        <v>1079.4</v>
      </c>
      <c r="P794" s="62">
        <v>120</v>
      </c>
      <c r="Q794" s="71">
        <f>=J794-P794</f>
        <v>0</v>
      </c>
      <c r="S794" s="112">
        <f>=P794-R794</f>
        <v>120</v>
      </c>
      <c r="T794" s="71">
        <f>=S794*L794</f>
        <v>126000</v>
      </c>
      <c r="U794" s="190">
        <f>=J794-P794</f>
        <v>0</v>
      </c>
    </row>
    <row r="795" spans="1:21" ht="15.75" customHeight="true">
      <c r="A795" s="80">
        <v>46113</v>
      </c>
      <c r="B795" s="71">
        <f>=TODAY()-A795+1</f>
        <v>112</v>
      </c>
      <c r="C795" t="s">
        <v>229</v>
      </c>
      <c r="D795" s="71" t="s">
        <v>50</v>
      </c>
      <c r="E795" s="160" t="s">
        <v>1745</v>
      </c>
      <c r="F795" s="258" t="s">
        <v>469</v>
      </c>
      <c r="G795" s="156" t="s">
        <v>428</v>
      </c>
      <c r="H795" s="95" t="s">
        <v>422</v>
      </c>
      <c r="I795" s="62" t="s">
        <v>1746</v>
      </c>
      <c r="J795" s="62">
        <v>240</v>
      </c>
      <c r="K795" s="62" t="s"/>
      <c r="L795" s="95">
        <v>1050</v>
      </c>
      <c r="M795" s="112">
        <f>=J795*L795</f>
        <v>252000</v>
      </c>
      <c r="N795">
        <v>2.5</v>
      </c>
      <c r="O795" s="189">
        <f>=ROUND(IF((TODAY()-A795+1)*N795*(L795/10000)+L795&lt;L795*1.002,L795*1.002,(TODAY()-A795+1)*N795*(L795/10000)+L795),2)</f>
        <v>1079.66</v>
      </c>
      <c r="P795" s="62">
        <v>240</v>
      </c>
      <c r="Q795" s="71">
        <f>=J795-P795</f>
        <v>0</v>
      </c>
      <c r="S795" s="112">
        <f>=P795-R795</f>
        <v>240</v>
      </c>
      <c r="T795" s="71">
        <f>=S795*L795</f>
        <v>252000</v>
      </c>
      <c r="U795" s="190">
        <f>=J795-P795</f>
        <v>0</v>
      </c>
    </row>
    <row r="796" spans="1:21" ht="15.75" customHeight="true">
      <c r="A796" s="80">
        <v>46114</v>
      </c>
      <c r="B796" s="71">
        <f>=TODAY()-A796+1</f>
        <v>111</v>
      </c>
      <c r="C796" s="98" t="s">
        <v>234</v>
      </c>
      <c r="D796" s="71" t="s">
        <v>215</v>
      </c>
      <c r="E796" s="242" t="s">
        <v>1747</v>
      </c>
      <c r="F796" s="87" t="s">
        <v>1426</v>
      </c>
      <c r="G796" s="87" t="s">
        <v>421</v>
      </c>
      <c r="H796" s="87" t="s">
        <v>470</v>
      </c>
      <c r="I796" t="s">
        <v>1290</v>
      </c>
      <c r="J796">
        <v>150</v>
      </c>
      <c r="L796">
        <v>2800</v>
      </c>
      <c r="M796" s="324">
        <f>=J796*L796</f>
        <v>420000</v>
      </c>
      <c r="N796">
        <v>2.5</v>
      </c>
      <c r="O796" s="189">
        <f>=ROUND(IF((TODAY()-A796+1)*N796*(L796/10000)+L796&lt;L796*1.002,L796*1.002,(TODAY()-A796+1)*N796*(L796/10000)+L796),2)</f>
        <v>2878.4</v>
      </c>
      <c r="P796">
        <v>150</v>
      </c>
      <c r="Q796" s="71">
        <f>=J796-P796</f>
        <v>0</v>
      </c>
      <c r="R796">
        <v>150</v>
      </c>
      <c r="S796" s="112">
        <f>=P796-R796</f>
        <v>0</v>
      </c>
      <c r="T796" s="71">
        <f>=S796*L796</f>
        <v>0</v>
      </c>
      <c r="U796" s="190">
        <f>=J796-P796</f>
        <v>0</v>
      </c>
    </row>
    <row r="797" spans="1:21" ht="15.75" customHeight="true">
      <c r="A797" s="80">
        <v>46114</v>
      </c>
      <c r="B797" s="71">
        <f>=TODAY()-A797+1</f>
        <v>111</v>
      </c>
      <c r="C797" s="98" t="s">
        <v>234</v>
      </c>
      <c r="D797" s="71" t="s">
        <v>215</v>
      </c>
      <c r="E797" s="242" t="s">
        <v>1748</v>
      </c>
      <c r="F797" s="87" t="s">
        <v>1426</v>
      </c>
      <c r="G797" s="87" t="s">
        <v>421</v>
      </c>
      <c r="H797" s="87" t="s">
        <v>470</v>
      </c>
      <c r="I797" s="155" t="s">
        <v>1424</v>
      </c>
      <c r="J797">
        <v>100</v>
      </c>
      <c r="L797">
        <v>2800</v>
      </c>
      <c r="M797" s="324">
        <f>=J797*L797</f>
        <v>280000</v>
      </c>
      <c r="N797">
        <v>2.5</v>
      </c>
      <c r="O797" s="189">
        <f>=ROUND(IF((TODAY()-A797+1)*N797*(L797/10000)+L797&lt;L797*1.002,L797*1.002,(TODAY()-A797+1)*N797*(L797/10000)+L797),2)</f>
        <v>2878.4</v>
      </c>
      <c r="P797">
        <v>100</v>
      </c>
      <c r="Q797" s="71">
        <f>=J797-P797</f>
        <v>0</v>
      </c>
      <c r="R797">
        <v>100</v>
      </c>
      <c r="S797" s="112">
        <f>=P797-R797</f>
        <v>0</v>
      </c>
      <c r="T797" s="71">
        <f>=S797*L797</f>
        <v>0</v>
      </c>
      <c r="U797" s="190">
        <f>=J797-P797</f>
        <v>0</v>
      </c>
    </row>
    <row r="798" spans="1:21" ht="15.75" customHeight="true">
      <c r="A798" s="80">
        <v>46114</v>
      </c>
      <c r="B798" s="71">
        <f>=TODAY()-A798+1</f>
        <v>111</v>
      </c>
      <c r="C798" s="98" t="s">
        <v>234</v>
      </c>
      <c r="D798" s="71" t="s">
        <v>215</v>
      </c>
      <c r="E798" s="242" t="s">
        <v>1749</v>
      </c>
      <c r="F798" s="87" t="s">
        <v>1426</v>
      </c>
      <c r="G798" s="87" t="s">
        <v>421</v>
      </c>
      <c r="H798" s="87" t="s">
        <v>470</v>
      </c>
      <c r="I798" s="325" t="s">
        <v>1017</v>
      </c>
      <c r="J798">
        <v>100</v>
      </c>
      <c r="L798">
        <v>3220</v>
      </c>
      <c r="M798" s="324">
        <f>=J798*L798</f>
        <v>322000</v>
      </c>
      <c r="N798">
        <v>2.5</v>
      </c>
      <c r="O798" s="189">
        <f>=ROUND(IF((TODAY()-A798+1)*N798*(L798/10000)+L798&lt;L798*1.002,L798*1.002,(TODAY()-A798+1)*N798*(L798/10000)+L798),2)</f>
        <v>3310.16</v>
      </c>
      <c r="P798">
        <v>100</v>
      </c>
      <c r="Q798" s="71">
        <f>=J798-P798</f>
        <v>0</v>
      </c>
      <c r="R798">
        <v>100</v>
      </c>
      <c r="S798" s="112">
        <f>=P798-R798</f>
        <v>0</v>
      </c>
      <c r="T798" s="71">
        <f>=S798*L798</f>
        <v>0</v>
      </c>
      <c r="U798" s="190">
        <f>=J798-P798</f>
        <v>0</v>
      </c>
    </row>
    <row r="799" spans="1:21" ht="15.75" customHeight="true">
      <c r="A799" s="80">
        <v>46114</v>
      </c>
      <c r="B799" s="71">
        <f>=TODAY()-A799+1</f>
        <v>111</v>
      </c>
      <c r="C799" s="98" t="s">
        <v>234</v>
      </c>
      <c r="D799" s="71" t="s">
        <v>215</v>
      </c>
      <c r="E799" t="s">
        <v>1750</v>
      </c>
      <c r="F799" s="87" t="s">
        <v>1426</v>
      </c>
      <c r="G799" s="87" t="s">
        <v>421</v>
      </c>
      <c r="H799" s="87" t="s">
        <v>470</v>
      </c>
      <c r="I799" s="136" t="s">
        <v>1751</v>
      </c>
      <c r="J799">
        <v>50</v>
      </c>
      <c r="L799">
        <v>5650</v>
      </c>
      <c r="M799" s="324">
        <f>=J799*L799</f>
        <v>282500</v>
      </c>
      <c r="N799">
        <v>2.5</v>
      </c>
      <c r="O799" s="189">
        <f>=ROUND(IF((TODAY()-A799+1)*N799*(L799/10000)+L799&lt;L799*1.002,L799*1.002,(TODAY()-A799+1)*N799*(L799/10000)+L799),2)</f>
        <v>5808.2</v>
      </c>
      <c r="P799">
        <v>50</v>
      </c>
      <c r="Q799" s="71">
        <f>=J799-P799</f>
        <v>0</v>
      </c>
      <c r="R799">
        <v>50</v>
      </c>
      <c r="S799" s="112">
        <f>=P799-R799</f>
        <v>0</v>
      </c>
      <c r="T799" s="71">
        <f>=S799*L799</f>
        <v>0</v>
      </c>
      <c r="U799" s="190">
        <f>=J799-P799</f>
        <v>0</v>
      </c>
    </row>
    <row r="800" spans="1:21" ht="15.75" customHeight="true">
      <c r="A800" s="80">
        <v>46121</v>
      </c>
      <c r="B800" s="71">
        <f>=TODAY()-A800+1</f>
        <v>104</v>
      </c>
      <c r="C800" s="71" t="s">
        <v>240</v>
      </c>
      <c r="D800" s="326" t="s">
        <v>239</v>
      </c>
      <c r="E800" s="136" t="s">
        <v>1752</v>
      </c>
      <c r="G800" s="136" t="s">
        <v>1753</v>
      </c>
      <c r="H800" s="136" t="s">
        <v>470</v>
      </c>
      <c r="I800" s="136" t="s">
        <v>1754</v>
      </c>
      <c r="J800">
        <v>100</v>
      </c>
      <c r="L800">
        <v>3040</v>
      </c>
      <c r="M800" s="324">
        <f>=J800*L800</f>
        <v>304000</v>
      </c>
      <c r="N800">
        <v>2.5</v>
      </c>
      <c r="O800" s="189">
        <f>=ROUND(IF((TODAY()-A800+1)*N800*(L800/10000)+L800&lt;L800*1.002,L800*1.002,(TODAY()-A800+1)*N800*(L800/10000)+L800),2)</f>
        <v>3119.8</v>
      </c>
      <c r="P800">
        <v>100</v>
      </c>
      <c r="Q800" s="71">
        <f>=J800-P800</f>
        <v>0</v>
      </c>
      <c r="R800">
        <v>100</v>
      </c>
      <c r="S800" s="112">
        <f>=P800-R800</f>
        <v>0</v>
      </c>
      <c r="T800" s="71">
        <f>=S800*L800</f>
        <v>0</v>
      </c>
      <c r="U800" s="190">
        <f>=J800-P800</f>
        <v>0</v>
      </c>
    </row>
    <row r="801" spans="1:21" ht="15.75" customHeight="true">
      <c r="A801" s="80">
        <v>46121</v>
      </c>
      <c r="B801" s="71">
        <f>=TODAY()-A801+1</f>
        <v>104</v>
      </c>
      <c r="C801" s="71" t="s">
        <v>240</v>
      </c>
      <c r="D801" s="326" t="s">
        <v>239</v>
      </c>
      <c r="E801" s="136" t="s">
        <v>1755</v>
      </c>
      <c r="G801" s="136" t="s">
        <v>1753</v>
      </c>
      <c r="H801" s="136" t="s">
        <v>470</v>
      </c>
      <c r="I801" s="136" t="s">
        <v>1756</v>
      </c>
      <c r="J801">
        <v>50</v>
      </c>
      <c r="L801">
        <v>3800</v>
      </c>
      <c r="M801" s="324">
        <f>=J801*L801</f>
        <v>190000</v>
      </c>
      <c r="N801">
        <v>2.5</v>
      </c>
      <c r="O801" s="189">
        <f>=ROUND(IF((TODAY()-A801+1)*N801*(L801/10000)+L801&lt;L801*1.002,L801*1.002,(TODAY()-A801+1)*N801*(L801/10000)+L801),2)</f>
        <v>3899.75</v>
      </c>
      <c r="P801">
        <v>50</v>
      </c>
      <c r="Q801" s="71">
        <f>=J801-P801</f>
        <v>0</v>
      </c>
      <c r="R801">
        <v>50</v>
      </c>
      <c r="S801" s="112">
        <f>=P801-R801</f>
        <v>0</v>
      </c>
      <c r="T801" s="71">
        <f>=S801*L801</f>
        <v>0</v>
      </c>
      <c r="U801" s="190">
        <f>=J801-P801</f>
        <v>0</v>
      </c>
    </row>
    <row r="802" spans="1:21" ht="15.75" customHeight="true">
      <c r="A802" s="80">
        <v>46121</v>
      </c>
      <c r="B802" s="71">
        <f>=TODAY()-A802+1</f>
        <v>104</v>
      </c>
      <c r="C802" s="71" t="s">
        <v>240</v>
      </c>
      <c r="D802" s="326" t="s">
        <v>239</v>
      </c>
      <c r="E802" s="136" t="s">
        <v>1757</v>
      </c>
      <c r="G802" s="136" t="s">
        <v>671</v>
      </c>
      <c r="H802" s="136" t="s">
        <v>470</v>
      </c>
      <c r="I802" s="136" t="s">
        <v>1758</v>
      </c>
      <c r="J802">
        <v>100</v>
      </c>
      <c r="L802">
        <v>2200</v>
      </c>
      <c r="M802" s="324">
        <f>=J802*L802</f>
        <v>220000</v>
      </c>
      <c r="N802">
        <v>2.5</v>
      </c>
      <c r="O802" s="189">
        <f>=ROUND(IF((TODAY()-A802+1)*N802*(L802/10000)+L802&lt;L802*1.002,L802*1.002,(TODAY()-A802+1)*N802*(L802/10000)+L802),2)</f>
        <v>2257.75</v>
      </c>
      <c r="P802">
        <v>100</v>
      </c>
      <c r="Q802" s="71">
        <f>=J802-P802</f>
        <v>0</v>
      </c>
      <c r="R802">
        <v>100</v>
      </c>
      <c r="S802" s="112">
        <f>=P802-R802</f>
        <v>0</v>
      </c>
      <c r="T802" s="71">
        <f>=S802*L802</f>
        <v>0</v>
      </c>
      <c r="U802" s="190">
        <f>=J802-P802</f>
        <v>0</v>
      </c>
    </row>
    <row r="803" spans="1:21" ht="15.75" customHeight="true">
      <c r="A803" s="80">
        <v>46120</v>
      </c>
      <c r="B803" s="71">
        <f>=TODAY()-A803+1</f>
        <v>105</v>
      </c>
      <c r="C803" s="71" t="s">
        <v>242</v>
      </c>
      <c r="D803" s="64" t="s">
        <v>116</v>
      </c>
      <c r="E803" s="214" t="s">
        <v>1759</v>
      </c>
      <c r="F803" s="214" t="s">
        <v>818</v>
      </c>
      <c r="G803" t="s">
        <v>804</v>
      </c>
      <c r="H803" t="s">
        <v>429</v>
      </c>
      <c r="I803" s="87" t="s">
        <v>1760</v>
      </c>
      <c r="J803">
        <v>7000</v>
      </c>
      <c r="L803">
        <v>44</v>
      </c>
      <c r="M803" s="324">
        <f>=J803*L803</f>
        <v>308000</v>
      </c>
      <c r="N803">
        <v>2.6</v>
      </c>
      <c r="O803" s="189">
        <f>=ROUND(IF((TODAY()-A803+1)*N803*(L803/10000)+L803&lt;L803*1.002,L803*1.002,(TODAY()-A803+1)*N803*(L803/10000)+L803),2)</f>
        <v>45.21</v>
      </c>
      <c r="P803">
        <v>7000</v>
      </c>
      <c r="Q803" s="71">
        <f>=J803-P803</f>
        <v>0</v>
      </c>
      <c r="R803">
        <v>7000</v>
      </c>
      <c r="S803" s="112">
        <f>=P803-R803</f>
        <v>0</v>
      </c>
      <c r="T803" s="71">
        <f>=S803*L803</f>
        <v>0</v>
      </c>
      <c r="U803" s="190">
        <f>=J803-P803</f>
        <v>0</v>
      </c>
    </row>
    <row r="804" spans="1:21" ht="15.75" customHeight="true">
      <c r="A804" s="80">
        <v>46120</v>
      </c>
      <c r="B804" s="71">
        <f>=TODAY()-A804+1</f>
        <v>105</v>
      </c>
      <c r="C804" s="71" t="s">
        <v>242</v>
      </c>
      <c r="D804" s="64" t="s">
        <v>116</v>
      </c>
      <c r="E804" s="214" t="s">
        <v>1761</v>
      </c>
      <c r="F804" s="214" t="s">
        <v>818</v>
      </c>
      <c r="G804" t="s">
        <v>804</v>
      </c>
      <c r="H804" t="s">
        <v>429</v>
      </c>
      <c r="I804" s="64" t="s">
        <v>822</v>
      </c>
      <c r="J804">
        <v>6251</v>
      </c>
      <c r="L804">
        <v>84</v>
      </c>
      <c r="M804" s="324">
        <f>=J804*L804</f>
        <v>525084</v>
      </c>
      <c r="N804">
        <v>2.6</v>
      </c>
      <c r="O804" s="189">
        <f>=ROUND(IF((TODAY()-A804+1)*N804*(L804/10000)+L804&lt;L804*1.002,L804*1.002,(TODAY()-A804+1)*N804*(L804/10000)+L804),2)</f>
        <v>86.32</v>
      </c>
      <c r="P804">
        <v>6251</v>
      </c>
      <c r="Q804" s="71">
        <f>=J804-P804</f>
        <v>0</v>
      </c>
      <c r="R804">
        <v>6251</v>
      </c>
      <c r="S804" s="112">
        <f>=P804-R804</f>
        <v>0</v>
      </c>
      <c r="T804" s="71">
        <f>=S804*L804</f>
        <v>0</v>
      </c>
      <c r="U804" s="190">
        <f>=J804-P804</f>
        <v>0</v>
      </c>
    </row>
    <row r="805" spans="1:21" ht="15.75" customHeight="true">
      <c r="A805" s="80">
        <v>46121</v>
      </c>
      <c r="B805" s="71">
        <f>=TODAY()-A805+1</f>
        <v>104</v>
      </c>
      <c r="C805" t="s">
        <v>244</v>
      </c>
      <c r="D805" t="s">
        <v>243</v>
      </c>
      <c r="E805" s="242" t="s">
        <v>1762</v>
      </c>
      <c r="F805" s="242" t="s">
        <v>1763</v>
      </c>
      <c r="G805" s="71" t="s">
        <v>741</v>
      </c>
      <c r="H805" s="71" t="s">
        <v>422</v>
      </c>
      <c r="I805" s="71" t="s">
        <v>1084</v>
      </c>
      <c r="J805" s="154">
        <v>228</v>
      </c>
      <c r="K805" s="154" t="s"/>
      <c r="L805" s="154">
        <v>1200</v>
      </c>
      <c r="M805" s="112">
        <f>=J805*L805</f>
        <v>273600</v>
      </c>
      <c r="N805">
        <v>2.5</v>
      </c>
      <c r="O805" s="189">
        <f>=ROUND(IF((TODAY()-A805+1)*N805*(L805/10000)+L805&lt;L805*1.002,L805*1.002,(TODAY()-A805+1)*N805*(L805/10000)+L805),2)</f>
        <v>1231.5</v>
      </c>
      <c r="P805" s="154">
        <v>228</v>
      </c>
      <c r="Q805" s="71">
        <f>=J805-P805</f>
        <v>0</v>
      </c>
      <c r="S805" s="112">
        <f>=P805-R805</f>
        <v>228</v>
      </c>
      <c r="T805" s="71">
        <f>=S805*L805</f>
        <v>273600</v>
      </c>
      <c r="U805" s="190">
        <f>=J805-P805</f>
        <v>0</v>
      </c>
    </row>
    <row r="806" spans="1:21" ht="15.75" customHeight="true">
      <c r="A806" s="80">
        <v>46121</v>
      </c>
      <c r="B806" s="71">
        <f>=TODAY()-A806+1</f>
        <v>104</v>
      </c>
      <c r="C806" t="s">
        <v>244</v>
      </c>
      <c r="D806" t="s">
        <v>243</v>
      </c>
      <c r="E806" s="242" t="s">
        <v>1764</v>
      </c>
      <c r="F806" s="242" t="s">
        <v>1763</v>
      </c>
      <c r="G806" s="71" t="s">
        <v>741</v>
      </c>
      <c r="H806" s="71" t="s">
        <v>422</v>
      </c>
      <c r="I806" t="s">
        <v>1026</v>
      </c>
      <c r="J806" s="154">
        <v>500</v>
      </c>
      <c r="K806" s="154" t="s"/>
      <c r="L806" s="154">
        <v>1200</v>
      </c>
      <c r="M806" s="112">
        <f>=J806*L806</f>
        <v>600000</v>
      </c>
      <c r="N806">
        <v>2.5</v>
      </c>
      <c r="O806" s="189">
        <f>=ROUND(IF((TODAY()-A806+1)*N806*(L806/10000)+L806&lt;L806*1.002,L806*1.002,(TODAY()-A806+1)*N806*(L806/10000)+L806),2)</f>
        <v>1231.5</v>
      </c>
      <c r="P806" s="154">
        <v>500</v>
      </c>
      <c r="Q806" s="71">
        <f>=J806-P806</f>
        <v>0</v>
      </c>
      <c r="S806" s="112">
        <f>=P806-R806</f>
        <v>500</v>
      </c>
      <c r="T806" s="71">
        <f>=S806*L806</f>
        <v>600000</v>
      </c>
      <c r="U806" s="190">
        <f>=J806-P806</f>
        <v>0</v>
      </c>
    </row>
    <row r="807" spans="1:21" ht="15.75" customHeight="true">
      <c r="A807" s="80">
        <v>46121</v>
      </c>
      <c r="B807" s="71">
        <f>=TODAY()-A807+1</f>
        <v>104</v>
      </c>
      <c r="C807" t="s">
        <v>244</v>
      </c>
      <c r="D807" t="s">
        <v>243</v>
      </c>
      <c r="E807" s="242" t="s">
        <v>1765</v>
      </c>
      <c r="F807" s="242" t="s">
        <v>1763</v>
      </c>
      <c r="G807" s="71" t="s">
        <v>741</v>
      </c>
      <c r="H807" s="71" t="s">
        <v>422</v>
      </c>
      <c r="I807" t="s">
        <v>1087</v>
      </c>
      <c r="J807">
        <v>200</v>
      </c>
      <c r="L807" s="154">
        <v>1200</v>
      </c>
      <c r="M807" s="112">
        <f>=J807*L807</f>
        <v>240000</v>
      </c>
      <c r="N807">
        <v>2.5</v>
      </c>
      <c r="O807" s="189">
        <f>=ROUND(IF((TODAY()-A807+1)*N807*(L807/10000)+L807&lt;L807*1.002,L807*1.002,(TODAY()-A807+1)*N807*(L807/10000)+L807),2)</f>
        <v>1231.5</v>
      </c>
      <c r="P807">
        <v>200</v>
      </c>
      <c r="Q807" s="71">
        <f>=J807-P807</f>
        <v>0</v>
      </c>
      <c r="S807" s="112">
        <f>=P807-R807</f>
        <v>200</v>
      </c>
      <c r="T807" s="71">
        <f>=S807*L807</f>
        <v>240000</v>
      </c>
      <c r="U807" s="190">
        <f>=J807-P807</f>
        <v>0</v>
      </c>
    </row>
    <row r="808" spans="1:21" ht="15.75" customHeight="true">
      <c r="A808" s="80">
        <v>46121</v>
      </c>
      <c r="B808" s="71">
        <f>=TODAY()-A808+1</f>
        <v>104</v>
      </c>
      <c r="C808" t="s">
        <v>244</v>
      </c>
      <c r="D808" t="s">
        <v>243</v>
      </c>
      <c r="E808" s="242" t="s">
        <v>1766</v>
      </c>
      <c r="F808" s="242" t="s">
        <v>1763</v>
      </c>
      <c r="G808" s="71" t="s">
        <v>741</v>
      </c>
      <c r="H808" s="71" t="s">
        <v>422</v>
      </c>
      <c r="I808" t="s">
        <v>1089</v>
      </c>
      <c r="J808">
        <v>300</v>
      </c>
      <c r="L808" s="154">
        <v>1200</v>
      </c>
      <c r="M808" s="112">
        <f>=J808*L808</f>
        <v>360000</v>
      </c>
      <c r="N808">
        <v>2.5</v>
      </c>
      <c r="O808" s="189">
        <f>=ROUND(IF((TODAY()-A808+1)*N808*(L808/10000)+L808&lt;L808*1.002,L808*1.002,(TODAY()-A808+1)*N808*(L808/10000)+L808),2)</f>
        <v>1231.5</v>
      </c>
      <c r="P808">
        <v>300</v>
      </c>
      <c r="Q808" s="71">
        <f>=J808-P808</f>
        <v>0</v>
      </c>
      <c r="S808" s="112">
        <f>=P808-R808</f>
        <v>300</v>
      </c>
      <c r="T808" s="71">
        <f>=S808*L808</f>
        <v>360000</v>
      </c>
      <c r="U808" s="190">
        <f>=J808-P808</f>
        <v>0</v>
      </c>
    </row>
    <row r="809" spans="1:21" ht="15.75" customHeight="true">
      <c r="A809" s="80">
        <v>46121</v>
      </c>
      <c r="B809" s="71">
        <f>=TODAY()-A809+1</f>
        <v>104</v>
      </c>
      <c r="C809" t="s">
        <v>244</v>
      </c>
      <c r="D809" t="s">
        <v>243</v>
      </c>
      <c r="E809" s="242" t="s">
        <v>1767</v>
      </c>
      <c r="F809" s="242" t="s">
        <v>1763</v>
      </c>
      <c r="G809" s="71" t="s">
        <v>741</v>
      </c>
      <c r="H809" s="71" t="s">
        <v>422</v>
      </c>
      <c r="I809" t="s">
        <v>1026</v>
      </c>
      <c r="J809">
        <v>28</v>
      </c>
      <c r="L809" s="154">
        <v>1200</v>
      </c>
      <c r="M809" s="112">
        <f>=J809*L809</f>
        <v>33600</v>
      </c>
      <c r="N809">
        <v>2.5</v>
      </c>
      <c r="O809" s="189">
        <f>=ROUND(IF((TODAY()-A809+1)*N809*(L809/10000)+L809&lt;L809*1.002,L809*1.002,(TODAY()-A809+1)*N809*(L809/10000)+L809),2)</f>
        <v>1231.5</v>
      </c>
      <c r="P809">
        <v>28</v>
      </c>
      <c r="Q809" s="71">
        <f>=J809-P809</f>
        <v>0</v>
      </c>
      <c r="S809" s="112">
        <f>=P809-R809</f>
        <v>28</v>
      </c>
      <c r="T809" s="71">
        <f>=S809*L809</f>
        <v>33600</v>
      </c>
      <c r="U809" s="190">
        <f>=J809-P809</f>
        <v>0</v>
      </c>
    </row>
    <row r="810" spans="1:21" ht="15.75" customHeight="true">
      <c r="A810" s="110">
        <v>46121</v>
      </c>
      <c r="B810" s="93">
        <f>=TODAY()-A810+1</f>
        <v>104</v>
      </c>
      <c r="C810" t="s">
        <v>244</v>
      </c>
      <c r="D810" t="s">
        <v>243</v>
      </c>
      <c r="E810" s="242" t="s">
        <v>1768</v>
      </c>
      <c r="F810" s="242" t="s">
        <v>1763</v>
      </c>
      <c r="G810" s="71" t="s">
        <v>741</v>
      </c>
      <c r="H810" s="71" t="s">
        <v>422</v>
      </c>
      <c r="I810" t="s">
        <v>1176</v>
      </c>
      <c r="J810">
        <v>44</v>
      </c>
      <c r="L810" s="154">
        <v>1050</v>
      </c>
      <c r="M810" s="217">
        <f>=J810*L810</f>
        <v>46200</v>
      </c>
      <c r="N810">
        <v>2.5</v>
      </c>
      <c r="O810" s="198">
        <f>=ROUND(IF((TODAY()-A810+1)*N810*(L810/10000)+L810&lt;L810*1.002,L810*1.002,(TODAY()-A810+1)*N810*(L810/10000)+L810),2)</f>
        <v>1077.56</v>
      </c>
      <c r="P810">
        <v>44</v>
      </c>
      <c r="Q810" s="93">
        <f>=J810-P810</f>
        <v>0</v>
      </c>
      <c r="S810" s="217">
        <f>=P810-R810</f>
        <v>44</v>
      </c>
      <c r="T810" s="93">
        <f>=S810*L810</f>
        <v>46200</v>
      </c>
      <c r="U810" s="190">
        <f>=J810-P810</f>
        <v>0</v>
      </c>
    </row>
    <row r="811" spans="1:21" ht="15.75" customHeight="true">
      <c r="A811" s="110">
        <v>46122</v>
      </c>
      <c r="B811" s="71">
        <f>=TODAY()-A811+1</f>
        <v>103</v>
      </c>
      <c r="C811" s="71" t="s">
        <v>246</v>
      </c>
      <c r="D811" s="64" t="s">
        <v>116</v>
      </c>
      <c r="E811" s="242" t="s">
        <v>1769</v>
      </c>
      <c r="F811" s="214" t="s">
        <v>818</v>
      </c>
      <c r="G811" t="s">
        <v>804</v>
      </c>
      <c r="H811" t="s">
        <v>429</v>
      </c>
      <c r="I811" s="87" t="s">
        <v>1760</v>
      </c>
      <c r="J811">
        <v>5300</v>
      </c>
      <c r="L811">
        <v>55</v>
      </c>
      <c r="M811" s="112">
        <f>=J811*L811</f>
        <v>291500</v>
      </c>
      <c r="N811">
        <v>2.6</v>
      </c>
      <c r="O811" s="189">
        <f>=ROUND(IF((TODAY()-A811+1)*N811*(L811/10000)+L811&lt;L811*1.002,L811*1.002,(TODAY()-A811+1)*N811*(L811/10000)+L811),2)</f>
        <v>56.49</v>
      </c>
      <c r="P811">
        <v>5300</v>
      </c>
      <c r="Q811" s="71">
        <f>=J811-P811</f>
        <v>0</v>
      </c>
      <c r="R811">
        <v>5300</v>
      </c>
      <c r="S811" s="112">
        <f>=P811-R811</f>
        <v>0</v>
      </c>
      <c r="T811" s="71">
        <f>=S811*L811</f>
        <v>0</v>
      </c>
      <c r="U811" s="190">
        <f>=J811-P811</f>
        <v>0</v>
      </c>
    </row>
    <row r="812" spans="1:21" ht="15.75" customHeight="true">
      <c r="A812" s="80">
        <v>46122</v>
      </c>
      <c r="B812" s="71">
        <f>=TODAY()-A812+1</f>
        <v>103</v>
      </c>
      <c r="C812" s="71" t="s">
        <v>246</v>
      </c>
      <c r="D812" s="64" t="s">
        <v>116</v>
      </c>
      <c r="E812" s="242" t="s">
        <v>1770</v>
      </c>
      <c r="F812" s="214" t="s">
        <v>818</v>
      </c>
      <c r="G812" t="s">
        <v>804</v>
      </c>
      <c r="H812" t="s">
        <v>429</v>
      </c>
      <c r="I812" s="87" t="s">
        <v>1760</v>
      </c>
      <c r="J812">
        <v>2400</v>
      </c>
      <c r="L812">
        <v>55</v>
      </c>
      <c r="M812" s="112">
        <f>=J812*L812</f>
        <v>132000</v>
      </c>
      <c r="N812">
        <v>2.6</v>
      </c>
      <c r="O812" s="189">
        <f>=ROUND(IF((TODAY()-A812+1)*N812*(L812/10000)+L812&lt;L812*1.002,L812*1.002,(TODAY()-A812+1)*N812*(L812/10000)+L812),2)</f>
        <v>56.49</v>
      </c>
      <c r="P812">
        <v>2400</v>
      </c>
      <c r="Q812" s="71">
        <f>=J812-P812</f>
        <v>0</v>
      </c>
      <c r="R812">
        <v>2400</v>
      </c>
      <c r="S812" s="112">
        <f>=P812-R812</f>
        <v>0</v>
      </c>
      <c r="T812" s="71">
        <f>=S812*L812</f>
        <v>0</v>
      </c>
      <c r="U812" s="190">
        <f>=J812-P812</f>
        <v>0</v>
      </c>
    </row>
    <row r="813" spans="1:21" ht="15.75" customHeight="true">
      <c r="A813" s="80">
        <v>46122</v>
      </c>
      <c r="B813" s="71">
        <f>=TODAY()-A813+1</f>
        <v>103</v>
      </c>
      <c r="C813" s="71" t="s">
        <v>246</v>
      </c>
      <c r="D813" s="64" t="s">
        <v>116</v>
      </c>
      <c r="E813" s="242" t="s">
        <v>1771</v>
      </c>
      <c r="F813" s="214" t="s">
        <v>818</v>
      </c>
      <c r="G813" s="262" t="s">
        <v>804</v>
      </c>
      <c r="H813" s="262" t="s">
        <v>429</v>
      </c>
      <c r="I813" s="248" t="s">
        <v>821</v>
      </c>
      <c r="J813" s="154">
        <v>2090</v>
      </c>
      <c r="K813" s="154" t="s"/>
      <c r="L813" s="154">
        <v>55</v>
      </c>
      <c r="M813" s="112">
        <f>=J813*L813</f>
        <v>114950</v>
      </c>
      <c r="N813">
        <v>2.6</v>
      </c>
      <c r="O813" s="189">
        <f>=ROUND(IF((TODAY()-A813+1)*N813*(L813/10000)+L813&lt;L813*1.002,L813*1.002,(TODAY()-A813+1)*N813*(L813/10000)+L813),2)</f>
        <v>56.49</v>
      </c>
      <c r="P813" s="154">
        <v>2090</v>
      </c>
      <c r="Q813" s="71">
        <f>=J813-P813</f>
        <v>0</v>
      </c>
      <c r="R813" s="154">
        <v>2090</v>
      </c>
      <c r="S813" s="112">
        <f>=P813-R813</f>
        <v>0</v>
      </c>
      <c r="T813" s="71">
        <f>=S813*L813</f>
        <v>0</v>
      </c>
      <c r="U813" s="190">
        <f>=J813-P813</f>
        <v>0</v>
      </c>
    </row>
    <row r="814" spans="1:21" ht="15.75" customHeight="true">
      <c r="A814" s="80">
        <v>46121</v>
      </c>
      <c r="B814" s="71">
        <f>=TODAY()-A814+1</f>
        <v>104</v>
      </c>
      <c r="C814" s="71" t="s">
        <v>245</v>
      </c>
      <c r="D814" s="64" t="s">
        <v>116</v>
      </c>
      <c r="E814" s="242" t="s">
        <v>1772</v>
      </c>
      <c r="F814" s="214" t="s">
        <v>818</v>
      </c>
      <c r="G814" t="s">
        <v>804</v>
      </c>
      <c r="H814" t="s">
        <v>429</v>
      </c>
      <c r="I814" s="87" t="s">
        <v>824</v>
      </c>
      <c r="J814">
        <v>4199</v>
      </c>
      <c r="L814">
        <v>57</v>
      </c>
      <c r="M814" s="112">
        <f>=J814*L814</f>
        <v>239343</v>
      </c>
      <c r="N814">
        <v>2.6</v>
      </c>
      <c r="O814" s="189">
        <f>=ROUND(IF((TODAY()-A814+1)*N814*(L814/10000)+L814&lt;L814*1.002,L814*1.002,(TODAY()-A814+1)*N814*(L814/10000)+L814),2)</f>
        <v>58.56</v>
      </c>
      <c r="P814">
        <v>4199</v>
      </c>
      <c r="Q814" s="71">
        <f>=J814-P814</f>
        <v>0</v>
      </c>
      <c r="R814">
        <v>4199</v>
      </c>
      <c r="S814" s="112">
        <f>=P814-R814</f>
        <v>0</v>
      </c>
      <c r="T814" s="71">
        <f>=S814*L814</f>
        <v>0</v>
      </c>
      <c r="U814" s="190">
        <f>=J814-P814</f>
        <v>0</v>
      </c>
    </row>
    <row r="815" spans="1:23" ht="15.75" customHeight="true">
      <c r="A815" s="80">
        <v>46121</v>
      </c>
      <c r="B815" s="71">
        <f>=TODAY()-A815+1</f>
        <v>104</v>
      </c>
      <c r="C815" s="98" t="s">
        <v>247</v>
      </c>
      <c r="D815" s="71" t="s">
        <v>135</v>
      </c>
      <c r="E815" s="242" t="s">
        <v>1773</v>
      </c>
      <c r="F815" t="s">
        <v>856</v>
      </c>
      <c r="G815" t="s">
        <v>428</v>
      </c>
      <c r="H815" t="s">
        <v>422</v>
      </c>
      <c r="I815" t="s">
        <v>612</v>
      </c>
      <c r="J815">
        <v>240</v>
      </c>
      <c r="L815">
        <v>750</v>
      </c>
      <c r="M815" s="112">
        <f>=J815*L815</f>
        <v>180000</v>
      </c>
      <c r="N815">
        <v>2.5</v>
      </c>
      <c r="O815" s="189">
        <f>=ROUND(IF((TODAY()-A815+1)*N815*(L815/10000)+L815&lt;L815*1.002,L815*1.002,(TODAY()-A815+1)*N815*(L815/10000)+L815),2)</f>
        <v>769.69</v>
      </c>
      <c r="P815">
        <v>240</v>
      </c>
      <c r="Q815" s="71">
        <f>=J815-P815</f>
        <v>0</v>
      </c>
      <c r="R815">
        <v>240</v>
      </c>
      <c r="S815" s="112">
        <f>=P815-R815</f>
        <v>0</v>
      </c>
      <c r="T815" s="71">
        <f>=S815*L815</f>
        <v>0</v>
      </c>
      <c r="U815" s="190">
        <f>=J815-P815</f>
        <v>0</v>
      </c>
      <c r="V815" s="190" t="s"/>
      <c r="W815" s="190" t="s"/>
    </row>
    <row r="816" spans="1:23" ht="15.75" customHeight="true">
      <c r="A816" s="80">
        <v>46121</v>
      </c>
      <c r="B816" s="71">
        <f>=TODAY()-A816+1</f>
        <v>104</v>
      </c>
      <c r="C816" s="98" t="s">
        <v>247</v>
      </c>
      <c r="D816" s="71" t="s">
        <v>135</v>
      </c>
      <c r="E816" s="242" t="s">
        <v>1774</v>
      </c>
      <c r="F816" t="s">
        <v>856</v>
      </c>
      <c r="G816" t="s">
        <v>428</v>
      </c>
      <c r="H816" t="s">
        <v>422</v>
      </c>
      <c r="I816" s="87" t="s">
        <v>886</v>
      </c>
      <c r="J816">
        <v>160</v>
      </c>
      <c r="L816">
        <v>750</v>
      </c>
      <c r="M816" s="112">
        <f>=J816*L816</f>
        <v>120000</v>
      </c>
      <c r="N816">
        <v>2.5</v>
      </c>
      <c r="O816" s="189">
        <f>=ROUND(IF((TODAY()-A816+1)*N816*(L816/10000)+L816&lt;L816*1.002,L816*1.002,(TODAY()-A816+1)*N816*(L816/10000)+L816),2)</f>
        <v>769.69</v>
      </c>
      <c r="P816">
        <v>160</v>
      </c>
      <c r="Q816" s="71">
        <f>=J816-P816</f>
        <v>0</v>
      </c>
      <c r="R816">
        <v>160</v>
      </c>
      <c r="S816" s="112">
        <f>=P816-R816</f>
        <v>0</v>
      </c>
      <c r="T816" s="71">
        <f>=S816*L816</f>
        <v>0</v>
      </c>
      <c r="U816" s="190">
        <f>=J816-P816</f>
        <v>0</v>
      </c>
      <c r="V816" s="190" t="s"/>
      <c r="W816" s="190" t="s"/>
    </row>
    <row r="817" spans="1:23" ht="15.75" customHeight="true">
      <c r="A817" s="80">
        <v>46121</v>
      </c>
      <c r="B817" s="71">
        <f>=TODAY()-A817+1</f>
        <v>104</v>
      </c>
      <c r="C817" s="98" t="s">
        <v>247</v>
      </c>
      <c r="D817" s="71" t="s">
        <v>135</v>
      </c>
      <c r="E817" s="242" t="s">
        <v>1775</v>
      </c>
      <c r="F817" t="s">
        <v>856</v>
      </c>
      <c r="G817" t="s">
        <v>428</v>
      </c>
      <c r="H817" t="s">
        <v>422</v>
      </c>
      <c r="I817" s="87" t="s">
        <v>884</v>
      </c>
      <c r="J817">
        <v>400</v>
      </c>
      <c r="L817">
        <v>750</v>
      </c>
      <c r="M817" s="112">
        <f>=J817*L817</f>
        <v>300000</v>
      </c>
      <c r="N817">
        <v>2.5</v>
      </c>
      <c r="O817" s="189">
        <f>=ROUND(IF((TODAY()-A817+1)*N817*(L817/10000)+L817&lt;L817*1.002,L817*1.002,(TODAY()-A817+1)*N817*(L817/10000)+L817),2)</f>
        <v>769.69</v>
      </c>
      <c r="P817">
        <v>400</v>
      </c>
      <c r="Q817" s="71">
        <f>=J817-P817</f>
        <v>0</v>
      </c>
      <c r="R817">
        <v>400</v>
      </c>
      <c r="S817" s="112">
        <f>=P817-R817</f>
        <v>0</v>
      </c>
      <c r="T817" s="71">
        <f>=S817*L817</f>
        <v>0</v>
      </c>
      <c r="U817" s="190">
        <f>=J817-P817</f>
        <v>0</v>
      </c>
      <c r="V817" s="190" t="s"/>
      <c r="W817" s="190" t="s"/>
    </row>
    <row r="818" spans="1:23" ht="15.75" customHeight="true">
      <c r="A818" s="80">
        <v>46121</v>
      </c>
      <c r="B818" s="71">
        <f>=TODAY()-A818+1</f>
        <v>104</v>
      </c>
      <c r="C818" s="98" t="s">
        <v>247</v>
      </c>
      <c r="D818" s="71" t="s">
        <v>135</v>
      </c>
      <c r="E818" s="242" t="s">
        <v>1776</v>
      </c>
      <c r="F818" t="s">
        <v>856</v>
      </c>
      <c r="G818" t="s">
        <v>428</v>
      </c>
      <c r="H818" t="s">
        <v>422</v>
      </c>
      <c r="I818" s="248" t="s">
        <v>1777</v>
      </c>
      <c r="J818">
        <v>80</v>
      </c>
      <c r="L818">
        <v>810</v>
      </c>
      <c r="M818" s="112">
        <f>=J818*L818</f>
        <v>64800</v>
      </c>
      <c r="N818">
        <v>2.5</v>
      </c>
      <c r="O818" s="189">
        <f>=ROUND(IF((TODAY()-A818+1)*N818*(L818/10000)+L818&lt;L818*1.002,L818*1.002,(TODAY()-A818+1)*N818*(L818/10000)+L818),2)</f>
        <v>831.26</v>
      </c>
      <c r="P818">
        <v>80</v>
      </c>
      <c r="Q818" s="71">
        <f>=J818-P818</f>
        <v>0</v>
      </c>
      <c r="R818">
        <v>80</v>
      </c>
      <c r="S818" s="112">
        <f>=P818-R818</f>
        <v>0</v>
      </c>
      <c r="T818" s="71">
        <f>=S818*L818</f>
        <v>0</v>
      </c>
      <c r="U818" s="190">
        <f>=J818-P818</f>
        <v>0</v>
      </c>
      <c r="V818" s="190" t="s"/>
      <c r="W818" s="190" t="s"/>
    </row>
    <row r="819" spans="1:23" ht="15.75" customHeight="true">
      <c r="A819" s="80">
        <v>46121</v>
      </c>
      <c r="B819" s="71">
        <f>=TODAY()-A819+1</f>
        <v>104</v>
      </c>
      <c r="C819" s="98" t="s">
        <v>247</v>
      </c>
      <c r="D819" s="71" t="s">
        <v>135</v>
      </c>
      <c r="E819" s="242" t="s">
        <v>1778</v>
      </c>
      <c r="F819" t="s">
        <v>856</v>
      </c>
      <c r="G819" t="s">
        <v>428</v>
      </c>
      <c r="H819" t="s">
        <v>422</v>
      </c>
      <c r="I819" s="248" t="s">
        <v>1779</v>
      </c>
      <c r="J819">
        <v>160</v>
      </c>
      <c r="L819">
        <v>810</v>
      </c>
      <c r="M819" s="112">
        <f>=J819*L819</f>
        <v>129600</v>
      </c>
      <c r="N819">
        <v>2.5</v>
      </c>
      <c r="O819" s="189">
        <f>=ROUND(IF((TODAY()-A819+1)*N819*(L819/10000)+L819&lt;L819*1.002,L819*1.002,(TODAY()-A819+1)*N819*(L819/10000)+L819),2)</f>
        <v>831.26</v>
      </c>
      <c r="P819">
        <v>160</v>
      </c>
      <c r="Q819" s="71">
        <f>=J819-P819</f>
        <v>0</v>
      </c>
      <c r="R819">
        <v>160</v>
      </c>
      <c r="S819" s="112">
        <f>=P819-R819</f>
        <v>0</v>
      </c>
      <c r="T819" s="71">
        <f>=S819*L819</f>
        <v>0</v>
      </c>
      <c r="U819" s="190">
        <f>=J819-P819</f>
        <v>0</v>
      </c>
      <c r="V819" s="190" t="s"/>
      <c r="W819" s="190" t="s"/>
    </row>
    <row r="820" spans="1:23" ht="15.75" customHeight="true">
      <c r="A820" s="80">
        <v>46121</v>
      </c>
      <c r="B820" s="71">
        <f>=TODAY()-A820+1</f>
        <v>104</v>
      </c>
      <c r="C820" s="98" t="s">
        <v>247</v>
      </c>
      <c r="D820" s="71" t="s">
        <v>135</v>
      </c>
      <c r="E820" s="242" t="s">
        <v>1780</v>
      </c>
      <c r="F820" t="s">
        <v>856</v>
      </c>
      <c r="G820" t="s">
        <v>428</v>
      </c>
      <c r="H820" t="s">
        <v>422</v>
      </c>
      <c r="I820" s="248" t="s">
        <v>1781</v>
      </c>
      <c r="J820">
        <v>60</v>
      </c>
      <c r="L820">
        <v>810</v>
      </c>
      <c r="M820" s="112">
        <f>=J820*L820</f>
        <v>48600</v>
      </c>
      <c r="N820">
        <v>2.5</v>
      </c>
      <c r="O820" s="189">
        <f>=ROUND(IF((TODAY()-A820+1)*N820*(L820/10000)+L820&lt;L820*1.002,L820*1.002,(TODAY()-A820+1)*N820*(L820/10000)+L820),2)</f>
        <v>831.26</v>
      </c>
      <c r="P820">
        <v>60</v>
      </c>
      <c r="Q820" s="71">
        <f>=J820-P820</f>
        <v>0</v>
      </c>
      <c r="R820">
        <v>60</v>
      </c>
      <c r="S820" s="112">
        <f>=P820-R820</f>
        <v>0</v>
      </c>
      <c r="T820" s="71">
        <f>=S820*L820</f>
        <v>0</v>
      </c>
      <c r="U820" s="190">
        <f>=J820-P820</f>
        <v>0</v>
      </c>
      <c r="V820" s="190" t="s"/>
      <c r="W820" s="190" t="s"/>
    </row>
    <row r="821" spans="1:21" s="258" customFormat="true" ht="15.75" customHeight="true">
      <c r="A821" s="80">
        <v>46126</v>
      </c>
      <c r="B821" s="71">
        <f>=TODAY()-A821+1</f>
        <v>99</v>
      </c>
      <c r="C821" s="80" t="s">
        <v>253</v>
      </c>
      <c r="D821" s="141" t="s">
        <v>252</v>
      </c>
      <c r="E821" s="316" t="s">
        <v>1782</v>
      </c>
      <c r="F821" s="316" t="s">
        <v>1783</v>
      </c>
      <c r="G821" s="87" t="s">
        <v>428</v>
      </c>
      <c r="H821" s="87" t="s">
        <v>429</v>
      </c>
      <c r="I821" s="87" t="s">
        <v>596</v>
      </c>
      <c r="J821" s="87">
        <v>130</v>
      </c>
      <c r="L821" s="87">
        <v>550</v>
      </c>
      <c r="M821" s="197">
        <f>=J821*L821</f>
        <v>71500</v>
      </c>
      <c r="N821" s="87">
        <v>3</v>
      </c>
      <c r="O821" s="189">
        <f>=ROUND(IF((TODAY()-A821+1)*N821*(L821/10000)+L821&lt;L821*1.002,L821*1.002,(TODAY()-A821+1)*N821*(L821/10000)+L821),2)</f>
        <v>566.5</v>
      </c>
      <c r="P821" s="87">
        <v>130</v>
      </c>
      <c r="Q821" s="64">
        <f>=J821-P821</f>
        <v>0</v>
      </c>
      <c r="R821" s="258">
        <v>130</v>
      </c>
      <c r="S821" s="197">
        <f>=P821-R821</f>
        <v>0</v>
      </c>
      <c r="T821" s="71">
        <f>=S821*L821</f>
        <v>0</v>
      </c>
      <c r="U821" s="190">
        <f>=J821-P821</f>
        <v>0</v>
      </c>
    </row>
    <row r="822" spans="1:21" ht="15.75" customHeight="true">
      <c r="A822" s="80">
        <v>46122</v>
      </c>
      <c r="B822" s="71">
        <f>=TODAY()-A822+1</f>
        <v>103</v>
      </c>
      <c r="C822" s="71" t="s">
        <v>246</v>
      </c>
      <c r="D822" s="64" t="s">
        <v>116</v>
      </c>
      <c r="E822" s="242" t="s">
        <v>1784</v>
      </c>
      <c r="F822" s="214" t="s">
        <v>818</v>
      </c>
      <c r="G822" s="262" t="s">
        <v>804</v>
      </c>
      <c r="H822" s="262" t="s">
        <v>429</v>
      </c>
      <c r="I822" s="64" t="s">
        <v>1785</v>
      </c>
      <c r="J822" s="62">
        <v>3866</v>
      </c>
      <c r="L822">
        <v>159</v>
      </c>
      <c r="M822" s="112">
        <f>=J822*L822</f>
        <v>614694</v>
      </c>
      <c r="N822">
        <v>2.6</v>
      </c>
      <c r="O822" s="189">
        <f>=ROUND(IF((TODAY()-A822+1)*N822*(L822/10000)+L822&lt;L822*1.002,L822*1.002,(TODAY()-A822+1)*N822*(L822/10000)+L822),2)</f>
        <v>163.3</v>
      </c>
      <c r="P822" s="62">
        <v>3866</v>
      </c>
      <c r="Q822" s="71">
        <f>=J822-P822</f>
        <v>0</v>
      </c>
      <c r="R822">
        <v>3866</v>
      </c>
      <c r="S822" s="112">
        <f>=P822-R822</f>
        <v>0</v>
      </c>
      <c r="T822" s="71">
        <f>=S822*L822</f>
        <v>0</v>
      </c>
      <c r="U822" s="190">
        <f>=J822-P822</f>
        <v>0</v>
      </c>
    </row>
    <row r="823" spans="1:21" ht="15.75" customHeight="true">
      <c r="A823" s="80">
        <v>46122</v>
      </c>
      <c r="B823" s="71">
        <f>=TODAY()-A823+1</f>
        <v>103</v>
      </c>
      <c r="C823" s="71" t="s">
        <v>246</v>
      </c>
      <c r="D823" s="64" t="s">
        <v>116</v>
      </c>
      <c r="E823" s="242" t="s">
        <v>1786</v>
      </c>
      <c r="F823" s="242" t="s">
        <v>818</v>
      </c>
      <c r="G823" s="262" t="s">
        <v>804</v>
      </c>
      <c r="H823" s="262" t="s">
        <v>429</v>
      </c>
      <c r="I823" s="64" t="s">
        <v>821</v>
      </c>
      <c r="J823" s="327">
        <v>750</v>
      </c>
      <c r="K823" s="154" t="s"/>
      <c r="L823" s="154">
        <v>55</v>
      </c>
      <c r="M823" s="112">
        <f>=J823*L823</f>
        <v>41250</v>
      </c>
      <c r="N823">
        <v>2.6</v>
      </c>
      <c r="O823" s="189">
        <f>=ROUND(IF((TODAY()-A823+1)*N823*(L823/10000)+L823&lt;L823*1.002,L823*1.002,(TODAY()-A823+1)*N823*(L823/10000)+L823),2)</f>
        <v>56.49</v>
      </c>
      <c r="P823" s="327">
        <v>750</v>
      </c>
      <c r="Q823" s="71">
        <f>=J823-P823</f>
        <v>0</v>
      </c>
      <c r="R823" s="327">
        <v>750</v>
      </c>
      <c r="S823" s="112">
        <f>=P823-R823</f>
        <v>0</v>
      </c>
      <c r="T823" s="71">
        <f>=S823*L823</f>
        <v>0</v>
      </c>
      <c r="U823" s="190">
        <f>=J823-P823</f>
        <v>0</v>
      </c>
    </row>
    <row r="824" spans="1:21" ht="15.75" customHeight="true">
      <c r="A824" s="80">
        <v>46122</v>
      </c>
      <c r="B824" s="71">
        <f>=TODAY()-A824+1</f>
        <v>103</v>
      </c>
      <c r="C824" s="71" t="s">
        <v>246</v>
      </c>
      <c r="D824" s="64" t="s">
        <v>116</v>
      </c>
      <c r="E824" s="242" t="s">
        <v>1787</v>
      </c>
      <c r="F824" s="242" t="s">
        <v>818</v>
      </c>
      <c r="G824" s="262" t="s">
        <v>804</v>
      </c>
      <c r="H824" s="262" t="s">
        <v>429</v>
      </c>
      <c r="I824" s="64" t="s">
        <v>824</v>
      </c>
      <c r="J824" s="328">
        <v>264</v>
      </c>
      <c r="K824" s="154" t="s"/>
      <c r="L824" s="154">
        <v>115</v>
      </c>
      <c r="M824" s="112">
        <f>=J824*L824</f>
        <v>30360</v>
      </c>
      <c r="N824">
        <v>2.6</v>
      </c>
      <c r="O824" s="189">
        <f>=ROUND(IF((TODAY()-A824+1)*N824*(L824/10000)+L824&lt;L824*1.002,L824*1.002,(TODAY()-A824+1)*N824*(L824/10000)+L824),2)</f>
        <v>118.11</v>
      </c>
      <c r="P824" s="328">
        <v>264</v>
      </c>
      <c r="Q824" s="71">
        <f>=J824-P824</f>
        <v>0</v>
      </c>
      <c r="R824">
        <v>264</v>
      </c>
      <c r="S824" s="112">
        <f>=P824-R824</f>
        <v>0</v>
      </c>
      <c r="T824" s="71">
        <f>=S824*L824</f>
        <v>0</v>
      </c>
      <c r="U824" s="190">
        <f>=J824-P824</f>
        <v>0</v>
      </c>
    </row>
    <row r="825" spans="1:21" ht="15.75" customHeight="true">
      <c r="A825" s="80">
        <v>46122</v>
      </c>
      <c r="B825" s="71">
        <f>=TODAY()-A825+1</f>
        <v>103</v>
      </c>
      <c r="C825" s="71" t="s">
        <v>246</v>
      </c>
      <c r="D825" s="64" t="s">
        <v>116</v>
      </c>
      <c r="E825" s="242" t="s">
        <v>1788</v>
      </c>
      <c r="F825" s="242" t="s">
        <v>818</v>
      </c>
      <c r="G825" s="262" t="s">
        <v>804</v>
      </c>
      <c r="H825" s="262" t="s">
        <v>429</v>
      </c>
      <c r="I825" s="64" t="s">
        <v>822</v>
      </c>
      <c r="J825" s="154">
        <v>1208</v>
      </c>
      <c r="K825" s="154" t="s"/>
      <c r="L825" s="154">
        <v>57</v>
      </c>
      <c r="M825" s="112">
        <f>=J825*L825</f>
        <v>68856</v>
      </c>
      <c r="N825">
        <v>2.6</v>
      </c>
      <c r="O825" s="189">
        <f>=ROUND(IF((TODAY()-A825+1)*N825*(L825/10000)+L825&lt;L825*1.002,L825*1.002,(TODAY()-A825+1)*N825*(L825/10000)+L825),2)</f>
        <v>58.54</v>
      </c>
      <c r="P825" s="154">
        <v>1208</v>
      </c>
      <c r="Q825" s="71">
        <f>=J825-P825</f>
        <v>0</v>
      </c>
      <c r="R825" s="154">
        <v>1208</v>
      </c>
      <c r="S825" s="112">
        <f>=P825-R825</f>
        <v>0</v>
      </c>
      <c r="T825" s="71">
        <f>=S825*L825</f>
        <v>0</v>
      </c>
      <c r="U825" s="190">
        <f>=J825-P825</f>
        <v>0</v>
      </c>
    </row>
    <row r="826" spans="1:21" ht="15.75" customHeight="true">
      <c r="A826" s="80">
        <v>46123</v>
      </c>
      <c r="B826" s="71">
        <f>=TODAY()-A826+1</f>
        <v>102</v>
      </c>
      <c r="C826" s="71" t="s">
        <v>248</v>
      </c>
      <c r="D826" t="s">
        <v>130</v>
      </c>
      <c r="E826" s="242" t="s">
        <v>1789</v>
      </c>
      <c r="F826" s="242" t="s">
        <v>854</v>
      </c>
      <c r="G826" s="329" t="s">
        <v>428</v>
      </c>
      <c r="H826" s="329" t="s">
        <v>470</v>
      </c>
      <c r="I826" s="329" t="s">
        <v>1790</v>
      </c>
      <c r="J826" s="62">
        <v>30</v>
      </c>
      <c r="K826" s="62" t="s"/>
      <c r="L826" s="62">
        <v>4760</v>
      </c>
      <c r="M826" s="112">
        <f>=J826*L826</f>
        <v>142800</v>
      </c>
      <c r="N826">
        <v>3</v>
      </c>
      <c r="O826" s="189">
        <f>=ROUND(IF((TODAY()-A826+1)*N826*(L826/10000)+L826&lt;L826*1.002,L826*1.002,(TODAY()-A826+1)*N826*(L826/10000)+L826),2)</f>
        <v>4907.08</v>
      </c>
      <c r="P826" s="62">
        <v>30</v>
      </c>
      <c r="Q826" s="71">
        <f>=J826-P826</f>
        <v>0</v>
      </c>
      <c r="R826" s="62">
        <v>30</v>
      </c>
      <c r="S826" s="112">
        <f>=P826-R826</f>
        <v>0</v>
      </c>
      <c r="T826" s="71">
        <f>=S826*L826</f>
        <v>0</v>
      </c>
      <c r="U826" s="190">
        <f>=J826-P826</f>
        <v>0</v>
      </c>
    </row>
    <row r="827" spans="1:21" ht="15.75" customHeight="true">
      <c r="A827" s="80">
        <v>46123</v>
      </c>
      <c r="B827" s="71">
        <f>=TODAY()-A827+1</f>
        <v>102</v>
      </c>
      <c r="C827" s="71" t="s">
        <v>248</v>
      </c>
      <c r="D827" t="s">
        <v>130</v>
      </c>
      <c r="E827" s="242" t="s">
        <v>1791</v>
      </c>
      <c r="F827" s="242" t="s">
        <v>854</v>
      </c>
      <c r="G827" s="329" t="s">
        <v>428</v>
      </c>
      <c r="H827" s="329" t="s">
        <v>470</v>
      </c>
      <c r="I827" s="213" t="s">
        <v>1311</v>
      </c>
      <c r="J827" s="62">
        <v>40</v>
      </c>
      <c r="K827" s="62" t="s"/>
      <c r="L827" s="62">
        <v>4760</v>
      </c>
      <c r="M827" s="112">
        <f>=J827*L827</f>
        <v>190400</v>
      </c>
      <c r="N827">
        <v>3</v>
      </c>
      <c r="O827" s="189">
        <f>=ROUND(IF((TODAY()-A827+1)*N827*(L827/10000)+L827&lt;L827*1.002,L827*1.002,(TODAY()-A827+1)*N827*(L827/10000)+L827),2)</f>
        <v>4907.08</v>
      </c>
      <c r="P827" s="62">
        <v>40</v>
      </c>
      <c r="Q827" s="71">
        <f>=J827-P827</f>
        <v>0</v>
      </c>
      <c r="R827" s="62">
        <v>40</v>
      </c>
      <c r="S827" s="112">
        <f>=P827-R827</f>
        <v>0</v>
      </c>
      <c r="T827" s="71">
        <f>=S827*L827</f>
        <v>0</v>
      </c>
      <c r="U827" s="190">
        <f>=J827-P827</f>
        <v>0</v>
      </c>
    </row>
    <row r="828" spans="1:21" ht="15.75" customHeight="true">
      <c r="A828" s="80">
        <v>46123</v>
      </c>
      <c r="B828" s="71">
        <f>=TODAY()-A828+1</f>
        <v>102</v>
      </c>
      <c r="C828" s="71" t="s">
        <v>248</v>
      </c>
      <c r="D828" t="s">
        <v>130</v>
      </c>
      <c r="E828" s="242" t="s">
        <v>1792</v>
      </c>
      <c r="F828" s="242" t="s">
        <v>854</v>
      </c>
      <c r="G828" s="330" t="s">
        <v>428</v>
      </c>
      <c r="H828" s="330" t="s">
        <v>470</v>
      </c>
      <c r="I828" s="160" t="s">
        <v>1793</v>
      </c>
      <c r="J828" s="62">
        <v>100</v>
      </c>
      <c r="K828" s="62" t="s"/>
      <c r="L828" s="62">
        <v>3710</v>
      </c>
      <c r="M828" s="112">
        <f>=J828*L828</f>
        <v>371000</v>
      </c>
      <c r="N828">
        <v>3</v>
      </c>
      <c r="O828" s="189">
        <f>=ROUND(IF((TODAY()-A828+1)*N828*(L828/10000)+L828&lt;L828*1.002,L828*1.002,(TODAY()-A828+1)*N828*(L828/10000)+L828),2)</f>
        <v>3824.64</v>
      </c>
      <c r="P828" s="62">
        <v>100</v>
      </c>
      <c r="Q828" s="71">
        <f>=J828-P828</f>
        <v>0</v>
      </c>
      <c r="R828">
        <v>100</v>
      </c>
      <c r="S828" s="112">
        <f>=P828-R828</f>
        <v>0</v>
      </c>
      <c r="T828" s="71">
        <f>=S828*L828</f>
        <v>0</v>
      </c>
      <c r="U828" s="190">
        <f>=J828-P828</f>
        <v>0</v>
      </c>
    </row>
    <row r="829" spans="1:21" ht="15.75" customHeight="true">
      <c r="A829" s="80">
        <v>46125</v>
      </c>
      <c r="B829" s="71">
        <f>=TODAY()-A829+1</f>
        <v>100</v>
      </c>
      <c r="C829" s="98" t="s">
        <v>249</v>
      </c>
      <c r="D829" s="71" t="s">
        <v>191</v>
      </c>
      <c r="E829" s="242" t="s">
        <v>1794</v>
      </c>
      <c r="F829" t="s">
        <v>1076</v>
      </c>
      <c r="G829" t="s">
        <v>741</v>
      </c>
      <c r="H829" t="s">
        <v>422</v>
      </c>
      <c r="I829" t="s">
        <v>1176</v>
      </c>
      <c r="J829">
        <v>65</v>
      </c>
      <c r="L829">
        <v>1050</v>
      </c>
      <c r="M829" s="112">
        <f>=J829*L829</f>
        <v>68250</v>
      </c>
      <c r="N829">
        <v>2.5</v>
      </c>
      <c r="O829" s="189">
        <f>=ROUND(IF((TODAY()-A829+1)*N829*(L829/10000)+L829&lt;L829*1.002,L829*1.002,(TODAY()-A829+1)*N829*(L829/10000)+L829),2)</f>
        <v>1076.51</v>
      </c>
      <c r="P829">
        <v>65</v>
      </c>
      <c r="Q829" s="71">
        <f>=J829-P829</f>
        <v>0</v>
      </c>
      <c r="S829" s="112">
        <f>=P829-R829</f>
        <v>65</v>
      </c>
      <c r="T829" s="71">
        <f>=S829*L829</f>
        <v>68250</v>
      </c>
      <c r="U829" s="190">
        <f>=J829-P829</f>
        <v>0</v>
      </c>
    </row>
    <row r="830" spans="1:21" ht="15.75" customHeight="true">
      <c r="A830" s="80">
        <v>46125</v>
      </c>
      <c r="B830" s="71">
        <f>=TODAY()-A830+1</f>
        <v>100</v>
      </c>
      <c r="C830" s="98" t="s">
        <v>249</v>
      </c>
      <c r="D830" s="71" t="s">
        <v>191</v>
      </c>
      <c r="E830" s="242" t="s">
        <v>1795</v>
      </c>
      <c r="F830" t="s">
        <v>1076</v>
      </c>
      <c r="G830" t="s">
        <v>741</v>
      </c>
      <c r="H830" t="s">
        <v>422</v>
      </c>
      <c r="I830" t="s">
        <v>1652</v>
      </c>
      <c r="J830">
        <v>36</v>
      </c>
      <c r="L830">
        <v>1050</v>
      </c>
      <c r="M830" s="112">
        <f>=J830*L830</f>
        <v>37800</v>
      </c>
      <c r="N830">
        <v>2.5</v>
      </c>
      <c r="O830" s="189">
        <f>=ROUND(IF((TODAY()-A830+1)*N830*(L830/10000)+L830&lt;L830*1.002,L830*1.002,(TODAY()-A830+1)*N830*(L830/10000)+L830),2)</f>
        <v>1076.51</v>
      </c>
      <c r="P830">
        <v>36</v>
      </c>
      <c r="Q830" s="71">
        <f>=J830-P830</f>
        <v>0</v>
      </c>
      <c r="S830" s="112">
        <f>=P830-R830</f>
        <v>36</v>
      </c>
      <c r="T830" s="71">
        <f>=S830*L830</f>
        <v>37800</v>
      </c>
      <c r="U830" s="190">
        <f>=J830-P830</f>
        <v>0</v>
      </c>
    </row>
    <row r="831" spans="1:21" ht="15.75" customHeight="true">
      <c r="A831" s="80">
        <v>46125</v>
      </c>
      <c r="B831" s="71">
        <f>=TODAY()-A831+1</f>
        <v>100</v>
      </c>
      <c r="C831" s="98" t="s">
        <v>249</v>
      </c>
      <c r="D831" s="71" t="s">
        <v>191</v>
      </c>
      <c r="E831" s="242" t="s">
        <v>1796</v>
      </c>
      <c r="F831" t="s">
        <v>1076</v>
      </c>
      <c r="G831" t="s">
        <v>741</v>
      </c>
      <c r="H831" t="s">
        <v>422</v>
      </c>
      <c r="I831" t="s">
        <v>1278</v>
      </c>
      <c r="J831">
        <v>49</v>
      </c>
      <c r="K831" s="154" t="s"/>
      <c r="L831">
        <v>1050</v>
      </c>
      <c r="M831" s="112">
        <f>=J831*L831</f>
        <v>51450</v>
      </c>
      <c r="N831">
        <v>2.5</v>
      </c>
      <c r="O831" s="189">
        <f>=ROUND(IF((TODAY()-A831+1)*N831*(L831/10000)+L831&lt;L831*1.002,L831*1.002,(TODAY()-A831+1)*N831*(L831/10000)+L831),2)</f>
        <v>1076.51</v>
      </c>
      <c r="P831">
        <v>49</v>
      </c>
      <c r="Q831" s="71">
        <f>=J831-P831</f>
        <v>0</v>
      </c>
      <c r="S831" s="112">
        <f>=P831-R831</f>
        <v>49</v>
      </c>
      <c r="T831" s="71">
        <f>=S831*L831</f>
        <v>51450</v>
      </c>
      <c r="U831" s="190">
        <f>=J831-P831</f>
        <v>0</v>
      </c>
    </row>
    <row r="832" spans="1:21" ht="15.75" customHeight="true">
      <c r="A832" s="80">
        <v>46125</v>
      </c>
      <c r="B832" s="71">
        <f>=TODAY()-A832+1</f>
        <v>100</v>
      </c>
      <c r="C832" s="98" t="s">
        <v>249</v>
      </c>
      <c r="D832" s="71" t="s">
        <v>191</v>
      </c>
      <c r="E832" s="242" t="s">
        <v>1797</v>
      </c>
      <c r="F832" t="s">
        <v>1076</v>
      </c>
      <c r="G832" t="s">
        <v>741</v>
      </c>
      <c r="H832" t="s">
        <v>422</v>
      </c>
      <c r="I832" t="s">
        <v>1082</v>
      </c>
      <c r="J832">
        <v>70</v>
      </c>
      <c r="K832" s="154" t="s"/>
      <c r="L832">
        <v>1050</v>
      </c>
      <c r="M832" s="112">
        <f>=J832*L832</f>
        <v>73500</v>
      </c>
      <c r="N832">
        <v>2.5</v>
      </c>
      <c r="O832" s="189">
        <f>=ROUND(IF((TODAY()-A832+1)*N832*(L832/10000)+L832&lt;L832*1.002,L832*1.002,(TODAY()-A832+1)*N832*(L832/10000)+L832),2)</f>
        <v>1076.51</v>
      </c>
      <c r="P832">
        <v>70</v>
      </c>
      <c r="Q832" s="71">
        <f>=J832-P832</f>
        <v>0</v>
      </c>
      <c r="S832" s="112">
        <f>=P832-R832</f>
        <v>70</v>
      </c>
      <c r="T832" s="71">
        <f>=S832*L832</f>
        <v>73500</v>
      </c>
      <c r="U832" s="190">
        <f>=J832-P832</f>
        <v>0</v>
      </c>
    </row>
    <row r="833" spans="1:21" ht="15.75" customHeight="true">
      <c r="A833" s="80">
        <v>46125</v>
      </c>
      <c r="B833" s="71">
        <f>=TODAY()-A833+1</f>
        <v>100</v>
      </c>
      <c r="C833" s="98" t="s">
        <v>249</v>
      </c>
      <c r="D833" s="71" t="s">
        <v>191</v>
      </c>
      <c r="E833" s="242" t="s">
        <v>1798</v>
      </c>
      <c r="F833" t="s">
        <v>1076</v>
      </c>
      <c r="G833" t="s">
        <v>804</v>
      </c>
      <c r="H833" t="s">
        <v>422</v>
      </c>
      <c r="I833" t="s">
        <v>1799</v>
      </c>
      <c r="J833" s="154">
        <v>100</v>
      </c>
      <c r="K833" s="154" t="s"/>
      <c r="L833" s="154">
        <v>1500</v>
      </c>
      <c r="M833" s="112">
        <f>=J833*L833</f>
        <v>150000</v>
      </c>
      <c r="N833">
        <v>2.5</v>
      </c>
      <c r="O833" s="189">
        <f>=ROUND(IF((TODAY()-A833+1)*N833*(L833/10000)+L833&lt;L833*1.002,L833*1.002,(TODAY()-A833+1)*N833*(L833/10000)+L833),2)</f>
        <v>1537.88</v>
      </c>
      <c r="P833" s="154">
        <v>100</v>
      </c>
      <c r="Q833" s="71">
        <f>=J833-P833</f>
        <v>0</v>
      </c>
      <c r="R833" s="154">
        <v>100</v>
      </c>
      <c r="S833" s="112">
        <f>=P833-R833</f>
        <v>0</v>
      </c>
      <c r="T833" s="71">
        <f>=S833*L833</f>
        <v>0</v>
      </c>
      <c r="U833" s="190">
        <f>=J833-P833</f>
        <v>0</v>
      </c>
    </row>
    <row r="834" spans="1:21" ht="15.75" customHeight="true">
      <c r="A834" s="80">
        <v>46125</v>
      </c>
      <c r="B834" s="71">
        <f>=TODAY()-A834+1</f>
        <v>100</v>
      </c>
      <c r="C834" s="98" t="s">
        <v>249</v>
      </c>
      <c r="D834" s="71" t="s">
        <v>191</v>
      </c>
      <c r="E834" s="242" t="s">
        <v>1800</v>
      </c>
      <c r="F834" t="s">
        <v>1076</v>
      </c>
      <c r="G834" t="s">
        <v>804</v>
      </c>
      <c r="H834" t="s">
        <v>422</v>
      </c>
      <c r="I834" t="s">
        <v>1801</v>
      </c>
      <c r="J834" s="154">
        <v>100</v>
      </c>
      <c r="K834" s="154" t="s"/>
      <c r="L834" s="154">
        <v>1500</v>
      </c>
      <c r="M834" s="112">
        <f>=J834*L834</f>
        <v>150000</v>
      </c>
      <c r="N834">
        <v>2.5</v>
      </c>
      <c r="O834" s="189">
        <f>=ROUND(IF((TODAY()-A834+1)*N834*(L834/10000)+L834&lt;L834*1.002,L834*1.002,(TODAY()-A834+1)*N834*(L834/10000)+L834),2)</f>
        <v>1537.88</v>
      </c>
      <c r="P834" s="154">
        <v>100</v>
      </c>
      <c r="Q834" s="71">
        <f>=J834-P834</f>
        <v>0</v>
      </c>
      <c r="R834">
        <v>100</v>
      </c>
      <c r="S834" s="112">
        <f>=P834-R834</f>
        <v>0</v>
      </c>
      <c r="T834" s="71">
        <f>=S834*L834</f>
        <v>0</v>
      </c>
      <c r="U834" s="190">
        <f>=J834-P834</f>
        <v>0</v>
      </c>
    </row>
    <row r="835" spans="1:21" ht="15.75" customHeight="true">
      <c r="A835" s="80">
        <v>46126</v>
      </c>
      <c r="B835" s="71">
        <f>=TODAY()-A835+1</f>
        <v>99</v>
      </c>
      <c r="C835" s="98" t="s">
        <v>254</v>
      </c>
      <c r="D835" s="71" t="s">
        <v>191</v>
      </c>
      <c r="E835" s="242" t="s">
        <v>1802</v>
      </c>
      <c r="F835" t="s">
        <v>1076</v>
      </c>
      <c r="G835" t="s">
        <v>741</v>
      </c>
      <c r="H835" t="s">
        <v>422</v>
      </c>
      <c r="I835" t="s">
        <v>1176</v>
      </c>
      <c r="J835" s="154">
        <v>37</v>
      </c>
      <c r="K835" s="154" t="s"/>
      <c r="L835" s="154">
        <v>1050</v>
      </c>
      <c r="M835" s="112">
        <f>=J835*L835</f>
        <v>38850</v>
      </c>
      <c r="N835">
        <v>2.5</v>
      </c>
      <c r="O835" s="189">
        <f>=ROUND(IF((TODAY()-A835+1)*N835*(L835/10000)+L835&lt;L835*1.002,L835*1.002,(TODAY()-A835+1)*N835*(L835/10000)+L835),2)</f>
        <v>1076.25</v>
      </c>
      <c r="P835" s="154">
        <v>37</v>
      </c>
      <c r="Q835" s="71">
        <f>=J835-P835</f>
        <v>0</v>
      </c>
      <c r="S835" s="112">
        <f>=P835-R835</f>
        <v>37</v>
      </c>
      <c r="T835" s="71">
        <f>=S835*L835</f>
        <v>38850</v>
      </c>
      <c r="U835" s="190">
        <f>=J835-P835</f>
        <v>0</v>
      </c>
    </row>
    <row r="836" spans="1:21" ht="15.75" customHeight="true">
      <c r="A836" s="80">
        <v>46126</v>
      </c>
      <c r="B836" s="71">
        <f>=TODAY()-A836+1</f>
        <v>99</v>
      </c>
      <c r="C836" s="98" t="s">
        <v>254</v>
      </c>
      <c r="D836" s="71" t="s">
        <v>191</v>
      </c>
      <c r="E836" s="242" t="s">
        <v>1803</v>
      </c>
      <c r="F836" t="s">
        <v>1076</v>
      </c>
      <c r="G836" t="s">
        <v>741</v>
      </c>
      <c r="H836" t="s">
        <v>422</v>
      </c>
      <c r="I836" t="s">
        <v>1652</v>
      </c>
      <c r="J836">
        <v>26</v>
      </c>
      <c r="L836" s="154">
        <v>1050</v>
      </c>
      <c r="M836" s="112">
        <f>=J836*L836</f>
        <v>27300</v>
      </c>
      <c r="N836">
        <v>2.5</v>
      </c>
      <c r="O836" s="189">
        <f>=ROUND(IF((TODAY()-A836+1)*N836*(L836/10000)+L836&lt;L836*1.002,L836*1.002,(TODAY()-A836+1)*N836*(L836/10000)+L836),2)</f>
        <v>1076.25</v>
      </c>
      <c r="P836">
        <v>26</v>
      </c>
      <c r="Q836" s="71">
        <f>=J836-P836</f>
        <v>0</v>
      </c>
      <c r="S836" s="112">
        <f>=P836-R836</f>
        <v>26</v>
      </c>
      <c r="T836" s="71">
        <f>=S836*L836</f>
        <v>27300</v>
      </c>
      <c r="U836" s="190">
        <f>=J836-P836</f>
        <v>0</v>
      </c>
    </row>
    <row r="837" spans="1:21" ht="15.75" customHeight="true">
      <c r="A837" s="80">
        <v>46126</v>
      </c>
      <c r="B837" s="71">
        <f>=TODAY()-A837+1</f>
        <v>99</v>
      </c>
      <c r="C837" s="98" t="s">
        <v>254</v>
      </c>
      <c r="D837" s="71" t="s">
        <v>191</v>
      </c>
      <c r="E837" s="242" t="s">
        <v>1804</v>
      </c>
      <c r="F837" t="s">
        <v>1076</v>
      </c>
      <c r="G837" t="s">
        <v>741</v>
      </c>
      <c r="H837" t="s">
        <v>422</v>
      </c>
      <c r="I837" t="s">
        <v>1278</v>
      </c>
      <c r="J837">
        <v>20</v>
      </c>
      <c r="L837" s="154">
        <v>1050</v>
      </c>
      <c r="M837" s="112">
        <f>=J837*L837</f>
        <v>21000</v>
      </c>
      <c r="N837">
        <v>2.5</v>
      </c>
      <c r="O837" s="189">
        <f>=ROUND(IF((TODAY()-A837+1)*N837*(L837/10000)+L837&lt;L837*1.002,L837*1.002,(TODAY()-A837+1)*N837*(L837/10000)+L837),2)</f>
        <v>1076.25</v>
      </c>
      <c r="P837">
        <v>20</v>
      </c>
      <c r="Q837" s="71">
        <f>=J837-P837</f>
        <v>0</v>
      </c>
      <c r="S837" s="112">
        <f>=P837-R837</f>
        <v>20</v>
      </c>
      <c r="T837" s="71">
        <f>=S837*L837</f>
        <v>21000</v>
      </c>
      <c r="U837" s="190">
        <f>=J837-P837</f>
        <v>0</v>
      </c>
    </row>
    <row r="838" spans="1:21" ht="15.75" customHeight="true">
      <c r="A838" s="80">
        <v>46126</v>
      </c>
      <c r="B838" s="71">
        <f>=TODAY()-A838+1</f>
        <v>99</v>
      </c>
      <c r="C838" s="98" t="s">
        <v>254</v>
      </c>
      <c r="D838" s="71" t="s">
        <v>191</v>
      </c>
      <c r="E838" s="242" t="s">
        <v>1805</v>
      </c>
      <c r="F838" t="s">
        <v>1076</v>
      </c>
      <c r="G838" t="s">
        <v>741</v>
      </c>
      <c r="H838" t="s">
        <v>422</v>
      </c>
      <c r="I838" t="s">
        <v>1082</v>
      </c>
      <c r="J838" s="154">
        <v>37</v>
      </c>
      <c r="K838" s="154" t="s"/>
      <c r="L838" s="154">
        <v>1050</v>
      </c>
      <c r="M838" s="112">
        <f>=J838*L838</f>
        <v>38850</v>
      </c>
      <c r="N838">
        <v>2.5</v>
      </c>
      <c r="O838" s="189">
        <f>=ROUND(IF((TODAY()-A838+1)*N838*(L838/10000)+L838&lt;L838*1.002,L838*1.002,(TODAY()-A838+1)*N838*(L838/10000)+L838),2)</f>
        <v>1076.25</v>
      </c>
      <c r="P838" s="154">
        <v>37</v>
      </c>
      <c r="Q838" s="71">
        <f>=J838-P838</f>
        <v>0</v>
      </c>
      <c r="S838" s="112">
        <f>=P838-R838</f>
        <v>37</v>
      </c>
      <c r="T838" s="71">
        <f>=S838*L838</f>
        <v>38850</v>
      </c>
      <c r="U838" s="190">
        <f>=J838-P838</f>
        <v>0</v>
      </c>
    </row>
    <row r="839" spans="1:21" ht="15.75" customHeight="true">
      <c r="A839" s="80">
        <v>46126</v>
      </c>
      <c r="B839" s="71">
        <f>=TODAY()-A839+1</f>
        <v>99</v>
      </c>
      <c r="C839" s="98" t="s">
        <v>254</v>
      </c>
      <c r="D839" s="71" t="s">
        <v>191</v>
      </c>
      <c r="E839" s="242" t="s">
        <v>1806</v>
      </c>
      <c r="F839" t="s">
        <v>1076</v>
      </c>
      <c r="G839" t="s">
        <v>741</v>
      </c>
      <c r="H839" t="s">
        <v>422</v>
      </c>
      <c r="I839" t="s">
        <v>1026</v>
      </c>
      <c r="J839" s="154">
        <v>77</v>
      </c>
      <c r="K839" s="154" t="s"/>
      <c r="L839" s="154">
        <v>1200</v>
      </c>
      <c r="M839" s="112">
        <f>=J839*L839</f>
        <v>92400</v>
      </c>
      <c r="N839">
        <v>2.5</v>
      </c>
      <c r="O839" s="189">
        <f>=ROUND(IF((TODAY()-A839+1)*N839*(L839/10000)+L839&lt;L839*1.002,L839*1.002,(TODAY()-A839+1)*N839*(L839/10000)+L839),2)</f>
        <v>1230</v>
      </c>
      <c r="P839" s="154">
        <v>77</v>
      </c>
      <c r="Q839" s="71">
        <f>=J839-P839</f>
        <v>0</v>
      </c>
      <c r="S839" s="112">
        <f>=P839-R839</f>
        <v>77</v>
      </c>
      <c r="T839" s="71">
        <f>=S839*L839</f>
        <v>92400</v>
      </c>
      <c r="U839" s="190">
        <f>=J839-P839</f>
        <v>0</v>
      </c>
    </row>
    <row r="840" spans="1:21" ht="15.75" customHeight="true">
      <c r="A840" s="80">
        <v>46126</v>
      </c>
      <c r="B840" s="71">
        <f>=TODAY()-A840+1</f>
        <v>99</v>
      </c>
      <c r="C840" s="98" t="s">
        <v>254</v>
      </c>
      <c r="D840" s="71" t="s">
        <v>191</v>
      </c>
      <c r="E840" s="242" t="s">
        <v>1807</v>
      </c>
      <c r="F840" t="s">
        <v>1076</v>
      </c>
      <c r="G840" t="s">
        <v>741</v>
      </c>
      <c r="H840" t="s">
        <v>422</v>
      </c>
      <c r="I840" s="87" t="s">
        <v>1087</v>
      </c>
      <c r="J840" s="154">
        <v>61</v>
      </c>
      <c r="K840" s="154" t="s"/>
      <c r="L840" s="154">
        <v>1200</v>
      </c>
      <c r="M840" s="112">
        <f>=J840*L840</f>
        <v>73200</v>
      </c>
      <c r="N840">
        <v>2.5</v>
      </c>
      <c r="O840" s="189">
        <f>=ROUND(IF((TODAY()-A840+1)*N840*(L840/10000)+L840&lt;L840*1.002,L840*1.002,(TODAY()-A840+1)*N840*(L840/10000)+L840),2)</f>
        <v>1230</v>
      </c>
      <c r="P840" s="154">
        <v>61</v>
      </c>
      <c r="Q840" s="71">
        <f>=J840-P840</f>
        <v>0</v>
      </c>
      <c r="S840" s="112">
        <f>=P840-R840</f>
        <v>61</v>
      </c>
      <c r="T840" s="71">
        <f>=S840*L840</f>
        <v>73200</v>
      </c>
      <c r="U840" s="190">
        <f>=J840-P840</f>
        <v>0</v>
      </c>
    </row>
    <row r="841" spans="1:21" ht="15.75" customHeight="true">
      <c r="A841" s="80">
        <v>46126</v>
      </c>
      <c r="B841" s="71">
        <f>=TODAY()-A841+1</f>
        <v>99</v>
      </c>
      <c r="C841" s="98" t="s">
        <v>254</v>
      </c>
      <c r="D841" s="71" t="s">
        <v>191</v>
      </c>
      <c r="E841" s="242" t="s">
        <v>1808</v>
      </c>
      <c r="F841" t="s">
        <v>1076</v>
      </c>
      <c r="G841" t="s">
        <v>741</v>
      </c>
      <c r="H841" t="s">
        <v>422</v>
      </c>
      <c r="I841" t="s">
        <v>1089</v>
      </c>
      <c r="J841" s="154">
        <v>190</v>
      </c>
      <c r="K841" s="154" t="s"/>
      <c r="L841" s="154">
        <v>1200</v>
      </c>
      <c r="M841" s="112">
        <f>=J841*L841</f>
        <v>228000</v>
      </c>
      <c r="N841">
        <v>2.5</v>
      </c>
      <c r="O841" s="189">
        <f>=ROUND(IF((TODAY()-A841+1)*N841*(L841/10000)+L841&lt;L841*1.002,L841*1.002,(TODAY()-A841+1)*N841*(L841/10000)+L841),2)</f>
        <v>1230</v>
      </c>
      <c r="P841" s="154">
        <v>190</v>
      </c>
      <c r="Q841" s="71">
        <f>=J841-P841</f>
        <v>0</v>
      </c>
      <c r="S841" s="112">
        <f>=P841-R841</f>
        <v>190</v>
      </c>
      <c r="T841" s="71">
        <f>=S841*L841</f>
        <v>228000</v>
      </c>
      <c r="U841" s="190">
        <f>=J841-P841</f>
        <v>0</v>
      </c>
    </row>
    <row r="842" spans="1:21" ht="15.75" customHeight="true">
      <c r="A842" s="80">
        <v>46126</v>
      </c>
      <c r="B842" s="71">
        <f>=TODAY()-A842+1</f>
        <v>99</v>
      </c>
      <c r="C842" s="98" t="s">
        <v>254</v>
      </c>
      <c r="D842" s="71" t="s">
        <v>191</v>
      </c>
      <c r="E842" s="242" t="s">
        <v>1809</v>
      </c>
      <c r="F842" t="s">
        <v>1076</v>
      </c>
      <c r="G842" t="s">
        <v>741</v>
      </c>
      <c r="H842" t="s">
        <v>422</v>
      </c>
      <c r="I842" s="262" t="s">
        <v>1084</v>
      </c>
      <c r="J842" s="154">
        <v>52</v>
      </c>
      <c r="K842" s="154" t="s"/>
      <c r="L842" s="154">
        <v>1200</v>
      </c>
      <c r="M842" s="112">
        <f>=J842*L842</f>
        <v>62400</v>
      </c>
      <c r="N842">
        <v>2.5</v>
      </c>
      <c r="O842" s="189">
        <f>=ROUND(IF((TODAY()-A842+1)*N842*(L842/10000)+L842&lt;L842*1.002,L842*1.002,(TODAY()-A842+1)*N842*(L842/10000)+L842),2)</f>
        <v>1230</v>
      </c>
      <c r="P842" s="154">
        <v>52</v>
      </c>
      <c r="Q842" s="71">
        <f>=J842-P842</f>
        <v>0</v>
      </c>
      <c r="S842" s="112">
        <f>=P842-R842</f>
        <v>52</v>
      </c>
      <c r="T842" s="71">
        <f>=S842*L842</f>
        <v>62400</v>
      </c>
      <c r="U842" s="190">
        <f>=J842-P842</f>
        <v>0</v>
      </c>
    </row>
    <row r="843" spans="1:21" ht="15.75" customHeight="true">
      <c r="A843" s="80">
        <v>46129</v>
      </c>
      <c r="B843" s="71">
        <f>=TODAY()-A843+1</f>
        <v>96</v>
      </c>
      <c r="C843" s="98" t="s">
        <v>256</v>
      </c>
      <c r="D843" s="71" t="s">
        <v>215</v>
      </c>
      <c r="E843" s="242" t="s">
        <v>1810</v>
      </c>
      <c r="F843" t="s">
        <v>1426</v>
      </c>
      <c r="G843" s="140" t="s">
        <v>421</v>
      </c>
      <c r="H843" s="140" t="s">
        <v>470</v>
      </c>
      <c r="I843" s="140" t="s">
        <v>1674</v>
      </c>
      <c r="J843">
        <v>149</v>
      </c>
      <c r="K843" s="154" t="s"/>
      <c r="L843" s="154">
        <v>3050</v>
      </c>
      <c r="M843" s="324">
        <f>=J843*L843</f>
        <v>454450</v>
      </c>
      <c r="N843">
        <v>2.5</v>
      </c>
      <c r="O843" s="189">
        <f>=ROUND(IF((TODAY()-A843+1)*N843*(L843/10000)+L843&lt;L843*1.002,L843*1.002,(TODAY()-A843+1)*N843*(L843/10000)+L843),2)</f>
        <v>3123.96</v>
      </c>
      <c r="P843">
        <v>149</v>
      </c>
      <c r="Q843" s="71">
        <f>=J843-P843</f>
        <v>0</v>
      </c>
      <c r="S843" s="112">
        <f>=P843-R843</f>
        <v>149</v>
      </c>
      <c r="T843" s="71">
        <f>=S843*L843</f>
        <v>454450</v>
      </c>
      <c r="U843" s="190">
        <f>=J843-P843</f>
        <v>0</v>
      </c>
    </row>
    <row r="844" spans="1:21" ht="15.75" customHeight="true">
      <c r="A844" s="80">
        <v>46128</v>
      </c>
      <c r="B844" s="71">
        <f>=TODAY()-A844+1</f>
        <v>97</v>
      </c>
      <c r="C844" s="98" t="s">
        <v>255</v>
      </c>
      <c r="D844" s="71" t="s">
        <v>215</v>
      </c>
      <c r="E844" s="242" t="s">
        <v>1811</v>
      </c>
      <c r="F844" t="s">
        <v>1426</v>
      </c>
      <c r="G844" s="140" t="s">
        <v>421</v>
      </c>
      <c r="H844" s="140" t="s">
        <v>470</v>
      </c>
      <c r="I844" s="146" t="s">
        <v>1017</v>
      </c>
      <c r="J844">
        <v>150</v>
      </c>
      <c r="K844" s="154" t="s"/>
      <c r="L844" s="154">
        <v>3050</v>
      </c>
      <c r="M844" s="324">
        <f>=J844*L844</f>
        <v>457500</v>
      </c>
      <c r="N844">
        <v>2.5</v>
      </c>
      <c r="O844" s="189">
        <f>=ROUND(IF((TODAY()-A844+1)*N844*(L844/10000)+L844&lt;L844*1.002,L844*1.002,(TODAY()-A844+1)*N844*(L844/10000)+L844),2)</f>
        <v>3124.73</v>
      </c>
      <c r="P844">
        <v>150</v>
      </c>
      <c r="Q844" s="71">
        <f>=J844-P844</f>
        <v>0</v>
      </c>
      <c r="R844">
        <v>150</v>
      </c>
      <c r="S844" s="112">
        <f>=P844-R844</f>
        <v>0</v>
      </c>
      <c r="T844" s="71">
        <f>=S844*L844</f>
        <v>0</v>
      </c>
      <c r="U844" s="190">
        <f>=J844-P844</f>
        <v>0</v>
      </c>
    </row>
    <row r="845" spans="1:21" ht="15.75" customHeight="true">
      <c r="A845" s="80">
        <v>46128</v>
      </c>
      <c r="B845" s="71">
        <f>=TODAY()-A845+1</f>
        <v>97</v>
      </c>
      <c r="C845" s="98" t="s">
        <v>255</v>
      </c>
      <c r="D845" s="71" t="s">
        <v>215</v>
      </c>
      <c r="E845" s="242" t="s">
        <v>1812</v>
      </c>
      <c r="F845" t="s">
        <v>1426</v>
      </c>
      <c r="G845" s="87" t="s">
        <v>421</v>
      </c>
      <c r="H845" s="87" t="s">
        <v>470</v>
      </c>
      <c r="I845" s="87" t="s">
        <v>1015</v>
      </c>
      <c r="J845">
        <v>50</v>
      </c>
      <c r="L845">
        <v>3050</v>
      </c>
      <c r="M845" s="324">
        <f>=J845*L845</f>
        <v>152500</v>
      </c>
      <c r="N845">
        <v>2.5</v>
      </c>
      <c r="O845" s="189">
        <f>=ROUND(IF((TODAY()-A845+1)*N845*(L845/10000)+L845&lt;L845*1.002,L845*1.002,(TODAY()-A845+1)*N845*(L845/10000)+L845),2)</f>
        <v>3124.73</v>
      </c>
      <c r="P845">
        <v>50</v>
      </c>
      <c r="Q845" s="71">
        <f>=J845-P845</f>
        <v>0</v>
      </c>
      <c r="R845">
        <v>50</v>
      </c>
      <c r="S845" s="112">
        <f>=P845-R845</f>
        <v>0</v>
      </c>
      <c r="T845" s="71">
        <f>=S845*L845</f>
        <v>0</v>
      </c>
      <c r="U845" s="190">
        <f>=J845-P845</f>
        <v>0</v>
      </c>
    </row>
    <row r="846" spans="1:21" ht="15.75" customHeight="true">
      <c r="A846" s="80">
        <v>46128</v>
      </c>
      <c r="B846" s="71">
        <f>=TODAY()-A846+1</f>
        <v>97</v>
      </c>
      <c r="C846" s="98" t="s">
        <v>255</v>
      </c>
      <c r="D846" s="71" t="s">
        <v>215</v>
      </c>
      <c r="E846" s="242" t="s">
        <v>1813</v>
      </c>
      <c r="F846" t="s">
        <v>1426</v>
      </c>
      <c r="G846" s="140" t="s">
        <v>421</v>
      </c>
      <c r="H846" s="140" t="s">
        <v>470</v>
      </c>
      <c r="I846" s="140" t="s">
        <v>1814</v>
      </c>
      <c r="J846">
        <v>49</v>
      </c>
      <c r="L846">
        <v>2560</v>
      </c>
      <c r="M846" s="324">
        <f>=J846*L846</f>
        <v>125440</v>
      </c>
      <c r="N846">
        <v>2.5</v>
      </c>
      <c r="O846" s="189">
        <f>=ROUND(IF((TODAY()-A846+1)*N846*(L846/10000)+L846&lt;L846*1.002,L846*1.002,(TODAY()-A846+1)*N846*(L846/10000)+L846),2)</f>
        <v>2622.72</v>
      </c>
      <c r="P846">
        <v>49</v>
      </c>
      <c r="Q846" s="71">
        <f>=J846-P846</f>
        <v>0</v>
      </c>
      <c r="R846">
        <v>49</v>
      </c>
      <c r="S846" s="112">
        <f>=P846-R846</f>
        <v>0</v>
      </c>
      <c r="T846" s="71">
        <f>=S846*L846</f>
        <v>0</v>
      </c>
      <c r="U846" s="190">
        <f>=J846-P846</f>
        <v>0</v>
      </c>
    </row>
    <row r="847" spans="1:21" ht="15.75" customHeight="true">
      <c r="A847" s="80">
        <v>46131</v>
      </c>
      <c r="B847" s="71">
        <f>=TODAY()-A847+1</f>
        <v>94</v>
      </c>
      <c r="C847" s="98" t="s">
        <v>257</v>
      </c>
      <c r="D847" s="71" t="s">
        <v>150</v>
      </c>
      <c r="E847" s="242" t="s">
        <v>1815</v>
      </c>
      <c r="F847" s="242" t="s">
        <v>894</v>
      </c>
      <c r="G847" t="s">
        <v>895</v>
      </c>
      <c r="H847" t="s">
        <v>422</v>
      </c>
      <c r="I847" s="87" t="s">
        <v>1816</v>
      </c>
      <c r="J847">
        <v>300</v>
      </c>
      <c r="L847">
        <v>950</v>
      </c>
      <c r="M847" s="324">
        <f>=J847*L847</f>
        <v>285000</v>
      </c>
      <c r="N847" s="71">
        <v>2.5</v>
      </c>
      <c r="O847" s="189">
        <f>=ROUND(IF((TODAY()-A847+1)*N847*(L847/10000)+L847&lt;L847*1.002,L847*1.002,(TODAY()-A847+1)*N847*(L847/10000)+L847),2)</f>
        <v>972.56</v>
      </c>
      <c r="P847">
        <v>300</v>
      </c>
      <c r="Q847" s="71">
        <f>=J847-P847</f>
        <v>0</v>
      </c>
      <c r="R847">
        <v>300</v>
      </c>
      <c r="S847" s="112">
        <f>=P847-R847</f>
        <v>0</v>
      </c>
      <c r="T847" s="71">
        <f>=S847*L847</f>
        <v>0</v>
      </c>
      <c r="U847" s="190">
        <f>=J847-P847</f>
        <v>0</v>
      </c>
    </row>
    <row r="848" spans="1:21" ht="15.75" customHeight="true">
      <c r="A848" s="80">
        <v>46128</v>
      </c>
      <c r="B848" s="71">
        <f>=TODAY()-A848+1</f>
        <v>97</v>
      </c>
      <c r="C848" s="98" t="s">
        <v>258</v>
      </c>
      <c r="D848" s="71" t="s">
        <v>191</v>
      </c>
      <c r="E848" s="242" t="s">
        <v>1817</v>
      </c>
      <c r="F848" t="s">
        <v>1076</v>
      </c>
      <c r="G848" s="267" t="s">
        <v>741</v>
      </c>
      <c r="H848" s="267" t="s">
        <v>422</v>
      </c>
      <c r="I848" s="267" t="s">
        <v>1084</v>
      </c>
      <c r="J848" s="154">
        <v>193</v>
      </c>
      <c r="K848" s="154" t="s"/>
      <c r="L848" s="154">
        <v>1200</v>
      </c>
      <c r="M848" s="324">
        <f>=J848*L848</f>
        <v>231600</v>
      </c>
      <c r="N848" s="71">
        <v>2.5</v>
      </c>
      <c r="O848" s="189">
        <f>=ROUND(IF((TODAY()-A848+1)*N848*(L848/10000)+L848&lt;L848*1.002,L848*1.002,(TODAY()-A848+1)*N848*(L848/10000)+L848),2)</f>
        <v>1229.4</v>
      </c>
      <c r="P848" s="154">
        <v>193</v>
      </c>
      <c r="Q848" s="71">
        <f>=J848-P848</f>
        <v>0</v>
      </c>
      <c r="R848" s="71" t="s"/>
      <c r="S848" s="112">
        <f>=P848-R848</f>
        <v>193</v>
      </c>
      <c r="T848" s="71">
        <f>=S848*L848</f>
        <v>231600</v>
      </c>
      <c r="U848" s="190">
        <f>=J848-P848</f>
        <v>0</v>
      </c>
    </row>
    <row r="849" spans="1:21" ht="15.75" customHeight="true">
      <c r="A849" s="80">
        <v>46128</v>
      </c>
      <c r="B849" s="71">
        <f>=TODAY()-A849+1</f>
        <v>97</v>
      </c>
      <c r="C849" s="98" t="s">
        <v>258</v>
      </c>
      <c r="D849" s="71" t="s">
        <v>191</v>
      </c>
      <c r="E849" s="242" t="s">
        <v>1818</v>
      </c>
      <c r="F849" t="s">
        <v>1076</v>
      </c>
      <c r="G849" t="s">
        <v>741</v>
      </c>
      <c r="H849" t="s">
        <v>422</v>
      </c>
      <c r="I849" s="87" t="s">
        <v>1087</v>
      </c>
      <c r="J849" s="154">
        <v>154</v>
      </c>
      <c r="K849" s="154" t="s"/>
      <c r="L849" s="154">
        <v>1200</v>
      </c>
      <c r="M849" s="324">
        <f>=J849*L849</f>
        <v>184800</v>
      </c>
      <c r="N849" s="71">
        <v>2.5</v>
      </c>
      <c r="O849" s="189">
        <f>=ROUND(IF((TODAY()-A849+1)*N849*(L849/10000)+L849&lt;L849*1.002,L849*1.002,(TODAY()-A849+1)*N849*(L849/10000)+L849),2)</f>
        <v>1229.4</v>
      </c>
      <c r="P849" s="154">
        <v>154</v>
      </c>
      <c r="Q849" s="71">
        <f>=J849-P849</f>
        <v>0</v>
      </c>
      <c r="R849" s="71" t="s"/>
      <c r="S849" s="112">
        <f>=P849-R849</f>
        <v>154</v>
      </c>
      <c r="T849" s="71">
        <f>=S849*L849</f>
        <v>184800</v>
      </c>
      <c r="U849" s="190">
        <f>=J849-P849</f>
        <v>0</v>
      </c>
    </row>
    <row r="850" spans="1:21" ht="15.75" customHeight="true">
      <c r="A850" s="80">
        <v>46129</v>
      </c>
      <c r="B850" s="71">
        <f>=TODAY()-A850+1</f>
        <v>96</v>
      </c>
      <c r="C850" s="98" t="s">
        <v>259</v>
      </c>
      <c r="D850" s="71" t="s">
        <v>191</v>
      </c>
      <c r="E850" t="s">
        <v>1819</v>
      </c>
      <c r="F850" t="s">
        <v>1076</v>
      </c>
      <c r="G850" t="s">
        <v>741</v>
      </c>
      <c r="H850" t="s">
        <v>422</v>
      </c>
      <c r="I850" t="s">
        <v>1089</v>
      </c>
      <c r="J850" s="154">
        <v>358</v>
      </c>
      <c r="K850" s="154" t="s"/>
      <c r="L850" s="154">
        <v>1200</v>
      </c>
      <c r="M850" s="324">
        <f>=J850*L850</f>
        <v>429600</v>
      </c>
      <c r="N850" s="71">
        <v>2.5</v>
      </c>
      <c r="O850" s="189">
        <f>=ROUND(IF((TODAY()-A850+1)*N850*(L850/10000)+L850&lt;L850*1.002,L850*1.002,(TODAY()-A850+1)*N850*(L850/10000)+L850),2)</f>
        <v>1229.1</v>
      </c>
      <c r="P850" s="154">
        <v>358</v>
      </c>
      <c r="Q850" s="71">
        <f>=J850-P850</f>
        <v>0</v>
      </c>
      <c r="R850" s="71" t="s"/>
      <c r="S850" s="112">
        <f>=P850-R850</f>
        <v>358</v>
      </c>
      <c r="T850" s="71">
        <f>=S850*L850</f>
        <v>429600</v>
      </c>
      <c r="U850" s="190">
        <f>=J850-P850</f>
        <v>0</v>
      </c>
    </row>
    <row r="851" spans="1:21" ht="15.75" customHeight="true">
      <c r="A851" s="80">
        <v>46129</v>
      </c>
      <c r="B851" s="71">
        <f>=TODAY()-A851+1</f>
        <v>96</v>
      </c>
      <c r="C851" s="98" t="s">
        <v>259</v>
      </c>
      <c r="D851" s="71" t="s">
        <v>191</v>
      </c>
      <c r="E851" t="s">
        <v>1820</v>
      </c>
      <c r="F851" t="s">
        <v>1076</v>
      </c>
      <c r="G851" t="s">
        <v>741</v>
      </c>
      <c r="H851" t="s">
        <v>422</v>
      </c>
      <c r="I851" t="s">
        <v>1026</v>
      </c>
      <c r="J851">
        <v>595</v>
      </c>
      <c r="L851" s="154">
        <v>1200</v>
      </c>
      <c r="M851" s="324">
        <f>=J851*L851</f>
        <v>714000</v>
      </c>
      <c r="N851" s="71">
        <v>2.5</v>
      </c>
      <c r="O851" s="189">
        <f>=ROUND(IF((TODAY()-A851+1)*N851*(L851/10000)+L851&lt;L851*1.002,L851*1.002,(TODAY()-A851+1)*N851*(L851/10000)+L851),2)</f>
        <v>1229.1</v>
      </c>
      <c r="P851">
        <v>595</v>
      </c>
      <c r="Q851" s="71">
        <f>=J851-P851</f>
        <v>0</v>
      </c>
      <c r="R851" s="71" t="s"/>
      <c r="S851" s="112">
        <f>=P851-R851</f>
        <v>595</v>
      </c>
      <c r="T851" s="71">
        <f>=S851*L851</f>
        <v>714000</v>
      </c>
      <c r="U851" s="190">
        <f>=J851-P851</f>
        <v>0</v>
      </c>
    </row>
    <row r="852" spans="1:21" ht="15.75" customHeight="true">
      <c r="A852" s="80">
        <v>46129</v>
      </c>
      <c r="B852" s="71">
        <f>=TODAY()-A852+1</f>
        <v>96</v>
      </c>
      <c r="C852" t="s">
        <v>261</v>
      </c>
      <c r="D852" t="s">
        <v>260</v>
      </c>
      <c r="E852" s="136" t="s">
        <v>1821</v>
      </c>
      <c r="G852" s="87" t="s">
        <v>428</v>
      </c>
      <c r="H852" s="87" t="s">
        <v>429</v>
      </c>
      <c r="I852" s="87" t="s">
        <v>1822</v>
      </c>
      <c r="J852" s="154">
        <v>2500</v>
      </c>
      <c r="K852" s="154" t="s"/>
      <c r="L852" s="154">
        <v>300</v>
      </c>
      <c r="M852" s="112">
        <f>=J852*L852</f>
        <v>750000</v>
      </c>
      <c r="N852" s="71">
        <v>2.5</v>
      </c>
      <c r="O852" s="189">
        <f>=ROUND(IF((TODAY()-A852+1)*N852*(L852/10000)+L852&lt;L852*1.002,L852*1.002,(TODAY()-A852+1)*N852*(L852/10000)+L852),2)</f>
        <v>307.28</v>
      </c>
      <c r="P852" s="154">
        <v>2500</v>
      </c>
      <c r="Q852" s="93">
        <f>=J852-P852</f>
        <v>0</v>
      </c>
      <c r="R852" s="331">
        <v>2500</v>
      </c>
      <c r="S852" s="112">
        <f>=P852-R852</f>
        <v>0</v>
      </c>
      <c r="T852" s="71">
        <f>=S852*L852</f>
        <v>0</v>
      </c>
      <c r="U852" s="190">
        <f>=J852-P852</f>
        <v>0</v>
      </c>
    </row>
    <row r="853" spans="1:21" ht="15.75" customHeight="true">
      <c r="A853" s="80">
        <v>46129</v>
      </c>
      <c r="B853" s="71">
        <f>=TODAY()-A853+1</f>
        <v>96</v>
      </c>
      <c r="C853" t="s">
        <v>261</v>
      </c>
      <c r="D853" t="s">
        <v>260</v>
      </c>
      <c r="E853" s="136" t="s">
        <v>1823</v>
      </c>
      <c r="F853" s="136" t="s"/>
      <c r="G853" s="140" t="s">
        <v>428</v>
      </c>
      <c r="H853" s="140" t="s">
        <v>429</v>
      </c>
      <c r="I853" s="140" t="s">
        <v>1824</v>
      </c>
      <c r="J853" s="154">
        <v>5100</v>
      </c>
      <c r="K853" s="154" t="s"/>
      <c r="L853" s="154">
        <v>300</v>
      </c>
      <c r="M853" s="112">
        <f>=J853*L853</f>
        <v>1530000</v>
      </c>
      <c r="N853" s="71">
        <v>2.5</v>
      </c>
      <c r="O853" s="189">
        <f>=ROUND(IF((TODAY()-A853+1)*N853*(L853/10000)+L853&lt;L853*1.002,L853*1.002,(TODAY()-A853+1)*N853*(L853/10000)+L853),2)</f>
        <v>307.28</v>
      </c>
      <c r="P853" s="154">
        <v>5100</v>
      </c>
      <c r="Q853" s="93">
        <f>=J853-P853</f>
        <v>0</v>
      </c>
      <c r="R853" s="249">
        <v>5100</v>
      </c>
      <c r="S853" s="112">
        <f>=P853-R853</f>
        <v>0</v>
      </c>
      <c r="T853" s="71">
        <f>=S853*L853</f>
        <v>0</v>
      </c>
      <c r="U853" s="190">
        <f>=J853-P853</f>
        <v>0</v>
      </c>
    </row>
    <row r="854" spans="1:21" ht="15.75" customHeight="true">
      <c r="A854" s="110">
        <v>46134</v>
      </c>
      <c r="B854" s="71">
        <f>=TODAY()-A854+1</f>
        <v>91</v>
      </c>
      <c r="C854" t="s">
        <v>262</v>
      </c>
      <c r="D854" t="s">
        <v>260</v>
      </c>
      <c r="E854" s="136" t="s">
        <v>1823</v>
      </c>
      <c r="F854" s="136" t="s"/>
      <c r="G854" s="87" t="s">
        <v>428</v>
      </c>
      <c r="H854" s="87" t="s">
        <v>429</v>
      </c>
      <c r="I854" s="140" t="s">
        <v>1824</v>
      </c>
      <c r="J854" s="154">
        <v>400</v>
      </c>
      <c r="K854" s="154" t="s"/>
      <c r="L854" s="154">
        <v>300</v>
      </c>
      <c r="M854" s="112">
        <f>=J854*L854</f>
        <v>120000</v>
      </c>
      <c r="N854" s="71">
        <v>2.5</v>
      </c>
      <c r="O854" s="189">
        <f>=ROUND(IF((TODAY()-A854+1)*N854*(L854/10000)+L854&lt;L854*1.002,L854*1.002,(TODAY()-A854+1)*N854*(L854/10000)+L854),2)</f>
        <v>306.9</v>
      </c>
      <c r="P854" s="154">
        <v>400</v>
      </c>
      <c r="Q854" s="93">
        <f>=J854-P854</f>
        <v>0</v>
      </c>
      <c r="R854" s="71">
        <v>400</v>
      </c>
      <c r="S854" s="112">
        <f>=P854-R854</f>
        <v>0</v>
      </c>
      <c r="T854" s="71">
        <f>=S854*L854</f>
        <v>0</v>
      </c>
      <c r="U854" s="190">
        <f>=J854-P854</f>
        <v>0</v>
      </c>
    </row>
    <row r="855" spans="1:21" ht="15.75" customHeight="true">
      <c r="A855" s="80">
        <v>46128</v>
      </c>
      <c r="B855" s="71">
        <f>=TODAY()-A855+1</f>
        <v>97</v>
      </c>
      <c r="C855" t="s">
        <v>266</v>
      </c>
      <c r="D855" s="136" t="s">
        <v>265</v>
      </c>
      <c r="E855" s="242" t="s">
        <v>1825</v>
      </c>
      <c r="F855" s="242" t="s">
        <v>1826</v>
      </c>
      <c r="G855" t="s">
        <v>741</v>
      </c>
      <c r="H855" t="s">
        <v>422</v>
      </c>
      <c r="I855" t="s">
        <v>1827</v>
      </c>
      <c r="J855">
        <v>10</v>
      </c>
      <c r="L855">
        <v>1400</v>
      </c>
      <c r="M855" s="112">
        <f>=J855*L855</f>
        <v>14000</v>
      </c>
      <c r="N855" s="71">
        <v>2.5</v>
      </c>
      <c r="O855" s="189">
        <f>=ROUND(IF((TODAY()-A855+1)*N855*(L855/10000)+L855&lt;L855*1.002,L855*1.002,(TODAY()-A855+1)*N855*(L855/10000)+L855),2)</f>
        <v>1434.3</v>
      </c>
      <c r="P855">
        <v>10</v>
      </c>
      <c r="Q855" s="71">
        <f>=J855-P855</f>
        <v>0</v>
      </c>
      <c r="R855" s="71">
        <v>10</v>
      </c>
      <c r="S855" s="112">
        <f>=P855-R855</f>
        <v>0</v>
      </c>
      <c r="T855" s="71">
        <f>=S855*L855</f>
        <v>0</v>
      </c>
      <c r="U855" s="190">
        <f>=J855-P855</f>
        <v>0</v>
      </c>
    </row>
    <row r="856" spans="1:21" ht="15.75" customHeight="true">
      <c r="A856" s="80">
        <v>46128</v>
      </c>
      <c r="B856" s="71">
        <f>=TODAY()-A856+1</f>
        <v>97</v>
      </c>
      <c r="C856" t="s">
        <v>266</v>
      </c>
      <c r="D856" s="326" t="s">
        <v>265</v>
      </c>
      <c r="E856" s="242" t="s">
        <v>1828</v>
      </c>
      <c r="F856" s="242" t="s">
        <v>1826</v>
      </c>
      <c r="G856" t="s">
        <v>741</v>
      </c>
      <c r="H856" t="s">
        <v>422</v>
      </c>
      <c r="I856" t="s">
        <v>1829</v>
      </c>
      <c r="J856">
        <v>10</v>
      </c>
      <c r="L856">
        <v>1225</v>
      </c>
      <c r="M856" s="112">
        <f>=J856*L856</f>
        <v>12250</v>
      </c>
      <c r="N856" s="71">
        <v>2.5</v>
      </c>
      <c r="O856" s="189">
        <f>=ROUND(IF((TODAY()-A856+1)*N856*(L856/10000)+L856&lt;L856*1.002,L856*1.002,(TODAY()-A856+1)*N856*(L856/10000)+L856),2)</f>
        <v>1255.01</v>
      </c>
      <c r="P856">
        <v>10</v>
      </c>
      <c r="Q856" s="71">
        <f>=J856-P856</f>
        <v>0</v>
      </c>
      <c r="R856" s="71">
        <v>10</v>
      </c>
      <c r="S856" s="112">
        <f>=P856-R856</f>
        <v>0</v>
      </c>
      <c r="T856" s="71">
        <f>=S856*L856</f>
        <v>0</v>
      </c>
      <c r="U856" s="190">
        <f>=J856-P856</f>
        <v>0</v>
      </c>
    </row>
    <row r="857" spans="1:21" ht="15.75" customHeight="true">
      <c r="A857" s="80">
        <v>46128</v>
      </c>
      <c r="B857" s="71">
        <f>=TODAY()-A857+1</f>
        <v>97</v>
      </c>
      <c r="C857" t="s">
        <v>266</v>
      </c>
      <c r="D857" s="326" t="s">
        <v>265</v>
      </c>
      <c r="E857" s="242" t="s">
        <v>1830</v>
      </c>
      <c r="F857" s="242" t="s">
        <v>1826</v>
      </c>
      <c r="G857" t="s">
        <v>741</v>
      </c>
      <c r="H857" t="s">
        <v>422</v>
      </c>
      <c r="I857" t="s">
        <v>1831</v>
      </c>
      <c r="J857">
        <v>10</v>
      </c>
      <c r="L857">
        <v>1085</v>
      </c>
      <c r="M857" s="112">
        <f>=J857*L857</f>
        <v>10850</v>
      </c>
      <c r="N857" s="71">
        <v>2.5</v>
      </c>
      <c r="O857" s="189">
        <f>=ROUND(IF((TODAY()-A857+1)*N857*(L857/10000)+L857&lt;L857*1.002,L857*1.002,(TODAY()-A857+1)*N857*(L857/10000)+L857),2)</f>
        <v>1111.58</v>
      </c>
      <c r="P857">
        <v>10</v>
      </c>
      <c r="Q857" s="71">
        <f>=J857-P857</f>
        <v>0</v>
      </c>
      <c r="R857" s="71">
        <v>10</v>
      </c>
      <c r="S857" s="112">
        <f>=P857-R857</f>
        <v>0</v>
      </c>
      <c r="T857" s="71">
        <f>=S857*L857</f>
        <v>0</v>
      </c>
      <c r="U857" s="190">
        <f>=J857-P857</f>
        <v>0</v>
      </c>
    </row>
    <row r="858" spans="1:21" ht="15.75" customHeight="true">
      <c r="A858" s="80">
        <v>46128</v>
      </c>
      <c r="B858" s="71">
        <f>=TODAY()-A858+1</f>
        <v>97</v>
      </c>
      <c r="C858" t="s">
        <v>266</v>
      </c>
      <c r="D858" s="326" t="s">
        <v>265</v>
      </c>
      <c r="E858" s="242" t="s">
        <v>1832</v>
      </c>
      <c r="F858" s="242" t="s">
        <v>1826</v>
      </c>
      <c r="G858" t="s">
        <v>895</v>
      </c>
      <c r="H858" t="s">
        <v>429</v>
      </c>
      <c r="I858" t="s">
        <v>1833</v>
      </c>
      <c r="J858">
        <v>20</v>
      </c>
      <c r="L858">
        <v>1610</v>
      </c>
      <c r="M858" s="112">
        <f>=J858*L858</f>
        <v>32200</v>
      </c>
      <c r="N858" s="71">
        <v>2.5</v>
      </c>
      <c r="O858" s="189">
        <f>=ROUND(IF((TODAY()-A858+1)*N858*(L858/10000)+L858&lt;L858*1.002,L858*1.002,(TODAY()-A858+1)*N858*(L858/10000)+L858),2)</f>
        <v>1649.45</v>
      </c>
      <c r="P858">
        <v>20</v>
      </c>
      <c r="Q858" s="71">
        <f>=J858-P858</f>
        <v>0</v>
      </c>
      <c r="R858" s="71">
        <v>20</v>
      </c>
      <c r="S858" s="112">
        <f>=P858-R858</f>
        <v>0</v>
      </c>
      <c r="T858" s="71">
        <f>=S858*L858</f>
        <v>0</v>
      </c>
      <c r="U858" s="190">
        <f>=J858-P858</f>
        <v>0</v>
      </c>
    </row>
    <row r="859" spans="1:21" ht="15.75" customHeight="true">
      <c r="A859" s="80">
        <v>46128</v>
      </c>
      <c r="B859" s="71">
        <f>=TODAY()-A859+1</f>
        <v>97</v>
      </c>
      <c r="C859" t="s">
        <v>266</v>
      </c>
      <c r="D859" s="326" t="s">
        <v>265</v>
      </c>
      <c r="E859" s="242" t="s">
        <v>1834</v>
      </c>
      <c r="F859" s="242" t="s">
        <v>1826</v>
      </c>
      <c r="G859" t="s">
        <v>1438</v>
      </c>
      <c r="H859" t="s">
        <v>449</v>
      </c>
      <c r="I859" t="s">
        <v>1835</v>
      </c>
      <c r="J859">
        <v>20</v>
      </c>
      <c r="L859">
        <v>2170</v>
      </c>
      <c r="M859" s="112">
        <f>=J859*L859</f>
        <v>43400</v>
      </c>
      <c r="N859" s="71">
        <v>2.5</v>
      </c>
      <c r="O859" s="189">
        <f>=ROUND(IF((TODAY()-A859+1)*N859*(L859/10000)+L859&lt;L859*1.002,L859*1.002,(TODAY()-A859+1)*N859*(L859/10000)+L859),2)</f>
        <v>2223.17</v>
      </c>
      <c r="P859">
        <v>20</v>
      </c>
      <c r="Q859" s="71">
        <f>=J859-P859</f>
        <v>0</v>
      </c>
      <c r="R859" s="71">
        <v>20</v>
      </c>
      <c r="S859" s="112">
        <f>=P859-R859</f>
        <v>0</v>
      </c>
      <c r="T859" s="71">
        <f>=S859*L859</f>
        <v>0</v>
      </c>
      <c r="U859" s="190">
        <f>=J859-P859</f>
        <v>0</v>
      </c>
    </row>
    <row r="860" spans="1:21" ht="15.75" customHeight="true">
      <c r="A860" s="80">
        <v>46128</v>
      </c>
      <c r="B860" s="71">
        <f>=TODAY()-A860+1</f>
        <v>97</v>
      </c>
      <c r="C860" t="s">
        <v>266</v>
      </c>
      <c r="D860" s="326" t="s">
        <v>265</v>
      </c>
      <c r="E860" s="242" t="s">
        <v>1836</v>
      </c>
      <c r="F860" s="242" t="s">
        <v>1826</v>
      </c>
      <c r="G860" t="s">
        <v>1438</v>
      </c>
      <c r="H860" t="s">
        <v>449</v>
      </c>
      <c r="I860" t="s">
        <v>1837</v>
      </c>
      <c r="J860">
        <v>20</v>
      </c>
      <c r="L860">
        <v>2170</v>
      </c>
      <c r="M860" s="112">
        <f>=J860*L860</f>
        <v>43400</v>
      </c>
      <c r="N860" s="71">
        <v>2.5</v>
      </c>
      <c r="O860" s="189">
        <f>=ROUND(IF((TODAY()-A860+1)*N860*(L860/10000)+L860&lt;L860*1.002,L860*1.002,(TODAY()-A860+1)*N860*(L860/10000)+L860),2)</f>
        <v>2223.17</v>
      </c>
      <c r="P860">
        <v>20</v>
      </c>
      <c r="Q860" s="71">
        <f>=J860-P860</f>
        <v>0</v>
      </c>
      <c r="R860" s="71">
        <v>20</v>
      </c>
      <c r="S860" s="112">
        <f>=P860-R860</f>
        <v>0</v>
      </c>
      <c r="T860" s="71">
        <f>=S860*L860</f>
        <v>0</v>
      </c>
      <c r="U860" s="190">
        <f>=J860-P860</f>
        <v>0</v>
      </c>
    </row>
    <row r="861" spans="1:21" ht="15.75" customHeight="true">
      <c r="A861" s="80">
        <v>46128</v>
      </c>
      <c r="B861" s="71">
        <f>=TODAY()-A861+1</f>
        <v>97</v>
      </c>
      <c r="C861" t="s">
        <v>266</v>
      </c>
      <c r="D861" s="326" t="s">
        <v>265</v>
      </c>
      <c r="E861" s="242" t="s">
        <v>1838</v>
      </c>
      <c r="F861" s="242" t="s">
        <v>1826</v>
      </c>
      <c r="G861" t="s">
        <v>428</v>
      </c>
      <c r="H861" t="s">
        <v>422</v>
      </c>
      <c r="I861" t="s">
        <v>1839</v>
      </c>
      <c r="J861">
        <v>10</v>
      </c>
      <c r="L861">
        <v>1645</v>
      </c>
      <c r="M861" s="112">
        <f>=J861*L861</f>
        <v>16450</v>
      </c>
      <c r="N861" s="71">
        <v>2.5</v>
      </c>
      <c r="O861" s="189">
        <f>=ROUND(IF((TODAY()-A861+1)*N861*(L861/10000)+L861&lt;L861*1.002,L861*1.002,(TODAY()-A861+1)*N861*(L861/10000)+L861),2)</f>
        <v>1685.3</v>
      </c>
      <c r="P861">
        <v>10</v>
      </c>
      <c r="Q861" s="71">
        <f>=J861-P861</f>
        <v>0</v>
      </c>
      <c r="R861" s="71">
        <v>10</v>
      </c>
      <c r="S861" s="112">
        <f>=P861-R861</f>
        <v>0</v>
      </c>
      <c r="T861" s="71">
        <f>=S861*L861</f>
        <v>0</v>
      </c>
      <c r="U861" s="190">
        <f>=J861-P861</f>
        <v>0</v>
      </c>
    </row>
    <row r="862" spans="1:21" ht="15.75" customHeight="true">
      <c r="A862" s="80">
        <v>46128</v>
      </c>
      <c r="B862" s="71">
        <f>=TODAY()-A862+1</f>
        <v>97</v>
      </c>
      <c r="C862" t="s">
        <v>266</v>
      </c>
      <c r="D862" s="326" t="s">
        <v>265</v>
      </c>
      <c r="E862" s="242" t="s">
        <v>1840</v>
      </c>
      <c r="F862" s="242" t="s">
        <v>1826</v>
      </c>
      <c r="G862" t="s">
        <v>428</v>
      </c>
      <c r="H862" t="s">
        <v>422</v>
      </c>
      <c r="I862" t="s">
        <v>1841</v>
      </c>
      <c r="J862">
        <v>10</v>
      </c>
      <c r="L862">
        <v>1645</v>
      </c>
      <c r="M862" s="112">
        <f>=J862*L862</f>
        <v>16450</v>
      </c>
      <c r="N862" s="71">
        <v>2.5</v>
      </c>
      <c r="O862" s="189">
        <f>=ROUND(IF((TODAY()-A862+1)*N862*(L862/10000)+L862&lt;L862*1.002,L862*1.002,(TODAY()-A862+1)*N862*(L862/10000)+L862),2)</f>
        <v>1685.3</v>
      </c>
      <c r="P862">
        <v>10</v>
      </c>
      <c r="Q862" s="71">
        <f>=J862-P862</f>
        <v>0</v>
      </c>
      <c r="R862" s="71">
        <v>10</v>
      </c>
      <c r="S862" s="112">
        <f>=P862-R862</f>
        <v>0</v>
      </c>
      <c r="T862" s="71">
        <f>=S862*L862</f>
        <v>0</v>
      </c>
      <c r="U862" s="190">
        <f>=J862-P862</f>
        <v>0</v>
      </c>
    </row>
    <row r="863" spans="1:21" ht="15.75" customHeight="true">
      <c r="A863" s="80">
        <v>46128</v>
      </c>
      <c r="B863" s="71">
        <f>=TODAY()-A863+1</f>
        <v>97</v>
      </c>
      <c r="C863" t="s">
        <v>267</v>
      </c>
      <c r="D863" s="326" t="s">
        <v>265</v>
      </c>
      <c r="E863" s="242" t="s">
        <v>1842</v>
      </c>
      <c r="F863" s="242" t="s">
        <v>1826</v>
      </c>
      <c r="G863" t="s">
        <v>428</v>
      </c>
      <c r="H863" t="s">
        <v>422</v>
      </c>
      <c r="I863" t="s">
        <v>1843</v>
      </c>
      <c r="J863">
        <v>20</v>
      </c>
      <c r="L863">
        <v>1470</v>
      </c>
      <c r="M863" s="112">
        <f>=J863*L863</f>
        <v>29400</v>
      </c>
      <c r="N863" s="71">
        <v>2.5</v>
      </c>
      <c r="O863" s="189">
        <f>=ROUND(IF((TODAY()-A863+1)*N863*(L863/10000)+L863&lt;L863*1.002,L863*1.002,(TODAY()-A863+1)*N863*(L863/10000)+L863),2)</f>
        <v>1506.02</v>
      </c>
      <c r="P863">
        <v>20</v>
      </c>
      <c r="Q863" s="71">
        <f>=J863-P863</f>
        <v>0</v>
      </c>
      <c r="R863" s="71">
        <v>20</v>
      </c>
      <c r="S863" s="112">
        <f>=P863-R863</f>
        <v>0</v>
      </c>
      <c r="T863" s="71">
        <f>=S863*L863</f>
        <v>0</v>
      </c>
      <c r="U863" s="190">
        <f>=J863-P863</f>
        <v>0</v>
      </c>
    </row>
    <row r="864" spans="1:21" ht="15.75" customHeight="true">
      <c r="A864" s="80">
        <v>46129</v>
      </c>
      <c r="B864" s="71">
        <f>=TODAY()-A864+1</f>
        <v>96</v>
      </c>
      <c r="C864" t="s">
        <v>267</v>
      </c>
      <c r="D864" s="326" t="s">
        <v>265</v>
      </c>
      <c r="E864" s="242" t="s">
        <v>1844</v>
      </c>
      <c r="F864" s="242" t="s">
        <v>1826</v>
      </c>
      <c r="G864" t="s">
        <v>428</v>
      </c>
      <c r="H864" t="s">
        <v>422</v>
      </c>
      <c r="I864" t="s">
        <v>1845</v>
      </c>
      <c r="J864">
        <v>40</v>
      </c>
      <c r="L864">
        <v>1470</v>
      </c>
      <c r="M864" s="112">
        <f>=J864*L864</f>
        <v>58800</v>
      </c>
      <c r="N864" s="71">
        <v>2.5</v>
      </c>
      <c r="O864" s="189">
        <f>=ROUND(IF((TODAY()-A864+1)*N864*(L864/10000)+L864&lt;L864*1.002,L864*1.002,(TODAY()-A864+1)*N864*(L864/10000)+L864),2)</f>
        <v>1505.65</v>
      </c>
      <c r="P864">
        <v>40</v>
      </c>
      <c r="Q864" s="71">
        <f>=J864-P864</f>
        <v>0</v>
      </c>
      <c r="R864" s="71">
        <v>40</v>
      </c>
      <c r="S864" s="112">
        <f>=P864-R864</f>
        <v>0</v>
      </c>
      <c r="T864" s="71">
        <f>=S864*L864</f>
        <v>0</v>
      </c>
      <c r="U864" s="190">
        <f>=J864-P864</f>
        <v>0</v>
      </c>
    </row>
    <row r="865" spans="1:21" ht="15.75" customHeight="true">
      <c r="A865" s="80">
        <v>46129</v>
      </c>
      <c r="B865" s="71">
        <f>=TODAY()-A865+1</f>
        <v>96</v>
      </c>
      <c r="C865" t="s">
        <v>267</v>
      </c>
      <c r="D865" s="326" t="s">
        <v>265</v>
      </c>
      <c r="E865" t="s">
        <v>1846</v>
      </c>
      <c r="F865" s="242" t="s">
        <v>1826</v>
      </c>
      <c r="G865" t="s">
        <v>428</v>
      </c>
      <c r="H865" t="s">
        <v>422</v>
      </c>
      <c r="I865" t="s">
        <v>1847</v>
      </c>
      <c r="J865">
        <v>10</v>
      </c>
      <c r="L865">
        <v>1470</v>
      </c>
      <c r="M865" s="112">
        <f>=J865*L865</f>
        <v>14700</v>
      </c>
      <c r="N865" s="71">
        <v>2.5</v>
      </c>
      <c r="O865" s="189">
        <f>=ROUND(IF((TODAY()-A865+1)*N865*(L865/10000)+L865&lt;L865*1.002,L865*1.002,(TODAY()-A865+1)*N865*(L865/10000)+L865),2)</f>
        <v>1505.65</v>
      </c>
      <c r="P865">
        <v>10</v>
      </c>
      <c r="Q865" s="71">
        <f>=J865-P865</f>
        <v>0</v>
      </c>
      <c r="R865" s="71">
        <v>10</v>
      </c>
      <c r="S865" s="112">
        <f>=P865-R865</f>
        <v>0</v>
      </c>
      <c r="T865" s="71">
        <f>=S865*L865</f>
        <v>0</v>
      </c>
      <c r="U865" s="190">
        <f>=J865-P865</f>
        <v>0</v>
      </c>
    </row>
    <row r="866" spans="1:21" ht="15.75" customHeight="true">
      <c r="A866" s="80">
        <v>46129</v>
      </c>
      <c r="B866" s="71">
        <f>=TODAY()-A866+1</f>
        <v>96</v>
      </c>
      <c r="C866" t="s">
        <v>267</v>
      </c>
      <c r="D866" s="326" t="s">
        <v>265</v>
      </c>
      <c r="E866" s="242" t="s">
        <v>1848</v>
      </c>
      <c r="F866" s="242" t="s">
        <v>1826</v>
      </c>
      <c r="G866" t="s">
        <v>428</v>
      </c>
      <c r="H866" t="s">
        <v>422</v>
      </c>
      <c r="I866" t="s">
        <v>1849</v>
      </c>
      <c r="J866">
        <v>10</v>
      </c>
      <c r="L866">
        <v>1470</v>
      </c>
      <c r="M866" s="112">
        <f>=J866*L866</f>
        <v>14700</v>
      </c>
      <c r="N866" s="71">
        <v>2.5</v>
      </c>
      <c r="O866" s="189">
        <f>=ROUND(IF((TODAY()-A866+1)*N866*(L866/10000)+L866&lt;L866*1.002,L866*1.002,(TODAY()-A866+1)*N866*(L866/10000)+L866),2)</f>
        <v>1505.65</v>
      </c>
      <c r="P866">
        <v>10</v>
      </c>
      <c r="Q866" s="71">
        <f>=J866-P866</f>
        <v>0</v>
      </c>
      <c r="R866" s="71">
        <v>10</v>
      </c>
      <c r="S866" s="112">
        <f>=P866-R866</f>
        <v>0</v>
      </c>
      <c r="T866" s="71">
        <f>=S866*L866</f>
        <v>0</v>
      </c>
      <c r="U866" s="190">
        <f>=J866-P866</f>
        <v>0</v>
      </c>
    </row>
    <row r="867" spans="1:21" ht="15.75" customHeight="true">
      <c r="A867" s="80">
        <v>46129</v>
      </c>
      <c r="B867" s="71">
        <f>=TODAY()-A867+1</f>
        <v>96</v>
      </c>
      <c r="C867" t="s">
        <v>267</v>
      </c>
      <c r="D867" s="326" t="s">
        <v>265</v>
      </c>
      <c r="E867" s="242" t="s">
        <v>1850</v>
      </c>
      <c r="F867" s="242" t="s">
        <v>1826</v>
      </c>
      <c r="G867" t="s">
        <v>1438</v>
      </c>
      <c r="H867" t="s">
        <v>422</v>
      </c>
      <c r="I867" t="s">
        <v>1851</v>
      </c>
      <c r="J867">
        <v>25</v>
      </c>
      <c r="L867">
        <v>875</v>
      </c>
      <c r="M867" s="112">
        <f>=J867*L867</f>
        <v>21875</v>
      </c>
      <c r="N867" s="71">
        <v>2.5</v>
      </c>
      <c r="O867" s="189">
        <f>=ROUND(IF((TODAY()-A867+1)*N867*(L867/10000)+L867&lt;L867*1.002,L867*1.002,(TODAY()-A867+1)*N867*(L867/10000)+L867),2)</f>
        <v>896.22</v>
      </c>
      <c r="P867">
        <v>25</v>
      </c>
      <c r="Q867" s="71">
        <f>=J867-P867</f>
        <v>0</v>
      </c>
      <c r="R867" s="71">
        <v>25</v>
      </c>
      <c r="S867" s="112">
        <f>=P867-R867</f>
        <v>0</v>
      </c>
      <c r="T867" s="71">
        <f>=S867*L867</f>
        <v>0</v>
      </c>
      <c r="U867" s="190">
        <f>=J867-P867</f>
        <v>0</v>
      </c>
    </row>
    <row r="868" spans="1:21" ht="15.75" customHeight="true">
      <c r="A868" s="80">
        <v>46129</v>
      </c>
      <c r="B868" s="71">
        <f>=TODAY()-A868+1</f>
        <v>96</v>
      </c>
      <c r="C868" t="s">
        <v>267</v>
      </c>
      <c r="D868" s="326" t="s">
        <v>265</v>
      </c>
      <c r="E868" s="242" t="s">
        <v>1852</v>
      </c>
      <c r="F868" s="242" t="s">
        <v>1826</v>
      </c>
      <c r="G868" t="s">
        <v>1438</v>
      </c>
      <c r="H868" t="s">
        <v>422</v>
      </c>
      <c r="I868" t="s">
        <v>1853</v>
      </c>
      <c r="J868">
        <v>30</v>
      </c>
      <c r="L868">
        <v>1260</v>
      </c>
      <c r="M868" s="112">
        <f>=J868*L868</f>
        <v>37800</v>
      </c>
      <c r="N868" s="71">
        <v>2.5</v>
      </c>
      <c r="O868" s="189">
        <f>=ROUND(IF((TODAY()-A868+1)*N868*(L868/10000)+L868&lt;L868*1.002,L868*1.002,(TODAY()-A868+1)*N868*(L868/10000)+L868),2)</f>
        <v>1290.56</v>
      </c>
      <c r="P868">
        <v>30</v>
      </c>
      <c r="Q868" s="71">
        <f>=J868-P868</f>
        <v>0</v>
      </c>
      <c r="R868" s="71">
        <v>30</v>
      </c>
      <c r="S868" s="112">
        <f>=P868-R868</f>
        <v>0</v>
      </c>
      <c r="T868" s="71">
        <f>=S868*L868</f>
        <v>0</v>
      </c>
      <c r="U868" s="190">
        <f>=J868-P868</f>
        <v>0</v>
      </c>
    </row>
    <row r="869" spans="1:21" ht="15.75" customHeight="true">
      <c r="A869" s="80">
        <v>46129</v>
      </c>
      <c r="B869" s="71">
        <f>=TODAY()-A869+1</f>
        <v>96</v>
      </c>
      <c r="C869" t="s">
        <v>267</v>
      </c>
      <c r="D869" s="326" t="s">
        <v>265</v>
      </c>
      <c r="E869" s="242" t="s">
        <v>1854</v>
      </c>
      <c r="F869" s="242" t="s">
        <v>1826</v>
      </c>
      <c r="G869" t="s">
        <v>895</v>
      </c>
      <c r="H869" t="s">
        <v>422</v>
      </c>
      <c r="I869" t="s">
        <v>1855</v>
      </c>
      <c r="J869">
        <v>10</v>
      </c>
      <c r="L869">
        <v>6930</v>
      </c>
      <c r="M869" s="112">
        <f>=J869*L869</f>
        <v>69300</v>
      </c>
      <c r="N869" s="71">
        <v>2.5</v>
      </c>
      <c r="O869" s="189">
        <f>=ROUND(IF((TODAY()-A869+1)*N869*(L869/10000)+L869&lt;L869*1.002,L869*1.002,(TODAY()-A869+1)*N869*(L869/10000)+L869),2)</f>
        <v>7098.05</v>
      </c>
      <c r="P869">
        <v>10</v>
      </c>
      <c r="Q869" s="71">
        <f>=J869-P869</f>
        <v>0</v>
      </c>
      <c r="R869" s="71">
        <v>10</v>
      </c>
      <c r="S869" s="112">
        <f>=P869-R869</f>
        <v>0</v>
      </c>
      <c r="T869" s="71">
        <f>=S869*L869</f>
        <v>0</v>
      </c>
      <c r="U869" s="190">
        <f>=J869-P869</f>
        <v>0</v>
      </c>
    </row>
    <row r="870" spans="1:21" ht="15.75" customHeight="true">
      <c r="A870" s="80">
        <v>46129</v>
      </c>
      <c r="B870" s="71">
        <f>=TODAY()-A870+1</f>
        <v>96</v>
      </c>
      <c r="C870" t="s">
        <v>267</v>
      </c>
      <c r="D870" s="326" t="s">
        <v>265</v>
      </c>
      <c r="E870" s="242" t="s">
        <v>1856</v>
      </c>
      <c r="F870" s="242" t="s">
        <v>1826</v>
      </c>
      <c r="G870" t="s">
        <v>895</v>
      </c>
      <c r="H870" t="s">
        <v>422</v>
      </c>
      <c r="I870" t="s">
        <v>1857</v>
      </c>
      <c r="J870">
        <v>40</v>
      </c>
      <c r="L870">
        <v>1470</v>
      </c>
      <c r="M870" s="112">
        <f>=J870*L870</f>
        <v>58800</v>
      </c>
      <c r="N870" s="71">
        <v>2.5</v>
      </c>
      <c r="O870" s="189">
        <f>=ROUND(IF((TODAY()-A870+1)*N870*(L870/10000)+L870&lt;L870*1.002,L870*1.002,(TODAY()-A870+1)*N870*(L870/10000)+L870),2)</f>
        <v>1505.65</v>
      </c>
      <c r="P870">
        <v>40</v>
      </c>
      <c r="Q870" s="71">
        <f>=J870-P870</f>
        <v>0</v>
      </c>
      <c r="R870" s="71">
        <v>40</v>
      </c>
      <c r="S870" s="112">
        <f>=P870-R870</f>
        <v>0</v>
      </c>
      <c r="T870" s="71">
        <f>=S870*L870</f>
        <v>0</v>
      </c>
      <c r="U870" s="190">
        <f>=J870-P870</f>
        <v>0</v>
      </c>
    </row>
    <row r="871" spans="1:21" ht="15.75" customHeight="true">
      <c r="A871" s="80">
        <v>46129</v>
      </c>
      <c r="B871" s="71">
        <f>=TODAY()-A871+1</f>
        <v>96</v>
      </c>
      <c r="C871" t="s">
        <v>267</v>
      </c>
      <c r="D871" s="146" t="s">
        <v>265</v>
      </c>
      <c r="E871" s="242" t="s">
        <v>1858</v>
      </c>
      <c r="F871" s="242" t="s">
        <v>1826</v>
      </c>
      <c r="G871" t="s">
        <v>741</v>
      </c>
      <c r="H871" t="s">
        <v>422</v>
      </c>
      <c r="I871" t="s">
        <v>1859</v>
      </c>
      <c r="J871">
        <v>10</v>
      </c>
      <c r="L871">
        <v>875</v>
      </c>
      <c r="M871" s="112">
        <f>=J871*L871</f>
        <v>8750</v>
      </c>
      <c r="N871" s="71">
        <v>2.5</v>
      </c>
      <c r="O871" s="189">
        <f>=ROUND(IF((TODAY()-A871+1)*N871*(L871/10000)+L871&lt;L871*1.002,L871*1.002,(TODAY()-A871+1)*N871*(L871/10000)+L871),2)</f>
        <v>896.22</v>
      </c>
      <c r="P871">
        <v>10</v>
      </c>
      <c r="Q871" s="71">
        <f>=J871-P871</f>
        <v>0</v>
      </c>
      <c r="R871" s="71">
        <v>10</v>
      </c>
      <c r="S871" s="112">
        <f>=P871-R871</f>
        <v>0</v>
      </c>
      <c r="T871" s="71">
        <f>=S871*L871</f>
        <v>0</v>
      </c>
      <c r="U871" s="190">
        <f>=J871-P871</f>
        <v>0</v>
      </c>
    </row>
    <row r="872" spans="1:21" ht="15.75" customHeight="true">
      <c r="A872" s="80">
        <v>46129</v>
      </c>
      <c r="B872" s="71">
        <f>=TODAY()-A872+1</f>
        <v>96</v>
      </c>
      <c r="C872" t="s">
        <v>267</v>
      </c>
      <c r="D872" s="146" t="s">
        <v>265</v>
      </c>
      <c r="E872" s="242" t="s">
        <v>1860</v>
      </c>
      <c r="F872" s="242" t="s">
        <v>1826</v>
      </c>
      <c r="G872" t="s">
        <v>741</v>
      </c>
      <c r="H872" t="s">
        <v>422</v>
      </c>
      <c r="I872" t="s">
        <v>1861</v>
      </c>
      <c r="J872">
        <v>10</v>
      </c>
      <c r="L872">
        <v>1645</v>
      </c>
      <c r="M872" s="112">
        <f>=J872*L872</f>
        <v>16450</v>
      </c>
      <c r="N872" s="71">
        <v>2.5</v>
      </c>
      <c r="O872" s="189">
        <f>=ROUND(IF((TODAY()-A872+1)*N872*(L872/10000)+L872&lt;L872*1.002,L872*1.002,(TODAY()-A872+1)*N872*(L872/10000)+L872),2)</f>
        <v>1684.89</v>
      </c>
      <c r="P872">
        <v>10</v>
      </c>
      <c r="Q872" s="71">
        <f>=J872-P872</f>
        <v>0</v>
      </c>
      <c r="R872" s="71">
        <v>10</v>
      </c>
      <c r="S872" s="112">
        <f>=P872-R872</f>
        <v>0</v>
      </c>
      <c r="T872" s="71">
        <f>=S872*L872</f>
        <v>0</v>
      </c>
      <c r="U872" s="190">
        <f>=J872-P872</f>
        <v>0</v>
      </c>
    </row>
    <row r="873" spans="1:21" ht="15.75" customHeight="true">
      <c r="A873" s="80">
        <v>46129</v>
      </c>
      <c r="B873" s="71">
        <f>=TODAY()-A873+1</f>
        <v>96</v>
      </c>
      <c r="C873" t="s">
        <v>267</v>
      </c>
      <c r="D873" s="146" t="s">
        <v>265</v>
      </c>
      <c r="E873" s="242" t="s">
        <v>1862</v>
      </c>
      <c r="F873" s="242" t="s">
        <v>1826</v>
      </c>
      <c r="G873" t="s">
        <v>428</v>
      </c>
      <c r="H873" t="s">
        <v>422</v>
      </c>
      <c r="I873" t="s">
        <v>1863</v>
      </c>
      <c r="J873">
        <v>70</v>
      </c>
      <c r="L873">
        <v>980</v>
      </c>
      <c r="M873" s="112">
        <f>=J873*L873</f>
        <v>68600</v>
      </c>
      <c r="N873" s="71">
        <v>2.5</v>
      </c>
      <c r="O873" s="189">
        <f>=ROUND(IF((TODAY()-A873+1)*N873*(L873/10000)+L873&lt;L873*1.002,L873*1.002,(TODAY()-A873+1)*N873*(L873/10000)+L873),2)</f>
        <v>1003.77</v>
      </c>
      <c r="P873">
        <v>70</v>
      </c>
      <c r="Q873" s="71">
        <f>=J873-P873</f>
        <v>0</v>
      </c>
      <c r="R873" s="71">
        <v>70</v>
      </c>
      <c r="S873" s="112">
        <f>=P873-R873</f>
        <v>0</v>
      </c>
      <c r="T873" s="71">
        <f>=S873*L873</f>
        <v>0</v>
      </c>
      <c r="U873" s="190">
        <f>=J873-P873</f>
        <v>0</v>
      </c>
    </row>
    <row r="874" spans="1:21" ht="15.75" customHeight="true">
      <c r="A874" s="80">
        <v>46129</v>
      </c>
      <c r="B874" s="71">
        <f>=TODAY()-A874+1</f>
        <v>96</v>
      </c>
      <c r="C874" t="s">
        <v>267</v>
      </c>
      <c r="D874" s="146" t="s">
        <v>265</v>
      </c>
      <c r="E874" s="242" t="s">
        <v>1864</v>
      </c>
      <c r="F874" s="242" t="s">
        <v>1826</v>
      </c>
      <c r="G874" t="s">
        <v>428</v>
      </c>
      <c r="H874" t="s">
        <v>422</v>
      </c>
      <c r="I874" t="s">
        <v>1865</v>
      </c>
      <c r="J874">
        <v>60</v>
      </c>
      <c r="L874">
        <v>980</v>
      </c>
      <c r="M874" s="112">
        <f>=J874*L874</f>
        <v>58800</v>
      </c>
      <c r="N874" s="71">
        <v>2.5</v>
      </c>
      <c r="O874" s="189">
        <f>=ROUND(IF((TODAY()-A874+1)*N874*(L874/10000)+L874&lt;L874*1.002,L874*1.002,(TODAY()-A874+1)*N874*(L874/10000)+L874),2)</f>
        <v>1003.77</v>
      </c>
      <c r="P874">
        <v>60</v>
      </c>
      <c r="Q874" s="71">
        <f>=J874-P874</f>
        <v>0</v>
      </c>
      <c r="R874" s="71">
        <v>60</v>
      </c>
      <c r="S874" s="112">
        <f>=P874-R874</f>
        <v>0</v>
      </c>
      <c r="T874" s="71">
        <f>=S874*L874</f>
        <v>0</v>
      </c>
      <c r="U874" s="190">
        <f>=J874-P874</f>
        <v>0</v>
      </c>
    </row>
    <row r="875" spans="1:21" ht="15.75" customHeight="true">
      <c r="A875" s="80">
        <v>46129</v>
      </c>
      <c r="B875" s="71">
        <f>=TODAY()-A875+1</f>
        <v>96</v>
      </c>
      <c r="C875" t="s">
        <v>267</v>
      </c>
      <c r="D875" s="146" t="s">
        <v>265</v>
      </c>
      <c r="E875" s="242" t="s">
        <v>1866</v>
      </c>
      <c r="F875" s="242" t="s">
        <v>1826</v>
      </c>
      <c r="G875" t="s">
        <v>428</v>
      </c>
      <c r="H875" t="s">
        <v>422</v>
      </c>
      <c r="I875" t="s">
        <v>1867</v>
      </c>
      <c r="J875">
        <v>40</v>
      </c>
      <c r="L875">
        <v>980</v>
      </c>
      <c r="M875" s="112">
        <f>=J875*L875</f>
        <v>39200</v>
      </c>
      <c r="N875" s="71">
        <v>2.5</v>
      </c>
      <c r="O875" s="189">
        <f>=ROUND(IF((TODAY()-A875+1)*N875*(L875/10000)+L875&lt;L875*1.002,L875*1.002,(TODAY()-A875+1)*N875*(L875/10000)+L875),2)</f>
        <v>1003.77</v>
      </c>
      <c r="P875">
        <v>40</v>
      </c>
      <c r="Q875" s="71">
        <f>=J875-P875</f>
        <v>0</v>
      </c>
      <c r="R875" s="71">
        <v>40</v>
      </c>
      <c r="S875" s="112">
        <f>=P875-R875</f>
        <v>0</v>
      </c>
      <c r="T875" s="71">
        <f>=S875*L875</f>
        <v>0</v>
      </c>
      <c r="U875" s="190">
        <f>=J875-P875</f>
        <v>0</v>
      </c>
    </row>
    <row r="876" spans="1:21" ht="15.75" customHeight="true">
      <c r="A876" s="80">
        <v>46131</v>
      </c>
      <c r="B876" s="71">
        <f>=TODAY()-A876+1</f>
        <v>94</v>
      </c>
      <c r="C876" s="135" t="s">
        <v>269</v>
      </c>
      <c r="D876" s="71" t="s">
        <v>211</v>
      </c>
      <c r="E876" s="242" t="s">
        <v>1868</v>
      </c>
      <c r="F876" s="242" t="s">
        <v>1281</v>
      </c>
      <c r="G876" s="155" t="s">
        <v>421</v>
      </c>
      <c r="H876" s="155" t="s">
        <v>470</v>
      </c>
      <c r="I876" s="155" t="s">
        <v>1284</v>
      </c>
      <c r="J876">
        <v>247</v>
      </c>
      <c r="L876">
        <v>3050</v>
      </c>
      <c r="M876" s="112">
        <f>=J876*L876</f>
        <v>753350</v>
      </c>
      <c r="N876" s="71">
        <v>2.5</v>
      </c>
      <c r="O876" s="189">
        <f>=ROUND(IF((TODAY()-A876+1)*N876*(L876/10000)+L876&lt;L876*1.002,L876*1.002,(TODAY()-A876+1)*N876*(L876/10000)+L876),2)</f>
        <v>3122.44</v>
      </c>
      <c r="P876">
        <v>247</v>
      </c>
      <c r="Q876" s="71">
        <f>=J876-P876</f>
        <v>0</v>
      </c>
      <c r="R876" s="71">
        <v>247</v>
      </c>
      <c r="S876" s="112">
        <f>=P876-R876</f>
        <v>0</v>
      </c>
      <c r="T876" s="71">
        <f>=S876*L876</f>
        <v>0</v>
      </c>
      <c r="U876" s="190">
        <f>=J876-P876</f>
        <v>0</v>
      </c>
    </row>
    <row r="877" spans="1:21" ht="15.75" customHeight="true">
      <c r="A877" s="80">
        <v>46129</v>
      </c>
      <c r="B877" s="71">
        <f>=TODAY()-A877+1</f>
        <v>96</v>
      </c>
      <c r="C877" s="98" t="s">
        <v>268</v>
      </c>
      <c r="D877" s="71" t="s">
        <v>211</v>
      </c>
      <c r="E877" s="242" t="s">
        <v>1869</v>
      </c>
      <c r="F877" s="242" t="s">
        <v>1281</v>
      </c>
      <c r="G877" s="308" t="s">
        <v>421</v>
      </c>
      <c r="H877" s="308" t="s">
        <v>470</v>
      </c>
      <c r="I877" s="156" t="s">
        <v>1870</v>
      </c>
      <c r="J877">
        <v>211</v>
      </c>
      <c r="L877">
        <v>3050</v>
      </c>
      <c r="M877" s="112">
        <f>=J877*L877</f>
        <v>643550</v>
      </c>
      <c r="N877" s="71">
        <v>2.5</v>
      </c>
      <c r="O877" s="189">
        <f>=ROUND(IF((TODAY()-A877+1)*N877*(L877/10000)+L877&lt;L877*1.002,L877*1.002,(TODAY()-A877+1)*N877*(L877/10000)+L877),2)</f>
        <v>3123.96</v>
      </c>
      <c r="P877">
        <v>211</v>
      </c>
      <c r="Q877" s="71">
        <f>=J877-P877</f>
        <v>0</v>
      </c>
      <c r="R877" s="71" t="s"/>
      <c r="S877" s="112">
        <f>=P877-R877</f>
        <v>211</v>
      </c>
      <c r="T877" s="71">
        <f>=S877*L877</f>
        <v>643550</v>
      </c>
      <c r="U877" s="190">
        <f>=J877-P877</f>
        <v>0</v>
      </c>
    </row>
    <row r="878" spans="1:21" ht="15.75" customHeight="true">
      <c r="A878" s="80">
        <v>46129</v>
      </c>
      <c r="B878" s="71">
        <f>=TODAY()-A878+1</f>
        <v>96</v>
      </c>
      <c r="C878" s="135" t="s">
        <v>268</v>
      </c>
      <c r="D878" s="71" t="s">
        <v>211</v>
      </c>
      <c r="E878" s="242" t="s">
        <v>1871</v>
      </c>
      <c r="F878" s="242" t="s">
        <v>1281</v>
      </c>
      <c r="G878" s="155" t="s">
        <v>421</v>
      </c>
      <c r="H878" s="155" t="s">
        <v>470</v>
      </c>
      <c r="I878" s="155" t="s">
        <v>1282</v>
      </c>
      <c r="J878">
        <v>62</v>
      </c>
      <c r="L878">
        <v>3050</v>
      </c>
      <c r="M878" s="112">
        <f>=J878*L878</f>
        <v>189100</v>
      </c>
      <c r="N878" s="71">
        <v>2.5</v>
      </c>
      <c r="O878" s="189">
        <f>=ROUND(IF((TODAY()-A878+1)*N878*(L878/10000)+L878&lt;L878*1.002,L878*1.002,(TODAY()-A878+1)*N878*(L878/10000)+L878),2)</f>
        <v>3123.96</v>
      </c>
      <c r="P878">
        <v>62</v>
      </c>
      <c r="Q878" s="71">
        <f>=J878-P878</f>
        <v>0</v>
      </c>
      <c r="R878" s="71" t="s"/>
      <c r="S878" s="112">
        <f>=P878-R878</f>
        <v>62</v>
      </c>
      <c r="T878" s="71">
        <f>=S878*L878</f>
        <v>189100</v>
      </c>
      <c r="U878" s="190">
        <f>=J878-P878</f>
        <v>0</v>
      </c>
    </row>
    <row r="879" spans="1:21" ht="15.75" customHeight="true">
      <c r="A879" s="80">
        <v>46129</v>
      </c>
      <c r="B879" s="71">
        <f>=TODAY()-A879+1</f>
        <v>96</v>
      </c>
      <c r="C879" s="98" t="s">
        <v>268</v>
      </c>
      <c r="D879" s="71" t="s">
        <v>211</v>
      </c>
      <c r="E879" s="242" t="s">
        <v>1872</v>
      </c>
      <c r="F879" s="242" t="s">
        <v>1281</v>
      </c>
      <c r="G879" s="155" t="s">
        <v>421</v>
      </c>
      <c r="H879" s="155" t="s">
        <v>470</v>
      </c>
      <c r="I879" s="155" t="s">
        <v>1873</v>
      </c>
      <c r="J879">
        <v>173</v>
      </c>
      <c r="L879">
        <v>2650</v>
      </c>
      <c r="M879" s="112">
        <f>=J879*L879</f>
        <v>458450</v>
      </c>
      <c r="N879" s="71">
        <v>2.5</v>
      </c>
      <c r="O879" s="189">
        <f>=ROUND(IF((TODAY()-A879+1)*N879*(L879/10000)+L879&lt;L879*1.002,L879*1.002,(TODAY()-A879+1)*N879*(L879/10000)+L879),2)</f>
        <v>2714.26</v>
      </c>
      <c r="P879">
        <v>173</v>
      </c>
      <c r="Q879" s="71">
        <f>=J879-P879</f>
        <v>0</v>
      </c>
      <c r="R879" s="71">
        <v>173</v>
      </c>
      <c r="S879" s="112">
        <f>=P879-R879</f>
        <v>0</v>
      </c>
      <c r="T879" s="71">
        <f>=S879*L879</f>
        <v>0</v>
      </c>
      <c r="U879" s="190">
        <f>=J879-P879</f>
        <v>0</v>
      </c>
    </row>
    <row r="880" spans="1:21" ht="15.75" customHeight="true">
      <c r="A880" s="80">
        <v>46129</v>
      </c>
      <c r="B880" s="71">
        <f>=TODAY()-A880+1</f>
        <v>96</v>
      </c>
      <c r="C880" s="135" t="s">
        <v>268</v>
      </c>
      <c r="D880" s="71" t="s">
        <v>211</v>
      </c>
      <c r="E880" s="242" t="s">
        <v>1874</v>
      </c>
      <c r="F880" s="242" t="s">
        <v>1281</v>
      </c>
      <c r="G880" s="155" t="s">
        <v>421</v>
      </c>
      <c r="H880" s="155" t="s">
        <v>470</v>
      </c>
      <c r="I880" s="136" t="s">
        <v>1875</v>
      </c>
      <c r="J880">
        <v>50</v>
      </c>
      <c r="L880">
        <v>3050</v>
      </c>
      <c r="M880" s="112">
        <f>=J880*L880</f>
        <v>152500</v>
      </c>
      <c r="N880" s="71">
        <v>2.5</v>
      </c>
      <c r="O880" s="189">
        <f>=ROUND(IF((TODAY()-A880+1)*N880*(L880/10000)+L880&lt;L880*1.002,L880*1.002,(TODAY()-A880+1)*N880*(L880/10000)+L880),2)</f>
        <v>3123.96</v>
      </c>
      <c r="P880">
        <v>50</v>
      </c>
      <c r="Q880" s="71">
        <f>=J880-P880</f>
        <v>0</v>
      </c>
      <c r="R880">
        <v>50</v>
      </c>
      <c r="S880" s="112">
        <f>=P880-R880</f>
        <v>0</v>
      </c>
      <c r="T880" s="71">
        <f>=S880*L880</f>
        <v>0</v>
      </c>
      <c r="U880" s="190">
        <f>=J880-P880</f>
        <v>0</v>
      </c>
    </row>
    <row r="881" spans="1:21" ht="15.75" customHeight="true">
      <c r="A881" s="80">
        <v>46131</v>
      </c>
      <c r="B881" s="71">
        <f>=TODAY()-A881+1</f>
        <v>94</v>
      </c>
      <c r="C881" s="98" t="s">
        <v>269</v>
      </c>
      <c r="D881" s="71" t="s">
        <v>211</v>
      </c>
      <c r="E881" s="242" t="s">
        <v>1876</v>
      </c>
      <c r="F881" s="242" t="s">
        <v>1281</v>
      </c>
      <c r="G881" s="155" t="s">
        <v>421</v>
      </c>
      <c r="H881" s="155" t="s">
        <v>470</v>
      </c>
      <c r="I881" s="155" t="s">
        <v>1286</v>
      </c>
      <c r="J881">
        <v>91</v>
      </c>
      <c r="L881">
        <v>2650</v>
      </c>
      <c r="M881" s="112">
        <f>=J881*L881</f>
        <v>241150</v>
      </c>
      <c r="N881" s="71">
        <v>2.5</v>
      </c>
      <c r="O881" s="189">
        <f>=ROUND(IF((TODAY()-A881+1)*N881*(L881/10000)+L881&lt;L881*1.002,L881*1.002,(TODAY()-A881+1)*N881*(L881/10000)+L881),2)</f>
        <v>2712.94</v>
      </c>
      <c r="P881">
        <v>91</v>
      </c>
      <c r="Q881" s="71">
        <f>=J881-P881</f>
        <v>0</v>
      </c>
      <c r="R881" s="71">
        <v>91</v>
      </c>
      <c r="S881" s="112">
        <f>=P881-R881</f>
        <v>0</v>
      </c>
      <c r="T881" s="71">
        <f>=S881*L881</f>
        <v>0</v>
      </c>
      <c r="U881" s="190">
        <f>=J881-P881</f>
        <v>0</v>
      </c>
    </row>
    <row r="882" spans="1:21" ht="15.75" customHeight="true">
      <c r="A882" s="80">
        <v>46129</v>
      </c>
      <c r="B882" s="71">
        <f>=TODAY()-A882+1</f>
        <v>96</v>
      </c>
      <c r="C882" s="135" t="s">
        <v>268</v>
      </c>
      <c r="D882" s="71" t="s">
        <v>211</v>
      </c>
      <c r="E882" s="242" t="s">
        <v>1877</v>
      </c>
      <c r="F882" s="242" t="s">
        <v>1281</v>
      </c>
      <c r="G882" s="308" t="s">
        <v>421</v>
      </c>
      <c r="H882" s="308" t="s">
        <v>470</v>
      </c>
      <c r="I882" s="156" t="s">
        <v>1878</v>
      </c>
      <c r="J882">
        <v>47</v>
      </c>
      <c r="L882">
        <v>2650</v>
      </c>
      <c r="M882" s="112">
        <f>=J882*L882</f>
        <v>124550</v>
      </c>
      <c r="N882" s="71">
        <v>2.5</v>
      </c>
      <c r="O882" s="189">
        <f>=ROUND(IF((TODAY()-A882+1)*N882*(L882/10000)+L882&lt;L882*1.002,L882*1.002,(TODAY()-A882+1)*N882*(L882/10000)+L882),2)</f>
        <v>2714.26</v>
      </c>
      <c r="P882">
        <v>47</v>
      </c>
      <c r="Q882" s="71">
        <f>=J882-P882</f>
        <v>0</v>
      </c>
      <c r="R882" s="71" t="s"/>
      <c r="S882" s="112">
        <f>=P882-R882</f>
        <v>47</v>
      </c>
      <c r="T882" s="71">
        <f>=S882*L882</f>
        <v>124550</v>
      </c>
      <c r="U882" s="190">
        <f>=J882-P882</f>
        <v>0</v>
      </c>
    </row>
    <row r="883" spans="1:21" ht="15.75" customHeight="true">
      <c r="A883" s="80">
        <v>46129</v>
      </c>
      <c r="B883" s="71">
        <f>=TODAY()-A883+1</f>
        <v>96</v>
      </c>
      <c r="C883" s="98" t="s">
        <v>268</v>
      </c>
      <c r="D883" s="71" t="s">
        <v>211</v>
      </c>
      <c r="E883" s="242" t="s">
        <v>1848</v>
      </c>
      <c r="F883" s="242" t="s">
        <v>1281</v>
      </c>
      <c r="G883" s="308" t="s">
        <v>421</v>
      </c>
      <c r="H883" s="308" t="s">
        <v>470</v>
      </c>
      <c r="I883" s="259" t="s">
        <v>1879</v>
      </c>
      <c r="J883">
        <v>93</v>
      </c>
      <c r="L883">
        <v>2650</v>
      </c>
      <c r="M883" s="112">
        <f>=J883*L883</f>
        <v>246450</v>
      </c>
      <c r="N883" s="71">
        <v>2.5</v>
      </c>
      <c r="O883" s="189">
        <f>=ROUND(IF((TODAY()-A883+1)*N883*(L883/10000)+L883&lt;L883*1.002,L883*1.002,(TODAY()-A883+1)*N883*(L883/10000)+L883),2)</f>
        <v>2714.26</v>
      </c>
      <c r="P883">
        <v>93</v>
      </c>
      <c r="Q883" s="71">
        <f>=J883-P883</f>
        <v>0</v>
      </c>
      <c r="R883">
        <v>93</v>
      </c>
      <c r="S883" s="112">
        <f>=P883-R883</f>
        <v>0</v>
      </c>
      <c r="T883" s="71">
        <f>=S883*L883</f>
        <v>0</v>
      </c>
      <c r="U883" s="190">
        <f>=J883-P883</f>
        <v>0</v>
      </c>
    </row>
    <row r="884" spans="1:21" ht="15.75" customHeight="true">
      <c r="A884" s="80">
        <v>46132</v>
      </c>
      <c r="B884" s="71">
        <f>=TODAY()-A884+1</f>
        <v>93</v>
      </c>
      <c r="C884" s="98" t="s">
        <v>275</v>
      </c>
      <c r="D884" t="s">
        <v>272</v>
      </c>
      <c r="E884" s="145" t="s">
        <v>1880</v>
      </c>
      <c r="F884" s="145" t="s">
        <v>1881</v>
      </c>
      <c r="G884" s="87" t="s">
        <v>428</v>
      </c>
      <c r="H884" s="87" t="s">
        <v>422</v>
      </c>
      <c r="I884" s="87" t="s">
        <v>1882</v>
      </c>
      <c r="J884">
        <v>10</v>
      </c>
      <c r="L884">
        <v>4295</v>
      </c>
      <c r="M884" s="324">
        <f>=J884*L884</f>
        <v>42950</v>
      </c>
      <c r="N884" s="71">
        <v>2.5</v>
      </c>
      <c r="O884" s="189">
        <f>=ROUND(IF((TODAY()-A884+1)*N884*(L884/10000)+L884&lt;L884*1.002,L884*1.002,(TODAY()-A884+1)*N884*(L884/10000)+L884),2)</f>
        <v>4395.93</v>
      </c>
      <c r="P884">
        <v>10</v>
      </c>
      <c r="Q884" s="71">
        <f>=J884-P884</f>
        <v>0</v>
      </c>
      <c r="R884">
        <v>10</v>
      </c>
      <c r="S884" s="112">
        <f>=P884-R884</f>
        <v>0</v>
      </c>
      <c r="T884" s="71">
        <f>=S884*L884</f>
        <v>0</v>
      </c>
      <c r="U884" s="190">
        <f>=J884-P884</f>
        <v>0</v>
      </c>
    </row>
    <row r="885" spans="1:21" ht="15.75" customHeight="true">
      <c r="A885" s="80">
        <v>46132</v>
      </c>
      <c r="B885" s="71">
        <f>=TODAY()-A885+1</f>
        <v>93</v>
      </c>
      <c r="C885" s="98" t="s">
        <v>275</v>
      </c>
      <c r="D885" t="s">
        <v>272</v>
      </c>
      <c r="E885" s="145" t="s">
        <v>1883</v>
      </c>
      <c r="F885" s="145" t="s">
        <v>1881</v>
      </c>
      <c r="G885" s="87" t="s">
        <v>428</v>
      </c>
      <c r="H885" s="87" t="s">
        <v>422</v>
      </c>
      <c r="I885" s="285" t="s">
        <v>1884</v>
      </c>
      <c r="J885">
        <v>13</v>
      </c>
      <c r="L885">
        <v>4295</v>
      </c>
      <c r="M885" s="324">
        <f>=J885*L885</f>
        <v>55835</v>
      </c>
      <c r="N885" s="71">
        <v>2.5</v>
      </c>
      <c r="O885" s="189">
        <f>=ROUND(IF((TODAY()-A885+1)*N885*(L885/10000)+L885&lt;L885*1.002,L885*1.002,(TODAY()-A885+1)*N885*(L885/10000)+L885),2)</f>
        <v>4395.93</v>
      </c>
      <c r="P885">
        <v>13</v>
      </c>
      <c r="Q885" s="71">
        <f>=J885-P885</f>
        <v>0</v>
      </c>
      <c r="R885">
        <v>13</v>
      </c>
      <c r="S885" s="112">
        <f>=P885-R885</f>
        <v>0</v>
      </c>
      <c r="T885" s="71">
        <f>=S885*L885</f>
        <v>0</v>
      </c>
      <c r="U885" s="190">
        <f>=J885-P885</f>
        <v>0</v>
      </c>
    </row>
    <row r="886" spans="1:21" ht="15.75" customHeight="true">
      <c r="A886" s="80">
        <v>46132</v>
      </c>
      <c r="B886" s="71">
        <f>=TODAY()-A886+1</f>
        <v>93</v>
      </c>
      <c r="C886" s="98" t="s">
        <v>275</v>
      </c>
      <c r="D886" t="s">
        <v>272</v>
      </c>
      <c r="E886" s="145" t="s">
        <v>1885</v>
      </c>
      <c r="F886" s="145" t="s">
        <v>1881</v>
      </c>
      <c r="G886" s="87" t="s">
        <v>428</v>
      </c>
      <c r="H886" s="87" t="s">
        <v>422</v>
      </c>
      <c r="I886" s="155" t="s">
        <v>1886</v>
      </c>
      <c r="J886" s="87">
        <v>10</v>
      </c>
      <c r="L886">
        <v>4295</v>
      </c>
      <c r="M886" s="324">
        <f>=J886*L886</f>
        <v>42950</v>
      </c>
      <c r="N886" s="71">
        <v>2.5</v>
      </c>
      <c r="O886" s="189">
        <f>=ROUND(IF((TODAY()-A886+1)*N886*(L886/10000)+L886&lt;L886*1.002,L886*1.002,(TODAY()-A886+1)*N886*(L886/10000)+L886),2)</f>
        <v>4395.93</v>
      </c>
      <c r="P886" s="87">
        <v>10</v>
      </c>
      <c r="Q886" s="71">
        <f>=J886-P886</f>
        <v>0</v>
      </c>
      <c r="R886" s="87">
        <v>10</v>
      </c>
      <c r="S886" s="112">
        <f>=P886-R886</f>
        <v>0</v>
      </c>
      <c r="T886" s="71">
        <f>=S886*L886</f>
        <v>0</v>
      </c>
      <c r="U886" s="190">
        <f>=J886-P886</f>
        <v>0</v>
      </c>
    </row>
    <row r="887" spans="1:21" ht="15.75" customHeight="true">
      <c r="A887" s="80">
        <v>46132</v>
      </c>
      <c r="B887" s="71">
        <f>=TODAY()-A887+1</f>
        <v>93</v>
      </c>
      <c r="C887" s="98" t="s">
        <v>275</v>
      </c>
      <c r="D887" t="s">
        <v>272</v>
      </c>
      <c r="E887" s="145" t="s">
        <v>1887</v>
      </c>
      <c r="F887" s="145" t="s">
        <v>1881</v>
      </c>
      <c r="G887" s="140" t="s">
        <v>428</v>
      </c>
      <c r="H887" s="140" t="s">
        <v>422</v>
      </c>
      <c r="I887" s="308" t="s">
        <v>1888</v>
      </c>
      <c r="J887" s="87">
        <v>20</v>
      </c>
      <c r="L887">
        <v>3360</v>
      </c>
      <c r="M887" s="324">
        <f>=J887*L887</f>
        <v>67200</v>
      </c>
      <c r="N887" s="71">
        <v>2.5</v>
      </c>
      <c r="O887" s="189">
        <f>=ROUND(IF((TODAY()-A887+1)*N887*(L887/10000)+L887&lt;L887*1.002,L887*1.002,(TODAY()-A887+1)*N887*(L887/10000)+L887),2)</f>
        <v>3438.96</v>
      </c>
      <c r="P887" s="87">
        <v>20</v>
      </c>
      <c r="Q887" s="71">
        <f>=J887-P887</f>
        <v>0</v>
      </c>
      <c r="R887" s="267">
        <v>20</v>
      </c>
      <c r="S887" s="112">
        <f>=P887-R887</f>
        <v>0</v>
      </c>
      <c r="T887" s="71">
        <f>=S887*L887</f>
        <v>0</v>
      </c>
      <c r="U887" s="190">
        <f>=J887-P887</f>
        <v>0</v>
      </c>
    </row>
    <row r="888" spans="1:21" ht="15.75" customHeight="true">
      <c r="A888" s="80">
        <v>46132</v>
      </c>
      <c r="B888" s="71">
        <f>=TODAY()-A888+1</f>
        <v>93</v>
      </c>
      <c r="C888" s="98" t="s">
        <v>275</v>
      </c>
      <c r="D888" t="s">
        <v>272</v>
      </c>
      <c r="E888" s="145" t="s">
        <v>1889</v>
      </c>
      <c r="F888" s="145" t="s">
        <v>1881</v>
      </c>
      <c r="G888" s="87" t="s">
        <v>428</v>
      </c>
      <c r="H888" s="87" t="s">
        <v>422</v>
      </c>
      <c r="I888" s="155" t="s">
        <v>1890</v>
      </c>
      <c r="J888" s="87">
        <v>10</v>
      </c>
      <c r="L888">
        <v>6970</v>
      </c>
      <c r="M888" s="324">
        <f>=J888*L888</f>
        <v>69700</v>
      </c>
      <c r="N888" s="71">
        <v>2.5</v>
      </c>
      <c r="O888" s="189">
        <f>=ROUND(IF((TODAY()-A888+1)*N888*(L888/10000)+L888&lt;L888*1.002,L888*1.002,(TODAY()-A888+1)*N888*(L888/10000)+L888),2)</f>
        <v>7133.8</v>
      </c>
      <c r="P888" s="87">
        <v>10</v>
      </c>
      <c r="Q888" s="71">
        <f>=J888-P888</f>
        <v>0</v>
      </c>
      <c r="R888" s="267">
        <v>10</v>
      </c>
      <c r="S888" s="112">
        <f>=P888-R888</f>
        <v>0</v>
      </c>
      <c r="T888" s="71">
        <f>=S888*L888</f>
        <v>0</v>
      </c>
      <c r="U888" s="190">
        <f>=J888-P888</f>
        <v>0</v>
      </c>
    </row>
    <row r="889" spans="1:21" ht="15.75" customHeight="true">
      <c r="A889" s="80">
        <v>46132</v>
      </c>
      <c r="B889" s="71">
        <f>=TODAY()-A889+1</f>
        <v>93</v>
      </c>
      <c r="C889" s="98" t="s">
        <v>275</v>
      </c>
      <c r="D889" t="s">
        <v>272</v>
      </c>
      <c r="E889" s="145" t="s">
        <v>1891</v>
      </c>
      <c r="F889" s="145" t="s">
        <v>1881</v>
      </c>
      <c r="G889" s="140" t="s">
        <v>428</v>
      </c>
      <c r="H889" s="140" t="s">
        <v>422</v>
      </c>
      <c r="I889" s="248" t="s">
        <v>1892</v>
      </c>
      <c r="J889" s="87">
        <v>20</v>
      </c>
      <c r="L889">
        <v>6035</v>
      </c>
      <c r="M889" s="324">
        <f>=J889*L889</f>
        <v>120700</v>
      </c>
      <c r="N889" s="71">
        <v>2.5</v>
      </c>
      <c r="O889" s="189">
        <f>=ROUND(IF((TODAY()-A889+1)*N889*(L889/10000)+L889&lt;L889*1.002,L889*1.002,(TODAY()-A889+1)*N889*(L889/10000)+L889),2)</f>
        <v>6176.82</v>
      </c>
      <c r="P889" s="87">
        <v>20</v>
      </c>
      <c r="Q889" s="71">
        <f>=J889-P889</f>
        <v>0</v>
      </c>
      <c r="R889" s="267">
        <v>20</v>
      </c>
      <c r="S889" s="112">
        <f>=P889-R889</f>
        <v>0</v>
      </c>
      <c r="T889" s="71">
        <f>=S889*L889</f>
        <v>0</v>
      </c>
      <c r="U889" s="190">
        <f>=J889-P889</f>
        <v>0</v>
      </c>
    </row>
    <row r="890" spans="1:21" ht="15.75" customHeight="true">
      <c r="A890" s="80">
        <v>46132</v>
      </c>
      <c r="B890" s="71">
        <f>=TODAY()-A890+1</f>
        <v>93</v>
      </c>
      <c r="C890" s="98" t="s">
        <v>275</v>
      </c>
      <c r="D890" t="s">
        <v>272</v>
      </c>
      <c r="E890" s="145" t="s">
        <v>1893</v>
      </c>
      <c r="F890" s="145" t="s">
        <v>1881</v>
      </c>
      <c r="G890" s="140" t="s">
        <v>428</v>
      </c>
      <c r="H890" s="140" t="s">
        <v>422</v>
      </c>
      <c r="I890" s="259" t="s">
        <v>1894</v>
      </c>
      <c r="J890">
        <v>6</v>
      </c>
      <c r="L890">
        <v>2160</v>
      </c>
      <c r="M890" s="324">
        <f>=J890*L890</f>
        <v>12960</v>
      </c>
      <c r="N890" s="71">
        <v>2.5</v>
      </c>
      <c r="O890" s="189">
        <f>=ROUND(IF((TODAY()-A890+1)*N890*(L890/10000)+L890&lt;L890*1.002,L890*1.002,(TODAY()-A890+1)*N890*(L890/10000)+L890),2)</f>
        <v>2210.76</v>
      </c>
      <c r="P890">
        <v>6</v>
      </c>
      <c r="Q890" s="71">
        <f>=J890-P890</f>
        <v>0</v>
      </c>
      <c r="R890" s="267">
        <v>6</v>
      </c>
      <c r="S890" s="112">
        <f>=P890-R890</f>
        <v>0</v>
      </c>
      <c r="T890" s="71">
        <f>=S890*L890</f>
        <v>0</v>
      </c>
      <c r="U890" s="190">
        <f>=J890-P890</f>
        <v>0</v>
      </c>
    </row>
    <row r="891" spans="1:21" ht="15.75" customHeight="true">
      <c r="A891" s="80">
        <v>46132</v>
      </c>
      <c r="B891" s="71">
        <f>=TODAY()-A891+1</f>
        <v>93</v>
      </c>
      <c r="C891" s="98" t="s">
        <v>275</v>
      </c>
      <c r="D891" t="s">
        <v>272</v>
      </c>
      <c r="E891" s="153" t="s">
        <v>1895</v>
      </c>
      <c r="F891" s="145" t="s">
        <v>1881</v>
      </c>
      <c r="G891" s="140" t="s">
        <v>428</v>
      </c>
      <c r="H891" s="140" t="s">
        <v>422</v>
      </c>
      <c r="I891" s="259" t="s">
        <v>1896</v>
      </c>
      <c r="J891">
        <v>10</v>
      </c>
      <c r="L891">
        <v>2480</v>
      </c>
      <c r="M891" s="324">
        <f>=J891*L891</f>
        <v>24800</v>
      </c>
      <c r="N891" s="71">
        <v>2.5</v>
      </c>
      <c r="O891" s="189">
        <f>=ROUND(IF((TODAY()-A891+1)*N891*(L891/10000)+L891&lt;L891*1.002,L891*1.002,(TODAY()-A891+1)*N891*(L891/10000)+L891),2)</f>
        <v>2538.28</v>
      </c>
      <c r="P891">
        <v>10</v>
      </c>
      <c r="Q891" s="71">
        <f>=J891-P891</f>
        <v>0</v>
      </c>
      <c r="R891" s="267">
        <v>10</v>
      </c>
      <c r="S891" s="112">
        <f>=P891-R891</f>
        <v>0</v>
      </c>
      <c r="T891" s="71">
        <f>=S891*L891</f>
        <v>0</v>
      </c>
      <c r="U891" s="190">
        <f>=J891-P891</f>
        <v>0</v>
      </c>
    </row>
    <row r="892" spans="1:21" ht="15.75" customHeight="true">
      <c r="A892" s="80">
        <v>46132</v>
      </c>
      <c r="B892" s="71">
        <f>=TODAY()-A892+1</f>
        <v>93</v>
      </c>
      <c r="C892" s="98" t="s">
        <v>275</v>
      </c>
      <c r="D892" t="s">
        <v>272</v>
      </c>
      <c r="E892" s="145" t="s">
        <v>1897</v>
      </c>
      <c r="F892" s="145" t="s">
        <v>1881</v>
      </c>
      <c r="G892" s="87" t="s">
        <v>428</v>
      </c>
      <c r="H892" s="87" t="s">
        <v>422</v>
      </c>
      <c r="I892" s="259" t="s">
        <v>1898</v>
      </c>
      <c r="J892">
        <v>9</v>
      </c>
      <c r="L892">
        <v>2480</v>
      </c>
      <c r="M892" s="324">
        <f>=J892*L892</f>
        <v>22320</v>
      </c>
      <c r="N892" s="71">
        <v>2.5</v>
      </c>
      <c r="O892" s="189">
        <f>=ROUND(IF((TODAY()-A892+1)*N892*(L892/10000)+L892&lt;L892*1.002,L892*1.002,(TODAY()-A892+1)*N892*(L892/10000)+L892),2)</f>
        <v>2538.28</v>
      </c>
      <c r="P892">
        <v>9</v>
      </c>
      <c r="Q892" s="71">
        <f>=J892-P892</f>
        <v>0</v>
      </c>
      <c r="R892" s="267">
        <v>9</v>
      </c>
      <c r="S892" s="112">
        <f>=P892-R892</f>
        <v>0</v>
      </c>
      <c r="T892" s="71">
        <f>=S892*L892</f>
        <v>0</v>
      </c>
      <c r="U892" s="190">
        <f>=J892-P892</f>
        <v>0</v>
      </c>
    </row>
    <row r="893" spans="1:21" ht="15.75" customHeight="true">
      <c r="A893" s="80">
        <v>46132</v>
      </c>
      <c r="B893" s="71">
        <f>=TODAY()-A893+1</f>
        <v>93</v>
      </c>
      <c r="C893" s="98" t="s">
        <v>275</v>
      </c>
      <c r="D893" t="s">
        <v>272</v>
      </c>
      <c r="E893" s="145" t="s">
        <v>1899</v>
      </c>
      <c r="F893" s="145" t="s">
        <v>1881</v>
      </c>
      <c r="G893" s="140" t="s">
        <v>428</v>
      </c>
      <c r="H893" s="140" t="s">
        <v>422</v>
      </c>
      <c r="I893" s="259" t="s">
        <v>1900</v>
      </c>
      <c r="J893">
        <v>18</v>
      </c>
      <c r="L893">
        <v>2480</v>
      </c>
      <c r="M893" s="324">
        <f>=J893*L893</f>
        <v>44640</v>
      </c>
      <c r="N893" s="71">
        <v>2.5</v>
      </c>
      <c r="O893" s="189">
        <f>=ROUND(IF((TODAY()-A893+1)*N893*(L893/10000)+L893&lt;L893*1.002,L893*1.002,(TODAY()-A893+1)*N893*(L893/10000)+L893),2)</f>
        <v>2538.28</v>
      </c>
      <c r="P893">
        <v>18</v>
      </c>
      <c r="Q893" s="71">
        <f>=J893-P893</f>
        <v>0</v>
      </c>
      <c r="R893">
        <v>18</v>
      </c>
      <c r="S893" s="112">
        <f>=P893-R893</f>
        <v>0</v>
      </c>
      <c r="T893" s="71">
        <f>=S893*L893</f>
        <v>0</v>
      </c>
      <c r="U893" s="190">
        <f>=J893-P893</f>
        <v>0</v>
      </c>
    </row>
    <row r="894" spans="1:21" ht="15.75" customHeight="true">
      <c r="A894" s="80">
        <v>46132</v>
      </c>
      <c r="B894" s="71">
        <f>=TODAY()-A894+1</f>
        <v>93</v>
      </c>
      <c r="C894" s="98" t="s">
        <v>275</v>
      </c>
      <c r="D894" t="s">
        <v>272</v>
      </c>
      <c r="E894" s="145" t="s">
        <v>1901</v>
      </c>
      <c r="F894" s="145" t="s">
        <v>1881</v>
      </c>
      <c r="G894" s="87" t="s">
        <v>428</v>
      </c>
      <c r="H894" s="87" t="s">
        <v>422</v>
      </c>
      <c r="I894" s="259" t="s">
        <v>1902</v>
      </c>
      <c r="J894">
        <v>20</v>
      </c>
      <c r="L894">
        <v>2480</v>
      </c>
      <c r="M894" s="324">
        <f>=J894*L894</f>
        <v>49600</v>
      </c>
      <c r="N894" s="71">
        <v>2.5</v>
      </c>
      <c r="O894" s="189">
        <f>=ROUND(IF((TODAY()-A894+1)*N894*(L894/10000)+L894&lt;L894*1.002,L894*1.002,(TODAY()-A894+1)*N894*(L894/10000)+L894),2)</f>
        <v>2538.28</v>
      </c>
      <c r="P894">
        <v>20</v>
      </c>
      <c r="Q894" s="71">
        <f>=J894-P894</f>
        <v>0</v>
      </c>
      <c r="R894">
        <v>20</v>
      </c>
      <c r="S894" s="112">
        <f>=P894-R894</f>
        <v>0</v>
      </c>
      <c r="T894" s="71">
        <f>=S894*L894</f>
        <v>0</v>
      </c>
      <c r="U894" s="190">
        <f>=J894-P894</f>
        <v>0</v>
      </c>
    </row>
    <row r="895" spans="1:21" ht="15.75" customHeight="true">
      <c r="A895" s="80">
        <v>46132</v>
      </c>
      <c r="B895" s="71">
        <f>=TODAY()-A895+1</f>
        <v>93</v>
      </c>
      <c r="C895" s="98" t="s">
        <v>275</v>
      </c>
      <c r="D895" t="s">
        <v>272</v>
      </c>
      <c r="E895" s="145" t="s">
        <v>1903</v>
      </c>
      <c r="F895" s="145" t="s">
        <v>1881</v>
      </c>
      <c r="G895" s="87" t="s">
        <v>428</v>
      </c>
      <c r="H895" s="87" t="s">
        <v>422</v>
      </c>
      <c r="I895" s="87" t="s">
        <v>1904</v>
      </c>
      <c r="J895">
        <v>5</v>
      </c>
      <c r="L895">
        <v>1880</v>
      </c>
      <c r="M895" s="324">
        <f>=J895*L895</f>
        <v>9400</v>
      </c>
      <c r="N895" s="71">
        <v>2.5</v>
      </c>
      <c r="O895" s="189">
        <f>=ROUND(IF((TODAY()-A895+1)*N895*(L895/10000)+L895&lt;L895*1.002,L895*1.002,(TODAY()-A895+1)*N895*(L895/10000)+L895),2)</f>
        <v>1924.18</v>
      </c>
      <c r="P895">
        <v>5</v>
      </c>
      <c r="Q895" s="71">
        <f>=J895-P895</f>
        <v>0</v>
      </c>
      <c r="R895" s="267">
        <v>5</v>
      </c>
      <c r="S895" s="112">
        <f>=P895-R895</f>
        <v>0</v>
      </c>
      <c r="T895" s="71">
        <f>=S895*L895</f>
        <v>0</v>
      </c>
      <c r="U895" s="190">
        <f>=J895-P895</f>
        <v>0</v>
      </c>
    </row>
    <row r="896" spans="1:21" ht="15.75" customHeight="true">
      <c r="A896" s="80">
        <v>46132</v>
      </c>
      <c r="B896" s="71">
        <f>=TODAY()-A896+1</f>
        <v>93</v>
      </c>
      <c r="C896" s="98" t="s">
        <v>275</v>
      </c>
      <c r="D896" t="s">
        <v>272</v>
      </c>
      <c r="E896" s="145" t="s">
        <v>1905</v>
      </c>
      <c r="F896" s="145" t="s">
        <v>1881</v>
      </c>
      <c r="G896" s="87" t="s">
        <v>428</v>
      </c>
      <c r="H896" s="87" t="s">
        <v>422</v>
      </c>
      <c r="I896" s="87" t="s">
        <v>1906</v>
      </c>
      <c r="J896">
        <v>5</v>
      </c>
      <c r="L896">
        <v>1880</v>
      </c>
      <c r="M896" s="324">
        <f>=J896*L896</f>
        <v>9400</v>
      </c>
      <c r="N896" s="71">
        <v>2.5</v>
      </c>
      <c r="O896" s="189">
        <f>=ROUND(IF((TODAY()-A896+1)*N896*(L896/10000)+L896&lt;L896*1.002,L896*1.002,(TODAY()-A896+1)*N896*(L896/10000)+L896),2)</f>
        <v>1924.18</v>
      </c>
      <c r="P896">
        <v>5</v>
      </c>
      <c r="Q896" s="71">
        <f>=J896-P896</f>
        <v>0</v>
      </c>
      <c r="R896" s="267">
        <v>5</v>
      </c>
      <c r="S896" s="112">
        <f>=P896-R896</f>
        <v>0</v>
      </c>
      <c r="T896" s="71">
        <f>=S896*L896</f>
        <v>0</v>
      </c>
      <c r="U896" s="190">
        <f>=J896-P896</f>
        <v>0</v>
      </c>
    </row>
    <row r="897" spans="1:21" ht="15.75" customHeight="true">
      <c r="A897" s="80">
        <v>46132</v>
      </c>
      <c r="B897" s="71">
        <f>=TODAY()-A897+1</f>
        <v>93</v>
      </c>
      <c r="C897" s="98" t="s">
        <v>275</v>
      </c>
      <c r="D897" t="s">
        <v>272</v>
      </c>
      <c r="E897" s="145" t="s">
        <v>1907</v>
      </c>
      <c r="F897" s="145" t="s">
        <v>1881</v>
      </c>
      <c r="G897" s="87" t="s">
        <v>428</v>
      </c>
      <c r="H897" s="87" t="s">
        <v>422</v>
      </c>
      <c r="I897" s="87" t="s">
        <v>1908</v>
      </c>
      <c r="J897">
        <v>16</v>
      </c>
      <c r="L897">
        <v>1880</v>
      </c>
      <c r="M897" s="324">
        <f>=J897*L897</f>
        <v>30080</v>
      </c>
      <c r="N897" s="71">
        <v>2.5</v>
      </c>
      <c r="O897" s="189">
        <f>=ROUND(IF((TODAY()-A897+1)*N897*(L897/10000)+L897&lt;L897*1.002,L897*1.002,(TODAY()-A897+1)*N897*(L897/10000)+L897),2)</f>
        <v>1924.18</v>
      </c>
      <c r="P897">
        <v>16</v>
      </c>
      <c r="Q897" s="71">
        <f>=J897-P897</f>
        <v>0</v>
      </c>
      <c r="R897" s="267">
        <v>16</v>
      </c>
      <c r="S897" s="112">
        <f>=P897-R897</f>
        <v>0</v>
      </c>
      <c r="T897" s="71">
        <f>=S897*L897</f>
        <v>0</v>
      </c>
      <c r="U897" s="190">
        <f>=J897-P897</f>
        <v>0</v>
      </c>
    </row>
    <row r="898" spans="1:21" ht="15.75" customHeight="true">
      <c r="A898" s="80">
        <v>46132</v>
      </c>
      <c r="B898" s="71">
        <f>=TODAY()-A898+1</f>
        <v>93</v>
      </c>
      <c r="C898" s="98" t="s">
        <v>275</v>
      </c>
      <c r="D898" t="s">
        <v>272</v>
      </c>
      <c r="E898" s="145" t="s">
        <v>1909</v>
      </c>
      <c r="F898" s="145" t="s">
        <v>1881</v>
      </c>
      <c r="G898" s="87" t="s">
        <v>428</v>
      </c>
      <c r="H898" s="87" t="s">
        <v>422</v>
      </c>
      <c r="I898" s="87" t="s">
        <v>1910</v>
      </c>
      <c r="J898">
        <v>8</v>
      </c>
      <c r="L898">
        <v>1640</v>
      </c>
      <c r="M898" s="324">
        <f>=J898*L898</f>
        <v>13120</v>
      </c>
      <c r="N898" s="71">
        <v>2.5</v>
      </c>
      <c r="O898" s="189">
        <f>=ROUND(IF((TODAY()-A898+1)*N898*(L898/10000)+L898&lt;L898*1.002,L898*1.002,(TODAY()-A898+1)*N898*(L898/10000)+L898),2)</f>
        <v>1678.54</v>
      </c>
      <c r="P898">
        <v>8</v>
      </c>
      <c r="Q898" s="71">
        <f>=J898-P898</f>
        <v>0</v>
      </c>
      <c r="R898" s="267">
        <v>8</v>
      </c>
      <c r="S898" s="112">
        <f>=P898-R898</f>
        <v>0</v>
      </c>
      <c r="T898" s="71">
        <f>=S898*L898</f>
        <v>0</v>
      </c>
      <c r="U898" s="190">
        <f>=J898-P898</f>
        <v>0</v>
      </c>
    </row>
    <row r="899" spans="1:21" ht="15.75" customHeight="true">
      <c r="A899" s="80">
        <v>46132</v>
      </c>
      <c r="B899" s="71">
        <f>=TODAY()-A899+1</f>
        <v>93</v>
      </c>
      <c r="C899" s="98" t="s">
        <v>275</v>
      </c>
      <c r="D899" t="s">
        <v>272</v>
      </c>
      <c r="E899" s="145" t="s">
        <v>1911</v>
      </c>
      <c r="F899" s="145" t="s">
        <v>1881</v>
      </c>
      <c r="G899" s="87" t="s">
        <v>428</v>
      </c>
      <c r="H899" s="87" t="s">
        <v>422</v>
      </c>
      <c r="I899" s="87" t="s">
        <v>1912</v>
      </c>
      <c r="J899">
        <v>14</v>
      </c>
      <c r="L899">
        <v>1640</v>
      </c>
      <c r="M899" s="324">
        <f>=J899*L899</f>
        <v>22960</v>
      </c>
      <c r="N899" s="71">
        <v>2.5</v>
      </c>
      <c r="O899" s="189">
        <f>=ROUND(IF((TODAY()-A899+1)*N899*(L899/10000)+L899&lt;L899*1.002,L899*1.002,(TODAY()-A899+1)*N899*(L899/10000)+L899),2)</f>
        <v>1678.54</v>
      </c>
      <c r="P899">
        <v>14</v>
      </c>
      <c r="Q899" s="71">
        <f>=J899-P899</f>
        <v>0</v>
      </c>
      <c r="R899">
        <v>14</v>
      </c>
      <c r="S899" s="112">
        <f>=P899-R899</f>
        <v>0</v>
      </c>
      <c r="T899" s="71">
        <f>=S899*L899</f>
        <v>0</v>
      </c>
      <c r="U899" s="190">
        <f>=J899-P899</f>
        <v>0</v>
      </c>
    </row>
    <row r="900" spans="1:21" ht="15.75" customHeight="true">
      <c r="A900" s="80">
        <v>46132</v>
      </c>
      <c r="B900" s="71">
        <f>=TODAY()-A900+1</f>
        <v>93</v>
      </c>
      <c r="C900" s="98" t="s">
        <v>275</v>
      </c>
      <c r="D900" t="s">
        <v>272</v>
      </c>
      <c r="E900" s="145" t="s">
        <v>1913</v>
      </c>
      <c r="F900" s="145" t="s">
        <v>1881</v>
      </c>
      <c r="G900" s="87" t="s">
        <v>428</v>
      </c>
      <c r="H900" s="87" t="s">
        <v>422</v>
      </c>
      <c r="I900" s="87" t="s">
        <v>1914</v>
      </c>
      <c r="J900">
        <v>20</v>
      </c>
      <c r="L900">
        <v>1640</v>
      </c>
      <c r="M900" s="324">
        <f>=J900*L900</f>
        <v>32800</v>
      </c>
      <c r="N900" s="71">
        <v>2.5</v>
      </c>
      <c r="O900" s="189">
        <f>=ROUND(IF((TODAY()-A900+1)*N900*(L900/10000)+L900&lt;L900*1.002,L900*1.002,(TODAY()-A900+1)*N900*(L900/10000)+L900),2)</f>
        <v>1678.54</v>
      </c>
      <c r="P900">
        <v>20</v>
      </c>
      <c r="Q900" s="71">
        <f>=J900-P900</f>
        <v>0</v>
      </c>
      <c r="R900">
        <v>20</v>
      </c>
      <c r="S900" s="112">
        <f>=P900-R900</f>
        <v>0</v>
      </c>
      <c r="T900" s="71">
        <f>=S900*L900</f>
        <v>0</v>
      </c>
      <c r="U900" s="190">
        <f>=J900-P900</f>
        <v>0</v>
      </c>
    </row>
    <row r="901" spans="1:21" ht="15.75" customHeight="true">
      <c r="A901" s="80">
        <v>46130</v>
      </c>
      <c r="B901" s="71">
        <f>=TODAY()-A901+1</f>
        <v>95</v>
      </c>
      <c r="C901" s="98" t="s">
        <v>273</v>
      </c>
      <c r="D901" t="s">
        <v>272</v>
      </c>
      <c r="E901" s="145" t="s">
        <v>1915</v>
      </c>
      <c r="F901" s="145" t="s">
        <v>1881</v>
      </c>
      <c r="G901" s="87" t="s">
        <v>428</v>
      </c>
      <c r="H901" s="87" t="s">
        <v>422</v>
      </c>
      <c r="I901" s="87" t="s">
        <v>1916</v>
      </c>
      <c r="J901">
        <v>10</v>
      </c>
      <c r="L901">
        <v>3145</v>
      </c>
      <c r="M901" s="324">
        <f>=J901*L901</f>
        <v>31450</v>
      </c>
      <c r="N901" s="71">
        <v>2.5</v>
      </c>
      <c r="O901" s="189">
        <f>=ROUND(IF((TODAY()-A901+1)*N901*(L901/10000)+L901&lt;L901*1.002,L901*1.002,(TODAY()-A901+1)*N901*(L901/10000)+L901),2)</f>
        <v>3220.48</v>
      </c>
      <c r="P901">
        <v>10</v>
      </c>
      <c r="Q901" s="71">
        <f>=J901-P901</f>
        <v>0</v>
      </c>
      <c r="R901" s="267">
        <v>10</v>
      </c>
      <c r="S901" s="112">
        <f>=P901-R901</f>
        <v>0</v>
      </c>
      <c r="T901" s="71">
        <f>=S901*L901</f>
        <v>0</v>
      </c>
      <c r="U901" s="190">
        <f>=J901-P901</f>
        <v>0</v>
      </c>
    </row>
    <row r="902" spans="1:21" ht="15.75" customHeight="true">
      <c r="A902" s="80">
        <v>46130</v>
      </c>
      <c r="B902" s="71">
        <f>=TODAY()-A902+1</f>
        <v>95</v>
      </c>
      <c r="C902" s="98" t="s">
        <v>273</v>
      </c>
      <c r="D902" t="s">
        <v>272</v>
      </c>
      <c r="E902" s="145" t="s">
        <v>1917</v>
      </c>
      <c r="F902" s="145" t="s">
        <v>1881</v>
      </c>
      <c r="G902" s="87" t="s">
        <v>428</v>
      </c>
      <c r="H902" s="87" t="s">
        <v>422</v>
      </c>
      <c r="I902" s="87" t="s">
        <v>1918</v>
      </c>
      <c r="J902">
        <v>8</v>
      </c>
      <c r="L902">
        <v>3145</v>
      </c>
      <c r="M902" s="324">
        <f>=J902*L902</f>
        <v>25160</v>
      </c>
      <c r="N902" s="71">
        <v>2.5</v>
      </c>
      <c r="O902" s="189">
        <f>=ROUND(IF((TODAY()-A902+1)*N902*(L902/10000)+L902&lt;L902*1.002,L902*1.002,(TODAY()-A902+1)*N902*(L902/10000)+L902),2)</f>
        <v>3220.48</v>
      </c>
      <c r="P902">
        <v>8</v>
      </c>
      <c r="Q902" s="71">
        <f>=J902-P902</f>
        <v>0</v>
      </c>
      <c r="R902" s="267">
        <v>8</v>
      </c>
      <c r="S902" s="112">
        <f>=P902-R902</f>
        <v>0</v>
      </c>
      <c r="T902" s="71">
        <f>=S902*L902</f>
        <v>0</v>
      </c>
      <c r="U902" s="190">
        <f>=J902-P902</f>
        <v>0</v>
      </c>
    </row>
    <row r="903" spans="1:21" ht="15.75" customHeight="true">
      <c r="A903" s="80">
        <v>46130</v>
      </c>
      <c r="B903" s="71">
        <f>=TODAY()-A903+1</f>
        <v>95</v>
      </c>
      <c r="C903" s="98" t="s">
        <v>273</v>
      </c>
      <c r="D903" t="s">
        <v>272</v>
      </c>
      <c r="E903" s="145" t="s">
        <v>1919</v>
      </c>
      <c r="F903" s="145" t="s">
        <v>1881</v>
      </c>
      <c r="G903" s="87" t="s">
        <v>428</v>
      </c>
      <c r="H903" s="87" t="s">
        <v>422</v>
      </c>
      <c r="I903" s="87" t="s">
        <v>1920</v>
      </c>
      <c r="J903">
        <v>5</v>
      </c>
      <c r="L903">
        <v>3655</v>
      </c>
      <c r="M903" s="324">
        <f>=J903*L903</f>
        <v>18275</v>
      </c>
      <c r="N903" s="71">
        <v>2.5</v>
      </c>
      <c r="O903" s="189">
        <f>=ROUND(IF((TODAY()-A903+1)*N903*(L903/10000)+L903&lt;L903*1.002,L903*1.002,(TODAY()-A903+1)*N903*(L903/10000)+L903),2)</f>
        <v>3742.72</v>
      </c>
      <c r="P903">
        <v>5</v>
      </c>
      <c r="Q903" s="71">
        <f>=J903-P903</f>
        <v>0</v>
      </c>
      <c r="R903" s="267">
        <v>5</v>
      </c>
      <c r="S903" s="112">
        <f>=P903-R903</f>
        <v>0</v>
      </c>
      <c r="T903" s="71">
        <f>=S903*L903</f>
        <v>0</v>
      </c>
      <c r="U903" s="190">
        <f>=J903-P903</f>
        <v>0</v>
      </c>
    </row>
    <row r="904" spans="1:21" ht="15.75" customHeight="true">
      <c r="A904" s="80">
        <v>46131</v>
      </c>
      <c r="B904" s="71">
        <f>=TODAY()-A904+1</f>
        <v>94</v>
      </c>
      <c r="C904" s="98" t="s">
        <v>274</v>
      </c>
      <c r="D904" t="s">
        <v>272</v>
      </c>
      <c r="E904" s="145" t="s">
        <v>1921</v>
      </c>
      <c r="F904" s="145" t="s">
        <v>1881</v>
      </c>
      <c r="G904" s="87" t="s">
        <v>428</v>
      </c>
      <c r="H904" s="87" t="s">
        <v>422</v>
      </c>
      <c r="I904" s="87" t="s">
        <v>1922</v>
      </c>
      <c r="J904">
        <v>20</v>
      </c>
      <c r="L904">
        <v>735</v>
      </c>
      <c r="M904" s="324">
        <f>=J904*L904</f>
        <v>14700</v>
      </c>
      <c r="N904" s="71">
        <v>2.5</v>
      </c>
      <c r="O904" s="189">
        <f>=ROUND(IF((TODAY()-A904+1)*N904*(L904/10000)+L904&lt;L904*1.002,L904*1.002,(TODAY()-A904+1)*N904*(L904/10000)+L904),2)</f>
        <v>752.46</v>
      </c>
      <c r="P904">
        <v>20</v>
      </c>
      <c r="Q904" s="71">
        <f>=J904-P904</f>
        <v>0</v>
      </c>
      <c r="R904" s="267">
        <v>20</v>
      </c>
      <c r="S904" s="112">
        <f>=P904-R904</f>
        <v>0</v>
      </c>
      <c r="T904" s="71">
        <f>=S904*L904</f>
        <v>0</v>
      </c>
      <c r="U904" s="190">
        <f>=J904-P904</f>
        <v>0</v>
      </c>
    </row>
    <row r="905" spans="1:21" ht="15.75" customHeight="true">
      <c r="A905" s="80">
        <v>46130</v>
      </c>
      <c r="B905" s="71">
        <f>=TODAY()-A905+1</f>
        <v>95</v>
      </c>
      <c r="C905" s="98" t="s">
        <v>273</v>
      </c>
      <c r="D905" t="s">
        <v>272</v>
      </c>
      <c r="E905" s="145" t="s">
        <v>1923</v>
      </c>
      <c r="F905" s="145" t="s">
        <v>1881</v>
      </c>
      <c r="G905" s="87" t="s">
        <v>428</v>
      </c>
      <c r="H905" s="87" t="s">
        <v>422</v>
      </c>
      <c r="I905" s="87" t="s">
        <v>1924</v>
      </c>
      <c r="J905">
        <v>7</v>
      </c>
      <c r="L905">
        <v>665</v>
      </c>
      <c r="M905" s="324">
        <f>=J905*L905</f>
        <v>4655</v>
      </c>
      <c r="N905" s="71">
        <v>2.5</v>
      </c>
      <c r="O905" s="189">
        <f>=ROUND(IF((TODAY()-A905+1)*N905*(L905/10000)+L905&lt;L905*1.002,L905*1.002,(TODAY()-A905+1)*N905*(L905/10000)+L905),2)</f>
        <v>680.96</v>
      </c>
      <c r="P905">
        <v>7</v>
      </c>
      <c r="Q905" s="71">
        <f>=J905-P905</f>
        <v>0</v>
      </c>
      <c r="R905" s="267">
        <v>7</v>
      </c>
      <c r="S905" s="112">
        <f>=P905-R905</f>
        <v>0</v>
      </c>
      <c r="T905" s="71">
        <f>=S905*L905</f>
        <v>0</v>
      </c>
      <c r="U905" s="190">
        <f>=J905-P905</f>
        <v>0</v>
      </c>
    </row>
    <row r="906" spans="1:21" ht="15.75" customHeight="true">
      <c r="A906" s="80">
        <v>46131</v>
      </c>
      <c r="B906" s="71">
        <f>=TODAY()-A906+1</f>
        <v>94</v>
      </c>
      <c r="C906" s="98" t="s">
        <v>274</v>
      </c>
      <c r="D906" t="s">
        <v>272</v>
      </c>
      <c r="E906" s="145" t="s">
        <v>1925</v>
      </c>
      <c r="F906" s="145" t="s">
        <v>1881</v>
      </c>
      <c r="G906" s="87" t="s">
        <v>428</v>
      </c>
      <c r="H906" s="87" t="s">
        <v>422</v>
      </c>
      <c r="I906" s="87" t="s">
        <v>1926</v>
      </c>
      <c r="J906">
        <v>20</v>
      </c>
      <c r="L906">
        <v>1050</v>
      </c>
      <c r="M906" s="324">
        <f>=J906*L906</f>
        <v>21000</v>
      </c>
      <c r="N906" s="71">
        <v>2.5</v>
      </c>
      <c r="O906" s="189">
        <f>=ROUND(IF((TODAY()-A906+1)*N906*(L906/10000)+L906&lt;L906*1.002,L906*1.002,(TODAY()-A906+1)*N906*(L906/10000)+L906),2)</f>
        <v>1074.94</v>
      </c>
      <c r="P906">
        <v>20</v>
      </c>
      <c r="Q906" s="71">
        <f>=J906-P906</f>
        <v>0</v>
      </c>
      <c r="R906">
        <v>20</v>
      </c>
      <c r="S906" s="112">
        <f>=P906-R906</f>
        <v>0</v>
      </c>
      <c r="T906" s="71">
        <f>=S906*L906</f>
        <v>0</v>
      </c>
      <c r="U906" s="190">
        <f>=J906-P906</f>
        <v>0</v>
      </c>
    </row>
    <row r="907" spans="1:21" ht="15.75" customHeight="true">
      <c r="A907" s="80">
        <v>46131</v>
      </c>
      <c r="B907" s="71">
        <f>=TODAY()-A907+1</f>
        <v>94</v>
      </c>
      <c r="C907" s="98" t="s">
        <v>274</v>
      </c>
      <c r="D907" t="s">
        <v>272</v>
      </c>
      <c r="E907" s="145" t="s">
        <v>1927</v>
      </c>
      <c r="F907" s="145" t="s">
        <v>1881</v>
      </c>
      <c r="G907" s="87" t="s">
        <v>428</v>
      </c>
      <c r="H907" s="87" t="s">
        <v>422</v>
      </c>
      <c r="I907" s="87" t="s">
        <v>1928</v>
      </c>
      <c r="J907">
        <v>20</v>
      </c>
      <c r="L907">
        <v>875</v>
      </c>
      <c r="M907" s="324">
        <f>=J907*L907</f>
        <v>17500</v>
      </c>
      <c r="N907" s="71">
        <v>2.5</v>
      </c>
      <c r="O907" s="189">
        <f>=ROUND(IF((TODAY()-A907+1)*N907*(L907/10000)+L907&lt;L907*1.002,L907*1.002,(TODAY()-A907+1)*N907*(L907/10000)+L907),2)</f>
        <v>895.78</v>
      </c>
      <c r="P907">
        <v>20</v>
      </c>
      <c r="Q907" s="71">
        <f>=J907-P907</f>
        <v>0</v>
      </c>
      <c r="R907">
        <v>20</v>
      </c>
      <c r="S907" s="112">
        <f>=P907-R907</f>
        <v>0</v>
      </c>
      <c r="T907" s="71">
        <f>=S907*L907</f>
        <v>0</v>
      </c>
      <c r="U907" s="190">
        <f>=J907-P907</f>
        <v>0</v>
      </c>
    </row>
    <row r="908" spans="1:21" ht="15.75" customHeight="true">
      <c r="A908" s="80">
        <v>46132</v>
      </c>
      <c r="B908" s="71">
        <f>=TODAY()-A908+1</f>
        <v>93</v>
      </c>
      <c r="C908" s="98" t="s">
        <v>275</v>
      </c>
      <c r="D908" t="s">
        <v>272</v>
      </c>
      <c r="E908" s="145" t="s">
        <v>1929</v>
      </c>
      <c r="F908" s="145" t="s">
        <v>1881</v>
      </c>
      <c r="G908" s="87" t="s">
        <v>428</v>
      </c>
      <c r="H908" s="87" t="s">
        <v>422</v>
      </c>
      <c r="I908" s="87" t="s">
        <v>1930</v>
      </c>
      <c r="J908">
        <v>10</v>
      </c>
      <c r="L908">
        <v>875</v>
      </c>
      <c r="M908" s="324">
        <f>=J908*L908</f>
        <v>8750</v>
      </c>
      <c r="N908" s="71">
        <v>2.5</v>
      </c>
      <c r="O908" s="189">
        <f>=ROUND(IF((TODAY()-A908+1)*N908*(L908/10000)+L908&lt;L908*1.002,L908*1.002,(TODAY()-A908+1)*N908*(L908/10000)+L908),2)</f>
        <v>895.56</v>
      </c>
      <c r="P908">
        <v>10</v>
      </c>
      <c r="Q908" s="71">
        <f>=J908-P908</f>
        <v>0</v>
      </c>
      <c r="R908" s="267">
        <v>10</v>
      </c>
      <c r="S908" s="112">
        <f>=P908-R908</f>
        <v>0</v>
      </c>
      <c r="T908" s="71">
        <f>=S908*L908</f>
        <v>0</v>
      </c>
      <c r="U908" s="190">
        <f>=J908-P908</f>
        <v>0</v>
      </c>
    </row>
    <row r="909" spans="1:21" ht="15.75" customHeight="true">
      <c r="A909" s="80">
        <v>46132</v>
      </c>
      <c r="B909" s="71">
        <f>=TODAY()-A909+1</f>
        <v>93</v>
      </c>
      <c r="C909" s="98" t="s">
        <v>275</v>
      </c>
      <c r="D909" t="s">
        <v>272</v>
      </c>
      <c r="E909" s="145" t="s">
        <v>1931</v>
      </c>
      <c r="F909" s="145" t="s">
        <v>1881</v>
      </c>
      <c r="G909" s="87" t="s">
        <v>428</v>
      </c>
      <c r="H909" s="87" t="s">
        <v>422</v>
      </c>
      <c r="I909" s="87" t="s">
        <v>1932</v>
      </c>
      <c r="J909">
        <v>20</v>
      </c>
      <c r="L909">
        <v>1050</v>
      </c>
      <c r="M909" s="324">
        <f>=J909*L909</f>
        <v>21000</v>
      </c>
      <c r="N909" s="71">
        <v>2.5</v>
      </c>
      <c r="O909" s="189">
        <f>=ROUND(IF((TODAY()-A909+1)*N909*(L909/10000)+L909&lt;L909*1.002,L909*1.002,(TODAY()-A909+1)*N909*(L909/10000)+L909),2)</f>
        <v>1074.68</v>
      </c>
      <c r="P909">
        <v>20</v>
      </c>
      <c r="Q909" s="71">
        <f>=J909-P909</f>
        <v>0</v>
      </c>
      <c r="R909">
        <v>20</v>
      </c>
      <c r="S909" s="112">
        <f>=P909-R909</f>
        <v>0</v>
      </c>
      <c r="T909" s="71">
        <f>=S909*L909</f>
        <v>0</v>
      </c>
      <c r="U909" s="190">
        <f>=J909-P909</f>
        <v>0</v>
      </c>
    </row>
    <row r="910" spans="1:21" ht="15.75" customHeight="true">
      <c r="A910" s="80">
        <v>46132</v>
      </c>
      <c r="B910" s="71">
        <f>=TODAY()-A910+1</f>
        <v>93</v>
      </c>
      <c r="C910" s="98" t="s">
        <v>275</v>
      </c>
      <c r="D910" t="s">
        <v>272</v>
      </c>
      <c r="E910" s="145" t="s">
        <v>1933</v>
      </c>
      <c r="F910" s="145" t="s">
        <v>1881</v>
      </c>
      <c r="G910" s="87" t="s">
        <v>428</v>
      </c>
      <c r="H910" s="87" t="s">
        <v>422</v>
      </c>
      <c r="I910" s="87" t="s">
        <v>1934</v>
      </c>
      <c r="J910">
        <v>15</v>
      </c>
      <c r="L910">
        <v>1050</v>
      </c>
      <c r="M910" s="324">
        <f>=J910*L910</f>
        <v>15750</v>
      </c>
      <c r="N910" s="71">
        <v>2.5</v>
      </c>
      <c r="O910" s="189">
        <f>=ROUND(IF((TODAY()-A910+1)*N910*(L910/10000)+L910&lt;L910*1.002,L910*1.002,(TODAY()-A910+1)*N910*(L910/10000)+L910),2)</f>
        <v>1074.68</v>
      </c>
      <c r="P910">
        <v>15</v>
      </c>
      <c r="Q910" s="71">
        <f>=J910-P910</f>
        <v>0</v>
      </c>
      <c r="R910">
        <v>15</v>
      </c>
      <c r="S910" s="112">
        <f>=P910-R910</f>
        <v>0</v>
      </c>
      <c r="T910" s="71">
        <f>=S910*L910</f>
        <v>0</v>
      </c>
      <c r="U910" s="190">
        <f>=J910-P910</f>
        <v>0</v>
      </c>
    </row>
    <row r="911" spans="1:21" ht="15.75" customHeight="true">
      <c r="A911" s="80">
        <v>46132</v>
      </c>
      <c r="B911" s="71">
        <f>=TODAY()-A911+1</f>
        <v>93</v>
      </c>
      <c r="C911" s="98" t="s">
        <v>275</v>
      </c>
      <c r="D911" t="s">
        <v>272</v>
      </c>
      <c r="E911" s="145" t="s">
        <v>1935</v>
      </c>
      <c r="F911" s="145" t="s">
        <v>1881</v>
      </c>
      <c r="G911" s="87" t="s">
        <v>428</v>
      </c>
      <c r="H911" s="87" t="s">
        <v>422</v>
      </c>
      <c r="I911" s="87" t="s">
        <v>1936</v>
      </c>
      <c r="J911">
        <v>10</v>
      </c>
      <c r="L911">
        <v>735</v>
      </c>
      <c r="M911" s="324">
        <f>=J911*L911</f>
        <v>7350</v>
      </c>
      <c r="N911" s="71">
        <v>2.5</v>
      </c>
      <c r="O911" s="189">
        <f>=ROUND(IF((TODAY()-A911+1)*N911*(L911/10000)+L911&lt;L911*1.002,L911*1.002,(TODAY()-A911+1)*N911*(L911/10000)+L911),2)</f>
        <v>752.27</v>
      </c>
      <c r="P911">
        <v>10</v>
      </c>
      <c r="Q911" s="71">
        <f>=J911-P911</f>
        <v>0</v>
      </c>
      <c r="R911">
        <v>10</v>
      </c>
      <c r="S911" s="112">
        <f>=P911-R911</f>
        <v>0</v>
      </c>
      <c r="T911" s="71">
        <f>=S911*L911</f>
        <v>0</v>
      </c>
      <c r="U911" s="190">
        <f>=J911-P911</f>
        <v>0</v>
      </c>
    </row>
    <row r="912" spans="1:21" ht="15.75" customHeight="true">
      <c r="A912" s="80">
        <v>46132</v>
      </c>
      <c r="B912" s="71">
        <f>=TODAY()-A912+1</f>
        <v>93</v>
      </c>
      <c r="C912" s="98" t="s">
        <v>275</v>
      </c>
      <c r="D912" t="s">
        <v>272</v>
      </c>
      <c r="E912" s="145" t="s">
        <v>1937</v>
      </c>
      <c r="F912" s="145" t="s">
        <v>1881</v>
      </c>
      <c r="G912" s="87" t="s">
        <v>428</v>
      </c>
      <c r="H912" s="87" t="s">
        <v>422</v>
      </c>
      <c r="I912" s="87" t="s">
        <v>1938</v>
      </c>
      <c r="J912">
        <v>10</v>
      </c>
      <c r="L912">
        <v>735</v>
      </c>
      <c r="M912" s="324">
        <f>=J912*L912</f>
        <v>7350</v>
      </c>
      <c r="N912" s="71">
        <v>2.5</v>
      </c>
      <c r="O912" s="189">
        <f>=ROUND(IF((TODAY()-A912+1)*N912*(L912/10000)+L912&lt;L912*1.002,L912*1.002,(TODAY()-A912+1)*N912*(L912/10000)+L912),2)</f>
        <v>752.27</v>
      </c>
      <c r="P912">
        <v>10</v>
      </c>
      <c r="Q912" s="71">
        <f>=J912-P912</f>
        <v>0</v>
      </c>
      <c r="R912">
        <v>10</v>
      </c>
      <c r="S912" s="112">
        <f>=P912-R912</f>
        <v>0</v>
      </c>
      <c r="T912" s="71">
        <f>=S912*L912</f>
        <v>0</v>
      </c>
      <c r="U912" s="190">
        <f>=J912-P912</f>
        <v>0</v>
      </c>
    </row>
    <row r="913" spans="1:21" ht="15.75" customHeight="true">
      <c r="A913" s="80">
        <v>46132</v>
      </c>
      <c r="B913" s="71">
        <f>=TODAY()-A913+1</f>
        <v>93</v>
      </c>
      <c r="C913" s="98" t="s">
        <v>275</v>
      </c>
      <c r="D913" t="s">
        <v>272</v>
      </c>
      <c r="E913" s="145" t="s">
        <v>1939</v>
      </c>
      <c r="F913" s="145" t="s">
        <v>1881</v>
      </c>
      <c r="G913" t="s">
        <v>804</v>
      </c>
      <c r="H913" t="s">
        <v>422</v>
      </c>
      <c r="I913" t="s">
        <v>1940</v>
      </c>
      <c r="J913">
        <v>50</v>
      </c>
      <c r="L913">
        <v>600</v>
      </c>
      <c r="M913" s="324">
        <f>=J913*L913</f>
        <v>30000</v>
      </c>
      <c r="N913" s="71">
        <v>2.5</v>
      </c>
      <c r="O913" s="189">
        <f>=ROUND(IF((TODAY()-A913+1)*N913*(L913/10000)+L913&lt;L913*1.002,L913*1.002,(TODAY()-A913+1)*N913*(L913/10000)+L913),2)</f>
        <v>614.1</v>
      </c>
      <c r="P913">
        <v>50</v>
      </c>
      <c r="Q913" s="71">
        <f>=J913-P913</f>
        <v>0</v>
      </c>
      <c r="R913" s="267">
        <v>50</v>
      </c>
      <c r="S913" s="112">
        <f>=P913-R913</f>
        <v>0</v>
      </c>
      <c r="T913" s="71">
        <f>=S913*L913</f>
        <v>0</v>
      </c>
      <c r="U913" s="190">
        <f>=J913-P913</f>
        <v>0</v>
      </c>
    </row>
    <row r="914" spans="1:21" ht="15.75" customHeight="true">
      <c r="A914" s="80">
        <v>46133</v>
      </c>
      <c r="B914" s="71">
        <f>=TODAY()-A914+1</f>
        <v>92</v>
      </c>
      <c r="C914" s="98" t="s">
        <v>278</v>
      </c>
      <c r="D914" s="97" t="s">
        <v>276</v>
      </c>
      <c r="E914" s="145" t="s">
        <v>1941</v>
      </c>
      <c r="F914" s="145" t="s">
        <v>1942</v>
      </c>
      <c r="G914" t="s">
        <v>421</v>
      </c>
      <c r="H914" t="s">
        <v>449</v>
      </c>
      <c r="I914" t="s">
        <v>1943</v>
      </c>
      <c r="J914">
        <v>35</v>
      </c>
      <c r="L914">
        <v>3800</v>
      </c>
      <c r="M914" s="324">
        <f>=J914*L914</f>
        <v>133000</v>
      </c>
      <c r="N914" s="71">
        <v>2.5</v>
      </c>
      <c r="O914" s="189">
        <f>=ROUND(IF((TODAY()-A914+1)*N914*(L914/10000)+L914&lt;L914*1.002,L914*1.002,(TODAY()-A914+1)*N914*(L914/10000)+L914),2)</f>
        <v>3888.35</v>
      </c>
      <c r="P914">
        <v>35</v>
      </c>
      <c r="Q914" s="71">
        <f>=J914-P914</f>
        <v>0</v>
      </c>
      <c r="R914">
        <v>35</v>
      </c>
      <c r="S914" s="112">
        <f>=P914-R914</f>
        <v>0</v>
      </c>
      <c r="T914" s="71">
        <f>=S914*L914</f>
        <v>0</v>
      </c>
      <c r="U914" s="190">
        <f>=J914-P914</f>
        <v>0</v>
      </c>
    </row>
    <row r="915" spans="1:21" ht="15.75" customHeight="true">
      <c r="A915" s="80">
        <v>46132</v>
      </c>
      <c r="B915" s="71">
        <f>=TODAY()-A915+1</f>
        <v>93</v>
      </c>
      <c r="C915" s="98" t="s">
        <v>277</v>
      </c>
      <c r="D915" s="97" t="s">
        <v>276</v>
      </c>
      <c r="E915" s="145" t="s">
        <v>1944</v>
      </c>
      <c r="F915" s="145" t="s">
        <v>1942</v>
      </c>
      <c r="G915" t="s">
        <v>421</v>
      </c>
      <c r="H915" t="s">
        <v>449</v>
      </c>
      <c r="I915" t="s">
        <v>1945</v>
      </c>
      <c r="J915">
        <v>6</v>
      </c>
      <c r="L915">
        <v>3800</v>
      </c>
      <c r="M915" s="324">
        <f>=J915*L915</f>
        <v>22800</v>
      </c>
      <c r="N915" s="71">
        <v>2.5</v>
      </c>
      <c r="O915" s="189">
        <f>=ROUND(IF((TODAY()-A915+1)*N915*(L915/10000)+L915&lt;L915*1.002,L915*1.002,(TODAY()-A915+1)*N915*(L915/10000)+L915),2)</f>
        <v>3889.3</v>
      </c>
      <c r="P915">
        <v>6</v>
      </c>
      <c r="Q915" s="71">
        <f>=J915-P915</f>
        <v>0</v>
      </c>
      <c r="R915">
        <v>6</v>
      </c>
      <c r="S915" s="112">
        <f>=P915-R915</f>
        <v>0</v>
      </c>
      <c r="T915" s="71">
        <f>=S915*L915</f>
        <v>0</v>
      </c>
      <c r="U915" s="190">
        <f>=J915-P915</f>
        <v>0</v>
      </c>
    </row>
    <row r="916" spans="1:21" ht="15.75" customHeight="true">
      <c r="A916" s="80">
        <v>46132</v>
      </c>
      <c r="B916" s="71">
        <f>=TODAY()-A916+1</f>
        <v>93</v>
      </c>
      <c r="C916" s="98" t="s">
        <v>277</v>
      </c>
      <c r="D916" s="97" t="s">
        <v>276</v>
      </c>
      <c r="E916" s="145" t="s">
        <v>1946</v>
      </c>
      <c r="F916" s="145" t="s">
        <v>1942</v>
      </c>
      <c r="G916" t="s">
        <v>421</v>
      </c>
      <c r="H916" t="s">
        <v>449</v>
      </c>
      <c r="I916" t="s">
        <v>1947</v>
      </c>
      <c r="J916" s="154">
        <v>2</v>
      </c>
      <c r="K916" s="154" t="s"/>
      <c r="L916">
        <v>3800</v>
      </c>
      <c r="M916" s="324">
        <f>=J916*L916</f>
        <v>7600</v>
      </c>
      <c r="N916" s="71">
        <v>2.5</v>
      </c>
      <c r="O916" s="189">
        <f>=ROUND(IF((TODAY()-A916+1)*N916*(L916/10000)+L916&lt;L916*1.002,L916*1.002,(TODAY()-A916+1)*N916*(L916/10000)+L916),2)</f>
        <v>3889.3</v>
      </c>
      <c r="P916" s="154">
        <v>2</v>
      </c>
      <c r="Q916" s="71">
        <f>=J916-P916</f>
        <v>0</v>
      </c>
      <c r="R916" s="332">
        <v>2</v>
      </c>
      <c r="S916" s="112">
        <f>=P916-R916</f>
        <v>0</v>
      </c>
      <c r="T916" s="71">
        <f>=S916*L916</f>
        <v>0</v>
      </c>
      <c r="U916" s="190">
        <f>=J916-P916</f>
        <v>0</v>
      </c>
    </row>
    <row r="917" spans="1:21" ht="15.75" customHeight="true">
      <c r="A917" s="80">
        <v>46133</v>
      </c>
      <c r="B917" s="71">
        <f>=TODAY()-A917+1</f>
        <v>92</v>
      </c>
      <c r="C917" s="98" t="s">
        <v>279</v>
      </c>
      <c r="D917" s="108" t="s">
        <v>165</v>
      </c>
      <c r="E917" s="145" t="s">
        <v>1948</v>
      </c>
      <c r="F917" s="242" t="s">
        <v>953</v>
      </c>
      <c r="G917" s="156" t="s">
        <v>428</v>
      </c>
      <c r="H917" s="156" t="s">
        <v>470</v>
      </c>
      <c r="I917" s="156" t="s">
        <v>954</v>
      </c>
      <c r="J917" s="71">
        <v>114</v>
      </c>
      <c r="L917">
        <v>2600</v>
      </c>
      <c r="M917" s="112">
        <f>=J917*L917</f>
        <v>296400</v>
      </c>
      <c r="N917">
        <v>3</v>
      </c>
      <c r="O917" s="189">
        <f>=ROUND(IF((TODAY()-A917+1)*N917*(L917/10000)+L917&lt;L917*1.002,L917*1.002,(TODAY()-A917+1)*N917*(L917/10000)+L917),2)</f>
        <v>2672.54</v>
      </c>
      <c r="P917" s="71">
        <v>114</v>
      </c>
      <c r="Q917" s="71">
        <f>=J917-P917</f>
        <v>0</v>
      </c>
      <c r="R917" s="71">
        <v>114</v>
      </c>
      <c r="S917" s="112">
        <f>=P917-R917</f>
        <v>0</v>
      </c>
      <c r="T917" s="71">
        <f>=S917*L917</f>
        <v>0</v>
      </c>
      <c r="U917" s="190">
        <f>=J917-P917</f>
        <v>0</v>
      </c>
    </row>
    <row r="918" spans="1:21" ht="15.75" customHeight="true">
      <c r="A918" s="80">
        <v>46133</v>
      </c>
      <c r="B918" s="71">
        <f>=TODAY()-A918+1</f>
        <v>92</v>
      </c>
      <c r="C918" s="98" t="s">
        <v>280</v>
      </c>
      <c r="D918" s="71" t="s">
        <v>191</v>
      </c>
      <c r="E918" s="145" t="s">
        <v>1949</v>
      </c>
      <c r="F918" t="s">
        <v>1076</v>
      </c>
      <c r="G918" s="267" t="s">
        <v>741</v>
      </c>
      <c r="H918" s="267" t="s">
        <v>422</v>
      </c>
      <c r="I918" s="267" t="s">
        <v>1084</v>
      </c>
      <c r="J918">
        <v>29</v>
      </c>
      <c r="L918">
        <v>1180</v>
      </c>
      <c r="M918" s="324">
        <f>=J918*L918</f>
        <v>34220</v>
      </c>
      <c r="N918" s="71">
        <v>2.5</v>
      </c>
      <c r="O918" s="189">
        <f>=ROUND(IF((TODAY()-A918+1)*N918*(L918/10000)+L918&lt;L918*1.002,L918*1.002,(TODAY()-A918+1)*N918*(L918/10000)+L918),2)</f>
        <v>1207.44</v>
      </c>
      <c r="P918">
        <v>29</v>
      </c>
      <c r="Q918" s="71">
        <f>=J918-P918</f>
        <v>0</v>
      </c>
      <c r="R918" s="71" t="s"/>
      <c r="S918" s="112">
        <f>=P918-R918</f>
        <v>29</v>
      </c>
      <c r="T918" s="71">
        <f>=S918*L918</f>
        <v>34220</v>
      </c>
      <c r="U918" s="190">
        <f>=J918-P918</f>
        <v>0</v>
      </c>
    </row>
    <row r="919" spans="1:21" ht="15.75" customHeight="true">
      <c r="A919" s="80">
        <v>46133</v>
      </c>
      <c r="B919" s="71">
        <f>=TODAY()-A919+1</f>
        <v>92</v>
      </c>
      <c r="C919" s="98" t="s">
        <v>280</v>
      </c>
      <c r="D919" s="71" t="s">
        <v>191</v>
      </c>
      <c r="E919" s="145" t="s">
        <v>1950</v>
      </c>
      <c r="F919" t="s">
        <v>1076</v>
      </c>
      <c r="G919" t="s">
        <v>741</v>
      </c>
      <c r="H919" t="s">
        <v>422</v>
      </c>
      <c r="I919" s="87" t="s">
        <v>1087</v>
      </c>
      <c r="J919">
        <v>29</v>
      </c>
      <c r="L919">
        <v>1180</v>
      </c>
      <c r="M919" s="324">
        <f>=J919*L919</f>
        <v>34220</v>
      </c>
      <c r="N919" s="71">
        <v>2.5</v>
      </c>
      <c r="O919" s="189">
        <f>=ROUND(IF((TODAY()-A919+1)*N919*(L919/10000)+L919&lt;L919*1.002,L919*1.002,(TODAY()-A919+1)*N919*(L919/10000)+L919),2)</f>
        <v>1207.44</v>
      </c>
      <c r="P919">
        <v>29</v>
      </c>
      <c r="Q919" s="71">
        <f>=J919-P919</f>
        <v>0</v>
      </c>
      <c r="R919" s="71" t="s"/>
      <c r="S919" s="112">
        <f>=P919-R919</f>
        <v>29</v>
      </c>
      <c r="T919" s="71">
        <f>=S919*L919</f>
        <v>34220</v>
      </c>
      <c r="U919" s="190">
        <f>=J919-P919</f>
        <v>0</v>
      </c>
    </row>
    <row r="920" spans="1:21" ht="15.75" customHeight="true">
      <c r="A920" s="80">
        <v>46133</v>
      </c>
      <c r="B920" s="71">
        <f>=TODAY()-A920+1</f>
        <v>92</v>
      </c>
      <c r="C920" s="98" t="s">
        <v>280</v>
      </c>
      <c r="D920" s="71" t="s">
        <v>191</v>
      </c>
      <c r="E920" s="145" t="s">
        <v>1951</v>
      </c>
      <c r="F920" t="s">
        <v>1076</v>
      </c>
      <c r="G920" t="s">
        <v>741</v>
      </c>
      <c r="H920" t="s">
        <v>422</v>
      </c>
      <c r="I920" t="s">
        <v>1089</v>
      </c>
      <c r="J920">
        <v>54</v>
      </c>
      <c r="L920">
        <v>1180</v>
      </c>
      <c r="M920" s="324">
        <f>=J920*L920</f>
        <v>63720</v>
      </c>
      <c r="N920" s="71">
        <v>2.5</v>
      </c>
      <c r="O920" s="189">
        <f>=ROUND(IF((TODAY()-A920+1)*N920*(L920/10000)+L920&lt;L920*1.002,L920*1.002,(TODAY()-A920+1)*N920*(L920/10000)+L920),2)</f>
        <v>1207.44</v>
      </c>
      <c r="P920">
        <v>54</v>
      </c>
      <c r="Q920" s="71">
        <f>=J920-P920</f>
        <v>0</v>
      </c>
      <c r="R920" s="71" t="s"/>
      <c r="S920" s="112">
        <f>=P920-R920</f>
        <v>54</v>
      </c>
      <c r="T920" s="71">
        <f>=S920*L920</f>
        <v>63720</v>
      </c>
      <c r="U920" s="190">
        <f>=J920-P920</f>
        <v>0</v>
      </c>
    </row>
    <row r="921" spans="1:21" ht="15.75" customHeight="true">
      <c r="A921" s="80">
        <v>46133</v>
      </c>
      <c r="B921" s="71">
        <f>=TODAY()-A921+1</f>
        <v>92</v>
      </c>
      <c r="C921" s="98" t="s">
        <v>280</v>
      </c>
      <c r="D921" s="71" t="s">
        <v>191</v>
      </c>
      <c r="E921" s="145" t="s">
        <v>1952</v>
      </c>
      <c r="F921" t="s">
        <v>1076</v>
      </c>
      <c r="G921" t="s">
        <v>741</v>
      </c>
      <c r="H921" t="s">
        <v>422</v>
      </c>
      <c r="I921" t="s">
        <v>1026</v>
      </c>
      <c r="J921" s="333">
        <v>73</v>
      </c>
      <c r="K921" s="333" t="s"/>
      <c r="L921" s="333">
        <v>1050</v>
      </c>
      <c r="M921" s="324">
        <f>=J921*L921</f>
        <v>76650</v>
      </c>
      <c r="N921" s="71">
        <v>2.5</v>
      </c>
      <c r="O921" s="189">
        <f>=ROUND(IF((TODAY()-A921+1)*N921*(L921/10000)+L921&lt;L921*1.002,L921*1.002,(TODAY()-A921+1)*N921*(L921/10000)+L921),2)</f>
        <v>1074.41</v>
      </c>
      <c r="P921">
        <v>73</v>
      </c>
      <c r="Q921" s="71">
        <f>=J921-P921</f>
        <v>0</v>
      </c>
      <c r="R921" s="71" t="s"/>
      <c r="S921" s="112">
        <f>=P921-R921</f>
        <v>73</v>
      </c>
      <c r="T921" s="71">
        <f>=S921*L921</f>
        <v>76650</v>
      </c>
      <c r="U921" s="190">
        <f>=J921-P921</f>
        <v>0</v>
      </c>
    </row>
    <row r="922" spans="1:21" ht="15.75" customHeight="true">
      <c r="A922" s="80">
        <v>46133</v>
      </c>
      <c r="B922" s="71">
        <f>=TODAY()-A922+1</f>
        <v>92</v>
      </c>
      <c r="C922" s="98" t="s">
        <v>280</v>
      </c>
      <c r="D922" s="71" t="s">
        <v>191</v>
      </c>
      <c r="E922" s="145" t="s">
        <v>1953</v>
      </c>
      <c r="F922" t="s">
        <v>1076</v>
      </c>
      <c r="G922" t="s">
        <v>741</v>
      </c>
      <c r="H922" t="s">
        <v>422</v>
      </c>
      <c r="I922" t="s">
        <v>1176</v>
      </c>
      <c r="J922" s="71">
        <v>128</v>
      </c>
      <c r="L922">
        <v>1050</v>
      </c>
      <c r="M922" s="324">
        <f>=J922*L922</f>
        <v>134400</v>
      </c>
      <c r="N922" s="71">
        <v>2.5</v>
      </c>
      <c r="O922" s="189">
        <f>=ROUND(IF((TODAY()-A922+1)*N922*(L922/10000)+L922&lt;L922*1.002,L922*1.002,(TODAY()-A922+1)*N922*(L922/10000)+L922),2)</f>
        <v>1074.41</v>
      </c>
      <c r="P922" s="71">
        <v>128</v>
      </c>
      <c r="Q922" s="71">
        <f>=J922-P922</f>
        <v>0</v>
      </c>
      <c r="R922" s="71" t="s"/>
      <c r="S922" s="112">
        <f>=P922-R922</f>
        <v>128</v>
      </c>
      <c r="T922" s="71">
        <f>=S922*L922</f>
        <v>134400</v>
      </c>
      <c r="U922" s="190">
        <f>=J922-P922</f>
        <v>0</v>
      </c>
    </row>
    <row r="923" spans="1:21" ht="15.75" customHeight="true">
      <c r="A923" s="80">
        <v>46133</v>
      </c>
      <c r="B923" s="71">
        <f>=TODAY()-A923+1</f>
        <v>92</v>
      </c>
      <c r="C923" s="98" t="s">
        <v>280</v>
      </c>
      <c r="D923" s="71" t="s">
        <v>191</v>
      </c>
      <c r="E923" s="145" t="s">
        <v>1954</v>
      </c>
      <c r="F923" t="s">
        <v>1076</v>
      </c>
      <c r="G923" t="s">
        <v>741</v>
      </c>
      <c r="H923" t="s">
        <v>422</v>
      </c>
      <c r="I923" t="s">
        <v>1652</v>
      </c>
      <c r="J923">
        <v>10</v>
      </c>
      <c r="L923" s="154">
        <v>1050</v>
      </c>
      <c r="M923" s="324">
        <f>=J923*L923</f>
        <v>10500</v>
      </c>
      <c r="N923" s="71">
        <v>2.5</v>
      </c>
      <c r="O923" s="189">
        <f>=ROUND(IF((TODAY()-A923+1)*N923*(L923/10000)+L923&lt;L923*1.002,L923*1.002,(TODAY()-A923+1)*N923*(L923/10000)+L923),2)</f>
        <v>1074.41</v>
      </c>
      <c r="P923">
        <v>10</v>
      </c>
      <c r="Q923" s="71">
        <f>=J923-P923</f>
        <v>0</v>
      </c>
      <c r="R923" s="71" t="s"/>
      <c r="S923" s="112">
        <f>=P923-R923</f>
        <v>10</v>
      </c>
      <c r="T923" s="71">
        <f>=S923*L923</f>
        <v>10500</v>
      </c>
      <c r="U923" s="190">
        <f>=J923-P923</f>
        <v>0</v>
      </c>
    </row>
    <row r="924" spans="1:21" ht="15.75" customHeight="true">
      <c r="A924" s="80">
        <v>46133</v>
      </c>
      <c r="B924" s="71">
        <f>=TODAY()-A924+1</f>
        <v>92</v>
      </c>
      <c r="C924" s="98" t="s">
        <v>280</v>
      </c>
      <c r="D924" s="71" t="s">
        <v>191</v>
      </c>
      <c r="E924" s="145" t="s">
        <v>1955</v>
      </c>
      <c r="F924" t="s">
        <v>1076</v>
      </c>
      <c r="G924" t="s">
        <v>741</v>
      </c>
      <c r="H924" t="s">
        <v>422</v>
      </c>
      <c r="I924" t="s">
        <v>1082</v>
      </c>
      <c r="J924">
        <v>177</v>
      </c>
      <c r="L924">
        <v>1050</v>
      </c>
      <c r="M924" s="324">
        <f>=J924*L924</f>
        <v>185850</v>
      </c>
      <c r="N924" s="71">
        <v>2.5</v>
      </c>
      <c r="O924" s="189">
        <f>=ROUND(IF((TODAY()-A924+1)*N924*(L924/10000)+L924&lt;L924*1.002,L924*1.002,(TODAY()-A924+1)*N924*(L924/10000)+L924),2)</f>
        <v>1074.41</v>
      </c>
      <c r="P924">
        <v>177</v>
      </c>
      <c r="Q924" s="71">
        <f>=J924-P924</f>
        <v>0</v>
      </c>
      <c r="R924" s="71" t="s"/>
      <c r="S924" s="112">
        <f>=P924-R924</f>
        <v>177</v>
      </c>
      <c r="T924" s="71">
        <f>=S924*L924</f>
        <v>185850</v>
      </c>
      <c r="U924" s="190">
        <f>=J924-P924</f>
        <v>0</v>
      </c>
    </row>
    <row r="925" spans="1:21" ht="15.75" customHeight="true">
      <c r="A925" s="80">
        <v>46134</v>
      </c>
      <c r="B925" s="71">
        <f>=TODAY()-A925+1</f>
        <v>91</v>
      </c>
      <c r="C925" s="98" t="s">
        <v>286</v>
      </c>
      <c r="D925" s="326" t="s">
        <v>285</v>
      </c>
      <c r="E925" s="136" t="s">
        <v>1956</v>
      </c>
      <c r="G925" s="263" t="s">
        <v>421</v>
      </c>
      <c r="H925" s="263" t="s">
        <v>422</v>
      </c>
      <c r="I925" s="263" t="s">
        <v>721</v>
      </c>
      <c r="J925" s="154">
        <v>300</v>
      </c>
      <c r="K925" s="154" t="s"/>
      <c r="L925" s="154">
        <v>8200</v>
      </c>
      <c r="M925" s="324">
        <f>=J925*L925</f>
        <v>2460000</v>
      </c>
      <c r="N925" s="71">
        <v>2.5</v>
      </c>
      <c r="O925" s="189">
        <f>=ROUND(IF((TODAY()-A925+1)*N925*(L925/10000)+L925&lt;L925*1.002,L925*1.002,(TODAY()-A925+1)*N925*(L925/10000)+L925),2)</f>
        <v>8388.6</v>
      </c>
      <c r="P925">
        <v>300</v>
      </c>
      <c r="Q925" s="71">
        <f>=J925-P925</f>
        <v>0</v>
      </c>
      <c r="R925" s="71">
        <v>300</v>
      </c>
      <c r="S925" s="112">
        <f>=P925-R925</f>
        <v>0</v>
      </c>
      <c r="T925" s="71">
        <f>=S925*L925</f>
        <v>0</v>
      </c>
      <c r="U925" s="190">
        <f>=J925-P925</f>
        <v>0</v>
      </c>
    </row>
    <row r="926" spans="1:21" s="258" customFormat="true" ht="15.75" customHeight="true">
      <c r="A926" s="80">
        <v>46134</v>
      </c>
      <c r="B926" s="71">
        <f>=TODAY()-A926+1</f>
        <v>91</v>
      </c>
      <c r="C926" s="87" t="s">
        <v>282</v>
      </c>
      <c r="D926" s="334" t="s">
        <v>281</v>
      </c>
      <c r="E926" s="335" t="s">
        <v>1957</v>
      </c>
      <c r="F926" s="87" t="s">
        <v>1958</v>
      </c>
      <c r="G926" s="108" t="s">
        <v>503</v>
      </c>
      <c r="H926" s="64" t="s">
        <v>422</v>
      </c>
      <c r="I926" s="336" t="s">
        <v>1959</v>
      </c>
      <c r="J926" s="87">
        <v>30</v>
      </c>
      <c r="L926" s="87">
        <v>1260</v>
      </c>
      <c r="M926" s="337">
        <f>=J926*L926</f>
        <v>37800</v>
      </c>
      <c r="N926" s="64">
        <v>2.5</v>
      </c>
      <c r="O926" s="189">
        <f>=ROUND(IF((TODAY()-A926+1)*N926*(L926/10000)+L926&lt;L926*1.002,L926*1.002,(TODAY()-A926+1)*N926*(L926/10000)+L926),2)</f>
        <v>1288.98</v>
      </c>
      <c r="P926" s="87">
        <v>30</v>
      </c>
      <c r="Q926" s="64">
        <f>=J926-P926</f>
        <v>0</v>
      </c>
      <c r="R926" s="140">
        <v>30</v>
      </c>
      <c r="S926" s="197">
        <f>=P926-R926</f>
        <v>0</v>
      </c>
      <c r="T926" s="71">
        <f>=S926*L926</f>
        <v>0</v>
      </c>
      <c r="U926" s="190">
        <f>=J926-P926</f>
        <v>0</v>
      </c>
    </row>
    <row r="927" spans="1:26" s="258" customFormat="true" ht="15.75" customHeight="true">
      <c r="A927" s="80">
        <v>46134</v>
      </c>
      <c r="B927" s="71">
        <f>=TODAY()-A927+1</f>
        <v>91</v>
      </c>
      <c r="C927" s="87" t="s">
        <v>282</v>
      </c>
      <c r="D927" s="334" t="s">
        <v>281</v>
      </c>
      <c r="E927" s="335" t="s">
        <v>1960</v>
      </c>
      <c r="F927" s="87" t="s">
        <v>1958</v>
      </c>
      <c r="G927" s="108" t="s">
        <v>503</v>
      </c>
      <c r="H927" s="64" t="s">
        <v>422</v>
      </c>
      <c r="I927" s="338" t="s">
        <v>1961</v>
      </c>
      <c r="J927" s="339">
        <v>30</v>
      </c>
      <c r="K927" s="87" t="s"/>
      <c r="L927" s="339">
        <v>1260</v>
      </c>
      <c r="M927" s="337">
        <f>=J927*L927</f>
        <v>37800</v>
      </c>
      <c r="N927" s="64">
        <v>2.5</v>
      </c>
      <c r="O927" s="189">
        <f>=ROUND(IF((TODAY()-A927+1)*N927*(L927/10000)+L927&lt;L927*1.002,L927*1.002,(TODAY()-A927+1)*N927*(L927/10000)+L927),2)</f>
        <v>1288.98</v>
      </c>
      <c r="P927" s="339">
        <v>30</v>
      </c>
      <c r="Q927" s="64">
        <f>=J927-P927</f>
        <v>0</v>
      </c>
      <c r="R927" s="249">
        <v>30</v>
      </c>
      <c r="S927" s="197">
        <f>=P927-R927</f>
        <v>0</v>
      </c>
      <c r="T927" s="71">
        <f>=S927*L927</f>
        <v>0</v>
      </c>
      <c r="U927" s="190">
        <f>=J927-P927</f>
        <v>0</v>
      </c>
      <c r="V927" s="87" t="s"/>
      <c r="W927" s="87" t="s"/>
      <c r="X927" s="87" t="s"/>
      <c r="Y927" s="87" t="s"/>
      <c r="Z927" s="87" t="s"/>
    </row>
    <row r="928" spans="1:26" s="258" customFormat="true" ht="15.75" customHeight="true">
      <c r="A928" s="80">
        <v>46134</v>
      </c>
      <c r="B928" s="71">
        <f>=TODAY()-A928+1</f>
        <v>91</v>
      </c>
      <c r="C928" s="87" t="s">
        <v>282</v>
      </c>
      <c r="D928" s="334" t="s">
        <v>281</v>
      </c>
      <c r="E928" s="335" t="s">
        <v>1962</v>
      </c>
      <c r="F928" s="87" t="s">
        <v>1958</v>
      </c>
      <c r="G928" s="144" t="s">
        <v>1438</v>
      </c>
      <c r="H928" s="144" t="s">
        <v>422</v>
      </c>
      <c r="I928" s="336" t="s">
        <v>1963</v>
      </c>
      <c r="J928" s="87">
        <v>4</v>
      </c>
      <c r="K928" s="87" t="s"/>
      <c r="L928" s="87">
        <v>3360</v>
      </c>
      <c r="M928" s="337">
        <f>=J928*L928</f>
        <v>13440</v>
      </c>
      <c r="N928" s="64">
        <v>2.5</v>
      </c>
      <c r="O928" s="189">
        <f>=ROUND(IF((TODAY()-A928+1)*N928*(L928/10000)+L928&lt;L928*1.002,L928*1.002,(TODAY()-A928+1)*N928*(L928/10000)+L928),2)</f>
        <v>3437.28</v>
      </c>
      <c r="P928" s="87">
        <v>4</v>
      </c>
      <c r="Q928" s="64">
        <f>=J928-P928</f>
        <v>0</v>
      </c>
      <c r="R928" s="64" t="s"/>
      <c r="S928" s="197">
        <f>=P928-R928</f>
        <v>4</v>
      </c>
      <c r="T928" s="71">
        <f>=S928*L928</f>
        <v>13440</v>
      </c>
      <c r="U928" s="190">
        <f>=J928-P928</f>
        <v>0</v>
      </c>
      <c r="V928" s="87" t="s"/>
      <c r="W928" s="87" t="s"/>
      <c r="X928" s="87" t="s"/>
      <c r="Y928" s="87" t="s"/>
      <c r="Z928" s="87" t="s"/>
    </row>
    <row r="929" spans="1:26" s="258" customFormat="true" ht="15.75" customHeight="true">
      <c r="A929" s="80">
        <v>46134</v>
      </c>
      <c r="B929" s="71">
        <f>=TODAY()-A929+1</f>
        <v>91</v>
      </c>
      <c r="C929" s="87" t="s">
        <v>282</v>
      </c>
      <c r="D929" s="334" t="s">
        <v>281</v>
      </c>
      <c r="E929" s="335" t="s">
        <v>1964</v>
      </c>
      <c r="F929" s="87" t="s">
        <v>1958</v>
      </c>
      <c r="G929" s="108" t="s">
        <v>503</v>
      </c>
      <c r="H929" s="64" t="s">
        <v>422</v>
      </c>
      <c r="I929" s="336" t="s">
        <v>1959</v>
      </c>
      <c r="J929" s="87">
        <v>8</v>
      </c>
      <c r="K929" s="87" t="s"/>
      <c r="L929" s="339">
        <v>1260</v>
      </c>
      <c r="M929" s="337">
        <f>=J929*L929</f>
        <v>10080</v>
      </c>
      <c r="N929" s="64">
        <v>2.5</v>
      </c>
      <c r="O929" s="189">
        <f>=ROUND(IF((TODAY()-A929+1)*N929*(L929/10000)+L929&lt;L929*1.002,L929*1.002,(TODAY()-A929+1)*N929*(L929/10000)+L929),2)</f>
        <v>1288.98</v>
      </c>
      <c r="P929" s="87">
        <v>8</v>
      </c>
      <c r="Q929" s="64">
        <f>=J929-P929</f>
        <v>0</v>
      </c>
      <c r="R929" s="140">
        <v>8</v>
      </c>
      <c r="S929" s="197">
        <f>=P929-R929</f>
        <v>0</v>
      </c>
      <c r="T929" s="71">
        <f>=S929*L929</f>
        <v>0</v>
      </c>
      <c r="U929" s="190">
        <f>=J929-P929</f>
        <v>0</v>
      </c>
      <c r="V929" s="87" t="s"/>
      <c r="W929" s="87" t="s"/>
      <c r="X929" s="87" t="s"/>
      <c r="Y929" s="87" t="s"/>
      <c r="Z929" s="87" t="s"/>
    </row>
    <row r="930" spans="1:26" s="258" customFormat="true" ht="15.75" customHeight="true">
      <c r="A930" s="80">
        <v>46135</v>
      </c>
      <c r="B930" s="71">
        <f>=TODAY()-A930+1</f>
        <v>90</v>
      </c>
      <c r="C930" s="144" t="s">
        <v>283</v>
      </c>
      <c r="D930" s="340" t="s">
        <v>281</v>
      </c>
      <c r="E930" s="335" t="s">
        <v>1965</v>
      </c>
      <c r="F930" s="144" t="s">
        <v>1958</v>
      </c>
      <c r="G930" s="108" t="s">
        <v>503</v>
      </c>
      <c r="H930" s="64" t="s">
        <v>422</v>
      </c>
      <c r="I930" s="341" t="s">
        <v>1966</v>
      </c>
      <c r="J930" s="144">
        <v>1</v>
      </c>
      <c r="K930" s="117" t="s"/>
      <c r="L930" s="332">
        <v>3570</v>
      </c>
      <c r="M930" s="324">
        <f>=J930*L930</f>
        <v>3570</v>
      </c>
      <c r="N930" s="71">
        <v>2.5</v>
      </c>
      <c r="O930" s="189">
        <f>=ROUND(IF((TODAY()-A930+1)*N930*(L930/10000)+L930&lt;L930*1.002,L930*1.002,(TODAY()-A930+1)*N930*(L930/10000)+L930),2)</f>
        <v>3651.22</v>
      </c>
      <c r="P930" s="144">
        <v>1</v>
      </c>
      <c r="Q930" s="71">
        <f>=J930-P930</f>
        <v>0</v>
      </c>
      <c r="R930" s="71" t="s"/>
      <c r="S930" s="112">
        <f>=P930-R930</f>
        <v>1</v>
      </c>
      <c r="T930" s="71">
        <f>=S930*L930</f>
        <v>3570</v>
      </c>
      <c r="U930" s="261">
        <f>=J930-P930</f>
        <v>0</v>
      </c>
      <c r="V930" s="117" t="s"/>
      <c r="W930" s="117" t="s"/>
      <c r="X930" s="117" t="s"/>
      <c r="Y930" s="117" t="s"/>
      <c r="Z930" s="117" t="s"/>
    </row>
    <row r="931" spans="1:26" s="258" customFormat="true" ht="15.75" customHeight="true">
      <c r="A931" s="80">
        <v>46135</v>
      </c>
      <c r="B931" s="71">
        <f>=TODAY()-A931+1</f>
        <v>90</v>
      </c>
      <c r="C931" s="97" t="s">
        <v>283</v>
      </c>
      <c r="D931" s="340" t="s">
        <v>281</v>
      </c>
      <c r="E931" s="335" t="s">
        <v>1967</v>
      </c>
      <c r="F931" s="97" t="s">
        <v>1958</v>
      </c>
      <c r="G931" s="108" t="s">
        <v>503</v>
      </c>
      <c r="H931" s="64" t="s">
        <v>422</v>
      </c>
      <c r="I931" s="341" t="s">
        <v>1966</v>
      </c>
      <c r="J931" s="332">
        <v>29</v>
      </c>
      <c r="K931" s="97" t="s"/>
      <c r="L931" s="332">
        <v>3570</v>
      </c>
      <c r="M931" s="324">
        <f>=J931*L931</f>
        <v>103530</v>
      </c>
      <c r="N931" s="71">
        <v>2.5</v>
      </c>
      <c r="O931" s="189">
        <f>=ROUND(IF((TODAY()-A931+1)*N931*(L931/10000)+L931&lt;L931*1.002,L931*1.002,(TODAY()-A931+1)*N931*(L931/10000)+L931),2)</f>
        <v>3651.22</v>
      </c>
      <c r="P931" s="332">
        <v>29</v>
      </c>
      <c r="Q931" s="71">
        <f>=J931-P931</f>
        <v>0</v>
      </c>
      <c r="R931" s="71" t="s"/>
      <c r="S931" s="112">
        <f>=P931-R931</f>
        <v>29</v>
      </c>
      <c r="T931" s="71">
        <f>=S931*L931</f>
        <v>103530</v>
      </c>
      <c r="U931" s="264">
        <f>=J931-P931</f>
        <v>0</v>
      </c>
      <c r="V931" s="97" t="s"/>
      <c r="W931" s="97" t="s"/>
      <c r="X931" s="97" t="s"/>
      <c r="Y931" s="97" t="s"/>
      <c r="Z931" s="97" t="s"/>
    </row>
    <row r="932" spans="1:21" ht="15.75" customHeight="true">
      <c r="A932" s="80">
        <v>46135</v>
      </c>
      <c r="B932" s="71">
        <f>=TODAY()-A932+1</f>
        <v>90</v>
      </c>
      <c r="C932" t="s">
        <v>283</v>
      </c>
      <c r="D932" s="326" t="s">
        <v>281</v>
      </c>
      <c r="E932" s="335" t="s">
        <v>1968</v>
      </c>
      <c r="F932" t="s">
        <v>1958</v>
      </c>
      <c r="G932" s="108" t="s">
        <v>503</v>
      </c>
      <c r="H932" s="64" t="s">
        <v>422</v>
      </c>
      <c r="I932" s="342" t="s">
        <v>1969</v>
      </c>
      <c r="J932" s="154">
        <v>30</v>
      </c>
      <c r="L932" s="154">
        <v>1260</v>
      </c>
      <c r="M932" s="324">
        <f>=J932*L932</f>
        <v>37800</v>
      </c>
      <c r="N932" s="71">
        <v>2.5</v>
      </c>
      <c r="O932" s="189">
        <f>=ROUND(IF((TODAY()-A932+1)*N932*(L932/10000)+L932&lt;L932*1.002,L932*1.002,(TODAY()-A932+1)*N932*(L932/10000)+L932),2)</f>
        <v>1288.67</v>
      </c>
      <c r="P932" s="154">
        <v>30</v>
      </c>
      <c r="Q932" s="71">
        <f>=J932-P932</f>
        <v>0</v>
      </c>
      <c r="R932" s="203">
        <v>30</v>
      </c>
      <c r="S932" s="112">
        <f>=P932-R932</f>
        <v>0</v>
      </c>
      <c r="T932" s="71">
        <f>=S932*L932</f>
        <v>0</v>
      </c>
      <c r="U932" s="190">
        <f>=J932-P932</f>
        <v>0</v>
      </c>
    </row>
    <row r="933" spans="1:21" ht="15.75" customHeight="true">
      <c r="A933" s="80">
        <v>46135</v>
      </c>
      <c r="B933" s="71">
        <f>=TODAY()-A933+1</f>
        <v>90</v>
      </c>
      <c r="C933" t="s">
        <v>283</v>
      </c>
      <c r="D933" s="326" t="s">
        <v>281</v>
      </c>
      <c r="E933" s="335" t="s">
        <v>1970</v>
      </c>
      <c r="F933" t="s">
        <v>1958</v>
      </c>
      <c r="G933" s="108" t="s">
        <v>503</v>
      </c>
      <c r="H933" s="64" t="s">
        <v>422</v>
      </c>
      <c r="I933" s="336" t="s">
        <v>1971</v>
      </c>
      <c r="J933" s="154">
        <v>30</v>
      </c>
      <c r="L933" s="154">
        <v>1260</v>
      </c>
      <c r="M933" s="324">
        <f>=J933*L933</f>
        <v>37800</v>
      </c>
      <c r="N933" s="71">
        <v>2.5</v>
      </c>
      <c r="O933" s="189">
        <f>=ROUND(IF((TODAY()-A933+1)*N933*(L933/10000)+L933&lt;L933*1.002,L933*1.002,(TODAY()-A933+1)*N933*(L933/10000)+L933),2)</f>
        <v>1288.67</v>
      </c>
      <c r="P933" s="154">
        <v>30</v>
      </c>
      <c r="Q933" s="71">
        <f>=J933-P933</f>
        <v>0</v>
      </c>
      <c r="R933" s="203">
        <v>30</v>
      </c>
      <c r="S933" s="112">
        <f>=P933-R933</f>
        <v>0</v>
      </c>
      <c r="T933" s="71">
        <f>=S933*L933</f>
        <v>0</v>
      </c>
      <c r="U933" s="190">
        <f>=J933-P933</f>
        <v>0</v>
      </c>
    </row>
    <row r="934" spans="1:21" ht="15.75" customHeight="true">
      <c r="A934" s="80">
        <v>46135</v>
      </c>
      <c r="B934" s="71">
        <f>=TODAY()-A934+1</f>
        <v>90</v>
      </c>
      <c r="C934" t="s">
        <v>283</v>
      </c>
      <c r="D934" s="326" t="s">
        <v>281</v>
      </c>
      <c r="E934" s="335" t="s">
        <v>1972</v>
      </c>
      <c r="F934" t="s">
        <v>1958</v>
      </c>
      <c r="G934" s="108" t="s">
        <v>503</v>
      </c>
      <c r="H934" s="64" t="s">
        <v>422</v>
      </c>
      <c r="I934" s="343" t="s">
        <v>1973</v>
      </c>
      <c r="J934" s="154">
        <v>100</v>
      </c>
      <c r="L934" s="154">
        <v>665</v>
      </c>
      <c r="M934" s="324">
        <f>=J934*L934</f>
        <v>66500</v>
      </c>
      <c r="N934" s="71">
        <v>2.5</v>
      </c>
      <c r="O934" s="189">
        <f>=ROUND(IF((TODAY()-A934+1)*N934*(L934/10000)+L934&lt;L934*1.002,L934*1.002,(TODAY()-A934+1)*N934*(L934/10000)+L934),2)</f>
        <v>680.13</v>
      </c>
      <c r="P934" s="154">
        <v>100</v>
      </c>
      <c r="Q934" s="71">
        <f>=J934-P934</f>
        <v>0</v>
      </c>
      <c r="R934" s="71" t="s"/>
      <c r="S934" s="112">
        <f>=P934-R934</f>
        <v>100</v>
      </c>
      <c r="T934" s="71">
        <f>=S934*L934</f>
        <v>66500</v>
      </c>
      <c r="U934" s="190">
        <f>=J934-P934</f>
        <v>0</v>
      </c>
    </row>
    <row r="935" spans="1:21" ht="15.75" customHeight="true">
      <c r="A935" s="80">
        <v>46135</v>
      </c>
      <c r="B935" s="71">
        <f>=TODAY()-A935+1</f>
        <v>90</v>
      </c>
      <c r="C935" t="s">
        <v>283</v>
      </c>
      <c r="D935" s="326" t="s">
        <v>281</v>
      </c>
      <c r="E935" s="335" t="s">
        <v>1974</v>
      </c>
      <c r="F935" t="s">
        <v>1958</v>
      </c>
      <c r="G935" s="108" t="s">
        <v>503</v>
      </c>
      <c r="H935" s="64" t="s">
        <v>422</v>
      </c>
      <c r="I935" s="342" t="s">
        <v>1975</v>
      </c>
      <c r="J935" s="154">
        <v>60</v>
      </c>
      <c r="L935" s="154">
        <v>2765</v>
      </c>
      <c r="M935" s="324">
        <f>=J935*L935</f>
        <v>165900</v>
      </c>
      <c r="N935" s="71">
        <v>2.5</v>
      </c>
      <c r="O935" s="189">
        <f>=ROUND(IF((TODAY()-A935+1)*N935*(L935/10000)+L935&lt;L935*1.002,L935*1.002,(TODAY()-A935+1)*N935*(L935/10000)+L935),2)</f>
        <v>2827.9</v>
      </c>
      <c r="P935" s="154">
        <v>60</v>
      </c>
      <c r="Q935" s="71">
        <f>=J935-P935</f>
        <v>0</v>
      </c>
      <c r="R935" s="71">
        <v>60</v>
      </c>
      <c r="S935" s="112">
        <f>=P935-R935</f>
        <v>0</v>
      </c>
      <c r="T935" s="71">
        <f>=S935*L935</f>
        <v>0</v>
      </c>
      <c r="U935" s="190">
        <f>=J935-P935</f>
        <v>0</v>
      </c>
    </row>
    <row r="936" spans="1:21" ht="15.75" customHeight="true">
      <c r="A936" s="80">
        <v>46135</v>
      </c>
      <c r="B936" s="71">
        <f>=TODAY()-A936+1</f>
        <v>90</v>
      </c>
      <c r="C936" t="s">
        <v>283</v>
      </c>
      <c r="D936" s="326" t="s">
        <v>281</v>
      </c>
      <c r="E936" s="335" t="s">
        <v>1976</v>
      </c>
      <c r="F936" t="s">
        <v>1958</v>
      </c>
      <c r="G936" s="108" t="s">
        <v>503</v>
      </c>
      <c r="H936" s="64" t="s">
        <v>422</v>
      </c>
      <c r="I936" s="342" t="s">
        <v>1977</v>
      </c>
      <c r="J936" s="154">
        <v>18</v>
      </c>
      <c r="L936" s="154">
        <v>4235</v>
      </c>
      <c r="M936" s="324">
        <f>=J936*L936</f>
        <v>76230</v>
      </c>
      <c r="N936" s="71">
        <v>2.5</v>
      </c>
      <c r="O936" s="189">
        <f>=ROUND(IF((TODAY()-A936+1)*N936*(L936/10000)+L936&lt;L936*1.002,L936*1.002,(TODAY()-A936+1)*N936*(L936/10000)+L936),2)</f>
        <v>4331.35</v>
      </c>
      <c r="P936" s="154">
        <v>18</v>
      </c>
      <c r="Q936" s="71">
        <f>=J936-P936</f>
        <v>0</v>
      </c>
      <c r="R936" s="203">
        <v>18</v>
      </c>
      <c r="S936" s="112">
        <f>=P936-R936</f>
        <v>0</v>
      </c>
      <c r="T936" s="71">
        <f>=S936*L936</f>
        <v>0</v>
      </c>
      <c r="U936" s="190">
        <f>=J936-P936</f>
        <v>0</v>
      </c>
    </row>
    <row r="937" spans="1:21" ht="15.75" customHeight="true">
      <c r="A937" s="80">
        <v>46135</v>
      </c>
      <c r="B937" s="71">
        <f>=TODAY()-A937+1</f>
        <v>90</v>
      </c>
      <c r="C937" t="s">
        <v>283</v>
      </c>
      <c r="D937" s="326" t="s">
        <v>281</v>
      </c>
      <c r="E937" s="335" t="s">
        <v>1978</v>
      </c>
      <c r="F937" t="s">
        <v>1958</v>
      </c>
      <c r="G937" s="108" t="s">
        <v>503</v>
      </c>
      <c r="H937" s="64" t="s">
        <v>422</v>
      </c>
      <c r="I937" s="342" t="s">
        <v>1979</v>
      </c>
      <c r="J937" s="339">
        <v>16</v>
      </c>
      <c r="L937" s="154">
        <v>4235</v>
      </c>
      <c r="M937" s="324">
        <f>=J937*L937</f>
        <v>67760</v>
      </c>
      <c r="N937" s="71">
        <v>2.5</v>
      </c>
      <c r="O937" s="189">
        <f>=ROUND(IF((TODAY()-A937+1)*N937*(L937/10000)+L937&lt;L937*1.002,L937*1.002,(TODAY()-A937+1)*N937*(L937/10000)+L937),2)</f>
        <v>4331.35</v>
      </c>
      <c r="P937" s="339">
        <v>16</v>
      </c>
      <c r="Q937" s="71">
        <v>0</v>
      </c>
      <c r="R937" s="249">
        <v>16</v>
      </c>
      <c r="S937" s="112">
        <f>=P937-R937</f>
        <v>0</v>
      </c>
      <c r="T937" s="71">
        <f>=S937*L937</f>
        <v>0</v>
      </c>
      <c r="U937" s="190">
        <f>=J937-P937</f>
        <v>0</v>
      </c>
    </row>
    <row r="938" spans="1:21" ht="15.75" customHeight="true">
      <c r="A938" s="80">
        <v>46135</v>
      </c>
      <c r="B938" s="71">
        <f>=TODAY()-A938+1</f>
        <v>90</v>
      </c>
      <c r="C938" t="s">
        <v>283</v>
      </c>
      <c r="D938" s="326" t="s">
        <v>281</v>
      </c>
      <c r="E938" s="335" t="s">
        <v>1980</v>
      </c>
      <c r="F938" t="s">
        <v>1958</v>
      </c>
      <c r="G938" s="108" t="s">
        <v>503</v>
      </c>
      <c r="H938" s="64" t="s">
        <v>422</v>
      </c>
      <c r="I938" s="342" t="s">
        <v>1981</v>
      </c>
      <c r="J938">
        <v>49</v>
      </c>
      <c r="L938">
        <v>3570</v>
      </c>
      <c r="M938" s="324">
        <f>=J938*L938</f>
        <v>174930</v>
      </c>
      <c r="N938" s="71">
        <v>2.5</v>
      </c>
      <c r="O938" s="189">
        <f>=ROUND(IF((TODAY()-A938+1)*N938*(L938/10000)+L938&lt;L938*1.002,L938*1.002,(TODAY()-A938+1)*N938*(L938/10000)+L938),2)</f>
        <v>3651.22</v>
      </c>
      <c r="P938">
        <v>49</v>
      </c>
      <c r="Q938" s="71">
        <f>=J938-P938</f>
        <v>0</v>
      </c>
      <c r="R938">
        <v>49</v>
      </c>
      <c r="S938" s="112">
        <f>=P938-R938</f>
        <v>0</v>
      </c>
      <c r="T938" s="71">
        <f>=S938*L938</f>
        <v>0</v>
      </c>
      <c r="U938" s="190">
        <f>=J938-P938</f>
        <v>0</v>
      </c>
    </row>
    <row r="939" spans="1:21" ht="15.75" customHeight="true">
      <c r="A939" s="80">
        <v>46135</v>
      </c>
      <c r="B939" s="71">
        <f>=TODAY()-A939+1</f>
        <v>90</v>
      </c>
      <c r="C939" t="s">
        <v>283</v>
      </c>
      <c r="D939" s="326" t="s">
        <v>281</v>
      </c>
      <c r="E939" s="335" t="s">
        <v>1982</v>
      </c>
      <c r="F939" t="s">
        <v>1958</v>
      </c>
      <c r="G939" t="s">
        <v>895</v>
      </c>
      <c r="H939" t="s">
        <v>422</v>
      </c>
      <c r="I939" s="342" t="s">
        <v>1983</v>
      </c>
      <c r="J939" s="87">
        <v>50</v>
      </c>
      <c r="L939">
        <v>1575</v>
      </c>
      <c r="M939" s="324">
        <f>=J939*L939</f>
        <v>78750</v>
      </c>
      <c r="N939" s="71">
        <v>2.5</v>
      </c>
      <c r="O939" s="189">
        <f>=ROUND(IF((TODAY()-A939+1)*N939*(L939/10000)+L939&lt;L939*1.002,L939*1.002,(TODAY()-A939+1)*N939*(L939/10000)+L939),2)</f>
        <v>1610.83</v>
      </c>
      <c r="P939">
        <v>50</v>
      </c>
      <c r="Q939" s="71">
        <f>=J939-P939</f>
        <v>0</v>
      </c>
      <c r="R939">
        <v>50</v>
      </c>
      <c r="S939" s="112">
        <f>=P939-R939</f>
        <v>0</v>
      </c>
      <c r="T939" s="71">
        <f>=S939*L939</f>
        <v>0</v>
      </c>
      <c r="U939" s="190">
        <f>=J939-P939</f>
        <v>0</v>
      </c>
    </row>
    <row r="940" spans="1:21" ht="15.75" customHeight="true">
      <c r="A940" s="80">
        <v>46135</v>
      </c>
      <c r="B940" s="71">
        <f>=TODAY()-A940+1</f>
        <v>90</v>
      </c>
      <c r="C940" t="s">
        <v>283</v>
      </c>
      <c r="D940" s="326" t="s">
        <v>281</v>
      </c>
      <c r="E940" s="335" t="s">
        <v>1984</v>
      </c>
      <c r="F940" t="s">
        <v>1958</v>
      </c>
      <c r="G940" t="s">
        <v>895</v>
      </c>
      <c r="H940" t="s">
        <v>422</v>
      </c>
      <c r="I940" s="342" t="s">
        <v>1985</v>
      </c>
      <c r="J940" s="87">
        <v>50</v>
      </c>
      <c r="L940">
        <v>1575</v>
      </c>
      <c r="M940" s="324">
        <f>=J940*L940</f>
        <v>78750</v>
      </c>
      <c r="N940" s="71">
        <v>2.5</v>
      </c>
      <c r="O940" s="189">
        <f>=ROUND(IF((TODAY()-A940+1)*N940*(L940/10000)+L940&lt;L940*1.002,L940*1.002,(TODAY()-A940+1)*N940*(L940/10000)+L940),2)</f>
        <v>1610.83</v>
      </c>
      <c r="P940">
        <v>50</v>
      </c>
      <c r="Q940" s="71">
        <f>=J940-P940</f>
        <v>0</v>
      </c>
      <c r="R940" s="71">
        <v>50</v>
      </c>
      <c r="S940" s="112">
        <f>=P940-R940</f>
        <v>0</v>
      </c>
      <c r="T940" s="71">
        <f>=S940*L940</f>
        <v>0</v>
      </c>
      <c r="U940" s="190">
        <f>=J940-P940</f>
        <v>0</v>
      </c>
    </row>
    <row r="941" spans="1:21" ht="15.75" customHeight="true">
      <c r="A941" s="80">
        <v>46135</v>
      </c>
      <c r="B941" s="71">
        <f>=TODAY()-A941+1</f>
        <v>90</v>
      </c>
      <c r="C941" t="s">
        <v>283</v>
      </c>
      <c r="D941" s="326" t="s">
        <v>281</v>
      </c>
      <c r="E941" s="335" t="s">
        <v>1986</v>
      </c>
      <c r="F941" t="s">
        <v>1958</v>
      </c>
      <c r="G941" s="97" t="s">
        <v>1438</v>
      </c>
      <c r="H941" s="97" t="s">
        <v>422</v>
      </c>
      <c r="I941" s="342" t="s">
        <v>1987</v>
      </c>
      <c r="J941" s="87">
        <v>14</v>
      </c>
      <c r="L941">
        <v>3360</v>
      </c>
      <c r="M941" s="324">
        <f>=J941*L941</f>
        <v>47040</v>
      </c>
      <c r="N941" s="71">
        <v>2.5</v>
      </c>
      <c r="O941" s="189">
        <f>=ROUND(IF((TODAY()-A941+1)*N941*(L941/10000)+L941&lt;L941*1.002,L941*1.002,(TODAY()-A941+1)*N941*(L941/10000)+L941),2)</f>
        <v>3436.44</v>
      </c>
      <c r="P941">
        <v>14</v>
      </c>
      <c r="Q941" s="71">
        <f>=J941-P941</f>
        <v>0</v>
      </c>
      <c r="R941" s="71">
        <v>14</v>
      </c>
      <c r="S941" s="112">
        <f>=P941-R941</f>
        <v>0</v>
      </c>
      <c r="T941" s="71">
        <f>=S941*L941</f>
        <v>0</v>
      </c>
      <c r="U941" s="190">
        <f>=J941-P941</f>
        <v>0</v>
      </c>
    </row>
    <row r="942" spans="1:21" ht="15.75" customHeight="true">
      <c r="A942" s="80">
        <v>46135</v>
      </c>
      <c r="B942" s="71">
        <f>=TODAY()-A942+1</f>
        <v>90</v>
      </c>
      <c r="C942" t="s">
        <v>283</v>
      </c>
      <c r="D942" s="326" t="s">
        <v>281</v>
      </c>
      <c r="E942" s="335" t="s">
        <v>1988</v>
      </c>
      <c r="F942" t="s">
        <v>1958</v>
      </c>
      <c r="G942" s="97" t="s">
        <v>1438</v>
      </c>
      <c r="H942" s="97" t="s">
        <v>422</v>
      </c>
      <c r="I942" s="342" t="s">
        <v>1989</v>
      </c>
      <c r="J942" s="87">
        <v>29</v>
      </c>
      <c r="L942">
        <v>3360</v>
      </c>
      <c r="M942" s="324">
        <f>=J942*L942</f>
        <v>97440</v>
      </c>
      <c r="N942" s="71">
        <v>2.5</v>
      </c>
      <c r="O942" s="189">
        <f>=ROUND(IF((TODAY()-A942+1)*N942*(L942/10000)+L942&lt;L942*1.002,L942*1.002,(TODAY()-A942+1)*N942*(L942/10000)+L942),2)</f>
        <v>3436.44</v>
      </c>
      <c r="P942">
        <v>29</v>
      </c>
      <c r="Q942" s="71">
        <f>=J942-P942</f>
        <v>0</v>
      </c>
      <c r="R942" s="71">
        <v>5</v>
      </c>
      <c r="S942" s="112">
        <f>=P942-R942</f>
        <v>24</v>
      </c>
      <c r="T942" s="71">
        <f>=S942*L942</f>
        <v>80640</v>
      </c>
      <c r="U942" s="190">
        <f>=J942-P942</f>
        <v>0</v>
      </c>
    </row>
    <row r="943" spans="1:21" ht="15.75" customHeight="true">
      <c r="A943" s="80">
        <v>46135</v>
      </c>
      <c r="B943" s="71">
        <f>=TODAY()-A943+1</f>
        <v>90</v>
      </c>
      <c r="C943" t="s">
        <v>283</v>
      </c>
      <c r="D943" s="326" t="s">
        <v>281</v>
      </c>
      <c r="E943" s="335" t="s">
        <v>1990</v>
      </c>
      <c r="F943" t="s">
        <v>1958</v>
      </c>
      <c r="G943" s="97" t="s">
        <v>1438</v>
      </c>
      <c r="H943" s="97" t="s">
        <v>422</v>
      </c>
      <c r="I943" s="342" t="s">
        <v>1991</v>
      </c>
      <c r="J943" s="87">
        <v>13</v>
      </c>
      <c r="L943">
        <v>3360</v>
      </c>
      <c r="M943" s="324">
        <f>=J943*L943</f>
        <v>43680</v>
      </c>
      <c r="N943" s="71">
        <v>2.5</v>
      </c>
      <c r="O943" s="189">
        <f>=ROUND(IF((TODAY()-A943+1)*N943*(L943/10000)+L943&lt;L943*1.002,L943*1.002,(TODAY()-A943+1)*N943*(L943/10000)+L943),2)</f>
        <v>3436.44</v>
      </c>
      <c r="P943">
        <v>13</v>
      </c>
      <c r="Q943" s="71">
        <f>=J943-P943</f>
        <v>0</v>
      </c>
      <c r="R943" s="71">
        <v>13</v>
      </c>
      <c r="S943" s="112">
        <f>=P943-R943</f>
        <v>0</v>
      </c>
      <c r="T943" s="71">
        <f>=S943*L943</f>
        <v>0</v>
      </c>
      <c r="U943" s="190">
        <f>=J943-P943</f>
        <v>0</v>
      </c>
    </row>
    <row r="944" spans="1:21" ht="15.75" customHeight="true">
      <c r="A944" s="80">
        <v>46135</v>
      </c>
      <c r="B944" s="71">
        <f>=TODAY()-A944+1</f>
        <v>90</v>
      </c>
      <c r="C944" t="s">
        <v>283</v>
      </c>
      <c r="D944" s="326" t="s">
        <v>281</v>
      </c>
      <c r="E944" s="335" t="s">
        <v>1992</v>
      </c>
      <c r="F944" t="s">
        <v>1958</v>
      </c>
      <c r="G944" s="108" t="s">
        <v>503</v>
      </c>
      <c r="H944" s="64" t="s">
        <v>422</v>
      </c>
      <c r="I944" s="343" t="s">
        <v>1961</v>
      </c>
      <c r="J944" s="87">
        <v>8</v>
      </c>
      <c r="L944" s="154">
        <v>1260</v>
      </c>
      <c r="M944" s="112">
        <f>=J944*L944</f>
        <v>10080</v>
      </c>
      <c r="N944" s="71">
        <v>2.5</v>
      </c>
      <c r="O944" s="189">
        <f>=ROUND(IF((TODAY()-A944+1)*N944*(L944/10000)+L944&lt;L944*1.002,L944*1.002,(TODAY()-A944+1)*N944*(L944/10000)+L944),2)</f>
        <v>1288.67</v>
      </c>
      <c r="P944">
        <v>8</v>
      </c>
      <c r="Q944" s="71">
        <f>=J944-P944</f>
        <v>0</v>
      </c>
      <c r="R944">
        <v>8</v>
      </c>
      <c r="S944" s="112">
        <f>=P944-R944</f>
        <v>0</v>
      </c>
      <c r="T944" s="71">
        <f>=S944*L944</f>
        <v>0</v>
      </c>
      <c r="U944" s="190">
        <f>=J944-P944</f>
        <v>0</v>
      </c>
    </row>
    <row r="945" spans="1:21">
      <c r="A945" s="80">
        <v>46135</v>
      </c>
      <c r="B945" s="71">
        <f>=TODAY()-A945+1</f>
        <v>90</v>
      </c>
      <c r="C945" t="s">
        <v>291</v>
      </c>
      <c r="D945" s="326" t="s">
        <v>290</v>
      </c>
      <c r="E945" s="335" t="s">
        <v>1993</v>
      </c>
      <c r="F945" s="145" t="s">
        <v>290</v>
      </c>
      <c r="G945" t="s">
        <v>895</v>
      </c>
      <c r="H945" t="s">
        <v>422</v>
      </c>
      <c r="I945" s="136" t="s">
        <v>1994</v>
      </c>
      <c r="J945">
        <v>20</v>
      </c>
      <c r="L945" s="154">
        <v>1650</v>
      </c>
      <c r="M945" s="112">
        <f>=J945*L945</f>
        <v>33000</v>
      </c>
      <c r="N945" s="71">
        <v>2.5</v>
      </c>
      <c r="O945" s="189">
        <f>=ROUND(IF((TODAY()-A945+1)*N945*(L945/10000)+L945&lt;L945*1.002,L945*1.002,(TODAY()-A945+1)*N945*(L945/10000)+L945),2)</f>
        <v>1687.54</v>
      </c>
      <c r="P945">
        <v>20</v>
      </c>
      <c r="Q945" s="71">
        <f>=J945-P945</f>
        <v>0</v>
      </c>
      <c r="R945" s="71">
        <v>20</v>
      </c>
      <c r="S945" s="112">
        <f>=P945-R945</f>
        <v>0</v>
      </c>
      <c r="T945" s="71">
        <f>=S945*L945</f>
        <v>0</v>
      </c>
      <c r="U945" s="190">
        <f>=J945-P945</f>
        <v>0</v>
      </c>
    </row>
    <row r="946" spans="1:21">
      <c r="A946" s="80">
        <v>46135</v>
      </c>
      <c r="B946" s="71">
        <f>=TODAY()-A946+1</f>
        <v>90</v>
      </c>
      <c r="C946" s="71" t="s">
        <v>293</v>
      </c>
      <c r="D946" s="344" t="s">
        <v>130</v>
      </c>
      <c r="E946" s="153" t="s">
        <v>1995</v>
      </c>
      <c r="F946" s="242" t="s">
        <v>854</v>
      </c>
      <c r="G946" s="112" t="s">
        <v>428</v>
      </c>
      <c r="H946" s="112" t="s">
        <v>470</v>
      </c>
      <c r="I946" s="112" t="s">
        <v>855</v>
      </c>
      <c r="J946" s="71">
        <v>200</v>
      </c>
      <c r="L946" s="154">
        <v>2750</v>
      </c>
      <c r="M946" s="112">
        <f>=J946*L946</f>
        <v>550000</v>
      </c>
      <c r="N946" s="71">
        <v>3</v>
      </c>
      <c r="O946" s="189">
        <f>=ROUND(IF((TODAY()-A946+1)*N946*(L946/10000)+L946&lt;L946*1.002,L946*1.002,(TODAY()-A946+1)*N946*(L946/10000)+L946),2)</f>
        <v>2825.08</v>
      </c>
      <c r="P946" s="71">
        <v>200</v>
      </c>
      <c r="Q946" s="71">
        <f>=J946-P946</f>
        <v>0</v>
      </c>
      <c r="R946" s="71">
        <v>200</v>
      </c>
      <c r="S946" s="112">
        <f>=P946-R946</f>
        <v>0</v>
      </c>
      <c r="T946" s="71">
        <f>=S946*L946</f>
        <v>0</v>
      </c>
      <c r="U946" s="190">
        <f>=J946-P946</f>
        <v>0</v>
      </c>
    </row>
    <row r="947" spans="1:21" ht="15.75" customHeight="true">
      <c r="A947" s="80">
        <v>46136</v>
      </c>
      <c r="B947" s="71">
        <f>=TODAY()-A947+1</f>
        <v>89</v>
      </c>
      <c r="C947" s="71" t="s">
        <v>292</v>
      </c>
      <c r="D947" s="326" t="s">
        <v>46</v>
      </c>
      <c r="E947" s="136" t="s">
        <v>1996</v>
      </c>
      <c r="F947" s="145" t="s">
        <v>1997</v>
      </c>
      <c r="G947" s="105" t="s">
        <v>421</v>
      </c>
      <c r="H947" s="105" t="s">
        <v>422</v>
      </c>
      <c r="I947" s="105" t="s">
        <v>1998</v>
      </c>
      <c r="J947">
        <v>200</v>
      </c>
      <c r="L947">
        <v>4800</v>
      </c>
      <c r="M947" s="112">
        <f>=J947*L947</f>
        <v>960000</v>
      </c>
      <c r="N947" s="71">
        <v>2.5</v>
      </c>
      <c r="O947" s="189">
        <f>=ROUND(IF((TODAY()-A947+1)*N947*(L947/10000)+L947&lt;L947*1.002,L947*1.002,(TODAY()-A947+1)*N947*(L947/10000)+L947),2)</f>
        <v>4908</v>
      </c>
      <c r="P947">
        <v>200</v>
      </c>
      <c r="Q947" s="71">
        <f>=J947-P947</f>
        <v>0</v>
      </c>
      <c r="R947">
        <v>200</v>
      </c>
      <c r="S947" s="112">
        <f>=P947-R947</f>
        <v>0</v>
      </c>
      <c r="T947" s="71">
        <f>=S947*L947</f>
        <v>0</v>
      </c>
      <c r="U947" s="190">
        <f>=J947-P947</f>
        <v>0</v>
      </c>
    </row>
    <row r="948" spans="1:21" ht="15.75" customHeight="true">
      <c r="A948" s="80">
        <v>46136</v>
      </c>
      <c r="B948" s="71">
        <f>=TODAY()-A948+1</f>
        <v>89</v>
      </c>
      <c r="C948" s="71" t="s">
        <v>292</v>
      </c>
      <c r="D948" s="326" t="s">
        <v>46</v>
      </c>
      <c r="E948" s="136" t="s">
        <v>1999</v>
      </c>
      <c r="F948" s="145" t="s">
        <v>1997</v>
      </c>
      <c r="G948" s="105" t="s">
        <v>421</v>
      </c>
      <c r="H948" s="105" t="s">
        <v>422</v>
      </c>
      <c r="I948" t="s">
        <v>2000</v>
      </c>
      <c r="J948">
        <v>200</v>
      </c>
      <c r="L948">
        <v>4800</v>
      </c>
      <c r="M948" s="112">
        <f>=J948*L948</f>
        <v>960000</v>
      </c>
      <c r="N948" s="71">
        <v>2.5</v>
      </c>
      <c r="O948" s="189">
        <f>=ROUND(IF((TODAY()-A948+1)*N948*(L948/10000)+L948&lt;L948*1.002,L948*1.002,(TODAY()-A948+1)*N948*(L948/10000)+L948),2)</f>
        <v>4908</v>
      </c>
      <c r="P948">
        <v>200</v>
      </c>
      <c r="Q948" s="71">
        <f>=J948-P948</f>
        <v>0</v>
      </c>
      <c r="R948">
        <v>200</v>
      </c>
      <c r="S948" s="112">
        <f>=P948-R948</f>
        <v>0</v>
      </c>
      <c r="T948" s="71">
        <f>=S948*L948</f>
        <v>0</v>
      </c>
      <c r="U948" s="190">
        <f>=J948-P948</f>
        <v>0</v>
      </c>
    </row>
    <row r="949" spans="1:21" ht="15.75" customHeight="true">
      <c r="A949" s="80">
        <v>46136</v>
      </c>
      <c r="B949" s="71">
        <f>=TODAY()-A949+1</f>
        <v>89</v>
      </c>
      <c r="C949" s="71" t="s">
        <v>292</v>
      </c>
      <c r="D949" s="326" t="s">
        <v>46</v>
      </c>
      <c r="E949" s="136" t="s">
        <v>2001</v>
      </c>
      <c r="F949" s="145" t="s">
        <v>1997</v>
      </c>
      <c r="G949" s="105" t="s">
        <v>421</v>
      </c>
      <c r="H949" s="105" t="s">
        <v>422</v>
      </c>
      <c r="I949" t="s">
        <v>990</v>
      </c>
      <c r="J949" s="154">
        <v>200</v>
      </c>
      <c r="K949" s="154" t="s"/>
      <c r="L949">
        <v>4800</v>
      </c>
      <c r="M949" s="112">
        <f>=J949*L949</f>
        <v>960000</v>
      </c>
      <c r="N949" s="71">
        <v>2.5</v>
      </c>
      <c r="O949" s="189">
        <f>=ROUND(IF((TODAY()-A949+1)*N949*(L949/10000)+L949&lt;L949*1.002,L949*1.002,(TODAY()-A949+1)*N949*(L949/10000)+L949),2)</f>
        <v>4908</v>
      </c>
      <c r="P949" s="154">
        <v>200</v>
      </c>
      <c r="Q949" s="71">
        <f>=J949-P949</f>
        <v>0</v>
      </c>
      <c r="R949" s="203">
        <v>200</v>
      </c>
      <c r="S949" s="112">
        <f>=P949-R949</f>
        <v>0</v>
      </c>
      <c r="T949" s="71">
        <f>=S949*L949</f>
        <v>0</v>
      </c>
      <c r="U949" s="190">
        <f>=J949-P949</f>
        <v>0</v>
      </c>
    </row>
    <row r="950" spans="1:21" ht="15.75" customHeight="true">
      <c r="A950" s="80">
        <v>46137</v>
      </c>
      <c r="B950" s="71">
        <f>=TODAY()-A950+1</f>
        <v>88</v>
      </c>
      <c r="C950" s="71" t="s">
        <v>295</v>
      </c>
      <c r="D950" s="326" t="s">
        <v>46</v>
      </c>
      <c r="E950" s="136" t="s">
        <v>2002</v>
      </c>
      <c r="F950" s="145" t="s">
        <v>1997</v>
      </c>
      <c r="G950" s="105" t="s">
        <v>421</v>
      </c>
      <c r="H950" s="105" t="s">
        <v>422</v>
      </c>
      <c r="I950" s="105" t="s">
        <v>1998</v>
      </c>
      <c r="J950">
        <v>100</v>
      </c>
      <c r="L950">
        <v>4800</v>
      </c>
      <c r="M950" s="112">
        <f>=J950*L950</f>
        <v>480000</v>
      </c>
      <c r="N950" s="71">
        <v>2.5</v>
      </c>
      <c r="O950" s="189">
        <f>=ROUND(IF((TODAY()-A950+1)*N950*(L950/10000)+L950&lt;L950*1.002,L950*1.002,(TODAY()-A950+1)*N950*(L950/10000)+L950),2)</f>
        <v>4906.8</v>
      </c>
      <c r="P950">
        <v>100</v>
      </c>
      <c r="Q950" s="71">
        <f>=J950-P950</f>
        <v>0</v>
      </c>
      <c r="R950">
        <v>100</v>
      </c>
      <c r="S950" s="112">
        <f>=P950-R950</f>
        <v>0</v>
      </c>
      <c r="T950" s="71">
        <f>=S950*L950</f>
        <v>0</v>
      </c>
      <c r="U950" s="190">
        <f>=J950-P950</f>
        <v>0</v>
      </c>
    </row>
    <row r="951" spans="1:21" ht="15.75" customHeight="true">
      <c r="A951" s="80">
        <v>46137</v>
      </c>
      <c r="B951" s="71">
        <f>=TODAY()-A951+1</f>
        <v>88</v>
      </c>
      <c r="C951" s="71" t="s">
        <v>295</v>
      </c>
      <c r="D951" s="326" t="s">
        <v>46</v>
      </c>
      <c r="E951" s="136" t="s">
        <v>2003</v>
      </c>
      <c r="F951" s="145" t="s">
        <v>1997</v>
      </c>
      <c r="G951" s="105" t="s">
        <v>421</v>
      </c>
      <c r="H951" s="105" t="s">
        <v>422</v>
      </c>
      <c r="I951" t="s">
        <v>2000</v>
      </c>
      <c r="J951">
        <v>100</v>
      </c>
      <c r="L951">
        <v>4800</v>
      </c>
      <c r="M951" s="112">
        <f>=J951*L951</f>
        <v>480000</v>
      </c>
      <c r="N951" s="71">
        <v>2.5</v>
      </c>
      <c r="O951" s="189">
        <f>=ROUND(IF((TODAY()-A951+1)*N951*(L951/10000)+L951&lt;L951*1.002,L951*1.002,(TODAY()-A951+1)*N951*(L951/10000)+L951),2)</f>
        <v>4906.8</v>
      </c>
      <c r="P951">
        <v>100</v>
      </c>
      <c r="Q951" s="71">
        <f>=J951-P951</f>
        <v>0</v>
      </c>
      <c r="R951">
        <v>100</v>
      </c>
      <c r="S951" s="112">
        <f>=P951-R951</f>
        <v>0</v>
      </c>
      <c r="T951" s="71">
        <f>=S951*L951</f>
        <v>0</v>
      </c>
      <c r="U951" s="190">
        <f>=J951-P951</f>
        <v>0</v>
      </c>
    </row>
    <row r="952" spans="1:21" ht="15.75" customHeight="true">
      <c r="A952" s="80">
        <v>46137</v>
      </c>
      <c r="B952" s="71">
        <f>=TODAY()-A952+1</f>
        <v>88</v>
      </c>
      <c r="C952" s="71" t="s">
        <v>295</v>
      </c>
      <c r="D952" s="326" t="s">
        <v>46</v>
      </c>
      <c r="E952" s="136" t="s">
        <v>2004</v>
      </c>
      <c r="F952" s="145" t="s">
        <v>1997</v>
      </c>
      <c r="G952" s="105" t="s">
        <v>421</v>
      </c>
      <c r="H952" s="105" t="s">
        <v>422</v>
      </c>
      <c r="I952" t="s">
        <v>990</v>
      </c>
      <c r="J952" s="154">
        <v>200</v>
      </c>
      <c r="K952" s="154" t="s"/>
      <c r="L952">
        <v>4800</v>
      </c>
      <c r="M952" s="112">
        <f>=J952*L952</f>
        <v>960000</v>
      </c>
      <c r="N952" s="71">
        <v>2.5</v>
      </c>
      <c r="O952" s="189">
        <f>=ROUND(IF((TODAY()-A952+1)*N952*(L952/10000)+L952&lt;L952*1.002,L952*1.002,(TODAY()-A952+1)*N952*(L952/10000)+L952),2)</f>
        <v>4906.8</v>
      </c>
      <c r="P952" s="154">
        <v>200</v>
      </c>
      <c r="Q952" s="71">
        <f>=J952-P952</f>
        <v>0</v>
      </c>
      <c r="R952" s="203">
        <v>200</v>
      </c>
      <c r="S952" s="112">
        <f>=P952-R952</f>
        <v>0</v>
      </c>
      <c r="T952" s="71">
        <f>=S952*L952</f>
        <v>0</v>
      </c>
      <c r="U952" s="190">
        <f>=J952-P952</f>
        <v>0</v>
      </c>
    </row>
    <row r="953" spans="1:21" ht="15.75" customHeight="true">
      <c r="A953" s="80">
        <v>46137</v>
      </c>
      <c r="B953" s="71">
        <f>=TODAY()-A953+1</f>
        <v>88</v>
      </c>
      <c r="C953" s="98" t="s">
        <v>296</v>
      </c>
      <c r="D953" s="71" t="s">
        <v>191</v>
      </c>
      <c r="E953" s="145" t="s">
        <v>2005</v>
      </c>
      <c r="F953" t="s">
        <v>1076</v>
      </c>
      <c r="G953" s="156" t="s">
        <v>804</v>
      </c>
      <c r="H953" s="156" t="s">
        <v>422</v>
      </c>
      <c r="I953" s="156" t="s">
        <v>2006</v>
      </c>
      <c r="J953" s="154">
        <v>1000</v>
      </c>
      <c r="K953" s="154" t="s"/>
      <c r="L953" s="154">
        <v>1000</v>
      </c>
      <c r="M953" s="112">
        <f>=J953*L953</f>
        <v>1000000</v>
      </c>
      <c r="N953" s="71">
        <v>2.5</v>
      </c>
      <c r="O953" s="189">
        <f>=ROUND(IF((TODAY()-A953+1)*N953*(L953/10000)+L953&lt;L953*1.002,L953*1.002,(TODAY()-A953+1)*N953*(L953/10000)+L953),2)</f>
        <v>1022.25</v>
      </c>
      <c r="P953" s="154">
        <v>1000</v>
      </c>
      <c r="Q953" s="71">
        <f>=J953-P953</f>
        <v>0</v>
      </c>
      <c r="R953" s="71" t="s"/>
      <c r="S953" s="112">
        <f>=P953-R953</f>
        <v>1000</v>
      </c>
      <c r="T953" s="71">
        <f>=S953*L953</f>
        <v>1000000</v>
      </c>
      <c r="U953" s="190">
        <f>=J953-P953</f>
        <v>0</v>
      </c>
    </row>
    <row r="954" spans="1:21" ht="15.75" customHeight="true">
      <c r="A954" s="80">
        <v>46138</v>
      </c>
      <c r="B954" s="71">
        <f>=TODAY()-A954+1</f>
        <v>87</v>
      </c>
      <c r="C954" s="98" t="s">
        <v>297</v>
      </c>
      <c r="D954" s="71" t="s">
        <v>191</v>
      </c>
      <c r="E954" s="136" t="s">
        <v>2007</v>
      </c>
      <c r="F954" t="s">
        <v>1076</v>
      </c>
      <c r="G954" s="156" t="s">
        <v>804</v>
      </c>
      <c r="H954" s="156" t="s">
        <v>422</v>
      </c>
      <c r="I954" s="156" t="s">
        <v>2008</v>
      </c>
      <c r="J954">
        <v>400</v>
      </c>
      <c r="L954" s="154">
        <v>1000</v>
      </c>
      <c r="M954" s="112">
        <f>=J954*L954</f>
        <v>400000</v>
      </c>
      <c r="N954" s="71">
        <v>2.5</v>
      </c>
      <c r="O954" s="189">
        <f>=ROUND(IF((TODAY()-A954+1)*N954*(L954/10000)+L954&lt;L954*1.002,L954*1.002,(TODAY()-A954+1)*N954*(L954/10000)+L954),2)</f>
        <v>1022</v>
      </c>
      <c r="P954">
        <v>400</v>
      </c>
      <c r="Q954" s="71">
        <f>=J954-P954</f>
        <v>0</v>
      </c>
      <c r="R954" s="71" t="s"/>
      <c r="S954" s="112">
        <f>=P954-R954</f>
        <v>400</v>
      </c>
      <c r="T954" s="71">
        <f>=S954*L954</f>
        <v>400000</v>
      </c>
      <c r="U954" s="190">
        <f>=J954-P954</f>
        <v>0</v>
      </c>
    </row>
    <row r="955" spans="1:21" ht="15.75" customHeight="true">
      <c r="A955" s="80">
        <v>46138</v>
      </c>
      <c r="B955" s="71">
        <f>=TODAY()-A955+1</f>
        <v>87</v>
      </c>
      <c r="C955" s="98" t="s">
        <v>297</v>
      </c>
      <c r="D955" s="71" t="s">
        <v>191</v>
      </c>
      <c r="E955" s="136" t="s">
        <v>2009</v>
      </c>
      <c r="F955" t="s">
        <v>1076</v>
      </c>
      <c r="G955" s="156" t="s">
        <v>804</v>
      </c>
      <c r="H955" s="156" t="s">
        <v>422</v>
      </c>
      <c r="I955" s="156" t="s">
        <v>2010</v>
      </c>
      <c r="J955" s="154">
        <v>300</v>
      </c>
      <c r="K955" s="154" t="s"/>
      <c r="L955" s="154">
        <v>1000</v>
      </c>
      <c r="M955" s="112">
        <f>=J955*L955</f>
        <v>300000</v>
      </c>
      <c r="N955" s="71">
        <v>2.5</v>
      </c>
      <c r="O955" s="189">
        <f>=ROUND(IF((TODAY()-A955+1)*N955*(L955/10000)+L955&lt;L955*1.002,L955*1.002,(TODAY()-A955+1)*N955*(L955/10000)+L955),2)</f>
        <v>1022</v>
      </c>
      <c r="P955" s="154">
        <v>300</v>
      </c>
      <c r="Q955" s="71">
        <f>=J955-P955</f>
        <v>0</v>
      </c>
      <c r="R955" s="71" t="s"/>
      <c r="S955" s="112">
        <f>=P955-R955</f>
        <v>300</v>
      </c>
      <c r="T955" s="71">
        <f>=S955*L955</f>
        <v>300000</v>
      </c>
      <c r="U955" s="190">
        <f>=J955-P955</f>
        <v>0</v>
      </c>
    </row>
    <row r="956" spans="1:21" ht="15.75" customHeight="true">
      <c r="A956" s="80">
        <v>46138</v>
      </c>
      <c r="B956" s="71">
        <f>=TODAY()-A956+1</f>
        <v>87</v>
      </c>
      <c r="C956" s="98" t="s">
        <v>297</v>
      </c>
      <c r="D956" s="71" t="s">
        <v>191</v>
      </c>
      <c r="E956" s="136" t="s">
        <v>2011</v>
      </c>
      <c r="F956" t="s">
        <v>1076</v>
      </c>
      <c r="G956" s="156" t="s">
        <v>804</v>
      </c>
      <c r="H956" s="156" t="s">
        <v>422</v>
      </c>
      <c r="I956" s="156" t="s">
        <v>2006</v>
      </c>
      <c r="J956">
        <v>300</v>
      </c>
      <c r="K956" s="154" t="s"/>
      <c r="L956" s="154">
        <v>1000</v>
      </c>
      <c r="M956" s="112">
        <f>=J956*L956</f>
        <v>300000</v>
      </c>
      <c r="N956" s="71">
        <v>2.5</v>
      </c>
      <c r="O956" s="189">
        <f>=ROUND(IF((TODAY()-A956+1)*N956*(L956/10000)+L956&lt;L956*1.002,L956*1.002,(TODAY()-A956+1)*N956*(L956/10000)+L956),2)</f>
        <v>1022</v>
      </c>
      <c r="P956">
        <v>300</v>
      </c>
      <c r="Q956" s="71">
        <f>=J956-P956</f>
        <v>0</v>
      </c>
      <c r="R956" s="71" t="s"/>
      <c r="S956" s="112">
        <f>=P956-R956</f>
        <v>300</v>
      </c>
      <c r="T956" s="71">
        <f>=S956*L956</f>
        <v>300000</v>
      </c>
      <c r="U956" s="190">
        <f>=J956-P956</f>
        <v>0</v>
      </c>
    </row>
    <row r="957" spans="1:21" ht="15.75" customHeight="true">
      <c r="A957" s="80">
        <v>46138</v>
      </c>
      <c r="B957" s="71">
        <f>=TODAY()-A957+1</f>
        <v>87</v>
      </c>
      <c r="C957" t="s">
        <v>298</v>
      </c>
      <c r="D957" t="s">
        <v>243</v>
      </c>
      <c r="E957" s="145" t="s">
        <v>2012</v>
      </c>
      <c r="F957" s="242" t="s">
        <v>1763</v>
      </c>
      <c r="G957" t="s">
        <v>741</v>
      </c>
      <c r="H957" t="s">
        <v>422</v>
      </c>
      <c r="I957" t="s">
        <v>1082</v>
      </c>
      <c r="J957">
        <v>202</v>
      </c>
      <c r="K957" s="154" t="s"/>
      <c r="L957" s="154">
        <v>1050</v>
      </c>
      <c r="M957" s="112">
        <f>=J957*L957</f>
        <v>212100</v>
      </c>
      <c r="N957">
        <v>2.5</v>
      </c>
      <c r="O957" s="189">
        <f>=ROUND(IF((TODAY()-A957+1)*N957*(L957/10000)+L957&lt;L957*1.002,L957*1.002,(TODAY()-A957+1)*N957*(L957/10000)+L957),2)</f>
        <v>1073.1</v>
      </c>
      <c r="P957">
        <v>202</v>
      </c>
      <c r="Q957" s="71">
        <f>=J957-P957</f>
        <v>0</v>
      </c>
      <c r="R957">
        <v>202</v>
      </c>
      <c r="S957" s="112">
        <f>=P957-R957</f>
        <v>0</v>
      </c>
      <c r="T957" s="71">
        <f>=S957*L957</f>
        <v>0</v>
      </c>
      <c r="U957" s="190">
        <f>=J957-P957</f>
        <v>0</v>
      </c>
    </row>
    <row r="958" spans="1:21" ht="15.75" customHeight="true">
      <c r="A958" s="80">
        <v>46138</v>
      </c>
      <c r="B958" s="71">
        <f>=TODAY()-A958+1</f>
        <v>87</v>
      </c>
      <c r="C958" t="s">
        <v>298</v>
      </c>
      <c r="D958" t="s">
        <v>243</v>
      </c>
      <c r="E958" s="136" t="s">
        <v>2013</v>
      </c>
      <c r="F958" s="242" t="s">
        <v>1763</v>
      </c>
      <c r="G958" t="s">
        <v>741</v>
      </c>
      <c r="H958" t="s">
        <v>422</v>
      </c>
      <c r="I958" t="s">
        <v>1652</v>
      </c>
      <c r="J958">
        <v>98</v>
      </c>
      <c r="K958" s="154" t="s"/>
      <c r="L958" s="154">
        <v>1050</v>
      </c>
      <c r="M958" s="112">
        <f>=J958*L958</f>
        <v>102900</v>
      </c>
      <c r="N958">
        <v>2.5</v>
      </c>
      <c r="O958" s="189">
        <f>=ROUND(IF((TODAY()-A958+1)*N958*(L958/10000)+L958&lt;L958*1.002,L958*1.002,(TODAY()-A958+1)*N958*(L958/10000)+L958),2)</f>
        <v>1073.1</v>
      </c>
      <c r="P958">
        <v>98</v>
      </c>
      <c r="Q958" s="71">
        <f>=J958-P958</f>
        <v>0</v>
      </c>
      <c r="R958">
        <v>98</v>
      </c>
      <c r="S958" s="112">
        <f>=P958-R958</f>
        <v>0</v>
      </c>
      <c r="T958" s="71">
        <f>=S958*L958</f>
        <v>0</v>
      </c>
      <c r="U958" s="190">
        <f>=J958-P958</f>
        <v>0</v>
      </c>
    </row>
    <row r="959" spans="1:21" ht="15.75" customHeight="true">
      <c r="A959" s="80">
        <v>46138</v>
      </c>
      <c r="B959" s="71">
        <f>=TODAY()-A959+1</f>
        <v>87</v>
      </c>
      <c r="C959" t="s">
        <v>298</v>
      </c>
      <c r="D959" t="s">
        <v>243</v>
      </c>
      <c r="E959" s="136" t="s">
        <v>2014</v>
      </c>
      <c r="F959" s="242" t="s">
        <v>1763</v>
      </c>
      <c r="G959" t="s">
        <v>741</v>
      </c>
      <c r="H959" t="s">
        <v>422</v>
      </c>
      <c r="I959" t="s">
        <v>1176</v>
      </c>
      <c r="J959">
        <v>99</v>
      </c>
      <c r="K959" s="154" t="s"/>
      <c r="L959" s="154">
        <v>1050</v>
      </c>
      <c r="M959" s="112">
        <f>=J959*L959</f>
        <v>103950</v>
      </c>
      <c r="N959">
        <v>2.5</v>
      </c>
      <c r="O959" s="189">
        <f>=ROUND(IF((TODAY()-A959+1)*N959*(L959/10000)+L959&lt;L959*1.002,L959*1.002,(TODAY()-A959+1)*N959*(L959/10000)+L959),2)</f>
        <v>1073.1</v>
      </c>
      <c r="P959">
        <v>99</v>
      </c>
      <c r="Q959" s="71">
        <f>=J959-P959</f>
        <v>0</v>
      </c>
      <c r="R959">
        <v>99</v>
      </c>
      <c r="S959" s="112">
        <f>=P959-R959</f>
        <v>0</v>
      </c>
      <c r="T959" s="71">
        <f>=S959*L959</f>
        <v>0</v>
      </c>
      <c r="U959" s="190">
        <f>=J959-P959</f>
        <v>0</v>
      </c>
    </row>
    <row r="960" spans="1:21" ht="15.75" customHeight="true">
      <c r="A960" s="80">
        <v>46138</v>
      </c>
      <c r="B960" s="71">
        <f>=TODAY()-A960+1</f>
        <v>87</v>
      </c>
      <c r="C960" t="s">
        <v>298</v>
      </c>
      <c r="D960" t="s">
        <v>243</v>
      </c>
      <c r="E960" s="136" t="s">
        <v>2015</v>
      </c>
      <c r="F960" s="242" t="s">
        <v>1763</v>
      </c>
      <c r="G960" t="s">
        <v>741</v>
      </c>
      <c r="H960" t="s">
        <v>422</v>
      </c>
      <c r="I960" t="s">
        <v>1278</v>
      </c>
      <c r="J960">
        <v>101</v>
      </c>
      <c r="K960" s="154" t="s"/>
      <c r="L960" s="154">
        <v>1050</v>
      </c>
      <c r="M960" s="112">
        <f>=J960*L960</f>
        <v>106050</v>
      </c>
      <c r="N960">
        <v>2.5</v>
      </c>
      <c r="O960" s="189">
        <f>=ROUND(IF((TODAY()-A960+1)*N960*(L960/10000)+L960&lt;L960*1.002,L960*1.002,(TODAY()-A960+1)*N960*(L960/10000)+L960),2)</f>
        <v>1073.1</v>
      </c>
      <c r="P960">
        <v>101</v>
      </c>
      <c r="Q960" s="71">
        <f>=J960-P960</f>
        <v>0</v>
      </c>
      <c r="R960">
        <v>101</v>
      </c>
      <c r="S960" s="112">
        <f>=P960-R960</f>
        <v>0</v>
      </c>
      <c r="T960" s="71">
        <f>=S960*L960</f>
        <v>0</v>
      </c>
      <c r="U960" s="190">
        <f>=J960-P960</f>
        <v>0</v>
      </c>
    </row>
    <row r="961" spans="1:21" ht="15.75" customHeight="true">
      <c r="A961" s="80">
        <v>46140</v>
      </c>
      <c r="B961" s="71">
        <f>=TODAY()-A961+1</f>
        <v>85</v>
      </c>
      <c r="C961" s="98" t="s">
        <v>299</v>
      </c>
      <c r="D961" s="71" t="s">
        <v>191</v>
      </c>
      <c r="E961" s="136" t="s">
        <v>2016</v>
      </c>
      <c r="F961" t="s">
        <v>1076</v>
      </c>
      <c r="G961" s="156" t="s">
        <v>804</v>
      </c>
      <c r="H961" s="156" t="s">
        <v>422</v>
      </c>
      <c r="I961" s="156" t="s">
        <v>2006</v>
      </c>
      <c r="J961">
        <v>700</v>
      </c>
      <c r="K961" s="154" t="s"/>
      <c r="L961" s="154">
        <v>1000</v>
      </c>
      <c r="M961" s="112">
        <f>=J961*L961</f>
        <v>700000</v>
      </c>
      <c r="N961">
        <v>2.5</v>
      </c>
      <c r="O961" s="189">
        <f>=ROUND(IF((TODAY()-A961+1)*N961*(L961/10000)+L961&lt;L961*1.002,L961*1.002,(TODAY()-A961+1)*N961*(L961/10000)+L961),2)</f>
        <v>1021.5</v>
      </c>
      <c r="P961">
        <v>700</v>
      </c>
      <c r="Q961" s="71">
        <f>=J961-P961</f>
        <v>0</v>
      </c>
      <c r="S961" s="112">
        <f>=P961-R961</f>
        <v>700</v>
      </c>
      <c r="T961" s="71">
        <f>=S961*L961</f>
        <v>700000</v>
      </c>
      <c r="U961" s="190">
        <f>=J961-P961</f>
        <v>0</v>
      </c>
    </row>
    <row r="962" spans="1:21" ht="15.75" customHeight="true">
      <c r="A962" s="80">
        <v>46140</v>
      </c>
      <c r="B962" s="71">
        <f>=TODAY()-A962+1</f>
        <v>85</v>
      </c>
      <c r="C962" s="98" t="s">
        <v>299</v>
      </c>
      <c r="D962" s="71" t="s">
        <v>191</v>
      </c>
      <c r="E962" s="136" t="s">
        <v>2017</v>
      </c>
      <c r="F962" t="s">
        <v>1076</v>
      </c>
      <c r="G962" s="156" t="s">
        <v>804</v>
      </c>
      <c r="H962" s="156" t="s">
        <v>422</v>
      </c>
      <c r="I962" s="156" t="s">
        <v>2008</v>
      </c>
      <c r="J962">
        <v>300</v>
      </c>
      <c r="K962" s="154" t="s"/>
      <c r="L962" s="154">
        <v>1000</v>
      </c>
      <c r="M962" s="112">
        <f>=J962*L962</f>
        <v>300000</v>
      </c>
      <c r="N962">
        <v>2.5</v>
      </c>
      <c r="O962" s="189">
        <f>=ROUND(IF((TODAY()-A962+1)*N962*(L962/10000)+L962&lt;L962*1.002,L962*1.002,(TODAY()-A962+1)*N962*(L962/10000)+L962),2)</f>
        <v>1021.5</v>
      </c>
      <c r="P962">
        <v>300</v>
      </c>
      <c r="Q962" s="71">
        <f>=J962-P962</f>
        <v>0</v>
      </c>
      <c r="S962" s="112">
        <f>=P962-R962</f>
        <v>300</v>
      </c>
      <c r="T962" s="71">
        <f>=S962*L962</f>
        <v>300000</v>
      </c>
      <c r="U962" s="190">
        <f>=J962-P962</f>
        <v>0</v>
      </c>
    </row>
    <row r="963" spans="1:21" ht="15.75" customHeight="true">
      <c r="A963" s="80">
        <v>46141</v>
      </c>
      <c r="B963" s="71">
        <f>=TODAY()-A963+1</f>
        <v>84</v>
      </c>
      <c r="C963" s="98" t="s">
        <v>300</v>
      </c>
      <c r="D963" s="71" t="s">
        <v>191</v>
      </c>
      <c r="E963" s="136" t="s">
        <v>2018</v>
      </c>
      <c r="F963" t="s">
        <v>1076</v>
      </c>
      <c r="G963" s="156" t="s">
        <v>804</v>
      </c>
      <c r="H963" s="156" t="s">
        <v>422</v>
      </c>
      <c r="I963" s="156" t="s">
        <v>2006</v>
      </c>
      <c r="J963">
        <v>300</v>
      </c>
      <c r="K963" s="154" t="s"/>
      <c r="L963" s="154">
        <v>1000</v>
      </c>
      <c r="M963" s="112">
        <f>=J963*L963</f>
        <v>300000</v>
      </c>
      <c r="N963">
        <v>2.5</v>
      </c>
      <c r="O963" s="189">
        <f>=ROUND(IF((TODAY()-A963+1)*N963*(L963/10000)+L963&lt;L963*1.002,L963*1.002,(TODAY()-A963+1)*N963*(L963/10000)+L963),2)</f>
        <v>1021.25</v>
      </c>
      <c r="P963">
        <v>300</v>
      </c>
      <c r="Q963" s="71">
        <f>=J963-P963</f>
        <v>0</v>
      </c>
      <c r="S963" s="112">
        <f>=P963-R963</f>
        <v>300</v>
      </c>
      <c r="T963" s="71">
        <f>=S963*L963</f>
        <v>300000</v>
      </c>
      <c r="U963" s="190">
        <f>=J963-P963</f>
        <v>0</v>
      </c>
    </row>
    <row r="964" spans="1:21" ht="15.75" customHeight="true">
      <c r="A964" s="80">
        <v>46141</v>
      </c>
      <c r="B964" s="71">
        <f>=TODAY()-A964+1</f>
        <v>84</v>
      </c>
      <c r="C964" s="98" t="s">
        <v>300</v>
      </c>
      <c r="D964" s="71" t="s">
        <v>191</v>
      </c>
      <c r="E964" s="136" t="s">
        <v>2019</v>
      </c>
      <c r="F964" t="s">
        <v>1076</v>
      </c>
      <c r="G964" s="156" t="s">
        <v>804</v>
      </c>
      <c r="H964" s="156" t="s">
        <v>422</v>
      </c>
      <c r="I964" s="156" t="s">
        <v>2008</v>
      </c>
      <c r="J964">
        <v>300</v>
      </c>
      <c r="K964" s="154" t="s"/>
      <c r="L964" s="154">
        <v>1000</v>
      </c>
      <c r="M964" s="112">
        <f>=J964*L964</f>
        <v>300000</v>
      </c>
      <c r="N964">
        <v>2.5</v>
      </c>
      <c r="O964" s="189">
        <f>=ROUND(IF((TODAY()-A964+1)*N964*(L964/10000)+L964&lt;L964*1.002,L964*1.002,(TODAY()-A964+1)*N964*(L964/10000)+L964),2)</f>
        <v>1021.25</v>
      </c>
      <c r="P964">
        <v>300</v>
      </c>
      <c r="Q964" s="71">
        <f>=J964-P964</f>
        <v>0</v>
      </c>
      <c r="S964" s="112">
        <f>=P964-R964</f>
        <v>300</v>
      </c>
      <c r="T964" s="71">
        <f>=S964*L964</f>
        <v>300000</v>
      </c>
      <c r="U964" s="190">
        <f>=J964-P964</f>
        <v>0</v>
      </c>
    </row>
    <row r="965" spans="1:21" ht="15.75" customHeight="true">
      <c r="A965" s="80">
        <v>46141</v>
      </c>
      <c r="B965" s="71">
        <f>=TODAY()-A965+1</f>
        <v>84</v>
      </c>
      <c r="C965" s="98" t="s">
        <v>300</v>
      </c>
      <c r="D965" s="71" t="s">
        <v>191</v>
      </c>
      <c r="E965" s="136" t="s">
        <v>2020</v>
      </c>
      <c r="F965" t="s">
        <v>1076</v>
      </c>
      <c r="G965" s="156" t="s">
        <v>804</v>
      </c>
      <c r="H965" s="156" t="s">
        <v>422</v>
      </c>
      <c r="I965" s="156" t="s">
        <v>2010</v>
      </c>
      <c r="J965" s="154">
        <v>400</v>
      </c>
      <c r="K965" s="154" t="s"/>
      <c r="L965" s="154">
        <v>1000</v>
      </c>
      <c r="M965" s="112">
        <f>=J965*L965</f>
        <v>400000</v>
      </c>
      <c r="N965">
        <v>2.5</v>
      </c>
      <c r="O965" s="189">
        <f>=ROUND(IF((TODAY()-A965+1)*N965*(L965/10000)+L965&lt;L965*1.002,L965*1.002,(TODAY()-A965+1)*N965*(L965/10000)+L965),2)</f>
        <v>1021.25</v>
      </c>
      <c r="P965" s="154">
        <v>400</v>
      </c>
      <c r="Q965" s="71">
        <f>=J965-P965</f>
        <v>0</v>
      </c>
      <c r="S965" s="112">
        <f>=P965-R965</f>
        <v>400</v>
      </c>
      <c r="T965" s="71">
        <f>=S965*L965</f>
        <v>400000</v>
      </c>
      <c r="U965" s="190">
        <f>=J965-P965</f>
        <v>0</v>
      </c>
    </row>
    <row r="966" spans="1:21" ht="15.75" customHeight="true">
      <c r="A966" s="80">
        <v>46141</v>
      </c>
      <c r="B966" s="71">
        <f>=TODAY()-A966+1</f>
        <v>84</v>
      </c>
      <c r="C966" s="98" t="s">
        <v>302</v>
      </c>
      <c r="D966" s="326" t="s">
        <v>301</v>
      </c>
      <c r="E966" s="145" t="s">
        <v>2021</v>
      </c>
      <c r="F966" s="145" t="s">
        <v>2022</v>
      </c>
      <c r="G966" t="s">
        <v>1438</v>
      </c>
      <c r="H966" t="s">
        <v>422</v>
      </c>
      <c r="I966" t="s">
        <v>2023</v>
      </c>
      <c r="J966" s="154">
        <v>40</v>
      </c>
      <c r="K966" s="154" t="s"/>
      <c r="L966" s="154">
        <v>850</v>
      </c>
      <c r="M966" s="112">
        <f>=J966*L966</f>
        <v>34000</v>
      </c>
      <c r="N966">
        <v>2.5</v>
      </c>
      <c r="O966" s="189">
        <f>=ROUND(IF((TODAY()-A966+1)*N966*(L966/10000)+L966&lt;L966*1.002,L966*1.002,(TODAY()-A966+1)*N966*(L966/10000)+L966),2)</f>
        <v>868.06</v>
      </c>
      <c r="P966" s="154">
        <v>40</v>
      </c>
      <c r="Q966" s="71">
        <f>=J966-P966</f>
        <v>0</v>
      </c>
      <c r="R966" s="154">
        <v>40</v>
      </c>
      <c r="S966" s="112">
        <f>=P966-R966</f>
        <v>0</v>
      </c>
      <c r="T966" s="71">
        <f>=S966*L966</f>
        <v>0</v>
      </c>
      <c r="U966" s="190">
        <f>=J966-P966</f>
        <v>0</v>
      </c>
    </row>
    <row r="967" spans="1:21" ht="15.75" customHeight="true">
      <c r="A967" s="80">
        <v>46141</v>
      </c>
      <c r="B967" s="71">
        <f>=TODAY()-A967+1</f>
        <v>84</v>
      </c>
      <c r="C967" s="98" t="s">
        <v>302</v>
      </c>
      <c r="D967" s="326" t="s">
        <v>301</v>
      </c>
      <c r="E967" s="145" t="s">
        <v>2024</v>
      </c>
      <c r="F967" s="145" t="s">
        <v>2022</v>
      </c>
      <c r="G967" t="s">
        <v>1438</v>
      </c>
      <c r="H967" t="s">
        <v>422</v>
      </c>
      <c r="I967" s="262" t="s">
        <v>2025</v>
      </c>
      <c r="J967" s="154">
        <v>15</v>
      </c>
      <c r="K967" s="154" t="s"/>
      <c r="L967" s="154">
        <v>930</v>
      </c>
      <c r="M967" s="112">
        <f>=J967*L967</f>
        <v>13950</v>
      </c>
      <c r="N967">
        <v>2.5</v>
      </c>
      <c r="O967" s="189">
        <f>=ROUND(IF((TODAY()-A967+1)*N967*(L967/10000)+L967&lt;L967*1.002,L967*1.002,(TODAY()-A967+1)*N967*(L967/10000)+L967),2)</f>
        <v>949.76</v>
      </c>
      <c r="P967" s="154">
        <v>15</v>
      </c>
      <c r="Q967" s="71">
        <f>=J967-P967</f>
        <v>0</v>
      </c>
      <c r="R967" s="154">
        <v>15</v>
      </c>
      <c r="S967" s="112">
        <f>=P967-R967</f>
        <v>0</v>
      </c>
      <c r="T967" s="71">
        <f>=S967*L967</f>
        <v>0</v>
      </c>
      <c r="U967" s="190">
        <f>=J967-P967</f>
        <v>0</v>
      </c>
    </row>
    <row r="968" spans="1:21" ht="15.75" customHeight="true">
      <c r="A968" s="80">
        <v>46141</v>
      </c>
      <c r="B968" s="71">
        <f>=TODAY()-A968+1</f>
        <v>84</v>
      </c>
      <c r="C968" s="98" t="s">
        <v>302</v>
      </c>
      <c r="D968" s="326" t="s">
        <v>301</v>
      </c>
      <c r="E968" s="145" t="s">
        <v>2026</v>
      </c>
      <c r="F968" s="145" t="s">
        <v>2022</v>
      </c>
      <c r="G968" t="s">
        <v>1438</v>
      </c>
      <c r="H968" t="s">
        <v>422</v>
      </c>
      <c r="I968" t="s">
        <v>2027</v>
      </c>
      <c r="J968" s="154">
        <v>12</v>
      </c>
      <c r="K968" s="154" t="s"/>
      <c r="L968" s="154">
        <v>930</v>
      </c>
      <c r="M968" s="112">
        <f>=J968*L968</f>
        <v>11160</v>
      </c>
      <c r="N968">
        <v>2.5</v>
      </c>
      <c r="O968" s="189">
        <f>=ROUND(IF((TODAY()-A968+1)*N968*(L968/10000)+L968&lt;L968*1.002,L968*1.002,(TODAY()-A968+1)*N968*(L968/10000)+L968),2)</f>
        <v>949.76</v>
      </c>
      <c r="P968" s="154">
        <v>12</v>
      </c>
      <c r="Q968" s="71">
        <f>=J968-P968</f>
        <v>0</v>
      </c>
      <c r="R968" s="154">
        <v>12</v>
      </c>
      <c r="S968" s="112">
        <f>=P968-R968</f>
        <v>0</v>
      </c>
      <c r="T968" s="71">
        <f>=S968*L968</f>
        <v>0</v>
      </c>
      <c r="U968" s="190">
        <f>=J968-P968</f>
        <v>0</v>
      </c>
    </row>
    <row r="969" spans="1:21" ht="15.75" customHeight="true">
      <c r="A969" s="80">
        <v>46141</v>
      </c>
      <c r="B969" s="71">
        <f>=TODAY()-A969+1</f>
        <v>84</v>
      </c>
      <c r="C969" s="98" t="s">
        <v>302</v>
      </c>
      <c r="D969" s="326" t="s">
        <v>301</v>
      </c>
      <c r="E969" s="145" t="s">
        <v>2028</v>
      </c>
      <c r="F969" s="145" t="s">
        <v>2022</v>
      </c>
      <c r="G969" t="s">
        <v>1438</v>
      </c>
      <c r="H969" t="s">
        <v>422</v>
      </c>
      <c r="I969" t="s">
        <v>2029</v>
      </c>
      <c r="J969" s="154">
        <v>34</v>
      </c>
      <c r="K969" s="154" t="s"/>
      <c r="L969" s="154">
        <v>930</v>
      </c>
      <c r="M969" s="112">
        <f>=J969*L969</f>
        <v>31620</v>
      </c>
      <c r="N969">
        <v>2.5</v>
      </c>
      <c r="O969" s="189">
        <f>=ROUND(IF((TODAY()-A969+1)*N969*(L969/10000)+L969&lt;L969*1.002,L969*1.002,(TODAY()-A969+1)*N969*(L969/10000)+L969),2)</f>
        <v>949.76</v>
      </c>
      <c r="P969" s="154">
        <v>34</v>
      </c>
      <c r="Q969" s="71">
        <f>=J969-P969</f>
        <v>0</v>
      </c>
      <c r="R969" s="154">
        <v>34</v>
      </c>
      <c r="S969" s="112">
        <f>=P969-R969</f>
        <v>0</v>
      </c>
      <c r="T969" s="71">
        <f>=S969*L969</f>
        <v>0</v>
      </c>
      <c r="U969" s="190">
        <f>=J969-P969</f>
        <v>0</v>
      </c>
    </row>
    <row r="970" spans="1:26" s="218" customFormat="true" ht="15.75" customHeight="true">
      <c r="A970" s="98">
        <v>46141</v>
      </c>
      <c r="B970" s="71">
        <f>=TODAY()-A970+1</f>
        <v>84</v>
      </c>
      <c r="C970" s="98" t="s">
        <v>303</v>
      </c>
      <c r="D970" s="108" t="s">
        <v>294</v>
      </c>
      <c r="E970" s="145" t="s">
        <v>2030</v>
      </c>
      <c r="F970" s="242" t="s">
        <v>863</v>
      </c>
      <c r="G970" s="156" t="s">
        <v>864</v>
      </c>
      <c r="H970" s="156" t="s">
        <v>422</v>
      </c>
      <c r="I970" s="156" t="s">
        <v>867</v>
      </c>
      <c r="J970" s="71">
        <v>900</v>
      </c>
      <c r="K970" s="71" t="s"/>
      <c r="L970" s="71">
        <v>1900</v>
      </c>
      <c r="M970" s="112">
        <f>=J970*L970</f>
        <v>1710000</v>
      </c>
      <c r="N970" s="71">
        <v>2.5</v>
      </c>
      <c r="O970" s="189">
        <f>=ROUND(IF((TODAY()-A970+1)*N970*(L970/10000)+L970&lt;L970*1.002,L970*1.002,(TODAY()-A970+1)*N970*(L970/10000)+L970),2)</f>
        <v>1940.38</v>
      </c>
      <c r="P970" s="71">
        <v>900</v>
      </c>
      <c r="Q970" s="71">
        <f>=J970-P970</f>
        <v>0</v>
      </c>
      <c r="R970" s="71">
        <v>900</v>
      </c>
      <c r="S970" s="112">
        <f>=P970-R970</f>
        <v>0</v>
      </c>
      <c r="T970" s="71">
        <f>=S970*L970</f>
        <v>0</v>
      </c>
      <c r="U970" s="190">
        <f>=J970-P970</f>
        <v>0</v>
      </c>
      <c r="V970" s="190" t="s"/>
      <c r="W970" s="190" t="s"/>
      <c r="X970" s="190" t="s"/>
      <c r="Y970" s="190" t="s"/>
      <c r="Z970" s="190" t="s"/>
    </row>
    <row r="971" spans="1:21" ht="15.75" customHeight="true">
      <c r="A971" s="80">
        <v>46142</v>
      </c>
      <c r="B971" s="71">
        <f>=TODAY()-A971+1</f>
        <v>83</v>
      </c>
      <c r="C971" s="98" t="s">
        <v>307</v>
      </c>
      <c r="D971" s="71" t="s">
        <v>191</v>
      </c>
      <c r="E971" s="136" t="s">
        <v>2031</v>
      </c>
      <c r="F971" t="s">
        <v>1076</v>
      </c>
      <c r="G971" s="156" t="s">
        <v>804</v>
      </c>
      <c r="H971" s="156" t="s">
        <v>422</v>
      </c>
      <c r="I971" s="156" t="s">
        <v>2006</v>
      </c>
      <c r="J971">
        <v>439</v>
      </c>
      <c r="L971">
        <v>1000</v>
      </c>
      <c r="M971" s="112">
        <f>=J971*L971</f>
        <v>439000</v>
      </c>
      <c r="N971" s="71">
        <v>2.5</v>
      </c>
      <c r="O971" s="189">
        <f>=ROUND(IF((TODAY()-A971+1)*N971*(L971/10000)+L971&lt;L971*1.002,L971*1.002,(TODAY()-A971+1)*N971*(L971/10000)+L971),2)</f>
        <v>1021</v>
      </c>
      <c r="P971">
        <v>439</v>
      </c>
      <c r="Q971" s="71">
        <f>=J971-P971</f>
        <v>0</v>
      </c>
      <c r="R971" s="71" t="s"/>
      <c r="S971" s="112">
        <f>=P971-R971</f>
        <v>439</v>
      </c>
      <c r="T971" s="71">
        <f>=S971*L971</f>
        <v>439000</v>
      </c>
      <c r="U971" s="190">
        <f>=J971-P971</f>
        <v>0</v>
      </c>
    </row>
    <row r="972" spans="1:21" ht="15.75" customHeight="true">
      <c r="A972" s="80">
        <v>46142</v>
      </c>
      <c r="B972" s="71">
        <f>=TODAY()-A972+1</f>
        <v>83</v>
      </c>
      <c r="C972" s="98" t="s">
        <v>307</v>
      </c>
      <c r="D972" s="71" t="s">
        <v>191</v>
      </c>
      <c r="E972" s="136" t="s">
        <v>2032</v>
      </c>
      <c r="F972" t="s">
        <v>1076</v>
      </c>
      <c r="G972" s="156" t="s">
        <v>804</v>
      </c>
      <c r="H972" s="156" t="s">
        <v>422</v>
      </c>
      <c r="I972" s="156" t="s">
        <v>2008</v>
      </c>
      <c r="J972" s="154">
        <v>256</v>
      </c>
      <c r="K972" s="154" t="s"/>
      <c r="L972" s="154">
        <v>1000</v>
      </c>
      <c r="M972" s="112">
        <f>=J972*L972</f>
        <v>256000</v>
      </c>
      <c r="N972" s="71">
        <v>2.5</v>
      </c>
      <c r="O972" s="189">
        <f>=ROUND(IF((TODAY()-A972+1)*N972*(L972/10000)+L972&lt;L972*1.002,L972*1.002,(TODAY()-A972+1)*N972*(L972/10000)+L972),2)</f>
        <v>1021</v>
      </c>
      <c r="P972" s="154">
        <v>256</v>
      </c>
      <c r="Q972" s="71">
        <f>=J972-P972</f>
        <v>0</v>
      </c>
      <c r="R972" s="71" t="s"/>
      <c r="S972" s="112">
        <f>=P972-R972</f>
        <v>256</v>
      </c>
      <c r="T972" s="71">
        <f>=S972*L972</f>
        <v>256000</v>
      </c>
      <c r="U972" s="190">
        <f>=J972-P972</f>
        <v>0</v>
      </c>
    </row>
    <row r="973" spans="1:21" ht="15.75" customHeight="true">
      <c r="A973" s="80">
        <v>46142</v>
      </c>
      <c r="B973" s="71">
        <f>=TODAY()-A973+1</f>
        <v>83</v>
      </c>
      <c r="C973" s="98" t="s">
        <v>307</v>
      </c>
      <c r="D973" s="71" t="s">
        <v>191</v>
      </c>
      <c r="E973" s="136" t="s">
        <v>2033</v>
      </c>
      <c r="F973" t="s">
        <v>1076</v>
      </c>
      <c r="G973" s="156" t="s">
        <v>804</v>
      </c>
      <c r="H973" s="156" t="s">
        <v>422</v>
      </c>
      <c r="I973" s="156" t="s">
        <v>2010</v>
      </c>
      <c r="J973">
        <v>250</v>
      </c>
      <c r="L973">
        <v>1000</v>
      </c>
      <c r="M973" s="112">
        <f>=J973*L973</f>
        <v>250000</v>
      </c>
      <c r="N973" s="71">
        <v>2.5</v>
      </c>
      <c r="O973" s="189">
        <f>=ROUND(IF((TODAY()-A973+1)*N973*(L973/10000)+L973&lt;L973*1.002,L973*1.002,(TODAY()-A973+1)*N973*(L973/10000)+L973),2)</f>
        <v>1021</v>
      </c>
      <c r="P973">
        <v>250</v>
      </c>
      <c r="Q973" s="71">
        <f>=J973-P973</f>
        <v>0</v>
      </c>
      <c r="R973" s="71" t="s"/>
      <c r="S973" s="112">
        <f>=P973-R973</f>
        <v>250</v>
      </c>
      <c r="T973" s="71">
        <f>=S973*L973</f>
        <v>250000</v>
      </c>
      <c r="U973" s="190">
        <f>=J973-P973</f>
        <v>0</v>
      </c>
    </row>
    <row r="974" spans="1:21" ht="15.75" customHeight="true">
      <c r="A974" s="80">
        <v>46142</v>
      </c>
      <c r="B974" s="71">
        <f>=TODAY()-A974+1</f>
        <v>83</v>
      </c>
      <c r="C974" s="98" t="s">
        <v>307</v>
      </c>
      <c r="D974" s="71" t="s">
        <v>191</v>
      </c>
      <c r="E974" s="136" t="s">
        <v>2034</v>
      </c>
      <c r="F974" t="s">
        <v>1076</v>
      </c>
      <c r="G974" s="156" t="s">
        <v>804</v>
      </c>
      <c r="H974" s="156" t="s">
        <v>422</v>
      </c>
      <c r="I974" s="156" t="s">
        <v>2010</v>
      </c>
      <c r="J974">
        <v>34</v>
      </c>
      <c r="L974">
        <v>1000</v>
      </c>
      <c r="M974" s="112">
        <f>=J974*L974</f>
        <v>34000</v>
      </c>
      <c r="N974" s="71">
        <v>2.5</v>
      </c>
      <c r="O974" s="189">
        <f>=ROUND(IF((TODAY()-A974+1)*N974*(L974/10000)+L974&lt;L974*1.002,L974*1.002,(TODAY()-A974+1)*N974*(L974/10000)+L974),2)</f>
        <v>1021</v>
      </c>
      <c r="P974">
        <v>34</v>
      </c>
      <c r="Q974" s="71">
        <f>=J974-P974</f>
        <v>0</v>
      </c>
      <c r="R974" s="71" t="s"/>
      <c r="S974" s="112">
        <f>=P974-R974</f>
        <v>34</v>
      </c>
      <c r="T974" s="71">
        <f>=S974*L974</f>
        <v>34000</v>
      </c>
      <c r="U974" s="190">
        <f>=J974-P974</f>
        <v>0</v>
      </c>
    </row>
    <row r="975" spans="1:21" ht="15.75" customHeight="true">
      <c r="A975" s="80">
        <v>46142</v>
      </c>
      <c r="B975" s="71">
        <f>=TODAY()-A975+1</f>
        <v>83</v>
      </c>
      <c r="C975" s="98" t="s">
        <v>304</v>
      </c>
      <c r="D975" s="71" t="s">
        <v>65</v>
      </c>
      <c r="E975" s="108" t="s">
        <v>696</v>
      </c>
      <c r="G975" s="64" t="s">
        <v>421</v>
      </c>
      <c r="H975" s="64" t="s">
        <v>422</v>
      </c>
      <c r="I975" s="345" t="s">
        <v>697</v>
      </c>
      <c r="J975" s="346">
        <v>3</v>
      </c>
      <c r="L975">
        <v>12150</v>
      </c>
      <c r="M975" s="112">
        <f>=J975*L975</f>
        <v>36450</v>
      </c>
      <c r="N975" s="71">
        <v>2</v>
      </c>
      <c r="O975" s="189">
        <f>=ROUND(IF((TODAY()-A975+1)*N975*(L975/10000)+L975&lt;L975*1.002,L975*1.002,(TODAY()-A975+1)*N975*(L975/10000)+L975),2)</f>
        <v>12354.12</v>
      </c>
      <c r="P975" s="346">
        <v>3</v>
      </c>
      <c r="Q975" s="71">
        <f>=J975-P975</f>
        <v>0</v>
      </c>
      <c r="R975">
        <v>2</v>
      </c>
      <c r="S975" s="197">
        <f>=P975-R975</f>
        <v>1</v>
      </c>
      <c r="T975" s="71">
        <f>=S975*L975</f>
        <v>12150</v>
      </c>
      <c r="U975" s="190">
        <f>=J975-P975</f>
        <v>0</v>
      </c>
    </row>
    <row r="976" spans="1:21" ht="15.75" customHeight="true">
      <c r="A976" s="80">
        <v>46142</v>
      </c>
      <c r="B976" s="71">
        <f>=TODAY()-A976+1</f>
        <v>83</v>
      </c>
      <c r="C976" s="98" t="s">
        <v>304</v>
      </c>
      <c r="D976" s="71" t="s">
        <v>65</v>
      </c>
      <c r="E976" s="108" t="s">
        <v>692</v>
      </c>
      <c r="G976" s="64" t="s">
        <v>421</v>
      </c>
      <c r="H976" s="64" t="s">
        <v>422</v>
      </c>
      <c r="I976" s="347" t="s">
        <v>693</v>
      </c>
      <c r="J976" s="346">
        <v>30</v>
      </c>
      <c r="K976" s="154" t="s"/>
      <c r="L976" s="154">
        <v>8415</v>
      </c>
      <c r="M976" s="112">
        <f>=J976*L976</f>
        <v>252450</v>
      </c>
      <c r="N976" s="71">
        <v>2</v>
      </c>
      <c r="O976" s="189">
        <f>=ROUND(IF((TODAY()-A976+1)*N976*(L976/10000)+L976&lt;L976*1.002,L976*1.002,(TODAY()-A976+1)*N976*(L976/10000)+L976),2)</f>
        <v>8556.37</v>
      </c>
      <c r="P976" s="346">
        <v>30</v>
      </c>
      <c r="Q976" s="71">
        <f>=J976-P976</f>
        <v>0</v>
      </c>
      <c r="R976">
        <v>16</v>
      </c>
      <c r="S976" s="197">
        <f>=P976-R976</f>
        <v>14</v>
      </c>
      <c r="T976" s="71">
        <f>=S976*L976</f>
        <v>117810</v>
      </c>
      <c r="U976" s="190">
        <f>=J976-P976</f>
        <v>0</v>
      </c>
    </row>
    <row r="977" spans="1:21" ht="15.75" customHeight="true">
      <c r="A977" s="80">
        <v>46142</v>
      </c>
      <c r="B977" s="71">
        <f>=TODAY()-A977+1</f>
        <v>83</v>
      </c>
      <c r="C977" s="98" t="s">
        <v>304</v>
      </c>
      <c r="D977" s="71" t="s">
        <v>65</v>
      </c>
      <c r="E977" s="108" t="s">
        <v>694</v>
      </c>
      <c r="F977" s="136" t="s">
        <v>726</v>
      </c>
      <c r="G977" s="64" t="s">
        <v>421</v>
      </c>
      <c r="H977" s="64" t="s">
        <v>422</v>
      </c>
      <c r="I977" s="345" t="s">
        <v>695</v>
      </c>
      <c r="J977" s="346">
        <v>15</v>
      </c>
      <c r="K977" s="154" t="s"/>
      <c r="L977" s="327">
        <v>10035</v>
      </c>
      <c r="M977" s="112">
        <f>=J977*L977</f>
        <v>150525</v>
      </c>
      <c r="N977" s="71">
        <v>2</v>
      </c>
      <c r="O977" s="189">
        <f>=ROUND(IF((TODAY()-A977+1)*N977*(L977/10000)+L977&lt;L977*1.002,L977*1.002,(TODAY()-A977+1)*N977*(L977/10000)+L977),2)</f>
        <v>10203.59</v>
      </c>
      <c r="P977" s="346">
        <v>15</v>
      </c>
      <c r="Q977" s="71">
        <f>=J977-P977</f>
        <v>0</v>
      </c>
      <c r="R977">
        <v>8</v>
      </c>
      <c r="S977" s="197">
        <f>=P977-R977</f>
        <v>7</v>
      </c>
      <c r="T977" s="71">
        <f>=S977*L977</f>
        <v>70245</v>
      </c>
      <c r="U977" s="190">
        <f>=J977-P977</f>
        <v>0</v>
      </c>
    </row>
    <row r="978" spans="1:21" s="270" customFormat="true" ht="15.75" customHeight="true">
      <c r="A978" s="80">
        <v>46142</v>
      </c>
      <c r="B978" s="71">
        <f>=TODAY()-A978+1</f>
        <v>83</v>
      </c>
      <c r="C978" s="80" t="s">
        <v>304</v>
      </c>
      <c r="D978" s="64" t="s">
        <v>65</v>
      </c>
      <c r="E978" s="94" t="s">
        <v>690</v>
      </c>
      <c r="G978" s="64" t="s">
        <v>421</v>
      </c>
      <c r="H978" s="64" t="s">
        <v>422</v>
      </c>
      <c r="I978" s="345" t="s">
        <v>691</v>
      </c>
      <c r="J978" s="345">
        <v>24</v>
      </c>
      <c r="K978" s="339" t="s"/>
      <c r="L978" s="339">
        <v>8415</v>
      </c>
      <c r="M978" s="197">
        <f>=J978*L978</f>
        <v>201960</v>
      </c>
      <c r="N978" s="64">
        <v>2</v>
      </c>
      <c r="O978" s="189">
        <f>=ROUND(IF((TODAY()-A978+1)*N978*(L978/10000)+L978&lt;L978*1.002,L978*1.002,(TODAY()-A978+1)*N978*(L978/10000)+L978),2)</f>
        <v>8556.37</v>
      </c>
      <c r="P978" s="345">
        <v>24</v>
      </c>
      <c r="Q978" s="64">
        <f>=J978-P978</f>
        <v>0</v>
      </c>
      <c r="R978" s="270">
        <v>9</v>
      </c>
      <c r="S978" s="197">
        <f>=P978-R978</f>
        <v>15</v>
      </c>
      <c r="T978" s="71">
        <f>=S978*L978</f>
        <v>126225</v>
      </c>
      <c r="U978" s="190">
        <f>=J978-P978</f>
        <v>0</v>
      </c>
    </row>
    <row r="979" spans="1:21" ht="15.75" customHeight="true">
      <c r="A979" s="80">
        <v>46142</v>
      </c>
      <c r="B979" s="71">
        <f>=TODAY()-A979+1</f>
        <v>83</v>
      </c>
      <c r="C979" s="98" t="s">
        <v>304</v>
      </c>
      <c r="D979" s="71" t="s">
        <v>65</v>
      </c>
      <c r="E979" s="136" t="s">
        <v>688</v>
      </c>
      <c r="G979" s="64" t="s">
        <v>421</v>
      </c>
      <c r="H979" s="64" t="s">
        <v>422</v>
      </c>
      <c r="I979" s="345" t="s">
        <v>689</v>
      </c>
      <c r="J979" s="346">
        <v>17</v>
      </c>
      <c r="K979" s="154" t="s"/>
      <c r="L979" s="154">
        <v>8415</v>
      </c>
      <c r="M979" s="112">
        <f>=J979*L979</f>
        <v>143055</v>
      </c>
      <c r="N979" s="71">
        <v>2</v>
      </c>
      <c r="O979" s="189">
        <f>=ROUND(IF((TODAY()-A979+1)*N979*(L979/10000)+L979&lt;L979*1.002,L979*1.002,(TODAY()-A979+1)*N979*(L979/10000)+L979),2)</f>
        <v>8556.37</v>
      </c>
      <c r="P979" s="346">
        <v>17</v>
      </c>
      <c r="Q979" s="71">
        <f>=J979-P979</f>
        <v>0</v>
      </c>
      <c r="R979">
        <v>6</v>
      </c>
      <c r="S979" s="197">
        <f>=P979-R979</f>
        <v>11</v>
      </c>
      <c r="T979" s="71">
        <f>=S979*L979</f>
        <v>92565</v>
      </c>
      <c r="U979" s="190">
        <f>=J979-P979</f>
        <v>0</v>
      </c>
    </row>
    <row r="980" spans="1:21" ht="15.75" customHeight="true">
      <c r="A980" s="80">
        <v>46142</v>
      </c>
      <c r="B980" s="71">
        <f>=TODAY()-A980+1</f>
        <v>83</v>
      </c>
      <c r="C980" s="98" t="s">
        <v>304</v>
      </c>
      <c r="D980" s="71" t="s">
        <v>65</v>
      </c>
      <c r="E980" s="136" t="s">
        <v>700</v>
      </c>
      <c r="G980" s="64" t="s">
        <v>421</v>
      </c>
      <c r="H980" s="64" t="s">
        <v>422</v>
      </c>
      <c r="I980" s="345" t="s">
        <v>701</v>
      </c>
      <c r="J980" s="346">
        <v>35</v>
      </c>
      <c r="K980" s="154" t="s"/>
      <c r="L980" s="327">
        <v>7560</v>
      </c>
      <c r="M980" s="112">
        <f>=J980*L980</f>
        <v>264600</v>
      </c>
      <c r="N980" s="71">
        <v>2</v>
      </c>
      <c r="O980" s="189">
        <f>=ROUND(IF((TODAY()-A980+1)*N980*(L980/10000)+L980&lt;L980*1.002,L980*1.002,(TODAY()-A980+1)*N980*(L980/10000)+L980),2)</f>
        <v>7687.01</v>
      </c>
      <c r="P980" s="346">
        <v>35</v>
      </c>
      <c r="Q980" s="71">
        <f>=J980-P980</f>
        <v>0</v>
      </c>
      <c r="R980">
        <v>18</v>
      </c>
      <c r="S980" s="197">
        <f>=P980-R980</f>
        <v>17</v>
      </c>
      <c r="T980" s="71">
        <f>=S980*L980</f>
        <v>128520</v>
      </c>
      <c r="U980" s="190">
        <f>=J980-P980</f>
        <v>0</v>
      </c>
    </row>
    <row r="981" spans="1:21" ht="15.75" customHeight="true">
      <c r="A981" s="80">
        <v>46142</v>
      </c>
      <c r="B981" s="71">
        <f>=TODAY()-A981+1</f>
        <v>83</v>
      </c>
      <c r="C981" s="98" t="s">
        <v>304</v>
      </c>
      <c r="D981" s="71" t="s">
        <v>65</v>
      </c>
      <c r="E981" s="136" t="s">
        <v>698</v>
      </c>
      <c r="G981" s="64" t="s">
        <v>421</v>
      </c>
      <c r="H981" s="64" t="s">
        <v>422</v>
      </c>
      <c r="I981" s="345" t="s">
        <v>699</v>
      </c>
      <c r="J981" s="346">
        <v>12</v>
      </c>
      <c r="K981" s="154" t="s"/>
      <c r="L981" s="327">
        <v>7560</v>
      </c>
      <c r="M981" s="112">
        <f>=J981*L981</f>
        <v>90720</v>
      </c>
      <c r="N981" s="71">
        <v>2</v>
      </c>
      <c r="O981" s="189">
        <f>=ROUND(IF((TODAY()-A981+1)*N981*(L981/10000)+L981&lt;L981*1.002,L981*1.002,(TODAY()-A981+1)*N981*(L981/10000)+L981),2)</f>
        <v>7687.01</v>
      </c>
      <c r="P981" s="346">
        <v>12</v>
      </c>
      <c r="Q981" s="71">
        <f>=J981-P981</f>
        <v>0</v>
      </c>
      <c r="R981">
        <v>7</v>
      </c>
      <c r="S981" s="197">
        <f>=P981-R981</f>
        <v>5</v>
      </c>
      <c r="T981" s="71">
        <f>=S981*L981</f>
        <v>37800</v>
      </c>
      <c r="U981" s="190">
        <f>=J981-P981</f>
        <v>0</v>
      </c>
    </row>
    <row r="982" spans="1:21" ht="15.75" customHeight="true">
      <c r="A982" s="80">
        <v>46142</v>
      </c>
      <c r="B982" s="71">
        <f>=TODAY()-A982+1</f>
        <v>83</v>
      </c>
      <c r="C982" s="98" t="s">
        <v>304</v>
      </c>
      <c r="D982" s="71" t="s">
        <v>65</v>
      </c>
      <c r="E982" s="136" t="s">
        <v>704</v>
      </c>
      <c r="G982" s="64" t="s">
        <v>421</v>
      </c>
      <c r="H982" s="64" t="s">
        <v>422</v>
      </c>
      <c r="I982" s="345" t="s">
        <v>705</v>
      </c>
      <c r="J982" s="346">
        <v>38</v>
      </c>
      <c r="K982" s="154" t="s"/>
      <c r="L982" s="154">
        <v>7560</v>
      </c>
      <c r="M982" s="112">
        <f>=J982*L982</f>
        <v>287280</v>
      </c>
      <c r="N982" s="71">
        <v>2</v>
      </c>
      <c r="O982" s="189">
        <f>=ROUND(IF((TODAY()-A982+1)*N982*(L982/10000)+L982&lt;L982*1.002,L982*1.002,(TODAY()-A982+1)*N982*(L982/10000)+L982),2)</f>
        <v>7687.01</v>
      </c>
      <c r="P982" s="346">
        <v>38</v>
      </c>
      <c r="Q982" s="71">
        <f>=J982-P982</f>
        <v>0</v>
      </c>
      <c r="R982">
        <v>15</v>
      </c>
      <c r="S982" s="197">
        <f>=P982-R982</f>
        <v>23</v>
      </c>
      <c r="T982" s="71">
        <f>=S982*L982</f>
        <v>173880</v>
      </c>
      <c r="U982" s="190">
        <f>=J982-P982</f>
        <v>0</v>
      </c>
    </row>
    <row r="983" spans="1:21" ht="15.75" customHeight="true">
      <c r="A983" s="80">
        <v>46142</v>
      </c>
      <c r="B983" s="71">
        <f>=TODAY()-A983+1</f>
        <v>83</v>
      </c>
      <c r="C983" s="98" t="s">
        <v>304</v>
      </c>
      <c r="D983" s="71" t="s">
        <v>65</v>
      </c>
      <c r="E983" s="136" t="s">
        <v>675</v>
      </c>
      <c r="G983" s="64" t="s">
        <v>421</v>
      </c>
      <c r="H983" s="64" t="s">
        <v>422</v>
      </c>
      <c r="I983" s="345" t="s">
        <v>674</v>
      </c>
      <c r="J983" s="346">
        <v>13</v>
      </c>
      <c r="K983" s="154" t="s"/>
      <c r="L983" s="154">
        <v>4995</v>
      </c>
      <c r="M983" s="112">
        <f>=J983*L983</f>
        <v>64935</v>
      </c>
      <c r="N983" s="71">
        <v>2</v>
      </c>
      <c r="O983" s="189">
        <f>=ROUND(IF((TODAY()-A983+1)*N983*(L983/10000)+L983&lt;L983*1.002,L983*1.002,(TODAY()-A983+1)*N983*(L983/10000)+L983),2)</f>
        <v>5078.92</v>
      </c>
      <c r="P983" s="346">
        <v>13</v>
      </c>
      <c r="Q983" s="71">
        <f>=J983-P983</f>
        <v>0</v>
      </c>
      <c r="R983">
        <v>11</v>
      </c>
      <c r="S983" s="197">
        <f>=P983-R983</f>
        <v>2</v>
      </c>
      <c r="T983" s="71">
        <f>=S983*L983</f>
        <v>9990</v>
      </c>
      <c r="U983" s="190">
        <f>=J983-P983</f>
        <v>0</v>
      </c>
    </row>
    <row r="984" spans="1:21" ht="15.75" customHeight="true">
      <c r="A984" s="80">
        <v>46142</v>
      </c>
      <c r="B984" s="71">
        <f>=TODAY()-A984+1</f>
        <v>83</v>
      </c>
      <c r="C984" s="98" t="s">
        <v>304</v>
      </c>
      <c r="D984" s="71" t="s">
        <v>65</v>
      </c>
      <c r="E984" s="136" t="s">
        <v>683</v>
      </c>
      <c r="G984" s="64" t="s">
        <v>421</v>
      </c>
      <c r="H984" s="64" t="s">
        <v>422</v>
      </c>
      <c r="I984" s="345" t="s">
        <v>684</v>
      </c>
      <c r="J984" s="346">
        <v>3</v>
      </c>
      <c r="K984" s="154" t="s"/>
      <c r="L984" s="154">
        <v>6705</v>
      </c>
      <c r="M984" s="112">
        <f>=J984*L984</f>
        <v>20115</v>
      </c>
      <c r="N984" s="71">
        <v>2</v>
      </c>
      <c r="O984" s="189">
        <f>=ROUND(IF((TODAY()-A984+1)*N984*(L984/10000)+L984&lt;L984*1.002,L984*1.002,(TODAY()-A984+1)*N984*(L984/10000)+L984),2)</f>
        <v>6817.64</v>
      </c>
      <c r="P984" s="346">
        <v>3</v>
      </c>
      <c r="Q984" s="71">
        <f>=J984-P984</f>
        <v>0</v>
      </c>
      <c r="R984">
        <v>3</v>
      </c>
      <c r="S984" s="197">
        <f>=P984-R984</f>
        <v>0</v>
      </c>
      <c r="T984" s="71">
        <f>=S984*L984</f>
        <v>0</v>
      </c>
      <c r="U984" s="190">
        <f>=J984-P984</f>
        <v>0</v>
      </c>
    </row>
    <row r="985" spans="1:21" ht="15.75" customHeight="true">
      <c r="A985" s="80">
        <v>46142</v>
      </c>
      <c r="B985" s="71">
        <f>=TODAY()-A985+1</f>
        <v>83</v>
      </c>
      <c r="C985" s="98" t="s">
        <v>304</v>
      </c>
      <c r="D985" s="71" t="s">
        <v>65</v>
      </c>
      <c r="E985" s="108" t="s">
        <v>673</v>
      </c>
      <c r="G985" s="64" t="s">
        <v>421</v>
      </c>
      <c r="H985" s="64" t="s">
        <v>422</v>
      </c>
      <c r="I985" s="345" t="s">
        <v>674</v>
      </c>
      <c r="J985" s="346">
        <v>5</v>
      </c>
      <c r="L985" s="154">
        <v>4995</v>
      </c>
      <c r="M985" s="112">
        <f>=J985*L985</f>
        <v>24975</v>
      </c>
      <c r="N985" s="71">
        <v>2</v>
      </c>
      <c r="O985" s="189">
        <f>=ROUND(IF((TODAY()-A985+1)*N985*(L985/10000)+L985&lt;L985*1.002,L985*1.002,(TODAY()-A985+1)*N985*(L985/10000)+L985),2)</f>
        <v>5078.92</v>
      </c>
      <c r="P985" s="346">
        <v>5</v>
      </c>
      <c r="Q985" s="71">
        <f>=J985-P985</f>
        <v>0</v>
      </c>
      <c r="R985">
        <v>1</v>
      </c>
      <c r="S985" s="197">
        <f>=P985-R985</f>
        <v>4</v>
      </c>
      <c r="T985" s="71">
        <f>=S985*L985</f>
        <v>19980</v>
      </c>
      <c r="U985" s="190">
        <f>=J985-P985</f>
        <v>0</v>
      </c>
    </row>
    <row r="986" spans="1:21" ht="15.75" customHeight="true">
      <c r="A986" s="80">
        <v>46142</v>
      </c>
      <c r="B986" s="71">
        <f>=TODAY()-A986+1</f>
        <v>83</v>
      </c>
      <c r="C986" s="98" t="s">
        <v>304</v>
      </c>
      <c r="D986" s="71" t="s">
        <v>65</v>
      </c>
      <c r="E986" s="108" t="s">
        <v>677</v>
      </c>
      <c r="G986" s="64" t="s">
        <v>421</v>
      </c>
      <c r="H986" s="64" t="s">
        <v>422</v>
      </c>
      <c r="I986" s="345" t="s">
        <v>678</v>
      </c>
      <c r="J986" s="346">
        <v>40</v>
      </c>
      <c r="L986">
        <v>4995</v>
      </c>
      <c r="M986" s="112">
        <f>=J986*L986</f>
        <v>199800</v>
      </c>
      <c r="N986" s="71">
        <v>2</v>
      </c>
      <c r="O986" s="189">
        <f>=ROUND(IF((TODAY()-A986+1)*N986*(L986/10000)+L986&lt;L986*1.002,L986*1.002,(TODAY()-A986+1)*N986*(L986/10000)+L986),2)</f>
        <v>5078.92</v>
      </c>
      <c r="P986" s="346">
        <v>40</v>
      </c>
      <c r="Q986" s="71">
        <f>=J986-P986</f>
        <v>0</v>
      </c>
      <c r="R986">
        <v>13</v>
      </c>
      <c r="S986" s="197">
        <f>=P986-R986</f>
        <v>27</v>
      </c>
      <c r="T986" s="71">
        <f>=S986*L986</f>
        <v>134865</v>
      </c>
      <c r="U986" s="190">
        <f>=J986-P986</f>
        <v>0</v>
      </c>
    </row>
    <row r="987" spans="1:21" ht="15.75" customHeight="true">
      <c r="A987" s="80">
        <v>46142</v>
      </c>
      <c r="B987" s="71">
        <f>=TODAY()-A987+1</f>
        <v>83</v>
      </c>
      <c r="C987" s="98" t="s">
        <v>304</v>
      </c>
      <c r="D987" s="71" t="s">
        <v>65</v>
      </c>
      <c r="E987" s="108" t="s">
        <v>681</v>
      </c>
      <c r="G987" s="64" t="s">
        <v>421</v>
      </c>
      <c r="H987" s="64" t="s">
        <v>422</v>
      </c>
      <c r="I987" s="345" t="s">
        <v>682</v>
      </c>
      <c r="J987" s="346">
        <v>7</v>
      </c>
      <c r="K987" s="154" t="s"/>
      <c r="L987" s="154">
        <v>4995</v>
      </c>
      <c r="M987" s="112">
        <f>=J987*L987</f>
        <v>34965</v>
      </c>
      <c r="N987" s="71">
        <v>2</v>
      </c>
      <c r="O987" s="189">
        <f>=ROUND(IF((TODAY()-A987+1)*N987*(L987/10000)+L987&lt;L987*1.002,L987*1.002,(TODAY()-A987+1)*N987*(L987/10000)+L987),2)</f>
        <v>5078.92</v>
      </c>
      <c r="P987" s="346">
        <v>7</v>
      </c>
      <c r="Q987" s="71">
        <f>=J987-P987</f>
        <v>0</v>
      </c>
      <c r="R987">
        <v>4</v>
      </c>
      <c r="S987" s="197">
        <f>=P987-R987</f>
        <v>3</v>
      </c>
      <c r="T987" s="71">
        <f>=S987*L987</f>
        <v>14985</v>
      </c>
      <c r="U987" s="190">
        <f>=J987-P987</f>
        <v>0</v>
      </c>
    </row>
    <row r="988" spans="1:21" ht="15.75" customHeight="true">
      <c r="A988" s="80">
        <v>46142</v>
      </c>
      <c r="B988" s="71">
        <f>=TODAY()-A988+1</f>
        <v>83</v>
      </c>
      <c r="C988" s="98" t="s">
        <v>304</v>
      </c>
      <c r="D988" s="71" t="s">
        <v>65</v>
      </c>
      <c r="E988" s="108" t="s">
        <v>679</v>
      </c>
      <c r="G988" s="64" t="s">
        <v>421</v>
      </c>
      <c r="H988" s="64" t="s">
        <v>422</v>
      </c>
      <c r="I988" s="345" t="s">
        <v>680</v>
      </c>
      <c r="J988" s="346">
        <v>20</v>
      </c>
      <c r="K988" s="154" t="s"/>
      <c r="L988">
        <v>4995</v>
      </c>
      <c r="M988" s="112">
        <f>=J988*L988</f>
        <v>99900</v>
      </c>
      <c r="N988" s="71">
        <v>2</v>
      </c>
      <c r="O988" s="189">
        <f>=ROUND(IF((TODAY()-A988+1)*N988*(L988/10000)+L988&lt;L988*1.002,L988*1.002,(TODAY()-A988+1)*N988*(L988/10000)+L988),2)</f>
        <v>5078.92</v>
      </c>
      <c r="P988" s="346">
        <v>20</v>
      </c>
      <c r="Q988" s="71">
        <f>=J988-P988</f>
        <v>0</v>
      </c>
      <c r="R988">
        <v>9</v>
      </c>
      <c r="S988" s="197">
        <f>=P988-R988</f>
        <v>11</v>
      </c>
      <c r="T988" s="71">
        <f>=S988*L988</f>
        <v>54945</v>
      </c>
      <c r="U988" s="190">
        <f>=J988-P988</f>
        <v>0</v>
      </c>
    </row>
    <row r="989" spans="1:21" ht="15.75" customHeight="true">
      <c r="A989" s="80">
        <v>46142</v>
      </c>
      <c r="B989" s="71">
        <f>=TODAY()-A989+1</f>
        <v>83</v>
      </c>
      <c r="C989" s="98" t="s">
        <v>304</v>
      </c>
      <c r="D989" s="71" t="s">
        <v>65</v>
      </c>
      <c r="E989" s="136" t="s">
        <v>687</v>
      </c>
      <c r="G989" s="64" t="s">
        <v>421</v>
      </c>
      <c r="H989" s="64" t="s">
        <v>422</v>
      </c>
      <c r="I989" s="345" t="s">
        <v>686</v>
      </c>
      <c r="J989" s="346">
        <v>1</v>
      </c>
      <c r="L989" s="154">
        <v>6705</v>
      </c>
      <c r="M989" s="112">
        <f>=J989*L989</f>
        <v>6705</v>
      </c>
      <c r="N989" s="71">
        <v>2</v>
      </c>
      <c r="O989" s="189">
        <f>=ROUND(IF((TODAY()-A989+1)*N989*(L989/10000)+L989&lt;L989*1.002,L989*1.002,(TODAY()-A989+1)*N989*(L989/10000)+L989),2)</f>
        <v>6817.64</v>
      </c>
      <c r="P989" s="346">
        <v>1</v>
      </c>
      <c r="Q989" s="71">
        <f>=J989-P989</f>
        <v>0</v>
      </c>
      <c r="S989" s="197">
        <f>=P989-R989</f>
        <v>1</v>
      </c>
      <c r="T989" s="71">
        <f>=S989*L989</f>
        <v>6705</v>
      </c>
      <c r="U989" s="190">
        <f>=J989-P989</f>
        <v>0</v>
      </c>
    </row>
    <row r="990" spans="1:21" ht="15.75" customHeight="true">
      <c r="A990" s="80">
        <v>46142</v>
      </c>
      <c r="B990" s="71">
        <f>=TODAY()-A990+1</f>
        <v>83</v>
      </c>
      <c r="C990" s="98" t="s">
        <v>307</v>
      </c>
      <c r="D990" s="71" t="s">
        <v>191</v>
      </c>
      <c r="E990" s="145" t="s">
        <v>2035</v>
      </c>
      <c r="F990" t="s">
        <v>1076</v>
      </c>
      <c r="G990" t="s">
        <v>741</v>
      </c>
      <c r="H990" t="s">
        <v>422</v>
      </c>
      <c r="I990" t="s">
        <v>1176</v>
      </c>
      <c r="J990">
        <v>410</v>
      </c>
      <c r="L990">
        <v>1030</v>
      </c>
      <c r="M990" s="112">
        <f>=J990*L990</f>
        <v>422300</v>
      </c>
      <c r="N990" s="71">
        <v>2.5</v>
      </c>
      <c r="O990" s="189">
        <f>=ROUND(IF((TODAY()-A990+1)*N990*(L990/10000)+L990&lt;L990*1.002,L990*1.002,(TODAY()-A990+1)*N990*(L990/10000)+L990),2)</f>
        <v>1051.63</v>
      </c>
      <c r="P990">
        <v>410</v>
      </c>
      <c r="Q990" s="71">
        <f>=J990-P990</f>
        <v>0</v>
      </c>
      <c r="R990" s="71" t="s"/>
      <c r="S990" s="112">
        <f>=P990-R990</f>
        <v>410</v>
      </c>
      <c r="T990" s="71">
        <f>=S990*L990</f>
        <v>422300</v>
      </c>
      <c r="U990" s="190">
        <f>=J990-P990</f>
        <v>0</v>
      </c>
    </row>
    <row r="991" spans="1:21" ht="15.75" customHeight="true">
      <c r="A991" s="80">
        <v>46142</v>
      </c>
      <c r="B991" s="71">
        <f>=TODAY()-A991+1</f>
        <v>83</v>
      </c>
      <c r="C991" s="98" t="s">
        <v>307</v>
      </c>
      <c r="D991" s="71" t="s">
        <v>191</v>
      </c>
      <c r="E991" s="145" t="s">
        <v>2036</v>
      </c>
      <c r="F991" t="s">
        <v>1076</v>
      </c>
      <c r="G991" s="267" t="s">
        <v>741</v>
      </c>
      <c r="H991" s="267" t="s">
        <v>422</v>
      </c>
      <c r="I991" t="s">
        <v>1652</v>
      </c>
      <c r="J991">
        <v>240</v>
      </c>
      <c r="L991">
        <v>1030</v>
      </c>
      <c r="M991" s="112">
        <f>=J991*L991</f>
        <v>247200</v>
      </c>
      <c r="N991" s="71">
        <v>2.5</v>
      </c>
      <c r="O991" s="189">
        <f>=ROUND(IF((TODAY()-A991+1)*N991*(L991/10000)+L991&lt;L991*1.002,L991*1.002,(TODAY()-A991+1)*N991*(L991/10000)+L991),2)</f>
        <v>1051.63</v>
      </c>
      <c r="P991">
        <v>240</v>
      </c>
      <c r="Q991" s="71">
        <f>=J991-P991</f>
        <v>0</v>
      </c>
      <c r="R991" s="71" t="s"/>
      <c r="S991" s="112">
        <f>=P991-R991</f>
        <v>240</v>
      </c>
      <c r="T991" s="71">
        <f>=S991*L991</f>
        <v>247200</v>
      </c>
      <c r="U991" s="190">
        <f>=J991-P991</f>
        <v>0</v>
      </c>
    </row>
    <row r="992" spans="1:21" ht="15.75" customHeight="true">
      <c r="A992" s="80">
        <v>46142</v>
      </c>
      <c r="B992" s="71">
        <f>=TODAY()-A992+1</f>
        <v>83</v>
      </c>
      <c r="C992" s="98" t="s">
        <v>307</v>
      </c>
      <c r="D992" s="71" t="s">
        <v>191</v>
      </c>
      <c r="E992" s="145" t="s">
        <v>2037</v>
      </c>
      <c r="F992" t="s">
        <v>1076</v>
      </c>
      <c r="G992" t="s">
        <v>741</v>
      </c>
      <c r="H992" t="s">
        <v>422</v>
      </c>
      <c r="I992" t="s">
        <v>1082</v>
      </c>
      <c r="J992">
        <v>605</v>
      </c>
      <c r="L992">
        <v>1030</v>
      </c>
      <c r="M992" s="112">
        <f>=J992*L992</f>
        <v>623150</v>
      </c>
      <c r="N992" s="71">
        <v>2.5</v>
      </c>
      <c r="O992" s="189">
        <f>=ROUND(IF((TODAY()-A992+1)*N992*(L992/10000)+L992&lt;L992*1.002,L992*1.002,(TODAY()-A992+1)*N992*(L992/10000)+L992),2)</f>
        <v>1051.63</v>
      </c>
      <c r="P992">
        <v>605</v>
      </c>
      <c r="Q992" s="71">
        <f>=J992-P992</f>
        <v>0</v>
      </c>
      <c r="R992" s="71" t="s"/>
      <c r="S992" s="112">
        <f>=P992-R992</f>
        <v>605</v>
      </c>
      <c r="T992" s="71">
        <f>=S992*L992</f>
        <v>623150</v>
      </c>
      <c r="U992" s="190">
        <f>=J992-P992</f>
        <v>0</v>
      </c>
    </row>
    <row r="993" spans="1:21" ht="15.75" customHeight="true">
      <c r="A993" s="80">
        <v>46142</v>
      </c>
      <c r="B993" s="71">
        <f>=TODAY()-A993+1</f>
        <v>83</v>
      </c>
      <c r="C993" s="98" t="s">
        <v>307</v>
      </c>
      <c r="D993" s="71" t="s">
        <v>191</v>
      </c>
      <c r="E993" s="145" t="s">
        <v>2038</v>
      </c>
      <c r="F993" t="s">
        <v>1076</v>
      </c>
      <c r="G993" t="s">
        <v>741</v>
      </c>
      <c r="H993" t="s">
        <v>422</v>
      </c>
      <c r="I993" t="s">
        <v>1278</v>
      </c>
      <c r="J993" s="154">
        <v>245</v>
      </c>
      <c r="L993">
        <v>1030</v>
      </c>
      <c r="M993" s="112">
        <f>=J993*L993</f>
        <v>252350</v>
      </c>
      <c r="N993" s="71">
        <v>2.5</v>
      </c>
      <c r="O993" s="189">
        <f>=ROUND(IF((TODAY()-A993+1)*N993*(L993/10000)+L993&lt;L993*1.002,L993*1.002,(TODAY()-A993+1)*N993*(L993/10000)+L993),2)</f>
        <v>1051.63</v>
      </c>
      <c r="P993" s="154">
        <v>245</v>
      </c>
      <c r="Q993" s="71">
        <f>=J993-P993</f>
        <v>0</v>
      </c>
      <c r="R993" s="71" t="s"/>
      <c r="S993" s="112">
        <f>=P993-R993</f>
        <v>245</v>
      </c>
      <c r="T993" s="71">
        <f>=S993*L993</f>
        <v>252350</v>
      </c>
      <c r="U993" s="190">
        <f>=J993-P993</f>
        <v>0</v>
      </c>
    </row>
    <row r="994" spans="1:21" ht="15.75" customHeight="true">
      <c r="A994" s="80">
        <v>46142</v>
      </c>
      <c r="B994" s="71">
        <f>=TODAY()-A994+1</f>
        <v>83</v>
      </c>
      <c r="C994" s="98" t="s">
        <v>306</v>
      </c>
      <c r="D994" s="326" t="s">
        <v>305</v>
      </c>
      <c r="E994" s="145" t="s">
        <v>2039</v>
      </c>
      <c r="F994" s="145" t="s">
        <v>2040</v>
      </c>
      <c r="G994" t="s">
        <v>2041</v>
      </c>
      <c r="H994" t="s">
        <v>470</v>
      </c>
      <c r="I994" s="71" t="s">
        <v>2042</v>
      </c>
      <c r="J994">
        <v>587</v>
      </c>
      <c r="L994" s="327">
        <v>6640</v>
      </c>
      <c r="M994" s="112">
        <f>=J994*L994</f>
        <v>3897680</v>
      </c>
      <c r="N994" s="71">
        <v>2.5</v>
      </c>
      <c r="O994" s="189">
        <f>=ROUND(IF((TODAY()-A994+1)*N994*(L994/10000)+L994&lt;L994*1.002,L994*1.002,(TODAY()-A994+1)*N994*(L994/10000)+L994),2)</f>
        <v>6779.44</v>
      </c>
      <c r="P994">
        <v>587</v>
      </c>
      <c r="Q994" s="71">
        <f>=J994-P994</f>
        <v>0</v>
      </c>
      <c r="R994">
        <v>587</v>
      </c>
      <c r="S994" s="197">
        <f>=P994-R994</f>
        <v>0</v>
      </c>
      <c r="T994" s="71">
        <f>=S994*L994</f>
        <v>0</v>
      </c>
      <c r="U994" s="190">
        <f>=J994-P994</f>
        <v>0</v>
      </c>
    </row>
    <row r="995" spans="1:21" ht="15.75" customHeight="true">
      <c r="A995" s="80">
        <v>46142</v>
      </c>
      <c r="B995" s="71">
        <f>=TODAY()-A995+1</f>
        <v>83</v>
      </c>
      <c r="C995" s="98" t="s">
        <v>306</v>
      </c>
      <c r="D995" s="326" t="s">
        <v>305</v>
      </c>
      <c r="E995" s="145" t="s">
        <v>2043</v>
      </c>
      <c r="F995" s="145" t="s">
        <v>2040</v>
      </c>
      <c r="G995" t="s">
        <v>2041</v>
      </c>
      <c r="H995" t="s">
        <v>470</v>
      </c>
      <c r="I995" s="71" t="s">
        <v>2044</v>
      </c>
      <c r="J995">
        <v>152</v>
      </c>
      <c r="L995" s="327">
        <v>7120</v>
      </c>
      <c r="M995" s="112">
        <f>=J995*L995</f>
        <v>1082240</v>
      </c>
      <c r="N995" s="71">
        <v>2.5</v>
      </c>
      <c r="O995" s="189">
        <f>=ROUND(IF((TODAY()-A995+1)*N995*(L995/10000)+L995&lt;L995*1.002,L995*1.002,(TODAY()-A995+1)*N995*(L995/10000)+L995),2)</f>
        <v>7269.52</v>
      </c>
      <c r="P995">
        <v>152</v>
      </c>
      <c r="Q995" s="71">
        <f>=J995-P995</f>
        <v>0</v>
      </c>
      <c r="R995">
        <v>152</v>
      </c>
      <c r="S995" s="197">
        <f>=P995-R995</f>
        <v>0</v>
      </c>
      <c r="T995" s="71">
        <f>=S995*L995</f>
        <v>0</v>
      </c>
      <c r="U995" s="190">
        <f>=J995-P995</f>
        <v>0</v>
      </c>
    </row>
    <row r="996" spans="1:21" ht="15.75" customHeight="true">
      <c r="A996" s="80">
        <v>46142</v>
      </c>
      <c r="B996" s="71">
        <f>=TODAY()-A996+1</f>
        <v>83</v>
      </c>
      <c r="C996" s="98" t="s">
        <v>306</v>
      </c>
      <c r="D996" s="326" t="s">
        <v>305</v>
      </c>
      <c r="E996" s="145" t="s">
        <v>2045</v>
      </c>
      <c r="F996" s="145" t="s">
        <v>2040</v>
      </c>
      <c r="G996" t="s">
        <v>2041</v>
      </c>
      <c r="H996" t="s">
        <v>470</v>
      </c>
      <c r="I996" s="71" t="s">
        <v>2046</v>
      </c>
      <c r="J996" s="154">
        <v>33</v>
      </c>
      <c r="K996" s="154" t="s"/>
      <c r="L996" s="327">
        <v>6640</v>
      </c>
      <c r="M996" s="112">
        <f>=J996*L996</f>
        <v>219120</v>
      </c>
      <c r="N996" s="71">
        <v>2.5</v>
      </c>
      <c r="O996" s="189">
        <f>=ROUND(IF((TODAY()-A996+1)*N996*(L996/10000)+L996&lt;L996*1.002,L996*1.002,(TODAY()-A996+1)*N996*(L996/10000)+L996),2)</f>
        <v>6779.44</v>
      </c>
      <c r="P996" s="154">
        <v>33</v>
      </c>
      <c r="Q996" s="71">
        <f>=J996-P996</f>
        <v>0</v>
      </c>
      <c r="R996">
        <v>33</v>
      </c>
      <c r="S996" s="197">
        <f>=P996-R996</f>
        <v>0</v>
      </c>
      <c r="T996" s="71">
        <f>=S996*L996</f>
        <v>0</v>
      </c>
      <c r="U996" s="190">
        <f>=J996-P996</f>
        <v>0</v>
      </c>
    </row>
    <row r="997" spans="1:21" ht="15.75" customHeight="true">
      <c r="A997" s="110">
        <v>46143</v>
      </c>
      <c r="B997" s="71">
        <f>=TODAY()-A997+1</f>
        <v>82</v>
      </c>
      <c r="C997" s="98" t="s">
        <v>308</v>
      </c>
      <c r="D997" s="326" t="s">
        <v>305</v>
      </c>
      <c r="E997" s="145" t="s">
        <v>2047</v>
      </c>
      <c r="F997" s="145" t="s">
        <v>2040</v>
      </c>
      <c r="G997" t="s">
        <v>2041</v>
      </c>
      <c r="H997" t="s">
        <v>470</v>
      </c>
      <c r="I997" s="71" t="s">
        <v>2048</v>
      </c>
      <c r="J997">
        <v>197</v>
      </c>
      <c r="L997" s="136">
        <v>6400</v>
      </c>
      <c r="M997" s="112">
        <f>=J997*L997</f>
        <v>1260800</v>
      </c>
      <c r="N997" s="71">
        <v>2.5</v>
      </c>
      <c r="O997" s="189">
        <f>=ROUND(IF((TODAY()-A997+1)*N997*(L997/10000)+L997&lt;L997*1.002,L997*1.002,(TODAY()-A997+1)*N997*(L997/10000)+L997),2)</f>
        <v>6532.8</v>
      </c>
      <c r="P997">
        <v>197</v>
      </c>
      <c r="Q997" s="71">
        <f>=J997-P997</f>
        <v>0</v>
      </c>
      <c r="R997">
        <v>197</v>
      </c>
      <c r="S997" s="197">
        <f>=P997-R997</f>
        <v>0</v>
      </c>
      <c r="T997" s="71">
        <f>=S997*L997</f>
        <v>0</v>
      </c>
      <c r="U997" s="190">
        <f>=J997-P997</f>
        <v>0</v>
      </c>
    </row>
    <row r="998" spans="1:21" ht="15.75" customHeight="true">
      <c r="A998" s="348">
        <v>46143</v>
      </c>
      <c r="B998" s="71">
        <f>=TODAY()-A998+1</f>
        <v>82</v>
      </c>
      <c r="C998" s="98" t="s">
        <v>308</v>
      </c>
      <c r="D998" s="326" t="s">
        <v>305</v>
      </c>
      <c r="E998" s="145" t="s">
        <v>2049</v>
      </c>
      <c r="F998" s="145" t="s">
        <v>2040</v>
      </c>
      <c r="G998" t="s">
        <v>2041</v>
      </c>
      <c r="H998" t="s">
        <v>470</v>
      </c>
      <c r="I998" s="71" t="s">
        <v>2042</v>
      </c>
      <c r="J998">
        <v>200</v>
      </c>
      <c r="K998" s="136" t="s"/>
      <c r="L998">
        <v>6640</v>
      </c>
      <c r="M998" s="112">
        <f>=J998*L998</f>
        <v>1328000</v>
      </c>
      <c r="N998" s="71">
        <v>2.5</v>
      </c>
      <c r="O998" s="189">
        <f>=ROUND(IF((TODAY()-A998+1)*N998*(L998/10000)+L998&lt;L998*1.002,L998*1.002,(TODAY()-A998+1)*N998*(L998/10000)+L998),2)</f>
        <v>6777.78</v>
      </c>
      <c r="P998">
        <v>200</v>
      </c>
      <c r="Q998" s="71">
        <f>=J998-P998</f>
        <v>0</v>
      </c>
      <c r="R998">
        <v>200</v>
      </c>
      <c r="S998" s="197">
        <f>=P998-R998</f>
        <v>0</v>
      </c>
      <c r="T998" s="71">
        <f>=S998*L998</f>
        <v>0</v>
      </c>
      <c r="U998" s="190">
        <f>=J998-P998</f>
        <v>0</v>
      </c>
    </row>
    <row r="999" spans="1:21" ht="15.75" customHeight="true">
      <c r="A999" s="80">
        <v>46143</v>
      </c>
      <c r="B999" s="71">
        <f>=TODAY()-A999+1</f>
        <v>82</v>
      </c>
      <c r="C999" s="98" t="s">
        <v>308</v>
      </c>
      <c r="D999" s="326" t="s">
        <v>305</v>
      </c>
      <c r="E999" s="145" t="s">
        <v>2050</v>
      </c>
      <c r="F999" s="145" t="s">
        <v>2040</v>
      </c>
      <c r="G999" t="s">
        <v>2041</v>
      </c>
      <c r="H999" t="s">
        <v>470</v>
      </c>
      <c r="I999" s="71" t="s">
        <v>2046</v>
      </c>
      <c r="J999" s="154">
        <v>17</v>
      </c>
      <c r="K999" s="154" t="s"/>
      <c r="L999" s="154">
        <v>6640</v>
      </c>
      <c r="M999" s="112">
        <f>=J999*L999</f>
        <v>112880</v>
      </c>
      <c r="N999" s="71">
        <v>2.5</v>
      </c>
      <c r="O999" s="189">
        <f>=ROUND(IF((TODAY()-A999+1)*N999*(L999/10000)+L999&lt;L999*1.002,L999*1.002,(TODAY()-A999+1)*N999*(L999/10000)+L999),2)</f>
        <v>6777.78</v>
      </c>
      <c r="P999" s="154">
        <v>17</v>
      </c>
      <c r="Q999" s="71">
        <f>=J999-P999</f>
        <v>0</v>
      </c>
      <c r="R999">
        <v>17</v>
      </c>
      <c r="S999" s="197">
        <f>=P999-R999</f>
        <v>0</v>
      </c>
      <c r="T999" s="71">
        <f>=S999*L999</f>
        <v>0</v>
      </c>
      <c r="U999" s="190">
        <f>=J999-P999</f>
        <v>0</v>
      </c>
    </row>
    <row r="1000" spans="1:21" ht="15.75" customHeight="true">
      <c r="A1000" s="80">
        <v>46143</v>
      </c>
      <c r="B1000" s="71">
        <f>=TODAY()-A1000+1</f>
        <v>82</v>
      </c>
      <c r="C1000" s="98" t="s">
        <v>308</v>
      </c>
      <c r="D1000" s="326" t="s">
        <v>305</v>
      </c>
      <c r="E1000" s="145" t="s">
        <v>2051</v>
      </c>
      <c r="F1000" s="145" t="s">
        <v>2040</v>
      </c>
      <c r="G1000" t="s">
        <v>2041</v>
      </c>
      <c r="H1000" t="s">
        <v>470</v>
      </c>
      <c r="I1000" s="71" t="s">
        <v>2046</v>
      </c>
      <c r="J1000" s="154">
        <v>150</v>
      </c>
      <c r="K1000" s="154" t="s"/>
      <c r="L1000" s="154">
        <v>6640</v>
      </c>
      <c r="M1000" s="112">
        <f>=J1000*L1000</f>
        <v>996000</v>
      </c>
      <c r="N1000" s="71">
        <v>2.5</v>
      </c>
      <c r="O1000" s="189">
        <f>=ROUND(IF((TODAY()-A1000+1)*N1000*(L1000/10000)+L1000&lt;L1000*1.002,L1000*1.002,(TODAY()-A1000+1)*N1000*(L1000/10000)+L1000),2)</f>
        <v>6777.78</v>
      </c>
      <c r="P1000" s="154">
        <v>150</v>
      </c>
      <c r="Q1000" s="71">
        <f>=J1000-P1000</f>
        <v>0</v>
      </c>
      <c r="R1000">
        <v>150</v>
      </c>
      <c r="S1000" s="197">
        <f>=P1000-R1000</f>
        <v>0</v>
      </c>
      <c r="T1000" s="71">
        <f>=S1000*L1000</f>
        <v>0</v>
      </c>
      <c r="U1000" s="190">
        <f>=J1000-P1000</f>
        <v>0</v>
      </c>
    </row>
    <row r="1001" spans="1:21" ht="15.75" customHeight="true">
      <c r="A1001" s="80">
        <v>46148</v>
      </c>
      <c r="B1001" s="71">
        <f>=TODAY()-A1001+1</f>
        <v>77</v>
      </c>
      <c r="C1001" s="98" t="s">
        <v>310</v>
      </c>
      <c r="D1001" s="326" t="s">
        <v>305</v>
      </c>
      <c r="E1001" s="145" t="s">
        <v>2052</v>
      </c>
      <c r="F1001" s="145" t="s">
        <v>2040</v>
      </c>
      <c r="G1001" t="s">
        <v>2041</v>
      </c>
      <c r="H1001" t="s">
        <v>470</v>
      </c>
      <c r="I1001" s="71" t="s">
        <v>2053</v>
      </c>
      <c r="J1001" s="154">
        <v>200</v>
      </c>
      <c r="K1001" s="154" t="s"/>
      <c r="L1001" s="154">
        <v>5040</v>
      </c>
      <c r="M1001" s="112">
        <f>=J1001*L1001</f>
        <v>1008000</v>
      </c>
      <c r="N1001" s="71">
        <v>2.5</v>
      </c>
      <c r="O1001" s="189">
        <f>=ROUND(IF((TODAY()-A1001+1)*N1001*(L1001/10000)+L1001&lt;L1001*1.002,L1001*1.002,(TODAY()-A1001+1)*N1001*(L1001/10000)+L1001),2)</f>
        <v>5138.28</v>
      </c>
      <c r="P1001" s="154">
        <v>200</v>
      </c>
      <c r="Q1001" s="71">
        <f>=J1001-P1001</f>
        <v>0</v>
      </c>
      <c r="R1001">
        <v>200</v>
      </c>
      <c r="S1001" s="197">
        <f>=P1001-R1001</f>
        <v>0</v>
      </c>
      <c r="T1001" s="71">
        <f>=S1001*L1001</f>
        <v>0</v>
      </c>
      <c r="U1001" s="190">
        <f>=J1001-P1001</f>
        <v>0</v>
      </c>
    </row>
    <row r="1002" spans="1:21" ht="15.75" customHeight="true">
      <c r="A1002" s="80">
        <v>46148</v>
      </c>
      <c r="B1002" s="71">
        <f>=TODAY()-A1002+1</f>
        <v>77</v>
      </c>
      <c r="C1002" s="98" t="s">
        <v>311</v>
      </c>
      <c r="D1002" s="71" t="s">
        <v>191</v>
      </c>
      <c r="E1002" s="145" t="s">
        <v>2054</v>
      </c>
      <c r="F1002" t="s">
        <v>1076</v>
      </c>
      <c r="G1002" s="156" t="s">
        <v>804</v>
      </c>
      <c r="H1002" s="156" t="s">
        <v>422</v>
      </c>
      <c r="I1002" s="156" t="s">
        <v>2006</v>
      </c>
      <c r="J1002">
        <v>304</v>
      </c>
      <c r="L1002">
        <v>1000</v>
      </c>
      <c r="M1002" s="112">
        <f>=J1002*L1002</f>
        <v>304000</v>
      </c>
      <c r="N1002" s="71">
        <v>2.5</v>
      </c>
      <c r="O1002" s="189">
        <f>=ROUND(IF((TODAY()-A1002+1)*N1002*(L1002/10000)+L1002&lt;L1002*1.002,L1002*1.002,(TODAY()-A1002+1)*N1002*(L1002/10000)+L1002),2)</f>
        <v>1019.5</v>
      </c>
      <c r="P1002">
        <v>304</v>
      </c>
      <c r="Q1002" s="71">
        <f>=J1002-P1002</f>
        <v>0</v>
      </c>
      <c r="S1002" s="197">
        <f>=P1002-R1002</f>
        <v>304</v>
      </c>
      <c r="T1002" s="71">
        <f>=S1002*L1002</f>
        <v>304000</v>
      </c>
      <c r="U1002" s="190">
        <f>=J1002-P1002</f>
        <v>0</v>
      </c>
    </row>
    <row r="1003" spans="1:21" ht="15.75" customHeight="true">
      <c r="A1003" s="80">
        <v>46148</v>
      </c>
      <c r="B1003" s="71">
        <f>=TODAY()-A1003+1</f>
        <v>77</v>
      </c>
      <c r="C1003" s="98" t="s">
        <v>311</v>
      </c>
      <c r="D1003" s="71" t="s">
        <v>191</v>
      </c>
      <c r="E1003" s="145" t="s">
        <v>2055</v>
      </c>
      <c r="F1003" t="s">
        <v>1076</v>
      </c>
      <c r="G1003" s="156" t="s">
        <v>804</v>
      </c>
      <c r="H1003" s="156" t="s">
        <v>422</v>
      </c>
      <c r="I1003" s="156" t="s">
        <v>2008</v>
      </c>
      <c r="J1003" s="154">
        <v>395</v>
      </c>
      <c r="L1003">
        <v>1000</v>
      </c>
      <c r="M1003" s="112">
        <f>=J1003*L1003</f>
        <v>395000</v>
      </c>
      <c r="N1003" s="71">
        <v>2.5</v>
      </c>
      <c r="O1003" s="189">
        <f>=ROUND(IF((TODAY()-A1003+1)*N1003*(L1003/10000)+L1003&lt;L1003*1.002,L1003*1.002,(TODAY()-A1003+1)*N1003*(L1003/10000)+L1003),2)</f>
        <v>1019.5</v>
      </c>
      <c r="P1003" s="154">
        <v>395</v>
      </c>
      <c r="Q1003" s="71">
        <f>=J1003-P1003</f>
        <v>0</v>
      </c>
      <c r="S1003" s="197">
        <f>=P1003-R1003</f>
        <v>395</v>
      </c>
      <c r="T1003" s="71">
        <f>=S1003*L1003</f>
        <v>395000</v>
      </c>
      <c r="U1003" s="190">
        <f>=J1003-P1003</f>
        <v>0</v>
      </c>
    </row>
    <row r="1004" spans="1:21" ht="15.75" customHeight="true">
      <c r="A1004" s="80">
        <v>46148</v>
      </c>
      <c r="B1004" s="71">
        <f>=TODAY()-A1004+1</f>
        <v>77</v>
      </c>
      <c r="C1004" s="98" t="s">
        <v>311</v>
      </c>
      <c r="D1004" s="71" t="s">
        <v>191</v>
      </c>
      <c r="E1004" s="145" t="s">
        <v>2056</v>
      </c>
      <c r="F1004" t="s">
        <v>1076</v>
      </c>
      <c r="G1004" s="156" t="s">
        <v>804</v>
      </c>
      <c r="H1004" s="156" t="s">
        <v>422</v>
      </c>
      <c r="I1004" s="156" t="s">
        <v>2010</v>
      </c>
      <c r="J1004">
        <v>301</v>
      </c>
      <c r="L1004">
        <v>1000</v>
      </c>
      <c r="M1004" s="112">
        <f>=J1004*L1004</f>
        <v>301000</v>
      </c>
      <c r="N1004" s="71">
        <v>2.5</v>
      </c>
      <c r="O1004" s="189">
        <f>=ROUND(IF((TODAY()-A1004+1)*N1004*(L1004/10000)+L1004&lt;L1004*1.002,L1004*1.002,(TODAY()-A1004+1)*N1004*(L1004/10000)+L1004),2)</f>
        <v>1019.5</v>
      </c>
      <c r="P1004">
        <v>301</v>
      </c>
      <c r="Q1004" s="71">
        <f>=J1004-P1004</f>
        <v>0</v>
      </c>
      <c r="S1004" s="197">
        <f>=P1004-R1004</f>
        <v>301</v>
      </c>
      <c r="T1004" s="71">
        <f>=S1004*L1004</f>
        <v>301000</v>
      </c>
      <c r="U1004" s="190">
        <f>=J1004-P1004</f>
        <v>0</v>
      </c>
    </row>
    <row r="1005" spans="1:21" ht="15.75" customHeight="true">
      <c r="A1005" s="80">
        <v>46149</v>
      </c>
      <c r="B1005" s="71">
        <f>=TODAY()-A1005+1</f>
        <v>76</v>
      </c>
      <c r="C1005" s="98" t="s">
        <v>313</v>
      </c>
      <c r="D1005" s="71" t="s">
        <v>191</v>
      </c>
      <c r="E1005" t="s">
        <v>2057</v>
      </c>
      <c r="F1005" t="s">
        <v>1076</v>
      </c>
      <c r="G1005" s="156" t="s">
        <v>804</v>
      </c>
      <c r="H1005" s="156" t="s">
        <v>422</v>
      </c>
      <c r="I1005" t="s">
        <v>2058</v>
      </c>
      <c r="J1005">
        <v>103</v>
      </c>
      <c r="L1005">
        <v>1450</v>
      </c>
      <c r="M1005" s="112">
        <f>=J1005*L1005</f>
        <v>149350</v>
      </c>
      <c r="N1005" s="71">
        <v>2.5</v>
      </c>
      <c r="O1005" s="189">
        <f>=ROUND(IF((TODAY()-A1005+1)*N1005*(L1005/10000)+L1005&lt;L1005*1.002,L1005*1.002,(TODAY()-A1005+1)*N1005*(L1005/10000)+L1005),2)</f>
        <v>1477.91</v>
      </c>
      <c r="P1005">
        <v>103</v>
      </c>
      <c r="Q1005" s="71">
        <f>=J1005-P1005</f>
        <v>0</v>
      </c>
      <c r="R1005">
        <v>103</v>
      </c>
      <c r="S1005" s="197">
        <f>=P1005-R1005</f>
        <v>0</v>
      </c>
      <c r="T1005" s="71">
        <f>=S1005*L1005</f>
        <v>0</v>
      </c>
      <c r="U1005" s="190">
        <f>=J1005-P1005</f>
        <v>0</v>
      </c>
    </row>
    <row r="1006" spans="1:21" ht="15.75" customHeight="true">
      <c r="A1006" s="80">
        <v>46149</v>
      </c>
      <c r="B1006" s="71">
        <f>=TODAY()-A1006+1</f>
        <v>76</v>
      </c>
      <c r="C1006" s="98" t="s">
        <v>313</v>
      </c>
      <c r="D1006" s="71" t="s">
        <v>191</v>
      </c>
      <c r="E1006" t="s">
        <v>2059</v>
      </c>
      <c r="F1006" t="s">
        <v>1076</v>
      </c>
      <c r="G1006" s="156" t="s">
        <v>804</v>
      </c>
      <c r="H1006" s="156" t="s">
        <v>422</v>
      </c>
      <c r="I1006" t="s">
        <v>1801</v>
      </c>
      <c r="J1006" s="154">
        <v>96</v>
      </c>
      <c r="K1006" s="154" t="s"/>
      <c r="L1006" s="154">
        <v>1450</v>
      </c>
      <c r="M1006" s="112">
        <f>=J1006*L1006</f>
        <v>139200</v>
      </c>
      <c r="N1006" s="71">
        <v>2.5</v>
      </c>
      <c r="O1006" s="189">
        <f>=ROUND(IF((TODAY()-A1006+1)*N1006*(L1006/10000)+L1006&lt;L1006*1.002,L1006*1.002,(TODAY()-A1006+1)*N1006*(L1006/10000)+L1006),2)</f>
        <v>1477.91</v>
      </c>
      <c r="P1006" s="154">
        <v>96</v>
      </c>
      <c r="Q1006" s="71">
        <f>=J1006-P1006</f>
        <v>0</v>
      </c>
      <c r="R1006" s="154">
        <v>96</v>
      </c>
      <c r="S1006" s="197">
        <f>=P1006-R1006</f>
        <v>0</v>
      </c>
      <c r="T1006" s="71">
        <f>=S1006*L1006</f>
        <v>0</v>
      </c>
      <c r="U1006" s="190">
        <f>=J1006-P1006</f>
        <v>0</v>
      </c>
    </row>
    <row r="1007" spans="1:21" ht="15.75" customHeight="true">
      <c r="A1007" s="80">
        <v>46149</v>
      </c>
      <c r="B1007" s="71">
        <f>=TODAY()-A1007+1</f>
        <v>76</v>
      </c>
      <c r="C1007" s="98" t="s">
        <v>313</v>
      </c>
      <c r="D1007" s="71" t="s">
        <v>191</v>
      </c>
      <c r="E1007" t="s">
        <v>2060</v>
      </c>
      <c r="F1007" t="s">
        <v>1076</v>
      </c>
      <c r="G1007" s="156" t="s">
        <v>804</v>
      </c>
      <c r="H1007" s="156" t="s">
        <v>422</v>
      </c>
      <c r="I1007" s="155" t="s">
        <v>2061</v>
      </c>
      <c r="J1007">
        <v>222</v>
      </c>
      <c r="L1007">
        <v>1240</v>
      </c>
      <c r="M1007" s="112">
        <f>=J1007*L1007</f>
        <v>275280</v>
      </c>
      <c r="N1007" s="71">
        <v>2.5</v>
      </c>
      <c r="O1007" s="189">
        <f>=ROUND(IF((TODAY()-A1007+1)*N1007*(L1007/10000)+L1007&lt;L1007*1.002,L1007*1.002,(TODAY()-A1007+1)*N1007*(L1007/10000)+L1007),2)</f>
        <v>1263.87</v>
      </c>
      <c r="P1007">
        <v>222</v>
      </c>
      <c r="Q1007" s="71">
        <f>=J1007-P1007</f>
        <v>0</v>
      </c>
      <c r="R1007">
        <v>222</v>
      </c>
      <c r="S1007" s="197">
        <f>=P1007-R1007</f>
        <v>0</v>
      </c>
      <c r="T1007" s="71">
        <f>=S1007*L1007</f>
        <v>0</v>
      </c>
      <c r="U1007" s="190">
        <f>=J1007-P1007</f>
        <v>0</v>
      </c>
    </row>
    <row r="1008" spans="1:21" ht="15.75" customHeight="true">
      <c r="A1008" s="80">
        <v>46149</v>
      </c>
      <c r="B1008" s="71">
        <f>=TODAY()-A1008+1</f>
        <v>76</v>
      </c>
      <c r="C1008" s="98" t="s">
        <v>313</v>
      </c>
      <c r="D1008" s="71" t="s">
        <v>191</v>
      </c>
      <c r="E1008" t="s">
        <v>2062</v>
      </c>
      <c r="F1008" t="s">
        <v>1076</v>
      </c>
      <c r="G1008" s="156" t="s">
        <v>804</v>
      </c>
      <c r="H1008" s="156" t="s">
        <v>422</v>
      </c>
      <c r="I1008" s="155" t="s">
        <v>2063</v>
      </c>
      <c r="J1008">
        <v>17</v>
      </c>
      <c r="L1008">
        <v>1240</v>
      </c>
      <c r="M1008" s="112">
        <f>=J1008*L1008</f>
        <v>21080</v>
      </c>
      <c r="N1008" s="71">
        <v>2.5</v>
      </c>
      <c r="O1008" s="189">
        <f>=ROUND(IF((TODAY()-A1008+1)*N1008*(L1008/10000)+L1008&lt;L1008*1.002,L1008*1.002,(TODAY()-A1008+1)*N1008*(L1008/10000)+L1008),2)</f>
        <v>1263.87</v>
      </c>
      <c r="P1008">
        <v>17</v>
      </c>
      <c r="Q1008" s="71">
        <f>=J1008-P1008</f>
        <v>0</v>
      </c>
      <c r="R1008">
        <v>17</v>
      </c>
      <c r="S1008" s="197">
        <f>=P1008-R1008</f>
        <v>0</v>
      </c>
      <c r="T1008" s="71">
        <f>=S1008*L1008</f>
        <v>0</v>
      </c>
      <c r="U1008" s="190">
        <f>=J1008-P1008</f>
        <v>0</v>
      </c>
    </row>
    <row r="1009" spans="1:21" ht="15.75" customHeight="true">
      <c r="A1009" s="80">
        <v>46149</v>
      </c>
      <c r="B1009" s="71">
        <f>=TODAY()-A1009+1</f>
        <v>76</v>
      </c>
      <c r="C1009" s="98" t="s">
        <v>313</v>
      </c>
      <c r="D1009" s="71" t="s">
        <v>191</v>
      </c>
      <c r="E1009" t="s">
        <v>2064</v>
      </c>
      <c r="F1009" t="s">
        <v>1076</v>
      </c>
      <c r="G1009" s="156" t="s">
        <v>804</v>
      </c>
      <c r="H1009" s="156" t="s">
        <v>422</v>
      </c>
      <c r="I1009" s="155" t="s">
        <v>2065</v>
      </c>
      <c r="J1009">
        <v>30</v>
      </c>
      <c r="L1009">
        <v>1240</v>
      </c>
      <c r="M1009" s="112">
        <f>=J1009*L1009</f>
        <v>37200</v>
      </c>
      <c r="N1009" s="71">
        <v>2.5</v>
      </c>
      <c r="O1009" s="189">
        <f>=ROUND(IF((TODAY()-A1009+1)*N1009*(L1009/10000)+L1009&lt;L1009*1.002,L1009*1.002,(TODAY()-A1009+1)*N1009*(L1009/10000)+L1009),2)</f>
        <v>1263.87</v>
      </c>
      <c r="P1009">
        <v>30</v>
      </c>
      <c r="Q1009" s="71">
        <f>=J1009-P1009</f>
        <v>0</v>
      </c>
      <c r="R1009">
        <v>30</v>
      </c>
      <c r="S1009" s="197">
        <f>=P1009-R1009</f>
        <v>0</v>
      </c>
      <c r="T1009" s="71">
        <f>=S1009*L1009</f>
        <v>0</v>
      </c>
      <c r="U1009" s="190">
        <f>=J1009-P1009</f>
        <v>0</v>
      </c>
    </row>
    <row r="1010" spans="1:21" ht="15.75" customHeight="true">
      <c r="A1010" s="80">
        <v>46149</v>
      </c>
      <c r="B1010" s="71">
        <f>=TODAY()-A1010+1</f>
        <v>76</v>
      </c>
      <c r="C1010" s="98" t="s">
        <v>313</v>
      </c>
      <c r="D1010" s="71" t="s">
        <v>191</v>
      </c>
      <c r="E1010" t="s">
        <v>2066</v>
      </c>
      <c r="F1010" t="s">
        <v>1076</v>
      </c>
      <c r="G1010" s="156" t="s">
        <v>804</v>
      </c>
      <c r="H1010" s="156" t="s">
        <v>422</v>
      </c>
      <c r="I1010" s="155" t="s">
        <v>2067</v>
      </c>
      <c r="J1010">
        <v>118</v>
      </c>
      <c r="L1010">
        <v>1240</v>
      </c>
      <c r="M1010" s="112">
        <f>=J1010*L1010</f>
        <v>146320</v>
      </c>
      <c r="N1010" s="71">
        <v>2.5</v>
      </c>
      <c r="O1010" s="189">
        <f>=ROUND(IF((TODAY()-A1010+1)*N1010*(L1010/10000)+L1010&lt;L1010*1.002,L1010*1.002,(TODAY()-A1010+1)*N1010*(L1010/10000)+L1010),2)</f>
        <v>1263.87</v>
      </c>
      <c r="P1010">
        <v>118</v>
      </c>
      <c r="Q1010" s="71">
        <f>=J1010-P1010</f>
        <v>0</v>
      </c>
      <c r="R1010">
        <v>118</v>
      </c>
      <c r="S1010" s="197">
        <f>=P1010-R1010</f>
        <v>0</v>
      </c>
      <c r="T1010" s="71">
        <f>=S1010*L1010</f>
        <v>0</v>
      </c>
      <c r="U1010" s="190">
        <f>=J1010-P1010</f>
        <v>0</v>
      </c>
    </row>
    <row r="1011" spans="1:21" ht="15.75" customHeight="true">
      <c r="A1011" s="80">
        <v>46150</v>
      </c>
      <c r="B1011" s="71">
        <f>=TODAY()-A1011+1</f>
        <v>75</v>
      </c>
      <c r="C1011" s="98" t="s">
        <v>314</v>
      </c>
      <c r="D1011" s="71" t="s">
        <v>150</v>
      </c>
      <c r="E1011" s="145" t="s">
        <v>2068</v>
      </c>
      <c r="F1011" s="242" t="s">
        <v>894</v>
      </c>
      <c r="G1011" s="156" t="s">
        <v>895</v>
      </c>
      <c r="H1011" s="156" t="s">
        <v>422</v>
      </c>
      <c r="I1011" s="87" t="s">
        <v>2069</v>
      </c>
      <c r="J1011">
        <v>250</v>
      </c>
      <c r="L1011">
        <v>940</v>
      </c>
      <c r="M1011" s="217">
        <f>=J1011*L1011</f>
        <v>235000</v>
      </c>
      <c r="N1011" s="71">
        <v>2.5</v>
      </c>
      <c r="O1011" s="189">
        <f>=ROUND(IF((TODAY()-A1011+1)*N1011*(L1011/10000)+L1011&lt;L1011*1.002,L1011*1.002,(TODAY()-A1011+1)*N1011*(L1011/10000)+L1011),2)</f>
        <v>957.86</v>
      </c>
      <c r="P1011">
        <v>250</v>
      </c>
      <c r="Q1011" s="71">
        <f>=J1011-P1011</f>
        <v>0</v>
      </c>
      <c r="R1011">
        <v>250</v>
      </c>
      <c r="S1011" s="197">
        <f>=P1011-R1011</f>
        <v>0</v>
      </c>
      <c r="T1011" s="71">
        <f>=S1011*L1011</f>
        <v>0</v>
      </c>
      <c r="U1011" s="190">
        <f>=J1011-P1011</f>
        <v>0</v>
      </c>
    </row>
    <row r="1012" spans="1:21" ht="15.75" customHeight="true">
      <c r="A1012" s="80">
        <v>46151</v>
      </c>
      <c r="B1012" s="71">
        <f>=TODAY()-A1012+1</f>
        <v>74</v>
      </c>
      <c r="C1012" s="98" t="s">
        <v>315</v>
      </c>
      <c r="D1012" s="326" t="s">
        <v>301</v>
      </c>
      <c r="E1012" s="136" t="s">
        <v>2070</v>
      </c>
      <c r="F1012" s="145" t="s">
        <v>2022</v>
      </c>
      <c r="G1012" t="s">
        <v>1438</v>
      </c>
      <c r="H1012" t="s">
        <v>422</v>
      </c>
      <c r="I1012" s="267" t="s">
        <v>2071</v>
      </c>
      <c r="J1012" s="154">
        <v>40</v>
      </c>
      <c r="K1012" s="154" t="s"/>
      <c r="L1012" s="154">
        <v>900</v>
      </c>
      <c r="M1012" s="112">
        <f>=J1012*L1012</f>
        <v>36000</v>
      </c>
      <c r="N1012">
        <v>2.5</v>
      </c>
      <c r="O1012" s="189">
        <f>=ROUND(IF((TODAY()-A1012+1)*N1012*(L1012/10000)+L1012&lt;L1012*1.002,L1012*1.002,(TODAY()-A1012+1)*N1012*(L1012/10000)+L1012),2)</f>
        <v>916.88</v>
      </c>
      <c r="P1012" s="154">
        <v>40</v>
      </c>
      <c r="Q1012" s="71">
        <f>=J1012-P1012</f>
        <v>0</v>
      </c>
      <c r="R1012" s="154">
        <v>40</v>
      </c>
      <c r="S1012" s="112">
        <f>=P1012-R1012</f>
        <v>0</v>
      </c>
      <c r="T1012" s="71">
        <f>=S1012*L1012</f>
        <v>0</v>
      </c>
      <c r="U1012" s="190">
        <f>=J1012-P1012</f>
        <v>0</v>
      </c>
    </row>
    <row r="1013" spans="1:21" ht="15.75" customHeight="true">
      <c r="A1013" s="80">
        <v>46151</v>
      </c>
      <c r="B1013" s="71">
        <f>=TODAY()-A1013+1</f>
        <v>74</v>
      </c>
      <c r="C1013" s="98" t="s">
        <v>315</v>
      </c>
      <c r="D1013" s="326" t="s">
        <v>301</v>
      </c>
      <c r="E1013" s="136" t="s">
        <v>2072</v>
      </c>
      <c r="F1013" s="145" t="s">
        <v>2022</v>
      </c>
      <c r="G1013" t="s">
        <v>1438</v>
      </c>
      <c r="H1013" t="s">
        <v>422</v>
      </c>
      <c r="I1013" t="s">
        <v>2073</v>
      </c>
      <c r="J1013" s="154">
        <v>30</v>
      </c>
      <c r="K1013" s="154" t="s"/>
      <c r="L1013" s="154">
        <v>900</v>
      </c>
      <c r="M1013" s="112">
        <f>=J1013*L1013</f>
        <v>27000</v>
      </c>
      <c r="N1013">
        <v>2.5</v>
      </c>
      <c r="O1013" s="189">
        <f>=ROUND(IF((TODAY()-A1013+1)*N1013*(L1013/10000)+L1013&lt;L1013*1.002,L1013*1.002,(TODAY()-A1013+1)*N1013*(L1013/10000)+L1013),2)</f>
        <v>916.88</v>
      </c>
      <c r="P1013" s="154">
        <v>30</v>
      </c>
      <c r="Q1013" s="71">
        <f>=J1013-P1013</f>
        <v>0</v>
      </c>
      <c r="R1013" s="154">
        <v>30</v>
      </c>
      <c r="S1013" s="112">
        <f>=P1013-R1013</f>
        <v>0</v>
      </c>
      <c r="T1013" s="71">
        <f>=S1013*L1013</f>
        <v>0</v>
      </c>
      <c r="U1013" s="190">
        <f>=J1013-P1013</f>
        <v>0</v>
      </c>
    </row>
    <row r="1014" spans="1:21" ht="15.75" customHeight="true">
      <c r="A1014" s="80">
        <v>46151</v>
      </c>
      <c r="B1014" s="71">
        <f>=TODAY()-A1014+1</f>
        <v>74</v>
      </c>
      <c r="C1014" s="98" t="s">
        <v>315</v>
      </c>
      <c r="D1014" s="326" t="s">
        <v>301</v>
      </c>
      <c r="E1014" s="136" t="s">
        <v>2074</v>
      </c>
      <c r="F1014" s="145" t="s">
        <v>2022</v>
      </c>
      <c r="G1014" t="s">
        <v>1438</v>
      </c>
      <c r="H1014" t="s">
        <v>422</v>
      </c>
      <c r="I1014" t="s">
        <v>2075</v>
      </c>
      <c r="J1014">
        <v>30</v>
      </c>
      <c r="L1014">
        <v>900</v>
      </c>
      <c r="M1014" s="112">
        <f>=J1014*L1014</f>
        <v>27000</v>
      </c>
      <c r="N1014">
        <v>2.5</v>
      </c>
      <c r="O1014" s="189">
        <f>=ROUND(IF((TODAY()-A1014+1)*N1014*(L1014/10000)+L1014&lt;L1014*1.002,L1014*1.002,(TODAY()-A1014+1)*N1014*(L1014/10000)+L1014),2)</f>
        <v>916.88</v>
      </c>
      <c r="P1014">
        <v>30</v>
      </c>
      <c r="Q1014" s="71">
        <f>=J1014-P1014</f>
        <v>0</v>
      </c>
      <c r="R1014">
        <v>30</v>
      </c>
      <c r="S1014" s="112">
        <f>=P1014-R1014</f>
        <v>0</v>
      </c>
      <c r="T1014" s="71">
        <f>=S1014*L1014</f>
        <v>0</v>
      </c>
      <c r="U1014" s="190">
        <f>=J1014-P1014</f>
        <v>0</v>
      </c>
    </row>
    <row r="1015" spans="1:21" ht="15.75" customHeight="true">
      <c r="A1015" s="80">
        <v>46153</v>
      </c>
      <c r="B1015" s="71">
        <f>=TODAY()-A1015+1</f>
        <v>72</v>
      </c>
      <c r="C1015" s="98" t="s">
        <v>316</v>
      </c>
      <c r="D1015" s="108" t="s">
        <v>294</v>
      </c>
      <c r="E1015" s="136" t="s">
        <v>2076</v>
      </c>
      <c r="F1015" s="242" t="s">
        <v>863</v>
      </c>
      <c r="G1015" t="s">
        <v>895</v>
      </c>
      <c r="H1015" s="156" t="s">
        <v>422</v>
      </c>
      <c r="I1015" s="349" t="s">
        <v>1523</v>
      </c>
      <c r="J1015" s="258">
        <v>2000</v>
      </c>
      <c r="K1015" s="154" t="s"/>
      <c r="L1015" s="154">
        <v>1900</v>
      </c>
      <c r="M1015" s="112">
        <f>=J1015*L1015</f>
        <v>3800000</v>
      </c>
      <c r="N1015" s="71">
        <v>2.5</v>
      </c>
      <c r="O1015" s="189">
        <f>=ROUND(IF((TODAY()-A1015+1)*N1015*(L1015/10000)+L1015&lt;L1015*1.002,L1015*1.002,(TODAY()-A1015+1)*N1015*(L1015/10000)+L1015),2)</f>
        <v>1934.68</v>
      </c>
      <c r="P1015" s="87">
        <v>2000</v>
      </c>
      <c r="Q1015" s="71">
        <f>=J1015-P1015</f>
        <v>0</v>
      </c>
      <c r="R1015" s="71">
        <v>2000</v>
      </c>
      <c r="S1015" s="112">
        <f>=P1015-R1015</f>
        <v>0</v>
      </c>
      <c r="T1015" s="71">
        <f>=S1015*L1015</f>
        <v>0</v>
      </c>
      <c r="U1015" s="190">
        <f>=J1015-P1015</f>
        <v>0</v>
      </c>
    </row>
    <row r="1016" spans="1:21" ht="15.75" customHeight="true">
      <c r="A1016" s="80">
        <v>46153</v>
      </c>
      <c r="B1016" s="71">
        <f>=TODAY()-A1016+1</f>
        <v>72</v>
      </c>
      <c r="C1016" s="98" t="s">
        <v>318</v>
      </c>
      <c r="D1016" t="s">
        <v>223</v>
      </c>
      <c r="E1016" s="136" t="s">
        <v>2077</v>
      </c>
      <c r="F1016" s="136" t="s">
        <v>2078</v>
      </c>
      <c r="G1016" s="136" t="s">
        <v>421</v>
      </c>
      <c r="H1016" s="136" t="s">
        <v>429</v>
      </c>
      <c r="I1016" s="83" t="s">
        <v>2079</v>
      </c>
      <c r="J1016" s="258">
        <v>270</v>
      </c>
      <c r="K1016" s="154" t="s"/>
      <c r="L1016" s="154">
        <v>890</v>
      </c>
      <c r="M1016" s="112">
        <f>=J1016*L1016</f>
        <v>240300</v>
      </c>
      <c r="N1016" s="97">
        <v>2.5</v>
      </c>
      <c r="O1016" s="189">
        <f>=ROUND(IF((TODAY()-A1016+1)*N1016*(L1016/10000)+L1016&lt;L1016*1.002,L1016*1.002,(TODAY()-A1016+1)*N1016*(L1016/10000)+L1016),2)</f>
        <v>906.24</v>
      </c>
      <c r="P1016" s="87">
        <v>270</v>
      </c>
      <c r="Q1016" s="71">
        <f>=J1016-P1016</f>
        <v>0</v>
      </c>
      <c r="S1016" s="112">
        <f>=P1016-R1016</f>
        <v>270</v>
      </c>
      <c r="T1016" s="71">
        <f>=S1016*L1016</f>
        <v>240300</v>
      </c>
      <c r="U1016" s="190">
        <f>=J1016-P1016</f>
        <v>0</v>
      </c>
    </row>
    <row r="1017" spans="1:21" ht="15.75" customHeight="true">
      <c r="A1017" s="80">
        <v>46153</v>
      </c>
      <c r="B1017" s="71">
        <f>=TODAY()-A1017+1</f>
        <v>72</v>
      </c>
      <c r="C1017" s="98" t="s">
        <v>318</v>
      </c>
      <c r="D1017" t="s">
        <v>223</v>
      </c>
      <c r="E1017" s="136" t="s">
        <v>2080</v>
      </c>
      <c r="F1017" s="136" t="s">
        <v>2078</v>
      </c>
      <c r="G1017" s="136" t="s">
        <v>421</v>
      </c>
      <c r="H1017" t="s">
        <v>449</v>
      </c>
      <c r="I1017" s="83" t="s">
        <v>2081</v>
      </c>
      <c r="J1017" s="258">
        <v>30</v>
      </c>
      <c r="K1017" s="154" t="s"/>
      <c r="L1017" s="154">
        <v>2150</v>
      </c>
      <c r="M1017" s="112">
        <f>=J1017*L1017</f>
        <v>64500</v>
      </c>
      <c r="N1017" s="97">
        <v>2.5</v>
      </c>
      <c r="O1017" s="189">
        <f>=ROUND(IF((TODAY()-A1017+1)*N1017*(L1017/10000)+L1017&lt;L1017*1.002,L1017*1.002,(TODAY()-A1017+1)*N1017*(L1017/10000)+L1017),2)</f>
        <v>2189.24</v>
      </c>
      <c r="P1017" s="87">
        <v>30</v>
      </c>
      <c r="Q1017" s="71">
        <f>=J1017-P1017</f>
        <v>0</v>
      </c>
      <c r="R1017">
        <v>30</v>
      </c>
      <c r="S1017" s="112">
        <f>=P1017-R1017</f>
        <v>0</v>
      </c>
      <c r="T1017" s="71">
        <f>=S1017*L1017</f>
        <v>0</v>
      </c>
      <c r="U1017" s="190">
        <f>=J1017-P1017</f>
        <v>0</v>
      </c>
    </row>
    <row r="1018" spans="1:21" ht="15.75" customHeight="true">
      <c r="A1018" s="80">
        <v>46153</v>
      </c>
      <c r="B1018" s="71">
        <f>=TODAY()-A1018+1</f>
        <v>72</v>
      </c>
      <c r="C1018" s="98" t="s">
        <v>319</v>
      </c>
      <c r="D1018" s="326" t="s">
        <v>239</v>
      </c>
      <c r="E1018" s="136" t="s">
        <v>2082</v>
      </c>
      <c r="F1018" s="145" t="s">
        <v>2083</v>
      </c>
      <c r="G1018" t="s">
        <v>1753</v>
      </c>
      <c r="H1018" t="s">
        <v>470</v>
      </c>
      <c r="I1018" s="83" t="s">
        <v>2084</v>
      </c>
      <c r="J1018" s="258">
        <v>350</v>
      </c>
      <c r="K1018" s="154" t="s"/>
      <c r="L1018" s="154">
        <v>1600</v>
      </c>
      <c r="M1018" s="112">
        <f>=J1018*L1018</f>
        <v>560000</v>
      </c>
      <c r="N1018" s="97">
        <v>2.5</v>
      </c>
      <c r="O1018" s="189">
        <f>=ROUND(IF((TODAY()-A1018+1)*N1018*(L1018/10000)+L1018&lt;L1018*1.002,L1018*1.002,(TODAY()-A1018+1)*N1018*(L1018/10000)+L1018),2)</f>
        <v>1629.2</v>
      </c>
      <c r="P1018" s="87">
        <v>350</v>
      </c>
      <c r="Q1018" s="71">
        <f>=J1018-P1018</f>
        <v>0</v>
      </c>
      <c r="R1018">
        <v>350</v>
      </c>
      <c r="S1018" s="112">
        <f>=P1018-R1018</f>
        <v>0</v>
      </c>
      <c r="T1018" s="71">
        <f>=S1018*L1018</f>
        <v>0</v>
      </c>
      <c r="U1018" s="190">
        <f>=J1018-P1018</f>
        <v>0</v>
      </c>
    </row>
    <row r="1019" spans="1:21" ht="15.75" customHeight="true">
      <c r="A1019" s="80">
        <v>46153</v>
      </c>
      <c r="B1019" s="71">
        <f>=TODAY()-A1019+1</f>
        <v>72</v>
      </c>
      <c r="C1019" s="98" t="s">
        <v>321</v>
      </c>
      <c r="D1019" s="326" t="s">
        <v>320</v>
      </c>
      <c r="E1019" s="136" t="s">
        <v>2085</v>
      </c>
      <c r="F1019" s="136" t="s">
        <v>2086</v>
      </c>
      <c r="G1019" s="71" t="s">
        <v>421</v>
      </c>
      <c r="H1019" s="71" t="s">
        <v>422</v>
      </c>
      <c r="I1019" s="350" t="s">
        <v>2087</v>
      </c>
      <c r="J1019" s="351">
        <v>100</v>
      </c>
      <c r="K1019" s="154" t="s"/>
      <c r="L1019" s="154">
        <v>4400</v>
      </c>
      <c r="M1019" s="112">
        <f>=J1019*L1019</f>
        <v>440000</v>
      </c>
      <c r="N1019" s="97">
        <v>2.5</v>
      </c>
      <c r="O1019" s="189">
        <f>=ROUND(IF((TODAY()-A1019+1)*N1019*(L1019/10000)+L1019&lt;L1019*1.002,L1019*1.002,(TODAY()-A1019+1)*N1019*(L1019/10000)+L1019),2)</f>
        <v>4480.3</v>
      </c>
      <c r="P1019" s="154">
        <v>100</v>
      </c>
      <c r="Q1019" s="71">
        <f>=J1019-P1019</f>
        <v>0</v>
      </c>
      <c r="R1019">
        <v>100</v>
      </c>
      <c r="S1019" s="112">
        <f>=P1019-R1019</f>
        <v>0</v>
      </c>
      <c r="T1019" s="71">
        <f>=S1019*L1019</f>
        <v>0</v>
      </c>
      <c r="U1019" s="190">
        <f>=J1019-P1019</f>
        <v>0</v>
      </c>
    </row>
    <row r="1020" spans="1:21" ht="15.75" customHeight="true">
      <c r="A1020" s="80">
        <v>46155</v>
      </c>
      <c r="B1020" s="71">
        <f>=TODAY()-A1020+1</f>
        <v>70</v>
      </c>
      <c r="C1020" s="98" t="s">
        <v>325</v>
      </c>
      <c r="D1020" s="145" t="s">
        <v>324</v>
      </c>
      <c r="E1020" s="136" t="s">
        <v>2088</v>
      </c>
      <c r="F1020" s="136" t="s">
        <v>2089</v>
      </c>
      <c r="G1020" t="s">
        <v>804</v>
      </c>
      <c r="H1020" t="s">
        <v>422</v>
      </c>
      <c r="I1020" s="146" t="s">
        <v>2090</v>
      </c>
      <c r="J1020">
        <v>160</v>
      </c>
      <c r="L1020">
        <v>585</v>
      </c>
      <c r="M1020" s="112">
        <f>=J1020*L1020</f>
        <v>93600</v>
      </c>
      <c r="N1020">
        <v>3</v>
      </c>
      <c r="O1020" s="189">
        <f>=ROUND(IF((TODAY()-A1020+1)*N1020*(L1020/10000)+L1020&lt;L1020*1.002,L1020*1.002,(TODAY()-A1020+1)*N1020*(L1020/10000)+L1020),2)</f>
        <v>597.46</v>
      </c>
      <c r="P1020">
        <v>160</v>
      </c>
      <c r="Q1020" s="71">
        <f>=J1020-P1020</f>
        <v>0</v>
      </c>
      <c r="R1020">
        <v>160</v>
      </c>
      <c r="S1020" s="112">
        <f>=P1020-R1020</f>
        <v>0</v>
      </c>
      <c r="T1020" s="71">
        <f>=S1020*L1020</f>
        <v>0</v>
      </c>
      <c r="U1020" s="190">
        <f>=J1020-P1020</f>
        <v>0</v>
      </c>
    </row>
    <row r="1021" spans="1:21" ht="15.75" customHeight="true">
      <c r="A1021" s="80">
        <v>46155</v>
      </c>
      <c r="B1021" s="71">
        <f>=TODAY()-A1021+1</f>
        <v>70</v>
      </c>
      <c r="C1021" s="98" t="s">
        <v>325</v>
      </c>
      <c r="D1021" s="145" t="s">
        <v>324</v>
      </c>
      <c r="E1021" s="136" t="s">
        <v>2091</v>
      </c>
      <c r="F1021" s="136" t="s">
        <v>2089</v>
      </c>
      <c r="G1021" t="s">
        <v>804</v>
      </c>
      <c r="H1021" t="s">
        <v>422</v>
      </c>
      <c r="I1021" s="207" t="s">
        <v>2092</v>
      </c>
      <c r="J1021">
        <v>200</v>
      </c>
      <c r="L1021">
        <v>585</v>
      </c>
      <c r="M1021" s="112">
        <f>=J1021*L1021</f>
        <v>117000</v>
      </c>
      <c r="N1021">
        <v>3</v>
      </c>
      <c r="O1021" s="189">
        <f>=ROUND(IF((TODAY()-A1021+1)*N1021*(L1021/10000)+L1021&lt;L1021*1.002,L1021*1.002,(TODAY()-A1021+1)*N1021*(L1021/10000)+L1021),2)</f>
        <v>597.46</v>
      </c>
      <c r="P1021">
        <v>200</v>
      </c>
      <c r="Q1021" s="71">
        <f>=J1021-P1021</f>
        <v>0</v>
      </c>
      <c r="R1021">
        <v>200</v>
      </c>
      <c r="S1021" s="112">
        <f>=P1021-R1021</f>
        <v>0</v>
      </c>
      <c r="T1021" s="71">
        <f>=S1021*L1021</f>
        <v>0</v>
      </c>
      <c r="U1021" s="190">
        <f>=J1021-P1021</f>
        <v>0</v>
      </c>
    </row>
    <row r="1022" spans="1:21" ht="15.75" customHeight="true">
      <c r="A1022" s="80">
        <v>46155</v>
      </c>
      <c r="B1022" s="71">
        <f>=TODAY()-A1022+1</f>
        <v>70</v>
      </c>
      <c r="C1022" s="98" t="s">
        <v>325</v>
      </c>
      <c r="D1022" s="145" t="s">
        <v>324</v>
      </c>
      <c r="E1022" s="136" t="s">
        <v>2093</v>
      </c>
      <c r="F1022" s="136" t="s">
        <v>2089</v>
      </c>
      <c r="G1022" t="s">
        <v>804</v>
      </c>
      <c r="H1022" t="s">
        <v>422</v>
      </c>
      <c r="I1022" s="156" t="s">
        <v>2094</v>
      </c>
      <c r="J1022">
        <v>40</v>
      </c>
      <c r="L1022">
        <v>585</v>
      </c>
      <c r="M1022" s="112">
        <f>=J1022*L1022</f>
        <v>23400</v>
      </c>
      <c r="N1022">
        <v>3</v>
      </c>
      <c r="O1022" s="189">
        <f>=ROUND(IF((TODAY()-A1022+1)*N1022*(L1022/10000)+L1022&lt;L1022*1.002,L1022*1.002,(TODAY()-A1022+1)*N1022*(L1022/10000)+L1022),2)</f>
        <v>597.46</v>
      </c>
      <c r="P1022">
        <v>40</v>
      </c>
      <c r="Q1022" s="71">
        <f>=J1022-P1022</f>
        <v>0</v>
      </c>
      <c r="R1022">
        <v>40</v>
      </c>
      <c r="S1022" s="112">
        <f>=P1022-R1022</f>
        <v>0</v>
      </c>
      <c r="T1022" s="71">
        <f>=S1022*L1022</f>
        <v>0</v>
      </c>
      <c r="U1022" s="190">
        <f>=J1022-P1022</f>
        <v>0</v>
      </c>
    </row>
    <row r="1023" spans="1:21" ht="15.75" customHeight="true">
      <c r="A1023" s="80">
        <v>46155</v>
      </c>
      <c r="B1023" s="71">
        <f>=TODAY()-A1023+1</f>
        <v>70</v>
      </c>
      <c r="C1023" s="98" t="s">
        <v>326</v>
      </c>
      <c r="D1023" s="71" t="s">
        <v>150</v>
      </c>
      <c r="E1023" s="263" t="s">
        <v>2095</v>
      </c>
      <c r="F1023" s="242" t="s">
        <v>894</v>
      </c>
      <c r="G1023" s="156" t="s">
        <v>895</v>
      </c>
      <c r="H1023" s="156" t="s">
        <v>422</v>
      </c>
      <c r="I1023" s="156" t="s">
        <v>935</v>
      </c>
      <c r="J1023">
        <v>2</v>
      </c>
      <c r="K1023" s="154" t="s"/>
      <c r="L1023" s="154">
        <v>2050</v>
      </c>
      <c r="M1023" s="112">
        <f>=J1023*L1023</f>
        <v>4100</v>
      </c>
      <c r="N1023" s="71">
        <v>2.5</v>
      </c>
      <c r="O1023" s="189">
        <f>=ROUND(IF((TODAY()-A1023+1)*N1023*(L1023/10000)+L1023&lt;L1023*1.002,L1023*1.002,(TODAY()-A1023+1)*N1023*(L1023/10000)+L1023),2)</f>
        <v>2086.39</v>
      </c>
      <c r="P1023">
        <v>2</v>
      </c>
      <c r="Q1023" s="71">
        <f>=J1023-P1023</f>
        <v>0</v>
      </c>
      <c r="R1023">
        <v>2</v>
      </c>
      <c r="S1023" s="197">
        <f>=P1023-R1023</f>
        <v>0</v>
      </c>
      <c r="T1023" s="71">
        <f>=S1023*L1023</f>
        <v>0</v>
      </c>
      <c r="U1023" s="190">
        <f>=J1023-P1023</f>
        <v>0</v>
      </c>
    </row>
    <row r="1024" spans="1:21">
      <c r="A1024" s="80">
        <v>46155</v>
      </c>
      <c r="B1024" s="71">
        <f>=TODAY()-A1024+1</f>
        <v>70</v>
      </c>
      <c r="C1024" s="98" t="s">
        <v>326</v>
      </c>
      <c r="D1024" s="71" t="s">
        <v>150</v>
      </c>
      <c r="E1024" s="263" t="s">
        <v>936</v>
      </c>
      <c r="F1024" s="242" t="s">
        <v>894</v>
      </c>
      <c r="G1024" s="156" t="s">
        <v>895</v>
      </c>
      <c r="H1024" s="156" t="s">
        <v>422</v>
      </c>
      <c r="I1024" s="156" t="s">
        <v>937</v>
      </c>
      <c r="J1024">
        <v>11</v>
      </c>
      <c r="L1024">
        <v>2300</v>
      </c>
      <c r="M1024" s="112">
        <f>=J1024*L1024</f>
        <v>25300</v>
      </c>
      <c r="N1024" s="71">
        <v>2.5</v>
      </c>
      <c r="O1024" s="189">
        <f>=ROUND(IF((TODAY()-A1024+1)*N1024*(L1024/10000)+L1024&lt;L1024*1.002,L1024*1.002,(TODAY()-A1024+1)*N1024*(L1024/10000)+L1024),2)</f>
        <v>2340.83</v>
      </c>
      <c r="P1024">
        <v>11</v>
      </c>
      <c r="Q1024" s="71">
        <f>=J1024-P1024</f>
        <v>0</v>
      </c>
      <c r="R1024">
        <v>11</v>
      </c>
      <c r="S1024" s="197">
        <f>=P1024-R1024</f>
        <v>0</v>
      </c>
      <c r="T1024" s="71">
        <f>=S1024*L1024</f>
        <v>0</v>
      </c>
      <c r="U1024" s="190">
        <f>=J1024-P1024</f>
        <v>0</v>
      </c>
    </row>
    <row r="1025" spans="1:21" ht="15.75" customHeight="true">
      <c r="A1025" s="80">
        <v>46155</v>
      </c>
      <c r="B1025" s="71">
        <f>=TODAY()-A1025+1</f>
        <v>70</v>
      </c>
      <c r="C1025" s="98" t="s">
        <v>326</v>
      </c>
      <c r="D1025" s="71" t="s">
        <v>150</v>
      </c>
      <c r="E1025" s="263" t="s">
        <v>2096</v>
      </c>
      <c r="F1025" s="242" t="s">
        <v>894</v>
      </c>
      <c r="G1025" s="156" t="s">
        <v>895</v>
      </c>
      <c r="H1025" s="156" t="s">
        <v>422</v>
      </c>
      <c r="I1025" s="156" t="s">
        <v>939</v>
      </c>
      <c r="J1025">
        <v>20</v>
      </c>
      <c r="L1025">
        <v>2300</v>
      </c>
      <c r="M1025" s="112">
        <f>=J1025*L1025</f>
        <v>46000</v>
      </c>
      <c r="N1025" s="71">
        <v>2.5</v>
      </c>
      <c r="O1025" s="189">
        <f>=ROUND(IF((TODAY()-A1025+1)*N1025*(L1025/10000)+L1025&lt;L1025*1.002,L1025*1.002,(TODAY()-A1025+1)*N1025*(L1025/10000)+L1025),2)</f>
        <v>2340.83</v>
      </c>
      <c r="P1025">
        <v>20</v>
      </c>
      <c r="Q1025" s="71">
        <f>=J1025-P1025</f>
        <v>0</v>
      </c>
      <c r="R1025">
        <v>20</v>
      </c>
      <c r="S1025" s="197">
        <f>=P1025-R1025</f>
        <v>0</v>
      </c>
      <c r="T1025" s="71">
        <f>=S1025*L1025</f>
        <v>0</v>
      </c>
      <c r="U1025" s="190">
        <f>=J1025-P1025</f>
        <v>0</v>
      </c>
    </row>
    <row r="1026" spans="1:21" ht="15.75" customHeight="true">
      <c r="A1026" s="80">
        <v>46155</v>
      </c>
      <c r="B1026" s="71">
        <f>=TODAY()-A1026+1</f>
        <v>70</v>
      </c>
      <c r="C1026" s="98" t="s">
        <v>326</v>
      </c>
      <c r="D1026" s="71" t="s">
        <v>150</v>
      </c>
      <c r="E1026" s="263" t="s">
        <v>2097</v>
      </c>
      <c r="F1026" s="242" t="s">
        <v>894</v>
      </c>
      <c r="G1026" s="156" t="s">
        <v>895</v>
      </c>
      <c r="H1026" s="156" t="s">
        <v>422</v>
      </c>
      <c r="I1026" s="156" t="s">
        <v>941</v>
      </c>
      <c r="J1026">
        <v>13</v>
      </c>
      <c r="K1026" s="154" t="s"/>
      <c r="L1026" s="154">
        <v>2050</v>
      </c>
      <c r="M1026" s="112">
        <f>=J1026*L1026</f>
        <v>26650</v>
      </c>
      <c r="N1026" s="71">
        <v>2.5</v>
      </c>
      <c r="O1026" s="189">
        <f>=ROUND(IF((TODAY()-A1026+1)*N1026*(L1026/10000)+L1026&lt;L1026*1.002,L1026*1.002,(TODAY()-A1026+1)*N1026*(L1026/10000)+L1026),2)</f>
        <v>2086.39</v>
      </c>
      <c r="P1026">
        <v>13</v>
      </c>
      <c r="Q1026" s="71">
        <f>=J1026-P1026</f>
        <v>0</v>
      </c>
      <c r="R1026">
        <v>13</v>
      </c>
      <c r="S1026" s="197">
        <f>=P1026-R1026</f>
        <v>0</v>
      </c>
      <c r="T1026" s="71">
        <f>=S1026*L1026</f>
        <v>0</v>
      </c>
      <c r="U1026" s="190">
        <f>=J1026-P1026</f>
        <v>0</v>
      </c>
    </row>
    <row r="1027" spans="1:21" ht="15.75" customHeight="true">
      <c r="A1027" s="80">
        <v>46155</v>
      </c>
      <c r="B1027" s="71">
        <f>=TODAY()-A1027+1</f>
        <v>70</v>
      </c>
      <c r="C1027" s="98" t="s">
        <v>326</v>
      </c>
      <c r="D1027" s="71" t="s">
        <v>150</v>
      </c>
      <c r="E1027" s="263" t="s">
        <v>2098</v>
      </c>
      <c r="F1027" s="242" t="s">
        <v>894</v>
      </c>
      <c r="G1027" s="156" t="s">
        <v>895</v>
      </c>
      <c r="H1027" s="156" t="s">
        <v>422</v>
      </c>
      <c r="I1027" s="156" t="s">
        <v>943</v>
      </c>
      <c r="J1027">
        <v>4</v>
      </c>
      <c r="K1027" s="154" t="s"/>
      <c r="L1027" s="154">
        <v>2300</v>
      </c>
      <c r="M1027" s="112">
        <f>=J1027*L1027</f>
        <v>9200</v>
      </c>
      <c r="N1027" s="71">
        <v>2.5</v>
      </c>
      <c r="O1027" s="189">
        <f>=ROUND(IF((TODAY()-A1027+1)*N1027*(L1027/10000)+L1027&lt;L1027*1.002,L1027*1.002,(TODAY()-A1027+1)*N1027*(L1027/10000)+L1027),2)</f>
        <v>2340.83</v>
      </c>
      <c r="P1027">
        <v>4</v>
      </c>
      <c r="Q1027" s="71">
        <f>=J1027-P1027</f>
        <v>0</v>
      </c>
      <c r="R1027">
        <v>4</v>
      </c>
      <c r="S1027" s="197">
        <f>=P1027-R1027</f>
        <v>0</v>
      </c>
      <c r="T1027" s="71">
        <f>=S1027*L1027</f>
        <v>0</v>
      </c>
      <c r="U1027" s="190">
        <f>=J1027-P1027</f>
        <v>0</v>
      </c>
    </row>
    <row r="1028" spans="1:21" ht="15.75" customHeight="true">
      <c r="A1028" s="80">
        <v>46155</v>
      </c>
      <c r="B1028" s="71">
        <f>=TODAY()-A1028+1</f>
        <v>70</v>
      </c>
      <c r="C1028" s="98" t="s">
        <v>326</v>
      </c>
      <c r="D1028" s="71" t="s">
        <v>150</v>
      </c>
      <c r="E1028" s="323" t="s">
        <v>2099</v>
      </c>
      <c r="F1028" s="242" t="s">
        <v>894</v>
      </c>
      <c r="G1028" s="156" t="s">
        <v>895</v>
      </c>
      <c r="H1028" s="156" t="s">
        <v>422</v>
      </c>
      <c r="I1028" s="156" t="s">
        <v>896</v>
      </c>
      <c r="J1028">
        <v>300</v>
      </c>
      <c r="K1028" s="154" t="s"/>
      <c r="L1028" s="154">
        <v>1050</v>
      </c>
      <c r="M1028" s="112">
        <f>=J1028*L1028</f>
        <v>315000</v>
      </c>
      <c r="N1028" s="71">
        <v>2.5</v>
      </c>
      <c r="O1028" s="189">
        <f>=ROUND(IF((TODAY()-A1028+1)*N1028*(L1028/10000)+L1028&lt;L1028*1.002,L1028*1.002,(TODAY()-A1028+1)*N1028*(L1028/10000)+L1028),2)</f>
        <v>1068.64</v>
      </c>
      <c r="P1028">
        <v>300</v>
      </c>
      <c r="Q1028" s="71">
        <f>=J1028-P1028</f>
        <v>0</v>
      </c>
      <c r="R1028">
        <v>300</v>
      </c>
      <c r="S1028" s="197">
        <f>=P1028-R1028</f>
        <v>0</v>
      </c>
      <c r="T1028" s="71">
        <f>=S1028*L1028</f>
        <v>0</v>
      </c>
      <c r="U1028" s="190">
        <f>=J1028-P1028</f>
        <v>0</v>
      </c>
    </row>
    <row r="1029" spans="1:21" s="270" customFormat="true" ht="15.75" customHeight="true">
      <c r="A1029" s="80">
        <v>46155</v>
      </c>
      <c r="B1029" s="71">
        <f>=TODAY()-A1029+1</f>
        <v>70</v>
      </c>
      <c r="C1029" s="80" t="s">
        <v>327</v>
      </c>
      <c r="D1029" s="64" t="s">
        <v>135</v>
      </c>
      <c r="E1029" s="155" t="s">
        <v>2100</v>
      </c>
      <c r="F1029" s="87" t="s">
        <v>856</v>
      </c>
      <c r="G1029" s="87" t="s">
        <v>428</v>
      </c>
      <c r="H1029" s="87" t="s">
        <v>422</v>
      </c>
      <c r="I1029" s="248" t="s">
        <v>1695</v>
      </c>
      <c r="J1029" s="339">
        <v>400</v>
      </c>
      <c r="K1029" s="339" t="s"/>
      <c r="L1029" s="339">
        <v>700</v>
      </c>
      <c r="M1029" s="197">
        <f>=J1029*L1029</f>
        <v>280000</v>
      </c>
      <c r="N1029" s="87">
        <v>2.5</v>
      </c>
      <c r="O1029" s="189">
        <f>=ROUND(IF((TODAY()-A1029+1)*N1029*(L1029/10000)+L1029&lt;L1029*1.002,L1029*1.002,(TODAY()-A1029+1)*N1029*(L1029/10000)+L1029),2)</f>
        <v>712.43</v>
      </c>
      <c r="P1029" s="339">
        <v>400</v>
      </c>
      <c r="Q1029" s="64">
        <f>=J1029-P1029</f>
        <v>0</v>
      </c>
      <c r="R1029" s="87">
        <v>400</v>
      </c>
      <c r="S1029" s="197">
        <f>=P1029-R1029</f>
        <v>0</v>
      </c>
      <c r="T1029" s="71">
        <f>=S1029*L1029</f>
        <v>0</v>
      </c>
      <c r="U1029" s="190">
        <f>=J1029-P1029</f>
        <v>0</v>
      </c>
    </row>
    <row r="1030" spans="1:21" ht="15.75" customHeight="true">
      <c r="A1030" s="80">
        <v>46155</v>
      </c>
      <c r="B1030" s="71">
        <f>=TODAY()-A1030+1</f>
        <v>70</v>
      </c>
      <c r="C1030" s="98" t="s">
        <v>327</v>
      </c>
      <c r="D1030" s="71" t="s">
        <v>135</v>
      </c>
      <c r="E1030" s="136" t="s">
        <v>2101</v>
      </c>
      <c r="F1030" t="s">
        <v>856</v>
      </c>
      <c r="G1030" t="s">
        <v>428</v>
      </c>
      <c r="H1030" t="s">
        <v>422</v>
      </c>
      <c r="I1030" s="248" t="s">
        <v>1246</v>
      </c>
      <c r="J1030" s="154">
        <v>200</v>
      </c>
      <c r="K1030" s="154" t="s"/>
      <c r="L1030" s="154">
        <v>700</v>
      </c>
      <c r="M1030" s="112">
        <f>=J1030*L1030</f>
        <v>140000</v>
      </c>
      <c r="N1030">
        <v>2.5</v>
      </c>
      <c r="O1030" s="198">
        <f>=ROUND(IF((TODAY()-A1030+1)*N1030*(L1030/10000)+L1030&lt;L1030*1.002,L1030*1.002,(TODAY()-A1030+1)*N1030*(L1030/10000)+L1030),2)</f>
        <v>712.43</v>
      </c>
      <c r="P1030" s="154">
        <v>200</v>
      </c>
      <c r="Q1030" s="71">
        <f>=J1030-P1030</f>
        <v>0</v>
      </c>
      <c r="R1030">
        <v>200</v>
      </c>
      <c r="S1030" s="112">
        <f>=P1030-R1030</f>
        <v>0</v>
      </c>
      <c r="T1030" s="71">
        <f>=S1030*L1030</f>
        <v>0</v>
      </c>
      <c r="U1030" s="190">
        <f>=J1030-P1030</f>
        <v>0</v>
      </c>
    </row>
    <row r="1031" spans="1:21" ht="15.75" customHeight="true">
      <c r="A1031" s="80">
        <v>46155</v>
      </c>
      <c r="B1031" s="71">
        <f>=TODAY()-A1031+1</f>
        <v>70</v>
      </c>
      <c r="C1031" s="98" t="s">
        <v>327</v>
      </c>
      <c r="D1031" s="71" t="s">
        <v>135</v>
      </c>
      <c r="E1031" s="136" t="s">
        <v>2102</v>
      </c>
      <c r="F1031" t="s">
        <v>856</v>
      </c>
      <c r="G1031" t="s">
        <v>428</v>
      </c>
      <c r="H1031" t="s">
        <v>422</v>
      </c>
      <c r="I1031" s="248" t="s">
        <v>1046</v>
      </c>
      <c r="J1031" s="154">
        <v>300</v>
      </c>
      <c r="K1031" s="154" t="s"/>
      <c r="L1031" s="154">
        <v>700</v>
      </c>
      <c r="M1031" s="112">
        <f>=J1031*L1031</f>
        <v>210000</v>
      </c>
      <c r="N1031">
        <v>2.5</v>
      </c>
      <c r="O1031" s="198">
        <f>=ROUND(IF((TODAY()-A1031+1)*N1031*(L1031/10000)+L1031&lt;L1031*1.002,L1031*1.002,(TODAY()-A1031+1)*N1031*(L1031/10000)+L1031),2)</f>
        <v>712.43</v>
      </c>
      <c r="P1031" s="154">
        <v>300</v>
      </c>
      <c r="Q1031" s="71">
        <f>=J1031-P1031</f>
        <v>0</v>
      </c>
      <c r="R1031">
        <v>300</v>
      </c>
      <c r="S1031" s="112">
        <f>=P1031-R1031</f>
        <v>0</v>
      </c>
      <c r="T1031" s="71">
        <f>=S1031*L1031</f>
        <v>0</v>
      </c>
      <c r="U1031" s="190">
        <f>=J1031-P1031</f>
        <v>0</v>
      </c>
    </row>
    <row r="1032" spans="1:21" ht="15.75" customHeight="true">
      <c r="A1032" s="80">
        <v>46156</v>
      </c>
      <c r="B1032" s="71">
        <f>=TODAY()-A1032+1</f>
        <v>69</v>
      </c>
      <c r="C1032" t="s">
        <v>331</v>
      </c>
      <c r="D1032" s="326" t="s">
        <v>2103</v>
      </c>
      <c r="G1032" t="s">
        <v>2104</v>
      </c>
      <c r="H1032" t="s">
        <v>2105</v>
      </c>
      <c r="I1032" t="s">
        <v>2106</v>
      </c>
      <c r="J1032" s="154">
        <v>1099</v>
      </c>
      <c r="K1032" s="154" t="s"/>
      <c r="L1032" s="154">
        <v>1546.66</v>
      </c>
      <c r="M1032" s="197">
        <f>=J1032*L1032</f>
        <v>1699779.34</v>
      </c>
      <c r="N1032">
        <v>3</v>
      </c>
      <c r="O1032" s="198">
        <f>=ROUND(IF((TODAY()-A1032+1)*N1032*(L1032/10000)+L1032&lt;L1032*1.002,L1032*1.002,(TODAY()-A1032+1)*N1032*(L1032/10000)+L1032),2)</f>
        <v>1579.14</v>
      </c>
      <c r="P1032" s="154">
        <v>1099</v>
      </c>
      <c r="Q1032" s="64">
        <f>=J1032-P1032</f>
        <v>0</v>
      </c>
      <c r="R1032" s="332">
        <v>1099</v>
      </c>
      <c r="S1032" s="197">
        <f>=P1032-R1032</f>
        <v>0</v>
      </c>
      <c r="T1032" s="71">
        <f>=S1032*L1032</f>
        <v>0</v>
      </c>
      <c r="U1032" s="190">
        <f>=J1032-P1032</f>
        <v>0</v>
      </c>
    </row>
    <row r="1033" spans="1:21" ht="15.75" customHeight="true">
      <c r="A1033" s="80">
        <v>46156</v>
      </c>
      <c r="B1033" s="71">
        <f>=TODAY()-A1033+1</f>
        <v>69</v>
      </c>
      <c r="C1033" t="s">
        <v>331</v>
      </c>
      <c r="D1033" s="326" t="s">
        <v>2103</v>
      </c>
      <c r="G1033" t="s">
        <v>2104</v>
      </c>
      <c r="H1033" t="s">
        <v>2105</v>
      </c>
      <c r="I1033" t="s">
        <v>2106</v>
      </c>
      <c r="J1033" s="154">
        <v>1</v>
      </c>
      <c r="K1033" s="154" t="s"/>
      <c r="L1033" s="339">
        <v>1556.92</v>
      </c>
      <c r="M1033" s="203">
        <f>=J1033*L1033</f>
        <v>1556.92</v>
      </c>
      <c r="N1033">
        <v>3</v>
      </c>
      <c r="O1033" s="198">
        <f>=ROUND(IF((TODAY()-A1033+1)*N1033*(L1033/10000)+L1033&lt;L1033*1.002,L1033*1.002,(TODAY()-A1033+1)*N1033*(L1033/10000)+L1033),2)</f>
        <v>1589.62</v>
      </c>
      <c r="P1033">
        <v>1</v>
      </c>
      <c r="Q1033" s="64">
        <f>=J1033-P1033</f>
        <v>0</v>
      </c>
      <c r="R1033">
        <v>1</v>
      </c>
      <c r="S1033" s="197">
        <f>=P1033-R1033</f>
        <v>0</v>
      </c>
      <c r="T1033" s="71">
        <f>=S1033*L1033</f>
        <v>0</v>
      </c>
      <c r="U1033" s="190">
        <f>=J1033-P1033</f>
        <v>0</v>
      </c>
    </row>
    <row r="1034" spans="1:21" ht="15.75" customHeight="true">
      <c r="A1034" s="80">
        <v>46157</v>
      </c>
      <c r="B1034" s="71">
        <f>=TODAY()-A1034+1</f>
        <v>68</v>
      </c>
      <c r="C1034" s="98" t="s">
        <v>334</v>
      </c>
      <c r="D1034" s="326" t="s">
        <v>333</v>
      </c>
      <c r="E1034" s="136" t="s">
        <v>2107</v>
      </c>
      <c r="F1034" s="352" t="s">
        <v>2108</v>
      </c>
      <c r="G1034" t="s">
        <v>804</v>
      </c>
      <c r="H1034" s="87" t="s">
        <v>429</v>
      </c>
      <c r="I1034" t="s">
        <v>2109</v>
      </c>
      <c r="J1034" s="339">
        <v>2</v>
      </c>
      <c r="K1034" s="154" t="s"/>
      <c r="L1034" s="154">
        <v>688</v>
      </c>
      <c r="M1034" s="197">
        <f>=J1034*L1034</f>
        <v>1376</v>
      </c>
      <c r="N1034">
        <v>2.8</v>
      </c>
      <c r="O1034" s="198">
        <f>=ROUND(IF((TODAY()-A1034+1)*N1034*(L1034/10000)+L1034&lt;L1034*1.002,L1034*1.002,(TODAY()-A1034+1)*N1034*(L1034/10000)+L1034),2)</f>
        <v>701.29</v>
      </c>
      <c r="P1034" s="154">
        <v>2</v>
      </c>
      <c r="Q1034" s="64">
        <f>=J1034-P1034</f>
        <v>0</v>
      </c>
      <c r="R1034" s="339">
        <v>2</v>
      </c>
      <c r="S1034" s="197">
        <f>=P1034-R1034</f>
        <v>0</v>
      </c>
      <c r="T1034" s="71">
        <f>=S1034*L1034</f>
        <v>0</v>
      </c>
      <c r="U1034" s="190">
        <f>=J1034-P1034</f>
        <v>0</v>
      </c>
    </row>
    <row r="1035" spans="1:21" ht="15.75" customHeight="true">
      <c r="A1035" s="80">
        <v>46157</v>
      </c>
      <c r="B1035" s="71">
        <f>=TODAY()-A1035+1</f>
        <v>68</v>
      </c>
      <c r="C1035" s="98" t="s">
        <v>334</v>
      </c>
      <c r="D1035" s="326" t="s">
        <v>333</v>
      </c>
      <c r="E1035" s="136" t="s">
        <v>2110</v>
      </c>
      <c r="F1035" s="323" t="s">
        <v>2108</v>
      </c>
      <c r="G1035" t="s">
        <v>804</v>
      </c>
      <c r="H1035" s="87" t="s">
        <v>429</v>
      </c>
      <c r="I1035" t="s">
        <v>2111</v>
      </c>
      <c r="J1035" s="339">
        <v>80</v>
      </c>
      <c r="K1035" s="154" t="s"/>
      <c r="L1035" s="154">
        <v>289</v>
      </c>
      <c r="M1035" s="197">
        <f>=J1035*L1035</f>
        <v>23120</v>
      </c>
      <c r="N1035">
        <v>2.8</v>
      </c>
      <c r="O1035" s="198">
        <f>=ROUND(IF((TODAY()-A1035+1)*N1035*(L1035/10000)+L1035&lt;L1035*1.002,L1035*1.002,(TODAY()-A1035+1)*N1035*(L1035/10000)+L1035),2)</f>
        <v>294.58</v>
      </c>
      <c r="P1035" s="154">
        <v>80</v>
      </c>
      <c r="Q1035" s="64">
        <f>=J1035-P1035</f>
        <v>0</v>
      </c>
      <c r="R1035" s="339">
        <v>80</v>
      </c>
      <c r="S1035" s="197">
        <f>=P1035-R1035</f>
        <v>0</v>
      </c>
      <c r="T1035" s="71">
        <f>=S1035*L1035</f>
        <v>0</v>
      </c>
      <c r="U1035" s="190">
        <f>=J1035-P1035</f>
        <v>0</v>
      </c>
    </row>
    <row r="1036" spans="1:21" ht="15.75" customHeight="true">
      <c r="A1036" s="80">
        <v>46157</v>
      </c>
      <c r="B1036" s="71">
        <f>=TODAY()-A1036+1</f>
        <v>68</v>
      </c>
      <c r="C1036" s="98" t="s">
        <v>334</v>
      </c>
      <c r="D1036" s="326" t="s">
        <v>333</v>
      </c>
      <c r="E1036" s="136" t="s">
        <v>2112</v>
      </c>
      <c r="F1036" s="323" t="s">
        <v>2108</v>
      </c>
      <c r="G1036" t="s">
        <v>804</v>
      </c>
      <c r="H1036" s="87" t="s">
        <v>429</v>
      </c>
      <c r="I1036" t="s">
        <v>2113</v>
      </c>
      <c r="J1036" s="339">
        <v>15</v>
      </c>
      <c r="K1036" s="154" t="s"/>
      <c r="L1036" s="154">
        <v>289</v>
      </c>
      <c r="M1036" s="197">
        <f>=J1036*L1036</f>
        <v>4335</v>
      </c>
      <c r="N1036">
        <v>2.8</v>
      </c>
      <c r="O1036" s="198">
        <f>=ROUND(IF((TODAY()-A1036+1)*N1036*(L1036/10000)+L1036&lt;L1036*1.002,L1036*1.002,(TODAY()-A1036+1)*N1036*(L1036/10000)+L1036),2)</f>
        <v>294.58</v>
      </c>
      <c r="P1036" s="154">
        <v>15</v>
      </c>
      <c r="Q1036" s="64">
        <f>=J1036-P1036</f>
        <v>0</v>
      </c>
      <c r="R1036" s="339">
        <v>15</v>
      </c>
      <c r="S1036" s="197">
        <f>=P1036-R1036</f>
        <v>0</v>
      </c>
      <c r="T1036" s="71">
        <f>=S1036*L1036</f>
        <v>0</v>
      </c>
      <c r="U1036" s="190">
        <f>=J1036-P1036</f>
        <v>0</v>
      </c>
    </row>
    <row r="1037" spans="1:21" ht="15.75" customHeight="true">
      <c r="A1037" s="80">
        <v>46157</v>
      </c>
      <c r="B1037" s="71">
        <f>=TODAY()-A1037+1</f>
        <v>68</v>
      </c>
      <c r="C1037" s="98" t="s">
        <v>334</v>
      </c>
      <c r="D1037" s="326" t="s">
        <v>333</v>
      </c>
      <c r="E1037" s="136" t="s">
        <v>2114</v>
      </c>
      <c r="F1037" s="323" t="s">
        <v>2108</v>
      </c>
      <c r="G1037" t="s">
        <v>804</v>
      </c>
      <c r="H1037" s="87" t="s">
        <v>429</v>
      </c>
      <c r="I1037" t="s">
        <v>2115</v>
      </c>
      <c r="J1037" s="339">
        <v>2</v>
      </c>
      <c r="K1037" s="154" t="s"/>
      <c r="L1037" s="154">
        <v>153</v>
      </c>
      <c r="M1037" s="197">
        <f>=J1037*L1037</f>
        <v>306</v>
      </c>
      <c r="N1037">
        <v>2.8</v>
      </c>
      <c r="O1037" s="198">
        <f>=ROUND(IF((TODAY()-A1037+1)*N1037*(L1037/10000)+L1037&lt;L1037*1.002,L1037*1.002,(TODAY()-A1037+1)*N1037*(L1037/10000)+L1037),2)</f>
        <v>155.96</v>
      </c>
      <c r="P1037" s="154">
        <v>2</v>
      </c>
      <c r="Q1037" s="64">
        <f>=J1037-P1037</f>
        <v>0</v>
      </c>
      <c r="R1037" s="339">
        <v>2</v>
      </c>
      <c r="S1037" s="197">
        <f>=P1037-R1037</f>
        <v>0</v>
      </c>
      <c r="T1037" s="71">
        <f>=S1037*L1037</f>
        <v>0</v>
      </c>
      <c r="U1037" s="190">
        <f>=J1037-P1037</f>
        <v>0</v>
      </c>
    </row>
    <row r="1038" spans="1:21" ht="15.75" customHeight="true">
      <c r="A1038" s="80">
        <v>46157</v>
      </c>
      <c r="B1038" s="71">
        <f>=TODAY()-A1038+1</f>
        <v>68</v>
      </c>
      <c r="C1038" s="98" t="s">
        <v>334</v>
      </c>
      <c r="D1038" s="326" t="s">
        <v>333</v>
      </c>
      <c r="E1038" s="136" t="s">
        <v>2116</v>
      </c>
      <c r="F1038" s="323" t="s">
        <v>2108</v>
      </c>
      <c r="G1038" t="s">
        <v>804</v>
      </c>
      <c r="H1038" s="140" t="s">
        <v>429</v>
      </c>
      <c r="I1038" s="324" t="s">
        <v>2117</v>
      </c>
      <c r="J1038" s="64">
        <v>4</v>
      </c>
      <c r="K1038" s="154" t="s"/>
      <c r="L1038" s="154">
        <v>535</v>
      </c>
      <c r="M1038" s="197">
        <f>=J1038*L1038</f>
        <v>2140</v>
      </c>
      <c r="N1038">
        <v>2.8</v>
      </c>
      <c r="O1038" s="189">
        <f>=ROUND(IF((TODAY()-A1038+1)*N1038*(L1038/10000)+L1038&lt;L1038*1.002,L1038*1.002,(TODAY()-A1038+1)*N1038*(L1038/10000)+L1038),2)</f>
        <v>545.34</v>
      </c>
      <c r="P1038" s="71">
        <v>4</v>
      </c>
      <c r="Q1038" s="64">
        <f>=J1038-P1038</f>
        <v>0</v>
      </c>
      <c r="R1038" s="64">
        <v>4</v>
      </c>
      <c r="S1038" s="197">
        <f>=P1038-R1038</f>
        <v>0</v>
      </c>
      <c r="T1038" s="71">
        <f>=S1038*L1038</f>
        <v>0</v>
      </c>
      <c r="U1038" s="190">
        <f>=J1038-P1038</f>
        <v>0</v>
      </c>
    </row>
    <row r="1039" spans="1:21" ht="15.75" customHeight="true">
      <c r="A1039" s="80">
        <v>46157</v>
      </c>
      <c r="B1039" s="71">
        <f>=TODAY()-A1039+1</f>
        <v>68</v>
      </c>
      <c r="C1039" s="98" t="s">
        <v>334</v>
      </c>
      <c r="D1039" s="326" t="s">
        <v>333</v>
      </c>
      <c r="E1039" s="136" t="s">
        <v>2118</v>
      </c>
      <c r="F1039" s="323" t="s">
        <v>2108</v>
      </c>
      <c r="G1039" t="s">
        <v>804</v>
      </c>
      <c r="H1039" s="87" t="s">
        <v>429</v>
      </c>
      <c r="I1039" s="112" t="s">
        <v>2119</v>
      </c>
      <c r="J1039" s="64">
        <v>1</v>
      </c>
      <c r="K1039" s="154" t="s"/>
      <c r="L1039" s="154">
        <v>582</v>
      </c>
      <c r="M1039" s="197">
        <f>=J1039*L1039</f>
        <v>582</v>
      </c>
      <c r="N1039">
        <v>2.8</v>
      </c>
      <c r="O1039" s="189">
        <f>=ROUND(IF((TODAY()-A1039+1)*N1039*(L1039/10000)+L1039&lt;L1039*1.002,L1039*1.002,(TODAY()-A1039+1)*N1039*(L1039/10000)+L1039),2)</f>
        <v>593.24</v>
      </c>
      <c r="P1039" s="71">
        <v>1</v>
      </c>
      <c r="Q1039" s="64">
        <f>=J1039-P1039</f>
        <v>0</v>
      </c>
      <c r="R1039" s="64">
        <v>1</v>
      </c>
      <c r="S1039" s="197">
        <f>=P1039-R1039</f>
        <v>0</v>
      </c>
      <c r="T1039" s="71">
        <f>=S1039*L1039</f>
        <v>0</v>
      </c>
      <c r="U1039" s="190">
        <f>=J1039-P1039</f>
        <v>0</v>
      </c>
    </row>
    <row r="1040" spans="1:21" ht="15.75" customHeight="true">
      <c r="A1040" s="80">
        <v>46157</v>
      </c>
      <c r="B1040" s="71">
        <f>=TODAY()-A1040+1</f>
        <v>68</v>
      </c>
      <c r="C1040" s="98" t="s">
        <v>334</v>
      </c>
      <c r="D1040" s="326" t="s">
        <v>333</v>
      </c>
      <c r="E1040" s="136" t="s">
        <v>2120</v>
      </c>
      <c r="F1040" s="323" t="s">
        <v>2108</v>
      </c>
      <c r="G1040" t="s">
        <v>804</v>
      </c>
      <c r="H1040" s="87" t="s">
        <v>429</v>
      </c>
      <c r="I1040" s="197" t="s">
        <v>2121</v>
      </c>
      <c r="J1040" s="64">
        <v>123</v>
      </c>
      <c r="K1040" s="154" t="s"/>
      <c r="L1040" s="154">
        <v>1233</v>
      </c>
      <c r="M1040" s="197">
        <f>=J1040*L1040</f>
        <v>151659</v>
      </c>
      <c r="N1040">
        <v>2.8</v>
      </c>
      <c r="O1040" s="189">
        <f>=ROUND(IF((TODAY()-A1040+1)*N1040*(L1040/10000)+L1040&lt;L1040*1.002,L1040*1.002,(TODAY()-A1040+1)*N1040*(L1040/10000)+L1040),2)</f>
        <v>1256.82</v>
      </c>
      <c r="P1040" s="71">
        <v>123</v>
      </c>
      <c r="Q1040" s="64">
        <f>=J1040-P1040</f>
        <v>0</v>
      </c>
      <c r="R1040" s="87">
        <v>123</v>
      </c>
      <c r="S1040" s="197">
        <f>=P1040-R1040</f>
        <v>0</v>
      </c>
      <c r="T1040" s="71">
        <f>=S1040*L1040</f>
        <v>0</v>
      </c>
      <c r="U1040" s="190">
        <f>=J1040-P1040</f>
        <v>0</v>
      </c>
    </row>
    <row r="1041" spans="1:21" ht="15.75" customHeight="true">
      <c r="A1041" s="80">
        <v>46157</v>
      </c>
      <c r="B1041" s="71">
        <f>=TODAY()-A1041+1</f>
        <v>68</v>
      </c>
      <c r="C1041" s="98" t="s">
        <v>334</v>
      </c>
      <c r="D1041" s="326" t="s">
        <v>333</v>
      </c>
      <c r="E1041" s="136" t="s">
        <v>2122</v>
      </c>
      <c r="F1041" s="323" t="s">
        <v>2108</v>
      </c>
      <c r="G1041" t="s">
        <v>804</v>
      </c>
      <c r="H1041" s="87" t="s">
        <v>429</v>
      </c>
      <c r="I1041" t="s">
        <v>2123</v>
      </c>
      <c r="J1041" s="339">
        <v>5</v>
      </c>
      <c r="K1041" s="154" t="s"/>
      <c r="L1041" s="154">
        <v>765</v>
      </c>
      <c r="M1041" s="197">
        <f>=J1041*L1041</f>
        <v>3825</v>
      </c>
      <c r="N1041">
        <v>2.8</v>
      </c>
      <c r="O1041" s="189">
        <f>=ROUND(IF((TODAY()-A1041+1)*N1041*(L1041/10000)+L1041&lt;L1041*1.002,L1041*1.002,(TODAY()-A1041+1)*N1041*(L1041/10000)+L1041),2)</f>
        <v>779.78</v>
      </c>
      <c r="P1041" s="154">
        <v>5</v>
      </c>
      <c r="Q1041" s="64">
        <f>=J1041-P1041</f>
        <v>0</v>
      </c>
      <c r="R1041" s="339">
        <v>5</v>
      </c>
      <c r="S1041" s="197">
        <f>=P1041-R1041</f>
        <v>0</v>
      </c>
      <c r="T1041" s="71">
        <f>=S1041*L1041</f>
        <v>0</v>
      </c>
      <c r="U1041" s="190">
        <f>=J1041-P1041</f>
        <v>0</v>
      </c>
    </row>
    <row r="1042" spans="1:21" ht="15.75" customHeight="true">
      <c r="A1042" s="80">
        <v>46157</v>
      </c>
      <c r="B1042" s="71">
        <f>=TODAY()-A1042+1</f>
        <v>68</v>
      </c>
      <c r="C1042" s="98" t="s">
        <v>334</v>
      </c>
      <c r="D1042" s="326" t="s">
        <v>333</v>
      </c>
      <c r="E1042" s="136" t="s">
        <v>2124</v>
      </c>
      <c r="F1042" s="323" t="s">
        <v>2108</v>
      </c>
      <c r="G1042" t="s">
        <v>804</v>
      </c>
      <c r="H1042" s="258" t="s">
        <v>429</v>
      </c>
      <c r="I1042" s="258" t="s">
        <v>2125</v>
      </c>
      <c r="J1042" s="339">
        <v>92</v>
      </c>
      <c r="K1042" s="339" t="s"/>
      <c r="L1042" s="339">
        <v>1163</v>
      </c>
      <c r="M1042" s="197">
        <f>=J1042*L1042</f>
        <v>106996</v>
      </c>
      <c r="N1042">
        <v>2.8</v>
      </c>
      <c r="O1042" s="189">
        <f>=ROUND(IF((TODAY()-A1042+1)*N1042*(L1042/10000)+L1042&lt;L1042*1.002,L1042*1.002,(TODAY()-A1042+1)*N1042*(L1042/10000)+L1042),2)</f>
        <v>1185.47</v>
      </c>
      <c r="P1042" s="339">
        <v>92</v>
      </c>
      <c r="Q1042" s="64">
        <f>=J1042-P1042</f>
        <v>0</v>
      </c>
      <c r="R1042" s="87">
        <v>92</v>
      </c>
      <c r="S1042" s="197">
        <f>=P1042-R1042</f>
        <v>0</v>
      </c>
      <c r="T1042" s="71">
        <f>=S1042*L1042</f>
        <v>0</v>
      </c>
      <c r="U1042" s="190">
        <f>=J1042-P1042</f>
        <v>0</v>
      </c>
    </row>
    <row r="1043" spans="1:21" ht="15.75" customHeight="true">
      <c r="A1043" s="80">
        <v>46157</v>
      </c>
      <c r="B1043" s="71">
        <f>=TODAY()-A1043+1</f>
        <v>68</v>
      </c>
      <c r="C1043" s="98" t="s">
        <v>334</v>
      </c>
      <c r="D1043" s="326" t="s">
        <v>333</v>
      </c>
      <c r="E1043" s="136" t="s">
        <v>2126</v>
      </c>
      <c r="F1043" s="323" t="s">
        <v>2108</v>
      </c>
      <c r="G1043" t="s">
        <v>804</v>
      </c>
      <c r="H1043" s="258" t="s">
        <v>429</v>
      </c>
      <c r="I1043" s="64" t="s">
        <v>2127</v>
      </c>
      <c r="J1043" s="331">
        <v>9</v>
      </c>
      <c r="K1043" s="339" t="s"/>
      <c r="L1043" s="339">
        <v>1108</v>
      </c>
      <c r="M1043" s="197">
        <f>=J1043*L1043</f>
        <v>9972</v>
      </c>
      <c r="N1043">
        <v>2.8</v>
      </c>
      <c r="O1043" s="189">
        <f>=ROUND(IF((TODAY()-A1043+1)*N1043*(L1043/10000)+L1043&lt;L1043*1.002,L1043*1.002,(TODAY()-A1043+1)*N1043*(L1043/10000)+L1043),2)</f>
        <v>1129.41</v>
      </c>
      <c r="P1043" s="331">
        <v>9</v>
      </c>
      <c r="Q1043" s="64">
        <f>=J1043-P1043</f>
        <v>0</v>
      </c>
      <c r="R1043" s="87">
        <v>9</v>
      </c>
      <c r="S1043" s="197">
        <f>=P1043-R1043</f>
        <v>0</v>
      </c>
      <c r="T1043" s="71">
        <f>=S1043*L1043</f>
        <v>0</v>
      </c>
      <c r="U1043" s="190">
        <f>=J1043-P1043</f>
        <v>0</v>
      </c>
    </row>
    <row r="1044" spans="1:21" ht="15.75" customHeight="true">
      <c r="A1044" s="80">
        <v>46157</v>
      </c>
      <c r="B1044" s="71">
        <f>=TODAY()-A1044+1</f>
        <v>68</v>
      </c>
      <c r="C1044" s="98" t="s">
        <v>334</v>
      </c>
      <c r="D1044" s="326" t="s">
        <v>333</v>
      </c>
      <c r="E1044" s="136" t="s">
        <v>2128</v>
      </c>
      <c r="F1044" s="323" t="s">
        <v>2108</v>
      </c>
      <c r="G1044" t="s">
        <v>804</v>
      </c>
      <c r="H1044" s="258" t="s">
        <v>429</v>
      </c>
      <c r="I1044" s="64" t="s">
        <v>2129</v>
      </c>
      <c r="J1044" s="331">
        <v>50</v>
      </c>
      <c r="K1044" s="339" t="s"/>
      <c r="L1044" s="339">
        <v>429</v>
      </c>
      <c r="M1044" s="197">
        <f>=J1044*L1044</f>
        <v>21450</v>
      </c>
      <c r="N1044">
        <v>2.8</v>
      </c>
      <c r="O1044" s="189">
        <f>=ROUND(IF((TODAY()-A1044+1)*N1044*(L1044/10000)+L1044&lt;L1044*1.002,L1044*1.002,(TODAY()-A1044+1)*N1044*(L1044/10000)+L1044),2)</f>
        <v>437.29</v>
      </c>
      <c r="P1044" s="331">
        <v>50</v>
      </c>
      <c r="Q1044" s="64">
        <f>=J1044-P1044</f>
        <v>0</v>
      </c>
      <c r="R1044" s="87">
        <v>50</v>
      </c>
      <c r="S1044" s="197">
        <f>=P1044-R1044</f>
        <v>0</v>
      </c>
      <c r="T1044" s="71">
        <f>=S1044*L1044</f>
        <v>0</v>
      </c>
      <c r="U1044" s="190">
        <f>=J1044-P1044</f>
        <v>0</v>
      </c>
    </row>
    <row r="1045" spans="1:21" s="270" customFormat="true" ht="15.75" customHeight="true">
      <c r="A1045" s="80">
        <v>46157</v>
      </c>
      <c r="B1045" s="71">
        <f>=TODAY()-A1045+1</f>
        <v>68</v>
      </c>
      <c r="C1045" s="80" t="s">
        <v>334</v>
      </c>
      <c r="D1045" s="334" t="s">
        <v>333</v>
      </c>
      <c r="E1045" s="155" t="s">
        <v>2130</v>
      </c>
      <c r="F1045" s="353" t="s">
        <v>2108</v>
      </c>
      <c r="G1045" s="87" t="s">
        <v>804</v>
      </c>
      <c r="H1045" s="258" t="s">
        <v>429</v>
      </c>
      <c r="I1045" s="64" t="s">
        <v>2131</v>
      </c>
      <c r="J1045" s="249">
        <v>56</v>
      </c>
      <c r="K1045" s="339" t="s"/>
      <c r="L1045" s="339">
        <v>1053</v>
      </c>
      <c r="M1045" s="197">
        <f>=J1045*L1045</f>
        <v>58968</v>
      </c>
      <c r="N1045" s="87">
        <v>2.8</v>
      </c>
      <c r="O1045" s="189">
        <f>=ROUND(IF((TODAY()-A1045+1)*N1045*(L1045/10000)+L1045&lt;L1045*1.002,L1045*1.002,(TODAY()-A1045+1)*N1045*(L1045/10000)+L1045),2)</f>
        <v>1073.34</v>
      </c>
      <c r="P1045" s="339">
        <v>56</v>
      </c>
      <c r="Q1045" s="64">
        <f>=J1045-P1045</f>
        <v>0</v>
      </c>
      <c r="R1045" s="87">
        <v>56</v>
      </c>
      <c r="S1045" s="197">
        <f>=P1045-R1045</f>
        <v>0</v>
      </c>
      <c r="T1045" s="71">
        <f>=S1045*L1045</f>
        <v>0</v>
      </c>
      <c r="U1045" s="190">
        <f>=J1045-P1045</f>
        <v>0</v>
      </c>
    </row>
    <row r="1046" spans="1:21" ht="15.75" customHeight="true">
      <c r="A1046" s="80">
        <v>46157</v>
      </c>
      <c r="B1046" s="71">
        <f>=TODAY()-A1046+1</f>
        <v>68</v>
      </c>
      <c r="C1046" s="98" t="s">
        <v>334</v>
      </c>
      <c r="D1046" s="326" t="s">
        <v>333</v>
      </c>
      <c r="E1046" s="136" t="s">
        <v>2132</v>
      </c>
      <c r="F1046" s="323" t="s">
        <v>2108</v>
      </c>
      <c r="G1046" t="s">
        <v>804</v>
      </c>
      <c r="H1046" s="258" t="s">
        <v>429</v>
      </c>
      <c r="I1046" s="354" t="s">
        <v>2133</v>
      </c>
      <c r="J1046" s="249">
        <v>26</v>
      </c>
      <c r="K1046" s="332" t="s"/>
      <c r="L1046" s="332">
        <v>588</v>
      </c>
      <c r="M1046" s="197">
        <f>=J1046*L1046</f>
        <v>15288</v>
      </c>
      <c r="N1046">
        <v>2.8</v>
      </c>
      <c r="O1046" s="189">
        <f>=ROUND(IF((TODAY()-A1046+1)*N1046*(L1046/10000)+L1046&lt;L1046*1.002,L1046*1.002,(TODAY()-A1046+1)*N1046*(L1046/10000)+L1046),2)</f>
        <v>599.36</v>
      </c>
      <c r="P1046" s="154">
        <v>26</v>
      </c>
      <c r="Q1046" s="64">
        <f>=J1046-P1046</f>
        <v>0</v>
      </c>
      <c r="R1046" s="339">
        <v>26</v>
      </c>
      <c r="S1046" s="197">
        <f>=P1046-R1046</f>
        <v>0</v>
      </c>
      <c r="T1046" s="71">
        <f>=S1046*L1046</f>
        <v>0</v>
      </c>
      <c r="U1046" s="190">
        <f>=J1046-P1046</f>
        <v>0</v>
      </c>
    </row>
    <row r="1047" spans="1:21" ht="15.75" customHeight="true">
      <c r="A1047" s="80">
        <v>46157</v>
      </c>
      <c r="B1047" s="71">
        <f>=TODAY()-A1047+1</f>
        <v>68</v>
      </c>
      <c r="C1047" s="98" t="s">
        <v>334</v>
      </c>
      <c r="D1047" s="326" t="s">
        <v>333</v>
      </c>
      <c r="E1047" s="136" t="s">
        <v>2134</v>
      </c>
      <c r="F1047" s="323" t="s">
        <v>2108</v>
      </c>
      <c r="G1047" t="s">
        <v>804</v>
      </c>
      <c r="H1047" s="258" t="s">
        <v>429</v>
      </c>
      <c r="I1047" s="285" t="s">
        <v>2135</v>
      </c>
      <c r="J1047" s="339">
        <v>84</v>
      </c>
      <c r="K1047" s="339" t="s"/>
      <c r="L1047" s="339">
        <v>494</v>
      </c>
      <c r="M1047" s="197">
        <f>=J1047*L1047</f>
        <v>41496</v>
      </c>
      <c r="N1047">
        <v>2.8</v>
      </c>
      <c r="O1047" s="189">
        <f>=ROUND(IF((TODAY()-A1047+1)*N1047*(L1047/10000)+L1047&lt;L1047*1.002,L1047*1.002,(TODAY()-A1047+1)*N1047*(L1047/10000)+L1047),2)</f>
        <v>503.54</v>
      </c>
      <c r="P1047" s="339">
        <v>84</v>
      </c>
      <c r="Q1047" s="64">
        <f>=J1047-P1047</f>
        <v>0</v>
      </c>
      <c r="R1047" s="339">
        <v>84</v>
      </c>
      <c r="S1047" s="197">
        <f>=P1047-R1047</f>
        <v>0</v>
      </c>
      <c r="T1047" s="71">
        <f>=S1047*L1047</f>
        <v>0</v>
      </c>
      <c r="U1047" s="190">
        <f>=J1047-P1047</f>
        <v>0</v>
      </c>
    </row>
    <row r="1048" spans="1:21" ht="15.75" customHeight="true">
      <c r="A1048" s="80">
        <v>46157</v>
      </c>
      <c r="B1048" s="71">
        <f>=TODAY()-A1048+1</f>
        <v>68</v>
      </c>
      <c r="C1048" s="98" t="s">
        <v>334</v>
      </c>
      <c r="D1048" s="326" t="s">
        <v>333</v>
      </c>
      <c r="E1048" s="136" t="s">
        <v>2136</v>
      </c>
      <c r="F1048" s="323" t="s">
        <v>2108</v>
      </c>
      <c r="G1048" t="s">
        <v>804</v>
      </c>
      <c r="H1048" s="258" t="s">
        <v>429</v>
      </c>
      <c r="I1048" s="308" t="s">
        <v>2137</v>
      </c>
      <c r="J1048" s="258">
        <v>15</v>
      </c>
      <c r="K1048" s="258" t="s"/>
      <c r="L1048" s="351">
        <v>469</v>
      </c>
      <c r="M1048" s="197">
        <f>=J1048*L1048</f>
        <v>7035</v>
      </c>
      <c r="N1048">
        <v>2.8</v>
      </c>
      <c r="O1048" s="189">
        <f>=ROUND(IF((TODAY()-A1048+1)*N1048*(L1048/10000)+L1048&lt;L1048*1.002,L1048*1.002,(TODAY()-A1048+1)*N1048*(L1048/10000)+L1048),2)</f>
        <v>478.06</v>
      </c>
      <c r="P1048" s="87">
        <v>15</v>
      </c>
      <c r="Q1048" s="64">
        <f>=J1048-P1048</f>
        <v>0</v>
      </c>
      <c r="R1048" s="87">
        <v>15</v>
      </c>
      <c r="S1048" s="197">
        <f>=P1048-R1048</f>
        <v>0</v>
      </c>
      <c r="T1048" s="71">
        <f>=S1048*L1048</f>
        <v>0</v>
      </c>
      <c r="U1048" s="190">
        <f>=J1048-P1048</f>
        <v>0</v>
      </c>
    </row>
    <row r="1049" spans="1:21" ht="15.75" customHeight="true">
      <c r="A1049" s="80">
        <v>46157</v>
      </c>
      <c r="B1049" s="71">
        <f>=TODAY()-A1049+1</f>
        <v>68</v>
      </c>
      <c r="C1049" s="98" t="s">
        <v>334</v>
      </c>
      <c r="D1049" s="326" t="s">
        <v>333</v>
      </c>
      <c r="E1049" s="136" t="s">
        <v>2138</v>
      </c>
      <c r="F1049" s="323" t="s">
        <v>2108</v>
      </c>
      <c r="G1049" t="s">
        <v>804</v>
      </c>
      <c r="H1049" s="258" t="s">
        <v>429</v>
      </c>
      <c r="I1049" s="248" t="s">
        <v>2139</v>
      </c>
      <c r="J1049" s="258">
        <v>200</v>
      </c>
      <c r="K1049" s="258" t="s"/>
      <c r="L1049" s="258">
        <v>315</v>
      </c>
      <c r="M1049" s="197">
        <f>=J1049*L1049</f>
        <v>63000</v>
      </c>
      <c r="N1049">
        <v>2.8</v>
      </c>
      <c r="O1049" s="189">
        <f>=ROUND(IF((TODAY()-A1049+1)*N1049*(L1049/10000)+L1049&lt;L1049*1.002,L1049*1.002,(TODAY()-A1049+1)*N1049*(L1049/10000)+L1049),2)</f>
        <v>321.09</v>
      </c>
      <c r="P1049" s="87">
        <v>200</v>
      </c>
      <c r="Q1049" s="64">
        <f>=J1049-P1049</f>
        <v>0</v>
      </c>
      <c r="R1049" s="87">
        <v>200</v>
      </c>
      <c r="S1049" s="197">
        <f>=P1049-R1049</f>
        <v>0</v>
      </c>
      <c r="T1049" s="71">
        <f>=S1049*L1049</f>
        <v>0</v>
      </c>
      <c r="U1049" s="190">
        <f>=J1049-P1049</f>
        <v>0</v>
      </c>
    </row>
    <row r="1050" spans="1:21" ht="15.75" customHeight="true">
      <c r="A1050" s="80">
        <v>46157</v>
      </c>
      <c r="B1050" s="71">
        <f>=TODAY()-A1050+1</f>
        <v>68</v>
      </c>
      <c r="C1050" s="98" t="s">
        <v>334</v>
      </c>
      <c r="D1050" s="326" t="s">
        <v>333</v>
      </c>
      <c r="E1050" s="136" t="s">
        <v>2140</v>
      </c>
      <c r="F1050" s="323" t="s">
        <v>2108</v>
      </c>
      <c r="G1050" t="s">
        <v>804</v>
      </c>
      <c r="H1050" s="258" t="s">
        <v>429</v>
      </c>
      <c r="I1050" s="308" t="s">
        <v>2141</v>
      </c>
      <c r="J1050" s="258">
        <v>180</v>
      </c>
      <c r="K1050" s="258" t="s"/>
      <c r="L1050" s="258">
        <v>370</v>
      </c>
      <c r="M1050" s="197">
        <f>=J1050*L1050</f>
        <v>66600</v>
      </c>
      <c r="N1050">
        <v>2.8</v>
      </c>
      <c r="O1050" s="189">
        <f>=ROUND(IF((TODAY()-A1050+1)*N1050*(L1050/10000)+L1050&lt;L1050*1.002,L1050*1.002,(TODAY()-A1050+1)*N1050*(L1050/10000)+L1050),2)</f>
        <v>377.15</v>
      </c>
      <c r="P1050" s="87">
        <v>180</v>
      </c>
      <c r="Q1050" s="64">
        <v>0</v>
      </c>
      <c r="R1050" s="87">
        <v>180</v>
      </c>
      <c r="S1050" s="197">
        <f>=P1050-R1050</f>
        <v>0</v>
      </c>
      <c r="T1050" s="71">
        <f>=S1050*L1050</f>
        <v>0</v>
      </c>
      <c r="U1050" s="190">
        <f>=J1050-P1050</f>
        <v>0</v>
      </c>
    </row>
    <row r="1051" spans="1:21" ht="15.75" customHeight="true">
      <c r="A1051" s="80">
        <v>46159</v>
      </c>
      <c r="B1051" s="71">
        <f>=TODAY()-A1051+1</f>
        <v>66</v>
      </c>
      <c r="C1051" s="98" t="s">
        <v>336</v>
      </c>
      <c r="D1051" s="326" t="s">
        <v>335</v>
      </c>
      <c r="E1051" s="136" t="s">
        <v>2142</v>
      </c>
      <c r="F1051" s="355" t="s">
        <v>2143</v>
      </c>
      <c r="G1051" s="108" t="s">
        <v>503</v>
      </c>
      <c r="H1051" s="83" t="s">
        <v>422</v>
      </c>
      <c r="I1051" s="356" t="s">
        <v>2144</v>
      </c>
      <c r="J1051" s="351">
        <v>50</v>
      </c>
      <c r="K1051" s="351" t="s"/>
      <c r="L1051" s="332">
        <v>1295</v>
      </c>
      <c r="M1051" s="197">
        <f>=J1051*L1051</f>
        <v>64750</v>
      </c>
      <c r="N1051">
        <v>2.5</v>
      </c>
      <c r="O1051" s="189">
        <f>=ROUND(IF((TODAY()-A1051+1)*N1051*(L1051/10000)+L1051&lt;L1051*1.002,L1051*1.002,(TODAY()-A1051+1)*N1051*(L1051/10000)+L1051),2)</f>
        <v>1316.69</v>
      </c>
      <c r="P1051" s="154">
        <v>50</v>
      </c>
      <c r="Q1051" s="64">
        <f>=J1051-P1051</f>
        <v>0</v>
      </c>
      <c r="R1051" s="87">
        <v>50</v>
      </c>
      <c r="S1051" s="197">
        <f>=P1051-R1051</f>
        <v>0</v>
      </c>
      <c r="T1051" s="71">
        <f>=S1051*L1051</f>
        <v>0</v>
      </c>
      <c r="U1051" s="190">
        <f>=J1051-P1051</f>
        <v>0</v>
      </c>
    </row>
    <row r="1052" spans="1:21" ht="15.75" customHeight="true">
      <c r="A1052" s="80">
        <v>46159</v>
      </c>
      <c r="B1052" s="71">
        <f>=TODAY()-A1052+1</f>
        <v>66</v>
      </c>
      <c r="C1052" s="98" t="s">
        <v>336</v>
      </c>
      <c r="D1052" s="326" t="s">
        <v>335</v>
      </c>
      <c r="E1052" s="136" t="s">
        <v>2145</v>
      </c>
      <c r="F1052" s="323" t="s">
        <v>2143</v>
      </c>
      <c r="G1052" s="108" t="s">
        <v>503</v>
      </c>
      <c r="H1052" s="83" t="s">
        <v>422</v>
      </c>
      <c r="I1052" s="356" t="s">
        <v>1594</v>
      </c>
      <c r="J1052" s="258">
        <v>50</v>
      </c>
      <c r="K1052" s="258" t="s"/>
      <c r="L1052" s="339">
        <v>1540</v>
      </c>
      <c r="M1052" s="197">
        <f>=J1052*L1052</f>
        <v>77000</v>
      </c>
      <c r="N1052">
        <v>2.5</v>
      </c>
      <c r="O1052" s="189">
        <f>=ROUND(IF((TODAY()-A1052+1)*N1052*(L1052/10000)+L1052&lt;L1052*1.002,L1052*1.002,(TODAY()-A1052+1)*N1052*(L1052/10000)+L1052),2)</f>
        <v>1565.8</v>
      </c>
      <c r="P1052" s="87">
        <v>50</v>
      </c>
      <c r="Q1052" s="64">
        <v>0</v>
      </c>
      <c r="R1052" s="87">
        <v>20</v>
      </c>
      <c r="S1052" s="197">
        <f>=P1052-R1052</f>
        <v>30</v>
      </c>
      <c r="T1052" s="71">
        <f>=S1052*L1052</f>
        <v>46200</v>
      </c>
      <c r="U1052" s="190">
        <f>=J1052-P1052</f>
        <v>0</v>
      </c>
    </row>
    <row r="1053" spans="1:21" ht="15.75" customHeight="true">
      <c r="A1053" s="80">
        <v>46159</v>
      </c>
      <c r="B1053" s="71">
        <f>=TODAY()-A1053+1</f>
        <v>66</v>
      </c>
      <c r="C1053" s="98" t="s">
        <v>336</v>
      </c>
      <c r="D1053" s="326" t="s">
        <v>335</v>
      </c>
      <c r="E1053" s="136" t="s">
        <v>2146</v>
      </c>
      <c r="F1053" s="323" t="s">
        <v>2143</v>
      </c>
      <c r="G1053" s="108" t="s">
        <v>503</v>
      </c>
      <c r="H1053" s="83" t="s">
        <v>422</v>
      </c>
      <c r="I1053" s="64" t="s">
        <v>1592</v>
      </c>
      <c r="J1053" s="258">
        <v>80</v>
      </c>
      <c r="K1053" s="258" t="s"/>
      <c r="L1053" s="258">
        <v>1540</v>
      </c>
      <c r="M1053" s="197">
        <f>=J1053*L1053</f>
        <v>123200</v>
      </c>
      <c r="N1053">
        <v>2.5</v>
      </c>
      <c r="O1053" s="189">
        <f>=ROUND(IF((TODAY()-A1053+1)*N1053*(L1053/10000)+L1053&lt;L1053*1.002,L1053*1.002,(TODAY()-A1053+1)*N1053*(L1053/10000)+L1053),2)</f>
        <v>1565.8</v>
      </c>
      <c r="P1053" s="87">
        <v>80</v>
      </c>
      <c r="Q1053" s="64">
        <f>=J1053-P1053</f>
        <v>0</v>
      </c>
      <c r="R1053" s="87">
        <v>70</v>
      </c>
      <c r="S1053" s="197">
        <f>=P1053-R1053</f>
        <v>10</v>
      </c>
      <c r="T1053" s="71">
        <f>=S1053*L1053</f>
        <v>15400</v>
      </c>
      <c r="U1053" s="190">
        <f>=J1053-P1053</f>
        <v>0</v>
      </c>
    </row>
    <row r="1054" spans="1:21" ht="15.75" customHeight="true">
      <c r="A1054" s="80">
        <v>46159</v>
      </c>
      <c r="B1054" s="71">
        <f>=TODAY()-A1054+1</f>
        <v>66</v>
      </c>
      <c r="C1054" s="98" t="s">
        <v>336</v>
      </c>
      <c r="D1054" s="326" t="s">
        <v>335</v>
      </c>
      <c r="E1054" s="136" t="s">
        <v>2147</v>
      </c>
      <c r="F1054" s="323" t="s">
        <v>2143</v>
      </c>
      <c r="G1054" s="108" t="s">
        <v>503</v>
      </c>
      <c r="H1054" s="83" t="s">
        <v>422</v>
      </c>
      <c r="I1054" s="64" t="s">
        <v>1099</v>
      </c>
      <c r="J1054" s="258">
        <v>60</v>
      </c>
      <c r="K1054" s="258" t="s"/>
      <c r="L1054" s="258">
        <v>3010</v>
      </c>
      <c r="M1054" s="197">
        <f>=J1054*L1054</f>
        <v>180600</v>
      </c>
      <c r="N1054">
        <v>2.5</v>
      </c>
      <c r="O1054" s="189">
        <f>=ROUND(IF((TODAY()-A1054+1)*N1054*(L1054/10000)+L1054&lt;L1054*1.002,L1054*1.002,(TODAY()-A1054+1)*N1054*(L1054/10000)+L1054),2)</f>
        <v>3060.42</v>
      </c>
      <c r="P1054" s="87">
        <v>60</v>
      </c>
      <c r="Q1054" s="64">
        <v>0</v>
      </c>
      <c r="R1054" s="87">
        <v>14</v>
      </c>
      <c r="S1054" s="197">
        <f>=P1054-R1054</f>
        <v>46</v>
      </c>
      <c r="T1054" s="71">
        <f>=S1054*L1054</f>
        <v>138460</v>
      </c>
      <c r="U1054" s="190">
        <f>=J1054-P1054</f>
        <v>0</v>
      </c>
    </row>
    <row r="1055" spans="1:21" ht="15.75" customHeight="true">
      <c r="A1055" s="80">
        <v>46160</v>
      </c>
      <c r="B1055" s="71">
        <f>=TODAY()-A1055+1</f>
        <v>65</v>
      </c>
      <c r="C1055" s="98" t="s">
        <v>337</v>
      </c>
      <c r="D1055" s="326" t="s">
        <v>335</v>
      </c>
      <c r="E1055" s="136" t="s">
        <v>2148</v>
      </c>
      <c r="F1055" s="323" t="s">
        <v>2143</v>
      </c>
      <c r="G1055" s="108" t="s">
        <v>503</v>
      </c>
      <c r="H1055" s="83" t="s">
        <v>422</v>
      </c>
      <c r="I1055" s="64" t="s">
        <v>1105</v>
      </c>
      <c r="J1055" s="258">
        <v>115</v>
      </c>
      <c r="K1055" s="258" t="s"/>
      <c r="L1055" s="258">
        <v>3010</v>
      </c>
      <c r="M1055" s="197">
        <f>=J1055*L1055</f>
        <v>346150</v>
      </c>
      <c r="N1055">
        <v>2.5</v>
      </c>
      <c r="O1055" s="189">
        <f>=ROUND(IF((TODAY()-A1055+1)*N1055*(L1055/10000)+L1055&lt;L1055*1.002,L1055*1.002,(TODAY()-A1055+1)*N1055*(L1055/10000)+L1055),2)</f>
        <v>3059.67</v>
      </c>
      <c r="P1055" s="87">
        <v>115</v>
      </c>
      <c r="Q1055" s="64">
        <f>=J1055-P1055</f>
        <v>0</v>
      </c>
      <c r="R1055" s="87">
        <v>14</v>
      </c>
      <c r="S1055" s="197">
        <f>=P1055-R1055</f>
        <v>101</v>
      </c>
      <c r="T1055" s="71">
        <f>=S1055*L1055</f>
        <v>304010</v>
      </c>
      <c r="U1055" s="190">
        <f>=J1055-P1055</f>
        <v>0</v>
      </c>
    </row>
    <row r="1056" spans="1:21" ht="15.75" customHeight="true">
      <c r="A1056" s="80">
        <v>46160</v>
      </c>
      <c r="B1056" s="71">
        <f>=TODAY()-A1056+1</f>
        <v>65</v>
      </c>
      <c r="C1056" s="98" t="s">
        <v>337</v>
      </c>
      <c r="D1056" s="326" t="s">
        <v>335</v>
      </c>
      <c r="E1056" s="136" t="s">
        <v>2149</v>
      </c>
      <c r="F1056" s="323" t="s">
        <v>2143</v>
      </c>
      <c r="G1056" s="108" t="s">
        <v>503</v>
      </c>
      <c r="H1056" s="83" t="s">
        <v>422</v>
      </c>
      <c r="I1056" s="64" t="s">
        <v>1103</v>
      </c>
      <c r="J1056" s="258">
        <v>75</v>
      </c>
      <c r="K1056" s="258" t="s"/>
      <c r="L1056" s="258">
        <v>3010</v>
      </c>
      <c r="M1056" s="197">
        <f>=J1056*L1056</f>
        <v>225750</v>
      </c>
      <c r="N1056">
        <v>2.5</v>
      </c>
      <c r="O1056" s="189">
        <f>=ROUND(IF((TODAY()-A1056+1)*N1056*(L1056/10000)+L1056&lt;L1056*1.002,L1056*1.002,(TODAY()-A1056+1)*N1056*(L1056/10000)+L1056),2)</f>
        <v>3059.67</v>
      </c>
      <c r="P1056" s="87">
        <v>75</v>
      </c>
      <c r="Q1056" s="64">
        <v>0</v>
      </c>
      <c r="R1056" s="87">
        <v>3</v>
      </c>
      <c r="S1056" s="197">
        <f>=P1056-R1056</f>
        <v>72</v>
      </c>
      <c r="T1056" s="71">
        <f>=S1056*L1056</f>
        <v>216720</v>
      </c>
      <c r="U1056" s="190">
        <f>=J1056-P1056</f>
        <v>0</v>
      </c>
    </row>
    <row r="1057" spans="1:21" ht="15.75" customHeight="true">
      <c r="A1057" s="80">
        <v>46160</v>
      </c>
      <c r="B1057" s="71">
        <f>=TODAY()-A1057+1</f>
        <v>65</v>
      </c>
      <c r="C1057" s="80" t="s">
        <v>338</v>
      </c>
      <c r="D1057" s="71" t="s">
        <v>142</v>
      </c>
      <c r="E1057" s="136" t="s">
        <v>2150</v>
      </c>
      <c r="F1057" s="355" t="s">
        <v>875</v>
      </c>
      <c r="G1057" s="108" t="s">
        <v>503</v>
      </c>
      <c r="H1057" s="217" t="s">
        <v>422</v>
      </c>
      <c r="I1057" s="112" t="s">
        <v>876</v>
      </c>
      <c r="J1057" s="93">
        <v>10</v>
      </c>
      <c r="K1057" s="258" t="s"/>
      <c r="L1057" s="258">
        <v>1900</v>
      </c>
      <c r="M1057" s="112">
        <f>=J1057*L1057</f>
        <v>19000</v>
      </c>
      <c r="N1057" s="71">
        <v>2.5</v>
      </c>
      <c r="O1057" s="189">
        <f>=ROUND(IF((TODAY()-A1057+1)*N1057*(L1057/10000)+L1057&lt;L1057*1.002,L1057*1.002,(TODAY()-A1057+1)*N1057*(L1057/10000)+L1057),2)</f>
        <v>1931.35</v>
      </c>
      <c r="P1057" s="71">
        <v>10</v>
      </c>
      <c r="Q1057" s="71">
        <f>=J1057-P1057</f>
        <v>0</v>
      </c>
      <c r="R1057" s="71">
        <v>10</v>
      </c>
      <c r="S1057" s="112">
        <f>=P1057-R1057</f>
        <v>0</v>
      </c>
      <c r="T1057" s="71">
        <f>=S1057*L1057</f>
        <v>0</v>
      </c>
      <c r="U1057" s="190">
        <f>=J1057-P1057</f>
        <v>0</v>
      </c>
    </row>
    <row r="1058" spans="1:21" ht="15.75" customHeight="true">
      <c r="A1058" s="80">
        <v>46160</v>
      </c>
      <c r="B1058" s="71">
        <f>=TODAY()-A1058+1</f>
        <v>65</v>
      </c>
      <c r="C1058" s="80" t="s">
        <v>338</v>
      </c>
      <c r="D1058" s="71" t="s">
        <v>142</v>
      </c>
      <c r="E1058" s="136" t="s">
        <v>2151</v>
      </c>
      <c r="F1058" s="352" t="s">
        <v>875</v>
      </c>
      <c r="G1058" s="108" t="s">
        <v>503</v>
      </c>
      <c r="H1058" s="217" t="s">
        <v>422</v>
      </c>
      <c r="I1058" s="112" t="s">
        <v>878</v>
      </c>
      <c r="J1058" s="93">
        <v>30</v>
      </c>
      <c r="K1058" s="258" t="s"/>
      <c r="L1058" s="258">
        <v>1900</v>
      </c>
      <c r="M1058" s="112">
        <f>=J1058*L1058</f>
        <v>57000</v>
      </c>
      <c r="N1058" s="71">
        <v>2.5</v>
      </c>
      <c r="O1058" s="189">
        <f>=ROUND(IF((TODAY()-A1058+1)*N1058*(L1058/10000)+L1058&lt;L1058*1.002,L1058*1.002,(TODAY()-A1058+1)*N1058*(L1058/10000)+L1058),2)</f>
        <v>1931.35</v>
      </c>
      <c r="P1058" s="71">
        <v>30</v>
      </c>
      <c r="Q1058" s="71">
        <f>=J1058-P1058</f>
        <v>0</v>
      </c>
      <c r="R1058" s="71">
        <v>30</v>
      </c>
      <c r="S1058" s="112">
        <f>=P1058-R1058</f>
        <v>0</v>
      </c>
      <c r="T1058" s="71">
        <f>=S1058*L1058</f>
        <v>0</v>
      </c>
      <c r="U1058" s="190">
        <f>=J1058-P1058</f>
        <v>0</v>
      </c>
    </row>
    <row r="1059" spans="1:21" ht="15.75" customHeight="true">
      <c r="A1059" s="80">
        <v>46160</v>
      </c>
      <c r="B1059" s="71">
        <f>=TODAY()-A1059+1</f>
        <v>65</v>
      </c>
      <c r="C1059" s="80" t="s">
        <v>338</v>
      </c>
      <c r="D1059" s="71" t="s">
        <v>142</v>
      </c>
      <c r="E1059" s="136" t="s">
        <v>2152</v>
      </c>
      <c r="F1059" s="323" t="s">
        <v>875</v>
      </c>
      <c r="G1059" s="108" t="s">
        <v>503</v>
      </c>
      <c r="H1059" s="217" t="s">
        <v>422</v>
      </c>
      <c r="I1059" s="112" t="s">
        <v>880</v>
      </c>
      <c r="J1059" s="93">
        <v>30</v>
      </c>
      <c r="K1059" s="258" t="s"/>
      <c r="L1059" s="258">
        <v>1900</v>
      </c>
      <c r="M1059" s="112">
        <f>=J1059*L1059</f>
        <v>57000</v>
      </c>
      <c r="N1059" s="71">
        <v>2.5</v>
      </c>
      <c r="O1059" s="189">
        <f>=ROUND(IF((TODAY()-A1059+1)*N1059*(L1059/10000)+L1059&lt;L1059*1.002,L1059*1.002,(TODAY()-A1059+1)*N1059*(L1059/10000)+L1059),2)</f>
        <v>1931.35</v>
      </c>
      <c r="P1059" s="71">
        <v>30</v>
      </c>
      <c r="Q1059" s="71">
        <f>=J1059-P1059</f>
        <v>0</v>
      </c>
      <c r="R1059" s="71">
        <v>30</v>
      </c>
      <c r="S1059" s="112">
        <f>=P1059-R1059</f>
        <v>0</v>
      </c>
      <c r="T1059" s="71">
        <f>=S1059*L1059</f>
        <v>0</v>
      </c>
      <c r="U1059" s="190">
        <f>=J1059-P1059</f>
        <v>0</v>
      </c>
    </row>
    <row r="1060" spans="1:21" ht="15.75" customHeight="true">
      <c r="A1060" s="80">
        <v>46160</v>
      </c>
      <c r="B1060" s="71">
        <f>=TODAY()-A1060+1</f>
        <v>65</v>
      </c>
      <c r="C1060" s="80" t="s">
        <v>338</v>
      </c>
      <c r="D1060" s="71" t="s">
        <v>142</v>
      </c>
      <c r="E1060" s="136" t="s">
        <v>2153</v>
      </c>
      <c r="F1060" s="323" t="s">
        <v>875</v>
      </c>
      <c r="G1060" s="108" t="s">
        <v>503</v>
      </c>
      <c r="H1060" s="217" t="s">
        <v>422</v>
      </c>
      <c r="I1060" s="112" t="s">
        <v>882</v>
      </c>
      <c r="J1060" s="93">
        <v>30</v>
      </c>
      <c r="K1060" s="258" t="s"/>
      <c r="L1060" s="258">
        <v>1900</v>
      </c>
      <c r="M1060" s="112">
        <f>=J1060*L1060</f>
        <v>57000</v>
      </c>
      <c r="N1060" s="71">
        <v>2.5</v>
      </c>
      <c r="O1060" s="189">
        <f>=ROUND(IF((TODAY()-A1060+1)*N1060*(L1060/10000)+L1060&lt;L1060*1.002,L1060*1.002,(TODAY()-A1060+1)*N1060*(L1060/10000)+L1060),2)</f>
        <v>1931.35</v>
      </c>
      <c r="P1060" s="71">
        <v>30</v>
      </c>
      <c r="Q1060" s="71">
        <f>=J1060-P1060</f>
        <v>0</v>
      </c>
      <c r="R1060" s="71">
        <v>30</v>
      </c>
      <c r="S1060" s="112">
        <f>=P1060-R1060</f>
        <v>0</v>
      </c>
      <c r="T1060" s="71">
        <f>=S1060*L1060</f>
        <v>0</v>
      </c>
      <c r="U1060" s="190">
        <f>=J1060-P1060</f>
        <v>0</v>
      </c>
    </row>
    <row r="1061" spans="1:21" ht="15.75" customHeight="true">
      <c r="A1061" s="80">
        <v>46161</v>
      </c>
      <c r="B1061" s="71">
        <f>=TODAY()-A1061+1</f>
        <v>64</v>
      </c>
      <c r="C1061" t="s">
        <v>340</v>
      </c>
      <c r="D1061" s="71" t="s">
        <v>339</v>
      </c>
      <c r="E1061" s="136" t="s">
        <v>2154</v>
      </c>
      <c r="F1061" s="352" t="s">
        <v>2155</v>
      </c>
      <c r="G1061" s="71" t="s">
        <v>428</v>
      </c>
      <c r="H1061" s="93" t="s">
        <v>422</v>
      </c>
      <c r="I1061" s="354" t="s">
        <v>831</v>
      </c>
      <c r="J1061" s="357">
        <v>800</v>
      </c>
      <c r="K1061" s="258" t="s"/>
      <c r="L1061">
        <v>730</v>
      </c>
      <c r="M1061" s="112">
        <f>=J1061*L1061</f>
        <v>584000</v>
      </c>
      <c r="N1061" s="71">
        <v>2.6</v>
      </c>
      <c r="O1061" s="189">
        <f>=ROUND(IF((TODAY()-A1061+1)*N1061*(L1061/10000)+L1061&lt;L1061*1.002,L1061*1.002,(TODAY()-A1061+1)*N1061*(L1061/10000)+L1061),2)</f>
        <v>742.34</v>
      </c>
      <c r="P1061" s="339">
        <v>800</v>
      </c>
      <c r="Q1061" s="71">
        <f>=J1061-P1061</f>
        <v>0</v>
      </c>
      <c r="R1061" s="339">
        <v>800</v>
      </c>
      <c r="S1061" s="112">
        <f>=P1061-R1061</f>
        <v>0</v>
      </c>
      <c r="T1061" s="71">
        <f>=S1061*L1061</f>
        <v>0</v>
      </c>
      <c r="U1061" s="190">
        <f>=J1061-P1061</f>
        <v>0</v>
      </c>
    </row>
    <row r="1062" spans="1:21" ht="15.75" customHeight="true">
      <c r="A1062" s="80">
        <v>46161</v>
      </c>
      <c r="B1062" s="71">
        <f>=TODAY()-A1062+1</f>
        <v>64</v>
      </c>
      <c r="C1062" t="s">
        <v>340</v>
      </c>
      <c r="D1062" s="71" t="s">
        <v>339</v>
      </c>
      <c r="E1062" s="136" t="s">
        <v>2156</v>
      </c>
      <c r="F1062" s="323" t="s">
        <v>2155</v>
      </c>
      <c r="G1062" s="71" t="s">
        <v>428</v>
      </c>
      <c r="H1062" s="93" t="s">
        <v>422</v>
      </c>
      <c r="I1062" s="71" t="s">
        <v>835</v>
      </c>
      <c r="J1062" s="83">
        <v>400</v>
      </c>
      <c r="K1062" s="258" t="s"/>
      <c r="L1062">
        <v>730</v>
      </c>
      <c r="M1062" s="112">
        <f>=J1062*L1062</f>
        <v>292000</v>
      </c>
      <c r="N1062" s="71">
        <v>2.6</v>
      </c>
      <c r="O1062" s="189">
        <f>=ROUND(IF((TODAY()-A1062+1)*N1062*(L1062/10000)+L1062&lt;L1062*1.002,L1062*1.002,(TODAY()-A1062+1)*N1062*(L1062/10000)+L1062),2)</f>
        <v>742.34</v>
      </c>
      <c r="P1062" s="64">
        <v>400</v>
      </c>
      <c r="Q1062" s="71">
        <f>=J1062-P1062</f>
        <v>0</v>
      </c>
      <c r="R1062" s="64">
        <v>400</v>
      </c>
      <c r="S1062" s="112">
        <f>=P1062-R1062</f>
        <v>0</v>
      </c>
      <c r="T1062" s="71">
        <f>=S1062*L1062</f>
        <v>0</v>
      </c>
      <c r="U1062" s="190">
        <f>=J1062-P1062</f>
        <v>0</v>
      </c>
    </row>
    <row r="1063" spans="1:21" ht="15.75" customHeight="true">
      <c r="A1063" s="80">
        <v>46161</v>
      </c>
      <c r="B1063" s="71">
        <f>=TODAY()-A1063+1</f>
        <v>64</v>
      </c>
      <c r="C1063" s="71" t="s">
        <v>341</v>
      </c>
      <c r="D1063" s="94" t="s">
        <v>145</v>
      </c>
      <c r="E1063" s="136" t="s">
        <v>2157</v>
      </c>
      <c r="F1063" s="323" t="s">
        <v>889</v>
      </c>
      <c r="G1063" s="71" t="s">
        <v>428</v>
      </c>
      <c r="H1063" s="93" t="s">
        <v>422</v>
      </c>
      <c r="I1063" s="248" t="s">
        <v>2158</v>
      </c>
      <c r="J1063" s="258">
        <v>500</v>
      </c>
      <c r="K1063" s="258" t="s"/>
      <c r="L1063" s="87">
        <v>1850</v>
      </c>
      <c r="M1063" s="112">
        <f>=J1063*L1063</f>
        <v>925000</v>
      </c>
      <c r="N1063" s="71">
        <v>2.5</v>
      </c>
      <c r="O1063" s="189">
        <f>=ROUND(IF((TODAY()-A1063+1)*N1063*(L1063/10000)+L1063&lt;L1063*1.002,L1063*1.002,(TODAY()-A1063+1)*N1063*(L1063/10000)+L1063),2)</f>
        <v>1880.06</v>
      </c>
      <c r="P1063" s="87">
        <v>500</v>
      </c>
      <c r="Q1063" s="71">
        <f>=J1063-P1063</f>
        <v>0</v>
      </c>
      <c r="R1063">
        <v>500</v>
      </c>
      <c r="S1063" s="112">
        <f>=P1063-R1063</f>
        <v>0</v>
      </c>
      <c r="T1063" s="71">
        <f>=S1063*L1063</f>
        <v>0</v>
      </c>
      <c r="U1063" s="190">
        <f>=J1063-P1063</f>
        <v>0</v>
      </c>
    </row>
    <row r="1064" spans="1:21" ht="15.75" customHeight="true">
      <c r="A1064" s="80">
        <v>46161</v>
      </c>
      <c r="B1064" s="71">
        <f>=TODAY()-A1064+1</f>
        <v>64</v>
      </c>
      <c r="C1064" s="98" t="s">
        <v>342</v>
      </c>
      <c r="D1064" s="71" t="s">
        <v>150</v>
      </c>
      <c r="E1064" s="358" t="s">
        <v>2159</v>
      </c>
      <c r="F1064" s="242" t="s">
        <v>894</v>
      </c>
      <c r="G1064" s="71" t="s">
        <v>895</v>
      </c>
      <c r="H1064" s="93" t="s">
        <v>422</v>
      </c>
      <c r="I1064" s="248" t="s">
        <v>901</v>
      </c>
      <c r="J1064" s="93">
        <v>470</v>
      </c>
      <c r="K1064" s="258" t="s"/>
      <c r="L1064" s="357">
        <v>620</v>
      </c>
      <c r="M1064" s="112">
        <f>=J1064*L1064</f>
        <v>291400</v>
      </c>
      <c r="N1064" s="71">
        <v>2.5</v>
      </c>
      <c r="O1064" s="189">
        <f>=ROUND(IF((TODAY()-A1064+1)*N1064*(L1064/10000)+L1064&lt;L1064*1.002,L1064*1.002,(TODAY()-A1064+1)*N1064*(L1064/10000)+L1064),2)</f>
        <v>630.08</v>
      </c>
      <c r="P1064" s="71">
        <v>470</v>
      </c>
      <c r="Q1064" s="71">
        <f>=J1064-P1064</f>
        <v>0</v>
      </c>
      <c r="R1064" s="71">
        <v>470</v>
      </c>
      <c r="S1064" s="197">
        <f>=P1064-R1064</f>
        <v>0</v>
      </c>
      <c r="T1064" s="71">
        <f>=S1064*L1064</f>
        <v>0</v>
      </c>
      <c r="U1064" s="190">
        <f>=J1064-P1064</f>
        <v>0</v>
      </c>
    </row>
    <row r="1065" spans="1:21">
      <c r="A1065" s="80">
        <v>46162</v>
      </c>
      <c r="B1065" s="71">
        <f>=TODAY()-A1065+1</f>
        <v>63</v>
      </c>
      <c r="C1065" s="98" t="s">
        <v>347</v>
      </c>
      <c r="D1065" s="326" t="s">
        <v>346</v>
      </c>
      <c r="E1065" s="359" t="s">
        <v>2160</v>
      </c>
      <c r="F1065" s="359" t="s">
        <v>2161</v>
      </c>
      <c r="G1065" s="71" t="s">
        <v>421</v>
      </c>
      <c r="H1065" s="140" t="s">
        <v>429</v>
      </c>
      <c r="I1065" t="s">
        <v>2079</v>
      </c>
      <c r="J1065">
        <v>600</v>
      </c>
      <c r="L1065">
        <v>950</v>
      </c>
      <c r="M1065" s="197">
        <f>=J1065*L1065</f>
        <v>570000</v>
      </c>
      <c r="N1065">
        <v>2.5</v>
      </c>
      <c r="O1065" s="189">
        <f>=ROUND(IF((TODAY()-A1065+1)*N1065*(L1065/10000)+L1065&lt;L1065*1.002,L1065*1.002,(TODAY()-A1065+1)*N1065*(L1065/10000)+L1065),2)</f>
        <v>965.2</v>
      </c>
      <c r="P1065">
        <v>600</v>
      </c>
      <c r="Q1065" s="64">
        <f>=J1065-P1065</f>
        <v>0</v>
      </c>
      <c r="R1065" s="87" t="s"/>
      <c r="S1065" s="197">
        <f>=P1065-R1065</f>
        <v>600</v>
      </c>
      <c r="T1065" s="71">
        <f>=S1065*L1065</f>
        <v>570000</v>
      </c>
      <c r="U1065" s="190">
        <f>=J1065-P1065</f>
        <v>0</v>
      </c>
    </row>
    <row r="1066" spans="1:21" ht="15.75" customHeight="true">
      <c r="A1066" s="80">
        <v>46162</v>
      </c>
      <c r="B1066" s="71">
        <f>=TODAY()-A1066+1</f>
        <v>63</v>
      </c>
      <c r="C1066" s="98" t="s">
        <v>343</v>
      </c>
      <c r="D1066" s="71" t="s">
        <v>135</v>
      </c>
      <c r="E1066" s="359" t="s">
        <v>2162</v>
      </c>
      <c r="F1066" t="s">
        <v>856</v>
      </c>
      <c r="G1066" t="s">
        <v>428</v>
      </c>
      <c r="H1066" s="277" t="s">
        <v>422</v>
      </c>
      <c r="I1066" s="64" t="s">
        <v>859</v>
      </c>
      <c r="J1066" s="339">
        <v>200</v>
      </c>
      <c r="K1066" s="357" t="s"/>
      <c r="L1066" s="357">
        <v>1000</v>
      </c>
      <c r="M1066" s="112">
        <f>=J1066*L1066</f>
        <v>200000</v>
      </c>
      <c r="N1066">
        <v>2.5</v>
      </c>
      <c r="O1066" s="189">
        <f>=ROUND(IF((TODAY()-A1066+1)*N1066*(L1066/10000)+L1066&lt;L1066*1.002,L1066*1.002,(TODAY()-A1066+1)*N1066*(L1066/10000)+L1066),2)</f>
        <v>1016</v>
      </c>
      <c r="P1066" s="339">
        <v>200</v>
      </c>
      <c r="Q1066" s="71">
        <f>=J1066-P1066</f>
        <v>0</v>
      </c>
      <c r="R1066">
        <v>200</v>
      </c>
      <c r="S1066" s="112">
        <f>=P1066-R1066</f>
        <v>0</v>
      </c>
      <c r="T1066" s="71">
        <f>=S1066*L1066</f>
        <v>0</v>
      </c>
      <c r="U1066" s="190">
        <f>=J1066-P1066</f>
        <v>0</v>
      </c>
    </row>
    <row r="1067" spans="1:21" ht="15.75" customHeight="true">
      <c r="A1067" s="80">
        <v>46162</v>
      </c>
      <c r="B1067" s="71">
        <f>=TODAY()-A1067+1</f>
        <v>63</v>
      </c>
      <c r="C1067" s="98" t="s">
        <v>343</v>
      </c>
      <c r="D1067" s="71" t="s">
        <v>135</v>
      </c>
      <c r="E1067" s="359" t="s">
        <v>2163</v>
      </c>
      <c r="F1067" t="s">
        <v>856</v>
      </c>
      <c r="G1067" t="s">
        <v>428</v>
      </c>
      <c r="H1067" s="277" t="s">
        <v>422</v>
      </c>
      <c r="I1067" s="64" t="s">
        <v>861</v>
      </c>
      <c r="J1067">
        <v>160</v>
      </c>
      <c r="L1067">
        <v>1000</v>
      </c>
      <c r="M1067" s="112">
        <f>=J1067*L1067</f>
        <v>160000</v>
      </c>
      <c r="N1067">
        <v>2.5</v>
      </c>
      <c r="O1067" s="189">
        <f>=ROUND(IF((TODAY()-A1067+1)*N1067*(L1067/10000)+L1067&lt;L1067*1.002,L1067*1.002,(TODAY()-A1067+1)*N1067*(L1067/10000)+L1067),2)</f>
        <v>1016</v>
      </c>
      <c r="P1067">
        <v>160</v>
      </c>
      <c r="Q1067" s="71">
        <f>=J1067-P1067</f>
        <v>0</v>
      </c>
      <c r="R1067">
        <v>160</v>
      </c>
      <c r="S1067" s="112">
        <f>=P1067-R1067</f>
        <v>0</v>
      </c>
      <c r="T1067" s="71">
        <f>=S1067*L1067</f>
        <v>0</v>
      </c>
      <c r="U1067" s="190">
        <f>=J1067-P1067</f>
        <v>0</v>
      </c>
    </row>
    <row r="1068" spans="1:21" ht="15.75" customHeight="true">
      <c r="A1068" s="80">
        <v>46162</v>
      </c>
      <c r="B1068" s="71">
        <f>=TODAY()-A1068+1</f>
        <v>63</v>
      </c>
      <c r="C1068" s="98" t="s">
        <v>343</v>
      </c>
      <c r="D1068" s="71" t="s">
        <v>135</v>
      </c>
      <c r="E1068" s="359" t="s">
        <v>2164</v>
      </c>
      <c r="F1068" t="s">
        <v>856</v>
      </c>
      <c r="G1068" t="s">
        <v>428</v>
      </c>
      <c r="H1068" s="254" t="s">
        <v>422</v>
      </c>
      <c r="I1068" s="360" t="s">
        <v>857</v>
      </c>
      <c r="J1068" s="339">
        <v>40</v>
      </c>
      <c r="K1068" s="339" t="s"/>
      <c r="L1068" s="339">
        <v>1000</v>
      </c>
      <c r="M1068" s="112">
        <f>=J1068*L1068</f>
        <v>40000</v>
      </c>
      <c r="N1068">
        <v>2.5</v>
      </c>
      <c r="O1068" s="189">
        <f>=ROUND(IF((TODAY()-A1068+1)*N1068*(L1068/10000)+L1068&lt;L1068*1.002,L1068*1.002,(TODAY()-A1068+1)*N1068*(L1068/10000)+L1068),2)</f>
        <v>1016</v>
      </c>
      <c r="P1068" s="339">
        <v>40</v>
      </c>
      <c r="Q1068" s="71">
        <f>=J1068-P1068</f>
        <v>0</v>
      </c>
      <c r="R1068">
        <v>40</v>
      </c>
      <c r="S1068" s="112">
        <f>=P1068-R1068</f>
        <v>0</v>
      </c>
      <c r="T1068" s="71">
        <f>=S1068*L1068</f>
        <v>0</v>
      </c>
      <c r="U1068" s="190">
        <f>=J1068-P1068</f>
        <v>0</v>
      </c>
    </row>
    <row r="1069" spans="1:21" ht="15.75" customHeight="true">
      <c r="A1069" s="80">
        <v>46163</v>
      </c>
      <c r="B1069" s="71">
        <f>=TODAY()-A1069+1</f>
        <v>62</v>
      </c>
      <c r="C1069" s="98" t="s">
        <v>348</v>
      </c>
      <c r="D1069" s="108" t="s">
        <v>165</v>
      </c>
      <c r="E1069" s="359" t="s">
        <v>2165</v>
      </c>
      <c r="F1069" s="242" t="s">
        <v>953</v>
      </c>
      <c r="G1069" s="156" t="s">
        <v>428</v>
      </c>
      <c r="H1069" s="220" t="s">
        <v>470</v>
      </c>
      <c r="I1069" s="361" t="s">
        <v>954</v>
      </c>
      <c r="J1069" s="93">
        <v>114</v>
      </c>
      <c r="K1069" s="357" t="s"/>
      <c r="L1069" s="362">
        <v>2350</v>
      </c>
      <c r="M1069" s="217">
        <f>=J1069*L1069</f>
        <v>267900</v>
      </c>
      <c r="N1069">
        <v>3</v>
      </c>
      <c r="O1069" s="189">
        <f>=ROUND(IF((TODAY()-A1069+1)*N1069*(L1069/10000)+L1069&lt;L1069*1.002,L1069*1.002,(TODAY()-A1069+1)*N1069*(L1069/10000)+L1069),2)</f>
        <v>2394.42</v>
      </c>
      <c r="P1069" s="71">
        <v>114</v>
      </c>
      <c r="Q1069" s="71">
        <f>=J1069-P1069</f>
        <v>0</v>
      </c>
      <c r="R1069" s="71">
        <v>38</v>
      </c>
      <c r="S1069" s="112">
        <f>=P1069-R1069</f>
        <v>76</v>
      </c>
      <c r="T1069" s="71">
        <f>=S1069*L1069</f>
        <v>178600</v>
      </c>
      <c r="U1069" s="190">
        <f>=J1069-P1069</f>
        <v>0</v>
      </c>
    </row>
    <row r="1070" spans="1:21" ht="15.75" customHeight="true">
      <c r="A1070" s="80">
        <v>46163</v>
      </c>
      <c r="B1070" s="71">
        <f>=TODAY()-A1070+1</f>
        <v>62</v>
      </c>
      <c r="C1070" s="98" t="s">
        <v>353</v>
      </c>
      <c r="D1070" s="220" t="s">
        <v>352</v>
      </c>
      <c r="E1070" s="359" t="s">
        <v>2166</v>
      </c>
      <c r="F1070" s="359" t="s">
        <v>2167</v>
      </c>
      <c r="G1070" t="s">
        <v>428</v>
      </c>
      <c r="H1070" s="254" t="s">
        <v>422</v>
      </c>
      <c r="I1070" s="361" t="s">
        <v>859</v>
      </c>
      <c r="J1070" s="363">
        <v>500</v>
      </c>
      <c r="K1070" s="357" t="s"/>
      <c r="L1070" s="357">
        <v>1000</v>
      </c>
      <c r="M1070" s="217">
        <f>=J1070*L1070</f>
        <v>500000</v>
      </c>
      <c r="N1070">
        <v>2.5</v>
      </c>
      <c r="O1070" s="189">
        <f>=ROUND(IF((TODAY()-A1070+1)*N1070*(L1070/10000)+L1070&lt;L1070*1.002,L1070*1.002,(TODAY()-A1070+1)*N1070*(L1070/10000)+L1070),2)</f>
        <v>1015.75</v>
      </c>
      <c r="P1070" s="339">
        <v>500</v>
      </c>
      <c r="Q1070" s="71">
        <f>=J1070-P1070</f>
        <v>0</v>
      </c>
      <c r="R1070">
        <v>500</v>
      </c>
      <c r="S1070" s="112">
        <f>=P1070-R1070</f>
        <v>0</v>
      </c>
      <c r="T1070" s="71">
        <f>=S1070*L1070</f>
        <v>0</v>
      </c>
      <c r="U1070" s="190">
        <f>=J1070-P1070</f>
        <v>0</v>
      </c>
    </row>
    <row r="1071" spans="1:21" ht="15.75" customHeight="true">
      <c r="A1071" s="80">
        <v>46163</v>
      </c>
      <c r="B1071" s="71">
        <f>=TODAY()-A1071+1</f>
        <v>62</v>
      </c>
      <c r="C1071" s="98" t="s">
        <v>353</v>
      </c>
      <c r="D1071" s="220" t="s">
        <v>352</v>
      </c>
      <c r="E1071" s="359" t="s">
        <v>2168</v>
      </c>
      <c r="F1071" s="359" t="s">
        <v>2167</v>
      </c>
      <c r="G1071" t="s">
        <v>428</v>
      </c>
      <c r="H1071" s="254" t="s">
        <v>422</v>
      </c>
      <c r="I1071" s="361" t="s">
        <v>857</v>
      </c>
      <c r="J1071" s="363">
        <v>300</v>
      </c>
      <c r="K1071" s="357" t="s"/>
      <c r="L1071" s="357">
        <v>1000</v>
      </c>
      <c r="M1071" s="217">
        <f>=J1071*L1071</f>
        <v>300000</v>
      </c>
      <c r="N1071">
        <v>2.5</v>
      </c>
      <c r="O1071" s="189">
        <f>=ROUND(IF((TODAY()-A1071+1)*N1071*(L1071/10000)+L1071&lt;L1071*1.002,L1071*1.002,(TODAY()-A1071+1)*N1071*(L1071/10000)+L1071),2)</f>
        <v>1015.75</v>
      </c>
      <c r="P1071" s="339">
        <v>300</v>
      </c>
      <c r="Q1071" s="71">
        <f>=J1071-P1071</f>
        <v>0</v>
      </c>
      <c r="R1071">
        <v>300</v>
      </c>
      <c r="S1071" s="112">
        <f>=P1071-R1071</f>
        <v>0</v>
      </c>
      <c r="T1071" s="71">
        <f>=S1071*L1071</f>
        <v>0</v>
      </c>
      <c r="U1071" s="190">
        <f>=J1071-P1071</f>
        <v>0</v>
      </c>
    </row>
    <row r="1072" spans="1:21" ht="15.75" customHeight="true">
      <c r="A1072" s="80">
        <v>46162</v>
      </c>
      <c r="B1072" s="71">
        <f>=TODAY()-A1072+1</f>
        <v>63</v>
      </c>
      <c r="C1072" t="s">
        <v>345</v>
      </c>
      <c r="D1072" s="71" t="s">
        <v>339</v>
      </c>
      <c r="E1072" s="359" t="s">
        <v>2169</v>
      </c>
      <c r="F1072" s="352" t="s">
        <v>2155</v>
      </c>
      <c r="G1072" s="71" t="s">
        <v>428</v>
      </c>
      <c r="H1072" s="93" t="s">
        <v>422</v>
      </c>
      <c r="I1072" s="64" t="s">
        <v>837</v>
      </c>
      <c r="J1072" s="258">
        <v>1200</v>
      </c>
      <c r="K1072" s="357" t="s"/>
      <c r="L1072" s="357">
        <v>620</v>
      </c>
      <c r="M1072" s="112">
        <f>=J1072*L1072</f>
        <v>744000</v>
      </c>
      <c r="N1072" s="71">
        <v>2.6</v>
      </c>
      <c r="O1072" s="189">
        <f>=ROUND(IF((TODAY()-A1072+1)*N1072*(L1072/10000)+L1072&lt;L1072*1.002,L1072*1.002,(TODAY()-A1072+1)*N1072*(L1072/10000)+L1072),2)</f>
        <v>630.32</v>
      </c>
      <c r="P1072" s="87">
        <v>1200</v>
      </c>
      <c r="Q1072" s="71">
        <f>=J1072-P1072</f>
        <v>0</v>
      </c>
      <c r="R1072">
        <v>1200</v>
      </c>
      <c r="S1072" s="112">
        <f>=P1072-R1072</f>
        <v>0</v>
      </c>
      <c r="T1072" s="71">
        <f>=S1072*L1072</f>
        <v>0</v>
      </c>
      <c r="U1072" s="190">
        <f>=J1072-P1072</f>
        <v>0</v>
      </c>
    </row>
    <row r="1073" spans="1:21" ht="15.75" customHeight="true">
      <c r="A1073" s="80">
        <v>46163</v>
      </c>
      <c r="B1073" s="71">
        <f>=TODAY()-A1073+1</f>
        <v>62</v>
      </c>
      <c r="C1073" t="s">
        <v>349</v>
      </c>
      <c r="D1073" s="71" t="s">
        <v>339</v>
      </c>
      <c r="E1073" s="359" t="s">
        <v>2170</v>
      </c>
      <c r="F1073" s="323" t="s">
        <v>2155</v>
      </c>
      <c r="G1073" s="71" t="s">
        <v>428</v>
      </c>
      <c r="H1073" s="93" t="s">
        <v>422</v>
      </c>
      <c r="I1073" s="64" t="s">
        <v>837</v>
      </c>
      <c r="J1073">
        <v>1000</v>
      </c>
      <c r="K1073" s="364" t="s"/>
      <c r="L1073" s="357">
        <v>620</v>
      </c>
      <c r="M1073" s="112">
        <f>=J1073*L1073</f>
        <v>620000</v>
      </c>
      <c r="N1073" s="71">
        <v>2.6</v>
      </c>
      <c r="O1073" s="189">
        <f>=ROUND(IF((TODAY()-A1073+1)*N1073*(L1073/10000)+L1073&lt;L1073*1.002,L1073*1.002,(TODAY()-A1073+1)*N1073*(L1073/10000)+L1073),2)</f>
        <v>630.16</v>
      </c>
      <c r="P1073">
        <v>1000</v>
      </c>
      <c r="Q1073" s="71">
        <f>=J1073-P1073</f>
        <v>0</v>
      </c>
      <c r="R1073">
        <v>1000</v>
      </c>
      <c r="S1073" s="112">
        <f>=P1073-R1073</f>
        <v>0</v>
      </c>
      <c r="T1073" s="71">
        <f>=S1073*L1073</f>
        <v>0</v>
      </c>
      <c r="U1073" s="190">
        <f>=J1073-P1073</f>
        <v>0</v>
      </c>
    </row>
    <row r="1074" spans="1:21" ht="15.75" customHeight="true">
      <c r="A1074" s="80">
        <v>46162</v>
      </c>
      <c r="B1074" s="71">
        <f>=TODAY()-A1074+1</f>
        <v>63</v>
      </c>
      <c r="C1074" s="98" t="s">
        <v>350</v>
      </c>
      <c r="D1074" s="71" t="s">
        <v>150</v>
      </c>
      <c r="E1074" s="365" t="s">
        <v>2171</v>
      </c>
      <c r="F1074" s="242" t="s">
        <v>894</v>
      </c>
      <c r="G1074" s="71" t="s">
        <v>895</v>
      </c>
      <c r="H1074" s="93" t="s">
        <v>422</v>
      </c>
      <c r="I1074" s="207" t="s">
        <v>896</v>
      </c>
      <c r="J1074" s="351">
        <v>700</v>
      </c>
      <c r="K1074" s="357" t="s"/>
      <c r="L1074" s="362">
        <v>1020</v>
      </c>
      <c r="M1074" s="112">
        <f>=J1074*L1074</f>
        <v>714000</v>
      </c>
      <c r="N1074" s="71">
        <v>2.5</v>
      </c>
      <c r="O1074" s="189">
        <f>=ROUND(IF((TODAY()-A1074+1)*N1074*(L1074/10000)+L1074&lt;L1074*1.002,L1074*1.002,(TODAY()-A1074+1)*N1074*(L1074/10000)+L1074),2)</f>
        <v>1036.32</v>
      </c>
      <c r="P1074" s="154">
        <v>700</v>
      </c>
      <c r="Q1074" s="71">
        <f>=J1074-P1074</f>
        <v>0</v>
      </c>
      <c r="R1074">
        <v>700</v>
      </c>
      <c r="S1074" s="197">
        <f>=P1074-R1074</f>
        <v>0</v>
      </c>
      <c r="T1074" s="71">
        <f>=S1074*L1074</f>
        <v>0</v>
      </c>
      <c r="U1074" s="190">
        <f>=J1074-P1074</f>
        <v>0</v>
      </c>
    </row>
    <row r="1075" spans="1:21" ht="15.75" customHeight="true">
      <c r="A1075" s="80">
        <v>46163</v>
      </c>
      <c r="B1075" s="71">
        <f>=TODAY()-A1075+1</f>
        <v>62</v>
      </c>
      <c r="C1075" s="71" t="s">
        <v>351</v>
      </c>
      <c r="D1075" s="71" t="s">
        <v>169</v>
      </c>
      <c r="E1075" s="359" t="s">
        <v>2172</v>
      </c>
      <c r="F1075" s="359" t="s">
        <v>956</v>
      </c>
      <c r="G1075" s="156" t="s">
        <v>421</v>
      </c>
      <c r="H1075" s="220" t="s">
        <v>422</v>
      </c>
      <c r="I1075" s="156" t="s">
        <v>957</v>
      </c>
      <c r="J1075">
        <v>2</v>
      </c>
      <c r="K1075" s="318" t="s"/>
      <c r="L1075" s="258">
        <v>7800</v>
      </c>
      <c r="M1075" s="112">
        <f>=J1075*L1075</f>
        <v>15600</v>
      </c>
      <c r="N1075" s="71">
        <v>2.5</v>
      </c>
      <c r="O1075" s="189">
        <f>=ROUND(IF((TODAY()-A1075+1)*N1075*(L1075/10000)+L1075&lt;L1075*1.002,L1075*1.002,(TODAY()-A1075+1)*N1075*(L1075/10000)+L1075),2)</f>
        <v>7922.85</v>
      </c>
      <c r="P1075">
        <v>2</v>
      </c>
      <c r="Q1075" s="71">
        <f>=J1075-P1075</f>
        <v>0</v>
      </c>
      <c r="S1075" s="112">
        <f>=P1075-R1075</f>
        <v>2</v>
      </c>
      <c r="T1075" s="71">
        <f>=S1075*L1075</f>
        <v>15600</v>
      </c>
      <c r="U1075" s="190">
        <f>=J1075-P1075</f>
        <v>0</v>
      </c>
    </row>
    <row r="1076" spans="1:21" ht="15.75" customHeight="true">
      <c r="A1076" s="80">
        <v>46163</v>
      </c>
      <c r="B1076" s="71">
        <f>=TODAY()-A1076+1</f>
        <v>62</v>
      </c>
      <c r="C1076" s="71" t="s">
        <v>351</v>
      </c>
      <c r="D1076" s="71" t="s">
        <v>169</v>
      </c>
      <c r="E1076" s="359" t="s">
        <v>2173</v>
      </c>
      <c r="F1076" s="359" t="s">
        <v>956</v>
      </c>
      <c r="G1076" s="156" t="s">
        <v>421</v>
      </c>
      <c r="H1076" s="220" t="s">
        <v>422</v>
      </c>
      <c r="I1076" s="259" t="s">
        <v>959</v>
      </c>
      <c r="J1076">
        <v>16</v>
      </c>
      <c r="K1076" s="318" t="s"/>
      <c r="L1076" s="258">
        <v>7800</v>
      </c>
      <c r="M1076" s="112">
        <f>=J1076*L1076</f>
        <v>124800</v>
      </c>
      <c r="N1076" s="71">
        <v>2.5</v>
      </c>
      <c r="O1076" s="189">
        <f>=ROUND(IF((TODAY()-A1076+1)*N1076*(L1076/10000)+L1076&lt;L1076*1.002,L1076*1.002,(TODAY()-A1076+1)*N1076*(L1076/10000)+L1076),2)</f>
        <v>7922.85</v>
      </c>
      <c r="P1076">
        <v>16</v>
      </c>
      <c r="Q1076" s="71">
        <f>=J1076-P1076</f>
        <v>0</v>
      </c>
      <c r="R1076" s="161">
        <v>10</v>
      </c>
      <c r="S1076" s="112">
        <f>=P1076-R1076</f>
        <v>6</v>
      </c>
      <c r="T1076" s="71">
        <f>=S1076*L1076</f>
        <v>46800</v>
      </c>
      <c r="U1076" s="190">
        <f>=J1076-P1076</f>
        <v>0</v>
      </c>
    </row>
    <row r="1077" spans="1:21" ht="15.75" customHeight="true">
      <c r="A1077" s="80">
        <v>46163</v>
      </c>
      <c r="B1077" s="71">
        <f>=TODAY()-A1077+1</f>
        <v>62</v>
      </c>
      <c r="C1077" s="71" t="s">
        <v>351</v>
      </c>
      <c r="D1077" s="71" t="s">
        <v>169</v>
      </c>
      <c r="E1077" s="359" t="s">
        <v>2174</v>
      </c>
      <c r="F1077" s="359" t="s">
        <v>956</v>
      </c>
      <c r="G1077" s="156" t="s">
        <v>421</v>
      </c>
      <c r="H1077" s="220" t="s">
        <v>422</v>
      </c>
      <c r="I1077" s="259" t="s">
        <v>961</v>
      </c>
      <c r="J1077">
        <v>20</v>
      </c>
      <c r="K1077" s="364" t="s"/>
      <c r="L1077" s="258">
        <v>7800</v>
      </c>
      <c r="M1077" s="112">
        <f>=J1077*L1077</f>
        <v>156000</v>
      </c>
      <c r="N1077" s="71">
        <v>2.5</v>
      </c>
      <c r="O1077" s="189">
        <f>=ROUND(IF((TODAY()-A1077+1)*N1077*(L1077/10000)+L1077&lt;L1077*1.002,L1077*1.002,(TODAY()-A1077+1)*N1077*(L1077/10000)+L1077),2)</f>
        <v>7922.85</v>
      </c>
      <c r="P1077">
        <v>20</v>
      </c>
      <c r="Q1077" s="71">
        <f>=J1077-P1077</f>
        <v>0</v>
      </c>
      <c r="R1077" s="161">
        <v>12</v>
      </c>
      <c r="S1077" s="112">
        <f>=P1077-R1077</f>
        <v>8</v>
      </c>
      <c r="T1077" s="71">
        <f>=S1077*L1077</f>
        <v>62400</v>
      </c>
      <c r="U1077" s="190">
        <f>=J1077-P1077</f>
        <v>0</v>
      </c>
    </row>
    <row r="1078" spans="1:21" ht="15.75" customHeight="true">
      <c r="A1078" s="80">
        <v>46163</v>
      </c>
      <c r="B1078" s="71">
        <f>=TODAY()-A1078+1</f>
        <v>62</v>
      </c>
      <c r="C1078" s="71" t="s">
        <v>351</v>
      </c>
      <c r="D1078" s="71" t="s">
        <v>169</v>
      </c>
      <c r="E1078" s="359" t="s">
        <v>2175</v>
      </c>
      <c r="F1078" s="359" t="s">
        <v>956</v>
      </c>
      <c r="G1078" s="156" t="s">
        <v>421</v>
      </c>
      <c r="H1078" s="220" t="s">
        <v>422</v>
      </c>
      <c r="I1078" s="361" t="s">
        <v>963</v>
      </c>
      <c r="J1078">
        <v>3</v>
      </c>
      <c r="K1078" s="364" t="s"/>
      <c r="L1078" s="366">
        <v>9450</v>
      </c>
      <c r="M1078" s="112">
        <f>=J1078*L1078</f>
        <v>28350</v>
      </c>
      <c r="N1078" s="71">
        <v>2.5</v>
      </c>
      <c r="O1078" s="189">
        <f>=ROUND(IF((TODAY()-A1078+1)*N1078*(L1078/10000)+L1078&lt;L1078*1.002,L1078*1.002,(TODAY()-A1078+1)*N1078*(L1078/10000)+L1078),2)</f>
        <v>9598.84</v>
      </c>
      <c r="P1078">
        <v>3</v>
      </c>
      <c r="Q1078" s="71">
        <f>=J1078-P1078</f>
        <v>0</v>
      </c>
      <c r="R1078" s="367">
        <v>2</v>
      </c>
      <c r="S1078" s="112">
        <f>=P1078-R1078</f>
        <v>1</v>
      </c>
      <c r="T1078" s="71">
        <f>=S1078*L1078</f>
        <v>9450</v>
      </c>
      <c r="U1078" s="190">
        <f>=J1078-P1078</f>
        <v>0</v>
      </c>
    </row>
    <row r="1079" spans="1:21" ht="15.75" customHeight="true">
      <c r="A1079" s="80">
        <v>46163</v>
      </c>
      <c r="B1079" s="71">
        <f>=TODAY()-A1079+1</f>
        <v>62</v>
      </c>
      <c r="C1079" s="71" t="s">
        <v>351</v>
      </c>
      <c r="D1079" s="71" t="s">
        <v>169</v>
      </c>
      <c r="E1079" s="359" t="s">
        <v>2176</v>
      </c>
      <c r="F1079" s="359" t="s">
        <v>956</v>
      </c>
      <c r="G1079" s="156" t="s">
        <v>421</v>
      </c>
      <c r="H1079" s="220" t="s">
        <v>422</v>
      </c>
      <c r="I1079" s="156" t="s">
        <v>981</v>
      </c>
      <c r="J1079" s="101">
        <v>1</v>
      </c>
      <c r="K1079" s="318" t="s"/>
      <c r="L1079">
        <v>6300</v>
      </c>
      <c r="M1079" s="112">
        <f>=J1079*L1079</f>
        <v>6300</v>
      </c>
      <c r="N1079" s="71">
        <v>2.5</v>
      </c>
      <c r="O1079" s="189">
        <f>=ROUND(IF((TODAY()-A1079+1)*N1079*(L1079/10000)+L1079&lt;L1079*1.002,L1079*1.002,(TODAY()-A1079+1)*N1079*(L1079/10000)+L1079),2)</f>
        <v>6399.23</v>
      </c>
      <c r="P1079" s="71">
        <v>1</v>
      </c>
      <c r="Q1079" s="71">
        <f>=J1079-P1079</f>
        <v>0</v>
      </c>
      <c r="R1079">
        <v>1</v>
      </c>
      <c r="S1079" s="112">
        <f>=P1079-R1079</f>
        <v>0</v>
      </c>
      <c r="T1079" s="71">
        <f>=S1079*L1079</f>
        <v>0</v>
      </c>
      <c r="U1079" s="190">
        <f>=J1079-P1079</f>
        <v>0</v>
      </c>
    </row>
    <row r="1080" spans="1:21" ht="15.75" customHeight="true">
      <c r="A1080" s="80">
        <v>46164</v>
      </c>
      <c r="B1080" s="71">
        <f>=TODAY()-A1080+1</f>
        <v>61</v>
      </c>
      <c r="C1080" s="71" t="s">
        <v>354</v>
      </c>
      <c r="D1080" s="71" t="s">
        <v>169</v>
      </c>
      <c r="E1080" s="359" t="s">
        <v>2177</v>
      </c>
      <c r="F1080" s="359" t="s">
        <v>956</v>
      </c>
      <c r="G1080" s="156" t="s">
        <v>421</v>
      </c>
      <c r="H1080" s="220" t="s">
        <v>422</v>
      </c>
      <c r="I1080" s="259" t="s">
        <v>979</v>
      </c>
      <c r="J1080" s="142">
        <v>15</v>
      </c>
      <c r="K1080" s="258" t="s"/>
      <c r="L1080">
        <v>4370</v>
      </c>
      <c r="M1080" s="112">
        <f>=J1080*L1080</f>
        <v>65550</v>
      </c>
      <c r="N1080" s="71">
        <v>2.5</v>
      </c>
      <c r="O1080" s="189">
        <f>=ROUND(IF((TODAY()-A1080+1)*N1080*(L1080/10000)+L1080&lt;L1080*1.002,L1080*1.002,(TODAY()-A1080+1)*N1080*(L1080/10000)+L1080),2)</f>
        <v>4437.74</v>
      </c>
      <c r="P1080">
        <v>15</v>
      </c>
      <c r="Q1080" s="71">
        <f>=J1080-P1080</f>
        <v>0</v>
      </c>
      <c r="R1080">
        <v>9</v>
      </c>
      <c r="S1080" s="112">
        <f>=P1080-R1080</f>
        <v>6</v>
      </c>
      <c r="T1080" s="71">
        <f>=S1080*L1080</f>
        <v>26220</v>
      </c>
      <c r="U1080" s="190">
        <f>=J1080-P1080</f>
        <v>0</v>
      </c>
    </row>
    <row r="1081" spans="1:21" ht="15.75" customHeight="true">
      <c r="A1081" s="80">
        <v>46164</v>
      </c>
      <c r="B1081" s="71">
        <f>=TODAY()-A1081+1</f>
        <v>61</v>
      </c>
      <c r="C1081" s="71" t="s">
        <v>354</v>
      </c>
      <c r="D1081" s="71" t="s">
        <v>169</v>
      </c>
      <c r="E1081" s="359" t="s">
        <v>2178</v>
      </c>
      <c r="F1081" s="359" t="s">
        <v>956</v>
      </c>
      <c r="G1081" s="156" t="s">
        <v>421</v>
      </c>
      <c r="H1081" s="220" t="s">
        <v>422</v>
      </c>
      <c r="I1081" s="259" t="s">
        <v>971</v>
      </c>
      <c r="J1081" s="142">
        <v>16</v>
      </c>
      <c r="K1081" s="258" t="s"/>
      <c r="L1081">
        <v>4730</v>
      </c>
      <c r="M1081" s="112">
        <f>=J1081*L1081</f>
        <v>75680</v>
      </c>
      <c r="N1081" s="71">
        <v>2.5</v>
      </c>
      <c r="O1081" s="189">
        <f>=ROUND(IF((TODAY()-A1081+1)*N1081*(L1081/10000)+L1081&lt;L1081*1.002,L1081*1.002,(TODAY()-A1081+1)*N1081*(L1081/10000)+L1081),2)</f>
        <v>4803.32</v>
      </c>
      <c r="P1081">
        <v>16</v>
      </c>
      <c r="Q1081" s="71">
        <f>=J1081-P1081</f>
        <v>0</v>
      </c>
      <c r="R1081">
        <v>9</v>
      </c>
      <c r="S1081" s="112">
        <f>=P1081-R1081</f>
        <v>7</v>
      </c>
      <c r="T1081" s="71">
        <f>=S1081*L1081</f>
        <v>33110</v>
      </c>
      <c r="U1081" s="190">
        <f>=J1081-P1081</f>
        <v>0</v>
      </c>
    </row>
    <row r="1082" spans="1:21" ht="15.75" customHeight="true">
      <c r="A1082" s="80">
        <v>46164</v>
      </c>
      <c r="B1082" s="71">
        <f>=TODAY()-A1082+1</f>
        <v>61</v>
      </c>
      <c r="C1082" s="71" t="s">
        <v>354</v>
      </c>
      <c r="D1082" s="71" t="s">
        <v>169</v>
      </c>
      <c r="E1082" s="365" t="s">
        <v>2179</v>
      </c>
      <c r="F1082" s="359" t="s">
        <v>956</v>
      </c>
      <c r="G1082" s="156" t="s">
        <v>421</v>
      </c>
      <c r="H1082" s="220" t="s">
        <v>422</v>
      </c>
      <c r="I1082" s="156" t="s">
        <v>965</v>
      </c>
      <c r="J1082">
        <v>8</v>
      </c>
      <c r="K1082" s="357" t="s"/>
      <c r="L1082" s="357">
        <v>7100</v>
      </c>
      <c r="M1082" s="112">
        <f>=J1082*L1082</f>
        <v>56800</v>
      </c>
      <c r="N1082" s="71">
        <v>2.5</v>
      </c>
      <c r="O1082" s="189">
        <f>=ROUND(IF((TODAY()-A1082+1)*N1082*(L1082/10000)+L1082&lt;L1082*1.002,L1082*1.002,(TODAY()-A1082+1)*N1082*(L1082/10000)+L1082),2)</f>
        <v>7210.05</v>
      </c>
      <c r="P1082">
        <v>8</v>
      </c>
      <c r="Q1082" s="71">
        <f>=J1082-P1082</f>
        <v>0</v>
      </c>
      <c r="R1082" s="339">
        <v>4</v>
      </c>
      <c r="S1082" s="112">
        <f>=P1082-R1082</f>
        <v>4</v>
      </c>
      <c r="T1082" s="71">
        <f>=S1082*L1082</f>
        <v>28400</v>
      </c>
      <c r="U1082" s="190">
        <f>=J1082-P1082</f>
        <v>0</v>
      </c>
    </row>
    <row r="1083" spans="1:21" ht="15.75" customHeight="true">
      <c r="A1083" s="80">
        <v>46164</v>
      </c>
      <c r="B1083" s="71">
        <f>=TODAY()-A1083+1</f>
        <v>61</v>
      </c>
      <c r="C1083" s="71" t="s">
        <v>354</v>
      </c>
      <c r="D1083" s="71" t="s">
        <v>169</v>
      </c>
      <c r="E1083" s="359" t="s">
        <v>2180</v>
      </c>
      <c r="F1083" s="359" t="s">
        <v>956</v>
      </c>
      <c r="G1083" s="156" t="s">
        <v>421</v>
      </c>
      <c r="H1083" s="220" t="s">
        <v>422</v>
      </c>
      <c r="I1083" s="259" t="s">
        <v>967</v>
      </c>
      <c r="J1083">
        <v>8</v>
      </c>
      <c r="K1083" s="258" t="s"/>
      <c r="L1083" s="258">
        <v>7100</v>
      </c>
      <c r="M1083" s="112">
        <f>=J1083*L1083</f>
        <v>56800</v>
      </c>
      <c r="N1083" s="71">
        <v>2.5</v>
      </c>
      <c r="O1083" s="189">
        <f>=ROUND(IF((TODAY()-A1083+1)*N1083*(L1083/10000)+L1083&lt;L1083*1.002,L1083*1.002,(TODAY()-A1083+1)*N1083*(L1083/10000)+L1083),2)</f>
        <v>7210.05</v>
      </c>
      <c r="P1083">
        <v>8</v>
      </c>
      <c r="Q1083" s="71">
        <f>=J1083-P1083</f>
        <v>0</v>
      </c>
      <c r="R1083" s="161">
        <v>6</v>
      </c>
      <c r="S1083" s="112">
        <f>=P1083-R1083</f>
        <v>2</v>
      </c>
      <c r="T1083" s="71">
        <f>=S1083*L1083</f>
        <v>14200</v>
      </c>
      <c r="U1083" s="190">
        <f>=J1083-P1083</f>
        <v>0</v>
      </c>
    </row>
    <row r="1084" spans="1:21" ht="15.75" customHeight="true">
      <c r="A1084" s="80">
        <v>46164</v>
      </c>
      <c r="B1084" s="71">
        <f>=TODAY()-A1084+1</f>
        <v>61</v>
      </c>
      <c r="C1084" s="71" t="s">
        <v>354</v>
      </c>
      <c r="D1084" s="71" t="s">
        <v>169</v>
      </c>
      <c r="E1084" s="359" t="s">
        <v>2181</v>
      </c>
      <c r="F1084" s="359" t="s">
        <v>956</v>
      </c>
      <c r="G1084" s="156" t="s">
        <v>421</v>
      </c>
      <c r="H1084" s="220" t="s">
        <v>422</v>
      </c>
      <c r="I1084" s="259" t="s">
        <v>969</v>
      </c>
      <c r="J1084">
        <v>24</v>
      </c>
      <c r="K1084" s="258" t="s"/>
      <c r="L1084" s="357">
        <v>7100</v>
      </c>
      <c r="M1084" s="112">
        <f>=J1084*L1084</f>
        <v>170400</v>
      </c>
      <c r="N1084" s="71">
        <v>2.5</v>
      </c>
      <c r="O1084" s="189">
        <f>=ROUND(IF((TODAY()-A1084+1)*N1084*(L1084/10000)+L1084&lt;L1084*1.002,L1084*1.002,(TODAY()-A1084+1)*N1084*(L1084/10000)+L1084),2)</f>
        <v>7210.05</v>
      </c>
      <c r="P1084">
        <v>24</v>
      </c>
      <c r="Q1084" s="71">
        <f>=J1084-P1084</f>
        <v>0</v>
      </c>
      <c r="R1084" s="161">
        <v>14</v>
      </c>
      <c r="S1084" s="112">
        <f>=P1084-R1084</f>
        <v>10</v>
      </c>
      <c r="T1084" s="71">
        <f>=S1084*L1084</f>
        <v>71000</v>
      </c>
      <c r="U1084" s="190">
        <f>=J1084-P1084</f>
        <v>0</v>
      </c>
    </row>
    <row r="1085" spans="1:21" ht="15.75" customHeight="true">
      <c r="A1085" s="80">
        <v>46164</v>
      </c>
      <c r="B1085" s="71">
        <f>=TODAY()-A1085+1</f>
        <v>61</v>
      </c>
      <c r="C1085" s="71" t="s">
        <v>354</v>
      </c>
      <c r="D1085" s="71" t="s">
        <v>169</v>
      </c>
      <c r="E1085" s="365" t="s">
        <v>2182</v>
      </c>
      <c r="F1085" s="359" t="s">
        <v>956</v>
      </c>
      <c r="G1085" s="156" t="s">
        <v>421</v>
      </c>
      <c r="H1085" s="220" t="s">
        <v>422</v>
      </c>
      <c r="I1085" s="156" t="s">
        <v>973</v>
      </c>
      <c r="J1085" s="357">
        <v>4</v>
      </c>
      <c r="K1085" s="357" t="s"/>
      <c r="L1085" s="357">
        <v>4730</v>
      </c>
      <c r="M1085" s="112">
        <f>=J1085*L1085</f>
        <v>18920</v>
      </c>
      <c r="N1085" s="71">
        <v>2.5</v>
      </c>
      <c r="O1085" s="189">
        <f>=ROUND(IF((TODAY()-A1085+1)*N1085*(L1085/10000)+L1085&lt;L1085*1.002,L1085*1.002,(TODAY()-A1085+1)*N1085*(L1085/10000)+L1085),2)</f>
        <v>4803.32</v>
      </c>
      <c r="P1085" s="339">
        <v>4</v>
      </c>
      <c r="Q1085" s="71">
        <f>=J1085-P1085</f>
        <v>0</v>
      </c>
      <c r="R1085">
        <v>3</v>
      </c>
      <c r="S1085" s="112">
        <f>=P1085-R1085</f>
        <v>1</v>
      </c>
      <c r="T1085" s="71">
        <f>=S1085*L1085</f>
        <v>4730</v>
      </c>
      <c r="U1085" s="190">
        <f>=J1085-P1085</f>
        <v>0</v>
      </c>
    </row>
    <row r="1086" spans="1:21" ht="15.75" customHeight="true">
      <c r="A1086" s="80">
        <v>46164</v>
      </c>
      <c r="B1086" s="71">
        <f>=TODAY()-A1086+1</f>
        <v>61</v>
      </c>
      <c r="C1086" s="71" t="s">
        <v>354</v>
      </c>
      <c r="D1086" s="71" t="s">
        <v>169</v>
      </c>
      <c r="E1086" s="365" t="s">
        <v>2183</v>
      </c>
      <c r="F1086" s="359" t="s">
        <v>956</v>
      </c>
      <c r="G1086" s="156" t="s">
        <v>421</v>
      </c>
      <c r="H1086" s="220" t="s">
        <v>422</v>
      </c>
      <c r="I1086" s="361" t="s">
        <v>975</v>
      </c>
      <c r="J1086" s="368">
        <v>4</v>
      </c>
      <c r="K1086" s="357" t="s"/>
      <c r="L1086" s="357">
        <v>4730</v>
      </c>
      <c r="M1086" s="112">
        <f>=J1086*L1086</f>
        <v>18920</v>
      </c>
      <c r="N1086" s="71">
        <v>2.5</v>
      </c>
      <c r="O1086" s="189">
        <f>=ROUND(IF((TODAY()-A1086+1)*N1086*(L1086/10000)+L1086&lt;L1086*1.002,L1086*1.002,(TODAY()-A1086+1)*N1086*(L1086/10000)+L1086),2)</f>
        <v>4803.32</v>
      </c>
      <c r="P1086" s="369">
        <v>4</v>
      </c>
      <c r="Q1086" s="71">
        <f>=J1086-P1086</f>
        <v>0</v>
      </c>
      <c r="R1086">
        <v>1</v>
      </c>
      <c r="S1086" s="112">
        <f>=P1086-R1086</f>
        <v>3</v>
      </c>
      <c r="T1086" s="71">
        <f>=S1086*L1086</f>
        <v>14190</v>
      </c>
      <c r="U1086" s="190">
        <f>=J1086-P1086</f>
        <v>0</v>
      </c>
    </row>
    <row r="1087" spans="1:21" ht="15.75" customHeight="true">
      <c r="A1087" s="80">
        <v>46164</v>
      </c>
      <c r="B1087" s="71">
        <f>=TODAY()-A1087+1</f>
        <v>61</v>
      </c>
      <c r="C1087" s="71" t="s">
        <v>354</v>
      </c>
      <c r="D1087" s="71" t="s">
        <v>169</v>
      </c>
      <c r="E1087" s="365" t="s">
        <v>2184</v>
      </c>
      <c r="F1087" s="359" t="s">
        <v>956</v>
      </c>
      <c r="G1087" s="156" t="s">
        <v>421</v>
      </c>
      <c r="H1087" s="220" t="s">
        <v>422</v>
      </c>
      <c r="I1087" s="361" t="s">
        <v>977</v>
      </c>
      <c r="J1087">
        <v>1</v>
      </c>
      <c r="K1087" s="258" t="s"/>
      <c r="L1087" s="258">
        <v>4730</v>
      </c>
      <c r="M1087" s="112">
        <f>=J1087*L1087</f>
        <v>4730</v>
      </c>
      <c r="N1087" s="71">
        <v>2.5</v>
      </c>
      <c r="O1087" s="189">
        <f>=ROUND(IF((TODAY()-A1087+1)*N1087*(L1087/10000)+L1087&lt;L1087*1.002,L1087*1.002,(TODAY()-A1087+1)*N1087*(L1087/10000)+L1087),2)</f>
        <v>4803.32</v>
      </c>
      <c r="P1087">
        <v>1</v>
      </c>
      <c r="Q1087" s="71">
        <f>=J1087-P1087</f>
        <v>0</v>
      </c>
      <c r="R1087">
        <v>1</v>
      </c>
      <c r="S1087" s="112">
        <f>=P1087-R1087</f>
        <v>0</v>
      </c>
      <c r="T1087" s="71">
        <f>=S1087*L1087</f>
        <v>0</v>
      </c>
      <c r="U1087" s="190">
        <f>=J1087-P1087</f>
        <v>0</v>
      </c>
    </row>
    <row r="1088" spans="1:21" ht="15.75" customHeight="true">
      <c r="A1088" s="80">
        <v>46164</v>
      </c>
      <c r="B1088" s="71">
        <f>=TODAY()-A1088+1</f>
        <v>61</v>
      </c>
      <c r="C1088" s="71" t="s">
        <v>357</v>
      </c>
      <c r="D1088" s="326" t="s">
        <v>356</v>
      </c>
      <c r="E1088" s="359" t="s">
        <v>2185</v>
      </c>
      <c r="F1088" s="359" t="s">
        <v>2186</v>
      </c>
      <c r="G1088" s="156" t="s">
        <v>421</v>
      </c>
      <c r="H1088" s="220" t="s">
        <v>422</v>
      </c>
      <c r="I1088" s="108" t="s">
        <v>2187</v>
      </c>
      <c r="J1088" s="357">
        <v>10</v>
      </c>
      <c r="K1088" s="357" t="s"/>
      <c r="L1088" s="366">
        <v>7100</v>
      </c>
      <c r="M1088" s="197">
        <f>=J1088*L1088</f>
        <v>71000</v>
      </c>
      <c r="N1088" s="71">
        <v>2.5</v>
      </c>
      <c r="O1088" s="189">
        <f>=ROUND(IF((TODAY()-A1088+1)*N1088*(L1088/10000)+L1088&lt;L1088*1.002,L1088*1.002,(TODAY()-A1088+1)*N1088*(L1088/10000)+L1088),2)</f>
        <v>7210.05</v>
      </c>
      <c r="P1088" s="339">
        <v>10</v>
      </c>
      <c r="Q1088" s="64">
        <f>=J1088-P1088</f>
        <v>0</v>
      </c>
      <c r="R1088" s="339">
        <v>10</v>
      </c>
      <c r="S1088" s="197">
        <f>=P1088-R1088</f>
        <v>0</v>
      </c>
      <c r="T1088" s="71">
        <f>=S1088*L1088</f>
        <v>0</v>
      </c>
      <c r="U1088" s="190">
        <f>=J1088-P1088</f>
        <v>0</v>
      </c>
    </row>
    <row r="1089" spans="1:21" ht="15.75" customHeight="true">
      <c r="A1089" s="80">
        <v>46164</v>
      </c>
      <c r="B1089" s="71">
        <f>=TODAY()-A1089+1</f>
        <v>61</v>
      </c>
      <c r="C1089" s="71" t="s">
        <v>357</v>
      </c>
      <c r="D1089" s="326" t="s">
        <v>356</v>
      </c>
      <c r="E1089" s="359" t="s">
        <v>2188</v>
      </c>
      <c r="F1089" s="359" t="s">
        <v>2186</v>
      </c>
      <c r="G1089" s="156" t="s">
        <v>421</v>
      </c>
      <c r="H1089" s="220" t="s">
        <v>422</v>
      </c>
      <c r="I1089" s="156" t="s">
        <v>731</v>
      </c>
      <c r="J1089">
        <v>40</v>
      </c>
      <c r="K1089" s="258" t="s"/>
      <c r="L1089" s="370">
        <v>7100</v>
      </c>
      <c r="M1089" s="197">
        <f>=J1089*L1089</f>
        <v>284000</v>
      </c>
      <c r="N1089" s="71">
        <v>2.5</v>
      </c>
      <c r="O1089" s="189">
        <f>=ROUND(IF((TODAY()-A1089+1)*N1089*(L1089/10000)+L1089&lt;L1089*1.002,L1089*1.002,(TODAY()-A1089+1)*N1089*(L1089/10000)+L1089),2)</f>
        <v>7210.05</v>
      </c>
      <c r="P1089">
        <v>40</v>
      </c>
      <c r="Q1089" s="64">
        <f>=J1089-P1089</f>
        <v>0</v>
      </c>
      <c r="R1089">
        <v>40</v>
      </c>
      <c r="S1089" s="197">
        <f>=P1089-R1089</f>
        <v>0</v>
      </c>
      <c r="T1089" s="71">
        <f>=S1089*L1089</f>
        <v>0</v>
      </c>
      <c r="U1089" s="190">
        <f>=J1089-P1089</f>
        <v>0</v>
      </c>
    </row>
    <row r="1090" spans="1:21" ht="15.75" customHeight="true">
      <c r="A1090" s="80">
        <v>46164</v>
      </c>
      <c r="B1090" s="71">
        <f>=TODAY()-A1090+1</f>
        <v>61</v>
      </c>
      <c r="C1090" s="71" t="s">
        <v>357</v>
      </c>
      <c r="D1090" s="326" t="s">
        <v>356</v>
      </c>
      <c r="E1090" s="359" t="s">
        <v>2189</v>
      </c>
      <c r="F1090" s="359" t="s">
        <v>2186</v>
      </c>
      <c r="G1090" s="156" t="s">
        <v>421</v>
      </c>
      <c r="H1090" s="220" t="s">
        <v>422</v>
      </c>
      <c r="I1090" s="156" t="s">
        <v>723</v>
      </c>
      <c r="J1090" s="357">
        <v>20</v>
      </c>
      <c r="K1090" s="357" t="s"/>
      <c r="L1090" s="136">
        <v>8000</v>
      </c>
      <c r="M1090" s="197">
        <f>=J1090*L1090</f>
        <v>160000</v>
      </c>
      <c r="N1090" s="71">
        <v>2.5</v>
      </c>
      <c r="O1090" s="189">
        <f>=ROUND(IF((TODAY()-A1090+1)*N1090*(L1090/10000)+L1090&lt;L1090*1.002,L1090*1.002,(TODAY()-A1090+1)*N1090*(L1090/10000)+L1090),2)</f>
        <v>8124</v>
      </c>
      <c r="P1090" s="339">
        <v>20</v>
      </c>
      <c r="Q1090" s="64">
        <f>=J1090-P1090</f>
        <v>0</v>
      </c>
      <c r="R1090" s="339">
        <v>20</v>
      </c>
      <c r="S1090" s="197">
        <f>=P1090-R1090</f>
        <v>0</v>
      </c>
      <c r="T1090" s="71">
        <f>=S1090*L1090</f>
        <v>0</v>
      </c>
      <c r="U1090" s="190">
        <f>=J1090-P1090</f>
        <v>0</v>
      </c>
    </row>
    <row r="1091" spans="1:21" ht="15.75" customHeight="true">
      <c r="A1091" s="80">
        <v>46164</v>
      </c>
      <c r="B1091" s="71">
        <f>=TODAY()-A1091+1</f>
        <v>61</v>
      </c>
      <c r="C1091" s="71" t="s">
        <v>357</v>
      </c>
      <c r="D1091" s="326" t="s">
        <v>356</v>
      </c>
      <c r="E1091" s="359" t="s">
        <v>2190</v>
      </c>
      <c r="F1091" s="359" t="s">
        <v>2186</v>
      </c>
      <c r="G1091" s="156" t="s">
        <v>421</v>
      </c>
      <c r="H1091" s="220" t="s">
        <v>422</v>
      </c>
      <c r="I1091" s="156" t="s">
        <v>721</v>
      </c>
      <c r="J1091" s="258">
        <v>20</v>
      </c>
      <c r="K1091" s="258" t="s"/>
      <c r="L1091" s="136">
        <v>8000</v>
      </c>
      <c r="M1091" s="197">
        <f>=J1091*L1091</f>
        <v>160000</v>
      </c>
      <c r="N1091" s="71">
        <v>2.5</v>
      </c>
      <c r="O1091" s="189">
        <f>=ROUND(IF((TODAY()-A1091+1)*N1091*(L1091/10000)+L1091&lt;L1091*1.002,L1091*1.002,(TODAY()-A1091+1)*N1091*(L1091/10000)+L1091),2)</f>
        <v>8124</v>
      </c>
      <c r="P1091" s="87">
        <v>20</v>
      </c>
      <c r="Q1091" s="64">
        <f>=J1091-P1091</f>
        <v>0</v>
      </c>
      <c r="R1091" s="87">
        <v>20</v>
      </c>
      <c r="S1091" s="197">
        <f>=P1091-R1091</f>
        <v>0</v>
      </c>
      <c r="T1091" s="71">
        <f>=S1091*L1091</f>
        <v>0</v>
      </c>
      <c r="U1091" s="190">
        <f>=J1091-P1091</f>
        <v>0</v>
      </c>
    </row>
    <row r="1092" spans="1:21" ht="15.75" customHeight="true">
      <c r="A1092" s="80">
        <v>46164</v>
      </c>
      <c r="B1092" s="71">
        <f>=TODAY()-A1092+1</f>
        <v>61</v>
      </c>
      <c r="C1092" s="71" t="s">
        <v>357</v>
      </c>
      <c r="D1092" s="326" t="s">
        <v>356</v>
      </c>
      <c r="E1092" s="359" t="s">
        <v>2191</v>
      </c>
      <c r="F1092" s="359" t="s">
        <v>2186</v>
      </c>
      <c r="G1092" s="156" t="s">
        <v>421</v>
      </c>
      <c r="H1092" s="220" t="s">
        <v>422</v>
      </c>
      <c r="I1092" s="156" t="s">
        <v>851</v>
      </c>
      <c r="J1092" s="258">
        <v>19</v>
      </c>
      <c r="K1092" s="258" t="s"/>
      <c r="L1092" s="366">
        <v>9700</v>
      </c>
      <c r="M1092" s="197">
        <f>=J1092*L1092</f>
        <v>184300</v>
      </c>
      <c r="N1092" s="71">
        <v>2.5</v>
      </c>
      <c r="O1092" s="189">
        <f>=ROUND(IF((TODAY()-A1092+1)*N1092*(L1092/10000)+L1092&lt;L1092*1.002,L1092*1.002,(TODAY()-A1092+1)*N1092*(L1092/10000)+L1092),2)</f>
        <v>9850.35</v>
      </c>
      <c r="P1092" s="87">
        <v>19</v>
      </c>
      <c r="Q1092" s="64">
        <f>=J1092-P1092</f>
        <v>0</v>
      </c>
      <c r="R1092" s="87">
        <v>19</v>
      </c>
      <c r="S1092" s="197">
        <f>=P1092-R1092</f>
        <v>0</v>
      </c>
      <c r="T1092" s="71">
        <f>=S1092*L1092</f>
        <v>0</v>
      </c>
      <c r="U1092" s="190">
        <f>=J1092-P1092</f>
        <v>0</v>
      </c>
    </row>
    <row r="1093" spans="1:21" ht="15.75" customHeight="true">
      <c r="A1093" s="80">
        <v>46164</v>
      </c>
      <c r="B1093" s="71">
        <f>=TODAY()-A1093+1</f>
        <v>61</v>
      </c>
      <c r="C1093" s="71" t="s">
        <v>357</v>
      </c>
      <c r="D1093" s="326" t="s">
        <v>356</v>
      </c>
      <c r="E1093" s="359" t="s">
        <v>2192</v>
      </c>
      <c r="F1093" s="359" t="s">
        <v>2186</v>
      </c>
      <c r="G1093" s="156" t="s">
        <v>421</v>
      </c>
      <c r="H1093" s="220" t="s">
        <v>422</v>
      </c>
      <c r="I1093" s="156" t="s">
        <v>852</v>
      </c>
      <c r="J1093" s="258">
        <v>20</v>
      </c>
      <c r="K1093" s="258" t="s"/>
      <c r="L1093" s="370">
        <v>9700</v>
      </c>
      <c r="M1093" s="197">
        <f>=J1093*L1093</f>
        <v>194000</v>
      </c>
      <c r="N1093" s="71">
        <v>2.5</v>
      </c>
      <c r="O1093" s="189">
        <f>=ROUND(IF((TODAY()-A1093+1)*N1093*(L1093/10000)+L1093&lt;L1093*1.002,L1093*1.002,(TODAY()-A1093+1)*N1093*(L1093/10000)+L1093),2)</f>
        <v>9850.35</v>
      </c>
      <c r="P1093" s="87">
        <v>20</v>
      </c>
      <c r="Q1093" s="64">
        <f>=J1093-P1093</f>
        <v>0</v>
      </c>
      <c r="R1093" s="87">
        <v>20</v>
      </c>
      <c r="S1093" s="197">
        <f>=P1093-R1093</f>
        <v>0</v>
      </c>
      <c r="T1093" s="71">
        <f>=S1093*L1093</f>
        <v>0</v>
      </c>
      <c r="U1093" s="190">
        <f>=J1093-P1093</f>
        <v>0</v>
      </c>
    </row>
    <row r="1094" spans="1:21" ht="15.75" customHeight="true">
      <c r="A1094" s="80">
        <v>46165</v>
      </c>
      <c r="B1094" s="71">
        <f>=TODAY()-A1094+1</f>
        <v>60</v>
      </c>
      <c r="C1094" t="s">
        <v>359</v>
      </c>
      <c r="D1094" s="71" t="s">
        <v>339</v>
      </c>
      <c r="E1094" s="356" t="s">
        <v>2193</v>
      </c>
      <c r="F1094" s="356" t="s">
        <v>2155</v>
      </c>
      <c r="G1094" s="71" t="s">
        <v>428</v>
      </c>
      <c r="H1094" s="93" t="s">
        <v>422</v>
      </c>
      <c r="I1094" s="71" t="s">
        <v>837</v>
      </c>
      <c r="J1094" s="154">
        <v>450</v>
      </c>
      <c r="K1094" s="357" t="s"/>
      <c r="L1094" s="357">
        <v>620</v>
      </c>
      <c r="M1094" s="112">
        <f>=J1094*L1094</f>
        <v>279000</v>
      </c>
      <c r="N1094" s="71">
        <v>2.6</v>
      </c>
      <c r="O1094" s="189">
        <f>=ROUND(IF((TODAY()-A1094+1)*N1094*(L1094/10000)+L1094&lt;L1094*1.002,L1094*1.002,(TODAY()-A1094+1)*N1094*(L1094/10000)+L1094),2)</f>
        <v>629.83</v>
      </c>
      <c r="P1094" s="154">
        <v>450</v>
      </c>
      <c r="Q1094" s="71">
        <f>=J1094-P1094</f>
        <v>0</v>
      </c>
      <c r="R1094">
        <v>450</v>
      </c>
      <c r="S1094" s="112">
        <f>=P1094-R1094</f>
        <v>0</v>
      </c>
      <c r="T1094" s="71">
        <f>=S1094*L1094</f>
        <v>0</v>
      </c>
      <c r="U1094" s="190">
        <f>=J1094-P1094</f>
        <v>0</v>
      </c>
    </row>
    <row r="1095" spans="1:21" ht="15.75" customHeight="true">
      <c r="A1095" s="80">
        <v>46164</v>
      </c>
      <c r="B1095" s="71">
        <f>=TODAY()-A1095+1</f>
        <v>61</v>
      </c>
      <c r="C1095" s="98" t="s">
        <v>358</v>
      </c>
      <c r="D1095" s="71" t="s">
        <v>191</v>
      </c>
      <c r="E1095" s="323" t="s">
        <v>2194</v>
      </c>
      <c r="F1095" t="s">
        <v>1076</v>
      </c>
      <c r="G1095" s="267" t="s">
        <v>741</v>
      </c>
      <c r="H1095" s="277" t="s">
        <v>422</v>
      </c>
      <c r="I1095" s="140" t="s">
        <v>1087</v>
      </c>
      <c r="J1095" s="93">
        <v>50</v>
      </c>
      <c r="K1095" s="258" t="s"/>
      <c r="L1095" s="258">
        <v>1100</v>
      </c>
      <c r="M1095" s="112">
        <f>=J1095*L1095</f>
        <v>55000</v>
      </c>
      <c r="N1095" s="71">
        <v>2.5</v>
      </c>
      <c r="O1095" s="189">
        <f>=ROUND(IF((TODAY()-A1095+1)*N1095*(L1095/10000)+L1095&lt;L1095*1.002,L1095*1.002,(TODAY()-A1095+1)*N1095*(L1095/10000)+L1095),2)</f>
        <v>1117.05</v>
      </c>
      <c r="P1095" s="71">
        <v>50</v>
      </c>
      <c r="Q1095" s="71">
        <f>=J1095-P1095</f>
        <v>0</v>
      </c>
      <c r="S1095" s="112">
        <f>=P1095-R1095</f>
        <v>50</v>
      </c>
      <c r="T1095" s="71">
        <f>=S1095*L1095</f>
        <v>55000</v>
      </c>
      <c r="U1095" s="190">
        <f>=J1095-P1095</f>
        <v>0</v>
      </c>
    </row>
    <row r="1096" spans="1:21" ht="15.75" customHeight="true">
      <c r="A1096" s="80">
        <v>46164</v>
      </c>
      <c r="B1096" s="71">
        <f>=TODAY()-A1096+1</f>
        <v>61</v>
      </c>
      <c r="C1096" s="165" t="s">
        <v>358</v>
      </c>
      <c r="D1096" s="192" t="s">
        <v>191</v>
      </c>
      <c r="E1096" s="323" t="s">
        <v>2195</v>
      </c>
      <c r="F1096" t="s">
        <v>1076</v>
      </c>
      <c r="G1096" s="64" t="s">
        <v>741</v>
      </c>
      <c r="H1096" s="83" t="s">
        <v>422</v>
      </c>
      <c r="I1096" s="83" t="s">
        <v>1161</v>
      </c>
      <c r="J1096" s="93">
        <v>141</v>
      </c>
      <c r="K1096" s="258" t="s"/>
      <c r="L1096" s="339">
        <v>1200</v>
      </c>
      <c r="M1096" s="112">
        <f>=J1096*L1096</f>
        <v>169200</v>
      </c>
      <c r="N1096" s="71">
        <v>2.5</v>
      </c>
      <c r="O1096" s="189">
        <f>=ROUND(IF((TODAY()-A1096+1)*N1096*(L1096/10000)+L1096&lt;L1096*1.002,L1096*1.002,(TODAY()-A1096+1)*N1096*(L1096/10000)+L1096),2)</f>
        <v>1218.6</v>
      </c>
      <c r="P1096" s="71">
        <v>141</v>
      </c>
      <c r="Q1096" s="71">
        <f>=J1096-P1096</f>
        <v>0</v>
      </c>
      <c r="S1096" s="112">
        <f>=P1096-R1096</f>
        <v>141</v>
      </c>
      <c r="T1096" s="71">
        <f>=S1096*L1096</f>
        <v>169200</v>
      </c>
      <c r="U1096" s="190">
        <f>=J1096-P1096</f>
        <v>0</v>
      </c>
    </row>
    <row r="1097" spans="1:21" ht="15.75" customHeight="true">
      <c r="A1097" s="80">
        <v>46164</v>
      </c>
      <c r="B1097" s="71">
        <f>=TODAY()-A1097+1</f>
        <v>61</v>
      </c>
      <c r="C1097" s="98" t="s">
        <v>358</v>
      </c>
      <c r="D1097" s="71" t="s">
        <v>191</v>
      </c>
      <c r="E1097" s="323" t="s">
        <v>2196</v>
      </c>
      <c r="F1097" t="s">
        <v>1076</v>
      </c>
      <c r="G1097" s="267" t="s">
        <v>741</v>
      </c>
      <c r="H1097" s="277" t="s">
        <v>422</v>
      </c>
      <c r="I1097" s="83" t="s">
        <v>1179</v>
      </c>
      <c r="J1097" s="93">
        <v>112</v>
      </c>
      <c r="K1097" s="258" t="s"/>
      <c r="L1097" s="339">
        <v>1200</v>
      </c>
      <c r="M1097" s="112">
        <f>=J1097*L1097</f>
        <v>134400</v>
      </c>
      <c r="N1097" s="71">
        <v>2.5</v>
      </c>
      <c r="O1097" s="189">
        <f>=ROUND(IF((TODAY()-A1097+1)*N1097*(L1097/10000)+L1097&lt;L1097*1.002,L1097*1.002,(TODAY()-A1097+1)*N1097*(L1097/10000)+L1097),2)</f>
        <v>1218.6</v>
      </c>
      <c r="P1097" s="71">
        <v>112</v>
      </c>
      <c r="Q1097" s="71">
        <f>=J1097-P1097</f>
        <v>0</v>
      </c>
      <c r="S1097" s="112">
        <f>=P1097-R1097</f>
        <v>112</v>
      </c>
      <c r="T1097" s="71">
        <f>=S1097*L1097</f>
        <v>134400</v>
      </c>
      <c r="U1097" s="190">
        <f>=J1097-P1097</f>
        <v>0</v>
      </c>
    </row>
    <row r="1098" spans="1:21" ht="15.75" customHeight="true">
      <c r="A1098" s="80">
        <v>46164</v>
      </c>
      <c r="B1098" s="71">
        <f>=TODAY()-A1098+1</f>
        <v>61</v>
      </c>
      <c r="C1098" s="165" t="s">
        <v>358</v>
      </c>
      <c r="D1098" s="192" t="s">
        <v>191</v>
      </c>
      <c r="E1098" s="323" t="s">
        <v>2197</v>
      </c>
      <c r="F1098" t="s">
        <v>1076</v>
      </c>
      <c r="G1098" s="64" t="s">
        <v>741</v>
      </c>
      <c r="H1098" s="83" t="s">
        <v>422</v>
      </c>
      <c r="I1098" s="83" t="s">
        <v>1650</v>
      </c>
      <c r="J1098" s="93">
        <v>97</v>
      </c>
      <c r="K1098" s="258" t="s"/>
      <c r="L1098" s="339">
        <v>1200</v>
      </c>
      <c r="M1098" s="112">
        <f>=J1098*L1098</f>
        <v>116400</v>
      </c>
      <c r="N1098" s="71">
        <v>2.5</v>
      </c>
      <c r="O1098" s="189">
        <f>=ROUND(IF((TODAY()-A1098+1)*N1098*(L1098/10000)+L1098&lt;L1098*1.002,L1098*1.002,(TODAY()-A1098+1)*N1098*(L1098/10000)+L1098),2)</f>
        <v>1218.6</v>
      </c>
      <c r="P1098" s="71">
        <v>97</v>
      </c>
      <c r="Q1098" s="71">
        <f>=J1098-P1098</f>
        <v>0</v>
      </c>
      <c r="S1098" s="112">
        <f>=P1098-R1098</f>
        <v>97</v>
      </c>
      <c r="T1098" s="71">
        <f>=S1098*L1098</f>
        <v>116400</v>
      </c>
      <c r="U1098" s="190">
        <f>=J1098-P1098</f>
        <v>0</v>
      </c>
    </row>
    <row r="1099" spans="1:21" ht="15.75" customHeight="true">
      <c r="A1099" s="80">
        <v>46167</v>
      </c>
      <c r="B1099" s="71">
        <f>=TODAY()-A1099+1</f>
        <v>58</v>
      </c>
      <c r="C1099" s="80" t="s">
        <v>360</v>
      </c>
      <c r="D1099" s="141" t="s">
        <v>252</v>
      </c>
      <c r="E1099" s="136" t="s">
        <v>2198</v>
      </c>
      <c r="G1099" s="87" t="s">
        <v>428</v>
      </c>
      <c r="H1099" s="258" t="s">
        <v>429</v>
      </c>
      <c r="I1099" s="258" t="s">
        <v>596</v>
      </c>
      <c r="J1099" s="351">
        <v>10</v>
      </c>
      <c r="K1099" s="351" t="s"/>
      <c r="L1099" s="332">
        <v>560</v>
      </c>
      <c r="M1099" s="197">
        <f>=J1099*L1099</f>
        <v>5600</v>
      </c>
      <c r="N1099" s="87">
        <v>3</v>
      </c>
      <c r="O1099" s="189">
        <f>=ROUND(IF((TODAY()-A1099+1)*N1099*(L1099/10000)+L1099&lt;L1099*1.002,L1099*1.002,(TODAY()-A1099+1)*N1099*(L1099/10000)+L1099),2)</f>
        <v>569.91</v>
      </c>
      <c r="P1099" s="154">
        <v>10</v>
      </c>
      <c r="Q1099" s="64">
        <f>=J1099-P1099</f>
        <v>0</v>
      </c>
      <c r="R1099" s="87">
        <v>10</v>
      </c>
      <c r="S1099" s="197">
        <f>=P1099-R1099</f>
        <v>0</v>
      </c>
      <c r="T1099" s="71">
        <f>=S1099*L1099</f>
        <v>0</v>
      </c>
      <c r="U1099" s="190">
        <f>=J1099-P1099</f>
        <v>0</v>
      </c>
    </row>
    <row r="1100" spans="1:21" ht="15.75" customHeight="true">
      <c r="A1100" s="80">
        <v>46170</v>
      </c>
      <c r="B1100" s="71">
        <f>=TODAY()-A1100+1</f>
        <v>55</v>
      </c>
      <c r="C1100" t="s">
        <v>362</v>
      </c>
      <c r="D1100" s="71" t="s">
        <v>339</v>
      </c>
      <c r="E1100" s="356" t="s">
        <v>2199</v>
      </c>
      <c r="F1100" s="355" t="s">
        <v>2155</v>
      </c>
      <c r="G1100" s="71" t="s">
        <v>428</v>
      </c>
      <c r="H1100" s="93" t="s">
        <v>422</v>
      </c>
      <c r="I1100" s="83" t="s">
        <v>833</v>
      </c>
      <c r="J1100" s="371">
        <v>2450</v>
      </c>
      <c r="K1100" s="258" t="s"/>
      <c r="L1100">
        <v>730</v>
      </c>
      <c r="M1100" s="112">
        <f>=J1100*L1100</f>
        <v>1788500</v>
      </c>
      <c r="N1100" s="71">
        <v>2.6</v>
      </c>
      <c r="O1100" s="189">
        <f>=ROUND(IF((TODAY()-A1100+1)*N1100*(L1100/10000)+L1100&lt;L1100*1.002,L1100*1.002,(TODAY()-A1100+1)*N1100*(L1100/10000)+L1100),2)</f>
        <v>740.63</v>
      </c>
      <c r="P1100" s="372">
        <v>2450</v>
      </c>
      <c r="Q1100" s="71">
        <f>=J1100-P1100</f>
        <v>0</v>
      </c>
      <c r="R1100">
        <v>1550</v>
      </c>
      <c r="S1100" s="112">
        <f>=P1100-R1100</f>
        <v>900</v>
      </c>
      <c r="T1100" s="71">
        <f>=S1100*L1100</f>
        <v>657000</v>
      </c>
      <c r="U1100" s="190">
        <f>=J1100-P1100</f>
        <v>0</v>
      </c>
    </row>
    <row r="1101" spans="1:21" ht="15.75" customHeight="true">
      <c r="A1101" s="80">
        <v>46170</v>
      </c>
      <c r="B1101" s="71">
        <f>=TODAY()-A1101+1</f>
        <v>55</v>
      </c>
      <c r="C1101" s="64" t="s">
        <v>363</v>
      </c>
      <c r="D1101" s="64" t="s">
        <v>181</v>
      </c>
      <c r="E1101" s="323" t="s">
        <v>2200</v>
      </c>
      <c r="G1101" s="64" t="s">
        <v>428</v>
      </c>
      <c r="H1101" s="83" t="s">
        <v>449</v>
      </c>
      <c r="I1101" s="83" t="s">
        <v>658</v>
      </c>
      <c r="J1101" s="258">
        <v>1785</v>
      </c>
      <c r="K1101" s="357" t="s"/>
      <c r="L1101" s="339">
        <v>1481</v>
      </c>
      <c r="M1101" s="197">
        <f>=J1101*L1101</f>
        <v>2643585</v>
      </c>
      <c r="N1101" s="64">
        <v>2.5</v>
      </c>
      <c r="O1101" s="189">
        <f>=ROUND(IF((TODAY()-A1101+1)*N1101*(L1101/10000)+L1101&lt;L1101*1.002,L1101*1.002,(TODAY()-A1101+1)*N1101*(L1101/10000)+L1101),2)</f>
        <v>1501.73</v>
      </c>
      <c r="P1101" s="87">
        <v>1785</v>
      </c>
      <c r="Q1101" s="64">
        <f>=J1101-P1101</f>
        <v>0</v>
      </c>
      <c r="S1101" s="140">
        <v>1785</v>
      </c>
      <c r="T1101" s="71">
        <f>=S1101*L1101</f>
        <v>2643585</v>
      </c>
      <c r="U1101" s="190">
        <f>=J1101-P1101</f>
        <v>0</v>
      </c>
    </row>
    <row r="1102" spans="1:21" ht="15.75" customHeight="true">
      <c r="A1102" s="80">
        <v>46170</v>
      </c>
      <c r="B1102" s="71">
        <f>=TODAY()-A1102+1</f>
        <v>55</v>
      </c>
      <c r="C1102" s="64" t="s">
        <v>363</v>
      </c>
      <c r="D1102" s="64" t="s">
        <v>181</v>
      </c>
      <c r="E1102" s="323" t="s">
        <v>2201</v>
      </c>
      <c r="G1102" s="64" t="s">
        <v>428</v>
      </c>
      <c r="H1102" s="83" t="s">
        <v>449</v>
      </c>
      <c r="I1102" s="101" t="s">
        <v>733</v>
      </c>
      <c r="J1102">
        <v>2000</v>
      </c>
      <c r="K1102" s="357" t="s"/>
      <c r="L1102" s="339">
        <v>1172</v>
      </c>
      <c r="M1102" s="197">
        <f>=J1102*L1102</f>
        <v>2344000</v>
      </c>
      <c r="N1102" s="64">
        <v>2.5</v>
      </c>
      <c r="O1102" s="189">
        <f>=ROUND(IF((TODAY()-A1102+1)*N1102*(L1102/10000)+L1102&lt;L1102*1.002,L1102*1.002,(TODAY()-A1102+1)*N1102*(L1102/10000)+L1102),2)</f>
        <v>1188.41</v>
      </c>
      <c r="P1102">
        <v>2000</v>
      </c>
      <c r="Q1102" s="64">
        <f>=J1102-P1102</f>
        <v>0</v>
      </c>
      <c r="S1102">
        <v>2000</v>
      </c>
      <c r="T1102" s="71">
        <f>=S1102*L1102</f>
        <v>2344000</v>
      </c>
      <c r="U1102" s="190">
        <f>=J1102-P1102</f>
        <v>0</v>
      </c>
    </row>
    <row r="1103" spans="1:21" ht="15.75" customHeight="true">
      <c r="A1103" s="80">
        <v>46199</v>
      </c>
      <c r="B1103" s="71">
        <f>=TODAY()-A1103+1</f>
        <v>26</v>
      </c>
      <c r="C1103" s="64" t="s">
        <v>364</v>
      </c>
      <c r="D1103" s="64" t="s">
        <v>181</v>
      </c>
      <c r="E1103" s="94" t="s">
        <v>2202</v>
      </c>
      <c r="G1103" s="64" t="s">
        <v>428</v>
      </c>
      <c r="H1103" s="83" t="s">
        <v>449</v>
      </c>
      <c r="I1103" s="136" t="s">
        <v>2203</v>
      </c>
      <c r="J1103">
        <v>5000</v>
      </c>
      <c r="L1103">
        <v>1172</v>
      </c>
      <c r="M1103" s="197">
        <f>=J1103*L1103</f>
        <v>5860000</v>
      </c>
      <c r="N1103" s="64">
        <v>2.5</v>
      </c>
      <c r="O1103" s="189">
        <f>=ROUND(IF((TODAY()-A1103+1)*N1103*(L1103/10000)+L1103&lt;L1103*1.002,L1103*1.002,(TODAY()-A1103+1)*N1103*(L1103/10000)+L1103),2)</f>
        <v>1179.91</v>
      </c>
      <c r="P1103" s="267">
        <v>5000</v>
      </c>
      <c r="Q1103" s="64">
        <f>=J1103-P1103</f>
        <v>0</v>
      </c>
      <c r="S1103" s="262">
        <v>5000</v>
      </c>
      <c r="T1103" s="71">
        <f>=S1103*L1103</f>
        <v>5860000</v>
      </c>
      <c r="U1103" s="190">
        <f>=J1103-P1103</f>
        <v>0</v>
      </c>
    </row>
    <row r="1104" spans="1:21" ht="15.75" customHeight="true">
      <c r="A1104" s="80">
        <v>46202</v>
      </c>
      <c r="B1104" s="71">
        <f>=TODAY()-A1104+1</f>
        <v>23</v>
      </c>
      <c r="C1104" s="98" t="s">
        <v>365</v>
      </c>
      <c r="D1104" s="326" t="s">
        <v>333</v>
      </c>
      <c r="E1104" s="365" t="s">
        <v>2204</v>
      </c>
      <c r="F1104" s="323" t="s">
        <v>2108</v>
      </c>
      <c r="G1104" t="s">
        <v>804</v>
      </c>
      <c r="H1104" s="258" t="s">
        <v>429</v>
      </c>
      <c r="I1104" s="373" t="s">
        <v>2113</v>
      </c>
      <c r="J1104" s="357">
        <v>300</v>
      </c>
      <c r="K1104" s="357" t="s"/>
      <c r="L1104" s="357">
        <v>270</v>
      </c>
      <c r="M1104" s="197">
        <f>=J1104*L1104</f>
        <v>81000</v>
      </c>
      <c r="N1104" s="262">
        <v>2.8</v>
      </c>
      <c r="O1104" s="189">
        <f>=ROUND(IF((TODAY()-A1104+1)*N1104*(L1104/10000)+L1104&lt;L1104*1.002,L1104*1.002,(TODAY()-A1104+1)*N1104*(L1104/10000)+L1104),2)</f>
        <v>271.81</v>
      </c>
      <c r="P1104" s="339">
        <v>300</v>
      </c>
      <c r="Q1104" s="64">
        <f>=J1104-P1104</f>
        <v>0</v>
      </c>
      <c r="R1104">
        <v>0</v>
      </c>
      <c r="S1104" s="197">
        <f>=P1104-R1104</f>
        <v>300</v>
      </c>
      <c r="T1104" s="71">
        <f>=S1104*L1104</f>
        <v>81000</v>
      </c>
      <c r="U1104" s="190">
        <f>=J1104-P1104</f>
        <v>0</v>
      </c>
    </row>
    <row r="1105" spans="1:21" ht="15.75" customHeight="true">
      <c r="A1105" s="80">
        <v>46202</v>
      </c>
      <c r="B1105" s="71">
        <f>=TODAY()-A1105+1</f>
        <v>23</v>
      </c>
      <c r="C1105" s="98" t="s">
        <v>365</v>
      </c>
      <c r="D1105" s="326" t="s">
        <v>333</v>
      </c>
      <c r="E1105" s="323" t="s">
        <v>2205</v>
      </c>
      <c r="F1105" s="323" t="s">
        <v>2108</v>
      </c>
      <c r="G1105" t="s">
        <v>804</v>
      </c>
      <c r="H1105" s="258" t="s">
        <v>429</v>
      </c>
      <c r="I1105" s="374" t="s">
        <v>2111</v>
      </c>
      <c r="J1105" s="357">
        <v>150</v>
      </c>
      <c r="K1105" s="357" t="s"/>
      <c r="L1105" s="357">
        <v>270</v>
      </c>
      <c r="M1105" s="197">
        <f>=J1105*L1105</f>
        <v>40500</v>
      </c>
      <c r="N1105" s="262">
        <v>2.8</v>
      </c>
      <c r="O1105" s="189">
        <f>=ROUND(IF((TODAY()-A1105+1)*N1105*(L1105/10000)+L1105&lt;L1105*1.002,L1105*1.002,(TODAY()-A1105+1)*N1105*(L1105/10000)+L1105),2)</f>
        <v>271.81</v>
      </c>
      <c r="P1105" s="339">
        <v>150</v>
      </c>
      <c r="Q1105" s="64">
        <v>0</v>
      </c>
      <c r="R1105">
        <v>0</v>
      </c>
      <c r="S1105" s="197">
        <f>=P1105-R1105</f>
        <v>150</v>
      </c>
      <c r="T1105" s="71">
        <f>=S1105*L1105</f>
        <v>40500</v>
      </c>
      <c r="U1105" s="190">
        <f>=J1105-P1105</f>
        <v>0</v>
      </c>
    </row>
    <row r="1106" spans="1:21" ht="15.75" customHeight="true">
      <c r="A1106" s="80">
        <v>46202</v>
      </c>
      <c r="B1106" s="71">
        <f>=TODAY()-A1106+1</f>
        <v>23</v>
      </c>
      <c r="C1106" s="98" t="s">
        <v>365</v>
      </c>
      <c r="D1106" s="326" t="s">
        <v>333</v>
      </c>
      <c r="E1106" s="365" t="s">
        <v>2206</v>
      </c>
      <c r="F1106" s="323" t="s">
        <v>2108</v>
      </c>
      <c r="G1106" t="s">
        <v>804</v>
      </c>
      <c r="H1106" s="258" t="s">
        <v>429</v>
      </c>
      <c r="I1106" s="374" t="s">
        <v>2207</v>
      </c>
      <c r="J1106" s="357">
        <v>50</v>
      </c>
      <c r="K1106" s="357" t="s"/>
      <c r="L1106" s="357">
        <v>500</v>
      </c>
      <c r="M1106" s="197">
        <f>=J1106*L1106</f>
        <v>25000</v>
      </c>
      <c r="N1106" s="262">
        <v>2.8</v>
      </c>
      <c r="O1106" s="189">
        <f>=ROUND(IF((TODAY()-A1106+1)*N1106*(L1106/10000)+L1106&lt;L1106*1.002,L1106*1.002,(TODAY()-A1106+1)*N1106*(L1106/10000)+L1106),2)</f>
        <v>503.36</v>
      </c>
      <c r="P1106" s="339">
        <v>50</v>
      </c>
      <c r="Q1106" s="64">
        <f>=J1106-P1106</f>
        <v>0</v>
      </c>
      <c r="R1106">
        <v>0</v>
      </c>
      <c r="S1106" s="197">
        <f>=P1106-R1106</f>
        <v>50</v>
      </c>
      <c r="T1106" s="71">
        <f>=S1106*L1106</f>
        <v>25000</v>
      </c>
      <c r="U1106" s="190">
        <f>=J1106-P1106</f>
        <v>0</v>
      </c>
    </row>
    <row r="1107" spans="1:21" ht="15.75" customHeight="true">
      <c r="A1107" s="80">
        <v>46202</v>
      </c>
      <c r="B1107" s="71">
        <f>=TODAY()-A1107+1</f>
        <v>23</v>
      </c>
      <c r="C1107" s="98" t="s">
        <v>365</v>
      </c>
      <c r="D1107" s="326" t="s">
        <v>333</v>
      </c>
      <c r="E1107" s="365" t="s">
        <v>2208</v>
      </c>
      <c r="F1107" s="323" t="s">
        <v>2108</v>
      </c>
      <c r="G1107" t="s">
        <v>804</v>
      </c>
      <c r="H1107" s="258" t="s">
        <v>429</v>
      </c>
      <c r="I1107" s="87" t="s">
        <v>2209</v>
      </c>
      <c r="J1107" s="357">
        <v>35</v>
      </c>
      <c r="K1107" s="357" t="s"/>
      <c r="L1107" s="357">
        <v>2375</v>
      </c>
      <c r="M1107" s="197">
        <f>=J1107*L1107</f>
        <v>83125</v>
      </c>
      <c r="N1107" s="262">
        <v>2.8</v>
      </c>
      <c r="O1107" s="189">
        <f>=ROUND(IF((TODAY()-A1107+1)*N1107*(L1107/10000)+L1107&lt;L1107*1.002,L1107*1.002,(TODAY()-A1107+1)*N1107*(L1107/10000)+L1107),2)</f>
        <v>2390.96</v>
      </c>
      <c r="P1107" s="339">
        <v>35</v>
      </c>
      <c r="Q1107" s="64">
        <v>0</v>
      </c>
      <c r="R1107">
        <v>0</v>
      </c>
      <c r="S1107" s="197">
        <f>=P1107-R1107</f>
        <v>35</v>
      </c>
      <c r="T1107" s="71">
        <f>=S1107*L1107</f>
        <v>83125</v>
      </c>
      <c r="U1107" s="190">
        <f>=J1107-P1107</f>
        <v>0</v>
      </c>
    </row>
    <row r="1108" spans="1:21" ht="15.75" customHeight="true">
      <c r="A1108" s="80">
        <v>46202</v>
      </c>
      <c r="B1108" s="71">
        <f>=TODAY()-A1108+1</f>
        <v>23</v>
      </c>
      <c r="C1108" s="98" t="s">
        <v>365</v>
      </c>
      <c r="D1108" s="326" t="s">
        <v>333</v>
      </c>
      <c r="E1108" s="365" t="s">
        <v>2210</v>
      </c>
      <c r="F1108" s="323" t="s">
        <v>2108</v>
      </c>
      <c r="G1108" t="s">
        <v>804</v>
      </c>
      <c r="H1108" s="258" t="s">
        <v>429</v>
      </c>
      <c r="I1108" s="87" t="s">
        <v>2211</v>
      </c>
      <c r="J1108" s="357">
        <v>500</v>
      </c>
      <c r="K1108" s="357" t="s"/>
      <c r="L1108" s="357">
        <v>285</v>
      </c>
      <c r="M1108" s="197">
        <f>=J1108*L1108</f>
        <v>142500</v>
      </c>
      <c r="N1108" s="262">
        <v>2.8</v>
      </c>
      <c r="O1108" s="189">
        <f>=ROUND(IF((TODAY()-A1108+1)*N1108*(L1108/10000)+L1108&lt;L1108*1.002,L1108*1.002,(TODAY()-A1108+1)*N1108*(L1108/10000)+L1108),2)</f>
        <v>286.92</v>
      </c>
      <c r="P1108" s="339">
        <v>500</v>
      </c>
      <c r="Q1108" s="64">
        <f>=J1108-P1108</f>
        <v>0</v>
      </c>
      <c r="R1108" s="339">
        <v>500</v>
      </c>
      <c r="S1108" s="197">
        <f>=P1108-R1108</f>
        <v>0</v>
      </c>
      <c r="T1108" s="71">
        <f>=S1108*L1108</f>
        <v>0</v>
      </c>
      <c r="U1108" s="190">
        <f>=J1108-P1108</f>
        <v>0</v>
      </c>
    </row>
    <row r="1109" spans="1:21" ht="15.75" customHeight="true">
      <c r="A1109" s="80">
        <v>46202</v>
      </c>
      <c r="B1109" s="71">
        <f>=TODAY()-A1109+1</f>
        <v>23</v>
      </c>
      <c r="C1109" s="98" t="s">
        <v>365</v>
      </c>
      <c r="D1109" s="326" t="s">
        <v>333</v>
      </c>
      <c r="E1109" s="365" t="s">
        <v>2212</v>
      </c>
      <c r="F1109" s="323" t="s">
        <v>2108</v>
      </c>
      <c r="G1109" t="s">
        <v>804</v>
      </c>
      <c r="H1109" s="258" t="s">
        <v>429</v>
      </c>
      <c r="I1109" s="87" t="s">
        <v>2213</v>
      </c>
      <c r="J1109" s="357">
        <v>700</v>
      </c>
      <c r="K1109" s="357" t="s"/>
      <c r="L1109" s="357">
        <v>335</v>
      </c>
      <c r="M1109" s="197">
        <f>=J1109*L1109</f>
        <v>234500</v>
      </c>
      <c r="N1109" s="262">
        <v>2.8</v>
      </c>
      <c r="O1109" s="189">
        <f>=ROUND(IF((TODAY()-A1109+1)*N1109*(L1109/10000)+L1109&lt;L1109*1.002,L1109*1.002,(TODAY()-A1109+1)*N1109*(L1109/10000)+L1109),2)</f>
        <v>337.25</v>
      </c>
      <c r="P1109" s="339">
        <v>700</v>
      </c>
      <c r="Q1109" s="64">
        <v>0</v>
      </c>
      <c r="R1109">
        <v>0</v>
      </c>
      <c r="S1109" s="197">
        <f>=P1109-R1109</f>
        <v>700</v>
      </c>
      <c r="T1109" s="71">
        <f>=S1109*L1109</f>
        <v>234500</v>
      </c>
      <c r="U1109" s="190">
        <f>=J1109-P1109</f>
        <v>0</v>
      </c>
    </row>
    <row r="1110" spans="1:21" ht="15.75" customHeight="true">
      <c r="A1110" s="80">
        <v>46202</v>
      </c>
      <c r="B1110" s="71">
        <f>=TODAY()-A1110+1</f>
        <v>23</v>
      </c>
      <c r="C1110" s="98" t="s">
        <v>365</v>
      </c>
      <c r="D1110" s="326" t="s">
        <v>333</v>
      </c>
      <c r="E1110" s="365" t="s">
        <v>2214</v>
      </c>
      <c r="F1110" s="323" t="s">
        <v>2108</v>
      </c>
      <c r="G1110" t="s">
        <v>804</v>
      </c>
      <c r="H1110" s="258" t="s">
        <v>429</v>
      </c>
      <c r="I1110" s="87" t="s">
        <v>2125</v>
      </c>
      <c r="J1110" s="357">
        <v>20</v>
      </c>
      <c r="K1110" s="357" t="s"/>
      <c r="L1110" s="357">
        <v>1095</v>
      </c>
      <c r="M1110" s="197">
        <f>=J1110*L1110</f>
        <v>21900</v>
      </c>
      <c r="N1110" s="262">
        <v>2.8</v>
      </c>
      <c r="O1110" s="189">
        <f>=ROUND(IF((TODAY()-A1110+1)*N1110*(L1110/10000)+L1110&lt;L1110*1.002,L1110*1.002,(TODAY()-A1110+1)*N1110*(L1110/10000)+L1110),2)</f>
        <v>1102.36</v>
      </c>
      <c r="P1110" s="339">
        <v>20</v>
      </c>
      <c r="Q1110" s="64">
        <f>=J1110-P1110</f>
        <v>0</v>
      </c>
      <c r="R1110" s="339">
        <v>20</v>
      </c>
      <c r="S1110" s="197">
        <f>=P1110-R1110</f>
        <v>0</v>
      </c>
      <c r="T1110" s="71">
        <f>=S1110*L1110</f>
        <v>0</v>
      </c>
      <c r="U1110" s="190">
        <f>=J1110-P1110</f>
        <v>0</v>
      </c>
    </row>
    <row r="1111" spans="1:21" ht="15.75" customHeight="true">
      <c r="A1111" s="80">
        <v>46202</v>
      </c>
      <c r="B1111" s="71">
        <f>=TODAY()-A1111+1</f>
        <v>23</v>
      </c>
      <c r="C1111" s="98" t="s">
        <v>365</v>
      </c>
      <c r="D1111" s="326" t="s">
        <v>333</v>
      </c>
      <c r="E1111" s="365" t="s">
        <v>2215</v>
      </c>
      <c r="F1111" s="323" t="s">
        <v>2108</v>
      </c>
      <c r="G1111" t="s">
        <v>804</v>
      </c>
      <c r="H1111" s="258" t="s">
        <v>429</v>
      </c>
      <c r="I1111" s="87" t="s">
        <v>2216</v>
      </c>
      <c r="J1111" s="357">
        <v>20</v>
      </c>
      <c r="K1111" s="357" t="s"/>
      <c r="L1111" s="357">
        <v>80</v>
      </c>
      <c r="M1111" s="197">
        <f>=J1111*L1111</f>
        <v>1600</v>
      </c>
      <c r="N1111" s="262">
        <v>2.8</v>
      </c>
      <c r="O1111" s="189">
        <f>=ROUND(IF((TODAY()-A1111+1)*N1111*(L1111/10000)+L1111&lt;L1111*1.002,L1111*1.002,(TODAY()-A1111+1)*N1111*(L1111/10000)+L1111),2)</f>
        <v>80.54</v>
      </c>
      <c r="P1111" s="339">
        <v>20</v>
      </c>
      <c r="Q1111" s="64">
        <v>0</v>
      </c>
      <c r="R1111" s="339">
        <v>20</v>
      </c>
      <c r="S1111" s="197">
        <f>=P1111-R1111</f>
        <v>0</v>
      </c>
      <c r="T1111" s="71">
        <f>=S1111*L1111</f>
        <v>0</v>
      </c>
      <c r="U1111" s="190">
        <f>=J1111-P1111</f>
        <v>0</v>
      </c>
    </row>
    <row r="1112" spans="1:21" ht="15.75" customHeight="true">
      <c r="A1112" s="80">
        <v>46202</v>
      </c>
      <c r="B1112" s="71">
        <f>=TODAY()-A1112+1</f>
        <v>23</v>
      </c>
      <c r="C1112" s="98" t="s">
        <v>365</v>
      </c>
      <c r="D1112" s="334" t="s">
        <v>333</v>
      </c>
      <c r="E1112" s="365" t="s">
        <v>2217</v>
      </c>
      <c r="F1112" s="323" t="s">
        <v>2108</v>
      </c>
      <c r="G1112" t="s">
        <v>804</v>
      </c>
      <c r="H1112" s="258" t="s">
        <v>429</v>
      </c>
      <c r="I1112" s="374" t="s">
        <v>2218</v>
      </c>
      <c r="J1112" s="357">
        <v>300</v>
      </c>
      <c r="K1112" s="357" t="s"/>
      <c r="L1112" s="357">
        <v>95</v>
      </c>
      <c r="M1112" s="197">
        <f>=J1112*L1112</f>
        <v>28500</v>
      </c>
      <c r="N1112" s="262">
        <v>2.8</v>
      </c>
      <c r="O1112" s="189">
        <f>=ROUND(IF((TODAY()-A1112+1)*N1112*(L1112/10000)+L1112&lt;L1112*1.002,L1112*1.002,(TODAY()-A1112+1)*N1112*(L1112/10000)+L1112),2)</f>
        <v>95.64</v>
      </c>
      <c r="P1112" s="339">
        <v>300</v>
      </c>
      <c r="Q1112" s="64">
        <f>=J1112-P1112</f>
        <v>0</v>
      </c>
      <c r="R1112">
        <v>0</v>
      </c>
      <c r="S1112" s="197">
        <f>=P1112-R1112</f>
        <v>300</v>
      </c>
      <c r="T1112" s="71">
        <f>=S1112*L1112</f>
        <v>28500</v>
      </c>
      <c r="U1112" s="190">
        <f>=J1112-P1112</f>
        <v>0</v>
      </c>
    </row>
    <row r="1113" spans="1:21" ht="15.75" customHeight="true">
      <c r="A1113" s="80">
        <v>46202</v>
      </c>
      <c r="B1113" s="71">
        <f>=TODAY()-A1113+1</f>
        <v>23</v>
      </c>
      <c r="C1113" s="98" t="s">
        <v>365</v>
      </c>
      <c r="D1113" s="326" t="s">
        <v>333</v>
      </c>
      <c r="E1113" s="365" t="s">
        <v>2219</v>
      </c>
      <c r="F1113" s="323" t="s">
        <v>2108</v>
      </c>
      <c r="G1113" t="s">
        <v>804</v>
      </c>
      <c r="H1113" s="258" t="s">
        <v>429</v>
      </c>
      <c r="I1113" s="87" t="s">
        <v>2220</v>
      </c>
      <c r="J1113" s="357">
        <v>180</v>
      </c>
      <c r="K1113" s="357" t="s"/>
      <c r="L1113" s="357">
        <v>150</v>
      </c>
      <c r="M1113" s="197">
        <f>=J1113*L1113</f>
        <v>27000</v>
      </c>
      <c r="N1113" s="262">
        <v>2.8</v>
      </c>
      <c r="O1113" s="189">
        <f>=ROUND(IF((TODAY()-A1113+1)*N1113*(L1113/10000)+L1113&lt;L1113*1.002,L1113*1.002,(TODAY()-A1113+1)*N1113*(L1113/10000)+L1113),2)</f>
        <v>151.01</v>
      </c>
      <c r="P1113" s="339">
        <v>180</v>
      </c>
      <c r="Q1113" s="64">
        <v>0</v>
      </c>
      <c r="R1113" s="339">
        <v>180</v>
      </c>
      <c r="S1113" s="197">
        <f>=P1113-R1113</f>
        <v>0</v>
      </c>
      <c r="T1113" s="71">
        <f>=S1113*L1113</f>
        <v>0</v>
      </c>
      <c r="U1113" s="190">
        <f>=J1113-P1113</f>
        <v>0</v>
      </c>
    </row>
    <row r="1114" spans="1:21" ht="15.75" customHeight="true">
      <c r="A1114" s="80">
        <v>46202</v>
      </c>
      <c r="B1114" s="71">
        <f>=TODAY()-A1114+1</f>
        <v>23</v>
      </c>
      <c r="C1114" s="98" t="s">
        <v>365</v>
      </c>
      <c r="D1114" s="326" t="s">
        <v>333</v>
      </c>
      <c r="E1114" s="365" t="s">
        <v>2221</v>
      </c>
      <c r="F1114" s="323" t="s">
        <v>2108</v>
      </c>
      <c r="G1114" t="s">
        <v>804</v>
      </c>
      <c r="H1114" s="258" t="s">
        <v>429</v>
      </c>
      <c r="I1114" s="374" t="s">
        <v>2220</v>
      </c>
      <c r="J1114" s="357">
        <v>250</v>
      </c>
      <c r="K1114" s="357" t="s"/>
      <c r="L1114" s="357">
        <v>165</v>
      </c>
      <c r="M1114" s="197">
        <f>=J1114*L1114</f>
        <v>41250</v>
      </c>
      <c r="N1114" s="262">
        <v>2.8</v>
      </c>
      <c r="O1114" s="189">
        <f>=ROUND(IF((TODAY()-A1114+1)*N1114*(L1114/10000)+L1114&lt;L1114*1.002,L1114*1.002,(TODAY()-A1114+1)*N1114*(L1114/10000)+L1114),2)</f>
        <v>166.11</v>
      </c>
      <c r="P1114" s="339">
        <v>250</v>
      </c>
      <c r="Q1114" s="64">
        <f>=J1114-P1114</f>
        <v>0</v>
      </c>
      <c r="R1114">
        <v>0</v>
      </c>
      <c r="S1114" s="197">
        <f>=P1114-R1114</f>
        <v>250</v>
      </c>
      <c r="T1114" s="71">
        <f>=S1114*L1114</f>
        <v>41250</v>
      </c>
      <c r="U1114" s="190">
        <f>=J1114-P1114</f>
        <v>0</v>
      </c>
    </row>
    <row r="1115" spans="1:21">
      <c r="A1115" s="80">
        <v>46202</v>
      </c>
      <c r="B1115" s="71">
        <f>=TODAY()-A1115+1</f>
        <v>23</v>
      </c>
      <c r="C1115" s="98" t="s">
        <v>365</v>
      </c>
      <c r="D1115" s="326" t="s">
        <v>333</v>
      </c>
      <c r="E1115" s="359" t="s">
        <v>2222</v>
      </c>
      <c r="F1115" s="323" t="s">
        <v>2108</v>
      </c>
      <c r="G1115" t="s">
        <v>804</v>
      </c>
      <c r="H1115" s="87" t="s">
        <v>429</v>
      </c>
      <c r="I1115" s="87" t="s">
        <v>2223</v>
      </c>
      <c r="J1115">
        <v>300</v>
      </c>
      <c r="L1115">
        <v>200</v>
      </c>
      <c r="M1115" s="197">
        <f>=J1115*L1115</f>
        <v>60000</v>
      </c>
      <c r="N1115" s="262">
        <v>2.8</v>
      </c>
      <c r="O1115" s="189">
        <f>=ROUND(IF((TODAY()-A1115+1)*N1115*(L1115/10000)+L1115&lt;L1115*1.002,L1115*1.002,(TODAY()-A1115+1)*N1115*(L1115/10000)+L1115),2)</f>
        <v>201.34</v>
      </c>
      <c r="P1115">
        <v>300</v>
      </c>
      <c r="Q1115" s="64">
        <v>0</v>
      </c>
      <c r="R1115">
        <v>300</v>
      </c>
      <c r="S1115" s="197">
        <f>=P1115-R1115</f>
        <v>0</v>
      </c>
      <c r="T1115" s="71">
        <f>=S1115*L1115</f>
        <v>0</v>
      </c>
      <c r="U1115" s="190">
        <f>=J1115-P1115</f>
        <v>0</v>
      </c>
    </row>
    <row r="1116" spans="1:21" ht="15.75" customHeight="true">
      <c r="A1116" s="80">
        <v>46202</v>
      </c>
      <c r="B1116" s="71">
        <f>=TODAY()-A1116+1</f>
        <v>23</v>
      </c>
      <c r="C1116" s="98" t="s">
        <v>365</v>
      </c>
      <c r="D1116" s="326" t="s">
        <v>333</v>
      </c>
      <c r="E1116" s="359" t="s">
        <v>2224</v>
      </c>
      <c r="F1116" s="323" t="s">
        <v>2108</v>
      </c>
      <c r="G1116" t="s">
        <v>804</v>
      </c>
      <c r="H1116" s="87" t="s">
        <v>429</v>
      </c>
      <c r="I1116" s="248" t="s">
        <v>2225</v>
      </c>
      <c r="J1116" s="331">
        <v>100</v>
      </c>
      <c r="K1116" s="339" t="s"/>
      <c r="L1116" s="339">
        <v>320</v>
      </c>
      <c r="M1116" s="197">
        <f>=J1116*L1116</f>
        <v>32000</v>
      </c>
      <c r="N1116" s="262">
        <v>2.8</v>
      </c>
      <c r="O1116" s="189">
        <f>=ROUND(IF((TODAY()-A1116+1)*N1116*(L1116/10000)+L1116&lt;L1116*1.002,L1116*1.002,(TODAY()-A1116+1)*N1116*(L1116/10000)+L1116),2)</f>
        <v>322.15</v>
      </c>
      <c r="P1116" s="331">
        <v>100</v>
      </c>
      <c r="Q1116" s="64">
        <f>=J1116-P1116</f>
        <v>0</v>
      </c>
      <c r="R1116" s="331">
        <v>100</v>
      </c>
      <c r="S1116" s="197">
        <f>=P1116-R1116</f>
        <v>0</v>
      </c>
      <c r="T1116" s="71">
        <f>=S1116*L1116</f>
        <v>0</v>
      </c>
      <c r="U1116" s="190">
        <f>=J1116-P1116</f>
        <v>0</v>
      </c>
    </row>
    <row r="1117" spans="1:21" ht="15.75" customHeight="true">
      <c r="A1117" s="80">
        <v>46202</v>
      </c>
      <c r="B1117" s="71">
        <f>=TODAY()-A1117+1</f>
        <v>23</v>
      </c>
      <c r="C1117" s="98" t="s">
        <v>365</v>
      </c>
      <c r="D1117" s="326" t="s">
        <v>333</v>
      </c>
      <c r="E1117" s="359" t="s">
        <v>2226</v>
      </c>
      <c r="F1117" s="323" t="s">
        <v>2108</v>
      </c>
      <c r="G1117" t="s">
        <v>804</v>
      </c>
      <c r="H1117" s="87" t="s">
        <v>429</v>
      </c>
      <c r="I1117" s="248" t="s">
        <v>2137</v>
      </c>
      <c r="J1117" s="331">
        <v>650</v>
      </c>
      <c r="K1117" s="339" t="s"/>
      <c r="L1117" s="339">
        <v>420</v>
      </c>
      <c r="M1117" s="197">
        <f>=J1117*L1117</f>
        <v>273000</v>
      </c>
      <c r="N1117" s="262">
        <v>2.8</v>
      </c>
      <c r="O1117" s="189">
        <f>=ROUND(IF((TODAY()-A1117+1)*N1117*(L1117/10000)+L1117&lt;L1117*1.002,L1117*1.002,(TODAY()-A1117+1)*N1117*(L1117/10000)+L1117),2)</f>
        <v>422.82</v>
      </c>
      <c r="P1117" s="331">
        <v>650</v>
      </c>
      <c r="Q1117" s="64">
        <v>0</v>
      </c>
      <c r="R1117" s="331">
        <v>650</v>
      </c>
      <c r="S1117" s="197">
        <f>=P1117-R1117</f>
        <v>0</v>
      </c>
      <c r="T1117" s="71">
        <f>=S1117*L1117</f>
        <v>0</v>
      </c>
      <c r="U1117" s="190">
        <f>=J1117-P1117</f>
        <v>0</v>
      </c>
    </row>
    <row r="1118" spans="1:21" ht="15.75" customHeight="true">
      <c r="A1118" s="80">
        <v>46202</v>
      </c>
      <c r="B1118" s="71">
        <f>=TODAY()-A1118+1</f>
        <v>23</v>
      </c>
      <c r="C1118" s="98" t="s">
        <v>365</v>
      </c>
      <c r="D1118" s="326" t="s">
        <v>333</v>
      </c>
      <c r="E1118" s="359" t="s">
        <v>2227</v>
      </c>
      <c r="F1118" s="323" t="s">
        <v>2108</v>
      </c>
      <c r="G1118" t="s">
        <v>804</v>
      </c>
      <c r="H1118" s="258" t="s">
        <v>429</v>
      </c>
      <c r="I1118" s="375" t="s">
        <v>2131</v>
      </c>
      <c r="J1118" s="339">
        <v>55</v>
      </c>
      <c r="K1118" s="339" t="s"/>
      <c r="L1118" s="249">
        <v>990</v>
      </c>
      <c r="M1118" s="197">
        <f>=J1118*L1118</f>
        <v>54450</v>
      </c>
      <c r="N1118" s="262">
        <v>2.8</v>
      </c>
      <c r="O1118" s="189">
        <f>=ROUND(IF((TODAY()-A1118+1)*N1118*(L1118/10000)+L1118&lt;L1118*1.002,L1118*1.002,(TODAY()-A1118+1)*N1118*(L1118/10000)+L1118),2)</f>
        <v>996.65</v>
      </c>
      <c r="P1118" s="339">
        <v>55</v>
      </c>
      <c r="Q1118" s="64">
        <f>=J1118-P1118</f>
        <v>0</v>
      </c>
      <c r="R1118" s="339">
        <v>55</v>
      </c>
      <c r="S1118" s="197">
        <f>=P1118-R1118</f>
        <v>0</v>
      </c>
      <c r="T1118" s="71">
        <f>=S1118*L1118</f>
        <v>0</v>
      </c>
      <c r="U1118" s="190">
        <f>=J1118-P1118</f>
        <v>0</v>
      </c>
    </row>
    <row r="1119" spans="1:21" ht="15.75" customHeight="true">
      <c r="A1119" s="80">
        <v>46202</v>
      </c>
      <c r="B1119" s="71">
        <f>=TODAY()-A1119+1</f>
        <v>23</v>
      </c>
      <c r="C1119" s="98" t="s">
        <v>365</v>
      </c>
      <c r="D1119" s="326" t="s">
        <v>333</v>
      </c>
      <c r="E1119" s="359" t="s">
        <v>2228</v>
      </c>
      <c r="F1119" s="323" t="s">
        <v>2108</v>
      </c>
      <c r="G1119" t="s">
        <v>804</v>
      </c>
      <c r="H1119" s="258" t="s">
        <v>429</v>
      </c>
      <c r="I1119" s="376" t="s">
        <v>2229</v>
      </c>
      <c r="J1119" s="249">
        <v>500</v>
      </c>
      <c r="K1119" s="339" t="s"/>
      <c r="L1119">
        <v>80</v>
      </c>
      <c r="M1119" s="197">
        <f>=J1119*L1119</f>
        <v>40000</v>
      </c>
      <c r="N1119" s="262">
        <v>2.8</v>
      </c>
      <c r="O1119" s="189">
        <f>=ROUND(IF((TODAY()-A1119+1)*N1119*(L1119/10000)+L1119&lt;L1119*1.002,L1119*1.002,(TODAY()-A1119+1)*N1119*(L1119/10000)+L1119),2)</f>
        <v>80.54</v>
      </c>
      <c r="P1119" s="339">
        <v>500</v>
      </c>
      <c r="Q1119" s="64">
        <v>0</v>
      </c>
      <c r="R1119">
        <v>0</v>
      </c>
      <c r="S1119" s="197">
        <f>=P1119-R1119</f>
        <v>500</v>
      </c>
      <c r="T1119" s="71">
        <f>=S1119*L1119</f>
        <v>40000</v>
      </c>
      <c r="U1119" s="190">
        <f>=J1119-P1119</f>
        <v>0</v>
      </c>
    </row>
    <row r="1120" spans="1:21" ht="15.75" customHeight="true">
      <c r="A1120" s="80">
        <v>46202</v>
      </c>
      <c r="B1120" s="71">
        <f>=TODAY()-A1120+1</f>
        <v>23</v>
      </c>
      <c r="C1120" s="98" t="s">
        <v>365</v>
      </c>
      <c r="D1120" s="326" t="s">
        <v>333</v>
      </c>
      <c r="E1120" s="359" t="s">
        <v>2230</v>
      </c>
      <c r="F1120" s="323" t="s">
        <v>2108</v>
      </c>
      <c r="G1120" t="s">
        <v>804</v>
      </c>
      <c r="H1120" s="258" t="s">
        <v>429</v>
      </c>
      <c r="I1120" s="87" t="s">
        <v>2231</v>
      </c>
      <c r="J1120" s="154">
        <v>90</v>
      </c>
      <c r="K1120" s="154" t="s"/>
      <c r="L1120" s="154">
        <v>525</v>
      </c>
      <c r="M1120" s="197">
        <f>=J1120*L1120</f>
        <v>47250</v>
      </c>
      <c r="N1120" s="262">
        <v>2.8</v>
      </c>
      <c r="O1120" s="189">
        <f>=ROUND(IF((TODAY()-A1120+1)*N1120*(L1120/10000)+L1120&lt;L1120*1.002,L1120*1.002,(TODAY()-A1120+1)*N1120*(L1120/10000)+L1120),2)</f>
        <v>528.53</v>
      </c>
      <c r="P1120" s="154">
        <v>90</v>
      </c>
      <c r="Q1120" s="64">
        <f>=J1120-P1120</f>
        <v>0</v>
      </c>
      <c r="R1120" s="154">
        <v>90</v>
      </c>
      <c r="S1120" s="197">
        <f>=P1120-R1120</f>
        <v>0</v>
      </c>
      <c r="T1120" s="71">
        <f>=S1120*L1120</f>
        <v>0</v>
      </c>
      <c r="U1120" s="190">
        <f>=J1120-P1120</f>
        <v>0</v>
      </c>
    </row>
    <row r="1121" spans="1:21" ht="15.75" customHeight="true">
      <c r="A1121" s="80">
        <v>46202</v>
      </c>
      <c r="B1121" s="71">
        <f>=TODAY()-A1121+1</f>
        <v>23</v>
      </c>
      <c r="C1121" s="98" t="s">
        <v>365</v>
      </c>
      <c r="D1121" s="326" t="s">
        <v>333</v>
      </c>
      <c r="E1121" s="359" t="s">
        <v>2232</v>
      </c>
      <c r="F1121" s="323" t="s">
        <v>2108</v>
      </c>
      <c r="G1121" t="s">
        <v>804</v>
      </c>
      <c r="H1121" s="258" t="s">
        <v>429</v>
      </c>
      <c r="I1121" s="87" t="s">
        <v>2139</v>
      </c>
      <c r="J1121" s="377">
        <v>400</v>
      </c>
      <c r="K1121" s="378" t="s"/>
      <c r="L1121" s="379">
        <v>275</v>
      </c>
      <c r="M1121" s="228">
        <f>=J1121*L1121</f>
        <v>110000</v>
      </c>
      <c r="N1121" s="262">
        <v>2.8</v>
      </c>
      <c r="O1121" s="189">
        <f>=ROUND(IF((TODAY()-A1121+1)*N1121*(L1121/10000)+L1121&lt;L1121*1.002,L1121*1.002,(TODAY()-A1121+1)*N1121*(L1121/10000)+L1121),2)</f>
        <v>276.85</v>
      </c>
      <c r="P1121" s="367">
        <v>400</v>
      </c>
      <c r="Q1121" s="64">
        <v>0</v>
      </c>
      <c r="R1121" s="380">
        <v>400</v>
      </c>
      <c r="S1121" s="197">
        <f>=P1121-R1121</f>
        <v>0</v>
      </c>
      <c r="T1121" s="71">
        <f>=S1121*L1121</f>
        <v>0</v>
      </c>
      <c r="U1121" s="190">
        <f>=J1121-P1121</f>
        <v>0</v>
      </c>
    </row>
    <row r="1122" spans="1:21" ht="15.75" customHeight="true">
      <c r="A1122" s="80">
        <v>46202</v>
      </c>
      <c r="B1122" s="71">
        <f>=TODAY()-A1122+1</f>
        <v>23</v>
      </c>
      <c r="C1122" s="98" t="s">
        <v>365</v>
      </c>
      <c r="D1122" s="326" t="s">
        <v>333</v>
      </c>
      <c r="E1122" s="365" t="s">
        <v>2233</v>
      </c>
      <c r="F1122" s="323" t="s">
        <v>2108</v>
      </c>
      <c r="G1122" t="s">
        <v>804</v>
      </c>
      <c r="H1122" s="258" t="s">
        <v>429</v>
      </c>
      <c r="I1122" s="87" t="s">
        <v>2211</v>
      </c>
      <c r="J1122" s="339">
        <v>100</v>
      </c>
      <c r="K1122" s="339" t="s"/>
      <c r="L1122" s="381">
        <v>285</v>
      </c>
      <c r="M1122" s="197">
        <f>=J1122*L1122</f>
        <v>28500</v>
      </c>
      <c r="N1122">
        <v>2.8</v>
      </c>
      <c r="O1122" s="189">
        <f>=ROUND(IF((TODAY()-A1122+1)*N1122*(L1122/10000)+L1122&lt;L1122*1.002,L1122*1.002,(TODAY()-A1122+1)*N1122*(L1122/10000)+L1122),2)</f>
        <v>286.92</v>
      </c>
      <c r="P1122" s="339">
        <v>100</v>
      </c>
      <c r="Q1122" s="64">
        <f>=J1122-P1122</f>
        <v>0</v>
      </c>
      <c r="R1122" s="339">
        <v>100</v>
      </c>
      <c r="S1122" s="197">
        <f>=P1122-R1122</f>
        <v>0</v>
      </c>
      <c r="T1122" s="71">
        <f>=S1122*L1122</f>
        <v>0</v>
      </c>
      <c r="U1122" s="190">
        <f>=J1122-P1122</f>
        <v>0</v>
      </c>
    </row>
    <row r="1123" spans="1:21">
      <c r="A1123" s="80">
        <v>46212</v>
      </c>
      <c r="B1123" s="71">
        <f>=TODAY()-A1123+1</f>
        <v>13</v>
      </c>
      <c r="C1123" s="98" t="s">
        <v>366</v>
      </c>
      <c r="D1123" s="71" t="s">
        <v>150</v>
      </c>
      <c r="E1123" s="382" t="s">
        <v>2234</v>
      </c>
      <c r="F1123" s="242" t="s">
        <v>894</v>
      </c>
      <c r="G1123" s="71" t="s">
        <v>895</v>
      </c>
      <c r="H1123" s="71" t="s">
        <v>422</v>
      </c>
      <c r="I1123" s="136" t="s">
        <v>2235</v>
      </c>
      <c r="J1123">
        <v>10</v>
      </c>
      <c r="L1123">
        <v>830</v>
      </c>
      <c r="M1123" s="197">
        <f>=J1123*L1123</f>
        <v>8300</v>
      </c>
      <c r="N1123">
        <v>2.5</v>
      </c>
      <c r="O1123" s="189">
        <f>=ROUND(IF((TODAY()-A1123+1)*N1123*(L1123/10000)+L1123&lt;L1123*1.002,L1123*1.002,(TODAY()-A1123+1)*N1123*(L1123/10000)+L1123),2)</f>
        <v>832.91</v>
      </c>
      <c r="P1123">
        <v>10</v>
      </c>
      <c r="Q1123" s="64">
        <f>=J1123-P1123</f>
        <v>0</v>
      </c>
      <c r="R1123">
        <v>0</v>
      </c>
      <c r="S1123" s="197">
        <f>=P1123-R1123</f>
        <v>10</v>
      </c>
      <c r="T1123" s="71">
        <f>=S1123*L1123</f>
        <v>8300</v>
      </c>
      <c r="U1123" s="190">
        <f>=J1123-P1123</f>
        <v>0</v>
      </c>
    </row>
    <row r="1124" spans="1:21" ht="15.75" customHeight="true">
      <c r="A1124" s="80">
        <v>46212</v>
      </c>
      <c r="B1124" s="71">
        <f>=TODAY()-A1124+1</f>
        <v>13</v>
      </c>
      <c r="C1124" s="98" t="s">
        <v>366</v>
      </c>
      <c r="D1124" s="71" t="s">
        <v>150</v>
      </c>
      <c r="E1124" s="383" t="s">
        <v>2236</v>
      </c>
      <c r="F1124" s="242" t="s">
        <v>894</v>
      </c>
      <c r="G1124" s="71" t="s">
        <v>895</v>
      </c>
      <c r="H1124" s="71" t="s">
        <v>422</v>
      </c>
      <c r="I1124" t="s">
        <v>2237</v>
      </c>
      <c r="J1124">
        <v>310</v>
      </c>
      <c r="L1124">
        <v>750</v>
      </c>
      <c r="M1124" s="197">
        <f>=J1124*L1124</f>
        <v>232500</v>
      </c>
      <c r="N1124">
        <v>2.5</v>
      </c>
      <c r="O1124" s="189">
        <f>=ROUND(IF((TODAY()-A1124+1)*N1124*(L1124/10000)+L1124&lt;L1124*1.002,L1124*1.002,(TODAY()-A1124+1)*N1124*(L1124/10000)+L1124),2)</f>
        <v>752.63</v>
      </c>
      <c r="P1124" s="384">
        <v>310</v>
      </c>
      <c r="Q1124" s="385">
        <f>=J1124-P1124</f>
        <v>0</v>
      </c>
      <c r="R1124">
        <v>0</v>
      </c>
      <c r="S1124" s="386">
        <f>=P1124-R1124</f>
        <v>310</v>
      </c>
      <c r="T1124" s="71">
        <f>=S1124*L1124</f>
        <v>232500</v>
      </c>
      <c r="U1124" s="190">
        <f>=J1124-P1124</f>
        <v>0</v>
      </c>
    </row>
    <row r="1125" spans="1:21" ht="15.75" customHeight="true">
      <c r="A1125" s="80">
        <v>46212</v>
      </c>
      <c r="B1125" s="71">
        <f>=TODAY()-A1125+1</f>
        <v>13</v>
      </c>
      <c r="C1125" s="98" t="s">
        <v>366</v>
      </c>
      <c r="D1125" s="71" t="s">
        <v>150</v>
      </c>
      <c r="E1125" s="383" t="s">
        <v>2238</v>
      </c>
      <c r="F1125" s="242" t="s">
        <v>894</v>
      </c>
      <c r="G1125" s="71" t="s">
        <v>895</v>
      </c>
      <c r="H1125" s="71" t="s">
        <v>422</v>
      </c>
      <c r="I1125" s="387" t="s">
        <v>2239</v>
      </c>
      <c r="J1125" s="388">
        <v>280</v>
      </c>
      <c r="K1125" s="339" t="s"/>
      <c r="L1125" s="332">
        <v>900</v>
      </c>
      <c r="M1125" s="197">
        <f>=J1125*L1125</f>
        <v>252000</v>
      </c>
      <c r="N1125">
        <v>2.5</v>
      </c>
      <c r="O1125" s="189">
        <f>=ROUND(IF((TODAY()-A1125+1)*N1125*(L1125/10000)+L1125&lt;L1125*1.002,L1125*1.002,(TODAY()-A1125+1)*N1125*(L1125/10000)+L1125),2)</f>
        <v>903.15</v>
      </c>
      <c r="P1125" s="384">
        <v>280</v>
      </c>
      <c r="Q1125" s="64">
        <f>=J1125-P1125</f>
        <v>0</v>
      </c>
      <c r="R1125">
        <v>0</v>
      </c>
      <c r="S1125" s="197">
        <f>=P1125-R1125</f>
        <v>280</v>
      </c>
      <c r="T1125" s="71">
        <f>=S1125*L1125</f>
        <v>252000</v>
      </c>
      <c r="U1125" s="190">
        <f>=J1125-P1125</f>
        <v>0</v>
      </c>
    </row>
    <row r="1126" spans="1:21" ht="15.75" customHeight="true">
      <c r="A1126" s="80">
        <v>46212</v>
      </c>
      <c r="B1126" s="71">
        <f>=TODAY()-A1126+1</f>
        <v>13</v>
      </c>
      <c r="C1126" s="98" t="s">
        <v>366</v>
      </c>
      <c r="D1126" s="71" t="s">
        <v>150</v>
      </c>
      <c r="E1126" s="383" t="s">
        <v>2240</v>
      </c>
      <c r="F1126" s="242" t="s">
        <v>894</v>
      </c>
      <c r="G1126" s="71" t="s">
        <v>895</v>
      </c>
      <c r="H1126" s="71" t="s">
        <v>422</v>
      </c>
      <c r="I1126" s="389" t="s">
        <v>2241</v>
      </c>
      <c r="J1126" s="331">
        <v>60</v>
      </c>
      <c r="K1126" s="339" t="s"/>
      <c r="L1126" s="339">
        <v>900</v>
      </c>
      <c r="M1126" s="197">
        <f>=J1126*L1126</f>
        <v>54000</v>
      </c>
      <c r="N1126">
        <v>2.5</v>
      </c>
      <c r="O1126" s="189">
        <f>=ROUND(IF((TODAY()-A1126+1)*N1126*(L1126/10000)+L1126&lt;L1126*1.002,L1126*1.002,(TODAY()-A1126+1)*N1126*(L1126/10000)+L1126),2)</f>
        <v>903.15</v>
      </c>
      <c r="P1126" s="384">
        <v>60</v>
      </c>
      <c r="Q1126" s="64">
        <f>=J1126-P1126</f>
        <v>0</v>
      </c>
      <c r="R1126">
        <v>0</v>
      </c>
      <c r="S1126" s="197">
        <f>=P1126-R1126</f>
        <v>60</v>
      </c>
      <c r="T1126" s="71">
        <f>=S1126*L1126</f>
        <v>54000</v>
      </c>
      <c r="U1126" s="190">
        <f>=J1126-P1126</f>
        <v>0</v>
      </c>
    </row>
    <row r="1127" spans="1:21" ht="15.75" customHeight="true">
      <c r="A1127" s="80">
        <v>46212</v>
      </c>
      <c r="B1127" s="71">
        <f>=TODAY()-A1127+1</f>
        <v>13</v>
      </c>
      <c r="C1127" s="98" t="s">
        <v>366</v>
      </c>
      <c r="D1127" s="71" t="s">
        <v>150</v>
      </c>
      <c r="E1127" s="383" t="s">
        <v>2242</v>
      </c>
      <c r="F1127" s="242" t="s">
        <v>894</v>
      </c>
      <c r="G1127" s="71" t="s">
        <v>895</v>
      </c>
      <c r="H1127" s="71" t="s">
        <v>422</v>
      </c>
      <c r="I1127" s="308" t="s">
        <v>2243</v>
      </c>
      <c r="J1127" s="154">
        <v>150</v>
      </c>
      <c r="K1127" s="339" t="s"/>
      <c r="L1127" s="332">
        <v>900</v>
      </c>
      <c r="M1127" s="197">
        <f>=J1127*L1127</f>
        <v>135000</v>
      </c>
      <c r="N1127">
        <v>2.5</v>
      </c>
      <c r="O1127" s="189">
        <f>=ROUND(IF((TODAY()-A1127+1)*N1127*(L1127/10000)+L1127&lt;L1127*1.002,L1127*1.002,(TODAY()-A1127+1)*N1127*(L1127/10000)+L1127),2)</f>
        <v>903.15</v>
      </c>
      <c r="P1127" s="384">
        <v>150</v>
      </c>
      <c r="Q1127" s="64">
        <f>=J1127-P1127</f>
        <v>0</v>
      </c>
      <c r="R1127">
        <v>0</v>
      </c>
      <c r="S1127" s="197">
        <f>=P1127-R1127</f>
        <v>150</v>
      </c>
      <c r="T1127" s="71">
        <f>=S1127*L1127</f>
        <v>135000</v>
      </c>
      <c r="U1127" s="190">
        <f>=J1127-P1127</f>
        <v>0</v>
      </c>
    </row>
    <row r="1128" spans="1:21" ht="15.75" customHeight="true">
      <c r="A1128" s="80">
        <v>46212</v>
      </c>
      <c r="B1128" s="71">
        <f>=TODAY()-A1128+1</f>
        <v>13</v>
      </c>
      <c r="C1128" s="98" t="s">
        <v>366</v>
      </c>
      <c r="D1128" s="71" t="s">
        <v>150</v>
      </c>
      <c r="E1128" s="390" t="s">
        <v>2244</v>
      </c>
      <c r="F1128" s="242" t="s">
        <v>894</v>
      </c>
      <c r="G1128" s="71" t="s">
        <v>895</v>
      </c>
      <c r="H1128" s="71" t="s">
        <v>422</v>
      </c>
      <c r="I1128" s="375" t="s">
        <v>2245</v>
      </c>
      <c r="J1128" s="154">
        <v>71</v>
      </c>
      <c r="K1128" s="339" t="s"/>
      <c r="L1128" s="332">
        <v>1250</v>
      </c>
      <c r="M1128" s="197">
        <f>=J1128*L1128</f>
        <v>88750</v>
      </c>
      <c r="N1128">
        <v>2.5</v>
      </c>
      <c r="O1128" s="189">
        <f>=ROUND(IF((TODAY()-A1128+1)*N1128*(L1128/10000)+L1128&lt;L1128*1.002,L1128*1.002,(TODAY()-A1128+1)*N1128*(L1128/10000)+L1128),2)</f>
        <v>1254.38</v>
      </c>
      <c r="P1128" s="384">
        <v>71</v>
      </c>
      <c r="Q1128" s="64">
        <f>=J1128-P1128</f>
        <v>0</v>
      </c>
      <c r="R1128">
        <v>0</v>
      </c>
      <c r="S1128" s="197">
        <f>=P1128-R1128</f>
        <v>71</v>
      </c>
      <c r="T1128" s="71">
        <f>=S1128*L1128</f>
        <v>88750</v>
      </c>
      <c r="U1128" s="190">
        <f>=J1128-P1128</f>
        <v>0</v>
      </c>
    </row>
    <row r="1129" spans="1:21">
      <c r="A1129" s="80">
        <v>46212</v>
      </c>
      <c r="B1129" s="71">
        <f>=TODAY()-A1129+1</f>
        <v>13</v>
      </c>
      <c r="C1129" s="98" t="s">
        <v>366</v>
      </c>
      <c r="D1129" s="71" t="s">
        <v>150</v>
      </c>
      <c r="E1129" s="383" t="s">
        <v>2246</v>
      </c>
      <c r="F1129" s="242" t="s">
        <v>894</v>
      </c>
      <c r="G1129" s="71" t="s">
        <v>895</v>
      </c>
      <c r="H1129" s="71" t="s">
        <v>422</v>
      </c>
      <c r="I1129" s="370" t="s">
        <v>2247</v>
      </c>
      <c r="J1129">
        <v>1</v>
      </c>
      <c r="L1129" s="154">
        <v>1250</v>
      </c>
      <c r="M1129" s="197">
        <f>=J1129*L1129</f>
        <v>1250</v>
      </c>
      <c r="N1129">
        <v>2.5</v>
      </c>
      <c r="O1129" s="189">
        <f>=ROUND(IF((TODAY()-A1129+1)*N1129*(L1129/10000)+L1129&lt;L1129*1.002,L1129*1.002,(TODAY()-A1129+1)*N1129*(L1129/10000)+L1129),2)</f>
        <v>1254.38</v>
      </c>
      <c r="P1129" s="384">
        <v>1</v>
      </c>
      <c r="Q1129" s="64">
        <f>=J1129-P1129</f>
        <v>0</v>
      </c>
      <c r="R1129">
        <v>0</v>
      </c>
      <c r="S1129" s="197">
        <f>=P1129-R1129</f>
        <v>1</v>
      </c>
      <c r="T1129" s="71">
        <f>=S1129*L1129</f>
        <v>1250</v>
      </c>
      <c r="U1129" s="190">
        <f>=J1129-P1129</f>
        <v>0</v>
      </c>
    </row>
    <row r="1130" spans="1:21" ht="15.75" customHeight="true">
      <c r="A1130" s="80">
        <v>46213</v>
      </c>
      <c r="B1130" s="71">
        <f>=TODAY()-A1130+1</f>
        <v>12</v>
      </c>
      <c r="C1130" s="98" t="s">
        <v>368</v>
      </c>
      <c r="D1130" s="71" t="s">
        <v>150</v>
      </c>
      <c r="E1130" s="391" t="s">
        <v>2248</v>
      </c>
      <c r="F1130" s="242" t="s">
        <v>894</v>
      </c>
      <c r="G1130" s="71" t="s">
        <v>895</v>
      </c>
      <c r="H1130" s="71" t="s">
        <v>422</v>
      </c>
      <c r="I1130" s="136" t="s">
        <v>2249</v>
      </c>
      <c r="J1130">
        <v>90</v>
      </c>
      <c r="L1130">
        <v>830</v>
      </c>
      <c r="M1130" s="197">
        <f>=J1130*L1130</f>
        <v>74700</v>
      </c>
      <c r="N1130">
        <v>2.5</v>
      </c>
      <c r="O1130" s="189">
        <f>=ROUND(IF((TODAY()-A1130+1)*N1130*(L1130/10000)+L1130&lt;L1130*1.002,L1130*1.002,(TODAY()-A1130+1)*N1130*(L1130/10000)+L1130),2)</f>
        <v>832.7</v>
      </c>
      <c r="P1130" s="384">
        <v>90</v>
      </c>
      <c r="Q1130" s="64">
        <f>=J1130-P1130</f>
        <v>0</v>
      </c>
      <c r="R1130">
        <v>0</v>
      </c>
      <c r="S1130" s="197">
        <f>=P1130-R1130</f>
        <v>90</v>
      </c>
      <c r="T1130" s="71">
        <f>=S1130*L1130</f>
        <v>74700</v>
      </c>
      <c r="U1130" s="190">
        <f>=J1130-P1130</f>
        <v>0</v>
      </c>
    </row>
    <row r="1131" spans="1:21" ht="15.75" customHeight="true">
      <c r="A1131" s="80">
        <v>46213</v>
      </c>
      <c r="B1131" s="71">
        <f>=TODAY()-A1131+1</f>
        <v>12</v>
      </c>
      <c r="C1131" s="98" t="s">
        <v>368</v>
      </c>
      <c r="D1131" s="71" t="s">
        <v>150</v>
      </c>
      <c r="E1131" s="391" t="s">
        <v>2250</v>
      </c>
      <c r="F1131" s="242" t="s">
        <v>894</v>
      </c>
      <c r="G1131" s="71" t="s">
        <v>895</v>
      </c>
      <c r="H1131" s="71" t="s">
        <v>422</v>
      </c>
      <c r="I1131" t="s">
        <v>2251</v>
      </c>
      <c r="J1131" s="392">
        <v>90</v>
      </c>
      <c r="L1131" s="332">
        <v>750</v>
      </c>
      <c r="M1131" s="197">
        <f>=J1131*L1131</f>
        <v>67500</v>
      </c>
      <c r="N1131">
        <v>2.5</v>
      </c>
      <c r="O1131" s="189">
        <f>=ROUND(IF((TODAY()-A1131+1)*N1131*(L1131/10000)+L1131&lt;L1131*1.002,L1131*1.002,(TODAY()-A1131+1)*N1131*(L1131/10000)+L1131),2)</f>
        <v>752.44</v>
      </c>
      <c r="P1131" s="384">
        <v>90</v>
      </c>
      <c r="Q1131" s="64">
        <f>=J1131-P1131</f>
        <v>0</v>
      </c>
      <c r="R1131">
        <v>0</v>
      </c>
      <c r="S1131" s="197">
        <f>=P1131-R1131</f>
        <v>90</v>
      </c>
      <c r="T1131" s="71">
        <f>=S1131*L1131</f>
        <v>67500</v>
      </c>
      <c r="U1131" s="190">
        <f>=J1131-P1131</f>
        <v>0</v>
      </c>
    </row>
    <row r="1132" spans="1:21">
      <c r="A1132" s="80">
        <v>46213</v>
      </c>
      <c r="B1132" s="71">
        <f>=TODAY()-A1132+1</f>
        <v>12</v>
      </c>
      <c r="C1132" s="98" t="s">
        <v>368</v>
      </c>
      <c r="D1132" s="71" t="s">
        <v>150</v>
      </c>
      <c r="E1132" s="391" t="s">
        <v>2252</v>
      </c>
      <c r="F1132" s="242" t="s">
        <v>894</v>
      </c>
      <c r="G1132" s="71" t="s">
        <v>895</v>
      </c>
      <c r="H1132" s="71" t="s">
        <v>422</v>
      </c>
      <c r="I1132" s="308" t="s">
        <v>2253</v>
      </c>
      <c r="J1132" s="199">
        <v>27</v>
      </c>
      <c r="K1132" s="339" t="s"/>
      <c r="L1132" s="332">
        <v>1250</v>
      </c>
      <c r="M1132" s="197">
        <f>=J1132*L1132</f>
        <v>33750</v>
      </c>
      <c r="N1132">
        <v>2.5</v>
      </c>
      <c r="O1132" s="189">
        <f>=ROUND(IF((TODAY()-A1132+1)*N1132*(L1132/10000)+L1132&lt;L1132*1.002,L1132*1.002,(TODAY()-A1132+1)*N1132*(L1132/10000)+L1132),2)</f>
        <v>1254.06</v>
      </c>
      <c r="P1132" s="384">
        <v>27</v>
      </c>
      <c r="Q1132" s="64">
        <f>=J1132-P1132</f>
        <v>0</v>
      </c>
      <c r="R1132">
        <v>0</v>
      </c>
      <c r="S1132" s="197">
        <f>=P1132-R1132</f>
        <v>27</v>
      </c>
      <c r="T1132" s="71">
        <f>=S1132*L1132</f>
        <v>33750</v>
      </c>
      <c r="U1132" s="190">
        <f>=J1132-P1132</f>
        <v>0</v>
      </c>
    </row>
    <row r="1133" spans="1:21">
      <c r="A1133" s="80">
        <v>46213</v>
      </c>
      <c r="B1133" s="71">
        <f>=TODAY()-A1133+1</f>
        <v>12</v>
      </c>
      <c r="C1133" s="98" t="s">
        <v>368</v>
      </c>
      <c r="D1133" s="71" t="s">
        <v>150</v>
      </c>
      <c r="E1133" s="391" t="s">
        <v>2254</v>
      </c>
      <c r="F1133" s="242" t="s">
        <v>894</v>
      </c>
      <c r="G1133" s="71" t="s">
        <v>895</v>
      </c>
      <c r="H1133" s="71" t="s">
        <v>422</v>
      </c>
      <c r="I1133" s="393" t="s">
        <v>2255</v>
      </c>
      <c r="J1133" s="392">
        <v>35</v>
      </c>
      <c r="L1133" s="332">
        <v>1350</v>
      </c>
      <c r="M1133" s="197">
        <f>=J1133*L1133</f>
        <v>47250</v>
      </c>
      <c r="N1133">
        <v>2.5</v>
      </c>
      <c r="O1133" s="189">
        <f>=ROUND(IF((TODAY()-A1133+1)*N1133*(L1133/10000)+L1133&lt;L1133*1.002,L1133*1.002,(TODAY()-A1133+1)*N1133*(L1133/10000)+L1133),2)</f>
        <v>1354.39</v>
      </c>
      <c r="P1133" s="384">
        <v>35</v>
      </c>
      <c r="Q1133" s="64">
        <f>=J1133-P1133</f>
        <v>0</v>
      </c>
      <c r="R1133">
        <v>0</v>
      </c>
      <c r="S1133" s="197">
        <f>=P1133-R1133</f>
        <v>35</v>
      </c>
      <c r="T1133" s="71">
        <f>=S1133*L1133</f>
        <v>47250</v>
      </c>
      <c r="U1133" s="190">
        <f>=J1133-P1133</f>
        <v>0</v>
      </c>
    </row>
    <row r="1134" spans="1:21">
      <c r="A1134" s="80">
        <v>46213</v>
      </c>
      <c r="B1134" s="71">
        <f>=TODAY()-A1134+1</f>
        <v>12</v>
      </c>
      <c r="C1134" s="98" t="s">
        <v>368</v>
      </c>
      <c r="D1134" s="71" t="s">
        <v>150</v>
      </c>
      <c r="E1134" s="391" t="s">
        <v>2256</v>
      </c>
      <c r="F1134" s="242" t="s">
        <v>894</v>
      </c>
      <c r="G1134" s="71" t="s">
        <v>895</v>
      </c>
      <c r="H1134" s="71" t="s">
        <v>422</v>
      </c>
      <c r="I1134" s="308" t="s">
        <v>2257</v>
      </c>
      <c r="J1134">
        <v>16</v>
      </c>
      <c r="L1134" s="332">
        <v>1350</v>
      </c>
      <c r="M1134" s="197">
        <f>=J1134*L1134</f>
        <v>21600</v>
      </c>
      <c r="N1134">
        <v>2.5</v>
      </c>
      <c r="O1134" s="189">
        <f>=ROUND(IF((TODAY()-A1134+1)*N1134*(L1134/10000)+L1134&lt;L1134*1.002,L1134*1.002,(TODAY()-A1134+1)*N1134*(L1134/10000)+L1134),2)</f>
        <v>1354.39</v>
      </c>
      <c r="P1134" s="384">
        <v>16</v>
      </c>
      <c r="Q1134" s="64">
        <f>=J1134-P1134</f>
        <v>0</v>
      </c>
      <c r="R1134">
        <v>0</v>
      </c>
      <c r="S1134" s="197">
        <f>=P1134-R1134</f>
        <v>16</v>
      </c>
      <c r="T1134" s="71">
        <f>=S1134*L1134</f>
        <v>21600</v>
      </c>
      <c r="U1134" s="190">
        <f>=J1134-P1134</f>
        <v>0</v>
      </c>
    </row>
    <row r="1135" spans="1:21">
      <c r="A1135" s="80">
        <v>46213</v>
      </c>
      <c r="B1135" s="71">
        <f>=TODAY()-A1135+1</f>
        <v>12</v>
      </c>
      <c r="C1135" s="98" t="s">
        <v>369</v>
      </c>
      <c r="D1135" s="108" t="s">
        <v>294</v>
      </c>
      <c r="E1135" s="383" t="s">
        <v>2258</v>
      </c>
      <c r="F1135" s="242" t="s">
        <v>863</v>
      </c>
      <c r="G1135" t="s">
        <v>895</v>
      </c>
      <c r="H1135" s="156" t="s">
        <v>422</v>
      </c>
      <c r="I1135" s="145" t="s">
        <v>1523</v>
      </c>
      <c r="J1135">
        <v>527</v>
      </c>
      <c r="L1135" s="394">
        <v>1900</v>
      </c>
      <c r="M1135" s="112">
        <f>=J1135*L1135</f>
        <v>1001300</v>
      </c>
      <c r="N1135" s="71">
        <v>2.5</v>
      </c>
      <c r="O1135" s="189">
        <f>=ROUND(IF((TODAY()-A1135+1)*N1135*(L1135/10000)+L1135&lt;L1135*1.002,L1135*1.002,(TODAY()-A1135+1)*N1135*(L1135/10000)+L1135),2)</f>
        <v>1906.18</v>
      </c>
      <c r="P1135" s="384">
        <v>527</v>
      </c>
      <c r="Q1135" s="71">
        <f>=J1135-P1135</f>
        <v>0</v>
      </c>
      <c r="R1135">
        <v>0</v>
      </c>
      <c r="S1135" s="112">
        <f>=P1135-R1135</f>
        <v>527</v>
      </c>
      <c r="T1135" s="71">
        <f>=S1135*L1135</f>
        <v>1001300</v>
      </c>
      <c r="U1135" s="190">
        <f>=J1135-P1135</f>
        <v>0</v>
      </c>
    </row>
    <row r="1136" spans="1:21">
      <c r="A1136" s="80">
        <v>46216</v>
      </c>
      <c r="B1136" s="71">
        <f>=TODAY()-A1136+1</f>
        <v>9</v>
      </c>
      <c r="C1136" s="98" t="s">
        <v>370</v>
      </c>
      <c r="D1136" s="71" t="s">
        <v>150</v>
      </c>
      <c r="E1136" s="395" t="s">
        <v>2259</v>
      </c>
      <c r="F1136" s="242" t="s">
        <v>894</v>
      </c>
      <c r="G1136" s="71" t="s">
        <v>895</v>
      </c>
      <c r="H1136" s="71" t="s">
        <v>422</v>
      </c>
      <c r="I1136" s="308" t="s">
        <v>2260</v>
      </c>
      <c r="J1136" s="396">
        <v>222</v>
      </c>
      <c r="K1136" s="378" t="s"/>
      <c r="L1136" s="339">
        <v>850</v>
      </c>
      <c r="M1136" s="112">
        <f>=J1136*L1136</f>
        <v>188700</v>
      </c>
      <c r="N1136" s="97">
        <v>2.5</v>
      </c>
      <c r="O1136" s="189">
        <f>=ROUND(IF((TODAY()-A1136+1)*N1136*(L1136/10000)+L1136&lt;L1136*1.002,L1136*1.002,(TODAY()-A1136+1)*N1136*(L1136/10000)+L1136),2)</f>
        <v>852.13</v>
      </c>
      <c r="P1136" s="397">
        <v>222</v>
      </c>
      <c r="Q1136" s="71">
        <f>=J1136-P1136</f>
        <v>0</v>
      </c>
      <c r="R1136">
        <v>0</v>
      </c>
      <c r="S1136" s="197">
        <f>=P1136-R1136</f>
        <v>222</v>
      </c>
      <c r="T1136" s="71">
        <f>=S1136*L1136</f>
        <v>188700</v>
      </c>
      <c r="U1136" s="190">
        <f>=J1136-P1136</f>
        <v>0</v>
      </c>
    </row>
    <row r="1137" spans="1:21">
      <c r="A1137" s="80">
        <v>46216</v>
      </c>
      <c r="B1137" s="71">
        <f>=TODAY()-A1137+1</f>
        <v>9</v>
      </c>
      <c r="C1137" s="98" t="s">
        <v>370</v>
      </c>
      <c r="D1137" s="71" t="s">
        <v>150</v>
      </c>
      <c r="E1137" s="395" t="s">
        <v>2261</v>
      </c>
      <c r="F1137" s="242" t="s">
        <v>894</v>
      </c>
      <c r="G1137" s="71" t="s">
        <v>895</v>
      </c>
      <c r="H1137" s="71" t="s">
        <v>422</v>
      </c>
      <c r="I1137" t="s">
        <v>2262</v>
      </c>
      <c r="J1137" s="367">
        <v>103</v>
      </c>
      <c r="K1137" s="339" t="s"/>
      <c r="L1137" s="154">
        <v>850</v>
      </c>
      <c r="M1137" s="112">
        <f>=J1137*L1137</f>
        <v>87550</v>
      </c>
      <c r="N1137" s="97">
        <v>2.5</v>
      </c>
      <c r="O1137" s="189">
        <f>=ROUND(IF((TODAY()-A1137+1)*N1137*(L1137/10000)+L1137&lt;L1137*1.002,L1137*1.002,(TODAY()-A1137+1)*N1137*(L1137/10000)+L1137),2)</f>
        <v>852.13</v>
      </c>
      <c r="P1137" s="384">
        <v>103</v>
      </c>
      <c r="Q1137" s="71">
        <f>=J1137-P1137</f>
        <v>0</v>
      </c>
      <c r="R1137">
        <v>0</v>
      </c>
      <c r="S1137" s="197">
        <f>=P1137-R1137</f>
        <v>103</v>
      </c>
      <c r="T1137" s="71">
        <f>=S1137*L1137</f>
        <v>87550</v>
      </c>
      <c r="U1137" s="190">
        <f>=J1137-P1137</f>
        <v>0</v>
      </c>
    </row>
    <row r="1138" spans="1:21">
      <c r="A1138" s="80">
        <v>46216</v>
      </c>
      <c r="B1138" s="71">
        <f>=TODAY()-A1138+1</f>
        <v>9</v>
      </c>
      <c r="C1138" s="98" t="s">
        <v>370</v>
      </c>
      <c r="D1138" s="71" t="s">
        <v>150</v>
      </c>
      <c r="E1138" s="395" t="s">
        <v>2263</v>
      </c>
      <c r="F1138" s="242" t="s">
        <v>894</v>
      </c>
      <c r="G1138" s="71" t="s">
        <v>895</v>
      </c>
      <c r="H1138" s="71" t="s">
        <v>422</v>
      </c>
      <c r="I1138" s="248" t="s">
        <v>2264</v>
      </c>
      <c r="J1138" s="396">
        <v>295</v>
      </c>
      <c r="K1138" s="339" t="s"/>
      <c r="L1138" s="332">
        <v>850</v>
      </c>
      <c r="M1138" s="112">
        <f>=J1138*L1138</f>
        <v>250750</v>
      </c>
      <c r="N1138" s="97">
        <v>2.5</v>
      </c>
      <c r="O1138" s="189">
        <f>=ROUND(IF((TODAY()-A1138+1)*N1138*(L1138/10000)+L1138&lt;L1138*1.002,L1138*1.002,(TODAY()-A1138+1)*N1138*(L1138/10000)+L1138),2)</f>
        <v>852.13</v>
      </c>
      <c r="P1138" s="397">
        <v>295</v>
      </c>
      <c r="Q1138" s="71">
        <f>=J1138-P1138</f>
        <v>0</v>
      </c>
      <c r="R1138">
        <v>0</v>
      </c>
      <c r="S1138" s="197">
        <f>=P1138-R1138</f>
        <v>295</v>
      </c>
      <c r="T1138" s="71">
        <f>=S1138*L1138</f>
        <v>250750</v>
      </c>
      <c r="U1138" s="190">
        <f>=J1138-P1138</f>
        <v>0</v>
      </c>
    </row>
    <row r="1139" spans="1:21">
      <c r="A1139" s="80">
        <v>46216</v>
      </c>
      <c r="B1139" s="71">
        <f>=TODAY()-A1139+1</f>
        <v>9</v>
      </c>
      <c r="C1139" s="98" t="s">
        <v>371</v>
      </c>
      <c r="D1139" s="136" t="s">
        <v>335</v>
      </c>
      <c r="E1139" s="398" t="s">
        <v>2265</v>
      </c>
      <c r="F1139" s="383" t="s">
        <v>2143</v>
      </c>
      <c r="G1139" t="s">
        <v>741</v>
      </c>
      <c r="H1139" s="64" t="s">
        <v>422</v>
      </c>
      <c r="I1139" s="399" t="s">
        <v>2266</v>
      </c>
      <c r="J1139">
        <v>1000</v>
      </c>
      <c r="L1139" s="154">
        <v>900</v>
      </c>
      <c r="M1139" s="197">
        <f>=J1139*L1139</f>
        <v>900000</v>
      </c>
      <c r="N1139">
        <v>2.5</v>
      </c>
      <c r="O1139" s="189">
        <f>=ROUND(IF((TODAY()-A1139+1)*N1139*(L1139/10000)+L1139&lt;L1139*1.002,L1139*1.002,(TODAY()-A1139+1)*N1139*(L1139/10000)+L1139),2)</f>
        <v>902.25</v>
      </c>
      <c r="P1139">
        <v>1000</v>
      </c>
      <c r="Q1139" s="64">
        <v>0</v>
      </c>
      <c r="R1139" s="332">
        <v>550</v>
      </c>
      <c r="S1139" s="197">
        <f>=P1139-R1139</f>
        <v>450</v>
      </c>
      <c r="T1139" s="71">
        <f>=S1139*L1139</f>
        <v>405000</v>
      </c>
      <c r="U1139" s="190">
        <f>=J1139-P1139</f>
        <v>0</v>
      </c>
    </row>
    <row r="1140" spans="1:21">
      <c r="A1140" s="80">
        <v>46217</v>
      </c>
      <c r="B1140" s="71">
        <f>=TODAY()-A1140+1</f>
        <v>8</v>
      </c>
      <c r="C1140" t="s">
        <v>372</v>
      </c>
      <c r="D1140" s="400" t="s">
        <v>239</v>
      </c>
      <c r="E1140" s="398" t="s">
        <v>2267</v>
      </c>
      <c r="F1140" s="398" t="s">
        <v>2083</v>
      </c>
      <c r="G1140" t="s">
        <v>1753</v>
      </c>
      <c r="H1140" t="s">
        <v>470</v>
      </c>
      <c r="I1140" s="401" t="s">
        <v>2268</v>
      </c>
      <c r="J1140" s="71">
        <v>200</v>
      </c>
      <c r="K1140" s="154" t="s"/>
      <c r="L1140" s="154">
        <v>2000</v>
      </c>
      <c r="M1140" s="197">
        <f>=J1140*L1140</f>
        <v>400000</v>
      </c>
      <c r="N1140" s="97">
        <v>2.5</v>
      </c>
      <c r="O1140" s="189">
        <f>=ROUND(IF((TODAY()-A1140+1)*N1140*(L1140/10000)+L1140&lt;L1140*1.002,L1140*1.002,(TODAY()-A1140+1)*N1140*(L1140/10000)+L1140),2)</f>
        <v>2004.5</v>
      </c>
      <c r="P1140" s="71">
        <v>200</v>
      </c>
      <c r="Q1140" s="71">
        <f>=J1140-P1140</f>
        <v>0</v>
      </c>
      <c r="S1140" s="112">
        <f>=P1140-R1140</f>
        <v>200</v>
      </c>
      <c r="T1140" s="71">
        <f>=S1140*L1140</f>
        <v>400000</v>
      </c>
      <c r="U1140" s="190">
        <f>=J1140-P1140</f>
        <v>0</v>
      </c>
    </row>
    <row r="1141" spans="1:21">
      <c r="A1141" s="80">
        <v>46217</v>
      </c>
      <c r="B1141" s="71">
        <f>=TODAY()-A1141+1</f>
        <v>8</v>
      </c>
      <c r="C1141" t="s">
        <v>372</v>
      </c>
      <c r="D1141" s="400" t="s">
        <v>239</v>
      </c>
      <c r="E1141" s="398" t="s">
        <v>2267</v>
      </c>
      <c r="F1141" s="398" t="s">
        <v>2083</v>
      </c>
      <c r="G1141" t="s">
        <v>1753</v>
      </c>
      <c r="H1141" t="s">
        <v>470</v>
      </c>
      <c r="I1141" s="307" t="s">
        <v>2269</v>
      </c>
      <c r="J1141" s="154">
        <v>170</v>
      </c>
      <c r="K1141" s="154" t="s"/>
      <c r="L1141" s="154">
        <v>2300</v>
      </c>
      <c r="M1141" s="197">
        <f>=J1141*L1141</f>
        <v>391000</v>
      </c>
      <c r="N1141" s="97">
        <v>2.5</v>
      </c>
      <c r="O1141" s="189">
        <f>=ROUND(IF((TODAY()-A1141+1)*N1141*(L1141/10000)+L1141&lt;L1141*1.002,L1141*1.002,(TODAY()-A1141+1)*N1141*(L1141/10000)+L1141),2)</f>
        <v>2305.18</v>
      </c>
      <c r="P1141" s="154">
        <v>170</v>
      </c>
      <c r="Q1141" s="71">
        <f>=J1141-P1141</f>
        <v>0</v>
      </c>
      <c r="S1141" s="112">
        <f>=P1141-R1141</f>
        <v>170</v>
      </c>
      <c r="T1141" s="71">
        <f>=S1141*L1141</f>
        <v>391000</v>
      </c>
      <c r="U1141" s="190">
        <f>=J1141-P1141</f>
        <v>0</v>
      </c>
    </row>
    <row r="1142" spans="1:21">
      <c r="A1142" s="80">
        <v>46217</v>
      </c>
      <c r="B1142" s="71">
        <f>=TODAY()-A1142+1</f>
        <v>8</v>
      </c>
      <c r="C1142" s="98" t="s">
        <v>373</v>
      </c>
      <c r="D1142" s="71" t="s">
        <v>191</v>
      </c>
      <c r="E1142" s="398" t="s">
        <v>2270</v>
      </c>
      <c r="F1142" t="s">
        <v>1076</v>
      </c>
      <c r="G1142" s="64" t="s">
        <v>741</v>
      </c>
      <c r="H1142" s="64" t="s">
        <v>422</v>
      </c>
      <c r="I1142" t="s">
        <v>1652</v>
      </c>
      <c r="J1142">
        <v>66</v>
      </c>
      <c r="L1142" s="154">
        <v>1000</v>
      </c>
      <c r="M1142" s="112">
        <f>=J1142*L1142</f>
        <v>66000</v>
      </c>
      <c r="N1142" s="71">
        <v>2.5</v>
      </c>
      <c r="O1142" s="189">
        <f>=ROUND(IF((TODAY()-A1142+1)*N1142*(L1142/10000)+L1142&lt;L1142*1.002,L1142*1.002,(TODAY()-A1142+1)*N1142*(L1142/10000)+L1142),2)</f>
        <v>1002.25</v>
      </c>
      <c r="P1142">
        <v>66</v>
      </c>
      <c r="Q1142" s="71">
        <f>=J1142-P1142</f>
        <v>0</v>
      </c>
      <c r="S1142" s="112">
        <f>=P1142-R1142</f>
        <v>66</v>
      </c>
      <c r="T1142" s="71">
        <f>=S1142*L1142</f>
        <v>66000</v>
      </c>
      <c r="U1142" s="190">
        <f>=J1142-P1142</f>
        <v>0</v>
      </c>
    </row>
    <row r="1143" spans="1:21">
      <c r="A1143" s="80">
        <v>46217</v>
      </c>
      <c r="B1143" s="71">
        <f>=TODAY()-A1143+1</f>
        <v>8</v>
      </c>
      <c r="C1143" s="98" t="s">
        <v>373</v>
      </c>
      <c r="D1143" s="71" t="s">
        <v>191</v>
      </c>
      <c r="E1143" s="398" t="s">
        <v>2271</v>
      </c>
      <c r="F1143" t="s">
        <v>1076</v>
      </c>
      <c r="G1143" s="64" t="s">
        <v>741</v>
      </c>
      <c r="H1143" s="64" t="s">
        <v>422</v>
      </c>
      <c r="I1143" t="s">
        <v>1278</v>
      </c>
      <c r="J1143" s="154">
        <v>165</v>
      </c>
      <c r="K1143" s="154" t="s"/>
      <c r="L1143" s="154">
        <v>1000</v>
      </c>
      <c r="M1143" s="112">
        <f>=J1143*L1143</f>
        <v>165000</v>
      </c>
      <c r="N1143" s="71">
        <v>2.5</v>
      </c>
      <c r="O1143" s="189">
        <f>=ROUND(IF((TODAY()-A1143+1)*N1143*(L1143/10000)+L1143&lt;L1143*1.002,L1143*1.002,(TODAY()-A1143+1)*N1143*(L1143/10000)+L1143),2)</f>
        <v>1002.25</v>
      </c>
      <c r="P1143" s="154">
        <v>165</v>
      </c>
      <c r="Q1143" s="71">
        <f>=J1143-P1143</f>
        <v>0</v>
      </c>
      <c r="S1143" s="112">
        <f>=P1143-R1143</f>
        <v>165</v>
      </c>
      <c r="T1143" s="71">
        <f>=S1143*L1143</f>
        <v>165000</v>
      </c>
      <c r="U1143" s="190">
        <f>=J1143-P1143</f>
        <v>0</v>
      </c>
    </row>
    <row r="1144" spans="1:21">
      <c r="A1144" s="80">
        <v>46217</v>
      </c>
      <c r="B1144" s="71">
        <f>=TODAY()-A1144+1</f>
        <v>8</v>
      </c>
      <c r="C1144" s="98" t="s">
        <v>373</v>
      </c>
      <c r="D1144" s="71" t="s">
        <v>191</v>
      </c>
      <c r="E1144" s="398" t="s">
        <v>2272</v>
      </c>
      <c r="F1144" t="s">
        <v>1076</v>
      </c>
      <c r="G1144" s="64" t="s">
        <v>741</v>
      </c>
      <c r="H1144" s="64" t="s">
        <v>422</v>
      </c>
      <c r="I1144" s="140" t="s">
        <v>1176</v>
      </c>
      <c r="J1144" s="154">
        <v>189</v>
      </c>
      <c r="K1144" s="154" t="s"/>
      <c r="L1144" s="154">
        <v>1000</v>
      </c>
      <c r="M1144" s="112">
        <f>=J1144*L1144</f>
        <v>189000</v>
      </c>
      <c r="N1144" s="71">
        <v>2.5</v>
      </c>
      <c r="O1144" s="189">
        <f>=ROUND(IF((TODAY()-A1144+1)*N1144*(L1144/10000)+L1144&lt;L1144*1.002,L1144*1.002,(TODAY()-A1144+1)*N1144*(L1144/10000)+L1144),2)</f>
        <v>1002.25</v>
      </c>
      <c r="P1144" s="154">
        <v>189</v>
      </c>
      <c r="Q1144" s="71">
        <f>=J1144-P1144</f>
        <v>0</v>
      </c>
      <c r="S1144" s="112">
        <f>=P1144-R1144</f>
        <v>189</v>
      </c>
      <c r="T1144" s="71">
        <f>=S1144*L1144</f>
        <v>189000</v>
      </c>
      <c r="U1144" s="190">
        <f>=J1144-P1144</f>
        <v>0</v>
      </c>
    </row>
    <row r="1145" spans="1:21">
      <c r="A1145" s="80">
        <v>46217</v>
      </c>
      <c r="B1145" s="71">
        <f>=TODAY()-A1145+1</f>
        <v>8</v>
      </c>
      <c r="C1145" s="165" t="s">
        <v>374</v>
      </c>
      <c r="D1145" s="71" t="s">
        <v>150</v>
      </c>
      <c r="E1145" s="398" t="s">
        <v>2273</v>
      </c>
      <c r="F1145" s="242" t="s">
        <v>894</v>
      </c>
      <c r="G1145" t="s">
        <v>895</v>
      </c>
      <c r="H1145" t="s">
        <v>422</v>
      </c>
      <c r="I1145" s="87" t="s">
        <v>1816</v>
      </c>
      <c r="J1145" s="154">
        <v>200</v>
      </c>
      <c r="K1145" s="154" t="s"/>
      <c r="L1145" s="402">
        <v>930</v>
      </c>
      <c r="M1145" s="197">
        <f>=J1145*L1145</f>
        <v>186000</v>
      </c>
      <c r="N1145" s="71">
        <v>2.5</v>
      </c>
      <c r="O1145" s="189">
        <f>=ROUND(IF((TODAY()-A1145+1)*N1145*(L1145/10000)+L1145&lt;L1145*1.002,L1145*1.002,(TODAY()-A1145+1)*N1145*(L1145/10000)+L1145),2)</f>
        <v>932.09</v>
      </c>
      <c r="P1145" s="154">
        <v>200</v>
      </c>
      <c r="Q1145" s="71">
        <f>=J1145-P1145</f>
        <v>0</v>
      </c>
      <c r="S1145" s="112">
        <f>=P1145-R1145</f>
        <v>200</v>
      </c>
      <c r="T1145" s="71">
        <f>=S1145*L1145</f>
        <v>186000</v>
      </c>
      <c r="U1145" s="190">
        <f>=J1145-P1145</f>
        <v>0</v>
      </c>
    </row>
    <row r="1146" spans="1:21">
      <c r="A1146" s="80">
        <v>46217</v>
      </c>
      <c r="B1146" s="71">
        <f>=TODAY()-A1146+1</f>
        <v>8</v>
      </c>
      <c r="C1146" s="165" t="s">
        <v>374</v>
      </c>
      <c r="D1146" s="71" t="s">
        <v>150</v>
      </c>
      <c r="E1146" s="398" t="s">
        <v>2274</v>
      </c>
      <c r="F1146" s="242" t="s">
        <v>894</v>
      </c>
      <c r="G1146" s="156" t="s">
        <v>895</v>
      </c>
      <c r="H1146" s="156" t="s">
        <v>422</v>
      </c>
      <c r="I1146" s="87" t="s">
        <v>2069</v>
      </c>
      <c r="J1146" s="154">
        <v>100</v>
      </c>
      <c r="K1146" s="154" t="s"/>
      <c r="L1146" s="154">
        <v>930</v>
      </c>
      <c r="M1146" s="197">
        <f>=J1146*L1146</f>
        <v>93000</v>
      </c>
      <c r="N1146" s="71">
        <v>2.5</v>
      </c>
      <c r="O1146" s="189">
        <f>=ROUND(IF((TODAY()-A1146+1)*N1146*(L1146/10000)+L1146&lt;L1146*1.002,L1146*1.002,(TODAY()-A1146+1)*N1146*(L1146/10000)+L1146),2)</f>
        <v>932.09</v>
      </c>
      <c r="P1146" s="154">
        <v>100</v>
      </c>
      <c r="Q1146" s="71">
        <f>=J1146-P1146</f>
        <v>0</v>
      </c>
      <c r="R1146">
        <v>50</v>
      </c>
      <c r="S1146" s="112">
        <f>=P1146-R1146</f>
        <v>50</v>
      </c>
      <c r="T1146" s="71">
        <f>=S1146*L1146</f>
        <v>46500</v>
      </c>
      <c r="U1146" s="190">
        <f>=J1146-P1146</f>
        <v>0</v>
      </c>
    </row>
    <row r="1147" spans="1:21">
      <c r="A1147" s="80">
        <v>46217</v>
      </c>
      <c r="B1147" s="71">
        <f>=TODAY()-A1147+1</f>
        <v>8</v>
      </c>
      <c r="C1147" s="165" t="s">
        <v>374</v>
      </c>
      <c r="D1147" s="71" t="s">
        <v>150</v>
      </c>
      <c r="E1147" s="398" t="s">
        <v>2275</v>
      </c>
      <c r="F1147" s="242" t="s">
        <v>894</v>
      </c>
      <c r="G1147" s="156" t="s">
        <v>895</v>
      </c>
      <c r="H1147" s="156" t="s">
        <v>422</v>
      </c>
      <c r="I1147" t="s">
        <v>2276</v>
      </c>
      <c r="J1147">
        <v>470</v>
      </c>
      <c r="L1147">
        <v>450</v>
      </c>
      <c r="M1147" s="197">
        <f>=J1147*L1147</f>
        <v>211500</v>
      </c>
      <c r="N1147" s="71">
        <v>2.5</v>
      </c>
      <c r="O1147" s="189">
        <f>=ROUND(IF((TODAY()-A1147+1)*N1147*(L1147/10000)+L1147&lt;L1147*1.002,L1147*1.002,(TODAY()-A1147+1)*N1147*(L1147/10000)+L1147),2)</f>
        <v>451.01</v>
      </c>
      <c r="P1147">
        <v>470</v>
      </c>
      <c r="Q1147" s="71">
        <f>=J1147-P1147</f>
        <v>0</v>
      </c>
      <c r="S1147" s="112">
        <f>=P1147-R1147</f>
        <v>470</v>
      </c>
      <c r="T1147" s="71">
        <f>=S1147*L1147</f>
        <v>211500</v>
      </c>
      <c r="U1147" s="190">
        <f>=J1147-P1147</f>
        <v>0</v>
      </c>
    </row>
    <row r="1148" spans="1:21">
      <c r="A1148" s="80">
        <v>46218</v>
      </c>
      <c r="B1148" s="71">
        <f>=TODAY()-A1148+1</f>
        <v>7</v>
      </c>
      <c r="C1148" s="98" t="s">
        <v>375</v>
      </c>
      <c r="D1148" s="71" t="s">
        <v>191</v>
      </c>
      <c r="E1148" s="398" t="s">
        <v>2277</v>
      </c>
      <c r="F1148" t="s">
        <v>1076</v>
      </c>
      <c r="G1148" s="64" t="s">
        <v>741</v>
      </c>
      <c r="H1148" s="64" t="s">
        <v>422</v>
      </c>
      <c r="I1148" s="140" t="s">
        <v>1082</v>
      </c>
      <c r="J1148">
        <v>228</v>
      </c>
      <c r="L1148">
        <v>1000</v>
      </c>
      <c r="M1148" s="112">
        <f>=J1148*L1148</f>
        <v>228000</v>
      </c>
      <c r="N1148" s="71">
        <v>2.5</v>
      </c>
      <c r="O1148" s="189">
        <f>=ROUND(IF((TODAY()-A1148+1)*N1148*(L1148/10000)+L1148&lt;L1148*1.002,L1148*1.002,(TODAY()-A1148+1)*N1148*(L1148/10000)+L1148),2)</f>
        <v>1002</v>
      </c>
      <c r="P1148">
        <v>228</v>
      </c>
      <c r="Q1148" s="71">
        <f>=J1148-P1148</f>
        <v>0</v>
      </c>
      <c r="S1148" s="112">
        <f>=P1148-R1148</f>
        <v>228</v>
      </c>
      <c r="T1148" s="71">
        <f>=S1148*L1148</f>
        <v>228000</v>
      </c>
      <c r="U1148" s="190">
        <f>=J1148-P1148</f>
        <v>0</v>
      </c>
    </row>
    <row r="1149" spans="1:21">
      <c r="A1149" s="80">
        <v>46219</v>
      </c>
      <c r="B1149" s="71">
        <f>=TODAY()-A1149+1</f>
        <v>6</v>
      </c>
      <c r="C1149" s="98" t="s">
        <v>376</v>
      </c>
      <c r="D1149" s="326" t="s">
        <v>335</v>
      </c>
      <c r="E1149" s="398" t="s">
        <v>2278</v>
      </c>
      <c r="F1149" s="383" t="s">
        <v>2143</v>
      </c>
      <c r="G1149" t="s">
        <v>895</v>
      </c>
      <c r="H1149" s="64" t="s">
        <v>449</v>
      </c>
      <c r="I1149" s="401" t="s">
        <v>2279</v>
      </c>
      <c r="J1149">
        <v>300</v>
      </c>
      <c r="L1149" s="154">
        <v>1000</v>
      </c>
      <c r="M1149" s="197">
        <f>=J1149*L1149</f>
        <v>300000</v>
      </c>
      <c r="N1149">
        <v>2.5</v>
      </c>
      <c r="O1149" s="189">
        <f>=ROUND(IF((TODAY()-A1149+1)*N1149*(L1149/10000)+L1149&lt;L1149*1.002,L1149*1.002,(TODAY()-A1149+1)*N1149*(L1149/10000)+L1149),2)</f>
        <v>1002</v>
      </c>
      <c r="P1149">
        <v>300</v>
      </c>
      <c r="Q1149" s="64">
        <v>0</v>
      </c>
      <c r="R1149" s="87">
        <v>50</v>
      </c>
      <c r="S1149" s="197">
        <f>=P1149-R1149</f>
        <v>250</v>
      </c>
      <c r="T1149" s="71">
        <f>=S1149*L1149</f>
        <v>250000</v>
      </c>
      <c r="U1149" s="190">
        <f>=J1149-P1149</f>
        <v>0</v>
      </c>
    </row>
    <row r="1150" spans="1:21">
      <c r="A1150" s="80">
        <v>46219</v>
      </c>
      <c r="B1150" s="71">
        <f>=TODAY()-A1150+1</f>
        <v>6</v>
      </c>
      <c r="C1150" s="98" t="s">
        <v>376</v>
      </c>
      <c r="D1150" s="326" t="s">
        <v>335</v>
      </c>
      <c r="E1150" s="398" t="s">
        <v>2280</v>
      </c>
      <c r="F1150" s="383" t="s">
        <v>2143</v>
      </c>
      <c r="G1150" t="s">
        <v>895</v>
      </c>
      <c r="H1150" s="64" t="s">
        <v>449</v>
      </c>
      <c r="I1150" s="87" t="s">
        <v>2281</v>
      </c>
      <c r="J1150">
        <v>150</v>
      </c>
      <c r="L1150">
        <v>1000</v>
      </c>
      <c r="M1150" s="197">
        <f>=J1150*L1150</f>
        <v>150000</v>
      </c>
      <c r="N1150">
        <v>2.5</v>
      </c>
      <c r="O1150" s="189">
        <f>=ROUND(IF((TODAY()-A1150+1)*N1150*(L1150/10000)+L1150&lt;L1150*1.002,L1150*1.002,(TODAY()-A1150+1)*N1150*(L1150/10000)+L1150),2)</f>
        <v>1002</v>
      </c>
      <c r="P1150">
        <v>150</v>
      </c>
      <c r="Q1150" s="64">
        <v>0</v>
      </c>
      <c r="R1150" s="64">
        <v>150</v>
      </c>
      <c r="S1150" s="197">
        <f>=P1150-R1150</f>
        <v>0</v>
      </c>
      <c r="T1150" s="71">
        <f>=S1150*L1150</f>
        <v>0</v>
      </c>
      <c r="U1150" s="190">
        <f>=J1150-P1150</f>
        <v>0</v>
      </c>
    </row>
    <row r="1151" spans="1:21">
      <c r="A1151" s="80">
        <v>46218</v>
      </c>
      <c r="B1151" s="71">
        <f>=TODAY()-A1151+1</f>
        <v>7</v>
      </c>
      <c r="C1151" s="98" t="s">
        <v>377</v>
      </c>
      <c r="D1151" s="326" t="s">
        <v>335</v>
      </c>
      <c r="E1151" s="398" t="s">
        <v>2282</v>
      </c>
      <c r="F1151" s="383" t="s">
        <v>2143</v>
      </c>
      <c r="G1151" t="s">
        <v>895</v>
      </c>
      <c r="H1151" s="64" t="s">
        <v>449</v>
      </c>
      <c r="I1151" s="403" t="s">
        <v>2283</v>
      </c>
      <c r="J1151" s="207">
        <v>150</v>
      </c>
      <c r="L1151" s="332">
        <v>1300</v>
      </c>
      <c r="M1151" s="197">
        <f>=J1151*L1151</f>
        <v>195000</v>
      </c>
      <c r="N1151">
        <v>2.5</v>
      </c>
      <c r="O1151" s="189">
        <f>=ROUND(IF((TODAY()-A1151+1)*N1151*(L1151/10000)+L1151&lt;L1151*1.002,L1151*1.002,(TODAY()-A1151+1)*N1151*(L1151/10000)+L1151),2)</f>
        <v>1302.6</v>
      </c>
      <c r="P1151">
        <v>150</v>
      </c>
      <c r="Q1151" s="64">
        <v>0</v>
      </c>
      <c r="R1151" s="249">
        <v>80</v>
      </c>
      <c r="S1151" s="197">
        <f>=P1151-R1151</f>
        <v>70</v>
      </c>
      <c r="T1151" s="71">
        <f>=S1151*L1151</f>
        <v>91000</v>
      </c>
      <c r="U1151" s="190">
        <f>=J1151-P1151</f>
        <v>0</v>
      </c>
    </row>
    <row r="1152" spans="1:21" ht="15.75" customHeight="true">
      <c r="A1152" s="80">
        <v>46218</v>
      </c>
      <c r="B1152" s="71">
        <f>=TODAY()-A1152+1</f>
        <v>7</v>
      </c>
      <c r="C1152" s="98" t="s">
        <v>378</v>
      </c>
      <c r="D1152" s="108" t="s">
        <v>294</v>
      </c>
      <c r="E1152" s="398" t="s">
        <v>2284</v>
      </c>
      <c r="F1152" s="398" t="s">
        <v>2285</v>
      </c>
      <c r="G1152" t="s">
        <v>895</v>
      </c>
      <c r="H1152" s="156" t="s">
        <v>422</v>
      </c>
      <c r="I1152" s="335" t="s">
        <v>1523</v>
      </c>
      <c r="J1152" s="87">
        <v>1000</v>
      </c>
      <c r="K1152" s="154" t="s"/>
      <c r="L1152" s="154">
        <v>1900</v>
      </c>
      <c r="M1152" s="112">
        <f>=J1152*L1152</f>
        <v>1900000</v>
      </c>
      <c r="N1152" s="71">
        <v>2.5</v>
      </c>
      <c r="O1152" s="189">
        <f>=ROUND(IF((TODAY()-A1152+1)*N1152*(L1152/10000)+L1152&lt;L1152*1.002,L1152*1.002,(TODAY()-A1152+1)*N1152*(L1152/10000)+L1152),2)</f>
        <v>1903.8</v>
      </c>
      <c r="P1152" s="87">
        <v>1000</v>
      </c>
      <c r="Q1152" s="71">
        <f>=J1152-P1152</f>
        <v>0</v>
      </c>
      <c r="R1152" s="71">
        <v>0</v>
      </c>
      <c r="S1152" s="112">
        <f>=P1152-R1152</f>
        <v>1000</v>
      </c>
      <c r="T1152" s="71">
        <f>=S1152*L1152</f>
        <v>1900000</v>
      </c>
      <c r="U1152" s="190">
        <f>=J1152-P1152</f>
        <v>0</v>
      </c>
    </row>
    <row r="1153" spans="1:21">
      <c r="A1153" s="80">
        <v>46219</v>
      </c>
      <c r="B1153" s="71">
        <f>=TODAY()-A1153+1</f>
        <v>6</v>
      </c>
      <c r="C1153" s="71" t="s">
        <v>379</v>
      </c>
      <c r="D1153" s="64" t="s">
        <v>116</v>
      </c>
      <c r="E1153" s="398" t="s">
        <v>2286</v>
      </c>
      <c r="F1153" s="242" t="s">
        <v>818</v>
      </c>
      <c r="G1153" s="267" t="s">
        <v>804</v>
      </c>
      <c r="H1153" s="267" t="s">
        <v>429</v>
      </c>
      <c r="I1153" s="398" t="s">
        <v>2287</v>
      </c>
      <c r="J1153" s="339">
        <v>3366</v>
      </c>
      <c r="L1153">
        <v>150</v>
      </c>
      <c r="M1153" s="112">
        <f>=J1153*L1153</f>
        <v>504900</v>
      </c>
      <c r="N1153">
        <v>2.6</v>
      </c>
      <c r="O1153" s="189">
        <f>=ROUND(IF((TODAY()-A1153+1)*N1153*(L1153/10000)+L1153&lt;L1153*1.002,L1153*1.002,(TODAY()-A1153+1)*N1153*(L1153/10000)+L1153),2)</f>
        <v>150.3</v>
      </c>
      <c r="P1153" s="339">
        <v>3366</v>
      </c>
      <c r="Q1153" s="71">
        <f>=J1153-P1153</f>
        <v>0</v>
      </c>
      <c r="S1153" s="112">
        <f>=P1153-R1153</f>
        <v>3366</v>
      </c>
      <c r="T1153" s="71">
        <f>=S1153*L1153</f>
        <v>504900</v>
      </c>
      <c r="U1153" s="190">
        <f>=J1153-P1153</f>
        <v>0</v>
      </c>
    </row>
    <row r="1154" spans="1:21">
      <c r="A1154" s="80">
        <v>46219</v>
      </c>
      <c r="B1154" s="71">
        <f>=TODAY()-A1154+1</f>
        <v>6</v>
      </c>
      <c r="C1154" s="71" t="s">
        <v>379</v>
      </c>
      <c r="D1154" s="64" t="s">
        <v>116</v>
      </c>
      <c r="E1154" s="398" t="s">
        <v>2288</v>
      </c>
      <c r="F1154" s="242" t="s">
        <v>818</v>
      </c>
      <c r="G1154" s="267" t="s">
        <v>804</v>
      </c>
      <c r="H1154" s="267" t="s">
        <v>429</v>
      </c>
      <c r="I1154" s="398" t="s">
        <v>824</v>
      </c>
      <c r="J1154">
        <v>4199</v>
      </c>
      <c r="L1154">
        <v>50</v>
      </c>
      <c r="M1154" s="112">
        <f>=J1154*L1154</f>
        <v>209950</v>
      </c>
      <c r="N1154">
        <v>2.6</v>
      </c>
      <c r="O1154" s="189">
        <f>=ROUND(IF((TODAY()-A1154+1)*N1154*(L1154/10000)+L1154&lt;L1154*1.002,L1154*1.002,(TODAY()-A1154+1)*N1154*(L1154/10000)+L1154),2)</f>
        <v>50.1</v>
      </c>
      <c r="P1154">
        <v>4199</v>
      </c>
      <c r="Q1154" s="71">
        <f>=J1154-P1154</f>
        <v>0</v>
      </c>
      <c r="S1154" s="112">
        <f>=P1154-R1154</f>
        <v>4199</v>
      </c>
      <c r="T1154" s="71">
        <f>=S1154*L1154</f>
        <v>209950</v>
      </c>
      <c r="U1154" s="190">
        <f>=J1154-P1154</f>
        <v>0</v>
      </c>
    </row>
    <row r="1155" spans="1:21">
      <c r="A1155" s="80">
        <v>46219</v>
      </c>
      <c r="B1155" s="71">
        <f>=TODAY()-A1155+1</f>
        <v>6</v>
      </c>
      <c r="C1155" s="71" t="s">
        <v>379</v>
      </c>
      <c r="D1155" s="64" t="s">
        <v>116</v>
      </c>
      <c r="E1155" s="398" t="s">
        <v>2289</v>
      </c>
      <c r="F1155" s="242" t="s">
        <v>818</v>
      </c>
      <c r="G1155" s="267" t="s">
        <v>804</v>
      </c>
      <c r="H1155" s="267" t="s">
        <v>429</v>
      </c>
      <c r="I1155" s="398" t="s">
        <v>824</v>
      </c>
      <c r="J1155">
        <v>14</v>
      </c>
      <c r="L1155">
        <v>50</v>
      </c>
      <c r="M1155" s="112">
        <f>=J1155*L1155</f>
        <v>700</v>
      </c>
      <c r="N1155">
        <v>2.6</v>
      </c>
      <c r="O1155" s="189">
        <f>=ROUND(IF((TODAY()-A1155+1)*N1155*(L1155/10000)+L1155&lt;L1155*1.002,L1155*1.002,(TODAY()-A1155+1)*N1155*(L1155/10000)+L1155),2)</f>
        <v>50.1</v>
      </c>
      <c r="P1155">
        <v>14</v>
      </c>
      <c r="Q1155" s="71">
        <f>=J1155-P1155</f>
        <v>0</v>
      </c>
      <c r="S1155" s="112">
        <f>=P1155-R1155</f>
        <v>14</v>
      </c>
      <c r="T1155" s="71">
        <f>=S1155*L1155</f>
        <v>700</v>
      </c>
      <c r="U1155" s="190">
        <f>=J1155-P1155</f>
        <v>0</v>
      </c>
    </row>
    <row r="1156" spans="1:21" ht="15.75" customHeight="true">
      <c r="A1156" s="80">
        <v>46218</v>
      </c>
      <c r="B1156" s="71">
        <f>=TODAY()-A1156+1</f>
        <v>12</v>
      </c>
      <c r="C1156" s="98" t="s">
        <v>378</v>
      </c>
      <c r="D1156" s="108" t="s">
        <v>294</v>
      </c>
      <c r="E1156" s="398" t="s">
        <v>2290</v>
      </c>
      <c r="F1156" s="398" t="s">
        <v>2285</v>
      </c>
      <c r="G1156" t="s">
        <v>895</v>
      </c>
      <c r="H1156" s="156" t="s">
        <v>422</v>
      </c>
      <c r="I1156" s="335" t="s">
        <v>1523</v>
      </c>
      <c r="J1156" s="87">
        <v>1000</v>
      </c>
      <c r="K1156" s="154" t="s"/>
      <c r="L1156" s="154">
        <v>1900</v>
      </c>
      <c r="M1156" s="112">
        <f>=J1156*L1156</f>
        <v>1900000</v>
      </c>
      <c r="N1156" s="71">
        <v>2.5</v>
      </c>
      <c r="O1156" s="189">
        <f>=ROUND(IF((TODAY()-A1156+1)*N1156*(L1156/10000)+L1156&lt;L1156*1.002,L1156*1.002,(TODAY()-A1156+1)*N1156*(L1156/10000)+L1156),2)</f>
        <v>1905.7</v>
      </c>
      <c r="P1156" s="87">
        <v>1000</v>
      </c>
      <c r="Q1156" s="71">
        <f>=J1156-P1156</f>
        <v>0</v>
      </c>
      <c r="R1156" s="71">
        <v>0</v>
      </c>
      <c r="S1156" s="112">
        <f>=P1156-R1156</f>
        <v>1000</v>
      </c>
      <c r="T1156" s="71">
        <f>=S1156*L1156</f>
        <v>1900000</v>
      </c>
      <c r="U1156" s="190">
        <f>=J1156-P1156</f>
        <v>0</v>
      </c>
    </row>
    <row r="1157" spans="1:21">
      <c r="A1157" s="80">
        <v>46219</v>
      </c>
      <c r="B1157" s="71">
        <f>=TODAY()-A1157+1</f>
        <v>6</v>
      </c>
      <c r="C1157" s="98" t="s">
        <v>381</v>
      </c>
      <c r="D1157" s="71" t="s">
        <v>191</v>
      </c>
      <c r="E1157" s="398" t="s">
        <v>2291</v>
      </c>
      <c r="F1157" t="s">
        <v>1076</v>
      </c>
      <c r="G1157" t="s">
        <v>804</v>
      </c>
      <c r="H1157" t="s">
        <v>422</v>
      </c>
      <c r="I1157" s="274" t="s">
        <v>1077</v>
      </c>
      <c r="J1157" s="339">
        <v>310</v>
      </c>
      <c r="L1157">
        <v>800</v>
      </c>
      <c r="M1157" s="112">
        <f>=J1157*L1157</f>
        <v>248000</v>
      </c>
      <c r="N1157" s="71">
        <v>2.5</v>
      </c>
      <c r="O1157" s="189">
        <f>=ROUND(IF((TODAY()-A1157+1)*N1157*(L1157/10000)+L1157&lt;L1157*1.002,L1157*1.002,(TODAY()-A1157+1)*N1157*(L1157/10000)+L1157),2)</f>
        <v>801.6</v>
      </c>
      <c r="P1157" s="339">
        <v>310</v>
      </c>
      <c r="Q1157" s="71">
        <f>=J1157-P1157</f>
        <v>0</v>
      </c>
      <c r="R1157" s="339">
        <v>310</v>
      </c>
      <c r="S1157" s="112">
        <f>=P1157-R1157</f>
        <v>0</v>
      </c>
      <c r="T1157" s="71">
        <f>=S1157*L1157</f>
        <v>0</v>
      </c>
      <c r="U1157" s="190">
        <f>=J1157-P1157</f>
        <v>0</v>
      </c>
    </row>
    <row r="1158" spans="1:21">
      <c r="A1158" s="80">
        <v>46219</v>
      </c>
      <c r="B1158" s="71">
        <f>=TODAY()-A1158+1</f>
        <v>6</v>
      </c>
      <c r="C1158" s="98" t="s">
        <v>381</v>
      </c>
      <c r="D1158" s="71" t="s">
        <v>191</v>
      </c>
      <c r="E1158" s="398" t="s">
        <v>2292</v>
      </c>
      <c r="F1158" t="s">
        <v>1076</v>
      </c>
      <c r="G1158" t="s">
        <v>804</v>
      </c>
      <c r="H1158" t="s">
        <v>422</v>
      </c>
      <c r="I1158" s="87" t="s">
        <v>1079</v>
      </c>
      <c r="J1158" s="339">
        <v>269</v>
      </c>
      <c r="L1158" s="154">
        <v>800</v>
      </c>
      <c r="M1158" s="112">
        <f>=J1158*L1158</f>
        <v>215200</v>
      </c>
      <c r="N1158" s="71">
        <v>2.5</v>
      </c>
      <c r="O1158" s="189">
        <f>=ROUND(IF((TODAY()-A1158+1)*N1158*(L1158/10000)+L1158&lt;L1158*1.002,L1158*1.002,(TODAY()-A1158+1)*N1158*(L1158/10000)+L1158),2)</f>
        <v>801.6</v>
      </c>
      <c r="P1158" s="339">
        <v>269</v>
      </c>
      <c r="Q1158" s="71">
        <f>=J1158-P1158</f>
        <v>0</v>
      </c>
      <c r="R1158" s="339">
        <v>269</v>
      </c>
      <c r="S1158" s="112">
        <f>=P1158-R1158</f>
        <v>0</v>
      </c>
      <c r="T1158" s="71">
        <f>=S1158*L1158</f>
        <v>0</v>
      </c>
      <c r="U1158" s="190">
        <f>=J1158-P1158</f>
        <v>0</v>
      </c>
    </row>
    <row r="1159" spans="1:21">
      <c r="A1159" s="80">
        <v>46219</v>
      </c>
      <c r="B1159" s="71">
        <f>=TODAY()-A1159+1</f>
        <v>6</v>
      </c>
      <c r="C1159" s="98" t="s">
        <v>381</v>
      </c>
      <c r="D1159" s="71" t="s">
        <v>191</v>
      </c>
      <c r="E1159" s="398" t="s">
        <v>2293</v>
      </c>
      <c r="F1159" t="s">
        <v>1076</v>
      </c>
      <c r="G1159" t="s">
        <v>741</v>
      </c>
      <c r="H1159" t="s">
        <v>422</v>
      </c>
      <c r="I1159" s="87" t="s">
        <v>1026</v>
      </c>
      <c r="J1159" s="339">
        <v>25</v>
      </c>
      <c r="L1159">
        <v>1100</v>
      </c>
      <c r="M1159" s="112">
        <f>=J1159*L1159</f>
        <v>27500</v>
      </c>
      <c r="N1159" s="71">
        <v>2.5</v>
      </c>
      <c r="O1159" s="189">
        <f>=ROUND(IF((TODAY()-A1159+1)*N1159*(L1159/10000)+L1159&lt;L1159*1.002,L1159*1.002,(TODAY()-A1159+1)*N1159*(L1159/10000)+L1159),2)</f>
        <v>1102.2</v>
      </c>
      <c r="P1159" s="339">
        <v>25</v>
      </c>
      <c r="Q1159" s="71">
        <f>=J1159-P1159</f>
        <v>0</v>
      </c>
      <c r="S1159" s="112">
        <f>=P1159-R1159</f>
        <v>25</v>
      </c>
      <c r="T1159" s="71">
        <f>=S1159*L1159</f>
        <v>27500</v>
      </c>
      <c r="U1159" s="190">
        <f>=J1159-P1159</f>
        <v>0</v>
      </c>
    </row>
    <row r="1160" spans="1:21">
      <c r="A1160" s="80">
        <v>46219</v>
      </c>
      <c r="B1160" s="71">
        <f>=TODAY()-A1160+1</f>
        <v>6</v>
      </c>
      <c r="C1160" s="98" t="s">
        <v>381</v>
      </c>
      <c r="D1160" s="71" t="s">
        <v>191</v>
      </c>
      <c r="E1160" s="398" t="s">
        <v>2294</v>
      </c>
      <c r="F1160" t="s">
        <v>1076</v>
      </c>
      <c r="G1160" t="s">
        <v>741</v>
      </c>
      <c r="H1160" t="s">
        <v>422</v>
      </c>
      <c r="I1160" s="87" t="s">
        <v>1082</v>
      </c>
      <c r="J1160">
        <v>140</v>
      </c>
      <c r="L1160">
        <v>1000</v>
      </c>
      <c r="M1160" s="112">
        <f>=J1160*L1160</f>
        <v>140000</v>
      </c>
      <c r="N1160" s="71">
        <v>2.5</v>
      </c>
      <c r="O1160" s="189">
        <f>=ROUND(IF((TODAY()-A1160+1)*N1160*(L1160/10000)+L1160&lt;L1160*1.002,L1160*1.002,(TODAY()-A1160+1)*N1160*(L1160/10000)+L1160),2)</f>
        <v>1002</v>
      </c>
      <c r="P1160">
        <v>140</v>
      </c>
      <c r="Q1160" s="71">
        <f>=J1160-P1160</f>
        <v>0</v>
      </c>
      <c r="S1160" s="112">
        <f>=P1160-R1160</f>
        <v>140</v>
      </c>
      <c r="T1160" s="71">
        <f>=S1160*L1160</f>
        <v>140000</v>
      </c>
      <c r="U1160" s="190">
        <f>=J1160-P1160</f>
        <v>0</v>
      </c>
    </row>
    <row r="1161" spans="1:21">
      <c r="A1161" s="80">
        <v>46219</v>
      </c>
      <c r="B1161" s="71">
        <f>=TODAY()-A1161+1</f>
        <v>6</v>
      </c>
      <c r="C1161" s="98" t="s">
        <v>381</v>
      </c>
      <c r="D1161" s="71" t="s">
        <v>191</v>
      </c>
      <c r="E1161" s="398" t="s">
        <v>2295</v>
      </c>
      <c r="F1161" t="s">
        <v>1076</v>
      </c>
      <c r="G1161" t="s">
        <v>741</v>
      </c>
      <c r="H1161" t="s">
        <v>422</v>
      </c>
      <c r="I1161" s="274" t="s">
        <v>1084</v>
      </c>
      <c r="J1161" s="331">
        <v>130</v>
      </c>
      <c r="L1161">
        <v>1100</v>
      </c>
      <c r="M1161" s="112">
        <f>=J1161*L1161</f>
        <v>143000</v>
      </c>
      <c r="N1161" s="71">
        <v>2.5</v>
      </c>
      <c r="O1161" s="189">
        <f>=ROUND(IF((TODAY()-A1161+1)*N1161*(L1161/10000)+L1161&lt;L1161*1.002,L1161*1.002,(TODAY()-A1161+1)*N1161*(L1161/10000)+L1161),2)</f>
        <v>1102.2</v>
      </c>
      <c r="P1161" s="331">
        <v>130</v>
      </c>
      <c r="Q1161" s="71">
        <f>=J1161-P1161</f>
        <v>0</v>
      </c>
      <c r="S1161" s="112">
        <f>=P1161-R1161</f>
        <v>130</v>
      </c>
      <c r="T1161" s="71">
        <f>=S1161*L1161</f>
        <v>143000</v>
      </c>
      <c r="U1161" s="190">
        <f>=J1161-P1161</f>
        <v>0</v>
      </c>
    </row>
    <row r="1162" spans="1:21">
      <c r="A1162" s="80">
        <v>46219</v>
      </c>
      <c r="B1162" s="71">
        <f>=TODAY()-A1162+1</f>
        <v>6</v>
      </c>
      <c r="C1162" s="98" t="s">
        <v>381</v>
      </c>
      <c r="D1162" s="71" t="s">
        <v>191</v>
      </c>
      <c r="E1162" s="398" t="s">
        <v>2296</v>
      </c>
      <c r="F1162" s="242" t="s">
        <v>1076</v>
      </c>
      <c r="G1162" s="267" t="s">
        <v>741</v>
      </c>
      <c r="H1162" s="267" t="s">
        <v>422</v>
      </c>
      <c r="I1162" s="64" t="s">
        <v>1028</v>
      </c>
      <c r="J1162" s="64">
        <v>150</v>
      </c>
      <c r="L1162">
        <v>1200</v>
      </c>
      <c r="M1162" s="112">
        <f>=J1162*L1162</f>
        <v>180000</v>
      </c>
      <c r="N1162" s="71">
        <v>2.5</v>
      </c>
      <c r="O1162" s="189">
        <f>=ROUND(IF((TODAY()-A1162+1)*N1162*(L1162/10000)+L1162&lt;L1162*1.002,L1162*1.002,(TODAY()-A1162+1)*N1162*(L1162/10000)+L1162),2)</f>
        <v>1202.4</v>
      </c>
      <c r="P1162" s="64">
        <v>150</v>
      </c>
      <c r="Q1162" s="71">
        <f>=J1162-P1162</f>
        <v>0</v>
      </c>
      <c r="S1162" s="112">
        <f>=P1162-R1162</f>
        <v>150</v>
      </c>
      <c r="T1162" s="71">
        <f>=S1162*L1162</f>
        <v>180000</v>
      </c>
      <c r="U1162" s="190">
        <f>=J1162-P1162</f>
        <v>0</v>
      </c>
    </row>
    <row r="1163" spans="1:21">
      <c r="A1163" s="80">
        <v>46220</v>
      </c>
      <c r="B1163" s="71">
        <f>=TODAY()-A1163+1</f>
        <v>5</v>
      </c>
      <c r="C1163" s="71" t="s">
        <v>385</v>
      </c>
      <c r="D1163" s="64" t="s">
        <v>116</v>
      </c>
      <c r="E1163" s="398" t="s">
        <v>2297</v>
      </c>
      <c r="F1163" s="242" t="s">
        <v>818</v>
      </c>
      <c r="G1163" t="s">
        <v>804</v>
      </c>
      <c r="H1163" t="s">
        <v>429</v>
      </c>
      <c r="I1163" s="64" t="s">
        <v>821</v>
      </c>
      <c r="J1163">
        <v>2110</v>
      </c>
      <c r="L1163">
        <v>50</v>
      </c>
      <c r="M1163" s="112">
        <f>=J1163*L1163</f>
        <v>105500</v>
      </c>
      <c r="N1163" s="71">
        <v>2.6</v>
      </c>
      <c r="O1163" s="189">
        <f>=ROUND(IF((TODAY()-A1163+1)*N1163*(L1163/10000)+L1163&lt;L1163*1.002,L1163*1.002,(TODAY()-A1163+1)*N1163*(L1163/10000)+L1163),2)</f>
        <v>50.1</v>
      </c>
      <c r="P1163">
        <v>2110</v>
      </c>
      <c r="Q1163" s="71" t="s"/>
      <c r="S1163" s="112">
        <f>=P1163-R1163</f>
        <v>2110</v>
      </c>
      <c r="T1163" s="71">
        <f>=S1163*L1163</f>
        <v>105500</v>
      </c>
      <c r="U1163" s="190">
        <f>=J1163-P1163</f>
        <v>0</v>
      </c>
    </row>
    <row r="1164" spans="1:21">
      <c r="A1164" s="80">
        <v>46220</v>
      </c>
      <c r="B1164" s="71">
        <f>=TODAY()-A1164+1</f>
        <v>5</v>
      </c>
      <c r="C1164" s="71" t="s">
        <v>385</v>
      </c>
      <c r="D1164" s="64" t="s">
        <v>116</v>
      </c>
      <c r="E1164" s="398" t="s">
        <v>2298</v>
      </c>
      <c r="F1164" s="242" t="s">
        <v>818</v>
      </c>
      <c r="G1164" t="s">
        <v>804</v>
      </c>
      <c r="H1164" t="s">
        <v>429</v>
      </c>
      <c r="I1164" s="64" t="s">
        <v>822</v>
      </c>
      <c r="J1164">
        <v>6959</v>
      </c>
      <c r="L1164">
        <v>70</v>
      </c>
      <c r="M1164" s="112">
        <f>=J1164*L1164</f>
        <v>487130</v>
      </c>
      <c r="N1164" s="71">
        <v>2.6</v>
      </c>
      <c r="O1164" s="189">
        <f>=ROUND(IF((TODAY()-A1164+1)*N1164*(L1164/10000)+L1164&lt;L1164*1.002,L1164*1.002,(TODAY()-A1164+1)*N1164*(L1164/10000)+L1164),2)</f>
        <v>70.14</v>
      </c>
      <c r="P1164">
        <v>6959</v>
      </c>
      <c r="Q1164" s="71" t="s"/>
      <c r="R1164">
        <v>344</v>
      </c>
      <c r="S1164" s="112">
        <f>=P1164-R1164</f>
        <v>6615</v>
      </c>
      <c r="T1164" s="71">
        <f>=S1164*L1164</f>
        <v>463050</v>
      </c>
      <c r="U1164" s="190">
        <f>=J1164-P1164</f>
        <v>0</v>
      </c>
    </row>
    <row r="1165" spans="1:21">
      <c r="A1165" s="80">
        <v>46220</v>
      </c>
      <c r="B1165" s="71">
        <f>=TODAY()-A1165+1</f>
        <v>5</v>
      </c>
      <c r="C1165" t="s">
        <v>383</v>
      </c>
      <c r="D1165" t="s">
        <v>382</v>
      </c>
      <c r="E1165" s="398" t="s">
        <v>2299</v>
      </c>
      <c r="F1165" t="s">
        <v>2300</v>
      </c>
      <c r="G1165" t="s">
        <v>804</v>
      </c>
      <c r="H1165" s="267" t="s">
        <v>422</v>
      </c>
      <c r="I1165" s="136" t="s">
        <v>2301</v>
      </c>
      <c r="J1165">
        <v>200</v>
      </c>
      <c r="L1165">
        <v>800</v>
      </c>
      <c r="M1165" s="112">
        <f>=J1165*L1165</f>
        <v>160000</v>
      </c>
      <c r="N1165" s="71">
        <v>2.8</v>
      </c>
      <c r="O1165" s="189">
        <f>=ROUND(IF((TODAY()-A1165+1)*N1165*(L1165/10000)+L1165&lt;L1165*1.002,L1165*1.002,(TODAY()-A1165+1)*N1165*(L1165/10000)+L1165),2)</f>
        <v>801.6</v>
      </c>
      <c r="P1165">
        <v>200</v>
      </c>
      <c r="Q1165" s="71">
        <f>=J1165-P1165</f>
        <v>0</v>
      </c>
      <c r="S1165" s="112">
        <f>=P1165-R1165</f>
        <v>200</v>
      </c>
      <c r="T1165" s="71">
        <f>=S1165*L1165</f>
        <v>160000</v>
      </c>
      <c r="U1165" s="190">
        <f>=J1165-P1165</f>
        <v>0</v>
      </c>
    </row>
    <row r="1166" spans="1:21">
      <c r="A1166" s="80">
        <v>46220</v>
      </c>
      <c r="B1166" s="71">
        <f>=TODAY()-A1166+1</f>
        <v>5</v>
      </c>
      <c r="C1166" t="s">
        <v>384</v>
      </c>
      <c r="D1166" s="340" t="s">
        <v>239</v>
      </c>
      <c r="E1166" s="398" t="s">
        <v>2302</v>
      </c>
      <c r="F1166" s="398" t="s">
        <v>2083</v>
      </c>
      <c r="G1166" t="s">
        <v>1753</v>
      </c>
      <c r="H1166" t="s">
        <v>470</v>
      </c>
      <c r="I1166" s="401" t="s">
        <v>2303</v>
      </c>
      <c r="J1166" s="154">
        <v>1400</v>
      </c>
      <c r="K1166" s="154" t="s"/>
      <c r="L1166" s="154">
        <v>450</v>
      </c>
      <c r="M1166" s="112">
        <f>=J1166*L1166</f>
        <v>630000</v>
      </c>
      <c r="N1166" s="71">
        <v>2.5</v>
      </c>
      <c r="O1166" s="189">
        <f>=ROUND(IF((TODAY()-A1166+1)*N1166*(L1166/10000)+L1166&lt;L1166*1.002,L1166*1.002,(TODAY()-A1166+1)*N1166*(L1166/10000)+L1166),2)</f>
        <v>450.9</v>
      </c>
      <c r="P1166" s="154">
        <v>1400</v>
      </c>
      <c r="Q1166" s="71">
        <f>=J1166-P1166</f>
        <v>0</v>
      </c>
      <c r="R1166">
        <v>140</v>
      </c>
      <c r="S1166" s="112">
        <f>=P1166-R1166</f>
        <v>1260</v>
      </c>
      <c r="T1166" s="71">
        <f>=S1166*L1166</f>
        <v>567000</v>
      </c>
      <c r="U1166" s="190">
        <f>=J1166-P1166</f>
        <v>0</v>
      </c>
    </row>
    <row r="1167" spans="1:21" ht="15.75" customHeight="true">
      <c r="A1167" s="80">
        <v>46221</v>
      </c>
      <c r="B1167" s="71">
        <f>=TODAY()-A1167+1</f>
        <v>9</v>
      </c>
      <c r="C1167" s="165" t="s">
        <v>386</v>
      </c>
      <c r="D1167" s="71" t="s">
        <v>191</v>
      </c>
      <c r="E1167" s="398" t="s">
        <v>2304</v>
      </c>
      <c r="F1167" t="s">
        <v>1076</v>
      </c>
      <c r="G1167" t="s">
        <v>804</v>
      </c>
      <c r="H1167" t="s">
        <v>422</v>
      </c>
      <c r="I1167" s="140" t="s">
        <v>1093</v>
      </c>
      <c r="J1167" s="64">
        <v>110</v>
      </c>
      <c r="K1167" s="71" t="s"/>
      <c r="L1167" s="71">
        <v>800</v>
      </c>
      <c r="M1167" s="197">
        <f>=J1167*L1167</f>
        <v>88000</v>
      </c>
      <c r="N1167" s="71">
        <v>2.5</v>
      </c>
      <c r="O1167" s="189">
        <f>=ROUND(IF((TODAY()-A1167+1)*N1167*(L1167/10000)+L1167&lt;L1167*1.002,L1167*1.002,(TODAY()-A1167+1)*N1167*(L1167/10000)+L1167),2)</f>
        <v>801.6</v>
      </c>
      <c r="P1167" s="64">
        <v>110</v>
      </c>
      <c r="Q1167" s="71">
        <f>=J1167-P1167</f>
        <v>0</v>
      </c>
      <c r="R1167" s="64">
        <v>110</v>
      </c>
      <c r="S1167" s="112">
        <f>=P1167-R1167</f>
        <v>0</v>
      </c>
      <c r="T1167" s="71">
        <f>=S1167*L1167</f>
        <v>0</v>
      </c>
      <c r="U1167" s="190">
        <f>=J1167-P1167</f>
        <v>0</v>
      </c>
    </row>
    <row r="1168" spans="1:21" ht="15.75" customHeight="true">
      <c r="A1168" s="80">
        <v>46221</v>
      </c>
      <c r="B1168" s="71">
        <f>=TODAY()-A1168+1</f>
        <v>7</v>
      </c>
      <c r="C1168" s="165" t="s">
        <v>386</v>
      </c>
      <c r="D1168" s="71" t="s">
        <v>191</v>
      </c>
      <c r="E1168" s="398" t="s">
        <v>2305</v>
      </c>
      <c r="F1168" t="s">
        <v>1076</v>
      </c>
      <c r="G1168" t="s">
        <v>804</v>
      </c>
      <c r="H1168" t="s">
        <v>422</v>
      </c>
      <c r="I1168" s="320" t="s">
        <v>1095</v>
      </c>
      <c r="J1168" s="87">
        <v>110</v>
      </c>
      <c r="L1168">
        <v>800</v>
      </c>
      <c r="M1168" s="197">
        <f>=J1168*L1168</f>
        <v>88000</v>
      </c>
      <c r="N1168" s="71">
        <v>2.5</v>
      </c>
      <c r="O1168" s="189">
        <f>=ROUND(IF((TODAY()-A1168+1)*N1168*(L1168/10000)+L1168&lt;L1168*1.002,L1168*1.002,(TODAY()-A1168+1)*N1168*(L1168/10000)+L1168),2)</f>
        <v>801.6</v>
      </c>
      <c r="P1168" s="87">
        <v>110</v>
      </c>
      <c r="Q1168" s="71">
        <f>=J1168-P1168</f>
        <v>0</v>
      </c>
      <c r="R1168" s="87">
        <v>110</v>
      </c>
      <c r="S1168" s="112">
        <f>=P1168-R1168</f>
        <v>0</v>
      </c>
      <c r="T1168" s="71">
        <f>=S1168*L1168</f>
        <v>0</v>
      </c>
      <c r="U1168" s="190">
        <f>=J1168-P1168</f>
        <v>0</v>
      </c>
    </row>
    <row r="1169" spans="1:21" ht="15.75" customHeight="true">
      <c r="A1169" s="80">
        <v>46221</v>
      </c>
      <c r="B1169" s="71">
        <f>=TODAY()-A1169+1</f>
        <v>7</v>
      </c>
      <c r="C1169" s="98" t="s">
        <v>386</v>
      </c>
      <c r="D1169" s="71" t="s">
        <v>191</v>
      </c>
      <c r="E1169" s="398" t="s">
        <v>2306</v>
      </c>
      <c r="F1169" t="s">
        <v>1076</v>
      </c>
      <c r="G1169" t="s">
        <v>741</v>
      </c>
      <c r="H1169" t="s">
        <v>422</v>
      </c>
      <c r="I1169" s="140" t="s">
        <v>1084</v>
      </c>
      <c r="J1169" s="87">
        <v>174</v>
      </c>
      <c r="L1169">
        <v>1050</v>
      </c>
      <c r="M1169" s="197">
        <f>=J1169*L1169</f>
        <v>182700</v>
      </c>
      <c r="N1169">
        <v>2.5</v>
      </c>
      <c r="O1169" s="189">
        <f>=ROUND(IF((TODAY()-A1169+1)*N1169*(L1169/10000)+L1169&lt;L1169*1.002,L1169*1.002,(TODAY()-A1169+1)*N1169*(L1169/10000)+L1169),2)</f>
        <v>1052.1</v>
      </c>
      <c r="P1169" s="87">
        <v>174</v>
      </c>
      <c r="Q1169" s="71">
        <f>=J1169-P1169</f>
        <v>0</v>
      </c>
      <c r="S1169" s="112">
        <f>=P1169-R1169</f>
        <v>174</v>
      </c>
      <c r="T1169" s="71">
        <f>=S1169*L1169</f>
        <v>182700</v>
      </c>
      <c r="U1169" s="190">
        <f>=J1169-P1169</f>
        <v>0</v>
      </c>
    </row>
    <row r="1170" spans="1:21" ht="15.75" customHeight="true">
      <c r="A1170" s="80">
        <v>46221</v>
      </c>
      <c r="B1170" s="71">
        <f>=TODAY()-A1170+1</f>
        <v>7</v>
      </c>
      <c r="C1170" s="98" t="s">
        <v>386</v>
      </c>
      <c r="D1170" s="71" t="s">
        <v>191</v>
      </c>
      <c r="E1170" s="398" t="s">
        <v>2307</v>
      </c>
      <c r="F1170" t="s">
        <v>1076</v>
      </c>
      <c r="G1170" t="s">
        <v>741</v>
      </c>
      <c r="H1170" t="s">
        <v>422</v>
      </c>
      <c r="I1170" s="142" t="s">
        <v>1176</v>
      </c>
      <c r="J1170" s="87">
        <v>145</v>
      </c>
      <c r="L1170">
        <v>1000</v>
      </c>
      <c r="M1170" s="197">
        <f>=J1170*L1170</f>
        <v>145000</v>
      </c>
      <c r="N1170">
        <v>2.5</v>
      </c>
      <c r="O1170" s="189">
        <f>=ROUND(IF((TODAY()-A1170+1)*N1170*(L1170/10000)+L1170&lt;L1170*1.002,L1170*1.002,(TODAY()-A1170+1)*N1170*(L1170/10000)+L1170),2)</f>
        <v>1002</v>
      </c>
      <c r="P1170" s="87">
        <v>145</v>
      </c>
      <c r="Q1170" s="71">
        <f>=J1170-P1170</f>
        <v>0</v>
      </c>
      <c r="S1170" s="112">
        <f>=P1170-R1170</f>
        <v>145</v>
      </c>
      <c r="T1170" s="71">
        <f>=S1170*L1170</f>
        <v>145000</v>
      </c>
      <c r="U1170" s="190">
        <f>=J1170-P1170</f>
        <v>0</v>
      </c>
    </row>
    <row r="1171" spans="1:21" ht="15.75" customHeight="true">
      <c r="A1171" s="80">
        <v>46221</v>
      </c>
      <c r="B1171" s="71">
        <f>=TODAY()-A1171+1</f>
        <v>7</v>
      </c>
      <c r="C1171" s="98" t="s">
        <v>386</v>
      </c>
      <c r="D1171" s="71" t="s">
        <v>191</v>
      </c>
      <c r="E1171" s="398" t="s">
        <v>2308</v>
      </c>
      <c r="F1171" t="s">
        <v>1076</v>
      </c>
      <c r="G1171" t="s">
        <v>741</v>
      </c>
      <c r="H1171" t="s">
        <v>422</v>
      </c>
      <c r="I1171" s="142" t="s">
        <v>1087</v>
      </c>
      <c r="J1171" s="87">
        <v>100</v>
      </c>
      <c r="L1171">
        <v>1050</v>
      </c>
      <c r="M1171" s="197">
        <f>=J1171*L1171</f>
        <v>105000</v>
      </c>
      <c r="N1171">
        <v>2.5</v>
      </c>
      <c r="O1171" s="189">
        <f>=ROUND(IF((TODAY()-A1171+1)*N1171*(L1171/10000)+L1171&lt;L1171*1.002,L1171*1.002,(TODAY()-A1171+1)*N1171*(L1171/10000)+L1171),2)</f>
        <v>1052.1</v>
      </c>
      <c r="P1171" s="87">
        <v>100</v>
      </c>
      <c r="Q1171" s="71">
        <f>=J1171-P1171</f>
        <v>0</v>
      </c>
      <c r="S1171" s="112">
        <f>=P1171-R1171</f>
        <v>100</v>
      </c>
      <c r="T1171" s="71">
        <f>=S1171*L1171</f>
        <v>105000</v>
      </c>
      <c r="U1171" s="190">
        <f>=J1171-P1171</f>
        <v>0</v>
      </c>
    </row>
    <row r="1172" spans="1:21" ht="15.75" customHeight="true">
      <c r="A1172" s="80">
        <v>46221</v>
      </c>
      <c r="B1172" s="71">
        <f>=TODAY()-A1172+1</f>
        <v>7</v>
      </c>
      <c r="C1172" s="98" t="s">
        <v>386</v>
      </c>
      <c r="D1172" s="71" t="s">
        <v>191</v>
      </c>
      <c r="E1172" s="398" t="s">
        <v>2309</v>
      </c>
      <c r="F1172" t="s">
        <v>1076</v>
      </c>
      <c r="G1172" t="s">
        <v>741</v>
      </c>
      <c r="H1172" t="s">
        <v>422</v>
      </c>
      <c r="I1172" s="404" t="s">
        <v>1089</v>
      </c>
      <c r="J1172" s="87">
        <v>64</v>
      </c>
      <c r="L1172">
        <v>1050</v>
      </c>
      <c r="M1172" s="197">
        <f>=J1172*L1172</f>
        <v>67200</v>
      </c>
      <c r="N1172">
        <v>2.5</v>
      </c>
      <c r="O1172" s="189">
        <f>=ROUND(IF((TODAY()-A1172+1)*N1172*(L1172/10000)+L1172&lt;L1172*1.002,L1172*1.002,(TODAY()-A1172+1)*N1172*(L1172/10000)+L1172),2)</f>
        <v>1052.1</v>
      </c>
      <c r="P1172" s="87">
        <v>64</v>
      </c>
      <c r="Q1172" s="71">
        <f>=J1172-P1172</f>
        <v>0</v>
      </c>
      <c r="S1172" s="112">
        <f>=P1172-R1172</f>
        <v>64</v>
      </c>
      <c r="T1172" s="71">
        <f>=S1172*L1172</f>
        <v>67200</v>
      </c>
      <c r="U1172" s="190">
        <f>=J1172-P1172</f>
        <v>0</v>
      </c>
    </row>
    <row r="1173" spans="1:21" ht="15.75" customHeight="true">
      <c r="A1173" s="80">
        <v>46221</v>
      </c>
      <c r="B1173" s="71">
        <f>=TODAY()-A1173+1</f>
        <v>7</v>
      </c>
      <c r="C1173" s="98" t="s">
        <v>386</v>
      </c>
      <c r="D1173" s="71" t="s">
        <v>191</v>
      </c>
      <c r="E1173" s="398" t="s">
        <v>2310</v>
      </c>
      <c r="F1173" t="s">
        <v>1076</v>
      </c>
      <c r="G1173" t="s">
        <v>741</v>
      </c>
      <c r="H1173" t="s">
        <v>422</v>
      </c>
      <c r="I1173" s="142" t="s">
        <v>1082</v>
      </c>
      <c r="J1173" s="87">
        <v>100</v>
      </c>
      <c r="L1173">
        <v>1000</v>
      </c>
      <c r="M1173" s="197">
        <f>=J1173*L1173</f>
        <v>100000</v>
      </c>
      <c r="N1173">
        <v>2.5</v>
      </c>
      <c r="O1173" s="189">
        <f>=ROUND(IF((TODAY()-A1173+1)*N1173*(L1173/10000)+L1173&lt;L1173*1.002,L1173*1.002,(TODAY()-A1173+1)*N1173*(L1173/10000)+L1173),2)</f>
        <v>1002</v>
      </c>
      <c r="P1173" s="87">
        <v>100</v>
      </c>
      <c r="Q1173" s="71">
        <f>=J1173-P1173</f>
        <v>0</v>
      </c>
      <c r="S1173" s="112">
        <f>=P1173-R1173</f>
        <v>100</v>
      </c>
      <c r="T1173" s="71">
        <f>=S1173*L1173</f>
        <v>100000</v>
      </c>
      <c r="U1173" s="190">
        <f>=J1173-P1173</f>
        <v>0</v>
      </c>
    </row>
    <row r="1174" spans="1:21" ht="15.75" customHeight="true">
      <c r="A1174" s="80">
        <v>46221</v>
      </c>
      <c r="B1174" s="71">
        <f>=TODAY()-A1174+1</f>
        <v>7</v>
      </c>
      <c r="C1174" s="98" t="s">
        <v>386</v>
      </c>
      <c r="D1174" s="71" t="s">
        <v>191</v>
      </c>
      <c r="E1174" s="398" t="s">
        <v>2311</v>
      </c>
      <c r="F1174" t="s">
        <v>1076</v>
      </c>
      <c r="G1174" t="s">
        <v>741</v>
      </c>
      <c r="H1174" t="s">
        <v>422</v>
      </c>
      <c r="I1174" s="142" t="s">
        <v>1026</v>
      </c>
      <c r="J1174" s="87">
        <v>184</v>
      </c>
      <c r="L1174">
        <v>1050</v>
      </c>
      <c r="M1174" s="197">
        <f>=J1174*L1174</f>
        <v>193200</v>
      </c>
      <c r="N1174">
        <v>2.5</v>
      </c>
      <c r="O1174" s="189">
        <f>=ROUND(IF((TODAY()-A1174+1)*N1174*(L1174/10000)+L1174&lt;L1174*1.002,L1174*1.002,(TODAY()-A1174+1)*N1174*(L1174/10000)+L1174),2)</f>
        <v>1052.1</v>
      </c>
      <c r="P1174" s="87">
        <v>184</v>
      </c>
      <c r="Q1174" s="71">
        <f>=J1174-P1174</f>
        <v>0</v>
      </c>
      <c r="S1174" s="112">
        <f>=P1174-R1174</f>
        <v>184</v>
      </c>
      <c r="T1174" s="71">
        <f>=S1174*L1174</f>
        <v>193200</v>
      </c>
      <c r="U1174" s="190">
        <f>=J1174-P1174</f>
        <v>0</v>
      </c>
    </row>
    <row r="1175" spans="1:21">
      <c r="A1175" s="80">
        <v>46223</v>
      </c>
      <c r="B1175" s="71">
        <f>=TODAY()-A1175+1</f>
        <v>5</v>
      </c>
      <c r="C1175" t="s">
        <v>387</v>
      </c>
      <c r="D1175" t="s">
        <v>382</v>
      </c>
      <c r="E1175" s="398" t="s">
        <v>2312</v>
      </c>
      <c r="F1175" t="s">
        <v>2300</v>
      </c>
      <c r="G1175" t="s">
        <v>804</v>
      </c>
      <c r="H1175" s="267" t="s">
        <v>422</v>
      </c>
      <c r="I1175" s="405" t="s">
        <v>2313</v>
      </c>
      <c r="J1175" s="241">
        <v>600</v>
      </c>
      <c r="L1175">
        <v>930</v>
      </c>
      <c r="M1175" s="197">
        <f>=J1175*L1175</f>
        <v>558000</v>
      </c>
      <c r="N1175">
        <v>2.5</v>
      </c>
      <c r="O1175" s="189">
        <f>=ROUND(IF((TODAY()-A1175+1)*N1175*(L1175/10000)+L1175&lt;L1175*1.002,L1175*1.002,(TODAY()-A1175+1)*N1175*(L1175/10000)+L1175),2)</f>
        <v>931.86</v>
      </c>
      <c r="P1175" s="108">
        <v>600</v>
      </c>
      <c r="Q1175" s="71">
        <f>=J1175-P1175</f>
        <v>0</v>
      </c>
      <c r="S1175" s="112">
        <f>=P1175-R1175</f>
        <v>600</v>
      </c>
      <c r="T1175" s="71">
        <f>=S1175*L1175</f>
        <v>558000</v>
      </c>
      <c r="U1175" s="190">
        <f>=J1175-P1175</f>
        <v>0</v>
      </c>
    </row>
    <row r="1176" spans="1:21">
      <c r="A1176" s="80">
        <v>46223</v>
      </c>
      <c r="B1176" s="71">
        <f>=TODAY()-A1176+1</f>
        <v>5</v>
      </c>
      <c r="C1176" t="s">
        <v>387</v>
      </c>
      <c r="D1176" t="s">
        <v>382</v>
      </c>
      <c r="E1176" s="398" t="s">
        <v>2314</v>
      </c>
      <c r="F1176" t="s">
        <v>2300</v>
      </c>
      <c r="G1176" t="s">
        <v>804</v>
      </c>
      <c r="H1176" t="s">
        <v>422</v>
      </c>
      <c r="I1176" s="405" t="s">
        <v>2315</v>
      </c>
      <c r="J1176" s="241">
        <v>700</v>
      </c>
      <c r="L1176">
        <v>930</v>
      </c>
      <c r="M1176" s="197">
        <f>=J1176*L1176</f>
        <v>651000</v>
      </c>
      <c r="N1176">
        <v>2.5</v>
      </c>
      <c r="O1176" s="189">
        <f>=ROUND(IF((TODAY()-A1176+1)*N1176*(L1176/10000)+L1176&lt;L1176*1.002,L1176*1.002,(TODAY()-A1176+1)*N1176*(L1176/10000)+L1176),2)</f>
        <v>931.86</v>
      </c>
      <c r="P1176" s="108">
        <v>700</v>
      </c>
      <c r="Q1176" s="71">
        <f>=J1176-P1176</f>
        <v>0</v>
      </c>
      <c r="S1176" s="112">
        <f>=P1176-R1176</f>
        <v>700</v>
      </c>
      <c r="T1176" s="71">
        <f>=S1176*L1176</f>
        <v>651000</v>
      </c>
      <c r="U1176" s="190">
        <f>=J1176-P1176</f>
        <v>0</v>
      </c>
    </row>
    <row r="1177" spans="1:21">
      <c r="A1177" s="80">
        <v>46223</v>
      </c>
      <c r="B1177" s="71">
        <f>=TODAY()-A1177+1</f>
        <v>5</v>
      </c>
      <c r="C1177" t="s">
        <v>391</v>
      </c>
      <c r="D1177" s="326" t="s">
        <v>390</v>
      </c>
      <c r="E1177" s="398" t="s">
        <v>2316</v>
      </c>
      <c r="F1177" s="398" t="s">
        <v>2317</v>
      </c>
      <c r="G1177" t="s">
        <v>804</v>
      </c>
      <c r="H1177" t="s">
        <v>422</v>
      </c>
      <c r="I1177" s="220" t="s">
        <v>2313</v>
      </c>
      <c r="J1177" s="241">
        <v>800</v>
      </c>
      <c r="L1177">
        <v>850</v>
      </c>
      <c r="M1177" s="197">
        <f>=J1177*L1177</f>
        <v>680000</v>
      </c>
      <c r="N1177" s="136">
        <v>2.8</v>
      </c>
      <c r="O1177" s="189">
        <f>=ROUND(IF((TODAY()-A1177+1)*N1177*(L1177/10000)+L1177&lt;L1177*1.002,L1177*1.002,(TODAY()-A1177+1)*N1177*(L1177/10000)+L1177),2)</f>
        <v>851.7</v>
      </c>
      <c r="P1177" s="108">
        <v>800</v>
      </c>
      <c r="Q1177" s="71">
        <f>=J1177-P1177</f>
        <v>0</v>
      </c>
      <c r="S1177" s="112">
        <f>=P1177-R1177</f>
        <v>800</v>
      </c>
      <c r="T1177" s="71">
        <f>=S1177*L1177</f>
        <v>680000</v>
      </c>
      <c r="U1177" s="190">
        <f>=J1177-P1177</f>
        <v>0</v>
      </c>
    </row>
    <row r="1178" spans="1:21">
      <c r="A1178" s="110">
        <v>46223</v>
      </c>
      <c r="B1178" s="93">
        <f>=TODAY()-A1178+1</f>
        <v>5</v>
      </c>
      <c r="C1178" s="98" t="s">
        <v>392</v>
      </c>
      <c r="D1178" s="108" t="s">
        <v>294</v>
      </c>
      <c r="E1178" s="398" t="s">
        <v>2318</v>
      </c>
      <c r="F1178" s="398" t="s">
        <v>2285</v>
      </c>
      <c r="G1178" t="s">
        <v>895</v>
      </c>
      <c r="H1178" s="156" t="s">
        <v>422</v>
      </c>
      <c r="I1178" s="220" t="s">
        <v>2319</v>
      </c>
      <c r="J1178" s="241">
        <v>508</v>
      </c>
      <c r="L1178">
        <v>1900</v>
      </c>
      <c r="M1178" s="197">
        <f>=J1178*L1178</f>
        <v>965200</v>
      </c>
      <c r="N1178">
        <v>2.5</v>
      </c>
      <c r="O1178" s="189">
        <f>=ROUND(IF((TODAY()-A1178+1)*N1178*(L1178/10000)+L1178&lt;L1178*1.002,L1178*1.002,(TODAY()-A1178+1)*N1178*(L1178/10000)+L1178),2)</f>
        <v>1903.8</v>
      </c>
      <c r="P1178" s="108">
        <v>508</v>
      </c>
      <c r="Q1178" s="93">
        <f>=J1178-P1178</f>
        <v>0</v>
      </c>
      <c r="S1178" s="217">
        <f>=P1178-R1178</f>
        <v>508</v>
      </c>
      <c r="T1178" s="93">
        <f>=S1178*L1178</f>
        <v>965200</v>
      </c>
      <c r="U1178" s="190">
        <f>=J1178-P1178</f>
        <v>0</v>
      </c>
    </row>
    <row r="1179" spans="1:21">
      <c r="A1179" s="110">
        <v>46223</v>
      </c>
      <c r="B1179" s="93">
        <f>=TODAY()-A1179+1</f>
        <v>5</v>
      </c>
      <c r="C1179" s="98" t="s">
        <v>392</v>
      </c>
      <c r="D1179" s="108" t="s">
        <v>294</v>
      </c>
      <c r="E1179" s="398" t="s">
        <v>2320</v>
      </c>
      <c r="F1179" s="398" t="s">
        <v>2285</v>
      </c>
      <c r="G1179" t="s">
        <v>895</v>
      </c>
      <c r="H1179" s="156" t="s">
        <v>422</v>
      </c>
      <c r="I1179" s="220" t="s">
        <v>2321</v>
      </c>
      <c r="J1179" s="241">
        <v>379</v>
      </c>
      <c r="L1179">
        <v>2150</v>
      </c>
      <c r="M1179" s="228">
        <f>=J1179*L1179</f>
        <v>814850</v>
      </c>
      <c r="N1179">
        <v>2.5</v>
      </c>
      <c r="O1179" s="198">
        <f>=ROUND(IF((TODAY()-A1179+1)*N1179*(L1179/10000)+L1179&lt;L1179*1.002,L1179*1.002,(TODAY()-A1179+1)*N1179*(L1179/10000)+L1179),2)</f>
        <v>2154.3</v>
      </c>
      <c r="P1179" s="241">
        <v>379</v>
      </c>
      <c r="Q1179" s="93">
        <f>=J1179-P1179</f>
        <v>0</v>
      </c>
      <c r="S1179" s="217">
        <f>=P1179-R1179</f>
        <v>379</v>
      </c>
      <c r="T1179" s="93">
        <f>=S1179*L1179</f>
        <v>814850</v>
      </c>
      <c r="U1179" s="218">
        <f>=J1179-P1179</f>
        <v>0</v>
      </c>
    </row>
    <row r="1180" spans="1:21" ht="15.75" customHeight="true">
      <c r="A1180" s="110">
        <v>46224</v>
      </c>
      <c r="B1180" s="93">
        <f>=TODAY()-A1180+1</f>
        <v>4</v>
      </c>
      <c r="C1180" s="71" t="s">
        <v>394</v>
      </c>
      <c r="D1180" s="64" t="s">
        <v>116</v>
      </c>
      <c r="E1180" s="398" t="s">
        <v>2322</v>
      </c>
      <c r="F1180" s="242" t="s">
        <v>818</v>
      </c>
      <c r="G1180" t="s">
        <v>804</v>
      </c>
      <c r="H1180" t="s">
        <v>429</v>
      </c>
      <c r="I1180" s="142" t="s">
        <v>1760</v>
      </c>
      <c r="J1180">
        <v>5300</v>
      </c>
      <c r="L1180">
        <v>45</v>
      </c>
      <c r="M1180" s="217">
        <f>=J1180*L1180</f>
        <v>238500</v>
      </c>
      <c r="N1180">
        <v>2.6</v>
      </c>
      <c r="O1180" s="198">
        <f>=ROUND(IF((TODAY()-A1180+1)*N1180*(L1180/10000)+L1180&lt;L1180*1.002,L1180*1.002,(TODAY()-A1180+1)*N1180*(L1180/10000)+L1180),2)</f>
        <v>45.09</v>
      </c>
      <c r="P1180">
        <v>5300</v>
      </c>
      <c r="Q1180" s="93">
        <f>=J1180-P1180</f>
        <v>0</v>
      </c>
      <c r="S1180" s="217">
        <f>=P1180-R1180</f>
        <v>5300</v>
      </c>
      <c r="T1180" s="93">
        <f>=S1180*L1180</f>
        <v>238500</v>
      </c>
      <c r="U1180" s="218">
        <f>=J1180-P1180</f>
        <v>0</v>
      </c>
    </row>
    <row r="1181" spans="1:21">
      <c r="A1181" s="110">
        <v>46224</v>
      </c>
      <c r="B1181" s="71">
        <f>=TODAY()-A1181+1</f>
        <v>6</v>
      </c>
      <c r="C1181" s="98" t="s">
        <v>396</v>
      </c>
      <c r="D1181" s="71" t="s">
        <v>150</v>
      </c>
      <c r="E1181" s="398" t="s">
        <v>2323</v>
      </c>
      <c r="F1181" s="398" t="s">
        <v>894</v>
      </c>
      <c r="G1181" s="156" t="s">
        <v>421</v>
      </c>
      <c r="H1181" s="156" t="s">
        <v>422</v>
      </c>
      <c r="I1181" s="220" t="s">
        <v>761</v>
      </c>
      <c r="J1181" s="241">
        <v>10</v>
      </c>
      <c r="L1181">
        <v>6700</v>
      </c>
      <c r="M1181" s="217">
        <f>=J1181*L1181</f>
        <v>67000</v>
      </c>
      <c r="N1181" s="71">
        <v>2.5</v>
      </c>
      <c r="O1181" s="198">
        <f>=ROUND(IF((TODAY()-A1181+1)*N1181*(L1181/10000)+L1181&lt;L1181*1.002,L1181*1.002,(TODAY()-A1181+1)*N1181*(L1181/10000)+L1181),2)</f>
        <v>6713.4</v>
      </c>
      <c r="P1181" s="241">
        <v>10</v>
      </c>
      <c r="Q1181" s="93">
        <f>=J1181-P1181</f>
        <v>0</v>
      </c>
      <c r="S1181" s="217">
        <f>=P1181-R1181</f>
        <v>10</v>
      </c>
      <c r="T1181" s="93">
        <f>=S1181*L1181</f>
        <v>67000</v>
      </c>
      <c r="U1181" s="218">
        <f>=J1181-P1181</f>
        <v>0</v>
      </c>
    </row>
    <row r="1182" spans="1:21">
      <c r="A1182" s="110">
        <v>46224</v>
      </c>
      <c r="B1182" s="71">
        <f>=TODAY()-A1182+1</f>
        <v>4</v>
      </c>
      <c r="C1182" s="98" t="s">
        <v>396</v>
      </c>
      <c r="D1182" s="71" t="s">
        <v>150</v>
      </c>
      <c r="E1182" s="398" t="s">
        <v>2324</v>
      </c>
      <c r="F1182" s="398" t="s">
        <v>894</v>
      </c>
      <c r="G1182" s="156" t="s">
        <v>421</v>
      </c>
      <c r="H1182" s="156" t="s">
        <v>422</v>
      </c>
      <c r="I1182" s="220" t="s">
        <v>2325</v>
      </c>
      <c r="J1182" s="241">
        <v>10</v>
      </c>
      <c r="L1182">
        <v>7750</v>
      </c>
      <c r="M1182" s="217">
        <f>=J1182*L1182</f>
        <v>77500</v>
      </c>
      <c r="N1182" s="71">
        <v>2.5</v>
      </c>
      <c r="O1182" s="198">
        <f>=ROUND(IF((TODAY()-A1182+1)*N1182*(L1182/10000)+L1182&lt;L1182*1.002,L1182*1.002,(TODAY()-A1182+1)*N1182*(L1182/10000)+L1182),2)</f>
        <v>7765.5</v>
      </c>
      <c r="P1182" s="241">
        <v>10</v>
      </c>
      <c r="Q1182" s="93">
        <f>=J1182-P1182</f>
        <v>0</v>
      </c>
      <c r="S1182" s="217">
        <f>=P1182-R1182</f>
        <v>10</v>
      </c>
      <c r="T1182" s="93">
        <f>=S1182*L1182</f>
        <v>77500</v>
      </c>
      <c r="U1182" s="218">
        <f>=J1182-P1182</f>
        <v>0</v>
      </c>
    </row>
    <row r="1183" spans="1:21">
      <c r="A1183" s="80">
        <v>46225</v>
      </c>
      <c r="B1183" s="71">
        <f>=TODAY()-A1183+1</f>
        <v>3</v>
      </c>
      <c r="C1183" t="s">
        <v>393</v>
      </c>
      <c r="D1183" s="326" t="s">
        <v>390</v>
      </c>
      <c r="E1183" s="398" t="s">
        <v>2326</v>
      </c>
      <c r="F1183" s="398" t="s">
        <v>2317</v>
      </c>
      <c r="G1183" t="s">
        <v>804</v>
      </c>
      <c r="H1183" t="s">
        <v>422</v>
      </c>
      <c r="I1183" s="220" t="s">
        <v>2315</v>
      </c>
      <c r="J1183" s="241">
        <v>1200</v>
      </c>
      <c r="L1183">
        <v>850</v>
      </c>
      <c r="M1183" s="197">
        <f>=J1183*L1183</f>
        <v>1020000</v>
      </c>
      <c r="N1183" s="136">
        <v>2.8</v>
      </c>
      <c r="O1183" s="189">
        <f>=ROUND(IF((TODAY()-A1183+1)*N1183*(L1183/10000)+L1183&lt;L1183*1.002,L1183*1.002,(TODAY()-A1183+1)*N1183*(L1183/10000)+L1183),2)</f>
        <v>851.7</v>
      </c>
      <c r="P1183" s="108">
        <v>1200</v>
      </c>
      <c r="Q1183" s="71">
        <f>=J1183-P1183</f>
        <v>0</v>
      </c>
      <c r="S1183" s="112">
        <f>=P1183-R1183</f>
        <v>1200</v>
      </c>
      <c r="T1183" s="71">
        <f>=S1183*L1183</f>
        <v>1020000</v>
      </c>
      <c r="U1183" s="190">
        <f>=J1183-P1183</f>
        <v>0</v>
      </c>
    </row>
    <row r="1184" spans="1:21" ht="15.75" customHeight="true">
      <c r="A1184" s="80">
        <v>46225</v>
      </c>
      <c r="B1184" s="71">
        <f>=TODAY()-A1184+1</f>
        <v>5</v>
      </c>
      <c r="C1184" s="71" t="s">
        <v>395</v>
      </c>
      <c r="D1184" s="64" t="s">
        <v>116</v>
      </c>
      <c r="E1184" s="401" t="s">
        <v>2327</v>
      </c>
      <c r="F1184" s="214" t="s">
        <v>818</v>
      </c>
      <c r="G1184" t="s">
        <v>804</v>
      </c>
      <c r="H1184" t="s">
        <v>429</v>
      </c>
      <c r="I1184" s="140" t="s">
        <v>1760</v>
      </c>
      <c r="J1184">
        <v>7000</v>
      </c>
      <c r="L1184">
        <v>45</v>
      </c>
      <c r="M1184" s="324">
        <f>=J1184*L1184</f>
        <v>315000</v>
      </c>
      <c r="N1184">
        <v>2.6</v>
      </c>
      <c r="O1184" s="189">
        <f>=ROUND(IF((TODAY()-A1184+1)*N1184*(L1184/10000)+L1184&lt;L1184*1.002,L1184*1.002,(TODAY()-A1184+1)*N1184*(L1184/10000)+L1184),2)</f>
        <v>45.09</v>
      </c>
      <c r="P1184">
        <v>7000</v>
      </c>
      <c r="Q1184" s="71">
        <f>=J1184-P1184</f>
        <v>0</v>
      </c>
      <c r="S1184" s="112">
        <f>=P1184-R1184</f>
        <v>7000</v>
      </c>
      <c r="T1184" s="71">
        <f>=S1184*L1184</f>
        <v>315000</v>
      </c>
      <c r="U1184" s="190">
        <f>=J1184-P1184</f>
        <v>0</v>
      </c>
    </row>
    <row r="1185" spans="1:21" ht="15.75" customHeight="true">
      <c r="A1185" s="80">
        <v>46225</v>
      </c>
      <c r="B1185" s="71">
        <f>=TODAY()-A1185+1</f>
        <v>3</v>
      </c>
      <c r="C1185" s="71" t="s">
        <v>395</v>
      </c>
      <c r="D1185" s="64" t="s">
        <v>116</v>
      </c>
      <c r="E1185" s="398" t="s">
        <v>2328</v>
      </c>
      <c r="F1185" s="214" t="s">
        <v>818</v>
      </c>
      <c r="G1185" t="s">
        <v>804</v>
      </c>
      <c r="H1185" t="s">
        <v>429</v>
      </c>
      <c r="I1185" s="140" t="s">
        <v>1760</v>
      </c>
      <c r="J1185">
        <v>1480</v>
      </c>
      <c r="L1185">
        <v>45</v>
      </c>
      <c r="M1185" s="112">
        <f>=J1185*L1185</f>
        <v>66600</v>
      </c>
      <c r="N1185">
        <v>2.6</v>
      </c>
      <c r="O1185" s="189">
        <f>=ROUND(IF((TODAY()-A1185+1)*N1185*(L1185/10000)+L1185&lt;L1185*1.002,L1185*1.002,(TODAY()-A1185+1)*N1185*(L1185/10000)+L1185),2)</f>
        <v>45.09</v>
      </c>
      <c r="P1185">
        <v>1480</v>
      </c>
      <c r="Q1185" s="71">
        <f>=J1185-P1185</f>
        <v>0</v>
      </c>
      <c r="S1185" s="112">
        <f>=P1185-R1185</f>
        <v>1480</v>
      </c>
      <c r="T1185" s="71">
        <f>=S1185*L1185</f>
        <v>66600</v>
      </c>
      <c r="U1185" s="190">
        <f>=J1185-P1185</f>
        <v>0</v>
      </c>
    </row>
    <row r="1186" spans="1:21">
      <c r="A1186" s="80">
        <v>46225</v>
      </c>
      <c r="B1186" s="71">
        <f>=TODAY()-A1186+1</f>
        <v>3</v>
      </c>
      <c r="C1186" s="71" t="s">
        <v>397</v>
      </c>
      <c r="D1186" s="64" t="s">
        <v>52</v>
      </c>
      <c r="E1186" s="398" t="s">
        <v>2329</v>
      </c>
      <c r="F1186" s="398" t="s">
        <v>2330</v>
      </c>
      <c r="G1186" t="s">
        <v>428</v>
      </c>
      <c r="H1186" t="s">
        <v>422</v>
      </c>
      <c r="I1186" s="285" t="s">
        <v>2331</v>
      </c>
      <c r="J1186">
        <v>4</v>
      </c>
      <c r="L1186">
        <v>4750</v>
      </c>
      <c r="M1186" s="112">
        <f>=J1186*L1186</f>
        <v>19000</v>
      </c>
      <c r="N1186">
        <v>3</v>
      </c>
      <c r="O1186" s="189">
        <f>=ROUND(IF((TODAY()-A1186+1)*N1186*(L1186/10000)+L1186&lt;L1186*1.002,L1186*1.002,(TODAY()-A1186+1)*N1186*(L1186/10000)+L1186),2)</f>
        <v>4759.5</v>
      </c>
      <c r="P1186">
        <v>4</v>
      </c>
      <c r="Q1186" s="71">
        <f>=J1186-P1186</f>
        <v>0</v>
      </c>
      <c r="S1186" s="112">
        <f>=P1186-R1186</f>
        <v>4</v>
      </c>
      <c r="T1186" s="71">
        <f>=S1186*L1186</f>
        <v>19000</v>
      </c>
      <c r="U1186" s="190">
        <f>=J1186-P1186</f>
        <v>0</v>
      </c>
    </row>
    <row r="1187" spans="1:21">
      <c r="A1187" s="80">
        <v>46225</v>
      </c>
      <c r="B1187" s="71">
        <f>=TODAY()-A1187+1</f>
        <v>3</v>
      </c>
      <c r="C1187" s="71" t="s">
        <v>397</v>
      </c>
      <c r="D1187" s="64" t="s">
        <v>52</v>
      </c>
      <c r="E1187" s="398" t="s">
        <v>2332</v>
      </c>
      <c r="F1187" s="398" t="s">
        <v>2330</v>
      </c>
      <c r="G1187" s="71" t="s">
        <v>428</v>
      </c>
      <c r="H1187" s="71" t="s">
        <v>422</v>
      </c>
      <c r="I1187" s="285" t="s">
        <v>2333</v>
      </c>
      <c r="J1187">
        <v>10</v>
      </c>
      <c r="L1187">
        <v>8450</v>
      </c>
      <c r="M1187" s="112">
        <f>=J1187*L1187</f>
        <v>84500</v>
      </c>
      <c r="N1187">
        <v>3</v>
      </c>
      <c r="O1187" s="189">
        <f>=ROUND(IF((TODAY()-A1187+1)*N1187*(L1187/10000)+L1187&lt;L1187*1.002,L1187*1.002,(TODAY()-A1187+1)*N1187*(L1187/10000)+L1187),2)</f>
        <v>8466.9</v>
      </c>
      <c r="P1187">
        <v>10</v>
      </c>
      <c r="Q1187" s="71">
        <f>=J1187-P1187</f>
        <v>0</v>
      </c>
      <c r="S1187" s="112">
        <f>=P1187-R1187</f>
        <v>10</v>
      </c>
      <c r="T1187" s="71">
        <f>=S1187*L1187</f>
        <v>84500</v>
      </c>
      <c r="U1187" s="190">
        <f>=J1187-P1187</f>
        <v>0</v>
      </c>
    </row>
    <row r="1188" spans="1:21">
      <c r="A1188" s="80">
        <v>46225</v>
      </c>
      <c r="B1188" s="71">
        <f>=TODAY()-A1188+1</f>
        <v>3</v>
      </c>
      <c r="C1188" s="71" t="s">
        <v>397</v>
      </c>
      <c r="D1188" s="64" t="s">
        <v>52</v>
      </c>
      <c r="E1188" s="398" t="s">
        <v>2334</v>
      </c>
      <c r="F1188" s="398" t="s">
        <v>2330</v>
      </c>
      <c r="G1188" t="s">
        <v>428</v>
      </c>
      <c r="H1188" t="s">
        <v>422</v>
      </c>
      <c r="I1188" s="274" t="s">
        <v>2335</v>
      </c>
      <c r="J1188" s="108">
        <v>5</v>
      </c>
      <c r="L1188">
        <v>3850</v>
      </c>
      <c r="M1188" s="112">
        <f>=J1188*L1188</f>
        <v>19250</v>
      </c>
      <c r="N1188">
        <v>3</v>
      </c>
      <c r="O1188" s="189">
        <f>=ROUND(IF((TODAY()-A1188+1)*N1188*(L1188/10000)+L1188&lt;L1188*1.002,L1188*1.002,(TODAY()-A1188+1)*N1188*(L1188/10000)+L1188),2)</f>
        <v>3857.7</v>
      </c>
      <c r="P1188" s="108">
        <v>5</v>
      </c>
      <c r="Q1188" s="71">
        <f>=J1188-P1188</f>
        <v>0</v>
      </c>
      <c r="S1188" s="112">
        <f>=P1188-R1188</f>
        <v>5</v>
      </c>
      <c r="T1188" s="71">
        <f>=S1188*L1188</f>
        <v>19250</v>
      </c>
      <c r="U1188" s="190">
        <f>=J1188-P1188</f>
        <v>0</v>
      </c>
    </row>
    <row r="1189" spans="1:21">
      <c r="A1189" s="80">
        <v>46225</v>
      </c>
      <c r="B1189" s="71">
        <f>=TODAY()-A1189+1</f>
        <v>3</v>
      </c>
      <c r="C1189" s="71" t="s">
        <v>397</v>
      </c>
      <c r="D1189" s="64" t="s">
        <v>52</v>
      </c>
      <c r="E1189" s="398" t="s">
        <v>2336</v>
      </c>
      <c r="F1189" s="398" t="s">
        <v>2330</v>
      </c>
      <c r="G1189" s="71" t="s">
        <v>428</v>
      </c>
      <c r="H1189" s="71" t="s">
        <v>422</v>
      </c>
      <c r="I1189" s="274" t="s">
        <v>2337</v>
      </c>
      <c r="J1189" s="108">
        <v>5</v>
      </c>
      <c r="L1189">
        <v>2800</v>
      </c>
      <c r="M1189" s="112">
        <f>=J1189*L1189</f>
        <v>14000</v>
      </c>
      <c r="N1189">
        <v>3</v>
      </c>
      <c r="O1189" s="189">
        <f>=ROUND(IF((TODAY()-A1189+1)*N1189*(L1189/10000)+L1189&lt;L1189*1.002,L1189*1.002,(TODAY()-A1189+1)*N1189*(L1189/10000)+L1189),2)</f>
        <v>2805.6</v>
      </c>
      <c r="P1189" s="108">
        <v>5</v>
      </c>
      <c r="Q1189" s="71">
        <f>=J1189-P1189</f>
        <v>0</v>
      </c>
      <c r="S1189" s="112">
        <f>=P1189-R1189</f>
        <v>5</v>
      </c>
      <c r="T1189" s="71">
        <f>=S1189*L1189</f>
        <v>14000</v>
      </c>
      <c r="U1189" s="190">
        <f>=J1189-P1189</f>
        <v>0</v>
      </c>
    </row>
    <row r="1190" spans="1:21">
      <c r="A1190" s="80">
        <v>46225</v>
      </c>
      <c r="B1190" s="71">
        <f>=TODAY()-A1190+1</f>
        <v>3</v>
      </c>
      <c r="C1190" s="71" t="s">
        <v>397</v>
      </c>
      <c r="D1190" s="64" t="s">
        <v>52</v>
      </c>
      <c r="E1190" s="398" t="s">
        <v>2338</v>
      </c>
      <c r="F1190" s="398" t="s">
        <v>2330</v>
      </c>
      <c r="G1190" t="s">
        <v>428</v>
      </c>
      <c r="H1190" t="s">
        <v>422</v>
      </c>
      <c r="I1190" s="274" t="s">
        <v>2339</v>
      </c>
      <c r="J1190" s="406">
        <v>4</v>
      </c>
      <c r="K1190" s="154" t="s"/>
      <c r="L1190" s="154">
        <v>3300</v>
      </c>
      <c r="M1190" s="112">
        <f>=J1190*L1190</f>
        <v>13200</v>
      </c>
      <c r="N1190">
        <v>3</v>
      </c>
      <c r="O1190" s="189">
        <f>=ROUND(IF((TODAY()-A1190+1)*N1190*(L1190/10000)+L1190&lt;L1190*1.002,L1190*1.002,(TODAY()-A1190+1)*N1190*(L1190/10000)+L1190),2)</f>
        <v>3306.6</v>
      </c>
      <c r="P1190" s="406">
        <v>4</v>
      </c>
      <c r="Q1190" s="71">
        <f>=J1190-P1190</f>
        <v>0</v>
      </c>
      <c r="S1190" s="112">
        <f>=P1190-R1190</f>
        <v>4</v>
      </c>
      <c r="T1190" s="71">
        <f>=S1190*L1190</f>
        <v>13200</v>
      </c>
      <c r="U1190" s="190">
        <f>=J1190-P1190</f>
        <v>0</v>
      </c>
    </row>
    <row r="1191" spans="1:21">
      <c r="A1191" s="80">
        <v>46225</v>
      </c>
      <c r="B1191" s="71">
        <f>=TODAY()-A1191+1</f>
        <v>3</v>
      </c>
      <c r="C1191" s="71" t="s">
        <v>397</v>
      </c>
      <c r="D1191" s="64" t="s">
        <v>52</v>
      </c>
      <c r="E1191" t="s">
        <v>2340</v>
      </c>
      <c r="F1191" s="398" t="s">
        <v>2330</v>
      </c>
      <c r="G1191" s="71" t="s">
        <v>428</v>
      </c>
      <c r="H1191" s="71" t="s">
        <v>422</v>
      </c>
      <c r="I1191" s="274" t="s">
        <v>2341</v>
      </c>
      <c r="J1191" s="406">
        <v>20</v>
      </c>
      <c r="K1191" s="154" t="s"/>
      <c r="L1191" s="154">
        <v>1850</v>
      </c>
      <c r="M1191" s="112">
        <f>=J1191*L1191</f>
        <v>37000</v>
      </c>
      <c r="N1191">
        <v>3</v>
      </c>
      <c r="O1191" s="189">
        <f>=ROUND(IF((TODAY()-A1191+1)*N1191*(L1191/10000)+L1191&lt;L1191*1.002,L1191*1.002,(TODAY()-A1191+1)*N1191*(L1191/10000)+L1191),2)</f>
        <v>1853.7</v>
      </c>
      <c r="P1191" s="406">
        <v>20</v>
      </c>
      <c r="Q1191" s="71">
        <f>=J1191-P1191</f>
        <v>0</v>
      </c>
      <c r="S1191" s="112">
        <f>=P1191-R1191</f>
        <v>20</v>
      </c>
      <c r="T1191" s="71">
        <f>=S1191*L1191</f>
        <v>37000</v>
      </c>
      <c r="U1191" s="190">
        <f>=J1191-P1191</f>
        <v>0</v>
      </c>
    </row>
    <row r="1192" spans="1:21">
      <c r="A1192" s="80">
        <v>46225</v>
      </c>
      <c r="B1192" s="71">
        <f>=TODAY()-A1192+1</f>
        <v>3</v>
      </c>
      <c r="C1192" s="71" t="s">
        <v>397</v>
      </c>
      <c r="D1192" s="64" t="s">
        <v>52</v>
      </c>
      <c r="E1192" s="398" t="s">
        <v>2342</v>
      </c>
      <c r="F1192" s="398" t="s">
        <v>2330</v>
      </c>
      <c r="G1192" t="s">
        <v>428</v>
      </c>
      <c r="H1192" t="s">
        <v>422</v>
      </c>
      <c r="I1192" s="274" t="s">
        <v>2343</v>
      </c>
      <c r="J1192" s="406">
        <v>12</v>
      </c>
      <c r="K1192" s="154" t="s"/>
      <c r="L1192" s="154">
        <v>1850</v>
      </c>
      <c r="M1192" s="112">
        <f>=J1192*L1192</f>
        <v>22200</v>
      </c>
      <c r="N1192">
        <v>3</v>
      </c>
      <c r="O1192" s="189">
        <f>=ROUND(IF((TODAY()-A1192+1)*N1192*(L1192/10000)+L1192&lt;L1192*1.002,L1192*1.002,(TODAY()-A1192+1)*N1192*(L1192/10000)+L1192),2)</f>
        <v>1853.7</v>
      </c>
      <c r="P1192" s="406">
        <v>12</v>
      </c>
      <c r="Q1192" s="71">
        <f>=J1192-P1192</f>
        <v>0</v>
      </c>
      <c r="S1192" s="112">
        <f>=P1192-R1192</f>
        <v>12</v>
      </c>
      <c r="T1192" s="71">
        <f>=S1192*L1192</f>
        <v>22200</v>
      </c>
      <c r="U1192" s="190">
        <f>=J1192-P1192</f>
        <v>0</v>
      </c>
    </row>
    <row r="1193" spans="1:21">
      <c r="A1193" s="80">
        <v>46225</v>
      </c>
      <c r="B1193" s="71">
        <f>=TODAY()-A1193+1</f>
        <v>3</v>
      </c>
      <c r="C1193" s="71" t="s">
        <v>397</v>
      </c>
      <c r="D1193" s="64" t="s">
        <v>52</v>
      </c>
      <c r="E1193" s="398" t="s">
        <v>2344</v>
      </c>
      <c r="F1193" s="398" t="s">
        <v>2330</v>
      </c>
      <c r="G1193" s="71" t="s">
        <v>428</v>
      </c>
      <c r="H1193" s="71" t="s">
        <v>422</v>
      </c>
      <c r="I1193" s="274" t="s">
        <v>2345</v>
      </c>
      <c r="J1193" s="406">
        <v>88</v>
      </c>
      <c r="K1193" s="154" t="s"/>
      <c r="L1193" s="154">
        <v>1850</v>
      </c>
      <c r="M1193" s="112">
        <f>=J1193*L1193</f>
        <v>162800</v>
      </c>
      <c r="N1193">
        <v>3</v>
      </c>
      <c r="O1193" s="189">
        <f>=ROUND(IF((TODAY()-A1193+1)*N1193*(L1193/10000)+L1193&lt;L1193*1.002,L1193*1.002,(TODAY()-A1193+1)*N1193*(L1193/10000)+L1193),2)</f>
        <v>1853.7</v>
      </c>
      <c r="P1193" s="406">
        <v>88</v>
      </c>
      <c r="Q1193" s="71">
        <f>=J1193-P1193</f>
        <v>0</v>
      </c>
      <c r="S1193" s="112">
        <f>=P1193-R1193</f>
        <v>88</v>
      </c>
      <c r="T1193" s="71">
        <f>=S1193*L1193</f>
        <v>162800</v>
      </c>
      <c r="U1193" s="190">
        <f>=J1193-P1193</f>
        <v>0</v>
      </c>
    </row>
    <row r="1194" spans="1:21">
      <c r="A1194" s="80">
        <v>46225</v>
      </c>
      <c r="B1194" s="71">
        <f>=TODAY()-A1194+1</f>
        <v>3</v>
      </c>
      <c r="C1194" s="71" t="s">
        <v>397</v>
      </c>
      <c r="D1194" s="64" t="s">
        <v>52</v>
      </c>
      <c r="E1194" s="398" t="s">
        <v>2346</v>
      </c>
      <c r="F1194" s="398" t="s">
        <v>2330</v>
      </c>
      <c r="G1194" t="s">
        <v>428</v>
      </c>
      <c r="H1194" t="s">
        <v>422</v>
      </c>
      <c r="I1194" s="274" t="s">
        <v>2347</v>
      </c>
      <c r="J1194" s="203">
        <v>4</v>
      </c>
      <c r="K1194" s="154" t="s"/>
      <c r="L1194" s="154">
        <v>5800</v>
      </c>
      <c r="M1194" s="112">
        <f>=J1194*L1194</f>
        <v>23200</v>
      </c>
      <c r="N1194">
        <v>3</v>
      </c>
      <c r="O1194" s="189">
        <f>=ROUND(IF((TODAY()-A1194+1)*N1194*(L1194/10000)+L1194&lt;L1194*1.002,L1194*1.002,(TODAY()-A1194+1)*N1194*(L1194/10000)+L1194),2)</f>
        <v>5811.6</v>
      </c>
      <c r="P1194" s="154">
        <v>4</v>
      </c>
      <c r="Q1194" s="71">
        <f>=J1194-P1194</f>
        <v>0</v>
      </c>
      <c r="S1194" s="112">
        <f>=P1194-R1194</f>
        <v>4</v>
      </c>
      <c r="T1194" s="71">
        <f>=S1194*L1194</f>
        <v>23200</v>
      </c>
      <c r="U1194" s="190">
        <f>=J1194-P1194</f>
        <v>0</v>
      </c>
    </row>
    <row r="1195" spans="1:21">
      <c r="A1195" s="80">
        <v>46225</v>
      </c>
      <c r="B1195" s="71">
        <f>=TODAY()-A1195+1</f>
        <v>3</v>
      </c>
      <c r="C1195" s="71" t="s">
        <v>397</v>
      </c>
      <c r="D1195" s="64" t="s">
        <v>52</v>
      </c>
      <c r="E1195" s="398" t="s">
        <v>2348</v>
      </c>
      <c r="F1195" s="398" t="s">
        <v>2330</v>
      </c>
      <c r="G1195" s="71" t="s">
        <v>428</v>
      </c>
      <c r="H1195" s="71" t="s">
        <v>422</v>
      </c>
      <c r="I1195" s="285" t="s">
        <v>2349</v>
      </c>
      <c r="J1195" s="154">
        <v>29</v>
      </c>
      <c r="L1195" s="406">
        <v>1200</v>
      </c>
      <c r="M1195" s="112">
        <f>=J1195*L1195</f>
        <v>34800</v>
      </c>
      <c r="N1195">
        <v>3</v>
      </c>
      <c r="O1195" s="189">
        <f>=ROUND(IF((TODAY()-A1195+1)*N1195*(L1195/10000)+L1195&lt;L1195*1.002,L1195*1.002,(TODAY()-A1195+1)*N1195*(L1195/10000)+L1195),2)</f>
        <v>1202.4</v>
      </c>
      <c r="P1195" s="154">
        <v>29</v>
      </c>
      <c r="Q1195" s="71">
        <f>=J1195-P1195</f>
        <v>0</v>
      </c>
      <c r="S1195" s="112">
        <f>=P1195-R1195</f>
        <v>29</v>
      </c>
      <c r="T1195" s="71">
        <f>=S1195*L1195</f>
        <v>34800</v>
      </c>
      <c r="U1195" s="190">
        <f>=J1195-P1195</f>
        <v>0</v>
      </c>
    </row>
    <row r="1196" spans="1:21">
      <c r="A1196" s="80">
        <v>46225</v>
      </c>
      <c r="B1196" s="71">
        <f>=TODAY()-A1196+1</f>
        <v>3</v>
      </c>
      <c r="C1196" s="71" t="s">
        <v>397</v>
      </c>
      <c r="D1196" s="64" t="s">
        <v>52</v>
      </c>
      <c r="E1196" s="398" t="s">
        <v>2350</v>
      </c>
      <c r="F1196" s="398" t="s">
        <v>2330</v>
      </c>
      <c r="G1196" t="s">
        <v>428</v>
      </c>
      <c r="H1196" t="s">
        <v>422</v>
      </c>
      <c r="I1196" s="285" t="s">
        <v>2351</v>
      </c>
      <c r="J1196" s="154">
        <v>14</v>
      </c>
      <c r="L1196" s="406">
        <v>1200</v>
      </c>
      <c r="M1196" s="112">
        <f>=J1196*L1196</f>
        <v>16800</v>
      </c>
      <c r="N1196">
        <v>3</v>
      </c>
      <c r="O1196" s="189">
        <f>=ROUND(IF((TODAY()-A1196+1)*N1196*(L1196/10000)+L1196&lt;L1196*1.002,L1196*1.002,(TODAY()-A1196+1)*N1196*(L1196/10000)+L1196),2)</f>
        <v>1202.4</v>
      </c>
      <c r="P1196" s="154">
        <v>14</v>
      </c>
      <c r="Q1196" s="71">
        <f>=J1196-P1196</f>
        <v>0</v>
      </c>
      <c r="S1196" s="112">
        <f>=P1196-R1196</f>
        <v>14</v>
      </c>
      <c r="T1196" s="71">
        <f>=S1196*L1196</f>
        <v>16800</v>
      </c>
      <c r="U1196" s="190">
        <f>=J1196-P1196</f>
        <v>0</v>
      </c>
    </row>
    <row r="1197" spans="1:21">
      <c r="A1197" s="80">
        <v>46225</v>
      </c>
      <c r="B1197" s="71">
        <f>=TODAY()-A1197+1</f>
        <v>3</v>
      </c>
      <c r="C1197" s="71" t="s">
        <v>397</v>
      </c>
      <c r="D1197" s="64" t="s">
        <v>52</v>
      </c>
      <c r="E1197" s="398" t="s">
        <v>2352</v>
      </c>
      <c r="F1197" s="398" t="s">
        <v>2330</v>
      </c>
      <c r="G1197" s="71" t="s">
        <v>428</v>
      </c>
      <c r="H1197" s="71" t="s">
        <v>422</v>
      </c>
      <c r="I1197" s="274" t="s">
        <v>2353</v>
      </c>
      <c r="J1197" s="154">
        <v>14</v>
      </c>
      <c r="L1197" s="406">
        <v>1450</v>
      </c>
      <c r="M1197" s="112">
        <f>=J1197*L1197</f>
        <v>20300</v>
      </c>
      <c r="N1197">
        <v>3</v>
      </c>
      <c r="O1197" s="189">
        <f>=ROUND(IF((TODAY()-A1197+1)*N1197*(L1197/10000)+L1197&lt;L1197*1.002,L1197*1.002,(TODAY()-A1197+1)*N1197*(L1197/10000)+L1197),2)</f>
        <v>1452.9</v>
      </c>
      <c r="P1197" s="154">
        <v>14</v>
      </c>
      <c r="Q1197" s="71">
        <f>=J1197-P1197</f>
        <v>0</v>
      </c>
      <c r="S1197" s="112">
        <f>=P1197-R1197</f>
        <v>14</v>
      </c>
      <c r="T1197" s="71">
        <f>=S1197*L1197</f>
        <v>20300</v>
      </c>
      <c r="U1197" s="190">
        <f>=J1197-P1197</f>
        <v>0</v>
      </c>
    </row>
    <row r="1198" spans="1:21">
      <c r="A1198" s="80">
        <v>46225</v>
      </c>
      <c r="B1198" s="71">
        <f>=TODAY()-A1198+1</f>
        <v>3</v>
      </c>
      <c r="C1198" s="71" t="s">
        <v>397</v>
      </c>
      <c r="D1198" s="64" t="s">
        <v>52</v>
      </c>
      <c r="E1198" s="398" t="s">
        <v>2354</v>
      </c>
      <c r="F1198" s="398" t="s">
        <v>2330</v>
      </c>
      <c r="G1198" t="s">
        <v>428</v>
      </c>
      <c r="H1198" t="s">
        <v>422</v>
      </c>
      <c r="I1198" s="274" t="s">
        <v>2355</v>
      </c>
      <c r="J1198" s="406">
        <v>10</v>
      </c>
      <c r="K1198" s="154" t="s"/>
      <c r="L1198" s="154">
        <v>950</v>
      </c>
      <c r="M1198" s="112">
        <f>=J1198*L1198</f>
        <v>9500</v>
      </c>
      <c r="N1198">
        <v>3</v>
      </c>
      <c r="O1198" s="189">
        <f>=ROUND(IF((TODAY()-A1198+1)*N1198*(L1198/10000)+L1198&lt;L1198*1.002,L1198*1.002,(TODAY()-A1198+1)*N1198*(L1198/10000)+L1198),2)</f>
        <v>951.9</v>
      </c>
      <c r="P1198" s="406">
        <v>10</v>
      </c>
      <c r="Q1198" s="71">
        <f>=J1198-P1198</f>
        <v>0</v>
      </c>
      <c r="S1198" s="112">
        <f>=P1198-R1198</f>
        <v>10</v>
      </c>
      <c r="T1198" s="71">
        <f>=S1198*L1198</f>
        <v>9500</v>
      </c>
      <c r="U1198" s="190">
        <f>=J1198-P1198</f>
        <v>0</v>
      </c>
    </row>
    <row r="1199" spans="1:21">
      <c r="A1199" s="80">
        <v>46225</v>
      </c>
      <c r="B1199" s="71">
        <f>=TODAY()-A1199+1</f>
        <v>3</v>
      </c>
      <c r="C1199" s="71" t="s">
        <v>397</v>
      </c>
      <c r="D1199" s="64" t="s">
        <v>52</v>
      </c>
      <c r="E1199" s="398" t="s">
        <v>2356</v>
      </c>
      <c r="F1199" s="398" t="s">
        <v>2330</v>
      </c>
      <c r="G1199" s="71" t="s">
        <v>428</v>
      </c>
      <c r="H1199" s="71" t="s">
        <v>422</v>
      </c>
      <c r="I1199" s="274" t="s">
        <v>2357</v>
      </c>
      <c r="J1199" s="406">
        <v>14</v>
      </c>
      <c r="K1199" s="154" t="s"/>
      <c r="L1199" s="154">
        <v>1200</v>
      </c>
      <c r="M1199" s="112">
        <f>=J1199*L1199</f>
        <v>16800</v>
      </c>
      <c r="N1199">
        <v>3</v>
      </c>
      <c r="O1199" s="189">
        <f>=ROUND(IF((TODAY()-A1199+1)*N1199*(L1199/10000)+L1199&lt;L1199*1.002,L1199*1.002,(TODAY()-A1199+1)*N1199*(L1199/10000)+L1199),2)</f>
        <v>1202.4</v>
      </c>
      <c r="P1199" s="406">
        <v>14</v>
      </c>
      <c r="Q1199" s="71">
        <f>=J1199-P1199</f>
        <v>0</v>
      </c>
      <c r="S1199" s="112">
        <f>=P1199-R1199</f>
        <v>14</v>
      </c>
      <c r="T1199" s="71">
        <f>=S1199*L1199</f>
        <v>16800</v>
      </c>
      <c r="U1199" s="190">
        <f>=J1199-P1199</f>
        <v>0</v>
      </c>
    </row>
    <row r="1200" spans="1:21">
      <c r="A1200" s="80">
        <v>46225</v>
      </c>
      <c r="B1200" s="71">
        <f>=TODAY()-A1200+1</f>
        <v>3</v>
      </c>
      <c r="C1200" s="71" t="s">
        <v>397</v>
      </c>
      <c r="D1200" s="64" t="s">
        <v>52</v>
      </c>
      <c r="E1200" s="398" t="s">
        <v>2358</v>
      </c>
      <c r="F1200" s="398" t="s">
        <v>2330</v>
      </c>
      <c r="G1200" t="s">
        <v>428</v>
      </c>
      <c r="H1200" t="s">
        <v>422</v>
      </c>
      <c r="I1200" s="274" t="s">
        <v>2359</v>
      </c>
      <c r="J1200" s="406">
        <v>14</v>
      </c>
      <c r="K1200" s="154" t="s"/>
      <c r="L1200" s="154">
        <v>950</v>
      </c>
      <c r="M1200" s="112">
        <f>=J1200*L1200</f>
        <v>13300</v>
      </c>
      <c r="N1200">
        <v>3</v>
      </c>
      <c r="O1200" s="189">
        <f>=ROUND(IF((TODAY()-A1200+1)*N1200*(L1200/10000)+L1200&lt;L1200*1.002,L1200*1.002,(TODAY()-A1200+1)*N1200*(L1200/10000)+L1200),2)</f>
        <v>951.9</v>
      </c>
      <c r="P1200" s="406">
        <v>14</v>
      </c>
      <c r="Q1200" s="71">
        <f>=J1200-P1200</f>
        <v>0</v>
      </c>
      <c r="S1200" s="112">
        <f>=P1200-R1200</f>
        <v>14</v>
      </c>
      <c r="T1200" s="71">
        <f>=S1200*L1200</f>
        <v>13300</v>
      </c>
      <c r="U1200" s="190">
        <f>=J1200-P1200</f>
        <v>0</v>
      </c>
    </row>
    <row r="1201" spans="1:21">
      <c r="A1201" s="80">
        <v>46225</v>
      </c>
      <c r="B1201" s="71">
        <f>=TODAY()-A1201+1</f>
        <v>3</v>
      </c>
      <c r="C1201" s="71" t="s">
        <v>397</v>
      </c>
      <c r="D1201" s="64" t="s">
        <v>52</v>
      </c>
      <c r="E1201" s="398" t="s">
        <v>2360</v>
      </c>
      <c r="F1201" s="398" t="s">
        <v>2330</v>
      </c>
      <c r="G1201" s="71" t="s">
        <v>428</v>
      </c>
      <c r="H1201" s="71" t="s">
        <v>422</v>
      </c>
      <c r="I1201" s="285" t="s">
        <v>2361</v>
      </c>
      <c r="J1201" s="154">
        <v>13</v>
      </c>
      <c r="K1201" s="154" t="s"/>
      <c r="L1201" s="154">
        <v>1200</v>
      </c>
      <c r="M1201" s="112">
        <f>=J1201*L1201</f>
        <v>15600</v>
      </c>
      <c r="N1201">
        <v>3</v>
      </c>
      <c r="O1201" s="189">
        <f>=ROUND(IF((TODAY()-A1201+1)*N1201*(L1201/10000)+L1201&lt;L1201*1.002,L1201*1.002,(TODAY()-A1201+1)*N1201*(L1201/10000)+L1201),2)</f>
        <v>1202.4</v>
      </c>
      <c r="P1201" s="154">
        <v>13</v>
      </c>
      <c r="Q1201" s="71">
        <f>=J1201-P1201</f>
        <v>0</v>
      </c>
      <c r="S1201" s="112">
        <f>=P1201-R1201</f>
        <v>13</v>
      </c>
      <c r="T1201" s="71">
        <f>=S1201*L1201</f>
        <v>15600</v>
      </c>
      <c r="U1201" s="190">
        <f>=J1201-P1201</f>
        <v>0</v>
      </c>
    </row>
    <row r="1202" spans="1:21">
      <c r="A1202" s="80">
        <v>46225</v>
      </c>
      <c r="B1202" s="71">
        <f>=TODAY()-A1202+1</f>
        <v>3</v>
      </c>
      <c r="C1202" t="s">
        <v>398</v>
      </c>
      <c r="D1202" t="s">
        <v>382</v>
      </c>
      <c r="E1202" s="398" t="s">
        <v>2362</v>
      </c>
      <c r="F1202" s="398" t="s">
        <v>2300</v>
      </c>
      <c r="G1202" t="s">
        <v>804</v>
      </c>
      <c r="H1202" t="s">
        <v>422</v>
      </c>
      <c r="I1202" s="146" t="s">
        <v>2363</v>
      </c>
      <c r="J1202">
        <v>1000</v>
      </c>
      <c r="L1202" s="197">
        <v>1100</v>
      </c>
      <c r="M1202" s="112">
        <f>=J1202*L1202</f>
        <v>1100000</v>
      </c>
      <c r="N1202" s="71">
        <v>2.8</v>
      </c>
      <c r="O1202" s="189">
        <f>=ROUND(IF((TODAY()-A1202+1)*N1202*(L1202/10000)+L1202&lt;L1202*1.002,L1202*1.002,(TODAY()-A1202+1)*N1202*(L1202/10000)+L1202),2)</f>
        <v>1102.2</v>
      </c>
      <c r="P1202">
        <v>1000</v>
      </c>
      <c r="Q1202" s="71">
        <f>=J1202-P1202</f>
        <v>0</v>
      </c>
      <c r="S1202" s="112">
        <f>=P1202-R1202</f>
        <v>1000</v>
      </c>
      <c r="T1202" s="71">
        <f>=S1202*L1202</f>
        <v>1100000</v>
      </c>
      <c r="U1202" s="190">
        <f>=J1202-P1202</f>
        <v>0</v>
      </c>
    </row>
    <row r="1203" spans="1:21">
      <c r="A1203" s="407">
        <v>46227</v>
      </c>
      <c r="B1203" s="71">
        <f>=TODAY()-A1203+1</f>
        <v>3</v>
      </c>
      <c r="C1203" s="165" t="s">
        <v>399</v>
      </c>
      <c r="D1203" s="71" t="s">
        <v>191</v>
      </c>
      <c r="E1203" s="398" t="s">
        <v>2364</v>
      </c>
      <c r="F1203" t="s">
        <v>1076</v>
      </c>
      <c r="G1203" t="s">
        <v>804</v>
      </c>
      <c r="H1203" t="s">
        <v>422</v>
      </c>
      <c r="I1203" s="140" t="s">
        <v>2365</v>
      </c>
      <c r="J1203">
        <v>104</v>
      </c>
      <c r="L1203">
        <v>1000</v>
      </c>
      <c r="M1203" s="197">
        <f>=J1203*L1203</f>
        <v>104000</v>
      </c>
      <c r="N1203">
        <v>2.5</v>
      </c>
      <c r="O1203" s="189">
        <f>=ROUND(IF((TODAY()-A1203+1)*N1203*(L1203/10000)+L1203&lt;L1203*1.002,L1203*1.002,(TODAY()-A1203+1)*N1203*(L1203/10000)+L1203),2)</f>
        <v>1002</v>
      </c>
      <c r="P1203">
        <v>104</v>
      </c>
      <c r="Q1203" s="71">
        <f>=J1203-P1203</f>
        <v>0</v>
      </c>
      <c r="S1203" s="112">
        <f>=P1203-R1203</f>
        <v>104</v>
      </c>
      <c r="T1203" s="71">
        <f>=S1203*L1203</f>
        <v>104000</v>
      </c>
      <c r="U1203" s="190">
        <f>=J1203-P1203</f>
        <v>0</v>
      </c>
    </row>
    <row r="1204" spans="1:21">
      <c r="A1204" s="407">
        <v>46227</v>
      </c>
      <c r="B1204" s="71">
        <f>=TODAY()-A1204+1</f>
        <v>1</v>
      </c>
      <c r="C1204" s="165" t="s">
        <v>399</v>
      </c>
      <c r="D1204" s="71" t="s">
        <v>191</v>
      </c>
      <c r="E1204" s="398" t="s">
        <v>2366</v>
      </c>
      <c r="F1204" t="s">
        <v>1076</v>
      </c>
      <c r="G1204" t="s">
        <v>804</v>
      </c>
      <c r="H1204" t="s">
        <v>422</v>
      </c>
      <c r="I1204" s="320" t="s">
        <v>2367</v>
      </c>
      <c r="J1204" s="108">
        <v>96</v>
      </c>
      <c r="L1204">
        <v>1000</v>
      </c>
      <c r="M1204" s="197">
        <f>=J1204*L1204</f>
        <v>96000</v>
      </c>
      <c r="N1204">
        <v>2.5</v>
      </c>
      <c r="O1204" s="189">
        <f>=ROUND(IF((TODAY()-A1204+1)*N1204*(L1204/10000)+L1204&lt;L1204*1.002,L1204*1.002,(TODAY()-A1204+1)*N1204*(L1204/10000)+L1204),2)</f>
        <v>1002</v>
      </c>
      <c r="P1204">
        <v>96</v>
      </c>
      <c r="Q1204" s="71">
        <f>=J1204-P1204</f>
        <v>0</v>
      </c>
      <c r="S1204" s="112">
        <f>=P1204-R1204</f>
        <v>96</v>
      </c>
      <c r="T1204" s="71">
        <f>=S1204*L1204</f>
        <v>96000</v>
      </c>
      <c r="U1204" s="190">
        <f>=J1204-P1204</f>
        <v>0</v>
      </c>
    </row>
    <row r="1205" spans="1:21">
      <c r="A1205" s="407">
        <v>46227</v>
      </c>
      <c r="B1205" s="71">
        <f>=TODAY()-A1205+1</f>
        <v>1</v>
      </c>
      <c r="C1205" s="165" t="s">
        <v>399</v>
      </c>
      <c r="D1205" s="71" t="s">
        <v>191</v>
      </c>
      <c r="E1205" s="398" t="s">
        <v>2368</v>
      </c>
      <c r="F1205" t="s">
        <v>1076</v>
      </c>
      <c r="G1205" t="s">
        <v>741</v>
      </c>
      <c r="H1205" t="s">
        <v>422</v>
      </c>
      <c r="I1205" s="140" t="s">
        <v>2369</v>
      </c>
      <c r="J1205" s="108">
        <v>242</v>
      </c>
      <c r="L1205">
        <v>1000</v>
      </c>
      <c r="M1205" s="197">
        <f>=J1205*L1205</f>
        <v>242000</v>
      </c>
      <c r="N1205">
        <v>2.5</v>
      </c>
      <c r="O1205" s="189">
        <f>=ROUND(IF((TODAY()-A1205+1)*N1205*(L1205/10000)+L1205&lt;L1205*1.002,L1205*1.002,(TODAY()-A1205+1)*N1205*(L1205/10000)+L1205),2)</f>
        <v>1002</v>
      </c>
      <c r="P1205">
        <v>242</v>
      </c>
      <c r="Q1205" s="71">
        <f>=J1205-P1205</f>
        <v>0</v>
      </c>
      <c r="S1205" s="112">
        <f>=P1205-R1205</f>
        <v>242</v>
      </c>
      <c r="T1205" s="71">
        <f>=S1205*L1205</f>
        <v>242000</v>
      </c>
      <c r="U1205" s="190">
        <f>=J1205-P1205</f>
        <v>0</v>
      </c>
    </row>
    <row r="1206" spans="1:21">
      <c r="A1206" s="407">
        <v>46227</v>
      </c>
      <c r="B1206" s="71">
        <f>=TODAY()-A1206+1</f>
        <v>1</v>
      </c>
      <c r="C1206" s="98" t="s">
        <v>399</v>
      </c>
      <c r="D1206" s="71" t="s">
        <v>191</v>
      </c>
      <c r="E1206" s="398" t="s">
        <v>2370</v>
      </c>
      <c r="F1206" t="s">
        <v>1076</v>
      </c>
      <c r="G1206" t="s">
        <v>741</v>
      </c>
      <c r="H1206" t="s">
        <v>422</v>
      </c>
      <c r="I1206" s="408" t="s">
        <v>2371</v>
      </c>
      <c r="J1206" s="108">
        <v>224</v>
      </c>
      <c r="L1206">
        <v>1000</v>
      </c>
      <c r="M1206" s="197">
        <f>=J1206*L1206</f>
        <v>224000</v>
      </c>
      <c r="N1206">
        <v>2.5</v>
      </c>
      <c r="O1206" s="189">
        <f>=ROUND(IF((TODAY()-A1206+1)*N1206*(L1206/10000)+L1206&lt;L1206*1.002,L1206*1.002,(TODAY()-A1206+1)*N1206*(L1206/10000)+L1206),2)</f>
        <v>1002</v>
      </c>
      <c r="P1206">
        <v>224</v>
      </c>
      <c r="Q1206" s="71">
        <f>=J1206-P1206</f>
        <v>0</v>
      </c>
      <c r="S1206" s="112">
        <f>=P1206-R1206</f>
        <v>224</v>
      </c>
      <c r="T1206" s="71">
        <f>=S1206*L1206</f>
        <v>224000</v>
      </c>
      <c r="U1206" s="190">
        <f>=J1206-P1206</f>
        <v>0</v>
      </c>
    </row>
    <row r="1207" spans="1:21">
      <c r="A1207" s="407">
        <v>46227</v>
      </c>
      <c r="B1207" s="71">
        <f>=TODAY()-A1207+1</f>
        <v>1</v>
      </c>
      <c r="C1207" s="165" t="s">
        <v>399</v>
      </c>
      <c r="D1207" s="71" t="s">
        <v>191</v>
      </c>
      <c r="E1207" s="398" t="s">
        <v>2372</v>
      </c>
      <c r="F1207" t="s">
        <v>1076</v>
      </c>
      <c r="G1207" t="s">
        <v>741</v>
      </c>
      <c r="H1207" t="s">
        <v>422</v>
      </c>
      <c r="I1207" s="401" t="s">
        <v>2373</v>
      </c>
      <c r="J1207" s="108">
        <v>134</v>
      </c>
      <c r="L1207">
        <v>1000</v>
      </c>
      <c r="M1207" s="197">
        <f>=J1207*L1207</f>
        <v>134000</v>
      </c>
      <c r="N1207">
        <v>2.5</v>
      </c>
      <c r="O1207" s="189">
        <f>=ROUND(IF((TODAY()-A1207+1)*N1207*(L1207/10000)+L1207&lt;L1207*1.002,L1207*1.002,(TODAY()-A1207+1)*N1207*(L1207/10000)+L1207),2)</f>
        <v>1002</v>
      </c>
      <c r="P1207">
        <v>134</v>
      </c>
      <c r="Q1207" s="71">
        <f>=J1207-P1207</f>
        <v>0</v>
      </c>
      <c r="S1207" s="112">
        <f>=P1207-R1207</f>
        <v>134</v>
      </c>
      <c r="T1207" s="71">
        <f>=S1207*L1207</f>
        <v>134000</v>
      </c>
      <c r="U1207" s="190">
        <f>=J1207-P1207</f>
        <v>0</v>
      </c>
    </row>
    <row r="1208" spans="1:20">
      <c r="A1208" s="169" t="s"/>
      <c r="I1208" s="64" t="s"/>
      <c r="J1208" s="369" t="s"/>
      <c r="K1208" s="369" t="s"/>
      <c r="L1208" s="197" t="s"/>
      <c r="M1208" s="154" t="s"/>
      <c r="Q1208" s="103" t="s"/>
      <c r="S1208" s="103" t="s"/>
      <c r="T1208" s="103" t="s"/>
    </row>
    <row r="1209" spans="1:20">
      <c r="A1209" s="169" t="s"/>
      <c r="I1209" s="248" t="s"/>
      <c r="J1209" s="203" t="s"/>
      <c r="K1209" s="154" t="s"/>
      <c r="L1209" s="154" t="s"/>
      <c r="Q1209" s="103" t="s"/>
      <c r="S1209" s="103" t="s"/>
      <c r="T1209" s="103" t="s"/>
    </row>
    <row r="1210" spans="1:20">
      <c r="A1210" s="169" t="s"/>
      <c r="I1210" s="140" t="s"/>
      <c r="J1210" s="203" t="s"/>
      <c r="K1210" s="154" t="s"/>
      <c r="L1210" s="154" t="s"/>
      <c r="M1210" s="154" t="s"/>
      <c r="Q1210" s="103" t="s"/>
      <c r="S1210" s="103" t="s"/>
      <c r="T1210" s="103" t="s"/>
    </row>
    <row r="1211" spans="1:20">
      <c r="A1211" s="169" t="s"/>
      <c r="I1211" s="259" t="s"/>
      <c r="J1211" s="392" t="s"/>
      <c r="K1211" s="154" t="s"/>
      <c r="L1211" s="154" t="s"/>
      <c r="N1211" s="154" t="s"/>
      <c r="O1211" s="154" t="s"/>
      <c r="Q1211" s="103" t="s"/>
      <c r="S1211" s="103" t="s"/>
      <c r="T1211" s="103" t="s"/>
    </row>
    <row r="1212" spans="1:20">
      <c r="A1212" s="169" t="s"/>
      <c r="I1212" s="259" t="s"/>
      <c r="J1212" s="203" t="s"/>
      <c r="K1212" s="154" t="s"/>
      <c r="L1212" s="332" t="s"/>
      <c r="M1212" s="154" t="s"/>
      <c r="N1212" s="203" t="s"/>
      <c r="Q1212" s="103" t="s"/>
      <c r="S1212" s="103" t="s"/>
      <c r="T1212" s="103" t="s"/>
    </row>
    <row r="1213" spans="1:20">
      <c r="A1213" s="169" t="s"/>
      <c r="I1213" s="259" t="s"/>
      <c r="J1213" s="203" t="s"/>
      <c r="L1213" s="154" t="s"/>
      <c r="N1213" s="71" t="s"/>
      <c r="Q1213" s="103" t="s"/>
      <c r="S1213" s="103" t="s"/>
      <c r="T1213" s="103" t="s"/>
    </row>
    <row r="1214" spans="1:20">
      <c r="A1214" s="169" t="s"/>
      <c r="I1214" s="140" t="s"/>
      <c r="J1214" s="108" t="s"/>
      <c r="L1214" s="154" t="s"/>
      <c r="N1214" s="71" t="s"/>
      <c r="Q1214" s="103" t="s"/>
      <c r="S1214" s="103" t="s"/>
      <c r="T1214" s="103" t="s"/>
    </row>
    <row r="1215" spans="1:20">
      <c r="A1215" s="169" t="s"/>
      <c r="I1215" s="87" t="s"/>
      <c r="J1215" s="203" t="s"/>
      <c r="K1215" s="154" t="s"/>
      <c r="L1215" s="332" t="s"/>
      <c r="M1215" s="154" t="s"/>
      <c r="N1215" s="71" t="s"/>
      <c r="Q1215" s="103" t="s"/>
      <c r="S1215" s="103" t="s"/>
      <c r="T1215" s="103" t="s"/>
    </row>
    <row r="1216" spans="1:20">
      <c r="A1216" s="169" t="s"/>
      <c r="I1216" s="408" t="s"/>
      <c r="J1216" s="154" t="s"/>
      <c r="K1216" s="154" t="s"/>
      <c r="L1216" s="332" t="s"/>
      <c r="M1216" s="154" t="s"/>
      <c r="N1216" s="71" t="s"/>
      <c r="Q1216" s="103" t="s"/>
      <c r="S1216" s="103" t="s"/>
      <c r="T1216" s="103" t="s"/>
    </row>
    <row r="1217" spans="1:20">
      <c r="A1217" s="169" t="s"/>
      <c r="I1217" s="259" t="s"/>
      <c r="J1217" s="154" t="s"/>
      <c r="K1217" s="154" t="s"/>
      <c r="L1217" s="154" t="s"/>
      <c r="M1217" s="154" t="s"/>
      <c r="Q1217" s="103" t="s"/>
      <c r="S1217" s="103" t="s"/>
      <c r="T1217" s="103" t="s"/>
    </row>
    <row r="1218" spans="1:20">
      <c r="A1218" s="169" t="s"/>
      <c r="I1218" s="259" t="s"/>
      <c r="J1218" s="332" t="s"/>
      <c r="K1218" s="154" t="s"/>
      <c r="L1218" s="154" t="s"/>
      <c r="M1218" s="154" t="s"/>
      <c r="Q1218" s="103" t="s"/>
      <c r="S1218" s="103" t="s"/>
      <c r="T1218" s="103" t="s"/>
    </row>
    <row r="1219" spans="1:20">
      <c r="A1219" s="169" t="s"/>
      <c r="I1219" s="409" t="s"/>
      <c r="L1219" s="154" t="s"/>
      <c r="Q1219" s="103" t="s"/>
      <c r="S1219" s="103" t="s"/>
      <c r="T1219" s="103" t="s"/>
    </row>
    <row r="1220" spans="1:20">
      <c r="A1220" s="169" t="s"/>
      <c r="I1220" s="269" t="s"/>
      <c r="J1220" s="332" t="s"/>
      <c r="K1220" s="154" t="s"/>
      <c r="L1220" s="332" t="s"/>
      <c r="M1220" s="154" t="s"/>
      <c r="Q1220" s="103" t="s"/>
      <c r="S1220" s="103" t="s"/>
      <c r="T1220" s="103" t="s"/>
    </row>
    <row r="1221" spans="1:20">
      <c r="A1221" s="169" t="s"/>
      <c r="I1221" s="399" t="s"/>
      <c r="Q1221" s="103" t="s"/>
      <c r="S1221" s="103" t="s"/>
      <c r="T1221" s="103" t="s"/>
    </row>
    <row r="1222" spans="1:20">
      <c r="A1222" s="169" t="s"/>
      <c r="I1222" s="401" t="s"/>
      <c r="J1222" s="154" t="s"/>
      <c r="K1222" s="154" t="s"/>
      <c r="L1222" s="154" t="s"/>
      <c r="Q1222" s="103" t="s"/>
      <c r="S1222" s="103" t="s"/>
      <c r="T1222" s="103" t="s"/>
    </row>
    <row r="1223" spans="1:20">
      <c r="A1223" s="169" t="s"/>
      <c r="I1223" s="64" t="s"/>
      <c r="J1223" s="154" t="s"/>
      <c r="K1223" s="154" t="s"/>
      <c r="L1223" s="154" t="s"/>
      <c r="M1223" s="154" t="s"/>
      <c r="Q1223" s="103" t="s"/>
      <c r="S1223" s="103" t="s"/>
      <c r="T1223" s="103" t="s"/>
    </row>
    <row r="1224" spans="1:20">
      <c r="A1224" s="169" t="s"/>
      <c r="I1224" s="399" t="s"/>
      <c r="J1224" s="332" t="s">
        <v>2374</v>
      </c>
      <c r="K1224" s="154" t="s"/>
      <c r="L1224" s="203" t="s">
        <v>2375</v>
      </c>
      <c r="M1224" s="154" t="s">
        <v>2376</v>
      </c>
      <c r="N1224" s="331" t="s"/>
      <c r="Q1224" s="103" t="s"/>
      <c r="S1224" s="103" t="s"/>
      <c r="T1224" s="103" t="s"/>
    </row>
    <row r="1225" spans="1:20">
      <c r="A1225" s="169" t="s"/>
      <c r="I1225" s="140" t="s">
        <v>1674</v>
      </c>
      <c r="J1225">
        <v>50</v>
      </c>
      <c r="L1225" s="154">
        <v>3320.58</v>
      </c>
      <c r="M1225">
        <f>=L1225*J1225</f>
        <v>166029</v>
      </c>
      <c r="N1225" s="154" t="s"/>
      <c r="Q1225" s="103" t="s"/>
      <c r="S1225" s="103" t="s"/>
      <c r="T1225" s="103" t="s"/>
    </row>
    <row r="1226" spans="1:20">
      <c r="A1226" s="169" t="s"/>
      <c r="I1226" s="87" t="s"/>
      <c r="L1226" s="154" t="s"/>
      <c r="Q1226" s="103" t="s"/>
      <c r="S1226" s="103" t="s"/>
      <c r="T1226" s="103" t="s"/>
    </row>
    <row r="1227" spans="1:20">
      <c r="A1227" s="169" t="s"/>
      <c r="I1227" s="403" t="s"/>
      <c r="J1227" s="332" t="s"/>
      <c r="K1227" s="154" t="s"/>
      <c r="L1227" s="154" t="s"/>
      <c r="M1227" s="203" t="s"/>
      <c r="Q1227" s="103" t="s"/>
      <c r="S1227" s="103" t="s"/>
      <c r="T1227" s="103" t="s"/>
    </row>
    <row r="1228" spans="1:20">
      <c r="A1228" s="169" t="s"/>
      <c r="I1228" s="389" t="s"/>
      <c r="J1228" s="64" t="s"/>
      <c r="Q1228" s="103" t="s"/>
      <c r="S1228" s="103" t="s"/>
      <c r="T1228" s="103" t="s"/>
    </row>
    <row r="1229" spans="1:20">
      <c r="A1229" s="169" t="s"/>
      <c r="I1229" s="389" t="s"/>
      <c r="J1229" s="243" t="s"/>
      <c r="Q1229" s="103" t="s"/>
      <c r="S1229" s="103" t="s"/>
      <c r="T1229" s="103" t="s"/>
    </row>
    <row r="1230" spans="1:20">
      <c r="A1230" s="169" t="s"/>
      <c r="I1230" s="359" t="s"/>
      <c r="J1230" s="332" t="s">
        <v>2374</v>
      </c>
      <c r="K1230" s="154" t="s"/>
      <c r="L1230" s="203" t="s">
        <v>2375</v>
      </c>
      <c r="M1230" s="154" t="s">
        <v>2377</v>
      </c>
      <c r="Q1230" s="103" t="s"/>
      <c r="S1230" s="103" t="s"/>
      <c r="T1230" s="103" t="s"/>
    </row>
    <row r="1231" spans="1:20">
      <c r="A1231" s="169" t="s"/>
      <c r="I1231" s="87" t="s">
        <v>2111</v>
      </c>
      <c r="J1231" s="359">
        <v>150</v>
      </c>
      <c r="L1231">
        <v>271.97</v>
      </c>
      <c r="M1231">
        <f>=J1231*L1231</f>
        <v>40795.5</v>
      </c>
      <c r="Q1231" s="103" t="s"/>
      <c r="S1231" s="103" t="s"/>
      <c r="T1231" s="103" t="s"/>
    </row>
    <row r="1232" spans="1:20">
      <c r="A1232" s="169" t="s"/>
      <c r="I1232" s="274" t="s">
        <v>2207</v>
      </c>
      <c r="J1232" s="359">
        <v>50</v>
      </c>
      <c r="L1232">
        <v>503.64</v>
      </c>
      <c r="M1232">
        <f>=J1232*L1232</f>
        <v>25182</v>
      </c>
      <c r="Q1232" s="103" t="s"/>
      <c r="S1232" s="103" t="s"/>
      <c r="T1232" s="103" t="s"/>
    </row>
    <row r="1233" spans="1:20">
      <c r="A1233" s="169" t="s"/>
      <c r="I1233" s="87" t="s">
        <v>2218</v>
      </c>
      <c r="J1233" s="359">
        <v>150</v>
      </c>
      <c r="L1233" s="154">
        <v>95.69</v>
      </c>
      <c r="M1233">
        <f>=J1233*L1233</f>
        <v>14353.5</v>
      </c>
      <c r="Q1233" s="103" t="s"/>
      <c r="S1233" s="103" t="s"/>
      <c r="T1233" s="103" t="s"/>
    </row>
    <row r="1234" spans="1:20">
      <c r="A1234" s="169" t="s"/>
      <c r="I1234" s="87" t="s">
        <v>2220</v>
      </c>
      <c r="J1234" s="359">
        <v>150</v>
      </c>
      <c r="L1234">
        <v>166.2</v>
      </c>
      <c r="M1234">
        <f>=J1234*L1234</f>
        <v>24930</v>
      </c>
      <c r="Q1234" s="103" t="s"/>
      <c r="S1234" s="103" t="s"/>
      <c r="T1234" s="103" t="s"/>
    </row>
    <row r="1235" spans="1:20">
      <c r="A1235" s="169" t="s"/>
      <c r="I1235" s="410" t="s">
        <v>2229</v>
      </c>
      <c r="J1235" s="359">
        <v>200</v>
      </c>
      <c r="L1235">
        <v>80.58</v>
      </c>
      <c r="M1235">
        <f>=J1235*L1235</f>
        <v>16116</v>
      </c>
      <c r="Q1235" s="103" t="s"/>
      <c r="S1235" s="103" t="s"/>
      <c r="T1235" s="103" t="s"/>
    </row>
    <row r="1236" spans="1:20">
      <c r="A1236" s="169" t="s"/>
      <c r="I1236" s="359" t="s"/>
      <c r="J1236" s="359" t="s"/>
      <c r="L1236" s="154" t="s">
        <v>2376</v>
      </c>
      <c r="M1236">
        <f>=SUM(M1231:M1235)</f>
        <v>121377</v>
      </c>
      <c r="Q1236" s="103" t="s"/>
      <c r="S1236" s="103" t="s"/>
      <c r="T1236" s="103" t="s"/>
    </row>
    <row r="1237" spans="1:20">
      <c r="A1237" s="169" t="s"/>
      <c r="I1237" s="359" t="s"/>
      <c r="J1237" s="359" t="s"/>
      <c r="Q1237" s="103" t="s"/>
      <c r="S1237" s="103" t="s"/>
      <c r="T1237" s="103" t="s"/>
    </row>
    <row r="1238" spans="1:20">
      <c r="A1238" s="169" t="s"/>
      <c r="I1238" s="359" t="s"/>
      <c r="J1238" s="359" t="s"/>
      <c r="Q1238" s="103" t="s"/>
      <c r="S1238" s="103" t="s"/>
      <c r="T1238" s="103" t="s"/>
    </row>
    <row r="1239" spans="1:20">
      <c r="A1239" s="169" t="s"/>
      <c r="I1239" s="359" t="s"/>
      <c r="J1239" s="359" t="s"/>
      <c r="Q1239" s="103" t="s"/>
      <c r="S1239" s="103" t="s"/>
      <c r="T1239" s="103" t="s"/>
    </row>
    <row r="1240" spans="1:20">
      <c r="A1240" s="169" t="s"/>
      <c r="I1240" s="359" t="s"/>
      <c r="J1240" s="359" t="s"/>
      <c r="Q1240" s="103" t="s"/>
      <c r="S1240" s="103" t="s"/>
      <c r="T1240" s="103" t="s"/>
    </row>
    <row r="1241" spans="1:20">
      <c r="A1241" s="169" t="s"/>
      <c r="Q1241" s="103" t="s"/>
      <c r="S1241" s="103" t="s"/>
      <c r="T1241" s="103" t="s"/>
    </row>
    <row r="1242" spans="1:20">
      <c r="A1242" s="169" t="s"/>
      <c r="Q1242" s="103" t="s"/>
      <c r="S1242" s="103" t="s"/>
      <c r="T1242" s="103" t="s"/>
    </row>
    <row r="1243" spans="1:20">
      <c r="A1243" s="169" t="s"/>
      <c r="Q1243" s="103" t="s"/>
      <c r="S1243" s="103" t="s"/>
      <c r="T1243" s="103" t="s"/>
    </row>
    <row r="1244" spans="1:20">
      <c r="A1244" s="169" t="s"/>
      <c r="J1244" s="332" t="s">
        <v>2374</v>
      </c>
      <c r="K1244" s="154" t="s"/>
      <c r="L1244" s="332" t="s">
        <v>2375</v>
      </c>
      <c r="M1244" s="154" t="s">
        <v>2377</v>
      </c>
      <c r="Q1244" s="103" t="s"/>
      <c r="S1244" s="103" t="s"/>
      <c r="T1244" s="103" t="s"/>
    </row>
    <row r="1245" spans="1:20">
      <c r="A1245" s="169" t="s"/>
      <c r="I1245" s="259" t="s">
        <v>495</v>
      </c>
      <c r="J1245">
        <v>100</v>
      </c>
      <c r="L1245">
        <v>1741.68</v>
      </c>
      <c r="M1245">
        <f>=J1245*L1245</f>
        <v>174168</v>
      </c>
      <c r="Q1245" s="103" t="s"/>
      <c r="S1245" s="103" t="s"/>
      <c r="T1245" s="103" t="s"/>
    </row>
    <row r="1246" spans="1:20">
      <c r="A1246" s="169" t="s"/>
      <c r="I1246" s="259" t="s">
        <v>905</v>
      </c>
      <c r="J1246">
        <v>100</v>
      </c>
      <c r="L1246">
        <v>1741.68</v>
      </c>
      <c r="M1246">
        <f>=J1246*L1246</f>
        <v>174168</v>
      </c>
      <c r="Q1246" s="103" t="s"/>
      <c r="S1246" s="103" t="s"/>
      <c r="T1246" s="103" t="s"/>
    </row>
    <row r="1247" spans="1:20">
      <c r="A1247" s="169" t="s"/>
      <c r="I1247" s="248" t="s">
        <v>606</v>
      </c>
      <c r="J1247">
        <v>100</v>
      </c>
      <c r="L1247">
        <v>979.11</v>
      </c>
      <c r="M1247">
        <f>=J1247*L1247</f>
        <v>97911</v>
      </c>
      <c r="Q1247" s="103" t="s"/>
      <c r="S1247" s="103" t="s"/>
      <c r="T1247" s="103" t="s"/>
    </row>
    <row r="1248" spans="1:20">
      <c r="A1248" s="169" t="s"/>
      <c r="I1248" s="87" t="s">
        <v>905</v>
      </c>
      <c r="J1248">
        <v>100</v>
      </c>
      <c r="L1248">
        <v>1519.73</v>
      </c>
      <c r="M1248">
        <f>=J1248*L1248</f>
        <v>151973</v>
      </c>
      <c r="Q1248" s="103" t="s"/>
      <c r="S1248" s="103" t="s"/>
      <c r="T1248" s="103" t="s"/>
    </row>
    <row r="1249" spans="1:20">
      <c r="A1249" s="169" t="s"/>
      <c r="I1249" s="87" t="s">
        <v>495</v>
      </c>
      <c r="J1249" s="154">
        <v>100</v>
      </c>
      <c r="K1249" s="154" t="s"/>
      <c r="L1249" s="154">
        <v>1519.73</v>
      </c>
      <c r="M1249">
        <f>=J1249*L1249</f>
        <v>151973</v>
      </c>
      <c r="Q1249" s="103" t="s"/>
      <c r="S1249" s="103" t="s"/>
      <c r="T1249" s="103" t="s"/>
    </row>
    <row r="1250" spans="1:20">
      <c r="A1250" s="169" t="s"/>
      <c r="I1250" s="248" t="s">
        <v>912</v>
      </c>
      <c r="J1250" s="339">
        <v>40</v>
      </c>
      <c r="K1250" s="154" t="s"/>
      <c r="L1250" s="154">
        <v>942.39</v>
      </c>
      <c r="M1250">
        <f>=J1250*L1250</f>
        <v>37695.6</v>
      </c>
      <c r="Q1250" s="103" t="s"/>
      <c r="S1250" s="103" t="s"/>
      <c r="T1250" s="103" t="s"/>
    </row>
    <row r="1251" spans="1:20">
      <c r="A1251" s="169" t="s"/>
      <c r="I1251" s="87" t="s"/>
      <c r="J1251" s="339" t="s"/>
      <c r="K1251" s="154" t="s"/>
      <c r="L1251" s="154" t="s">
        <v>2376</v>
      </c>
      <c r="M1251" s="154">
        <f>=SUM(M1245:M1250)</f>
        <v>787888.6</v>
      </c>
      <c r="Q1251" s="103" t="s"/>
      <c r="S1251" s="103" t="s"/>
      <c r="T1251" s="103" t="s"/>
    </row>
    <row r="1252" spans="1:20">
      <c r="A1252" s="169" t="s"/>
      <c r="I1252" s="87" t="s"/>
      <c r="J1252" s="369" t="s"/>
      <c r="K1252" s="154" t="s"/>
      <c r="L1252" s="154" t="s"/>
      <c r="M1252" s="154" t="s"/>
      <c r="Q1252" s="103" t="s"/>
      <c r="S1252" s="103" t="s"/>
      <c r="T1252" s="103" t="s"/>
    </row>
    <row r="1253" spans="1:20">
      <c r="A1253" s="169" t="s"/>
      <c r="I1253" s="269" t="s"/>
      <c r="J1253" s="154" t="s"/>
      <c r="K1253" s="154" t="s"/>
      <c r="L1253" s="154" t="s"/>
      <c r="M1253" s="154" t="s"/>
      <c r="Q1253" s="103" t="s"/>
      <c r="S1253" s="103" t="s"/>
      <c r="T1253" s="103" t="s"/>
    </row>
    <row r="1254" spans="1:20">
      <c r="A1254" s="169" t="s"/>
      <c r="J1254" s="154" t="s"/>
      <c r="K1254" s="154" t="s"/>
      <c r="L1254" s="154" t="s"/>
      <c r="M1254" s="154" t="s"/>
      <c r="Q1254" s="103" t="s"/>
      <c r="S1254" s="103" t="s"/>
      <c r="T1254" s="103" t="s"/>
    </row>
    <row r="1255" spans="1:20">
      <c r="A1255" s="169" t="s"/>
      <c r="Q1255" s="103" t="s"/>
      <c r="S1255" s="103" t="s"/>
      <c r="T1255" s="103" t="s"/>
    </row>
    <row r="1256" spans="1:20">
      <c r="A1256" s="169" t="s"/>
      <c r="Q1256" s="103" t="s"/>
      <c r="S1256" s="103" t="s"/>
      <c r="T1256" s="103" t="s"/>
    </row>
    <row r="1257" spans="1:20">
      <c r="A1257" s="169" t="s"/>
      <c r="Q1257" s="103" t="s"/>
      <c r="S1257" s="103" t="s"/>
      <c r="T1257" s="103" t="s"/>
    </row>
    <row r="1258" spans="1:20">
      <c r="A1258" s="169" t="s"/>
      <c r="Q1258" s="103" t="s"/>
      <c r="S1258" s="103" t="s"/>
      <c r="T1258" s="103" t="s"/>
    </row>
    <row r="1259" spans="1:20">
      <c r="A1259" s="169" t="s"/>
      <c r="Q1259" s="103" t="s"/>
      <c r="S1259" s="103" t="s"/>
      <c r="T1259" s="103" t="s"/>
    </row>
    <row r="1260" spans="1:20">
      <c r="A1260" s="169" t="s"/>
      <c r="Q1260" s="103" t="s"/>
      <c r="S1260" s="103" t="s"/>
      <c r="T1260" s="103" t="s"/>
    </row>
    <row r="1261" spans="1:20">
      <c r="A1261" s="169" t="s"/>
      <c r="Q1261" s="103" t="s"/>
      <c r="S1261" s="103" t="s"/>
      <c r="T1261" s="103" t="s"/>
    </row>
    <row r="1262" spans="1:20">
      <c r="A1262" s="169" t="s"/>
      <c r="Q1262" s="103" t="s"/>
      <c r="S1262" s="103" t="s"/>
      <c r="T1262" s="103" t="s"/>
    </row>
    <row r="1263" spans="1:20">
      <c r="A1263" s="169" t="s"/>
      <c r="Q1263" s="103" t="s"/>
      <c r="S1263" s="103" t="s"/>
      <c r="T1263" s="103" t="s"/>
    </row>
    <row r="1264" spans="1:20">
      <c r="A1264" s="169" t="s"/>
      <c r="Q1264" s="103" t="s"/>
      <c r="S1264" s="103" t="s"/>
      <c r="T1264" s="103" t="s"/>
    </row>
    <row r="1265" spans="1:20">
      <c r="A1265" s="169" t="s"/>
      <c r="Q1265" s="103" t="s"/>
      <c r="S1265" s="103" t="s"/>
      <c r="T1265" s="103" t="s"/>
    </row>
    <row r="1266" spans="1:20">
      <c r="A1266" s="169" t="s"/>
      <c r="Q1266" s="103" t="s"/>
      <c r="S1266" s="103" t="s"/>
      <c r="T1266" s="103" t="s"/>
    </row>
    <row r="1267" spans="1:20">
      <c r="A1267" s="169" t="s"/>
      <c r="Q1267" s="103" t="s"/>
      <c r="S1267" s="103" t="s"/>
      <c r="T1267" s="103" t="s"/>
    </row>
    <row r="1268" spans="1:20">
      <c r="A1268" s="169" t="s"/>
      <c r="Q1268" s="103" t="s"/>
      <c r="S1268" s="103" t="s"/>
      <c r="T1268" s="103" t="s"/>
    </row>
    <row r="1269" spans="1:20">
      <c r="A1269" s="169" t="s"/>
      <c r="Q1269" s="103" t="s"/>
      <c r="S1269" s="103" t="s"/>
      <c r="T1269" s="103" t="s"/>
    </row>
    <row r="1270" spans="1:20">
      <c r="A1270" s="169" t="s"/>
      <c r="Q1270" s="103" t="s"/>
      <c r="S1270" s="103" t="s"/>
      <c r="T1270" s="103" t="s"/>
    </row>
    <row r="1271" spans="1:20">
      <c r="A1271" s="169" t="s"/>
      <c r="Q1271" s="103" t="s"/>
      <c r="S1271" s="103" t="s"/>
      <c r="T1271" s="103" t="s"/>
    </row>
    <row r="1272" spans="1:20">
      <c r="A1272" s="169" t="s"/>
      <c r="Q1272" s="103" t="s"/>
      <c r="S1272" s="103" t="s"/>
      <c r="T1272" s="103" t="s"/>
    </row>
    <row r="1273" spans="1:20">
      <c r="A1273" s="169" t="s"/>
      <c r="Q1273" s="103" t="s"/>
      <c r="S1273" s="103" t="s"/>
      <c r="T1273" s="103" t="s"/>
    </row>
    <row r="1274" spans="1:20">
      <c r="A1274" s="169" t="s"/>
      <c r="Q1274" s="103" t="s"/>
      <c r="S1274" s="103" t="s"/>
      <c r="T1274" s="103" t="s"/>
    </row>
    <row r="1275" spans="1:20">
      <c r="A1275" s="169" t="s"/>
      <c r="Q1275" s="103" t="s"/>
      <c r="S1275" s="103" t="s"/>
      <c r="T1275" s="103" t="s"/>
    </row>
    <row r="1276" spans="1:20">
      <c r="A1276" s="169" t="s"/>
      <c r="Q1276" s="103" t="s"/>
      <c r="S1276" s="103" t="s"/>
      <c r="T1276" s="103" t="s"/>
    </row>
    <row r="1277" spans="1:20">
      <c r="A1277" s="169" t="s"/>
      <c r="Q1277" s="103" t="s"/>
      <c r="S1277" s="103" t="s"/>
      <c r="T1277" s="103" t="s"/>
    </row>
    <row r="1278" spans="1:20">
      <c r="A1278" s="169" t="s"/>
      <c r="Q1278" s="103" t="s"/>
      <c r="S1278" s="103" t="s"/>
      <c r="T1278" s="103" t="s"/>
    </row>
    <row r="1279" spans="1:20">
      <c r="A1279" s="169" t="s"/>
      <c r="Q1279" s="103" t="s"/>
      <c r="S1279" s="103" t="s"/>
      <c r="T1279" s="103" t="s"/>
    </row>
    <row r="1280" spans="1:20">
      <c r="A1280" s="169" t="s"/>
      <c r="Q1280" s="103" t="s"/>
      <c r="S1280" s="103" t="s"/>
      <c r="T1280" s="103" t="s"/>
    </row>
    <row r="1281" spans="1:20">
      <c r="A1281" s="169" t="s"/>
      <c r="Q1281" s="103" t="s"/>
      <c r="S1281" s="103" t="s"/>
      <c r="T1281" s="103" t="s"/>
    </row>
    <row r="1282" spans="1:20">
      <c r="A1282" s="169" t="s"/>
      <c r="Q1282" s="103" t="s"/>
      <c r="S1282" s="103" t="s"/>
      <c r="T1282" s="103" t="s"/>
    </row>
    <row r="1283" spans="1:20">
      <c r="A1283" s="169" t="s"/>
      <c r="Q1283" s="103" t="s"/>
      <c r="S1283" s="103" t="s"/>
      <c r="T1283" s="103" t="s"/>
    </row>
    <row r="1284" spans="1:20">
      <c r="A1284" s="169" t="s"/>
      <c r="Q1284" s="103" t="s"/>
      <c r="S1284" s="103" t="s"/>
      <c r="T1284" s="103" t="s"/>
    </row>
    <row r="1285" spans="1:20">
      <c r="A1285" s="169" t="s"/>
      <c r="Q1285" s="103" t="s"/>
      <c r="S1285" s="103" t="s"/>
      <c r="T1285" s="103" t="s"/>
    </row>
    <row r="1286" spans="1:20">
      <c r="A1286" s="169" t="s"/>
      <c r="Q1286" s="103" t="s"/>
      <c r="S1286" s="103" t="s"/>
      <c r="T1286" s="103" t="s"/>
    </row>
    <row r="1287" spans="1:20">
      <c r="A1287" s="169" t="s"/>
      <c r="Q1287" s="103" t="s"/>
      <c r="S1287" s="103" t="s"/>
      <c r="T1287" s="103" t="s"/>
    </row>
    <row r="1288" spans="1:20">
      <c r="A1288" s="169" t="s"/>
      <c r="Q1288" s="103" t="s"/>
      <c r="S1288" s="103" t="s"/>
      <c r="T1288" s="103" t="s"/>
    </row>
    <row r="1289" spans="1:20">
      <c r="A1289" s="169" t="s"/>
      <c r="Q1289" s="103" t="s"/>
      <c r="S1289" s="103" t="s"/>
      <c r="T1289" s="103" t="s"/>
    </row>
    <row r="1290" spans="1:20">
      <c r="A1290" s="169" t="s"/>
      <c r="Q1290" s="103" t="s"/>
      <c r="S1290" s="103" t="s"/>
      <c r="T1290" s="103" t="s"/>
    </row>
    <row r="1291" spans="1:20">
      <c r="A1291" s="169" t="s"/>
      <c r="Q1291" s="103" t="s"/>
      <c r="S1291" s="103" t="s"/>
      <c r="T1291" s="103" t="s"/>
    </row>
    <row r="1292" spans="1:20">
      <c r="A1292" s="169" t="s"/>
      <c r="Q1292" s="103" t="s"/>
      <c r="S1292" s="103" t="s"/>
      <c r="T1292" s="103" t="s"/>
    </row>
    <row r="1293" spans="1:20">
      <c r="A1293" s="169" t="s"/>
      <c r="Q1293" s="103" t="s"/>
      <c r="S1293" s="103" t="s"/>
      <c r="T1293" s="103" t="s"/>
    </row>
    <row r="1294" spans="1:20">
      <c r="A1294" s="169" t="s"/>
      <c r="Q1294" s="103" t="s"/>
      <c r="S1294" s="103" t="s"/>
      <c r="T1294" s="103" t="s"/>
    </row>
    <row r="1295" spans="1:20">
      <c r="A1295" s="169" t="s"/>
      <c r="Q1295" s="103" t="s"/>
      <c r="S1295" s="103" t="s"/>
      <c r="T1295" s="103" t="s"/>
    </row>
    <row r="1296" spans="1:20">
      <c r="A1296" s="169" t="s"/>
      <c r="Q1296" s="103" t="s"/>
      <c r="S1296" s="103" t="s"/>
      <c r="T1296" s="103" t="s"/>
    </row>
    <row r="1297" spans="1:20">
      <c r="A1297" s="169" t="s"/>
      <c r="Q1297" s="103" t="s"/>
      <c r="S1297" s="103" t="s"/>
      <c r="T1297" s="103" t="s"/>
    </row>
    <row r="1298" spans="1:20">
      <c r="A1298" s="169" t="s"/>
      <c r="Q1298" s="103" t="s"/>
      <c r="S1298" s="103" t="s"/>
      <c r="T1298" s="103" t="s"/>
    </row>
    <row r="1299" spans="1:20">
      <c r="A1299" s="169" t="s"/>
      <c r="Q1299" s="103" t="s"/>
      <c r="S1299" s="103" t="s"/>
      <c r="T1299" s="103" t="s"/>
    </row>
    <row r="1300" spans="1:20">
      <c r="A1300" s="169" t="s"/>
      <c r="Q1300" s="103" t="s"/>
      <c r="S1300" s="103" t="s"/>
      <c r="T1300" s="103" t="s"/>
    </row>
    <row r="1301" spans="1:20">
      <c r="A1301" s="169" t="s"/>
      <c r="Q1301" s="103" t="s"/>
      <c r="S1301" s="103" t="s"/>
      <c r="T1301" s="103" t="s"/>
    </row>
    <row r="1302" spans="1:20">
      <c r="A1302" s="169" t="s"/>
      <c r="Q1302" s="103" t="s"/>
      <c r="S1302" s="103" t="s"/>
      <c r="T1302" s="103" t="s"/>
    </row>
    <row r="1303" spans="1:20">
      <c r="A1303" s="169" t="s"/>
      <c r="Q1303" s="103" t="s"/>
      <c r="S1303" s="103" t="s"/>
      <c r="T1303" s="103" t="s"/>
    </row>
    <row r="1304" spans="1:20">
      <c r="A1304" s="169" t="s"/>
      <c r="Q1304" s="103" t="s"/>
      <c r="S1304" s="103" t="s"/>
      <c r="T1304" s="103" t="s"/>
    </row>
    <row r="1305" spans="1:20">
      <c r="A1305" s="169" t="s"/>
      <c r="Q1305" s="103" t="s"/>
      <c r="S1305" s="103" t="s"/>
      <c r="T1305" s="103" t="s"/>
    </row>
    <row r="1306" spans="1:20">
      <c r="A1306" s="169" t="s"/>
      <c r="Q1306" s="103" t="s"/>
      <c r="S1306" s="103" t="s"/>
      <c r="T1306" s="103" t="s"/>
    </row>
    <row r="1307" spans="1:20">
      <c r="A1307" s="169" t="s"/>
      <c r="Q1307" s="103" t="s"/>
      <c r="S1307" s="103" t="s"/>
      <c r="T1307" s="103" t="s"/>
    </row>
    <row r="1308" spans="1:20">
      <c r="A1308" s="169" t="s"/>
      <c r="Q1308" s="103" t="s"/>
      <c r="S1308" s="103" t="s"/>
      <c r="T1308" s="103" t="s"/>
    </row>
    <row r="1309" spans="1:20">
      <c r="A1309" s="169" t="s"/>
      <c r="Q1309" s="103" t="s"/>
      <c r="S1309" s="103" t="s"/>
      <c r="T1309" s="103" t="s"/>
    </row>
    <row r="1310" spans="1:20">
      <c r="A1310" s="169" t="s"/>
      <c r="Q1310" s="103" t="s"/>
      <c r="S1310" s="103" t="s"/>
      <c r="T1310" s="103" t="s"/>
    </row>
    <row r="1311" spans="1:20">
      <c r="A1311" s="169" t="s"/>
      <c r="Q1311" s="103" t="s"/>
      <c r="S1311" s="103" t="s"/>
      <c r="T1311" s="103" t="s"/>
    </row>
    <row r="1312" spans="1:20">
      <c r="A1312" s="169" t="s"/>
      <c r="Q1312" s="103" t="s"/>
      <c r="S1312" s="103" t="s"/>
      <c r="T1312" s="103" t="s"/>
    </row>
    <row r="1313" spans="1:20">
      <c r="A1313" s="169" t="s"/>
      <c r="Q1313" s="103" t="s"/>
      <c r="S1313" s="103" t="s"/>
      <c r="T1313" s="103" t="s"/>
    </row>
    <row r="1314" spans="1:20">
      <c r="A1314" s="169" t="s"/>
      <c r="Q1314" s="103" t="s"/>
      <c r="S1314" s="103" t="s"/>
      <c r="T1314" s="103" t="s"/>
    </row>
    <row r="1315" spans="1:20">
      <c r="A1315" s="169" t="s"/>
      <c r="Q1315" s="103" t="s"/>
      <c r="S1315" s="103" t="s"/>
      <c r="T1315" s="103" t="s"/>
    </row>
    <row r="1316" spans="1:20">
      <c r="A1316" s="169" t="s"/>
      <c r="Q1316" s="103" t="s"/>
      <c r="S1316" s="103" t="s"/>
      <c r="T1316" s="103" t="s"/>
    </row>
    <row r="1317" spans="1:20">
      <c r="A1317" s="169" t="s"/>
      <c r="Q1317" s="103" t="s"/>
      <c r="S1317" s="103" t="s"/>
      <c r="T1317" s="103" t="s"/>
    </row>
    <row r="1318" spans="1:20">
      <c r="A1318" s="169" t="s"/>
      <c r="Q1318" s="103" t="s"/>
      <c r="S1318" s="103" t="s"/>
      <c r="T1318" s="103" t="s"/>
    </row>
    <row r="1319" spans="1:20">
      <c r="A1319" s="169" t="s"/>
      <c r="Q1319" s="103" t="s"/>
      <c r="S1319" s="103" t="s"/>
      <c r="T1319" s="103" t="s"/>
    </row>
    <row r="1320" spans="1:20">
      <c r="A1320" s="169" t="s"/>
      <c r="Q1320" s="103" t="s"/>
      <c r="S1320" s="103" t="s"/>
      <c r="T1320" s="103" t="s"/>
    </row>
    <row r="1321" spans="1:20">
      <c r="A1321" s="169" t="s"/>
      <c r="Q1321" s="103" t="s"/>
      <c r="S1321" s="103" t="s"/>
      <c r="T1321" s="103" t="s"/>
    </row>
    <row r="1322" spans="1:20">
      <c r="A1322" s="169" t="s"/>
      <c r="Q1322" s="103" t="s"/>
      <c r="S1322" s="103" t="s"/>
      <c r="T1322" s="103" t="s"/>
    </row>
    <row r="1323" spans="1:20">
      <c r="A1323" s="169" t="s"/>
      <c r="Q1323" s="103" t="s"/>
      <c r="S1323" s="103" t="s"/>
      <c r="T1323" s="103" t="s"/>
    </row>
    <row r="1324" spans="1:20">
      <c r="A1324" s="169" t="s"/>
      <c r="Q1324" s="103" t="s"/>
      <c r="S1324" s="103" t="s"/>
      <c r="T1324" s="103" t="s"/>
    </row>
    <row r="1325" spans="1:20">
      <c r="A1325" s="169" t="s"/>
      <c r="Q1325" s="103" t="s"/>
      <c r="S1325" s="103" t="s"/>
      <c r="T1325" s="103" t="s"/>
    </row>
    <row r="1326" spans="1:20">
      <c r="A1326" s="169" t="s"/>
      <c r="Q1326" s="103" t="s"/>
      <c r="S1326" s="103" t="s"/>
      <c r="T1326" s="103" t="s"/>
    </row>
    <row r="1327" spans="1:20">
      <c r="A1327" s="169" t="s"/>
      <c r="Q1327" s="103" t="s"/>
      <c r="S1327" s="103" t="s"/>
      <c r="T1327" s="103" t="s"/>
    </row>
    <row r="1328" spans="1:20">
      <c r="A1328" s="169" t="s"/>
      <c r="Q1328" s="103" t="s"/>
      <c r="S1328" s="103" t="s"/>
      <c r="T1328" s="103" t="s"/>
    </row>
    <row r="1329" spans="1:20">
      <c r="A1329" s="169" t="s"/>
      <c r="Q1329" s="103" t="s"/>
      <c r="S1329" s="103" t="s"/>
      <c r="T1329" s="103" t="s"/>
    </row>
    <row r="1330" spans="1:20">
      <c r="A1330" s="169" t="s"/>
      <c r="Q1330" s="103" t="s"/>
      <c r="S1330" s="103" t="s"/>
      <c r="T1330" s="103" t="s"/>
    </row>
    <row r="1331" spans="1:20">
      <c r="A1331" s="169" t="s"/>
      <c r="Q1331" s="103" t="s"/>
      <c r="S1331" s="103" t="s"/>
      <c r="T1331" s="103" t="s"/>
    </row>
    <row r="1332" spans="1:20">
      <c r="A1332" s="169" t="s"/>
      <c r="Q1332" s="103" t="s"/>
      <c r="S1332" s="103" t="s"/>
      <c r="T1332" s="103" t="s"/>
    </row>
    <row r="1333" spans="1:20">
      <c r="A1333" s="169" t="s"/>
      <c r="Q1333" s="103" t="s"/>
      <c r="S1333" s="103" t="s"/>
      <c r="T1333" s="103" t="s"/>
    </row>
    <row r="1334" spans="1:20">
      <c r="A1334" s="169" t="s"/>
      <c r="Q1334" s="103" t="s"/>
      <c r="S1334" s="103" t="s"/>
      <c r="T1334" s="103" t="s"/>
    </row>
    <row r="1335" spans="1:20">
      <c r="A1335" s="169" t="s"/>
      <c r="Q1335" s="103" t="s"/>
      <c r="S1335" s="103" t="s"/>
      <c r="T1335" s="103" t="s"/>
    </row>
    <row r="1336" spans="1:20">
      <c r="A1336" s="169" t="s"/>
      <c r="Q1336" s="103" t="s"/>
      <c r="S1336" s="103" t="s"/>
      <c r="T1336" s="103" t="s"/>
    </row>
    <row r="1337" spans="1:20">
      <c r="A1337" s="169" t="s"/>
      <c r="Q1337" s="103" t="s"/>
      <c r="S1337" s="103" t="s"/>
      <c r="T1337" s="103" t="s"/>
    </row>
    <row r="1338" spans="1:20">
      <c r="A1338" s="169" t="s"/>
      <c r="Q1338" s="103" t="s"/>
      <c r="S1338" s="103" t="s"/>
      <c r="T1338" s="103" t="s"/>
    </row>
    <row r="1339" spans="1:20">
      <c r="A1339" s="169" t="s"/>
      <c r="Q1339" s="103" t="s"/>
      <c r="S1339" s="103" t="s"/>
      <c r="T1339" s="103" t="s"/>
    </row>
    <row r="1340" spans="1:20">
      <c r="A1340" s="169" t="s"/>
      <c r="Q1340" s="103" t="s"/>
      <c r="S1340" s="103" t="s"/>
      <c r="T1340" s="103" t="s"/>
    </row>
    <row r="1341" spans="1:20">
      <c r="A1341" s="169" t="s"/>
      <c r="Q1341" s="103" t="s"/>
      <c r="S1341" s="103" t="s"/>
      <c r="T1341" s="103" t="s"/>
    </row>
    <row r="1342" spans="1:20">
      <c r="A1342" s="169" t="s"/>
      <c r="Q1342" s="103" t="s"/>
      <c r="S1342" s="103" t="s"/>
      <c r="T1342" s="103" t="s"/>
    </row>
    <row r="1343" spans="1:20">
      <c r="A1343" s="169" t="s"/>
      <c r="Q1343" s="103" t="s"/>
      <c r="S1343" s="103" t="s"/>
      <c r="T1343" s="103" t="s"/>
    </row>
    <row r="1344" spans="1:20">
      <c r="A1344" s="169" t="s"/>
      <c r="Q1344" s="103" t="s"/>
      <c r="S1344" s="103" t="s"/>
      <c r="T1344" s="103" t="s"/>
    </row>
    <row r="1345" spans="1:20">
      <c r="A1345" s="169" t="s"/>
      <c r="Q1345" s="103" t="s"/>
      <c r="S1345" s="103" t="s"/>
      <c r="T1345" s="103" t="s"/>
    </row>
    <row r="1346" spans="1:20">
      <c r="A1346" s="169" t="s"/>
      <c r="Q1346" s="103" t="s"/>
      <c r="S1346" s="103" t="s"/>
      <c r="T1346" s="103" t="s"/>
    </row>
    <row r="1347" spans="1:20">
      <c r="A1347" s="169" t="s"/>
      <c r="Q1347" s="103" t="s"/>
      <c r="S1347" s="103" t="s"/>
      <c r="T1347" s="103" t="s"/>
    </row>
    <row r="1348" spans="1:20">
      <c r="A1348" s="169" t="s"/>
      <c r="Q1348" s="103" t="s"/>
      <c r="S1348" s="103" t="s"/>
      <c r="T1348" s="103" t="s"/>
    </row>
    <row r="1349" spans="1:20">
      <c r="A1349" s="169" t="s"/>
      <c r="Q1349" s="103" t="s"/>
      <c r="S1349" s="103" t="s"/>
      <c r="T1349" s="103" t="s"/>
    </row>
    <row r="1350" spans="1:20">
      <c r="A1350" s="169" t="s"/>
      <c r="Q1350" s="103" t="s"/>
      <c r="S1350" s="103" t="s"/>
      <c r="T1350" s="103" t="s"/>
    </row>
    <row r="1351" spans="1:20">
      <c r="A1351" s="169" t="s"/>
      <c r="Q1351" s="103" t="s"/>
      <c r="S1351" s="103" t="s"/>
      <c r="T1351" s="103" t="s"/>
    </row>
    <row r="1352" spans="1:20">
      <c r="A1352" s="169" t="s"/>
      <c r="Q1352" s="103" t="s"/>
      <c r="S1352" s="103" t="s"/>
      <c r="T1352" s="103" t="s"/>
    </row>
    <row r="1353" spans="1:20">
      <c r="A1353" s="169" t="s"/>
      <c r="Q1353" s="103" t="s"/>
      <c r="S1353" s="103" t="s"/>
      <c r="T1353" s="103" t="s"/>
    </row>
    <row r="1354" spans="1:20">
      <c r="A1354" s="169" t="s"/>
      <c r="Q1354" s="103" t="s"/>
      <c r="S1354" s="103" t="s"/>
      <c r="T1354" s="103" t="s"/>
    </row>
    <row r="1355" spans="1:20">
      <c r="A1355" s="169" t="s"/>
      <c r="Q1355" s="103" t="s"/>
      <c r="S1355" s="103" t="s"/>
      <c r="T1355" s="103" t="s"/>
    </row>
    <row r="1356" spans="1:20">
      <c r="A1356" s="169" t="s"/>
      <c r="Q1356" s="103" t="s"/>
      <c r="S1356" s="103" t="s"/>
      <c r="T1356" s="103" t="s"/>
    </row>
    <row r="1357" spans="1:20">
      <c r="A1357" s="169" t="s"/>
      <c r="Q1357" s="103" t="s"/>
      <c r="S1357" s="103" t="s"/>
      <c r="T1357" s="103" t="s"/>
    </row>
    <row r="1358" spans="1:20">
      <c r="A1358" s="169" t="s"/>
      <c r="Q1358" s="103" t="s"/>
      <c r="S1358" s="103" t="s"/>
      <c r="T1358" s="103" t="s"/>
    </row>
    <row r="1359" spans="1:20">
      <c r="A1359" s="169" t="s"/>
      <c r="Q1359" s="103" t="s"/>
      <c r="S1359" s="103" t="s"/>
      <c r="T1359" s="103" t="s"/>
    </row>
    <row r="1360" spans="1:20">
      <c r="A1360" s="169" t="s"/>
      <c r="Q1360" s="103" t="s"/>
      <c r="S1360" s="103" t="s"/>
      <c r="T1360" s="103" t="s"/>
    </row>
    <row r="1361" spans="1:20">
      <c r="A1361" s="169" t="s"/>
      <c r="Q1361" s="103" t="s"/>
      <c r="S1361" s="103" t="s"/>
      <c r="T1361" s="103" t="s"/>
    </row>
    <row r="1362" spans="1:20">
      <c r="A1362" s="169" t="s"/>
      <c r="Q1362" s="103" t="s"/>
      <c r="S1362" s="103" t="s"/>
      <c r="T1362" s="103" t="s"/>
    </row>
    <row r="1363" spans="1:20">
      <c r="A1363" s="169" t="s"/>
      <c r="Q1363" s="103" t="s"/>
      <c r="S1363" s="103" t="s"/>
      <c r="T1363" s="103" t="s"/>
    </row>
    <row r="1364" spans="1:20">
      <c r="A1364" s="169" t="s"/>
      <c r="Q1364" s="103" t="s"/>
      <c r="S1364" s="103" t="s"/>
      <c r="T1364" s="103" t="s"/>
    </row>
    <row r="1365" spans="1:20">
      <c r="A1365" s="169" t="s"/>
      <c r="Q1365" s="103" t="s"/>
      <c r="S1365" s="103" t="s"/>
      <c r="T1365" s="103" t="s"/>
    </row>
    <row r="1366" spans="1:20">
      <c r="A1366" s="169" t="s"/>
      <c r="Q1366" s="103" t="s"/>
      <c r="S1366" s="103" t="s"/>
      <c r="T1366" s="103" t="s"/>
    </row>
    <row r="1367" spans="1:20">
      <c r="A1367" s="169" t="s"/>
      <c r="Q1367" s="103" t="s"/>
      <c r="S1367" s="103" t="s"/>
      <c r="T1367" s="103" t="s"/>
    </row>
    <row r="1368" spans="1:20">
      <c r="A1368" s="169" t="s"/>
      <c r="Q1368" s="103" t="s"/>
      <c r="S1368" s="103" t="s"/>
      <c r="T1368" s="103" t="s"/>
    </row>
    <row r="1369" spans="1:20">
      <c r="A1369" s="169" t="s"/>
      <c r="Q1369" s="103" t="s"/>
      <c r="S1369" s="103" t="s"/>
      <c r="T1369" s="103" t="s"/>
    </row>
    <row r="1370" spans="1:20">
      <c r="A1370" s="169" t="s"/>
      <c r="Q1370" s="103" t="s"/>
      <c r="S1370" s="103" t="s"/>
      <c r="T1370" s="103" t="s"/>
    </row>
    <row r="1371" spans="1:20">
      <c r="A1371" s="169" t="s"/>
      <c r="Q1371" s="103" t="s"/>
      <c r="S1371" s="103" t="s"/>
      <c r="T1371" s="103" t="s"/>
    </row>
    <row r="1372" spans="1:20">
      <c r="A1372" s="169" t="s"/>
      <c r="Q1372" s="103" t="s"/>
      <c r="S1372" s="103" t="s"/>
      <c r="T1372" s="103" t="s"/>
    </row>
    <row r="1373" spans="1:20">
      <c r="A1373" s="169" t="s"/>
      <c r="Q1373" s="103" t="s"/>
      <c r="S1373" s="103" t="s"/>
      <c r="T1373" s="103" t="s"/>
    </row>
    <row r="1374" spans="1:20">
      <c r="A1374" s="169" t="s"/>
      <c r="Q1374" s="103" t="s"/>
      <c r="S1374" s="103" t="s"/>
      <c r="T1374" s="103" t="s"/>
    </row>
    <row r="1375" spans="1:20">
      <c r="A1375" s="169" t="s"/>
      <c r="Q1375" s="103" t="s"/>
      <c r="S1375" s="103" t="s"/>
      <c r="T1375" s="103" t="s"/>
    </row>
    <row r="1376" spans="1:20">
      <c r="A1376" s="169" t="s"/>
      <c r="Q1376" s="103" t="s"/>
      <c r="S1376" s="103" t="s"/>
      <c r="T1376" s="103" t="s"/>
    </row>
    <row r="1377" spans="1:20">
      <c r="A1377" s="169" t="s"/>
      <c r="Q1377" s="103" t="s"/>
      <c r="S1377" s="103" t="s"/>
      <c r="T1377" s="103" t="s"/>
    </row>
    <row r="1378" spans="1:20">
      <c r="A1378" s="169" t="s"/>
      <c r="Q1378" s="103" t="s"/>
      <c r="S1378" s="103" t="s"/>
      <c r="T1378" s="103" t="s"/>
    </row>
    <row r="1379" spans="1:20">
      <c r="A1379" s="169" t="s"/>
      <c r="Q1379" s="103" t="s"/>
      <c r="S1379" s="103" t="s"/>
      <c r="T1379" s="103" t="s"/>
    </row>
    <row r="1380" spans="1:20">
      <c r="A1380" s="169" t="s"/>
      <c r="Q1380" s="103" t="s"/>
      <c r="S1380" s="103" t="s"/>
      <c r="T1380" s="103" t="s"/>
    </row>
    <row r="1381" spans="1:20">
      <c r="A1381" s="169" t="s"/>
      <c r="Q1381" s="103" t="s"/>
      <c r="S1381" s="103" t="s"/>
      <c r="T1381" s="103" t="s"/>
    </row>
    <row r="1382" spans="1:20">
      <c r="A1382" s="169" t="s"/>
      <c r="Q1382" s="103" t="s"/>
      <c r="S1382" s="103" t="s"/>
      <c r="T1382" s="103" t="s"/>
    </row>
    <row r="1383" spans="1:20">
      <c r="A1383" s="169" t="s"/>
      <c r="Q1383" s="103" t="s"/>
      <c r="S1383" s="103" t="s"/>
      <c r="T1383" s="103" t="s"/>
    </row>
    <row r="1384" spans="1:20">
      <c r="A1384" s="169" t="s"/>
      <c r="Q1384" s="103" t="s"/>
      <c r="S1384" s="103" t="s"/>
      <c r="T1384" s="103" t="s"/>
    </row>
    <row r="1385" spans="1:20">
      <c r="A1385" s="169" t="s"/>
      <c r="Q1385" s="103" t="s"/>
      <c r="S1385" s="103" t="s"/>
      <c r="T1385" s="103" t="s"/>
    </row>
    <row r="1386" spans="1:20">
      <c r="A1386" s="169" t="s"/>
      <c r="Q1386" s="103" t="s"/>
      <c r="S1386" s="103" t="s"/>
      <c r="T1386" s="103" t="s"/>
    </row>
    <row r="1387" spans="1:20">
      <c r="A1387" s="169" t="s"/>
      <c r="Q1387" s="103" t="s"/>
      <c r="S1387" s="103" t="s"/>
      <c r="T1387" s="103" t="s"/>
    </row>
    <row r="1388" spans="1:20">
      <c r="A1388" s="169" t="s"/>
      <c r="Q1388" s="103" t="s"/>
      <c r="S1388" s="103" t="s"/>
      <c r="T1388" s="103" t="s"/>
    </row>
    <row r="1389" spans="1:20">
      <c r="A1389" s="169" t="s"/>
      <c r="Q1389" s="103" t="s"/>
      <c r="S1389" s="103" t="s"/>
      <c r="T1389" s="103" t="s"/>
    </row>
    <row r="1390" spans="1:20">
      <c r="A1390" s="169" t="s"/>
      <c r="Q1390" s="103" t="s"/>
      <c r="S1390" s="103" t="s"/>
      <c r="T1390" s="103" t="s"/>
    </row>
    <row r="1391" spans="1:20">
      <c r="A1391" s="169" t="s"/>
      <c r="Q1391" s="103" t="s"/>
      <c r="S1391" s="103" t="s"/>
      <c r="T1391" s="103" t="s"/>
    </row>
    <row r="1392" spans="1:20">
      <c r="A1392" s="169" t="s"/>
      <c r="Q1392" s="103" t="s"/>
      <c r="S1392" s="103" t="s"/>
      <c r="T1392" s="103" t="s"/>
    </row>
    <row r="1393" spans="1:20">
      <c r="A1393" s="169" t="s"/>
      <c r="Q1393" s="103" t="s"/>
      <c r="S1393" s="103" t="s"/>
      <c r="T1393" s="103" t="s"/>
    </row>
    <row r="1394" spans="1:20">
      <c r="A1394" s="169" t="s"/>
      <c r="Q1394" s="103" t="s"/>
      <c r="S1394" s="103" t="s"/>
      <c r="T1394" s="103" t="s"/>
    </row>
    <row r="1395" spans="1:20">
      <c r="A1395" s="169" t="s"/>
      <c r="Q1395" s="103" t="s"/>
      <c r="S1395" s="103" t="s"/>
      <c r="T1395" s="103" t="s"/>
    </row>
    <row r="1396" spans="1:20">
      <c r="A1396" s="169" t="s"/>
      <c r="Q1396" s="103" t="s"/>
      <c r="S1396" s="103" t="s"/>
      <c r="T1396" s="103" t="s"/>
    </row>
    <row r="1397" spans="1:20">
      <c r="A1397" s="169" t="s"/>
      <c r="Q1397" s="103" t="s"/>
      <c r="S1397" s="103" t="s"/>
      <c r="T1397" s="103" t="s"/>
    </row>
    <row r="1398" spans="1:20">
      <c r="A1398" s="169" t="s"/>
      <c r="Q1398" s="103" t="s"/>
      <c r="S1398" s="103" t="s"/>
      <c r="T1398" s="103" t="s"/>
    </row>
    <row r="1399" spans="1:20">
      <c r="A1399" s="169" t="s"/>
      <c r="Q1399" s="103" t="s"/>
      <c r="S1399" s="103" t="s"/>
      <c r="T1399" s="103" t="s"/>
    </row>
    <row r="1400" spans="1:20">
      <c r="A1400" s="169" t="s"/>
      <c r="Q1400" s="103" t="s"/>
      <c r="S1400" s="103" t="s"/>
      <c r="T1400" s="103" t="s"/>
    </row>
    <row r="1401" spans="1:20">
      <c r="A1401" s="169" t="s"/>
      <c r="Q1401" s="103" t="s"/>
      <c r="S1401" s="103" t="s"/>
      <c r="T1401" s="103" t="s"/>
    </row>
    <row r="1402" spans="1:20">
      <c r="A1402" s="169" t="s"/>
      <c r="Q1402" s="103" t="s"/>
      <c r="S1402" s="103" t="s"/>
      <c r="T1402" s="103" t="s"/>
    </row>
    <row r="1403" spans="1:20">
      <c r="A1403" s="169" t="s"/>
      <c r="Q1403" s="103" t="s"/>
      <c r="S1403" s="103" t="s"/>
      <c r="T1403" s="103" t="s"/>
    </row>
    <row r="1404" spans="1:20">
      <c r="A1404" s="169" t="s"/>
      <c r="Q1404" s="103" t="s"/>
      <c r="S1404" s="103" t="s"/>
      <c r="T1404" s="103" t="s"/>
    </row>
    <row r="1405" spans="1:20">
      <c r="A1405" s="169" t="s"/>
      <c r="Q1405" s="103" t="s"/>
      <c r="S1405" s="103" t="s"/>
      <c r="T1405" s="103" t="s"/>
    </row>
    <row r="1406" spans="1:20">
      <c r="A1406" s="169" t="s"/>
      <c r="Q1406" s="103" t="s"/>
      <c r="S1406" s="103" t="s"/>
      <c r="T1406" s="103" t="s"/>
    </row>
    <row r="1407" spans="1:20">
      <c r="A1407" s="169" t="s"/>
      <c r="Q1407" s="103" t="s"/>
      <c r="S1407" s="103" t="s"/>
      <c r="T1407" s="103" t="s"/>
    </row>
    <row r="1408" spans="1:20">
      <c r="A1408" s="169" t="s"/>
      <c r="Q1408" s="103" t="s"/>
      <c r="S1408" s="103" t="s"/>
      <c r="T1408" s="103" t="s"/>
    </row>
    <row r="1409" spans="1:20">
      <c r="A1409" s="169" t="s"/>
      <c r="Q1409" s="103" t="s"/>
      <c r="S1409" s="103" t="s"/>
      <c r="T1409" s="103" t="s"/>
    </row>
    <row r="1410" spans="1:20">
      <c r="A1410" s="169" t="s"/>
      <c r="Q1410" s="103" t="s"/>
      <c r="S1410" s="103" t="s"/>
      <c r="T1410" s="103" t="s"/>
    </row>
    <row r="1411" spans="1:20">
      <c r="A1411" s="169" t="s"/>
      <c r="Q1411" s="103" t="s"/>
      <c r="S1411" s="103" t="s"/>
      <c r="T1411" s="103" t="s"/>
    </row>
    <row r="1412" spans="1:20">
      <c r="A1412" s="169" t="s"/>
      <c r="Q1412" s="103" t="s"/>
      <c r="S1412" s="103" t="s"/>
      <c r="T1412" s="103" t="s"/>
    </row>
    <row r="1413" spans="1:20">
      <c r="A1413" s="169" t="s"/>
      <c r="Q1413" s="103" t="s"/>
      <c r="S1413" s="103" t="s"/>
      <c r="T1413" s="103" t="s"/>
    </row>
    <row r="1414" spans="1:20">
      <c r="A1414" s="169" t="s"/>
      <c r="Q1414" s="103" t="s"/>
      <c r="S1414" s="103" t="s"/>
      <c r="T1414" s="103" t="s"/>
    </row>
    <row r="1415" spans="1:20">
      <c r="A1415" s="169" t="s"/>
      <c r="Q1415" s="103" t="s"/>
      <c r="S1415" s="103" t="s"/>
      <c r="T1415" s="103" t="s"/>
    </row>
    <row r="1416" spans="1:20">
      <c r="A1416" s="169" t="s"/>
      <c r="Q1416" s="103" t="s"/>
      <c r="S1416" s="103" t="s"/>
      <c r="T1416" s="103" t="s"/>
    </row>
    <row r="1417" spans="1:20">
      <c r="A1417" s="169" t="s"/>
      <c r="Q1417" s="103" t="s"/>
      <c r="S1417" s="103" t="s"/>
      <c r="T1417" s="103" t="s"/>
    </row>
    <row r="1418" spans="1:20">
      <c r="A1418" s="169" t="s"/>
      <c r="Q1418" s="103" t="s"/>
      <c r="S1418" s="103" t="s"/>
      <c r="T1418" s="103" t="s"/>
    </row>
    <row r="1419" spans="1:20">
      <c r="A1419" s="169" t="s"/>
      <c r="Q1419" s="103" t="s"/>
      <c r="S1419" s="103" t="s"/>
      <c r="T1419" s="103" t="s"/>
    </row>
    <row r="1420" spans="1:20">
      <c r="A1420" s="169" t="s"/>
      <c r="Q1420" s="103" t="s"/>
      <c r="S1420" s="103" t="s"/>
      <c r="T1420" s="103" t="s"/>
    </row>
    <row r="1421" spans="1:20">
      <c r="A1421" s="169" t="s"/>
      <c r="Q1421" s="103" t="s"/>
      <c r="S1421" s="103" t="s"/>
      <c r="T1421" s="103" t="s"/>
    </row>
    <row r="1422" spans="1:20">
      <c r="A1422" s="169" t="s"/>
      <c r="Q1422" s="103" t="s"/>
      <c r="S1422" s="103" t="s"/>
      <c r="T1422" s="103" t="s"/>
    </row>
    <row r="1423" spans="1:20">
      <c r="A1423" s="169" t="s"/>
      <c r="Q1423" s="103" t="s"/>
      <c r="S1423" s="103" t="s"/>
      <c r="T1423" s="103" t="s"/>
    </row>
    <row r="1424" spans="1:20">
      <c r="A1424" s="169" t="s"/>
      <c r="Q1424" s="103" t="s"/>
      <c r="S1424" s="103" t="s"/>
      <c r="T1424" s="103" t="s"/>
    </row>
    <row r="1425" spans="1:20">
      <c r="A1425" s="169" t="s"/>
      <c r="Q1425" s="103" t="s"/>
      <c r="S1425" s="103" t="s"/>
      <c r="T1425" s="103" t="s"/>
    </row>
    <row r="1426" spans="1:20">
      <c r="A1426" s="169" t="s"/>
      <c r="Q1426" s="103" t="s"/>
      <c r="S1426" s="103" t="s"/>
      <c r="T1426" s="103" t="s"/>
    </row>
    <row r="1427" spans="1:20">
      <c r="A1427" s="169" t="s"/>
      <c r="Q1427" s="103" t="s"/>
      <c r="S1427" s="103" t="s"/>
      <c r="T1427" s="103" t="s"/>
    </row>
    <row r="1428" spans="1:20">
      <c r="A1428" s="169" t="s"/>
      <c r="Q1428" s="103" t="s"/>
      <c r="S1428" s="103" t="s"/>
      <c r="T1428" s="103" t="s"/>
    </row>
    <row r="1429" spans="1:20">
      <c r="A1429" s="169" t="s"/>
      <c r="Q1429" s="103" t="s"/>
      <c r="S1429" s="103" t="s"/>
      <c r="T1429" s="103" t="s"/>
    </row>
    <row r="1430" spans="1:20">
      <c r="A1430" s="169" t="s"/>
      <c r="Q1430" s="103" t="s"/>
      <c r="S1430" s="103" t="s"/>
      <c r="T1430" s="103" t="s"/>
    </row>
    <row r="1431" spans="1:20">
      <c r="A1431" s="169" t="s"/>
      <c r="Q1431" s="103" t="s"/>
      <c r="S1431" s="103" t="s"/>
      <c r="T1431" s="103" t="s"/>
    </row>
    <row r="1432" spans="1:20">
      <c r="A1432" s="169" t="s"/>
      <c r="Q1432" s="103" t="s"/>
      <c r="S1432" s="103" t="s"/>
      <c r="T1432" s="103" t="s"/>
    </row>
    <row r="1433" spans="1:20">
      <c r="A1433" s="169" t="s"/>
      <c r="Q1433" s="103" t="s"/>
      <c r="S1433" s="103" t="s"/>
      <c r="T1433" s="103" t="s"/>
    </row>
    <row r="1434" spans="1:20">
      <c r="A1434" s="169" t="s"/>
      <c r="Q1434" s="103" t="s"/>
      <c r="S1434" s="103" t="s"/>
      <c r="T1434" s="103" t="s"/>
    </row>
    <row r="1435" spans="1:20">
      <c r="A1435" s="169" t="s"/>
      <c r="Q1435" s="103" t="s"/>
      <c r="S1435" s="103" t="s"/>
      <c r="T1435" s="103" t="s"/>
    </row>
    <row r="1436" spans="1:20">
      <c r="A1436" s="169" t="s"/>
      <c r="Q1436" s="103" t="s"/>
      <c r="S1436" s="103" t="s"/>
      <c r="T1436" s="103" t="s"/>
    </row>
    <row r="1437" spans="1:20">
      <c r="A1437" s="169" t="s"/>
      <c r="Q1437" s="103" t="s"/>
      <c r="S1437" s="103" t="s"/>
      <c r="T1437" s="103" t="s"/>
    </row>
    <row r="1438" spans="1:20">
      <c r="A1438" s="169" t="s"/>
      <c r="Q1438" s="103" t="s"/>
      <c r="S1438" s="103" t="s"/>
      <c r="T1438" s="103" t="s"/>
    </row>
    <row r="1439" spans="1:20">
      <c r="A1439" s="169" t="s"/>
      <c r="Q1439" s="103" t="s"/>
      <c r="S1439" s="103" t="s"/>
      <c r="T1439" s="103" t="s"/>
    </row>
    <row r="1440" spans="1:20">
      <c r="A1440" s="169" t="s"/>
      <c r="Q1440" s="103" t="s"/>
      <c r="S1440" s="103" t="s"/>
      <c r="T1440" s="103" t="s"/>
    </row>
    <row r="1441" spans="1:20">
      <c r="A1441" s="169" t="s"/>
      <c r="Q1441" s="103" t="s"/>
      <c r="S1441" s="103" t="s"/>
      <c r="T1441" s="103" t="s"/>
    </row>
    <row r="1442" spans="1:20">
      <c r="A1442" s="169" t="s"/>
      <c r="Q1442" s="103" t="s"/>
      <c r="S1442" s="103" t="s"/>
      <c r="T1442" s="103" t="s"/>
    </row>
    <row r="1443" spans="1:20">
      <c r="A1443" s="169" t="s"/>
      <c r="Q1443" s="103" t="s"/>
      <c r="S1443" s="103" t="s"/>
      <c r="T1443" s="103" t="s"/>
    </row>
    <row r="1444" spans="1:20">
      <c r="A1444" s="169" t="s"/>
      <c r="Q1444" s="103" t="s"/>
      <c r="S1444" s="103" t="s"/>
      <c r="T1444" s="103" t="s"/>
    </row>
    <row r="1445" spans="1:20">
      <c r="A1445" s="169" t="s"/>
      <c r="Q1445" s="103" t="s"/>
      <c r="S1445" s="103" t="s"/>
      <c r="T1445" s="103" t="s"/>
    </row>
    <row r="1446" spans="1:20">
      <c r="A1446" s="169" t="s"/>
      <c r="Q1446" s="103" t="s"/>
      <c r="S1446" s="103" t="s"/>
      <c r="T1446" s="103" t="s"/>
    </row>
    <row r="1447" spans="1:20">
      <c r="A1447" s="169" t="s"/>
      <c r="Q1447" s="103" t="s"/>
      <c r="S1447" s="103" t="s"/>
      <c r="T1447" s="103" t="s"/>
    </row>
    <row r="1448" spans="1:20">
      <c r="A1448" s="169" t="s"/>
      <c r="Q1448" s="103" t="s"/>
      <c r="S1448" s="103" t="s"/>
      <c r="T1448" s="103" t="s"/>
    </row>
    <row r="1449" spans="1:20">
      <c r="A1449" s="169" t="s"/>
      <c r="Q1449" s="103" t="s"/>
      <c r="S1449" s="103" t="s"/>
      <c r="T1449" s="103" t="s"/>
    </row>
    <row r="1450" spans="1:20">
      <c r="A1450" s="169" t="s"/>
      <c r="Q1450" s="103" t="s"/>
      <c r="S1450" s="103" t="s"/>
      <c r="T1450" s="103" t="s"/>
    </row>
    <row r="1451" spans="1:20">
      <c r="A1451" s="169" t="s"/>
      <c r="Q1451" s="103" t="s"/>
      <c r="S1451" s="103" t="s"/>
      <c r="T1451" s="103" t="s"/>
    </row>
    <row r="1452" spans="1:20">
      <c r="A1452" s="169" t="s"/>
      <c r="Q1452" s="103" t="s"/>
      <c r="S1452" s="103" t="s"/>
      <c r="T1452" s="103" t="s"/>
    </row>
    <row r="1453" spans="1:20">
      <c r="A1453" s="169" t="s"/>
      <c r="Q1453" s="103" t="s"/>
      <c r="S1453" s="103" t="s"/>
      <c r="T1453" s="103" t="s"/>
    </row>
    <row r="1454" spans="1:20">
      <c r="A1454" s="169" t="s"/>
      <c r="Q1454" s="103" t="s"/>
      <c r="S1454" s="103" t="s"/>
      <c r="T1454" s="103" t="s"/>
    </row>
    <row r="1455" spans="1:20">
      <c r="A1455" s="169" t="s"/>
      <c r="Q1455" s="103" t="s"/>
      <c r="S1455" s="103" t="s"/>
      <c r="T1455" s="103" t="s"/>
    </row>
    <row r="1456" spans="1:20">
      <c r="A1456" s="169" t="s"/>
      <c r="Q1456" s="103" t="s"/>
      <c r="S1456" s="103" t="s"/>
      <c r="T1456" s="103" t="s"/>
    </row>
    <row r="1457" spans="1:20">
      <c r="A1457" s="169" t="s"/>
      <c r="Q1457" s="103" t="s"/>
      <c r="S1457" s="103" t="s"/>
      <c r="T1457" s="103" t="s"/>
    </row>
    <row r="1458" spans="1:20">
      <c r="A1458" s="169" t="s"/>
      <c r="Q1458" s="103" t="s"/>
      <c r="S1458" s="103" t="s"/>
      <c r="T1458" s="103" t="s"/>
    </row>
    <row r="1459" spans="1:20">
      <c r="A1459" s="169" t="s"/>
      <c r="Q1459" s="103" t="s"/>
      <c r="S1459" s="103" t="s"/>
      <c r="T1459" s="103" t="s"/>
    </row>
    <row r="1460" spans="1:20">
      <c r="A1460" s="169" t="s"/>
      <c r="Q1460" s="103" t="s"/>
      <c r="S1460" s="103" t="s"/>
      <c r="T1460" s="103" t="s"/>
    </row>
    <row r="1461" spans="1:20">
      <c r="A1461" s="169" t="s"/>
      <c r="Q1461" s="103" t="s"/>
      <c r="S1461" s="103" t="s"/>
      <c r="T1461" s="103" t="s"/>
    </row>
    <row r="1462" spans="1:20">
      <c r="A1462" s="169" t="s"/>
      <c r="Q1462" s="103" t="s"/>
      <c r="S1462" s="103" t="s"/>
      <c r="T1462" s="103" t="s"/>
    </row>
    <row r="1463" spans="1:20">
      <c r="A1463" s="169" t="s"/>
      <c r="Q1463" s="103" t="s"/>
      <c r="S1463" s="103" t="s"/>
      <c r="T1463" s="103" t="s"/>
    </row>
    <row r="1464" spans="1:20">
      <c r="A1464" s="169" t="s"/>
      <c r="Q1464" s="103" t="s"/>
      <c r="S1464" s="103" t="s"/>
      <c r="T1464" s="103" t="s"/>
    </row>
    <row r="1465" spans="1:20">
      <c r="A1465" s="169" t="s"/>
      <c r="Q1465" s="103" t="s"/>
      <c r="S1465" s="103" t="s"/>
      <c r="T1465" s="103" t="s"/>
    </row>
    <row r="1466" spans="1:20">
      <c r="A1466" s="169" t="s"/>
      <c r="Q1466" s="103" t="s"/>
      <c r="S1466" s="103" t="s"/>
      <c r="T1466" s="103" t="s"/>
    </row>
    <row r="1467" spans="1:20">
      <c r="A1467" s="169" t="s"/>
      <c r="Q1467" s="103" t="s"/>
      <c r="S1467" s="103" t="s"/>
      <c r="T1467" s="103" t="s"/>
    </row>
    <row r="1468" spans="1:20">
      <c r="A1468" s="169" t="s"/>
      <c r="Q1468" s="103" t="s"/>
      <c r="S1468" s="103" t="s"/>
      <c r="T1468" s="103" t="s"/>
    </row>
    <row r="1469" spans="1:20">
      <c r="A1469" s="169" t="s"/>
      <c r="Q1469" s="103" t="s"/>
      <c r="S1469" s="103" t="s"/>
      <c r="T1469" s="103" t="s"/>
    </row>
    <row r="1470" spans="1:20">
      <c r="A1470" s="169" t="s"/>
      <c r="Q1470" s="103" t="s"/>
      <c r="S1470" s="103" t="s"/>
      <c r="T1470" s="103" t="s"/>
    </row>
    <row r="1471" spans="1:20">
      <c r="A1471" s="169" t="s"/>
      <c r="Q1471" s="103" t="s"/>
      <c r="S1471" s="103" t="s"/>
      <c r="T1471" s="103" t="s"/>
    </row>
    <row r="1472" spans="1:20">
      <c r="A1472" s="169" t="s"/>
      <c r="Q1472" s="103" t="s"/>
      <c r="S1472" s="103" t="s"/>
      <c r="T1472" s="103" t="s"/>
    </row>
    <row r="1473" spans="1:20">
      <c r="A1473" s="169" t="s"/>
      <c r="Q1473" s="103" t="s"/>
      <c r="S1473" s="103" t="s"/>
      <c r="T1473" s="103" t="s"/>
    </row>
    <row r="1474" spans="1:20">
      <c r="A1474" s="169" t="s"/>
      <c r="Q1474" s="103" t="s"/>
      <c r="S1474" s="103" t="s"/>
      <c r="T1474" s="103" t="s"/>
    </row>
    <row r="1475" spans="1:20">
      <c r="A1475" s="169" t="s"/>
      <c r="Q1475" s="103" t="s"/>
      <c r="S1475" s="103" t="s"/>
      <c r="T1475" s="103" t="s"/>
    </row>
    <row r="1476" spans="1:20">
      <c r="A1476" s="169" t="s"/>
      <c r="Q1476" s="103" t="s"/>
      <c r="S1476" s="103" t="s"/>
      <c r="T1476" s="103" t="s"/>
    </row>
    <row r="1477" spans="1:20">
      <c r="A1477" s="169" t="s"/>
      <c r="Q1477" s="103" t="s"/>
      <c r="S1477" s="103" t="s"/>
      <c r="T1477" s="103" t="s"/>
    </row>
    <row r="1478" spans="1:20">
      <c r="A1478" s="169" t="s"/>
      <c r="Q1478" s="103" t="s"/>
      <c r="S1478" s="103" t="s"/>
      <c r="T1478" s="103" t="s"/>
    </row>
    <row r="1479" spans="1:20">
      <c r="A1479" s="169" t="s"/>
      <c r="Q1479" s="103" t="s"/>
      <c r="S1479" s="103" t="s"/>
      <c r="T1479" s="103" t="s"/>
    </row>
    <row r="1480" spans="1:20">
      <c r="A1480" s="169" t="s"/>
      <c r="Q1480" s="103" t="s"/>
      <c r="S1480" s="103" t="s"/>
      <c r="T1480" s="103" t="s"/>
    </row>
    <row r="1481" spans="1:20">
      <c r="A1481" s="169" t="s"/>
      <c r="Q1481" s="103" t="s"/>
      <c r="S1481" s="103" t="s"/>
      <c r="T1481" s="103" t="s"/>
    </row>
    <row r="1482" spans="1:20">
      <c r="A1482" s="169" t="s"/>
      <c r="Q1482" s="103" t="s"/>
      <c r="S1482" s="103" t="s"/>
      <c r="T1482" s="103" t="s"/>
    </row>
    <row r="1483" spans="1:20">
      <c r="A1483" s="169" t="s"/>
      <c r="Q1483" s="103" t="s"/>
      <c r="S1483" s="103" t="s"/>
      <c r="T1483" s="103" t="s"/>
    </row>
    <row r="1484" spans="1:20">
      <c r="A1484" s="169" t="s"/>
      <c r="Q1484" s="103" t="s"/>
      <c r="S1484" s="103" t="s"/>
      <c r="T1484" s="103" t="s"/>
    </row>
    <row r="1485" spans="1:20">
      <c r="A1485" s="169" t="s"/>
      <c r="Q1485" s="103" t="s"/>
      <c r="S1485" s="103" t="s"/>
      <c r="T1485" s="103" t="s"/>
    </row>
    <row r="1486" spans="1:20">
      <c r="A1486" s="169" t="s"/>
      <c r="Q1486" s="103" t="s"/>
      <c r="S1486" s="103" t="s"/>
      <c r="T1486" s="103" t="s"/>
    </row>
    <row r="1487" spans="1:20">
      <c r="A1487" s="169" t="s"/>
      <c r="Q1487" s="103" t="s"/>
      <c r="S1487" s="103" t="s"/>
      <c r="T1487" s="103" t="s"/>
    </row>
    <row r="1488" spans="1:20">
      <c r="A1488" s="169" t="s"/>
      <c r="Q1488" s="103" t="s"/>
      <c r="S1488" s="103" t="s"/>
      <c r="T1488" s="103" t="s"/>
    </row>
    <row r="1489" spans="1:20">
      <c r="A1489" s="169" t="s"/>
      <c r="Q1489" s="103" t="s"/>
      <c r="S1489" s="103" t="s"/>
      <c r="T1489" s="103" t="s"/>
    </row>
    <row r="1490" spans="1:20">
      <c r="A1490" s="169" t="s"/>
      <c r="Q1490" s="103" t="s"/>
      <c r="S1490" s="103" t="s"/>
      <c r="T1490" s="103" t="s"/>
    </row>
    <row r="1491" spans="1:20">
      <c r="A1491" s="169" t="s"/>
      <c r="Q1491" s="103" t="s"/>
      <c r="S1491" s="103" t="s"/>
      <c r="T1491" s="103" t="s"/>
    </row>
    <row r="1492" spans="1:20">
      <c r="A1492" s="169" t="s"/>
      <c r="Q1492" s="103" t="s"/>
      <c r="S1492" s="103" t="s"/>
      <c r="T1492" s="103" t="s"/>
    </row>
    <row r="1493" spans="1:20">
      <c r="A1493" s="169" t="s"/>
      <c r="Q1493" s="103" t="s"/>
      <c r="S1493" s="103" t="s"/>
      <c r="T1493" s="103" t="s"/>
    </row>
    <row r="1494" spans="1:20">
      <c r="A1494" s="169" t="s"/>
      <c r="Q1494" s="103" t="s"/>
      <c r="S1494" s="103" t="s"/>
      <c r="T1494" s="103" t="s"/>
    </row>
    <row r="1495" spans="1:20">
      <c r="A1495" s="169" t="s"/>
      <c r="Q1495" s="103" t="s"/>
      <c r="S1495" s="103" t="s"/>
      <c r="T1495" s="103" t="s"/>
    </row>
    <row r="1496" spans="1:20">
      <c r="A1496" s="169" t="s"/>
      <c r="Q1496" s="103" t="s"/>
      <c r="S1496" s="103" t="s"/>
      <c r="T1496" s="103" t="s"/>
    </row>
    <row r="1497" spans="1:20">
      <c r="A1497" s="169" t="s"/>
      <c r="Q1497" s="103" t="s"/>
      <c r="S1497" s="103" t="s"/>
      <c r="T1497" s="103" t="s"/>
    </row>
    <row r="1498" spans="1:20">
      <c r="A1498" s="169" t="s"/>
      <c r="Q1498" s="103" t="s"/>
      <c r="S1498" s="103" t="s"/>
      <c r="T1498" s="103" t="s"/>
    </row>
    <row r="1499" spans="1:20">
      <c r="A1499" s="169" t="s"/>
      <c r="Q1499" s="103" t="s"/>
      <c r="S1499" s="103" t="s"/>
      <c r="T1499" s="103" t="s"/>
    </row>
    <row r="1500" spans="1:20">
      <c r="A1500" s="169" t="s"/>
      <c r="Q1500" s="103" t="s"/>
      <c r="S1500" s="103" t="s"/>
      <c r="T1500" s="103" t="s"/>
    </row>
    <row r="1501" spans="1:20">
      <c r="A1501" s="169" t="s"/>
      <c r="Q1501" s="103" t="s"/>
      <c r="S1501" s="103" t="s"/>
      <c r="T1501" s="103" t="s"/>
    </row>
    <row r="1502" spans="1:20">
      <c r="A1502" s="169" t="s"/>
      <c r="Q1502" s="103" t="s"/>
      <c r="S1502" s="103" t="s"/>
      <c r="T1502" s="103" t="s"/>
    </row>
    <row r="1503" spans="1:20">
      <c r="A1503" s="169" t="s"/>
      <c r="Q1503" s="103" t="s"/>
      <c r="S1503" s="103" t="s"/>
      <c r="T1503" s="103" t="s"/>
    </row>
    <row r="1504" spans="1:20">
      <c r="A1504" s="169" t="s"/>
      <c r="Q1504" s="103" t="s"/>
      <c r="S1504" s="103" t="s"/>
      <c r="T1504" s="103" t="s"/>
    </row>
    <row r="1505" spans="1:20">
      <c r="A1505" s="169" t="s"/>
      <c r="Q1505" s="103" t="s"/>
      <c r="S1505" s="103" t="s"/>
      <c r="T1505" s="103" t="s"/>
    </row>
    <row r="1506" spans="1:20">
      <c r="A1506" s="169" t="s"/>
      <c r="Q1506" s="103" t="s"/>
      <c r="S1506" s="103" t="s"/>
      <c r="T1506" s="103" t="s"/>
    </row>
    <row r="1507" spans="1:20">
      <c r="A1507" s="169" t="s"/>
      <c r="Q1507" s="103" t="s"/>
      <c r="S1507" s="103" t="s"/>
      <c r="T1507" s="103" t="s"/>
    </row>
    <row r="1508" spans="1:20">
      <c r="A1508" s="169" t="s"/>
      <c r="Q1508" s="103" t="s"/>
      <c r="S1508" s="103" t="s"/>
      <c r="T1508" s="103" t="s"/>
    </row>
    <row r="1509" spans="1:20">
      <c r="A1509" s="169" t="s"/>
      <c r="Q1509" s="103" t="s"/>
      <c r="S1509" s="103" t="s"/>
      <c r="T1509" s="103" t="s"/>
    </row>
    <row r="1510" spans="1:20">
      <c r="A1510" s="169" t="s"/>
      <c r="Q1510" s="103" t="s"/>
      <c r="S1510" s="103" t="s"/>
      <c r="T1510" s="103" t="s"/>
    </row>
    <row r="1511" spans="1:20">
      <c r="A1511" s="169" t="s"/>
      <c r="Q1511" s="103" t="s"/>
      <c r="S1511" s="103" t="s"/>
      <c r="T1511" s="103" t="s"/>
    </row>
    <row r="1512" spans="1:20">
      <c r="A1512" s="169" t="s"/>
      <c r="Q1512" s="103" t="s"/>
      <c r="S1512" s="103" t="s"/>
      <c r="T1512" s="103" t="s"/>
    </row>
    <row r="1513" spans="1:20">
      <c r="A1513" s="169" t="s"/>
      <c r="Q1513" s="103" t="s"/>
      <c r="S1513" s="103" t="s"/>
      <c r="T1513" s="103" t="s"/>
    </row>
    <row r="1514" spans="1:20">
      <c r="A1514" s="169" t="s"/>
      <c r="Q1514" s="103" t="s"/>
      <c r="S1514" s="103" t="s"/>
      <c r="T1514" s="103" t="s"/>
    </row>
    <row r="1515" spans="1:20">
      <c r="A1515" s="169" t="s"/>
      <c r="Q1515" s="103" t="s"/>
      <c r="S1515" s="103" t="s"/>
      <c r="T1515" s="103" t="s"/>
    </row>
    <row r="1516" spans="1:20">
      <c r="A1516" s="169" t="s"/>
      <c r="Q1516" s="103" t="s"/>
      <c r="S1516" s="103" t="s"/>
      <c r="T1516" s="103" t="s"/>
    </row>
    <row r="1517" spans="1:20">
      <c r="A1517" s="169" t="s"/>
      <c r="Q1517" s="103" t="s"/>
      <c r="S1517" s="103" t="s"/>
      <c r="T1517" s="103" t="s"/>
    </row>
    <row r="1518" spans="1:20">
      <c r="A1518" s="169" t="s"/>
      <c r="Q1518" s="103" t="s"/>
      <c r="S1518" s="103" t="s"/>
      <c r="T1518" s="103" t="s"/>
    </row>
    <row r="1519" spans="1:20">
      <c r="A1519" s="169" t="s"/>
      <c r="Q1519" s="103" t="s"/>
      <c r="S1519" s="103" t="s"/>
      <c r="T1519" s="103" t="s"/>
    </row>
    <row r="1520" spans="1:20">
      <c r="A1520" s="169" t="s"/>
      <c r="Q1520" s="103" t="s"/>
      <c r="S1520" s="103" t="s"/>
      <c r="T1520" s="103" t="s"/>
    </row>
    <row r="1521" spans="1:20">
      <c r="A1521" s="169" t="s"/>
      <c r="Q1521" s="103" t="s"/>
      <c r="S1521" s="103" t="s"/>
      <c r="T1521" s="103" t="s"/>
    </row>
    <row r="1522" spans="1:20">
      <c r="A1522" s="169" t="s"/>
      <c r="Q1522" s="103" t="s"/>
      <c r="S1522" s="103" t="s"/>
      <c r="T1522" s="103" t="s"/>
    </row>
    <row r="1523" spans="1:20">
      <c r="A1523" s="169" t="s"/>
      <c r="Q1523" s="103" t="s"/>
      <c r="S1523" s="103" t="s"/>
      <c r="T1523" s="103" t="s"/>
    </row>
    <row r="1524" spans="1:20">
      <c r="A1524" s="169" t="s"/>
      <c r="Q1524" s="103" t="s"/>
      <c r="S1524" s="103" t="s"/>
      <c r="T1524" s="103" t="s"/>
    </row>
    <row r="1525" spans="1:20">
      <c r="A1525" s="169" t="s"/>
      <c r="Q1525" s="103" t="s"/>
      <c r="S1525" s="103" t="s"/>
      <c r="T1525" s="103" t="s"/>
    </row>
    <row r="1526" spans="1:20">
      <c r="A1526" s="169" t="s"/>
      <c r="Q1526" s="103" t="s"/>
      <c r="S1526" s="103" t="s"/>
      <c r="T1526" s="103" t="s"/>
    </row>
    <row r="1527" spans="1:20">
      <c r="A1527" s="169" t="s"/>
      <c r="Q1527" s="103" t="s"/>
      <c r="S1527" s="103" t="s"/>
      <c r="T1527" s="103" t="s"/>
    </row>
    <row r="1528" spans="1:20">
      <c r="A1528" s="169" t="s"/>
      <c r="Q1528" s="103" t="s"/>
      <c r="S1528" s="103" t="s"/>
      <c r="T1528" s="103" t="s"/>
    </row>
    <row r="1529" spans="1:20">
      <c r="A1529" s="169" t="s"/>
      <c r="Q1529" s="103" t="s"/>
      <c r="S1529" s="103" t="s"/>
      <c r="T1529" s="103" t="s"/>
    </row>
    <row r="1530" spans="1:20">
      <c r="A1530" s="169" t="s"/>
      <c r="Q1530" s="103" t="s"/>
      <c r="S1530" s="103" t="s"/>
      <c r="T1530" s="103" t="s"/>
    </row>
    <row r="1531" spans="1:20">
      <c r="A1531" s="169" t="s"/>
      <c r="Q1531" s="103" t="s"/>
      <c r="S1531" s="103" t="s"/>
      <c r="T1531" s="103" t="s"/>
    </row>
    <row r="1532" spans="1:20">
      <c r="A1532" s="169" t="s"/>
      <c r="Q1532" s="103" t="s"/>
      <c r="S1532" s="103" t="s"/>
      <c r="T1532" s="103" t="s"/>
    </row>
    <row r="1533" spans="1:20">
      <c r="A1533" s="169" t="s"/>
      <c r="Q1533" s="103" t="s"/>
      <c r="S1533" s="103" t="s"/>
      <c r="T1533" s="103" t="s"/>
    </row>
    <row r="1534" spans="1:20">
      <c r="A1534" s="169" t="s"/>
      <c r="Q1534" s="103" t="s"/>
      <c r="S1534" s="103" t="s"/>
      <c r="T1534" s="103" t="s"/>
    </row>
    <row r="1535" spans="1:20">
      <c r="A1535" s="169" t="s"/>
      <c r="Q1535" s="103" t="s"/>
      <c r="S1535" s="103" t="s"/>
      <c r="T1535" s="103" t="s"/>
    </row>
    <row r="1536" spans="1:20">
      <c r="A1536" s="169" t="s"/>
      <c r="Q1536" s="103" t="s"/>
      <c r="S1536" s="103" t="s"/>
      <c r="T1536" s="103" t="s"/>
    </row>
    <row r="1537" spans="1:20">
      <c r="A1537" s="169" t="s"/>
      <c r="Q1537" s="103" t="s"/>
      <c r="S1537" s="103" t="s"/>
      <c r="T1537" s="103" t="s"/>
    </row>
    <row r="1538" spans="1:20">
      <c r="A1538" s="169" t="s"/>
      <c r="Q1538" s="103" t="s"/>
      <c r="S1538" s="103" t="s"/>
      <c r="T1538" s="103" t="s"/>
    </row>
    <row r="1539" spans="1:20">
      <c r="A1539" s="169" t="s"/>
      <c r="Q1539" s="103" t="s"/>
      <c r="S1539" s="103" t="s"/>
      <c r="T1539" s="103" t="s"/>
    </row>
    <row r="1540" spans="1:20">
      <c r="A1540" s="169" t="s"/>
      <c r="Q1540" s="103" t="s"/>
      <c r="S1540" s="103" t="s"/>
      <c r="T1540" s="103" t="s"/>
    </row>
    <row r="1541" spans="1:20">
      <c r="A1541" s="169" t="s"/>
      <c r="Q1541" s="103" t="s"/>
      <c r="S1541" s="103" t="s"/>
      <c r="T1541" s="103" t="s"/>
    </row>
    <row r="1542" spans="1:20">
      <c r="A1542" s="169" t="s"/>
      <c r="Q1542" s="103" t="s"/>
      <c r="S1542" s="103" t="s"/>
      <c r="T1542" s="103" t="s"/>
    </row>
    <row r="1543" spans="1:20">
      <c r="A1543" s="169" t="s"/>
      <c r="Q1543" s="103" t="s"/>
      <c r="S1543" s="103" t="s"/>
      <c r="T1543" s="103" t="s"/>
    </row>
    <row r="1544" spans="1:20">
      <c r="A1544" s="169" t="s"/>
      <c r="Q1544" s="103" t="s"/>
      <c r="S1544" s="103" t="s"/>
      <c r="T1544" s="103" t="s"/>
    </row>
    <row r="1545" spans="1:20">
      <c r="A1545" s="169" t="s"/>
      <c r="Q1545" s="103" t="s"/>
      <c r="S1545" s="103" t="s"/>
      <c r="T1545" s="103" t="s"/>
    </row>
    <row r="1546" spans="1:20">
      <c r="A1546" s="169" t="s"/>
      <c r="Q1546" s="103" t="s"/>
      <c r="S1546" s="103" t="s"/>
      <c r="T1546" s="103" t="s"/>
    </row>
    <row r="1547" spans="1:20">
      <c r="A1547" s="169" t="s"/>
      <c r="Q1547" s="103" t="s"/>
      <c r="S1547" s="103" t="s"/>
      <c r="T1547" s="103" t="s"/>
    </row>
    <row r="1548" spans="1:20">
      <c r="A1548" s="169" t="s"/>
      <c r="Q1548" s="103" t="s"/>
      <c r="S1548" s="103" t="s"/>
      <c r="T1548" s="103" t="s"/>
    </row>
    <row r="1549" spans="1:20">
      <c r="A1549" s="169" t="s"/>
      <c r="Q1549" s="103" t="s"/>
      <c r="S1549" s="103" t="s"/>
      <c r="T1549" s="103" t="s"/>
    </row>
    <row r="1550" spans="1:20">
      <c r="A1550" s="169" t="s"/>
      <c r="Q1550" s="103" t="s"/>
      <c r="S1550" s="103" t="s"/>
      <c r="T1550" s="103" t="s"/>
    </row>
    <row r="1551" spans="1:20">
      <c r="A1551" s="169" t="s"/>
      <c r="Q1551" s="103" t="s"/>
      <c r="S1551" s="103" t="s"/>
      <c r="T1551" s="103" t="s"/>
    </row>
    <row r="1552" spans="1:20">
      <c r="A1552" s="169" t="s"/>
      <c r="Q1552" s="103" t="s"/>
      <c r="S1552" s="103" t="s"/>
      <c r="T1552" s="103" t="s"/>
    </row>
    <row r="1553" spans="1:20">
      <c r="A1553" s="169" t="s"/>
      <c r="Q1553" s="103" t="s"/>
      <c r="S1553" s="103" t="s"/>
      <c r="T1553" s="103" t="s"/>
    </row>
    <row r="1554" spans="1:20">
      <c r="A1554" s="169" t="s"/>
      <c r="Q1554" s="103" t="s"/>
      <c r="S1554" s="103" t="s"/>
      <c r="T1554" s="103" t="s"/>
    </row>
    <row r="1555" spans="1:20">
      <c r="A1555" s="169" t="s"/>
      <c r="Q1555" s="103" t="s"/>
      <c r="S1555" s="103" t="s"/>
      <c r="T1555" s="103" t="s"/>
    </row>
    <row r="1556" spans="1:20">
      <c r="A1556" s="169" t="s"/>
      <c r="Q1556" s="103" t="s"/>
      <c r="S1556" s="103" t="s"/>
      <c r="T1556" s="103" t="s"/>
    </row>
    <row r="1557" spans="1:20">
      <c r="A1557" s="169" t="s"/>
      <c r="Q1557" s="103" t="s"/>
      <c r="S1557" s="103" t="s"/>
      <c r="T1557" s="103" t="s"/>
    </row>
    <row r="1558" spans="1:20">
      <c r="A1558" s="169" t="s"/>
      <c r="Q1558" s="103" t="s"/>
      <c r="S1558" s="103" t="s"/>
      <c r="T1558" s="103" t="s"/>
    </row>
    <row r="1559" spans="1:20">
      <c r="A1559" s="169" t="s"/>
      <c r="Q1559" s="103" t="s"/>
      <c r="S1559" s="103" t="s"/>
      <c r="T1559" s="103" t="s"/>
    </row>
    <row r="1560" spans="1:20">
      <c r="A1560" s="169" t="s"/>
      <c r="Q1560" s="103" t="s"/>
      <c r="S1560" s="103" t="s"/>
      <c r="T1560" s="103" t="s"/>
    </row>
    <row r="1561" spans="1:20">
      <c r="A1561" s="169" t="s"/>
      <c r="Q1561" s="103" t="s"/>
      <c r="S1561" s="103" t="s"/>
      <c r="T1561" s="103" t="s"/>
    </row>
    <row r="1562" spans="1:20">
      <c r="A1562" s="169" t="s"/>
      <c r="Q1562" s="103" t="s"/>
      <c r="S1562" s="103" t="s"/>
      <c r="T1562" s="103" t="s"/>
    </row>
    <row r="1563" spans="1:20">
      <c r="A1563" s="169" t="s"/>
      <c r="Q1563" s="103" t="s"/>
      <c r="S1563" s="103" t="s"/>
      <c r="T1563" s="103" t="s"/>
    </row>
    <row r="1564" spans="1:20">
      <c r="A1564" s="169" t="s"/>
      <c r="Q1564" s="103" t="s"/>
      <c r="S1564" s="103" t="s"/>
      <c r="T1564" s="103" t="s"/>
    </row>
    <row r="1565" spans="1:20">
      <c r="A1565" s="169" t="s"/>
      <c r="Q1565" s="103" t="s"/>
      <c r="S1565" s="103" t="s"/>
      <c r="T1565" s="103" t="s"/>
    </row>
    <row r="1566" spans="1:20">
      <c r="A1566" s="169" t="s"/>
      <c r="Q1566" s="103" t="s"/>
      <c r="S1566" s="103" t="s"/>
      <c r="T1566" s="103" t="s"/>
    </row>
    <row r="1567" spans="1:20">
      <c r="A1567" s="169" t="s"/>
      <c r="Q1567" s="103" t="s"/>
      <c r="S1567" s="103" t="s"/>
      <c r="T1567" s="103" t="s"/>
    </row>
    <row r="1568" spans="1:20">
      <c r="A1568" s="169" t="s"/>
      <c r="Q1568" s="103" t="s"/>
      <c r="S1568" s="103" t="s"/>
      <c r="T1568" s="103" t="s"/>
    </row>
    <row r="1569" spans="1:20">
      <c r="A1569" s="169" t="s"/>
      <c r="Q1569" s="103" t="s"/>
      <c r="S1569" s="103" t="s"/>
      <c r="T1569" s="103" t="s"/>
    </row>
    <row r="1570" spans="1:20">
      <c r="A1570" s="169" t="s"/>
      <c r="Q1570" s="103" t="s"/>
      <c r="S1570" s="103" t="s"/>
      <c r="T1570" s="103" t="s"/>
    </row>
    <row r="1571" spans="1:20">
      <c r="A1571" s="169" t="s"/>
      <c r="Q1571" s="103" t="s"/>
      <c r="S1571" s="103" t="s"/>
      <c r="T1571" s="103" t="s"/>
    </row>
    <row r="1572" spans="1:20">
      <c r="A1572" s="169" t="s"/>
      <c r="Q1572" s="103" t="s"/>
      <c r="S1572" s="103" t="s"/>
      <c r="T1572" s="103" t="s"/>
    </row>
    <row r="1573" spans="1:20">
      <c r="A1573" s="169" t="s"/>
      <c r="Q1573" s="103" t="s"/>
      <c r="S1573" s="103" t="s"/>
      <c r="T1573" s="103" t="s"/>
    </row>
    <row r="1574" spans="1:20">
      <c r="A1574" s="169" t="s"/>
      <c r="Q1574" s="103" t="s"/>
      <c r="S1574" s="103" t="s"/>
      <c r="T1574" s="103" t="s"/>
    </row>
    <row r="1575" spans="1:20">
      <c r="A1575" s="169" t="s"/>
      <c r="Q1575" s="103" t="s"/>
      <c r="S1575" s="103" t="s"/>
      <c r="T1575" s="103" t="s"/>
    </row>
    <row r="1576" spans="1:20">
      <c r="A1576" s="169" t="s"/>
      <c r="Q1576" s="103" t="s"/>
      <c r="S1576" s="103" t="s"/>
      <c r="T1576" s="103" t="s"/>
    </row>
    <row r="1577" spans="1:20">
      <c r="A1577" s="169" t="s"/>
      <c r="Q1577" s="103" t="s"/>
      <c r="S1577" s="103" t="s"/>
      <c r="T1577" s="103" t="s"/>
    </row>
    <row r="1578" spans="1:20">
      <c r="A1578" s="169" t="s"/>
      <c r="Q1578" s="103" t="s"/>
      <c r="S1578" s="103" t="s"/>
      <c r="T1578" s="103" t="s"/>
    </row>
    <row r="1579" spans="1:20">
      <c r="A1579" s="169" t="s"/>
      <c r="Q1579" s="103" t="s"/>
      <c r="S1579" s="103" t="s"/>
      <c r="T1579" s="103" t="s"/>
    </row>
    <row r="1580" spans="1:20">
      <c r="A1580" s="169" t="s"/>
      <c r="Q1580" s="103" t="s"/>
      <c r="S1580" s="103" t="s"/>
      <c r="T1580" s="103" t="s"/>
    </row>
    <row r="1581" spans="1:20">
      <c r="A1581" s="169" t="s"/>
      <c r="Q1581" s="103" t="s"/>
      <c r="S1581" s="103" t="s"/>
      <c r="T1581" s="103" t="s"/>
    </row>
    <row r="1582" spans="1:20">
      <c r="A1582" s="169" t="s"/>
      <c r="Q1582" s="103" t="s"/>
      <c r="S1582" s="103" t="s"/>
      <c r="T1582" s="103" t="s"/>
    </row>
    <row r="1583" spans="1:20">
      <c r="A1583" s="169" t="s"/>
      <c r="Q1583" s="103" t="s"/>
      <c r="S1583" s="103" t="s"/>
      <c r="T1583" s="103" t="s"/>
    </row>
    <row r="1584" spans="1:20">
      <c r="A1584" s="169" t="s"/>
      <c r="Q1584" s="103" t="s"/>
      <c r="S1584" s="103" t="s"/>
      <c r="T1584" s="103" t="s"/>
    </row>
    <row r="1585" spans="1:20">
      <c r="A1585" s="169" t="s"/>
      <c r="Q1585" s="103" t="s"/>
      <c r="S1585" s="103" t="s"/>
      <c r="T1585" s="103" t="s"/>
    </row>
    <row r="1586" spans="1:20">
      <c r="A1586" s="169" t="s"/>
      <c r="Q1586" s="103" t="s"/>
      <c r="S1586" s="103" t="s"/>
      <c r="T1586" s="103" t="s"/>
    </row>
    <row r="1587" spans="1:20">
      <c r="A1587" s="169" t="s"/>
      <c r="Q1587" s="103" t="s"/>
      <c r="S1587" s="103" t="s"/>
      <c r="T1587" s="103" t="s"/>
    </row>
    <row r="1588" spans="1:20">
      <c r="A1588" s="169" t="s"/>
      <c r="Q1588" s="103" t="s"/>
      <c r="S1588" s="103" t="s"/>
      <c r="T1588" s="103" t="s"/>
    </row>
    <row r="1589" spans="1:20">
      <c r="A1589" s="169" t="s"/>
      <c r="Q1589" s="103" t="s"/>
      <c r="S1589" s="103" t="s"/>
      <c r="T1589" s="103" t="s"/>
    </row>
    <row r="1590" spans="1:20">
      <c r="A1590" s="169" t="s"/>
      <c r="Q1590" s="103" t="s"/>
      <c r="S1590" s="103" t="s"/>
      <c r="T1590" s="103" t="s"/>
    </row>
    <row r="1591" spans="1:20">
      <c r="A1591" s="169" t="s"/>
      <c r="Q1591" s="103" t="s"/>
      <c r="S1591" s="103" t="s"/>
      <c r="T1591" s="103" t="s"/>
    </row>
    <row r="1592" spans="1:20">
      <c r="A1592" s="169" t="s"/>
      <c r="Q1592" s="103" t="s"/>
      <c r="S1592" s="103" t="s"/>
      <c r="T1592" s="103" t="s"/>
    </row>
    <row r="1593" spans="1:20">
      <c r="A1593" s="169" t="s"/>
      <c r="Q1593" s="103" t="s"/>
      <c r="S1593" s="103" t="s"/>
      <c r="T1593" s="103" t="s"/>
    </row>
    <row r="1594" spans="1:20">
      <c r="A1594" s="169" t="s"/>
      <c r="Q1594" s="103" t="s"/>
      <c r="S1594" s="103" t="s"/>
      <c r="T1594" s="103" t="s"/>
    </row>
    <row r="1595" spans="1:20">
      <c r="A1595" s="169" t="s"/>
      <c r="Q1595" s="103" t="s"/>
      <c r="S1595" s="103" t="s"/>
      <c r="T1595" s="103" t="s"/>
    </row>
    <row r="1596" spans="1:20">
      <c r="A1596" s="169" t="s"/>
      <c r="Q1596" s="103" t="s"/>
      <c r="S1596" s="103" t="s"/>
      <c r="T1596" s="103" t="s"/>
    </row>
    <row r="1597" spans="1:20">
      <c r="A1597" s="169" t="s"/>
      <c r="Q1597" s="103" t="s"/>
      <c r="S1597" s="103" t="s"/>
      <c r="T1597" s="103" t="s"/>
    </row>
    <row r="1598" spans="1:20">
      <c r="A1598" s="169" t="s"/>
      <c r="Q1598" s="103" t="s"/>
      <c r="S1598" s="103" t="s"/>
      <c r="T1598" s="103" t="s"/>
    </row>
    <row r="1599" spans="1:20">
      <c r="A1599" s="169" t="s"/>
      <c r="Q1599" s="103" t="s"/>
      <c r="S1599" s="103" t="s"/>
      <c r="T1599" s="103" t="s"/>
    </row>
    <row r="1600" spans="1:20">
      <c r="A1600" s="169" t="s"/>
      <c r="Q1600" s="103" t="s"/>
      <c r="S1600" s="103" t="s"/>
      <c r="T1600" s="103" t="s"/>
    </row>
    <row r="1601" spans="1:20">
      <c r="A1601" s="169" t="s"/>
      <c r="Q1601" s="103" t="s"/>
      <c r="S1601" s="103" t="s"/>
      <c r="T1601" s="103" t="s"/>
    </row>
    <row r="1602" spans="1:20">
      <c r="A1602" s="169" t="s"/>
      <c r="Q1602" s="103" t="s"/>
      <c r="S1602" s="103" t="s"/>
      <c r="T1602" s="103" t="s"/>
    </row>
    <row r="1603" spans="1:20">
      <c r="A1603" s="169" t="s"/>
      <c r="Q1603" s="103" t="s"/>
      <c r="S1603" s="103" t="s"/>
      <c r="T1603" s="103" t="s"/>
    </row>
    <row r="1604" spans="1:20">
      <c r="A1604" s="169" t="s"/>
      <c r="Q1604" s="103" t="s"/>
      <c r="S1604" s="103" t="s"/>
      <c r="T1604" s="103" t="s"/>
    </row>
    <row r="1605" spans="1:20">
      <c r="A1605" s="169" t="s"/>
      <c r="Q1605" s="103" t="s"/>
      <c r="S1605" s="103" t="s"/>
      <c r="T1605" s="103" t="s"/>
    </row>
    <row r="1606" spans="1:20">
      <c r="A1606" s="169" t="s"/>
      <c r="Q1606" s="103" t="s"/>
      <c r="S1606" s="103" t="s"/>
      <c r="T1606" s="103" t="s"/>
    </row>
    <row r="1607" spans="1:20">
      <c r="A1607" s="169" t="s"/>
      <c r="Q1607" s="103" t="s"/>
      <c r="S1607" s="103" t="s"/>
      <c r="T1607" s="103" t="s"/>
    </row>
    <row r="1608" spans="1:20">
      <c r="A1608" s="169" t="s"/>
      <c r="Q1608" s="103" t="s"/>
      <c r="S1608" s="103" t="s"/>
      <c r="T1608" s="103" t="s"/>
    </row>
    <row r="1609" spans="1:20">
      <c r="A1609" s="169" t="s"/>
      <c r="Q1609" s="103" t="s"/>
      <c r="S1609" s="103" t="s"/>
      <c r="T1609" s="103" t="s"/>
    </row>
    <row r="1610" spans="1:20">
      <c r="A1610" s="169" t="s"/>
      <c r="Q1610" s="103" t="s"/>
      <c r="S1610" s="103" t="s"/>
      <c r="T1610" s="103" t="s"/>
    </row>
    <row r="1611" spans="1:20">
      <c r="A1611" s="169" t="s"/>
      <c r="Q1611" s="103" t="s"/>
      <c r="S1611" s="103" t="s"/>
      <c r="T1611" s="103" t="s"/>
    </row>
    <row r="1612" spans="1:20">
      <c r="A1612" s="169" t="s"/>
      <c r="Q1612" s="103" t="s"/>
      <c r="S1612" s="103" t="s"/>
      <c r="T1612" s="103" t="s"/>
    </row>
    <row r="1613" spans="1:20">
      <c r="A1613" s="169" t="s"/>
      <c r="Q1613" s="103" t="s"/>
      <c r="S1613" s="103" t="s"/>
      <c r="T1613" s="103" t="s"/>
    </row>
    <row r="1614" spans="1:20">
      <c r="A1614" s="169" t="s"/>
      <c r="Q1614" s="103" t="s"/>
      <c r="S1614" s="103" t="s"/>
      <c r="T1614" s="103" t="s"/>
    </row>
    <row r="1615" spans="1:20">
      <c r="A1615" s="169" t="s"/>
      <c r="Q1615" s="103" t="s"/>
      <c r="S1615" s="103" t="s"/>
      <c r="T1615" s="103" t="s"/>
    </row>
    <row r="1616" spans="1:20">
      <c r="A1616" s="169" t="s"/>
      <c r="Q1616" s="103" t="s"/>
      <c r="S1616" s="103" t="s"/>
      <c r="T1616" s="103" t="s"/>
    </row>
    <row r="1617" spans="1:20">
      <c r="A1617" s="169" t="s"/>
      <c r="Q1617" s="103" t="s"/>
      <c r="S1617" s="103" t="s"/>
      <c r="T1617" s="103" t="s"/>
    </row>
    <row r="1618" spans="1:20">
      <c r="A1618" s="169" t="s"/>
      <c r="Q1618" s="103" t="s"/>
      <c r="S1618" s="103" t="s"/>
      <c r="T1618" s="103" t="s"/>
    </row>
    <row r="1619" spans="1:20">
      <c r="A1619" s="169" t="s"/>
      <c r="Q1619" s="103" t="s"/>
      <c r="S1619" s="103" t="s"/>
      <c r="T1619" s="103" t="s"/>
    </row>
    <row r="1620" spans="1:20">
      <c r="A1620" s="169" t="s"/>
      <c r="Q1620" s="103" t="s"/>
      <c r="S1620" s="103" t="s"/>
      <c r="T1620" s="103" t="s"/>
    </row>
    <row r="1621" spans="1:20">
      <c r="A1621" s="169" t="s"/>
      <c r="Q1621" s="103" t="s"/>
      <c r="S1621" s="103" t="s"/>
      <c r="T1621" s="103" t="s"/>
    </row>
    <row r="1622" spans="1:20">
      <c r="A1622" s="169" t="s"/>
      <c r="Q1622" s="103" t="s"/>
      <c r="S1622" s="103" t="s"/>
      <c r="T1622" s="103" t="s"/>
    </row>
    <row r="1623" spans="1:20">
      <c r="A1623" s="169" t="s"/>
      <c r="Q1623" s="103" t="s"/>
      <c r="S1623" s="103" t="s"/>
      <c r="T1623" s="103" t="s"/>
    </row>
    <row r="1624" spans="1:20">
      <c r="A1624" s="169" t="s"/>
      <c r="Q1624" s="103" t="s"/>
      <c r="S1624" s="103" t="s"/>
      <c r="T1624" s="103" t="s"/>
    </row>
    <row r="1625" spans="1:20">
      <c r="A1625" s="169" t="s"/>
      <c r="Q1625" s="103" t="s"/>
      <c r="S1625" s="103" t="s"/>
      <c r="T1625" s="103" t="s"/>
    </row>
    <row r="1626" spans="1:20">
      <c r="A1626" s="169" t="s"/>
      <c r="Q1626" s="103" t="s"/>
      <c r="S1626" s="103" t="s"/>
      <c r="T1626" s="103" t="s"/>
    </row>
    <row r="1627" spans="1:20">
      <c r="A1627" s="169" t="s"/>
      <c r="Q1627" s="103" t="s"/>
      <c r="S1627" s="103" t="s"/>
      <c r="T1627" s="103" t="s"/>
    </row>
    <row r="1628" spans="1:20">
      <c r="A1628" s="169" t="s"/>
      <c r="Q1628" s="103" t="s"/>
      <c r="S1628" s="103" t="s"/>
      <c r="T1628" s="103" t="s"/>
    </row>
    <row r="1629" spans="1:20">
      <c r="A1629" s="169" t="s"/>
      <c r="Q1629" s="103" t="s"/>
      <c r="S1629" s="103" t="s"/>
      <c r="T1629" s="103" t="s"/>
    </row>
    <row r="1630" spans="1:20">
      <c r="A1630" s="169" t="s"/>
      <c r="Q1630" s="103" t="s"/>
      <c r="S1630" s="103" t="s"/>
      <c r="T1630" s="103" t="s"/>
    </row>
    <row r="1631" spans="1:20">
      <c r="A1631" s="169" t="s"/>
      <c r="Q1631" s="103" t="s"/>
      <c r="S1631" s="103" t="s"/>
      <c r="T1631" s="103" t="s"/>
    </row>
    <row r="1632" spans="1:20">
      <c r="A1632" s="169" t="s"/>
      <c r="Q1632" s="103" t="s"/>
      <c r="S1632" s="103" t="s"/>
      <c r="T1632" s="103" t="s"/>
    </row>
    <row r="1633" spans="1:20">
      <c r="A1633" s="169" t="s"/>
      <c r="Q1633" s="103" t="s"/>
      <c r="S1633" s="103" t="s"/>
      <c r="T1633" s="103" t="s"/>
    </row>
    <row r="1634" spans="1:20">
      <c r="A1634" s="169" t="s"/>
      <c r="Q1634" s="103" t="s"/>
      <c r="S1634" s="103" t="s"/>
      <c r="T1634" s="103" t="s"/>
    </row>
    <row r="1635" spans="1:20">
      <c r="A1635" s="169" t="s"/>
      <c r="Q1635" s="103" t="s"/>
      <c r="S1635" s="103" t="s"/>
      <c r="T1635" s="103" t="s"/>
    </row>
    <row r="1636" spans="1:20">
      <c r="A1636" s="169" t="s"/>
      <c r="Q1636" s="103" t="s"/>
      <c r="S1636" s="103" t="s"/>
      <c r="T1636" s="103" t="s"/>
    </row>
    <row r="1637" spans="1:20">
      <c r="A1637" s="169" t="s"/>
      <c r="Q1637" s="103" t="s"/>
      <c r="S1637" s="103" t="s"/>
      <c r="T1637" s="103" t="s"/>
    </row>
    <row r="1638" spans="1:20">
      <c r="A1638" s="169" t="s"/>
      <c r="Q1638" s="103" t="s"/>
      <c r="S1638" s="103" t="s"/>
      <c r="T1638" s="103" t="s"/>
    </row>
    <row r="1639" spans="1:20">
      <c r="A1639" s="169" t="s"/>
      <c r="Q1639" s="103" t="s"/>
      <c r="S1639" s="103" t="s"/>
      <c r="T1639" s="103" t="s"/>
    </row>
    <row r="1640" spans="1:20">
      <c r="A1640" s="169" t="s"/>
      <c r="Q1640" s="103" t="s"/>
      <c r="S1640" s="103" t="s"/>
      <c r="T1640" s="103" t="s"/>
    </row>
    <row r="1641" spans="1:20">
      <c r="A1641" s="169" t="s"/>
      <c r="Q1641" s="103" t="s"/>
      <c r="S1641" s="103" t="s"/>
      <c r="T1641" s="103" t="s"/>
    </row>
    <row r="1642" spans="1:20">
      <c r="A1642" s="169" t="s"/>
      <c r="Q1642" s="103" t="s"/>
      <c r="S1642" s="103" t="s"/>
      <c r="T1642" s="103" t="s"/>
    </row>
    <row r="1643" spans="1:20">
      <c r="A1643" s="169" t="s"/>
      <c r="Q1643" s="103" t="s"/>
      <c r="S1643" s="103" t="s"/>
      <c r="T1643" s="103" t="s"/>
    </row>
    <row r="1644" spans="1:20">
      <c r="A1644" s="169" t="s"/>
      <c r="Q1644" s="103" t="s"/>
      <c r="S1644" s="103" t="s"/>
      <c r="T1644" s="103" t="s"/>
    </row>
    <row r="1645" spans="1:20">
      <c r="A1645" s="169" t="s"/>
      <c r="Q1645" s="103" t="s"/>
      <c r="S1645" s="103" t="s"/>
      <c r="T1645" s="103" t="s"/>
    </row>
    <row r="1646" spans="1:20">
      <c r="A1646" s="169" t="s"/>
      <c r="Q1646" s="103" t="s"/>
      <c r="S1646" s="103" t="s"/>
      <c r="T1646" s="103" t="s"/>
    </row>
    <row r="1647" spans="1:20">
      <c r="A1647" s="169" t="s"/>
      <c r="Q1647" s="103" t="s"/>
      <c r="S1647" s="103" t="s"/>
      <c r="T1647" s="103" t="s"/>
    </row>
    <row r="1648" spans="1:20">
      <c r="A1648" s="169" t="s"/>
      <c r="Q1648" s="103" t="s"/>
      <c r="S1648" s="103" t="s"/>
      <c r="T1648" s="103" t="s"/>
    </row>
    <row r="1649" spans="1:20">
      <c r="A1649" s="169" t="s"/>
      <c r="Q1649" s="103" t="s"/>
      <c r="S1649" s="103" t="s"/>
      <c r="T1649" s="103" t="s"/>
    </row>
    <row r="1650" spans="1:20">
      <c r="A1650" s="169" t="s"/>
      <c r="Q1650" s="103" t="s"/>
      <c r="S1650" s="103" t="s"/>
      <c r="T1650" s="103" t="s"/>
    </row>
    <row r="1651" spans="1:20">
      <c r="A1651" s="169" t="s"/>
      <c r="Q1651" s="103" t="s"/>
      <c r="S1651" s="103" t="s"/>
      <c r="T1651" s="103" t="s"/>
    </row>
    <row r="1652" spans="1:20">
      <c r="A1652" s="169" t="s"/>
      <c r="Q1652" s="103" t="s"/>
      <c r="S1652" s="103" t="s"/>
      <c r="T1652" s="103" t="s"/>
    </row>
    <row r="1653" spans="1:20">
      <c r="A1653" s="169" t="s"/>
      <c r="Q1653" s="103" t="s"/>
      <c r="S1653" s="103" t="s"/>
      <c r="T1653" s="103" t="s"/>
    </row>
    <row r="1654" spans="1:20">
      <c r="A1654" s="169" t="s"/>
      <c r="Q1654" s="103" t="s"/>
      <c r="S1654" s="103" t="s"/>
      <c r="T1654" s="103" t="s"/>
    </row>
    <row r="1655" spans="1:20">
      <c r="A1655" s="169" t="s"/>
      <c r="Q1655" s="103" t="s"/>
      <c r="S1655" s="103" t="s"/>
      <c r="T1655" s="103" t="s"/>
    </row>
    <row r="1656" spans="1:20">
      <c r="A1656" s="169" t="s"/>
      <c r="Q1656" s="103" t="s"/>
      <c r="S1656" s="103" t="s"/>
      <c r="T1656" s="103" t="s"/>
    </row>
    <row r="1657" spans="1:20">
      <c r="A1657" s="169" t="s"/>
      <c r="Q1657" s="103" t="s"/>
      <c r="S1657" s="103" t="s"/>
      <c r="T1657" s="103" t="s"/>
    </row>
    <row r="1658" spans="1:20">
      <c r="A1658" s="169" t="s"/>
      <c r="Q1658" s="103" t="s"/>
      <c r="S1658" s="103" t="s"/>
      <c r="T1658" s="103" t="s"/>
    </row>
    <row r="1659" spans="1:20">
      <c r="A1659" s="169" t="s"/>
      <c r="Q1659" s="103" t="s"/>
      <c r="S1659" s="103" t="s"/>
      <c r="T1659" s="103" t="s"/>
    </row>
    <row r="1660" spans="1:20">
      <c r="A1660" s="169" t="s"/>
      <c r="Q1660" s="103" t="s"/>
      <c r="S1660" s="103" t="s"/>
      <c r="T1660" s="103" t="s"/>
    </row>
    <row r="1661" spans="1:20">
      <c r="A1661" s="169" t="s"/>
      <c r="Q1661" s="103" t="s"/>
      <c r="S1661" s="103" t="s"/>
      <c r="T1661" s="103" t="s"/>
    </row>
    <row r="1662" spans="1:20">
      <c r="A1662" s="169" t="s"/>
      <c r="Q1662" s="103" t="s"/>
      <c r="S1662" s="103" t="s"/>
      <c r="T1662" s="103" t="s"/>
    </row>
    <row r="1663" spans="1:20">
      <c r="A1663" s="169" t="s"/>
      <c r="Q1663" s="103" t="s"/>
      <c r="S1663" s="103" t="s"/>
      <c r="T1663" s="103" t="s"/>
    </row>
    <row r="1664" spans="1:20">
      <c r="A1664" s="169" t="s"/>
      <c r="Q1664" s="103" t="s"/>
      <c r="S1664" s="103" t="s"/>
      <c r="T1664" s="103" t="s"/>
    </row>
    <row r="1665" spans="1:20">
      <c r="A1665" s="169" t="s"/>
      <c r="Q1665" s="103" t="s"/>
      <c r="S1665" s="103" t="s"/>
      <c r="T1665" s="103" t="s"/>
    </row>
    <row r="1666" spans="1:20">
      <c r="A1666" s="169" t="s"/>
      <c r="Q1666" s="103" t="s"/>
      <c r="S1666" s="103" t="s"/>
      <c r="T1666" s="103" t="s"/>
    </row>
    <row r="1667" spans="1:20">
      <c r="A1667" s="169" t="s"/>
      <c r="Q1667" s="103" t="s"/>
      <c r="S1667" s="103" t="s"/>
      <c r="T1667" s="103" t="s"/>
    </row>
    <row r="1668" spans="1:20">
      <c r="A1668" s="169" t="s"/>
      <c r="Q1668" s="103" t="s"/>
      <c r="S1668" s="103" t="s"/>
      <c r="T1668" s="103" t="s"/>
    </row>
    <row r="1669" spans="1:20">
      <c r="A1669" s="169" t="s"/>
      <c r="Q1669" s="103" t="s"/>
      <c r="S1669" s="103" t="s"/>
      <c r="T1669" s="103" t="s"/>
    </row>
    <row r="1670" spans="1:20">
      <c r="A1670" s="169" t="s"/>
      <c r="Q1670" s="103" t="s"/>
      <c r="S1670" s="103" t="s"/>
      <c r="T1670" s="103" t="s"/>
    </row>
    <row r="1671" spans="1:20">
      <c r="A1671" s="169" t="s"/>
      <c r="Q1671" s="103" t="s"/>
      <c r="S1671" s="103" t="s"/>
      <c r="T1671" s="103" t="s"/>
    </row>
    <row r="1672" spans="1:20">
      <c r="A1672" s="169" t="s"/>
      <c r="Q1672" s="103" t="s"/>
      <c r="S1672" s="103" t="s"/>
      <c r="T1672" s="103" t="s"/>
    </row>
    <row r="1673" spans="1:20">
      <c r="A1673" s="169" t="s"/>
      <c r="Q1673" s="103" t="s"/>
      <c r="S1673" s="103" t="s"/>
      <c r="T1673" s="103" t="s"/>
    </row>
    <row r="1674" spans="1:20">
      <c r="A1674" s="169" t="s"/>
      <c r="Q1674" s="103" t="s"/>
      <c r="S1674" s="103" t="s"/>
      <c r="T1674" s="103" t="s"/>
    </row>
    <row r="1675" spans="1:20">
      <c r="A1675" s="169" t="s"/>
      <c r="Q1675" s="103" t="s"/>
      <c r="S1675" s="103" t="s"/>
      <c r="T1675" s="103" t="s"/>
    </row>
    <row r="1676" spans="1:20">
      <c r="A1676" s="169" t="s"/>
      <c r="Q1676" s="103" t="s"/>
      <c r="S1676" s="103" t="s"/>
      <c r="T1676" s="103" t="s"/>
    </row>
    <row r="1677" spans="1:20">
      <c r="A1677" s="169" t="s"/>
      <c r="Q1677" s="103" t="s"/>
      <c r="S1677" s="103" t="s"/>
      <c r="T1677" s="103" t="s"/>
    </row>
    <row r="1678" spans="1:20">
      <c r="A1678" s="169" t="s"/>
      <c r="Q1678" s="103" t="s"/>
      <c r="S1678" s="103" t="s"/>
      <c r="T1678" s="103" t="s"/>
    </row>
    <row r="1679" spans="1:20">
      <c r="A1679" s="169" t="s"/>
      <c r="Q1679" s="103" t="s"/>
      <c r="S1679" s="103" t="s"/>
      <c r="T1679" s="103" t="s"/>
    </row>
    <row r="1680" spans="1:20">
      <c r="A1680" s="169" t="s"/>
      <c r="Q1680" s="103" t="s"/>
      <c r="S1680" s="103" t="s"/>
      <c r="T1680" s="103" t="s"/>
    </row>
    <row r="1681" spans="1:20">
      <c r="A1681" s="169" t="s"/>
      <c r="Q1681" s="103" t="s"/>
      <c r="S1681" s="103" t="s"/>
      <c r="T1681" s="103" t="s"/>
    </row>
    <row r="1682" spans="1:20">
      <c r="A1682" s="169" t="s"/>
      <c r="Q1682" s="103" t="s"/>
      <c r="S1682" s="103" t="s"/>
      <c r="T1682" s="103" t="s"/>
    </row>
    <row r="1683" spans="1:20">
      <c r="A1683" s="169" t="s"/>
      <c r="Q1683" s="103" t="s"/>
      <c r="S1683" s="103" t="s"/>
      <c r="T1683" s="103" t="s"/>
    </row>
    <row r="1684" spans="1:20">
      <c r="A1684" s="169" t="s"/>
      <c r="Q1684" s="103" t="s"/>
      <c r="S1684" s="103" t="s"/>
      <c r="T1684" s="103" t="s"/>
    </row>
    <row r="1685" spans="1:20">
      <c r="A1685" s="169" t="s"/>
      <c r="Q1685" s="103" t="s"/>
      <c r="S1685" s="103" t="s"/>
      <c r="T1685" s="103" t="s"/>
    </row>
    <row r="1686" spans="1:20">
      <c r="A1686" s="169" t="s"/>
      <c r="Q1686" s="103" t="s"/>
      <c r="S1686" s="103" t="s"/>
      <c r="T1686" s="103" t="s"/>
    </row>
    <row r="1687" spans="1:20">
      <c r="A1687" s="169" t="s"/>
      <c r="Q1687" s="103" t="s"/>
      <c r="S1687" s="103" t="s"/>
      <c r="T1687" s="103" t="s"/>
    </row>
    <row r="1688" spans="1:20">
      <c r="A1688" s="169" t="s"/>
      <c r="Q1688" s="103" t="s"/>
      <c r="S1688" s="103" t="s"/>
      <c r="T1688" s="103" t="s"/>
    </row>
    <row r="1689" spans="1:20">
      <c r="A1689" s="169" t="s"/>
      <c r="Q1689" s="103" t="s"/>
      <c r="S1689" s="103" t="s"/>
      <c r="T1689" s="103" t="s"/>
    </row>
    <row r="1690" spans="1:20">
      <c r="A1690" s="169" t="s"/>
      <c r="Q1690" s="103" t="s"/>
      <c r="S1690" s="103" t="s"/>
      <c r="T1690" s="103" t="s"/>
    </row>
    <row r="1691" spans="1:20">
      <c r="A1691" s="169" t="s"/>
      <c r="Q1691" s="103" t="s"/>
      <c r="S1691" s="103" t="s"/>
      <c r="T1691" s="103" t="s"/>
    </row>
    <row r="1692" spans="1:20">
      <c r="A1692" s="169" t="s"/>
      <c r="Q1692" s="103" t="s"/>
      <c r="S1692" s="103" t="s"/>
      <c r="T1692" s="103" t="s"/>
    </row>
    <row r="1693" spans="1:20">
      <c r="A1693" s="169" t="s"/>
      <c r="Q1693" s="103" t="s"/>
      <c r="S1693" s="103" t="s"/>
      <c r="T1693" s="103" t="s"/>
    </row>
    <row r="1694" spans="1:20">
      <c r="A1694" s="169" t="s"/>
      <c r="Q1694" s="103" t="s"/>
      <c r="S1694" s="103" t="s"/>
      <c r="T1694" s="103" t="s"/>
    </row>
    <row r="1695" spans="1:20">
      <c r="A1695" s="169" t="s"/>
      <c r="Q1695" s="103" t="s"/>
      <c r="S1695" s="103" t="s"/>
      <c r="T1695" s="103" t="s"/>
    </row>
    <row r="1696" spans="1:20">
      <c r="A1696" s="169" t="s"/>
      <c r="Q1696" s="103" t="s"/>
      <c r="S1696" s="103" t="s"/>
      <c r="T1696" s="103" t="s"/>
    </row>
    <row r="1697" spans="1:20">
      <c r="A1697" s="169" t="s"/>
      <c r="Q1697" s="103" t="s"/>
      <c r="S1697" s="103" t="s"/>
      <c r="T1697" s="103" t="s"/>
    </row>
    <row r="1698" spans="1:20">
      <c r="A1698" s="169" t="s"/>
      <c r="Q1698" s="103" t="s"/>
      <c r="S1698" s="103" t="s"/>
      <c r="T1698" s="103" t="s"/>
    </row>
    <row r="1699" spans="1:20">
      <c r="A1699" s="169" t="s"/>
      <c r="Q1699" s="103" t="s"/>
      <c r="S1699" s="103" t="s"/>
      <c r="T1699" s="103" t="s"/>
    </row>
    <row r="1700" spans="1:20">
      <c r="A1700" s="169" t="s"/>
      <c r="Q1700" s="103" t="s"/>
      <c r="S1700" s="103" t="s"/>
      <c r="T1700" s="103" t="s"/>
    </row>
    <row r="1701" spans="1:20">
      <c r="A1701" s="169" t="s"/>
      <c r="Q1701" s="103" t="s"/>
      <c r="S1701" s="103" t="s"/>
      <c r="T1701" s="103" t="s"/>
    </row>
    <row r="1702" spans="1:20">
      <c r="A1702" s="169" t="s"/>
      <c r="Q1702" s="103" t="s"/>
      <c r="S1702" s="103" t="s"/>
      <c r="T1702" s="103" t="s"/>
    </row>
    <row r="1703" spans="1:20">
      <c r="A1703" s="169" t="s"/>
      <c r="Q1703" s="103" t="s"/>
      <c r="S1703" s="103" t="s"/>
      <c r="T1703" s="103" t="s"/>
    </row>
    <row r="1704" spans="1:20">
      <c r="A1704" s="169" t="s"/>
      <c r="Q1704" s="103" t="s"/>
      <c r="S1704" s="103" t="s"/>
      <c r="T1704" s="103" t="s"/>
    </row>
    <row r="1705" spans="1:20">
      <c r="A1705" s="169" t="s"/>
      <c r="Q1705" s="103" t="s"/>
      <c r="S1705" s="103" t="s"/>
      <c r="T1705" s="103" t="s"/>
    </row>
    <row r="1706" spans="1:20">
      <c r="A1706" s="169" t="s"/>
      <c r="Q1706" s="103" t="s"/>
      <c r="S1706" s="103" t="s"/>
      <c r="T1706" s="103" t="s"/>
    </row>
    <row r="1707" spans="1:20">
      <c r="A1707" s="169" t="s"/>
      <c r="Q1707" s="103" t="s"/>
      <c r="S1707" s="103" t="s"/>
      <c r="T1707" s="103" t="s"/>
    </row>
    <row r="1708" spans="1:20">
      <c r="A1708" s="169" t="s"/>
      <c r="Q1708" s="103" t="s"/>
      <c r="S1708" s="103" t="s"/>
      <c r="T1708" s="103" t="s"/>
    </row>
    <row r="1709" spans="1:20">
      <c r="A1709" s="169" t="s"/>
      <c r="Q1709" s="103" t="s"/>
      <c r="S1709" s="103" t="s"/>
      <c r="T1709" s="103" t="s"/>
    </row>
    <row r="1710" spans="1:20">
      <c r="A1710" s="169" t="s"/>
      <c r="Q1710" s="103" t="s"/>
      <c r="S1710" s="103" t="s"/>
      <c r="T1710" s="103" t="s"/>
    </row>
    <row r="1711" spans="1:20">
      <c r="A1711" s="169" t="s"/>
      <c r="Q1711" s="103" t="s"/>
      <c r="S1711" s="103" t="s"/>
      <c r="T1711" s="103" t="s"/>
    </row>
    <row r="1712" spans="1:20">
      <c r="A1712" s="169" t="s"/>
      <c r="Q1712" s="103" t="s"/>
      <c r="S1712" s="103" t="s"/>
      <c r="T1712" s="103" t="s"/>
    </row>
    <row r="1713" spans="1:20">
      <c r="A1713" s="169" t="s"/>
      <c r="Q1713" s="103" t="s"/>
      <c r="S1713" s="103" t="s"/>
      <c r="T1713" s="103" t="s"/>
    </row>
    <row r="1714" spans="1:20">
      <c r="A1714" s="169" t="s"/>
      <c r="Q1714" s="103" t="s"/>
      <c r="S1714" s="103" t="s"/>
      <c r="T1714" s="103" t="s"/>
    </row>
    <row r="1715" spans="1:20">
      <c r="A1715" s="169" t="s"/>
      <c r="Q1715" s="103" t="s"/>
      <c r="S1715" s="103" t="s"/>
      <c r="T1715" s="103" t="s"/>
    </row>
    <row r="1716" spans="1:20">
      <c r="A1716" s="169" t="s"/>
      <c r="Q1716" s="103" t="s"/>
      <c r="S1716" s="103" t="s"/>
      <c r="T1716" s="103" t="s"/>
    </row>
    <row r="1717" spans="1:20">
      <c r="A1717" s="169" t="s"/>
      <c r="Q1717" s="103" t="s"/>
      <c r="S1717" s="103" t="s"/>
      <c r="T1717" s="103" t="s"/>
    </row>
    <row r="1718" spans="1:20">
      <c r="A1718" s="169" t="s"/>
      <c r="Q1718" s="103" t="s"/>
      <c r="S1718" s="103" t="s"/>
      <c r="T1718" s="103" t="s"/>
    </row>
    <row r="1719" spans="1:20">
      <c r="A1719" s="169" t="s"/>
      <c r="Q1719" s="103" t="s"/>
      <c r="S1719" s="103" t="s"/>
      <c r="T1719" s="103" t="s"/>
    </row>
    <row r="1720" spans="1:20">
      <c r="A1720" s="169" t="s"/>
      <c r="Q1720" s="103" t="s"/>
      <c r="S1720" s="103" t="s"/>
      <c r="T1720" s="103" t="s"/>
    </row>
    <row r="1721" spans="1:20">
      <c r="A1721" s="169" t="s"/>
      <c r="Q1721" s="103" t="s"/>
      <c r="S1721" s="103" t="s"/>
      <c r="T1721" s="103" t="s"/>
    </row>
    <row r="1722" spans="1:20">
      <c r="A1722" s="169" t="s"/>
      <c r="Q1722" s="103" t="s"/>
      <c r="S1722" s="103" t="s"/>
      <c r="T1722" s="103" t="s"/>
    </row>
    <row r="1723" spans="1:20">
      <c r="A1723" s="169" t="s"/>
      <c r="Q1723" s="103" t="s"/>
      <c r="S1723" s="103" t="s"/>
      <c r="T1723" s="103" t="s"/>
    </row>
    <row r="1724" spans="1:20">
      <c r="A1724" s="169" t="s"/>
      <c r="Q1724" s="103" t="s"/>
      <c r="S1724" s="103" t="s"/>
      <c r="T1724" s="103" t="s"/>
    </row>
    <row r="1725" spans="1:20">
      <c r="A1725" s="169" t="s"/>
      <c r="Q1725" s="103" t="s"/>
      <c r="S1725" s="103" t="s"/>
      <c r="T1725" s="103" t="s"/>
    </row>
    <row r="1726" spans="1:20">
      <c r="A1726" s="169" t="s"/>
      <c r="Q1726" s="103" t="s"/>
      <c r="S1726" s="103" t="s"/>
      <c r="T1726" s="103" t="s"/>
    </row>
    <row r="1727" spans="1:20">
      <c r="A1727" s="169" t="s"/>
      <c r="Q1727" s="103" t="s"/>
      <c r="S1727" s="103" t="s"/>
      <c r="T1727" s="103" t="s"/>
    </row>
    <row r="1728" spans="1:20">
      <c r="A1728" s="169" t="s"/>
      <c r="Q1728" s="103" t="s"/>
      <c r="S1728" s="103" t="s"/>
      <c r="T1728" s="103" t="s"/>
    </row>
    <row r="1729" spans="1:20">
      <c r="A1729" s="169" t="s"/>
      <c r="Q1729" s="103" t="s"/>
      <c r="S1729" s="103" t="s"/>
      <c r="T1729" s="103" t="s"/>
    </row>
    <row r="1730" spans="1:20">
      <c r="A1730" s="169" t="s"/>
      <c r="Q1730" s="103" t="s"/>
      <c r="S1730" s="103" t="s"/>
      <c r="T1730" s="103" t="s"/>
    </row>
    <row r="1731" spans="1:20">
      <c r="A1731" s="169" t="s"/>
      <c r="Q1731" s="103" t="s"/>
      <c r="S1731" s="103" t="s"/>
      <c r="T1731" s="103" t="s"/>
    </row>
    <row r="1732" spans="1:20">
      <c r="A1732" s="169" t="s"/>
      <c r="Q1732" s="103" t="s"/>
      <c r="S1732" s="103" t="s"/>
      <c r="T1732" s="103" t="s"/>
    </row>
    <row r="1733" spans="1:20">
      <c r="A1733" s="169" t="s"/>
      <c r="Q1733" s="103" t="s"/>
      <c r="S1733" s="103" t="s"/>
      <c r="T1733" s="103" t="s"/>
    </row>
    <row r="1734" spans="1:20">
      <c r="A1734" s="169" t="s"/>
      <c r="Q1734" s="103" t="s"/>
      <c r="S1734" s="103" t="s"/>
      <c r="T1734" s="103" t="s"/>
    </row>
    <row r="1735" spans="1:20">
      <c r="A1735" s="169" t="s"/>
      <c r="Q1735" s="103" t="s"/>
      <c r="S1735" s="103" t="s"/>
      <c r="T1735" s="103" t="s"/>
    </row>
    <row r="1736" spans="1:20">
      <c r="A1736" s="169" t="s"/>
      <c r="Q1736" s="103" t="s"/>
      <c r="S1736" s="103" t="s"/>
      <c r="T1736" s="103" t="s"/>
    </row>
    <row r="1737" spans="1:20">
      <c r="A1737" s="169" t="s"/>
      <c r="Q1737" s="103" t="s"/>
      <c r="S1737" s="103" t="s"/>
      <c r="T1737" s="103" t="s"/>
    </row>
    <row r="1738" spans="1:20">
      <c r="A1738" s="169" t="s"/>
      <c r="Q1738" s="103" t="s"/>
      <c r="S1738" s="103" t="s"/>
      <c r="T1738" s="103" t="s"/>
    </row>
    <row r="1739" spans="1:20">
      <c r="A1739" s="169" t="s"/>
      <c r="Q1739" s="103" t="s"/>
      <c r="S1739" s="103" t="s"/>
      <c r="T1739" s="103" t="s"/>
    </row>
    <row r="1740" spans="1:20">
      <c r="A1740" s="169" t="s"/>
      <c r="Q1740" s="103" t="s"/>
      <c r="S1740" s="103" t="s"/>
      <c r="T1740" s="103" t="s"/>
    </row>
    <row r="1741" spans="1:20">
      <c r="A1741" s="169" t="s"/>
      <c r="Q1741" s="103" t="s"/>
      <c r="S1741" s="103" t="s"/>
      <c r="T1741" s="103" t="s"/>
    </row>
    <row r="1742" spans="1:20">
      <c r="A1742" s="169" t="s"/>
      <c r="Q1742" s="103" t="s"/>
      <c r="S1742" s="103" t="s"/>
      <c r="T1742" s="103" t="s"/>
    </row>
    <row r="1743" spans="1:20">
      <c r="A1743" s="169" t="s"/>
      <c r="Q1743" s="103" t="s"/>
      <c r="S1743" s="103" t="s"/>
      <c r="T1743" s="103" t="s"/>
    </row>
    <row r="1744" spans="1:20">
      <c r="A1744" s="169" t="s"/>
      <c r="Q1744" s="103" t="s"/>
      <c r="S1744" s="103" t="s"/>
      <c r="T1744" s="103" t="s"/>
    </row>
    <row r="1745" spans="1:20">
      <c r="A1745" s="169" t="s"/>
      <c r="Q1745" s="103" t="s"/>
      <c r="S1745" s="103" t="s"/>
      <c r="T1745" s="103" t="s"/>
    </row>
    <row r="1746" spans="1:20">
      <c r="A1746" s="169" t="s"/>
      <c r="Q1746" s="103" t="s"/>
      <c r="S1746" s="103" t="s"/>
      <c r="T1746" s="103" t="s"/>
    </row>
    <row r="1747" spans="1:20">
      <c r="A1747" s="169" t="s"/>
      <c r="Q1747" s="103" t="s"/>
      <c r="S1747" s="103" t="s"/>
      <c r="T1747" s="103" t="s"/>
    </row>
    <row r="1748" spans="1:20">
      <c r="A1748" s="169" t="s"/>
      <c r="Q1748" s="103" t="s"/>
      <c r="S1748" s="103" t="s"/>
      <c r="T1748" s="103" t="s"/>
    </row>
    <row r="1749" spans="1:20">
      <c r="A1749" s="169" t="s"/>
      <c r="Q1749" s="103" t="s"/>
      <c r="S1749" s="103" t="s"/>
      <c r="T1749" s="103" t="s"/>
    </row>
    <row r="1750" spans="1:20">
      <c r="A1750" s="169" t="s"/>
      <c r="Q1750" s="103" t="s"/>
      <c r="S1750" s="103" t="s"/>
      <c r="T1750" s="103" t="s"/>
    </row>
    <row r="1751" spans="1:20">
      <c r="A1751" s="169" t="s"/>
      <c r="Q1751" s="103" t="s"/>
      <c r="S1751" s="103" t="s"/>
      <c r="T1751" s="103" t="s"/>
    </row>
    <row r="1752" spans="1:20">
      <c r="A1752" s="169" t="s"/>
      <c r="Q1752" s="103" t="s"/>
      <c r="S1752" s="103" t="s"/>
      <c r="T1752" s="103" t="s"/>
    </row>
    <row r="1753" spans="1:20">
      <c r="A1753" s="169" t="s"/>
      <c r="Q1753" s="103" t="s"/>
      <c r="S1753" s="103" t="s"/>
      <c r="T1753" s="103" t="s"/>
    </row>
    <row r="1754" spans="1:20">
      <c r="A1754" s="169" t="s"/>
      <c r="Q1754" s="103" t="s"/>
      <c r="S1754" s="103" t="s"/>
      <c r="T1754" s="103" t="s"/>
    </row>
    <row r="1755" spans="1:20">
      <c r="A1755" s="169" t="s"/>
      <c r="Q1755" s="103" t="s"/>
      <c r="S1755" s="103" t="s"/>
      <c r="T1755" s="103" t="s"/>
    </row>
    <row r="1756" spans="1:20">
      <c r="A1756" s="169" t="s"/>
      <c r="Q1756" s="103" t="s"/>
      <c r="S1756" s="103" t="s"/>
      <c r="T1756" s="103" t="s"/>
    </row>
    <row r="1757" spans="1:20">
      <c r="A1757" s="169" t="s"/>
      <c r="Q1757" s="103" t="s"/>
      <c r="S1757" s="103" t="s"/>
      <c r="T1757" s="103" t="s"/>
    </row>
    <row r="1758" spans="1:20">
      <c r="A1758" s="169" t="s"/>
      <c r="Q1758" s="103" t="s"/>
      <c r="S1758" s="103" t="s"/>
      <c r="T1758" s="103" t="s"/>
    </row>
    <row r="1759" spans="1:20">
      <c r="A1759" s="169" t="s"/>
      <c r="Q1759" s="103" t="s"/>
      <c r="S1759" s="103" t="s"/>
      <c r="T1759" s="103" t="s"/>
    </row>
    <row r="1760" spans="1:20">
      <c r="A1760" s="169" t="s"/>
      <c r="Q1760" s="103" t="s"/>
      <c r="S1760" s="103" t="s"/>
      <c r="T1760" s="103" t="s"/>
    </row>
    <row r="1761" spans="1:20">
      <c r="A1761" s="169" t="s"/>
      <c r="Q1761" s="103" t="s"/>
      <c r="S1761" s="103" t="s"/>
      <c r="T1761" s="103" t="s"/>
    </row>
    <row r="1762" spans="1:20">
      <c r="A1762" s="169" t="s"/>
      <c r="Q1762" s="103" t="s"/>
      <c r="S1762" s="103" t="s"/>
      <c r="T1762" s="103" t="s"/>
    </row>
    <row r="1763" spans="1:20">
      <c r="A1763" s="169" t="s"/>
      <c r="Q1763" s="103" t="s"/>
      <c r="S1763" s="103" t="s"/>
      <c r="T1763" s="103" t="s"/>
    </row>
    <row r="1764" spans="1:20">
      <c r="A1764" s="169" t="s"/>
      <c r="Q1764" s="103" t="s"/>
      <c r="S1764" s="103" t="s"/>
      <c r="T1764" s="103" t="s"/>
    </row>
    <row r="1765" spans="1:20">
      <c r="A1765" s="169" t="s"/>
      <c r="Q1765" s="103" t="s"/>
      <c r="S1765" s="103" t="s"/>
      <c r="T1765" s="103" t="s"/>
    </row>
    <row r="1766" spans="1:20">
      <c r="A1766" s="169" t="s"/>
      <c r="Q1766" s="103" t="s"/>
      <c r="S1766" s="103" t="s"/>
      <c r="T1766" s="103" t="s"/>
    </row>
    <row r="1767" spans="1:20">
      <c r="A1767" s="169" t="s"/>
      <c r="Q1767" s="103" t="s"/>
      <c r="S1767" s="103" t="s"/>
      <c r="T1767" s="103" t="s"/>
    </row>
    <row r="1768" spans="1:20">
      <c r="A1768" s="169" t="s"/>
      <c r="Q1768" s="103" t="s"/>
      <c r="S1768" s="103" t="s"/>
      <c r="T1768" s="103" t="s"/>
    </row>
    <row r="1769" spans="1:20">
      <c r="A1769" s="169" t="s"/>
      <c r="Q1769" s="103" t="s"/>
      <c r="S1769" s="103" t="s"/>
      <c r="T1769" s="103" t="s"/>
    </row>
    <row r="1770" spans="1:20">
      <c r="A1770" s="169" t="s"/>
      <c r="Q1770" s="103" t="s"/>
      <c r="S1770" s="103" t="s"/>
      <c r="T1770" s="103" t="s"/>
    </row>
    <row r="1771" spans="1:20">
      <c r="A1771" s="169" t="s"/>
      <c r="Q1771" s="103" t="s"/>
      <c r="S1771" s="103" t="s"/>
      <c r="T1771" s="103" t="s"/>
    </row>
    <row r="1772" spans="1:20">
      <c r="A1772" s="169" t="s"/>
      <c r="Q1772" s="103" t="s"/>
      <c r="S1772" s="103" t="s"/>
      <c r="T1772" s="103" t="s"/>
    </row>
    <row r="1773" spans="1:20">
      <c r="A1773" s="169" t="s"/>
      <c r="Q1773" s="103" t="s"/>
      <c r="S1773" s="103" t="s"/>
      <c r="T1773" s="103" t="s"/>
    </row>
    <row r="1774" spans="1:20">
      <c r="A1774" s="169" t="s"/>
      <c r="Q1774" s="103" t="s"/>
      <c r="S1774" s="103" t="s"/>
      <c r="T1774" s="103" t="s"/>
    </row>
    <row r="1775" spans="1:20">
      <c r="A1775" s="169" t="s"/>
      <c r="Q1775" s="103" t="s"/>
      <c r="S1775" s="103" t="s"/>
      <c r="T1775" s="103" t="s"/>
    </row>
    <row r="1776" spans="1:20">
      <c r="A1776" s="169" t="s"/>
      <c r="Q1776" s="103" t="s"/>
      <c r="S1776" s="103" t="s"/>
      <c r="T1776" s="103" t="s"/>
    </row>
    <row r="1777" spans="1:20">
      <c r="A1777" s="169" t="s"/>
      <c r="Q1777" s="103" t="s"/>
      <c r="S1777" s="103" t="s"/>
      <c r="T1777" s="103" t="s"/>
    </row>
    <row r="1778" spans="1:20">
      <c r="A1778" s="169" t="s"/>
      <c r="Q1778" s="103" t="s"/>
      <c r="S1778" s="103" t="s"/>
      <c r="T1778" s="103" t="s"/>
    </row>
    <row r="1779" spans="1:20">
      <c r="A1779" s="169" t="s"/>
      <c r="Q1779" s="103" t="s"/>
      <c r="S1779" s="103" t="s"/>
      <c r="T1779" s="103" t="s"/>
    </row>
    <row r="1780" spans="1:20">
      <c r="A1780" s="169" t="s"/>
      <c r="Q1780" s="103" t="s"/>
      <c r="S1780" s="103" t="s"/>
      <c r="T1780" s="103" t="s"/>
    </row>
    <row r="1781" spans="1:20">
      <c r="A1781" s="169" t="s"/>
      <c r="Q1781" s="103" t="s"/>
      <c r="S1781" s="103" t="s"/>
      <c r="T1781" s="103" t="s"/>
    </row>
    <row r="1782" spans="1:20">
      <c r="A1782" s="169" t="s"/>
      <c r="Q1782" s="103" t="s"/>
      <c r="S1782" s="103" t="s"/>
      <c r="T1782" s="103" t="s"/>
    </row>
    <row r="1783" spans="1:20">
      <c r="A1783" s="169" t="s"/>
      <c r="Q1783" s="103" t="s"/>
      <c r="S1783" s="103" t="s"/>
      <c r="T1783" s="103" t="s"/>
    </row>
    <row r="1784" spans="1:20">
      <c r="A1784" s="169" t="s"/>
      <c r="Q1784" s="103" t="s"/>
      <c r="S1784" s="103" t="s"/>
      <c r="T1784" s="103" t="s"/>
    </row>
    <row r="1785" spans="1:20">
      <c r="A1785" s="169" t="s"/>
      <c r="Q1785" s="103" t="s"/>
      <c r="S1785" s="103" t="s"/>
      <c r="T1785" s="103" t="s"/>
    </row>
    <row r="1786" spans="1:20">
      <c r="A1786" s="169" t="s"/>
      <c r="Q1786" s="103" t="s"/>
      <c r="S1786" s="103" t="s"/>
      <c r="T1786" s="103" t="s"/>
    </row>
    <row r="1787" spans="1:20">
      <c r="A1787" s="169" t="s"/>
      <c r="Q1787" s="103" t="s"/>
      <c r="S1787" s="103" t="s"/>
      <c r="T1787" s="103" t="s"/>
    </row>
    <row r="1788" spans="1:20">
      <c r="A1788" s="169" t="s"/>
      <c r="Q1788" s="103" t="s"/>
      <c r="S1788" s="103" t="s"/>
      <c r="T1788" s="103" t="s"/>
    </row>
    <row r="1789" spans="1:20">
      <c r="A1789" s="169" t="s"/>
      <c r="Q1789" s="103" t="s"/>
      <c r="S1789" s="103" t="s"/>
      <c r="T1789" s="103" t="s"/>
    </row>
    <row r="1790" spans="1:20">
      <c r="A1790" s="169" t="s"/>
      <c r="Q1790" s="103" t="s"/>
      <c r="S1790" s="103" t="s"/>
      <c r="T1790" s="103" t="s"/>
    </row>
    <row r="1791" spans="1:20">
      <c r="A1791" s="169" t="s"/>
      <c r="Q1791" s="103" t="s"/>
      <c r="S1791" s="103" t="s"/>
      <c r="T1791" s="103" t="s"/>
    </row>
    <row r="1792" spans="1:20">
      <c r="A1792" s="169" t="s"/>
      <c r="Q1792" s="103" t="s"/>
      <c r="S1792" s="103" t="s"/>
      <c r="T1792" s="103" t="s"/>
    </row>
    <row r="1793" spans="1:20">
      <c r="A1793" s="169" t="s"/>
      <c r="Q1793" s="103" t="s"/>
      <c r="S1793" s="103" t="s"/>
      <c r="T1793" s="103" t="s"/>
    </row>
    <row r="1794" spans="1:20">
      <c r="A1794" s="169" t="s"/>
      <c r="Q1794" s="103" t="s"/>
      <c r="S1794" s="103" t="s"/>
      <c r="T1794" s="103" t="s"/>
    </row>
    <row r="1795" spans="1:20">
      <c r="A1795" s="169" t="s"/>
      <c r="Q1795" s="103" t="s"/>
      <c r="S1795" s="103" t="s"/>
      <c r="T1795" s="103" t="s"/>
    </row>
    <row r="1796" spans="1:20">
      <c r="A1796" s="169" t="s"/>
      <c r="Q1796" s="103" t="s"/>
      <c r="S1796" s="103" t="s"/>
      <c r="T1796" s="103" t="s"/>
    </row>
    <row r="1797" spans="1:20">
      <c r="A1797" s="169" t="s"/>
      <c r="Q1797" s="103" t="s"/>
      <c r="S1797" s="103" t="s"/>
      <c r="T1797" s="103" t="s"/>
    </row>
    <row r="1798" spans="1:20">
      <c r="A1798" s="169" t="s"/>
      <c r="Q1798" s="103" t="s"/>
      <c r="S1798" s="103" t="s"/>
      <c r="T1798" s="103" t="s"/>
    </row>
    <row r="1799" spans="1:20">
      <c r="A1799" s="169" t="s"/>
      <c r="Q1799" s="103" t="s"/>
      <c r="S1799" s="103" t="s"/>
      <c r="T1799" s="103" t="s"/>
    </row>
    <row r="1800" spans="1:20">
      <c r="A1800" s="169" t="s"/>
      <c r="Q1800" s="103" t="s"/>
      <c r="S1800" s="103" t="s"/>
      <c r="T1800" s="103" t="s"/>
    </row>
    <row r="1801" spans="1:20">
      <c r="A1801" s="169" t="s"/>
      <c r="Q1801" s="103" t="s"/>
      <c r="S1801" s="103" t="s"/>
      <c r="T1801" s="103" t="s"/>
    </row>
    <row r="1802" spans="1:20">
      <c r="A1802" s="169" t="s"/>
      <c r="Q1802" s="103" t="s"/>
      <c r="S1802" s="103" t="s"/>
      <c r="T1802" s="103" t="s"/>
    </row>
    <row r="1803" spans="1:20">
      <c r="A1803" s="169" t="s"/>
      <c r="Q1803" s="103" t="s"/>
      <c r="S1803" s="103" t="s"/>
      <c r="T1803" s="103" t="s"/>
    </row>
    <row r="1804" spans="1:20">
      <c r="A1804" s="169" t="s"/>
      <c r="Q1804" s="103" t="s"/>
      <c r="S1804" s="103" t="s"/>
      <c r="T1804" s="103" t="s"/>
    </row>
    <row r="1805" spans="1:20">
      <c r="A1805" s="169" t="s"/>
      <c r="Q1805" s="103" t="s"/>
      <c r="S1805" s="103" t="s"/>
      <c r="T1805" s="103" t="s"/>
    </row>
    <row r="1806" spans="1:20">
      <c r="A1806" s="169" t="s"/>
      <c r="Q1806" s="103" t="s"/>
      <c r="S1806" s="103" t="s"/>
      <c r="T1806" s="103" t="s"/>
    </row>
    <row r="1807" spans="1:20">
      <c r="A1807" s="169" t="s"/>
      <c r="Q1807" s="103" t="s"/>
      <c r="S1807" s="103" t="s"/>
      <c r="T1807" s="103" t="s"/>
    </row>
    <row r="1808" spans="1:20">
      <c r="A1808" s="169" t="s"/>
      <c r="Q1808" s="103" t="s"/>
      <c r="S1808" s="103" t="s"/>
      <c r="T1808" s="103" t="s"/>
    </row>
    <row r="1809" spans="1:20">
      <c r="A1809" s="169" t="s"/>
      <c r="Q1809" s="103" t="s"/>
      <c r="S1809" s="103" t="s"/>
      <c r="T1809" s="103" t="s"/>
    </row>
    <row r="1810" spans="1:20">
      <c r="A1810" s="169" t="s"/>
      <c r="Q1810" s="103" t="s"/>
      <c r="S1810" s="103" t="s"/>
      <c r="T1810" s="103" t="s"/>
    </row>
    <row r="1811" spans="1:20">
      <c r="A1811" s="169" t="s"/>
      <c r="Q1811" s="103" t="s"/>
      <c r="S1811" s="103" t="s"/>
      <c r="T1811" s="103" t="s"/>
    </row>
    <row r="1812" spans="1:20">
      <c r="A1812" s="169" t="s"/>
      <c r="Q1812" s="103" t="s"/>
      <c r="S1812" s="103" t="s"/>
      <c r="T1812" s="103" t="s"/>
    </row>
    <row r="1813" spans="1:20">
      <c r="A1813" s="169" t="s"/>
      <c r="Q1813" s="103" t="s"/>
      <c r="S1813" s="103" t="s"/>
      <c r="T1813" s="103" t="s"/>
    </row>
    <row r="1814" spans="1:20">
      <c r="A1814" s="169" t="s"/>
      <c r="Q1814" s="103" t="s"/>
      <c r="S1814" s="103" t="s"/>
      <c r="T1814" s="103" t="s"/>
    </row>
    <row r="1815" spans="1:20">
      <c r="A1815" s="169" t="s"/>
      <c r="Q1815" s="103" t="s"/>
      <c r="S1815" s="103" t="s"/>
      <c r="T1815" s="103" t="s"/>
    </row>
    <row r="1816" spans="1:20">
      <c r="A1816" s="169" t="s"/>
      <c r="Q1816" s="103" t="s"/>
      <c r="S1816" s="103" t="s"/>
      <c r="T1816" s="103" t="s"/>
    </row>
    <row r="1817" spans="1:20">
      <c r="A1817" s="169" t="s"/>
      <c r="Q1817" s="103" t="s"/>
      <c r="S1817" s="103" t="s"/>
      <c r="T1817" s="103" t="s"/>
    </row>
    <row r="1818" spans="1:20">
      <c r="A1818" s="169" t="s"/>
      <c r="Q1818" s="103" t="s"/>
      <c r="S1818" s="103" t="s"/>
      <c r="T1818" s="103" t="s"/>
    </row>
    <row r="1819" spans="1:20">
      <c r="A1819" s="169" t="s"/>
      <c r="Q1819" s="103" t="s"/>
      <c r="S1819" s="103" t="s"/>
      <c r="T1819" s="103" t="s"/>
    </row>
    <row r="1820" spans="1:20">
      <c r="A1820" s="169" t="s"/>
      <c r="Q1820" s="103" t="s"/>
      <c r="S1820" s="103" t="s"/>
      <c r="T1820" s="103" t="s"/>
    </row>
    <row r="1821" spans="1:20">
      <c r="A1821" s="169" t="s"/>
      <c r="Q1821" s="103" t="s"/>
      <c r="S1821" s="103" t="s"/>
      <c r="T1821" s="103" t="s"/>
    </row>
    <row r="1822" spans="1:20">
      <c r="A1822" s="169" t="s"/>
      <c r="Q1822" s="103" t="s"/>
      <c r="S1822" s="103" t="s"/>
      <c r="T1822" s="103" t="s"/>
    </row>
    <row r="1823" spans="1:20">
      <c r="A1823" s="169" t="s"/>
      <c r="Q1823" s="103" t="s"/>
      <c r="S1823" s="103" t="s"/>
      <c r="T1823" s="103" t="s"/>
    </row>
    <row r="1824" spans="1:20">
      <c r="A1824" s="169" t="s"/>
      <c r="Q1824" s="103" t="s"/>
      <c r="S1824" s="103" t="s"/>
      <c r="T1824" s="103" t="s"/>
    </row>
    <row r="1825" spans="1:20">
      <c r="A1825" s="169" t="s"/>
      <c r="Q1825" s="103" t="s"/>
      <c r="S1825" s="103" t="s"/>
      <c r="T1825" s="103" t="s"/>
    </row>
    <row r="1826" spans="1:20">
      <c r="A1826" s="169" t="s"/>
      <c r="Q1826" s="103" t="s"/>
      <c r="S1826" s="103" t="s"/>
      <c r="T1826" s="103" t="s"/>
    </row>
    <row r="1827" spans="1:20">
      <c r="A1827" s="169" t="s"/>
      <c r="Q1827" s="103" t="s"/>
      <c r="S1827" s="103" t="s"/>
      <c r="T1827" s="103" t="s"/>
    </row>
    <row r="1828" spans="1:20">
      <c r="A1828" s="169" t="s"/>
      <c r="Q1828" s="103" t="s"/>
      <c r="S1828" s="103" t="s"/>
      <c r="T1828" s="103" t="s"/>
    </row>
    <row r="1829" spans="1:20">
      <c r="A1829" s="169" t="s"/>
      <c r="Q1829" s="103" t="s"/>
      <c r="S1829" s="103" t="s"/>
      <c r="T1829" s="103" t="s"/>
    </row>
    <row r="1830" spans="1:20">
      <c r="A1830" s="169" t="s"/>
      <c r="Q1830" s="103" t="s"/>
      <c r="S1830" s="103" t="s"/>
      <c r="T1830" s="103" t="s"/>
    </row>
    <row r="1831" spans="1:20">
      <c r="A1831" s="169" t="s"/>
      <c r="Q1831" s="103" t="s"/>
      <c r="S1831" s="103" t="s"/>
      <c r="T1831" s="103" t="s"/>
    </row>
    <row r="1832" spans="1:20">
      <c r="A1832" s="169" t="s"/>
      <c r="Q1832" s="103" t="s"/>
      <c r="S1832" s="103" t="s"/>
      <c r="T1832" s="103" t="s"/>
    </row>
    <row r="1833" spans="1:20">
      <c r="A1833" s="169" t="s"/>
      <c r="Q1833" s="103" t="s"/>
      <c r="S1833" s="103" t="s"/>
      <c r="T1833" s="103" t="s"/>
    </row>
    <row r="1834" spans="1:20">
      <c r="A1834" s="169" t="s"/>
      <c r="Q1834" s="103" t="s"/>
      <c r="S1834" s="103" t="s"/>
      <c r="T1834" s="103" t="s"/>
    </row>
    <row r="1835" spans="1:20">
      <c r="A1835" s="169" t="s"/>
      <c r="Q1835" s="103" t="s"/>
      <c r="S1835" s="103" t="s"/>
      <c r="T1835" s="103" t="s"/>
    </row>
    <row r="1836" spans="1:20">
      <c r="A1836" s="169" t="s"/>
      <c r="Q1836" s="103" t="s"/>
      <c r="S1836" s="103" t="s"/>
      <c r="T1836" s="103" t="s"/>
    </row>
    <row r="1837" spans="1:20">
      <c r="A1837" s="169" t="s"/>
      <c r="Q1837" s="103" t="s"/>
      <c r="S1837" s="103" t="s"/>
      <c r="T1837" s="103" t="s"/>
    </row>
    <row r="1838" spans="1:20">
      <c r="A1838" s="169" t="s"/>
      <c r="Q1838" s="103" t="s"/>
      <c r="S1838" s="103" t="s"/>
      <c r="T1838" s="103" t="s"/>
    </row>
    <row r="1839" spans="1:20">
      <c r="A1839" s="169" t="s"/>
      <c r="Q1839" s="103" t="s"/>
      <c r="S1839" s="103" t="s"/>
      <c r="T1839" s="103" t="s"/>
    </row>
    <row r="1840" spans="1:20">
      <c r="A1840" s="169" t="s"/>
      <c r="Q1840" s="103" t="s"/>
      <c r="S1840" s="103" t="s"/>
      <c r="T1840" s="103" t="s"/>
    </row>
    <row r="1841" spans="1:20">
      <c r="A1841" s="169" t="s"/>
      <c r="Q1841" s="103" t="s"/>
      <c r="S1841" s="103" t="s"/>
      <c r="T1841" s="103" t="s"/>
    </row>
    <row r="1842" spans="1:20">
      <c r="A1842" s="169" t="s"/>
      <c r="Q1842" s="103" t="s"/>
      <c r="S1842" s="103" t="s"/>
      <c r="T1842" s="103" t="s"/>
    </row>
    <row r="1843" spans="1:20">
      <c r="A1843" s="169" t="s"/>
      <c r="Q1843" s="103" t="s"/>
      <c r="S1843" s="103" t="s"/>
      <c r="T1843" s="103" t="s"/>
    </row>
    <row r="1844" spans="1:20">
      <c r="A1844" s="169" t="s"/>
      <c r="Q1844" s="103" t="s"/>
      <c r="S1844" s="103" t="s"/>
      <c r="T1844" s="103" t="s"/>
    </row>
    <row r="1845" spans="1:20">
      <c r="A1845" s="169" t="s"/>
      <c r="Q1845" s="103" t="s"/>
      <c r="S1845" s="103" t="s"/>
      <c r="T1845" s="103" t="s"/>
    </row>
    <row r="1846" spans="1:20">
      <c r="A1846" s="169" t="s"/>
      <c r="Q1846" s="103" t="s"/>
      <c r="S1846" s="103" t="s"/>
      <c r="T1846" s="103" t="s"/>
    </row>
    <row r="1847" spans="1:20">
      <c r="A1847" s="169" t="s"/>
      <c r="Q1847" s="103" t="s"/>
      <c r="S1847" s="103" t="s"/>
      <c r="T1847" s="103" t="s"/>
    </row>
    <row r="1848" spans="1:20">
      <c r="A1848" s="169" t="s"/>
      <c r="Q1848" s="103" t="s"/>
      <c r="S1848" s="103" t="s"/>
      <c r="T1848" s="103" t="s"/>
    </row>
    <row r="1849" spans="1:20">
      <c r="A1849" s="169" t="s"/>
      <c r="Q1849" s="103" t="s"/>
      <c r="S1849" s="103" t="s"/>
      <c r="T1849" s="103" t="s"/>
    </row>
    <row r="1850" spans="1:20">
      <c r="A1850" s="169" t="s"/>
      <c r="Q1850" s="103" t="s"/>
      <c r="S1850" s="103" t="s"/>
      <c r="T1850" s="103" t="s"/>
    </row>
    <row r="1851" spans="1:20">
      <c r="A1851" s="169" t="s"/>
      <c r="Q1851" s="103" t="s"/>
      <c r="S1851" s="103" t="s"/>
      <c r="T1851" s="103" t="s"/>
    </row>
    <row r="1852" spans="1:20">
      <c r="A1852" s="169" t="s"/>
      <c r="Q1852" s="103" t="s"/>
      <c r="S1852" s="103" t="s"/>
      <c r="T1852" s="103" t="s"/>
    </row>
    <row r="1853" spans="1:20">
      <c r="A1853" s="169" t="s"/>
      <c r="Q1853" s="103" t="s"/>
      <c r="S1853" s="103" t="s"/>
      <c r="T1853" s="103" t="s"/>
    </row>
    <row r="1854" spans="1:20">
      <c r="A1854" s="169" t="s"/>
      <c r="Q1854" s="103" t="s"/>
      <c r="S1854" s="103" t="s"/>
      <c r="T1854" s="103" t="s"/>
    </row>
    <row r="1855" spans="1:20">
      <c r="A1855" s="169" t="s"/>
      <c r="Q1855" s="103" t="s"/>
      <c r="S1855" s="103" t="s"/>
      <c r="T1855" s="103" t="s"/>
    </row>
    <row r="1856" spans="1:20">
      <c r="A1856" s="169" t="s"/>
      <c r="Q1856" s="103" t="s"/>
      <c r="S1856" s="103" t="s"/>
      <c r="T1856" s="103" t="s"/>
    </row>
    <row r="1857" spans="1:20">
      <c r="A1857" s="169" t="s"/>
      <c r="Q1857" s="103" t="s"/>
      <c r="S1857" s="103" t="s"/>
      <c r="T1857" s="103" t="s"/>
    </row>
    <row r="1858" spans="1:20">
      <c r="A1858" s="169" t="s"/>
      <c r="Q1858" s="103" t="s"/>
      <c r="S1858" s="103" t="s"/>
      <c r="T1858" s="103" t="s"/>
    </row>
    <row r="1859" spans="1:20">
      <c r="A1859" s="169" t="s"/>
      <c r="Q1859" s="103" t="s"/>
      <c r="S1859" s="103" t="s"/>
      <c r="T1859" s="103" t="s"/>
    </row>
    <row r="1860" spans="1:20">
      <c r="A1860" s="169" t="s"/>
      <c r="Q1860" s="103" t="s"/>
      <c r="S1860" s="103" t="s"/>
      <c r="T1860" s="103" t="s"/>
    </row>
    <row r="1861" spans="1:20">
      <c r="A1861" s="169" t="s"/>
      <c r="Q1861" s="103" t="s"/>
      <c r="S1861" s="103" t="s"/>
      <c r="T1861" s="103" t="s"/>
    </row>
    <row r="1862" spans="1:20">
      <c r="A1862" s="169" t="s"/>
      <c r="Q1862" s="103" t="s"/>
      <c r="S1862" s="103" t="s"/>
      <c r="T1862" s="103" t="s"/>
    </row>
    <row r="1863" spans="1:20">
      <c r="A1863" s="169" t="s"/>
      <c r="Q1863" s="103" t="s"/>
      <c r="S1863" s="103" t="s"/>
      <c r="T1863" s="103" t="s"/>
    </row>
    <row r="1864" spans="1:20">
      <c r="A1864" s="169" t="s"/>
      <c r="Q1864" s="103" t="s"/>
      <c r="S1864" s="103" t="s"/>
      <c r="T1864" s="103" t="s"/>
    </row>
    <row r="1865" spans="1:20">
      <c r="A1865" s="169" t="s"/>
      <c r="Q1865" s="103" t="s"/>
      <c r="S1865" s="103" t="s"/>
      <c r="T1865" s="103" t="s"/>
    </row>
    <row r="1866" spans="1:20">
      <c r="A1866" s="169" t="s"/>
      <c r="Q1866" s="103" t="s"/>
      <c r="S1866" s="103" t="s"/>
      <c r="T1866" s="103" t="s"/>
    </row>
    <row r="1867" spans="1:20">
      <c r="A1867" s="169" t="s"/>
      <c r="Q1867" s="103" t="s"/>
      <c r="S1867" s="103" t="s"/>
      <c r="T1867" s="103" t="s"/>
    </row>
    <row r="1868" spans="1:20">
      <c r="A1868" s="169" t="s"/>
      <c r="Q1868" s="103" t="s"/>
      <c r="S1868" s="103" t="s"/>
      <c r="T1868" s="103" t="s"/>
    </row>
    <row r="1869" spans="1:20">
      <c r="A1869" s="169" t="s"/>
      <c r="Q1869" s="103" t="s"/>
      <c r="S1869" s="103" t="s"/>
      <c r="T1869" s="103" t="s"/>
    </row>
    <row r="1870" spans="1:20">
      <c r="A1870" s="169" t="s"/>
      <c r="Q1870" s="103" t="s"/>
      <c r="S1870" s="103" t="s"/>
      <c r="T1870" s="103" t="s"/>
    </row>
    <row r="1871" spans="1:20">
      <c r="A1871" s="169" t="s"/>
      <c r="Q1871" s="103" t="s"/>
      <c r="S1871" s="103" t="s"/>
      <c r="T1871" s="103" t="s"/>
    </row>
    <row r="1872" spans="1:20">
      <c r="A1872" s="169" t="s"/>
      <c r="Q1872" s="103" t="s"/>
      <c r="S1872" s="103" t="s"/>
      <c r="T1872" s="103" t="s"/>
    </row>
    <row r="1873" spans="1:20">
      <c r="A1873" s="169" t="s"/>
      <c r="Q1873" s="103" t="s"/>
      <c r="S1873" s="103" t="s"/>
      <c r="T1873" s="103" t="s"/>
    </row>
    <row r="1874" spans="1:20">
      <c r="A1874" s="169" t="s"/>
      <c r="Q1874" s="103" t="s"/>
      <c r="S1874" s="103" t="s"/>
      <c r="T1874" s="103" t="s"/>
    </row>
    <row r="1875" spans="1:20">
      <c r="A1875" s="169" t="s"/>
      <c r="Q1875" s="103" t="s"/>
      <c r="S1875" s="103" t="s"/>
      <c r="T1875" s="103" t="s"/>
    </row>
    <row r="1876" spans="1:20">
      <c r="A1876" s="169" t="s"/>
      <c r="Q1876" s="103" t="s"/>
      <c r="S1876" s="103" t="s"/>
      <c r="T1876" s="103" t="s"/>
    </row>
    <row r="1877" spans="1:20">
      <c r="A1877" s="169" t="s"/>
      <c r="Q1877" s="103" t="s"/>
      <c r="S1877" s="103" t="s"/>
      <c r="T1877" s="103" t="s"/>
    </row>
    <row r="1878" spans="1:20">
      <c r="A1878" s="169" t="s"/>
      <c r="Q1878" s="103" t="s"/>
      <c r="S1878" s="103" t="s"/>
      <c r="T1878" s="103" t="s"/>
    </row>
    <row r="1879" spans="1:20">
      <c r="A1879" s="169" t="s"/>
      <c r="Q1879" s="103" t="s"/>
      <c r="S1879" s="103" t="s"/>
      <c r="T1879" s="103" t="s"/>
    </row>
    <row r="1880" spans="1:20">
      <c r="A1880" s="169" t="s"/>
      <c r="Q1880" s="103" t="s"/>
      <c r="S1880" s="103" t="s"/>
      <c r="T1880" s="103" t="s"/>
    </row>
    <row r="1881" spans="1:20">
      <c r="A1881" s="169" t="s"/>
      <c r="Q1881" s="103" t="s"/>
      <c r="S1881" s="103" t="s"/>
      <c r="T1881" s="103" t="s"/>
    </row>
    <row r="1882" spans="1:20">
      <c r="A1882" s="169" t="s"/>
      <c r="Q1882" s="103" t="s"/>
      <c r="S1882" s="103" t="s"/>
      <c r="T1882" s="103" t="s"/>
    </row>
    <row r="1883" spans="1:20">
      <c r="A1883" s="169" t="s"/>
      <c r="Q1883" s="103" t="s"/>
      <c r="S1883" s="103" t="s"/>
      <c r="T1883" s="103" t="s"/>
    </row>
    <row r="1884" spans="1:20">
      <c r="A1884" s="169" t="s"/>
      <c r="Q1884" s="103" t="s"/>
      <c r="S1884" s="103" t="s"/>
      <c r="T1884" s="103" t="s"/>
    </row>
    <row r="1885" spans="1:20">
      <c r="A1885" s="169" t="s"/>
      <c r="Q1885" s="103" t="s"/>
      <c r="S1885" s="103" t="s"/>
      <c r="T1885" s="103" t="s"/>
    </row>
    <row r="1886" spans="1:20">
      <c r="A1886" s="169" t="s"/>
      <c r="Q1886" s="103" t="s"/>
      <c r="S1886" s="103" t="s"/>
      <c r="T1886" s="103" t="s"/>
    </row>
    <row r="1887" spans="1:20">
      <c r="A1887" s="169" t="s"/>
      <c r="Q1887" s="103" t="s"/>
      <c r="S1887" s="103" t="s"/>
      <c r="T1887" s="103" t="s"/>
    </row>
    <row r="1888" spans="1:20">
      <c r="A1888" s="169" t="s"/>
      <c r="Q1888" s="103" t="s"/>
      <c r="S1888" s="103" t="s"/>
      <c r="T1888" s="103" t="s"/>
    </row>
    <row r="1889" spans="1:20">
      <c r="A1889" s="169" t="s"/>
      <c r="Q1889" s="103" t="s"/>
      <c r="S1889" s="103" t="s"/>
      <c r="T1889" s="103" t="s"/>
    </row>
    <row r="1890" spans="1:20">
      <c r="A1890" s="169" t="s"/>
      <c r="Q1890" s="103" t="s"/>
      <c r="S1890" s="103" t="s"/>
      <c r="T1890" s="103" t="s"/>
    </row>
    <row r="1891" spans="1:20">
      <c r="A1891" s="169" t="s"/>
      <c r="Q1891" s="103" t="s"/>
      <c r="S1891" s="103" t="s"/>
      <c r="T1891" s="103" t="s"/>
    </row>
    <row r="1892" spans="1:20">
      <c r="A1892" s="169" t="s"/>
      <c r="Q1892" s="103" t="s"/>
      <c r="S1892" s="103" t="s"/>
      <c r="T1892" s="103" t="s"/>
    </row>
    <row r="1893" spans="1:20">
      <c r="A1893" s="169" t="s"/>
      <c r="Q1893" s="103" t="s"/>
      <c r="S1893" s="103" t="s"/>
      <c r="T1893" s="103" t="s"/>
    </row>
    <row r="1894" spans="1:20">
      <c r="A1894" s="169" t="s"/>
      <c r="Q1894" s="103" t="s"/>
      <c r="S1894" s="103" t="s"/>
      <c r="T1894" s="103" t="s"/>
    </row>
    <row r="1895" spans="1:20">
      <c r="A1895" s="169" t="s"/>
      <c r="Q1895" s="103" t="s"/>
      <c r="S1895" s="103" t="s"/>
      <c r="T1895" s="103" t="s"/>
    </row>
    <row r="1896" spans="1:20">
      <c r="A1896" s="169" t="s"/>
      <c r="Q1896" s="103" t="s"/>
      <c r="S1896" s="103" t="s"/>
      <c r="T1896" s="103" t="s"/>
    </row>
    <row r="1897" spans="1:20">
      <c r="A1897" s="169" t="s"/>
      <c r="Q1897" s="103" t="s"/>
      <c r="S1897" s="103" t="s"/>
      <c r="T1897" s="103" t="s"/>
    </row>
    <row r="1898" spans="1:20">
      <c r="A1898" s="169" t="s"/>
      <c r="Q1898" s="103" t="s"/>
      <c r="S1898" s="103" t="s"/>
      <c r="T1898" s="103" t="s"/>
    </row>
    <row r="1899" spans="1:20">
      <c r="A1899" s="169" t="s"/>
      <c r="Q1899" s="103" t="s"/>
      <c r="S1899" s="103" t="s"/>
      <c r="T1899" s="103" t="s"/>
    </row>
    <row r="1900" spans="1:20">
      <c r="A1900" s="169" t="s"/>
      <c r="Q1900" s="103" t="s"/>
      <c r="S1900" s="103" t="s"/>
      <c r="T1900" s="103" t="s"/>
    </row>
    <row r="1901" spans="1:20">
      <c r="A1901" s="169" t="s"/>
      <c r="Q1901" s="103" t="s"/>
      <c r="S1901" s="103" t="s"/>
      <c r="T1901" s="103" t="s"/>
    </row>
    <row r="1902" spans="1:20">
      <c r="A1902" s="169" t="s"/>
      <c r="Q1902" s="103" t="s"/>
      <c r="S1902" s="103" t="s"/>
      <c r="T1902" s="103" t="s"/>
    </row>
    <row r="1903" spans="1:20">
      <c r="A1903" s="169" t="s"/>
      <c r="Q1903" s="103" t="s"/>
      <c r="S1903" s="103" t="s"/>
      <c r="T1903" s="103" t="s"/>
    </row>
    <row r="1904" spans="1:20">
      <c r="A1904" s="169" t="s"/>
      <c r="Q1904" s="103" t="s"/>
      <c r="S1904" s="103" t="s"/>
      <c r="T1904" s="103" t="s"/>
    </row>
    <row r="1905" spans="1:20">
      <c r="A1905" s="169" t="s"/>
      <c r="Q1905" s="103" t="s"/>
      <c r="S1905" s="103" t="s"/>
      <c r="T1905" s="103" t="s"/>
    </row>
    <row r="1906" spans="1:20">
      <c r="A1906" s="169" t="s"/>
      <c r="Q1906" s="103" t="s"/>
      <c r="S1906" s="103" t="s"/>
      <c r="T1906" s="103" t="s"/>
    </row>
    <row r="1907" spans="1:20">
      <c r="A1907" s="169" t="s"/>
      <c r="Q1907" s="103" t="s"/>
      <c r="S1907" s="103" t="s"/>
      <c r="T1907" s="103" t="s"/>
    </row>
    <row r="1908" spans="1:20">
      <c r="A1908" s="169" t="s"/>
      <c r="Q1908" s="103" t="s"/>
      <c r="S1908" s="103" t="s"/>
      <c r="T1908" s="103" t="s"/>
    </row>
    <row r="1909" spans="1:20">
      <c r="A1909" s="169" t="s"/>
      <c r="Q1909" s="103" t="s"/>
      <c r="S1909" s="103" t="s"/>
      <c r="T1909" s="103" t="s"/>
    </row>
    <row r="1910" spans="1:20">
      <c r="A1910" s="169" t="s"/>
      <c r="Q1910" s="103" t="s"/>
      <c r="S1910" s="103" t="s"/>
      <c r="T1910" s="103" t="s"/>
    </row>
    <row r="1911" spans="1:20">
      <c r="A1911" s="169" t="s"/>
      <c r="Q1911" s="103" t="s"/>
      <c r="S1911" s="103" t="s"/>
      <c r="T1911" s="103" t="s"/>
    </row>
    <row r="1912" spans="1:20">
      <c r="A1912" s="169" t="s"/>
      <c r="Q1912" s="103" t="s"/>
      <c r="S1912" s="103" t="s"/>
      <c r="T1912" s="103" t="s"/>
    </row>
    <row r="1913" spans="1:20">
      <c r="A1913" s="169" t="s"/>
      <c r="Q1913" s="103" t="s"/>
      <c r="S1913" s="103" t="s"/>
      <c r="T1913" s="103" t="s"/>
    </row>
    <row r="1914" spans="1:20">
      <c r="A1914" s="169" t="s"/>
      <c r="Q1914" s="103" t="s"/>
      <c r="S1914" s="103" t="s"/>
      <c r="T1914" s="103" t="s"/>
    </row>
    <row r="1915" spans="1:20">
      <c r="A1915" s="169" t="s"/>
      <c r="Q1915" s="103" t="s"/>
      <c r="S1915" s="103" t="s"/>
      <c r="T1915" s="103" t="s"/>
    </row>
    <row r="1916" spans="1:20">
      <c r="A1916" s="169" t="s"/>
      <c r="Q1916" s="103" t="s"/>
      <c r="S1916" s="103" t="s"/>
      <c r="T1916" s="103" t="s"/>
    </row>
    <row r="1917" spans="1:20">
      <c r="A1917" s="169" t="s"/>
      <c r="Q1917" s="103" t="s"/>
      <c r="S1917" s="103" t="s"/>
      <c r="T1917" s="103" t="s"/>
    </row>
    <row r="1918" spans="1:20">
      <c r="A1918" s="169" t="s"/>
      <c r="Q1918" s="103" t="s"/>
      <c r="S1918" s="103" t="s"/>
      <c r="T1918" s="103" t="s"/>
    </row>
    <row r="1919" spans="1:20">
      <c r="A1919" s="169" t="s"/>
      <c r="Q1919" s="103" t="s"/>
      <c r="S1919" s="103" t="s"/>
      <c r="T1919" s="103" t="s"/>
    </row>
    <row r="1920" spans="1:20">
      <c r="A1920" s="169" t="s"/>
      <c r="Q1920" s="103" t="s"/>
      <c r="S1920" s="103" t="s"/>
      <c r="T1920" s="103" t="s"/>
    </row>
    <row r="1921" spans="1:20">
      <c r="A1921" s="169" t="s"/>
      <c r="Q1921" s="103" t="s"/>
      <c r="S1921" s="103" t="s"/>
      <c r="T1921" s="103" t="s"/>
    </row>
    <row r="1922" spans="1:20">
      <c r="A1922" s="169" t="s"/>
      <c r="Q1922" s="103" t="s"/>
      <c r="S1922" s="103" t="s"/>
      <c r="T1922" s="103" t="s"/>
    </row>
    <row r="1923" spans="1:20">
      <c r="A1923" s="169" t="s"/>
      <c r="Q1923" s="103" t="s"/>
      <c r="S1923" s="103" t="s"/>
      <c r="T1923" s="103" t="s"/>
    </row>
    <row r="1924" spans="1:20">
      <c r="A1924" s="169" t="s"/>
      <c r="Q1924" s="103" t="s"/>
      <c r="S1924" s="103" t="s"/>
      <c r="T1924" s="103" t="s"/>
    </row>
    <row r="1925" spans="1:20">
      <c r="A1925" s="169" t="s"/>
      <c r="Q1925" s="103" t="s"/>
      <c r="S1925" s="103" t="s"/>
      <c r="T1925" s="103" t="s"/>
    </row>
    <row r="1926" spans="1:20">
      <c r="A1926" s="169" t="s"/>
      <c r="Q1926" s="103" t="s"/>
      <c r="S1926" s="103" t="s"/>
      <c r="T1926" s="103" t="s"/>
    </row>
    <row r="1927" spans="1:20">
      <c r="A1927" s="169" t="s"/>
      <c r="Q1927" s="103" t="s"/>
      <c r="S1927" s="103" t="s"/>
      <c r="T1927" s="103" t="s"/>
    </row>
    <row r="1928" spans="1:20">
      <c r="A1928" s="169" t="s"/>
      <c r="Q1928" s="103" t="s"/>
      <c r="S1928" s="103" t="s"/>
      <c r="T1928" s="103" t="s"/>
    </row>
    <row r="1929" spans="1:20">
      <c r="A1929" s="169" t="s"/>
      <c r="Q1929" s="103" t="s"/>
      <c r="S1929" s="103" t="s"/>
      <c r="T1929" s="103" t="s"/>
    </row>
    <row r="1930" spans="1:20">
      <c r="A1930" s="169" t="s"/>
      <c r="Q1930" s="103" t="s"/>
      <c r="S1930" s="103" t="s"/>
      <c r="T1930" s="103" t="s"/>
    </row>
    <row r="1931" spans="1:20">
      <c r="A1931" s="169" t="s"/>
      <c r="Q1931" s="103" t="s"/>
      <c r="S1931" s="103" t="s"/>
      <c r="T1931" s="103" t="s"/>
    </row>
    <row r="1932" spans="1:20">
      <c r="A1932" s="169" t="s"/>
      <c r="Q1932" s="103" t="s"/>
      <c r="S1932" s="103" t="s"/>
      <c r="T1932" s="103" t="s"/>
    </row>
    <row r="1933" spans="1:20">
      <c r="A1933" s="169" t="s"/>
      <c r="Q1933" s="103" t="s"/>
      <c r="S1933" s="103" t="s"/>
      <c r="T1933" s="103" t="s"/>
    </row>
    <row r="1934" spans="1:20">
      <c r="A1934" s="169" t="s"/>
      <c r="Q1934" s="103" t="s"/>
      <c r="S1934" s="103" t="s"/>
      <c r="T1934" s="103" t="s"/>
    </row>
    <row r="1935" spans="1:20">
      <c r="A1935" s="169" t="s"/>
      <c r="Q1935" s="103" t="s"/>
      <c r="S1935" s="103" t="s"/>
      <c r="T1935" s="103" t="s"/>
    </row>
    <row r="1936" spans="1:20">
      <c r="A1936" s="169" t="s"/>
      <c r="Q1936" s="103" t="s"/>
      <c r="S1936" s="103" t="s"/>
      <c r="T1936" s="103" t="s"/>
    </row>
    <row r="1937" spans="1:20">
      <c r="A1937" s="169" t="s"/>
      <c r="Q1937" s="103" t="s"/>
      <c r="S1937" s="103" t="s"/>
      <c r="T1937" s="103" t="s"/>
    </row>
    <row r="1938" spans="1:20">
      <c r="A1938" s="169" t="s"/>
      <c r="Q1938" s="103" t="s"/>
      <c r="S1938" s="103" t="s"/>
      <c r="T1938" s="103" t="s"/>
    </row>
    <row r="1939" spans="1:20">
      <c r="A1939" s="169" t="s"/>
      <c r="Q1939" s="103" t="s"/>
      <c r="S1939" s="103" t="s"/>
      <c r="T1939" s="103" t="s"/>
    </row>
    <row r="1940" spans="1:20">
      <c r="A1940" s="169" t="s"/>
      <c r="Q1940" s="103" t="s"/>
      <c r="S1940" s="103" t="s"/>
      <c r="T1940" s="103" t="s"/>
    </row>
    <row r="1941" spans="1:20">
      <c r="A1941" s="169" t="s"/>
      <c r="Q1941" s="103" t="s"/>
      <c r="S1941" s="103" t="s"/>
      <c r="T1941" s="103" t="s"/>
    </row>
    <row r="1942" spans="1:20">
      <c r="A1942" s="169" t="s"/>
      <c r="Q1942" s="103" t="s"/>
      <c r="S1942" s="103" t="s"/>
      <c r="T1942" s="103" t="s"/>
    </row>
    <row r="1943" spans="1:20">
      <c r="A1943" s="169" t="s"/>
      <c r="Q1943" s="103" t="s"/>
      <c r="S1943" s="103" t="s"/>
      <c r="T1943" s="103" t="s"/>
    </row>
    <row r="1944" spans="1:20">
      <c r="A1944" s="169" t="s"/>
      <c r="Q1944" s="103" t="s"/>
      <c r="S1944" s="103" t="s"/>
      <c r="T1944" s="103" t="s"/>
    </row>
    <row r="1945" spans="1:20">
      <c r="A1945" s="169" t="s"/>
      <c r="Q1945" s="103" t="s"/>
      <c r="S1945" s="103" t="s"/>
      <c r="T1945" s="103" t="s"/>
    </row>
    <row r="1946" spans="1:20">
      <c r="A1946" s="169" t="s"/>
      <c r="Q1946" s="103" t="s"/>
      <c r="S1946" s="103" t="s"/>
      <c r="T1946" s="103" t="s"/>
    </row>
    <row r="1947" spans="1:20">
      <c r="A1947" s="169" t="s"/>
      <c r="Q1947" s="103" t="s"/>
      <c r="S1947" s="103" t="s"/>
      <c r="T1947" s="103" t="s"/>
    </row>
    <row r="1948" spans="1:20">
      <c r="A1948" s="169" t="s"/>
      <c r="Q1948" s="103" t="s"/>
      <c r="S1948" s="103" t="s"/>
      <c r="T1948" s="103" t="s"/>
    </row>
    <row r="1949" spans="1:20">
      <c r="A1949" s="169" t="s"/>
      <c r="Q1949" s="103" t="s"/>
      <c r="S1949" s="103" t="s"/>
      <c r="T1949" s="103" t="s"/>
    </row>
    <row r="1950" spans="1:20">
      <c r="A1950" s="169" t="s"/>
      <c r="Q1950" s="103" t="s"/>
      <c r="S1950" s="103" t="s"/>
      <c r="T1950" s="103" t="s"/>
    </row>
    <row r="1951" spans="1:20">
      <c r="A1951" s="169" t="s"/>
      <c r="Q1951" s="103" t="s"/>
      <c r="S1951" s="103" t="s"/>
      <c r="T1951" s="103" t="s"/>
    </row>
    <row r="1952" spans="1:20">
      <c r="A1952" s="169" t="s"/>
      <c r="Q1952" s="103" t="s"/>
      <c r="S1952" s="103" t="s"/>
      <c r="T1952" s="103" t="s"/>
    </row>
    <row r="1953" spans="1:20">
      <c r="A1953" s="169" t="s"/>
      <c r="Q1953" s="103" t="s"/>
      <c r="S1953" s="103" t="s"/>
      <c r="T1953" s="103" t="s"/>
    </row>
    <row r="1954" spans="1:20">
      <c r="A1954" s="169" t="s"/>
      <c r="Q1954" s="103" t="s"/>
      <c r="S1954" s="103" t="s"/>
      <c r="T1954" s="103" t="s"/>
    </row>
    <row r="1955" spans="1:20">
      <c r="A1955" s="169" t="s"/>
      <c r="Q1955" s="103" t="s"/>
      <c r="S1955" s="103" t="s"/>
      <c r="T1955" s="103" t="s"/>
    </row>
    <row r="1956" spans="1:20">
      <c r="A1956" s="169" t="s"/>
      <c r="Q1956" s="103" t="s"/>
      <c r="S1956" s="103" t="s"/>
      <c r="T1956" s="103" t="s"/>
    </row>
    <row r="1957" spans="1:20">
      <c r="A1957" s="169" t="s"/>
      <c r="Q1957" s="103" t="s"/>
      <c r="S1957" s="103" t="s"/>
      <c r="T1957" s="103" t="s"/>
    </row>
    <row r="1958" spans="1:20">
      <c r="A1958" s="169" t="s"/>
      <c r="Q1958" s="103" t="s"/>
      <c r="S1958" s="103" t="s"/>
      <c r="T1958" s="103" t="s"/>
    </row>
    <row r="1959" spans="1:20">
      <c r="A1959" s="169" t="s"/>
      <c r="Q1959" s="103" t="s"/>
      <c r="S1959" s="103" t="s"/>
      <c r="T1959" s="103" t="s"/>
    </row>
    <row r="1960" spans="1:20">
      <c r="A1960" s="169" t="s"/>
      <c r="Q1960" s="103" t="s"/>
      <c r="S1960" s="103" t="s"/>
      <c r="T1960" s="103" t="s"/>
    </row>
    <row r="1961" spans="1:20">
      <c r="A1961" s="169" t="s"/>
      <c r="Q1961" s="103" t="s"/>
      <c r="S1961" s="103" t="s"/>
      <c r="T1961" s="103" t="s"/>
    </row>
    <row r="1962" spans="1:20">
      <c r="A1962" s="169" t="s"/>
      <c r="Q1962" s="103" t="s"/>
      <c r="S1962" s="103" t="s"/>
      <c r="T1962" s="103" t="s"/>
    </row>
    <row r="1963" spans="1:20">
      <c r="A1963" s="169" t="s"/>
      <c r="Q1963" s="103" t="s"/>
      <c r="S1963" s="103" t="s"/>
      <c r="T1963" s="103" t="s"/>
    </row>
    <row r="1964" spans="1:20">
      <c r="A1964" s="169" t="s"/>
      <c r="Q1964" s="103" t="s"/>
      <c r="S1964" s="103" t="s"/>
      <c r="T1964" s="103" t="s"/>
    </row>
    <row r="1965" spans="1:20">
      <c r="A1965" s="169" t="s"/>
      <c r="Q1965" s="103" t="s"/>
      <c r="S1965" s="103" t="s"/>
      <c r="T1965" s="103" t="s"/>
    </row>
    <row r="1966" spans="1:20">
      <c r="A1966" s="169" t="s"/>
      <c r="Q1966" s="103" t="s"/>
      <c r="S1966" s="103" t="s"/>
      <c r="T1966" s="103" t="s"/>
    </row>
    <row r="1967" spans="1:20">
      <c r="A1967" s="169" t="s"/>
      <c r="Q1967" s="103" t="s"/>
      <c r="S1967" s="103" t="s"/>
      <c r="T1967" s="103" t="s"/>
    </row>
    <row r="1968" spans="1:20">
      <c r="A1968" s="169" t="s"/>
      <c r="Q1968" s="103" t="s"/>
      <c r="S1968" s="103" t="s"/>
      <c r="T1968" s="103" t="s"/>
    </row>
    <row r="1969" spans="1:20">
      <c r="A1969" s="169" t="s"/>
      <c r="Q1969" s="103" t="s"/>
      <c r="S1969" s="103" t="s"/>
      <c r="T1969" s="103" t="s"/>
    </row>
    <row r="1970" spans="1:20">
      <c r="A1970" s="169" t="s"/>
      <c r="Q1970" s="103" t="s"/>
      <c r="S1970" s="103" t="s"/>
      <c r="T1970" s="103" t="s"/>
    </row>
    <row r="1971" spans="1:20">
      <c r="A1971" s="169" t="s"/>
      <c r="Q1971" s="103" t="s"/>
      <c r="S1971" s="103" t="s"/>
      <c r="T1971" s="103" t="s"/>
    </row>
    <row r="1972" spans="1:20">
      <c r="A1972" s="169" t="s"/>
      <c r="Q1972" s="103" t="s"/>
      <c r="S1972" s="103" t="s"/>
      <c r="T1972" s="103" t="s"/>
    </row>
    <row r="1973" spans="1:20">
      <c r="A1973" s="169" t="s"/>
      <c r="Q1973" s="103" t="s"/>
      <c r="S1973" s="103" t="s"/>
      <c r="T1973" s="103" t="s"/>
    </row>
    <row r="1974" spans="1:20">
      <c r="A1974" s="169" t="s"/>
      <c r="Q1974" s="103" t="s"/>
      <c r="S1974" s="103" t="s"/>
      <c r="T1974" s="103" t="s"/>
    </row>
    <row r="1975" spans="1:20">
      <c r="A1975" s="169" t="s"/>
      <c r="Q1975" s="103" t="s"/>
      <c r="S1975" s="103" t="s"/>
      <c r="T1975" s="103" t="s"/>
    </row>
    <row r="1976" spans="1:20">
      <c r="A1976" s="169" t="s"/>
      <c r="Q1976" s="103" t="s"/>
      <c r="S1976" s="103" t="s"/>
      <c r="T1976" s="103" t="s"/>
    </row>
    <row r="1977" spans="1:20">
      <c r="A1977" s="169" t="s"/>
      <c r="Q1977" s="103" t="s"/>
      <c r="S1977" s="103" t="s"/>
      <c r="T1977" s="103" t="s"/>
    </row>
    <row r="1978" spans="1:20">
      <c r="A1978" s="169" t="s"/>
      <c r="Q1978" s="103" t="s"/>
      <c r="S1978" s="103" t="s"/>
      <c r="T1978" s="103" t="s"/>
    </row>
    <row r="1979" spans="1:20">
      <c r="A1979" s="169" t="s"/>
      <c r="Q1979" s="103" t="s"/>
      <c r="S1979" s="103" t="s"/>
      <c r="T1979" s="103" t="s"/>
    </row>
    <row r="1980" spans="1:20">
      <c r="A1980" s="169" t="s"/>
      <c r="Q1980" s="103" t="s"/>
      <c r="S1980" s="103" t="s"/>
      <c r="T1980" s="103" t="s"/>
    </row>
    <row r="1981" spans="1:20">
      <c r="A1981" s="169" t="s"/>
      <c r="Q1981" s="103" t="s"/>
      <c r="S1981" s="103" t="s"/>
      <c r="T1981" s="103" t="s"/>
    </row>
    <row r="1982" spans="1:20">
      <c r="A1982" s="169" t="s"/>
      <c r="Q1982" s="103" t="s"/>
      <c r="S1982" s="103" t="s"/>
      <c r="T1982" s="103" t="s"/>
    </row>
    <row r="1983" spans="1:20">
      <c r="A1983" s="169" t="s"/>
      <c r="Q1983" s="103" t="s"/>
      <c r="S1983" s="103" t="s"/>
      <c r="T1983" s="103" t="s"/>
    </row>
    <row r="1984" spans="1:20">
      <c r="A1984" s="169" t="s"/>
      <c r="Q1984" s="103" t="s"/>
      <c r="S1984" s="103" t="s"/>
      <c r="T1984" s="103" t="s"/>
    </row>
    <row r="1985" spans="1:20">
      <c r="A1985" s="169" t="s"/>
      <c r="Q1985" s="103" t="s"/>
      <c r="S1985" s="103" t="s"/>
      <c r="T1985" s="103" t="s"/>
    </row>
    <row r="1986" spans="1:20">
      <c r="A1986" s="169" t="s"/>
      <c r="Q1986" s="103" t="s"/>
      <c r="S1986" s="103" t="s"/>
      <c r="T1986" s="103" t="s"/>
    </row>
    <row r="1987" spans="1:20">
      <c r="A1987" s="169" t="s"/>
      <c r="Q1987" s="103" t="s"/>
      <c r="S1987" s="103" t="s"/>
      <c r="T1987" s="103" t="s"/>
    </row>
    <row r="1988" spans="1:20">
      <c r="A1988" s="169" t="s"/>
      <c r="Q1988" s="103" t="s"/>
      <c r="S1988" s="103" t="s"/>
      <c r="T1988" s="103" t="s"/>
    </row>
    <row r="1989" spans="1:20">
      <c r="A1989" s="169" t="s"/>
      <c r="Q1989" s="103" t="s"/>
      <c r="S1989" s="103" t="s"/>
      <c r="T1989" s="103" t="s"/>
    </row>
    <row r="1990" spans="1:20">
      <c r="A1990" s="169" t="s"/>
      <c r="Q1990" s="103" t="s"/>
      <c r="S1990" s="103" t="s"/>
      <c r="T1990" s="103" t="s"/>
    </row>
    <row r="1991" spans="1:20">
      <c r="A1991" s="169" t="s"/>
      <c r="Q1991" s="103" t="s"/>
      <c r="S1991" s="103" t="s"/>
      <c r="T1991" s="103" t="s"/>
    </row>
    <row r="1992" spans="1:20">
      <c r="A1992" s="169" t="s"/>
      <c r="Q1992" s="103" t="s"/>
      <c r="S1992" s="103" t="s"/>
      <c r="T1992" s="103" t="s"/>
    </row>
    <row r="1993" spans="1:20">
      <c r="A1993" s="169" t="s"/>
      <c r="Q1993" s="103" t="s"/>
      <c r="S1993" s="103" t="s"/>
      <c r="T1993" s="103" t="s"/>
    </row>
    <row r="1994" spans="1:20">
      <c r="A1994" s="169" t="s"/>
      <c r="Q1994" s="103" t="s"/>
      <c r="S1994" s="103" t="s"/>
      <c r="T1994" s="103" t="s"/>
    </row>
    <row r="1995" spans="1:20">
      <c r="A1995" s="169" t="s"/>
      <c r="Q1995" s="103" t="s"/>
      <c r="S1995" s="103" t="s"/>
      <c r="T1995" s="103" t="s"/>
    </row>
    <row r="1996" spans="1:20">
      <c r="A1996" s="169" t="s"/>
      <c r="Q1996" s="103" t="s"/>
      <c r="S1996" s="103" t="s"/>
      <c r="T1996" s="103" t="s"/>
    </row>
    <row r="1997" spans="1:20">
      <c r="A1997" s="169" t="s"/>
      <c r="Q1997" s="103" t="s"/>
      <c r="S1997" s="103" t="s"/>
      <c r="T1997" s="103" t="s"/>
    </row>
    <row r="1998" spans="1:20">
      <c r="A1998" s="169" t="s"/>
      <c r="Q1998" s="103" t="s"/>
      <c r="S1998" s="103" t="s"/>
      <c r="T1998" s="103" t="s"/>
    </row>
    <row r="1999" spans="1:20">
      <c r="A1999" s="169" t="s"/>
      <c r="Q1999" s="103" t="s"/>
      <c r="S1999" s="103" t="s"/>
      <c r="T1999" s="103" t="s"/>
    </row>
    <row r="2000" spans="1:20">
      <c r="A2000" s="169" t="s"/>
      <c r="Q2000" s="103" t="s"/>
      <c r="S2000" s="103" t="s"/>
      <c r="T2000" s="103" t="s"/>
    </row>
    <row r="2001" spans="1:20">
      <c r="A2001" s="169" t="s"/>
      <c r="Q2001" s="103" t="s"/>
      <c r="S2001" s="103" t="s"/>
      <c r="T2001" s="103" t="s"/>
    </row>
    <row r="2002" spans="1:20">
      <c r="A2002" s="169" t="s"/>
      <c r="Q2002" s="103" t="s"/>
      <c r="S2002" s="103" t="s"/>
      <c r="T2002" s="103" t="s"/>
    </row>
    <row r="2003" spans="1:20">
      <c r="A2003" s="169" t="s"/>
      <c r="Q2003" s="103" t="s"/>
      <c r="S2003" s="103" t="s"/>
      <c r="T2003" s="103" t="s"/>
    </row>
    <row r="2004" spans="1:20">
      <c r="A2004" s="169" t="s"/>
      <c r="Q2004" s="103" t="s"/>
      <c r="S2004" s="103" t="s"/>
      <c r="T2004" s="103" t="s"/>
    </row>
    <row r="2005" spans="1:20">
      <c r="A2005" s="169" t="s"/>
      <c r="Q2005" s="103" t="s"/>
      <c r="S2005" s="103" t="s"/>
      <c r="T2005" s="103" t="s"/>
    </row>
    <row r="2006" spans="1:20">
      <c r="A2006" s="169" t="s"/>
      <c r="Q2006" s="103" t="s"/>
      <c r="S2006" s="103" t="s"/>
      <c r="T2006" s="103" t="s"/>
    </row>
    <row r="2007" spans="1:20">
      <c r="A2007" s="169" t="s"/>
      <c r="Q2007" s="103" t="s"/>
      <c r="S2007" s="103" t="s"/>
      <c r="T2007" s="103" t="s"/>
    </row>
    <row r="2008" spans="1:20">
      <c r="A2008" s="169" t="s"/>
      <c r="Q2008" s="103" t="s"/>
      <c r="S2008" s="103" t="s"/>
      <c r="T2008" s="103" t="s"/>
    </row>
    <row r="2009" spans="1:20">
      <c r="A2009" s="169" t="s"/>
      <c r="Q2009" s="103" t="s"/>
      <c r="S2009" s="103" t="s"/>
      <c r="T2009" s="103" t="s"/>
    </row>
    <row r="2010" spans="1:20">
      <c r="A2010" s="169" t="s"/>
      <c r="Q2010" s="103" t="s"/>
      <c r="S2010" s="103" t="s"/>
      <c r="T2010" s="103" t="s"/>
    </row>
    <row r="2011" spans="1:20">
      <c r="A2011" s="169" t="s"/>
      <c r="Q2011" s="103" t="s"/>
      <c r="S2011" s="103" t="s"/>
      <c r="T2011" s="103" t="s"/>
    </row>
    <row r="2012" spans="1:20">
      <c r="A2012" s="169" t="s"/>
      <c r="Q2012" s="103" t="s"/>
      <c r="S2012" s="103" t="s"/>
      <c r="T2012" s="103" t="s"/>
    </row>
    <row r="2013" spans="1:20">
      <c r="A2013" s="169" t="s"/>
      <c r="Q2013" s="103" t="s"/>
      <c r="S2013" s="103" t="s"/>
      <c r="T2013" s="103" t="s"/>
    </row>
    <row r="2014" spans="1:20">
      <c r="A2014" s="169" t="s"/>
      <c r="Q2014" s="103" t="s"/>
      <c r="S2014" s="103" t="s"/>
      <c r="T2014" s="103" t="s"/>
    </row>
    <row r="2015" spans="1:20">
      <c r="A2015" s="169" t="s"/>
      <c r="Q2015" s="103" t="s"/>
      <c r="S2015" s="103" t="s"/>
      <c r="T2015" s="103" t="s"/>
    </row>
    <row r="2016" spans="1:20">
      <c r="A2016" s="169" t="s"/>
      <c r="Q2016" s="103" t="s"/>
      <c r="S2016" s="103" t="s"/>
      <c r="T2016" s="103" t="s"/>
    </row>
    <row r="2017" spans="1:20">
      <c r="A2017" s="169" t="s"/>
      <c r="Q2017" s="103" t="s"/>
      <c r="S2017" s="103" t="s"/>
      <c r="T2017" s="103" t="s"/>
    </row>
    <row r="2018" spans="1:20">
      <c r="A2018" s="169" t="s"/>
      <c r="Q2018" s="103" t="s"/>
      <c r="S2018" s="103" t="s"/>
      <c r="T2018" s="103" t="s"/>
    </row>
    <row r="2019" spans="1:20">
      <c r="A2019" s="169" t="s"/>
      <c r="Q2019" s="103" t="s"/>
      <c r="S2019" s="103" t="s"/>
      <c r="T2019" s="103" t="s"/>
    </row>
    <row r="2020" spans="1:20">
      <c r="A2020" s="169" t="s"/>
      <c r="Q2020" s="103" t="s"/>
      <c r="S2020" s="103" t="s"/>
      <c r="T2020" s="103" t="s"/>
    </row>
    <row r="2021" spans="1:20">
      <c r="A2021" s="169" t="s"/>
      <c r="Q2021" s="103" t="s"/>
      <c r="S2021" s="103" t="s"/>
      <c r="T2021" s="103" t="s"/>
    </row>
    <row r="2022" spans="1:20">
      <c r="A2022" s="169" t="s"/>
      <c r="Q2022" s="103" t="s"/>
      <c r="S2022" s="103" t="s"/>
      <c r="T2022" s="103" t="s"/>
    </row>
    <row r="2023" spans="1:20">
      <c r="A2023" s="169" t="s"/>
      <c r="Q2023" s="103" t="s"/>
      <c r="S2023" s="103" t="s"/>
      <c r="T2023" s="103" t="s"/>
    </row>
    <row r="2024" spans="1:20">
      <c r="A2024" s="169" t="s"/>
      <c r="Q2024" s="103" t="s"/>
      <c r="S2024" s="103" t="s"/>
      <c r="T2024" s="103" t="s"/>
    </row>
    <row r="2025" spans="1:20">
      <c r="A2025" s="169" t="s"/>
      <c r="Q2025" s="103" t="s"/>
      <c r="S2025" s="103" t="s"/>
      <c r="T2025" s="103" t="s"/>
    </row>
    <row r="2026" spans="1:20">
      <c r="A2026" s="169" t="s"/>
      <c r="Q2026" s="103" t="s"/>
      <c r="S2026" s="103" t="s"/>
      <c r="T2026" s="103" t="s"/>
    </row>
    <row r="2027" spans="1:20">
      <c r="A2027" s="169" t="s"/>
      <c r="Q2027" s="103" t="s"/>
      <c r="S2027" s="103" t="s"/>
      <c r="T2027" s="103" t="s"/>
    </row>
    <row r="2028" spans="1:20">
      <c r="A2028" s="169" t="s"/>
      <c r="Q2028" s="103" t="s"/>
      <c r="S2028" s="103" t="s"/>
      <c r="T2028" s="103" t="s"/>
    </row>
    <row r="2029" spans="1:20">
      <c r="A2029" s="169" t="s"/>
      <c r="Q2029" s="103" t="s"/>
      <c r="S2029" s="103" t="s"/>
      <c r="T2029" s="103" t="s"/>
    </row>
    <row r="2030" spans="1:20">
      <c r="A2030" s="169" t="s"/>
      <c r="Q2030" s="103" t="s"/>
      <c r="S2030" s="103" t="s"/>
      <c r="T2030" s="103" t="s"/>
    </row>
    <row r="2031" spans="1:20">
      <c r="A2031" s="169" t="s"/>
      <c r="Q2031" s="103" t="s"/>
      <c r="S2031" s="103" t="s"/>
      <c r="T2031" s="103" t="s"/>
    </row>
    <row r="2032" spans="1:20">
      <c r="A2032" s="169" t="s"/>
      <c r="Q2032" s="103" t="s"/>
      <c r="S2032" s="103" t="s"/>
      <c r="T2032" s="103" t="s"/>
    </row>
    <row r="2033" spans="1:20">
      <c r="A2033" s="169" t="s"/>
      <c r="Q2033" s="103" t="s"/>
      <c r="S2033" s="103" t="s"/>
      <c r="T2033" s="103" t="s"/>
    </row>
    <row r="2034" spans="1:20">
      <c r="A2034" s="169" t="s"/>
      <c r="Q2034" s="103" t="s"/>
      <c r="S2034" s="103" t="s"/>
      <c r="T2034" s="103" t="s"/>
    </row>
    <row r="2035" spans="1:20">
      <c r="A2035" s="169" t="s"/>
      <c r="Q2035" s="103" t="s"/>
      <c r="S2035" s="103" t="s"/>
      <c r="T2035" s="103" t="s"/>
    </row>
    <row r="2036" spans="1:20">
      <c r="A2036" s="169" t="s"/>
      <c r="Q2036" s="103" t="s"/>
      <c r="S2036" s="103" t="s"/>
      <c r="T2036" s="103" t="s"/>
    </row>
    <row r="2037" spans="1:20">
      <c r="A2037" s="169" t="s"/>
      <c r="Q2037" s="103" t="s"/>
      <c r="S2037" s="103" t="s"/>
      <c r="T2037" s="103" t="s"/>
    </row>
    <row r="2038" spans="1:20">
      <c r="A2038" s="169" t="s"/>
      <c r="Q2038" s="103" t="s"/>
      <c r="S2038" s="103" t="s"/>
      <c r="T2038" s="103" t="s"/>
    </row>
    <row r="2039" spans="1:20">
      <c r="A2039" s="169" t="s"/>
      <c r="Q2039" s="103" t="s"/>
      <c r="S2039" s="103" t="s"/>
      <c r="T2039" s="103" t="s"/>
    </row>
    <row r="2040" spans="1:20">
      <c r="A2040" s="169" t="s"/>
      <c r="Q2040" s="103" t="s"/>
      <c r="S2040" s="103" t="s"/>
      <c r="T2040" s="103" t="s"/>
    </row>
    <row r="2041" spans="1:20">
      <c r="A2041" s="169" t="s"/>
      <c r="Q2041" s="103" t="s"/>
      <c r="S2041" s="103" t="s"/>
      <c r="T2041" s="103" t="s"/>
    </row>
    <row r="2042" spans="1:20">
      <c r="A2042" s="169" t="s"/>
      <c r="Q2042" s="103" t="s"/>
      <c r="S2042" s="103" t="s"/>
      <c r="T2042" s="103" t="s"/>
    </row>
    <row r="2043" spans="1:20">
      <c r="A2043" s="169" t="s"/>
      <c r="Q2043" s="103" t="s"/>
      <c r="S2043" s="103" t="s"/>
      <c r="T2043" s="103" t="s"/>
    </row>
    <row r="2044" spans="1:20">
      <c r="A2044" s="169" t="s"/>
      <c r="Q2044" s="103" t="s"/>
      <c r="S2044" s="103" t="s"/>
      <c r="T2044" s="103" t="s"/>
    </row>
    <row r="2045" spans="1:20">
      <c r="A2045" s="169" t="s"/>
      <c r="Q2045" s="103" t="s"/>
      <c r="S2045" s="103" t="s"/>
      <c r="T2045" s="103" t="s"/>
    </row>
    <row r="2046" spans="1:20">
      <c r="A2046" s="169" t="s"/>
      <c r="Q2046" s="103" t="s"/>
      <c r="S2046" s="103" t="s"/>
      <c r="T2046" s="103" t="s"/>
    </row>
    <row r="2047" spans="1:20">
      <c r="A2047" s="169" t="s"/>
      <c r="Q2047" s="103" t="s"/>
      <c r="S2047" s="103" t="s"/>
      <c r="T2047" s="103" t="s"/>
    </row>
    <row r="2048" spans="1:20">
      <c r="A2048" s="169" t="s"/>
      <c r="Q2048" s="103" t="s"/>
      <c r="S2048" s="103" t="s"/>
      <c r="T2048" s="103" t="s"/>
    </row>
    <row r="2049" spans="1:20">
      <c r="A2049" s="169" t="s"/>
      <c r="Q2049" s="103" t="s"/>
      <c r="S2049" s="103" t="s"/>
      <c r="T2049" s="103" t="s"/>
    </row>
    <row r="2050" spans="1:20">
      <c r="A2050" s="169" t="s"/>
      <c r="Q2050" s="103" t="s"/>
      <c r="S2050" s="103" t="s"/>
      <c r="T2050" s="103" t="s"/>
    </row>
    <row r="2051" spans="1:20">
      <c r="A2051" s="169" t="s"/>
      <c r="Q2051" s="103" t="s"/>
      <c r="S2051" s="103" t="s"/>
      <c r="T2051" s="103" t="s"/>
    </row>
    <row r="2052" spans="1:20">
      <c r="A2052" s="169" t="s"/>
      <c r="Q2052" s="103" t="s"/>
      <c r="S2052" s="103" t="s"/>
      <c r="T2052" s="103" t="s"/>
    </row>
    <row r="2053" spans="1:20">
      <c r="A2053" s="169" t="s"/>
      <c r="Q2053" s="103" t="s"/>
      <c r="S2053" s="103" t="s"/>
      <c r="T2053" s="103" t="s"/>
    </row>
    <row r="2054" spans="1:20">
      <c r="A2054" s="169" t="s"/>
      <c r="Q2054" s="103" t="s"/>
      <c r="S2054" s="103" t="s"/>
      <c r="T2054" s="103" t="s"/>
    </row>
    <row r="2055" spans="1:20">
      <c r="A2055" s="169" t="s"/>
      <c r="Q2055" s="103" t="s"/>
      <c r="S2055" s="103" t="s"/>
      <c r="T2055" s="103" t="s"/>
    </row>
    <row r="2056" spans="1:20">
      <c r="A2056" s="169" t="s"/>
      <c r="Q2056" s="103" t="s"/>
      <c r="S2056" s="103" t="s"/>
      <c r="T2056" s="103" t="s"/>
    </row>
    <row r="2057" spans="1:20">
      <c r="A2057" s="169" t="s"/>
      <c r="Q2057" s="103" t="s"/>
      <c r="S2057" s="103" t="s"/>
      <c r="T2057" s="103" t="s"/>
    </row>
    <row r="2058" spans="1:20">
      <c r="A2058" s="169" t="s"/>
      <c r="Q2058" s="103" t="s"/>
      <c r="S2058" s="103" t="s"/>
      <c r="T2058" s="103" t="s"/>
    </row>
    <row r="2059" spans="1:20">
      <c r="A2059" s="169" t="s"/>
      <c r="Q2059" s="103" t="s"/>
      <c r="S2059" s="103" t="s"/>
      <c r="T2059" s="103" t="s"/>
    </row>
    <row r="2060" spans="1:20">
      <c r="A2060" s="169" t="s"/>
      <c r="Q2060" s="103" t="s"/>
      <c r="S2060" s="103" t="s"/>
      <c r="T2060" s="103" t="s"/>
    </row>
    <row r="2061" spans="1:20">
      <c r="A2061" s="169" t="s"/>
      <c r="Q2061" s="103" t="s"/>
      <c r="S2061" s="103" t="s"/>
      <c r="T2061" s="103" t="s"/>
    </row>
    <row r="2062" spans="1:20">
      <c r="A2062" s="169" t="s"/>
      <c r="Q2062" s="103" t="s"/>
      <c r="S2062" s="103" t="s"/>
      <c r="T2062" s="103" t="s"/>
    </row>
    <row r="2063" spans="1:20">
      <c r="A2063" s="169" t="s"/>
      <c r="Q2063" s="103" t="s"/>
      <c r="S2063" s="103" t="s"/>
      <c r="T2063" s="103" t="s"/>
    </row>
    <row r="2064" spans="1:20">
      <c r="A2064" s="169" t="s"/>
      <c r="Q2064" s="103" t="s"/>
      <c r="S2064" s="103" t="s"/>
      <c r="T2064" s="103" t="s"/>
    </row>
    <row r="2065" spans="1:20">
      <c r="A2065" s="169" t="s"/>
      <c r="Q2065" s="103" t="s"/>
      <c r="S2065" s="103" t="s"/>
      <c r="T2065" s="103" t="s"/>
    </row>
    <row r="2066" spans="1:20">
      <c r="A2066" s="169" t="s"/>
      <c r="Q2066" s="103" t="s"/>
      <c r="S2066" s="103" t="s"/>
      <c r="T2066" s="103" t="s"/>
    </row>
    <row r="2067" spans="1:20">
      <c r="A2067" s="169" t="s"/>
      <c r="Q2067" s="103" t="s"/>
      <c r="S2067" s="103" t="s"/>
      <c r="T2067" s="103" t="s"/>
    </row>
    <row r="2068" spans="1:20">
      <c r="A2068" s="169" t="s"/>
      <c r="Q2068" s="103" t="s"/>
      <c r="S2068" s="103" t="s"/>
      <c r="T2068" s="103" t="s"/>
    </row>
    <row r="2069" spans="1:20">
      <c r="A2069" s="169" t="s"/>
      <c r="Q2069" s="103" t="s"/>
      <c r="S2069" s="103" t="s"/>
      <c r="T2069" s="103" t="s"/>
    </row>
    <row r="2070" spans="1:20">
      <c r="A2070" s="169" t="s"/>
      <c r="Q2070" s="103" t="s"/>
      <c r="S2070" s="103" t="s"/>
      <c r="T2070" s="103" t="s"/>
    </row>
    <row r="2071" spans="1:20">
      <c r="A2071" s="169" t="s"/>
      <c r="Q2071" s="103" t="s"/>
      <c r="S2071" s="103" t="s"/>
      <c r="T2071" s="103" t="s"/>
    </row>
    <row r="2072" spans="1:20">
      <c r="A2072" s="169" t="s"/>
      <c r="Q2072" s="103" t="s"/>
      <c r="S2072" s="103" t="s"/>
      <c r="T2072" s="103" t="s"/>
    </row>
    <row r="2073" spans="1:20">
      <c r="A2073" s="169" t="s"/>
      <c r="Q2073" s="103" t="s"/>
      <c r="S2073" s="103" t="s"/>
      <c r="T2073" s="103" t="s"/>
    </row>
    <row r="2074" spans="1:20">
      <c r="A2074" s="169" t="s"/>
      <c r="Q2074" s="103" t="s"/>
      <c r="S2074" s="103" t="s"/>
      <c r="T2074" s="103" t="s"/>
    </row>
    <row r="2075" spans="1:20">
      <c r="A2075" s="169" t="s"/>
      <c r="Q2075" s="103" t="s"/>
      <c r="S2075" s="103" t="s"/>
      <c r="T2075" s="103" t="s"/>
    </row>
    <row r="2076" spans="1:20">
      <c r="A2076" s="169" t="s"/>
      <c r="Q2076" s="103" t="s"/>
      <c r="S2076" s="103" t="s"/>
      <c r="T2076" s="103" t="s"/>
    </row>
    <row r="2077" spans="1:20">
      <c r="A2077" s="169" t="s"/>
      <c r="Q2077" s="103" t="s"/>
      <c r="S2077" s="103" t="s"/>
      <c r="T2077" s="103" t="s"/>
    </row>
    <row r="2078" spans="1:20">
      <c r="A2078" s="169" t="s"/>
      <c r="Q2078" s="103" t="s"/>
      <c r="S2078" s="103" t="s"/>
      <c r="T2078" s="103" t="s"/>
    </row>
    <row r="2079" spans="1:20">
      <c r="A2079" s="169" t="s"/>
      <c r="Q2079" s="103" t="s"/>
      <c r="S2079" s="103" t="s"/>
      <c r="T2079" s="103" t="s"/>
    </row>
    <row r="2080" spans="1:20">
      <c r="A2080" s="169" t="s"/>
      <c r="Q2080" s="103" t="s"/>
      <c r="S2080" s="103" t="s"/>
      <c r="T2080" s="103" t="s"/>
    </row>
    <row r="2081" spans="1:20">
      <c r="A2081" s="169" t="s"/>
      <c r="Q2081" s="103" t="s"/>
      <c r="S2081" s="103" t="s"/>
      <c r="T2081" s="103" t="s"/>
    </row>
    <row r="2082" spans="1:20">
      <c r="A2082" s="169" t="s"/>
      <c r="Q2082" s="103" t="s"/>
      <c r="S2082" s="103" t="s"/>
      <c r="T2082" s="103" t="s"/>
    </row>
    <row r="2083" spans="1:20">
      <c r="A2083" s="169" t="s"/>
      <c r="Q2083" s="103" t="s"/>
      <c r="S2083" s="103" t="s"/>
      <c r="T2083" s="103" t="s"/>
    </row>
    <row r="2084" spans="1:20">
      <c r="A2084" s="169" t="s"/>
      <c r="Q2084" s="103" t="s"/>
      <c r="S2084" s="103" t="s"/>
      <c r="T2084" s="103" t="s"/>
    </row>
    <row r="2085" spans="1:20">
      <c r="A2085" s="169" t="s"/>
      <c r="Q2085" s="103" t="s"/>
      <c r="S2085" s="103" t="s"/>
      <c r="T2085" s="103" t="s"/>
    </row>
    <row r="2086" spans="1:20">
      <c r="A2086" s="169" t="s"/>
      <c r="Q2086" s="103" t="s"/>
      <c r="S2086" s="103" t="s"/>
      <c r="T2086" s="103" t="s"/>
    </row>
    <row r="2087" spans="1:20">
      <c r="A2087" s="169" t="s"/>
      <c r="Q2087" s="103" t="s"/>
      <c r="S2087" s="103" t="s"/>
      <c r="T2087" s="103" t="s"/>
    </row>
    <row r="2088" spans="1:20">
      <c r="A2088" s="169" t="s"/>
      <c r="Q2088" s="103" t="s"/>
      <c r="S2088" s="103" t="s"/>
      <c r="T2088" s="103" t="s"/>
    </row>
    <row r="2089" spans="1:20">
      <c r="A2089" s="169" t="s"/>
      <c r="Q2089" s="103" t="s"/>
      <c r="S2089" s="103" t="s"/>
      <c r="T2089" s="103" t="s"/>
    </row>
    <row r="2090" spans="1:20">
      <c r="A2090" s="169" t="s"/>
      <c r="Q2090" s="103" t="s"/>
      <c r="S2090" s="103" t="s"/>
      <c r="T2090" s="103" t="s"/>
    </row>
    <row r="2091" spans="1:20">
      <c r="A2091" s="169" t="s"/>
      <c r="Q2091" s="103" t="s"/>
      <c r="S2091" s="103" t="s"/>
      <c r="T2091" s="103" t="s"/>
    </row>
    <row r="2092" spans="1:20">
      <c r="A2092" s="169" t="s"/>
      <c r="Q2092" s="103" t="s"/>
      <c r="S2092" s="103" t="s"/>
      <c r="T2092" s="103" t="s"/>
    </row>
    <row r="2093" spans="1:20">
      <c r="A2093" s="169" t="s"/>
      <c r="Q2093" s="103" t="s"/>
      <c r="S2093" s="103" t="s"/>
      <c r="T2093" s="103" t="s"/>
    </row>
    <row r="2094" spans="1:20">
      <c r="A2094" s="169" t="s"/>
      <c r="Q2094" s="103" t="s"/>
      <c r="S2094" s="103" t="s"/>
      <c r="T2094" s="103" t="s"/>
    </row>
    <row r="2095" spans="1:20">
      <c r="A2095" s="169" t="s"/>
      <c r="Q2095" s="103" t="s"/>
      <c r="S2095" s="103" t="s"/>
      <c r="T2095" s="103" t="s"/>
    </row>
    <row r="2096" spans="1:20">
      <c r="A2096" s="169" t="s"/>
      <c r="Q2096" s="103" t="s"/>
      <c r="S2096" s="103" t="s"/>
      <c r="T2096" s="103" t="s"/>
    </row>
    <row r="2097" spans="1:20">
      <c r="A2097" s="169" t="s"/>
      <c r="Q2097" s="103" t="s"/>
      <c r="S2097" s="103" t="s"/>
      <c r="T2097" s="103" t="s"/>
    </row>
    <row r="2098" spans="1:20">
      <c r="A2098" s="169" t="s"/>
      <c r="Q2098" s="103" t="s"/>
      <c r="S2098" s="103" t="s"/>
      <c r="T2098" s="103" t="s"/>
    </row>
    <row r="2099" spans="1:20">
      <c r="A2099" s="169" t="s"/>
      <c r="Q2099" s="103" t="s"/>
      <c r="S2099" s="103" t="s"/>
      <c r="T2099" s="103" t="s"/>
    </row>
    <row r="2100" spans="1:20">
      <c r="A2100" s="169" t="s"/>
      <c r="Q2100" s="103" t="s"/>
      <c r="S2100" s="103" t="s"/>
      <c r="T2100" s="103" t="s"/>
    </row>
    <row r="2101" spans="1:20">
      <c r="A2101" s="169" t="s"/>
      <c r="Q2101" s="103" t="s"/>
      <c r="S2101" s="103" t="s"/>
      <c r="T2101" s="103" t="s"/>
    </row>
    <row r="2102" spans="1:20">
      <c r="A2102" s="169" t="s"/>
      <c r="Q2102" s="103" t="s"/>
      <c r="S2102" s="103" t="s"/>
      <c r="T2102" s="103" t="s"/>
    </row>
    <row r="2103" spans="1:20">
      <c r="A2103" s="169" t="s"/>
      <c r="Q2103" s="103" t="s"/>
      <c r="S2103" s="103" t="s"/>
      <c r="T2103" s="103" t="s"/>
    </row>
    <row r="2104" spans="1:20">
      <c r="A2104" s="169" t="s"/>
      <c r="Q2104" s="103" t="s"/>
      <c r="S2104" s="103" t="s"/>
      <c r="T2104" s="103" t="s"/>
    </row>
    <row r="2105" spans="1:20">
      <c r="A2105" s="169" t="s"/>
      <c r="Q2105" s="103" t="s"/>
      <c r="S2105" s="103" t="s"/>
      <c r="T2105" s="103" t="s"/>
    </row>
    <row r="2106" spans="1:20">
      <c r="A2106" s="169" t="s"/>
      <c r="Q2106" s="103" t="s"/>
      <c r="S2106" s="103" t="s"/>
      <c r="T2106" s="103" t="s"/>
    </row>
    <row r="2107" spans="1:20">
      <c r="A2107" s="169" t="s"/>
      <c r="Q2107" s="103" t="s"/>
      <c r="S2107" s="103" t="s"/>
      <c r="T2107" s="103" t="s"/>
    </row>
    <row r="2108" spans="1:20">
      <c r="A2108" s="169" t="s"/>
      <c r="Q2108" s="103" t="s"/>
      <c r="S2108" s="103" t="s"/>
      <c r="T2108" s="103" t="s"/>
    </row>
    <row r="2109" spans="1:20">
      <c r="A2109" s="169" t="s"/>
      <c r="Q2109" s="103" t="s"/>
      <c r="S2109" s="103" t="s"/>
      <c r="T2109" s="103" t="s"/>
    </row>
    <row r="2110" spans="1:20">
      <c r="A2110" s="169" t="s"/>
      <c r="Q2110" s="103" t="s"/>
      <c r="S2110" s="103" t="s"/>
      <c r="T2110" s="103" t="s"/>
    </row>
    <row r="2111" spans="1:20">
      <c r="A2111" s="169" t="s"/>
      <c r="Q2111" s="103" t="s"/>
      <c r="S2111" s="103" t="s"/>
      <c r="T2111" s="103" t="s"/>
    </row>
    <row r="2112" spans="1:20">
      <c r="A2112" s="169" t="s"/>
      <c r="Q2112" s="103" t="s"/>
      <c r="S2112" s="103" t="s"/>
      <c r="T2112" s="103" t="s"/>
    </row>
    <row r="2113" spans="1:20">
      <c r="A2113" s="169" t="s"/>
      <c r="Q2113" s="103" t="s"/>
      <c r="S2113" s="103" t="s"/>
      <c r="T2113" s="103" t="s"/>
    </row>
    <row r="2114" spans="1:20">
      <c r="A2114" s="169" t="s"/>
      <c r="Q2114" s="103" t="s"/>
      <c r="S2114" s="103" t="s"/>
      <c r="T2114" s="103" t="s"/>
    </row>
    <row r="2115" spans="1:20">
      <c r="A2115" s="169" t="s"/>
      <c r="Q2115" s="103" t="s"/>
      <c r="S2115" s="103" t="s"/>
      <c r="T2115" s="103" t="s"/>
    </row>
    <row r="2116" spans="1:20">
      <c r="A2116" s="169" t="s"/>
      <c r="Q2116" s="103" t="s"/>
      <c r="S2116" s="103" t="s"/>
      <c r="T2116" s="103" t="s"/>
    </row>
    <row r="2117" spans="1:20">
      <c r="A2117" s="169" t="s"/>
      <c r="Q2117" s="103" t="s"/>
      <c r="S2117" s="103" t="s"/>
      <c r="T2117" s="103" t="s"/>
    </row>
    <row r="2118" spans="1:20">
      <c r="A2118" s="169" t="s"/>
      <c r="Q2118" s="103" t="s"/>
      <c r="S2118" s="103" t="s"/>
      <c r="T2118" s="103" t="s"/>
    </row>
    <row r="2119" spans="1:20">
      <c r="A2119" s="169" t="s"/>
      <c r="Q2119" s="103" t="s"/>
      <c r="S2119" s="103" t="s"/>
      <c r="T2119" s="103" t="s"/>
    </row>
    <row r="2120" spans="1:20">
      <c r="A2120" s="169" t="s"/>
      <c r="Q2120" s="103" t="s"/>
      <c r="S2120" s="103" t="s"/>
      <c r="T2120" s="103" t="s"/>
    </row>
    <row r="2121" spans="1:20">
      <c r="A2121" s="169" t="s"/>
      <c r="Q2121" s="103" t="s"/>
      <c r="S2121" s="103" t="s"/>
      <c r="T2121" s="103" t="s"/>
    </row>
    <row r="2122" spans="1:1">
      <c r="A2122" s="169" t="s"/>
    </row>
    <row r="2123" spans="15:16">
      <c r="O2123" s="411" t="s"/>
      <c r="P2123" s="258" t="s"/>
    </row>
    <row r="2124" spans="15:16">
      <c r="O2124" s="411" t="s"/>
      <c r="P2124" s="258" t="s"/>
    </row>
    <row r="2125" spans="15:16">
      <c r="O2125" s="411" t="s"/>
      <c r="P2125" s="258" t="s"/>
    </row>
    <row r="2126" spans="15:16">
      <c r="O2126" s="411" t="s"/>
      <c r="P2126" s="258" t="s"/>
    </row>
    <row r="2127" spans="15:16">
      <c r="O2127" s="411" t="s"/>
      <c r="P2127" s="258" t="s"/>
    </row>
    <row r="2128" spans="15:16">
      <c r="O2128" s="411" t="s"/>
      <c r="P2128" s="258" t="s"/>
    </row>
    <row r="2129" spans="15:16">
      <c r="O2129" s="411" t="s"/>
      <c r="P2129" s="258" t="s"/>
    </row>
    <row r="2130" spans="15:16">
      <c r="O2130" s="411" t="s"/>
      <c r="P2130" s="258" t="s"/>
    </row>
    <row r="2131" spans="15:16">
      <c r="O2131" s="411" t="s"/>
      <c r="P2131" s="258" t="s"/>
    </row>
    <row r="2132" spans="15:16">
      <c r="O2132" s="411" t="s"/>
      <c r="P2132" s="258" t="s"/>
    </row>
    <row r="2133" spans="15:16">
      <c r="O2133" s="411" t="s"/>
      <c r="P2133" s="258" t="s"/>
    </row>
    <row r="2134" spans="15:16">
      <c r="O2134" s="411" t="s"/>
      <c r="P2134" s="258" t="s"/>
    </row>
    <row r="2135" spans="15:16">
      <c r="O2135" s="411" t="s"/>
      <c r="P2135" s="258" t="s"/>
    </row>
    <row r="2136" spans="15:16">
      <c r="O2136" s="411" t="s"/>
      <c r="P2136" s="258" t="s"/>
    </row>
    <row r="2137" spans="15:16">
      <c r="O2137" s="411" t="s"/>
      <c r="P2137" s="258" t="s"/>
    </row>
    <row r="2138" spans="15:16">
      <c r="O2138" s="411" t="s"/>
      <c r="P2138" s="258" t="s"/>
    </row>
    <row r="2139" spans="15:16">
      <c r="O2139" s="411" t="s"/>
      <c r="P2139" s="258" t="s"/>
    </row>
    <row r="2140" spans="15:16">
      <c r="O2140" s="411" t="s"/>
      <c r="P2140" s="258" t="s"/>
    </row>
    <row r="2141" spans="15:16">
      <c r="O2141" s="411" t="s"/>
      <c r="P2141" s="258" t="s"/>
    </row>
    <row r="2142" spans="15:16">
      <c r="O2142" s="258" t="s"/>
      <c r="P2142" s="258" t="s"/>
    </row>
    <row r="2143" spans="15:16">
      <c r="O2143" s="258" t="s"/>
      <c r="P2143" s="258" t="s"/>
    </row>
    <row r="2144" spans="15:16">
      <c r="O2144" s="258" t="s"/>
      <c r="P2144" s="258" t="s"/>
    </row>
    <row r="2145" spans="15:16">
      <c r="O2145" s="258" t="s"/>
      <c r="P2145" s="258" t="s"/>
    </row>
    <row r="2146" spans="15:16">
      <c r="O2146" s="258" t="s"/>
      <c r="P2146" s="258" t="s"/>
    </row>
    <row r="2147" spans="15:16">
      <c r="O2147" s="258" t="s"/>
      <c r="P2147" s="258" t="s"/>
    </row>
    <row r="2148" spans="15:16">
      <c r="O2148" s="258" t="s"/>
      <c r="P2148" s="258" t="s"/>
    </row>
    <row r="2149" spans="15:16">
      <c r="O2149" s="258" t="s"/>
      <c r="P2149" s="258" t="s"/>
    </row>
    <row r="2150" spans="15:17">
      <c r="O2150" s="258" t="s"/>
      <c r="P2150" s="258" t="s"/>
      <c r="Q2150" s="258" t="s"/>
    </row>
    <row r="2151" spans="15:17">
      <c r="O2151" s="258" t="s"/>
      <c r="P2151" s="258" t="s"/>
      <c r="Q2151" s="258" t="s"/>
    </row>
    <row r="2152" spans="15:17">
      <c r="O2152" s="258" t="s"/>
      <c r="P2152" s="258" t="s"/>
      <c r="Q2152" s="258" t="s"/>
    </row>
    <row r="2153" spans="15:17">
      <c r="O2153" s="258" t="s"/>
      <c r="P2153" s="258" t="s"/>
      <c r="Q2153" s="258" t="s"/>
    </row>
    <row r="2154" spans="15:17">
      <c r="O2154" s="258" t="s"/>
      <c r="P2154" s="258" t="s"/>
      <c r="Q2154" s="258" t="s"/>
    </row>
    <row r="2155" spans="15:17">
      <c r="O2155" s="258" t="s"/>
      <c r="P2155" s="258" t="s"/>
      <c r="Q2155" s="258" t="s"/>
    </row>
    <row r="2156" spans="15:17">
      <c r="O2156" s="258" t="s"/>
      <c r="P2156" s="258" t="s"/>
      <c r="Q2156" s="258" t="s"/>
    </row>
    <row r="2157" spans="15:17">
      <c r="O2157" s="258" t="s"/>
      <c r="P2157" s="258" t="s"/>
      <c r="Q2157" s="258" t="s"/>
    </row>
    <row r="2158" spans="15:17">
      <c r="O2158" s="258" t="s"/>
      <c r="P2158" s="258" t="s"/>
      <c r="Q2158" s="258" t="s"/>
    </row>
    <row r="2159" spans="15:17">
      <c r="O2159" s="258" t="s"/>
      <c r="P2159" s="258" t="s"/>
      <c r="Q2159" s="258" t="s"/>
    </row>
    <row r="2160" spans="15:17">
      <c r="O2160" s="258" t="s"/>
      <c r="P2160" s="258" t="s"/>
      <c r="Q2160" s="258" t="s"/>
    </row>
    <row r="2161" spans="15:17">
      <c r="O2161" s="258" t="s"/>
      <c r="P2161" s="258" t="s"/>
      <c r="Q2161" s="258" t="s"/>
    </row>
    <row r="2162" spans="15:17">
      <c r="O2162" s="258" t="s"/>
      <c r="P2162" s="258" t="s"/>
      <c r="Q2162" s="258" t="s"/>
    </row>
    <row r="2163" spans="15:17">
      <c r="O2163" s="258" t="s"/>
      <c r="P2163" s="258" t="s"/>
      <c r="Q2163" s="258" t="s"/>
    </row>
    <row r="2164" spans="15:17">
      <c r="O2164" s="258" t="s"/>
      <c r="P2164" s="258" t="s"/>
      <c r="Q2164" s="258" t="s"/>
    </row>
    <row r="2165" spans="15:17">
      <c r="O2165" s="258" t="s"/>
      <c r="P2165" s="258" t="s"/>
      <c r="Q2165" s="258" t="s"/>
    </row>
    <row r="2166" spans="15:17">
      <c r="O2166" s="258" t="s"/>
      <c r="P2166" s="258" t="s"/>
      <c r="Q2166" s="258" t="s"/>
    </row>
    <row r="2167" spans="15:17">
      <c r="O2167" s="258" t="s"/>
      <c r="P2167" s="258" t="s"/>
      <c r="Q2167" s="258" t="s"/>
    </row>
    <row r="2168" spans="15:17">
      <c r="O2168" s="258" t="s"/>
      <c r="P2168" s="258" t="s"/>
      <c r="Q2168" s="258" t="s"/>
    </row>
    <row r="2169" spans="15:17">
      <c r="O2169" s="258" t="s"/>
      <c r="P2169" s="258" t="s"/>
      <c r="Q2169" s="258" t="s"/>
    </row>
  </sheetData>
  <conditionalFormatting sqref="B1:B1102 B1104:B1134 B1136:B1139 B1149:B1152 B1156 B1167:B2226">
    <cfRule type="cellIs" dxfId="0" priority="1" operator="between">
      <formula>45</formula>
      <formula>60</formula>
    </cfRule>
  </conditionalFormatting>
  <conditionalFormatting sqref="B1:B1102 B1104:B1134 B1136:B1139 B1149:B1152 B1156 B1167:B2226">
    <cfRule type="cellIs" dxfId="1" priority="2" operator="greaterThan">
      <formula>60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/>
  <dimension ref="K4528"/>
  <sheetViews>
    <sheetView showGridLines="true" workbookViewId="0">
      <pane ySplit="1" topLeftCell="A2" activePane="bottomLeft" state="frozen"/>
    </sheetView>
  </sheetViews>
  <sheetFormatPr defaultColWidth="9" defaultRowHeight="13.5" outlineLevelRow="1"/>
  <cols>
    <col min="1" max="1" width="12.5508" customWidth="true"/>
    <col min="2" max="2" width="20.6016" customWidth="true"/>
    <col min="3" max="3" width="27.6016" customWidth="true"/>
    <col min="4" max="4" width="30.3008" customWidth="true"/>
    <col min="5" max="5" width="25.0195" customWidth="true"/>
    <col min="6" max="6" width="11.6523" customWidth="true"/>
    <col min="7" max="7" width="13.8594" customWidth="true"/>
    <col min="8" max="8" width="53.1016" customWidth="true"/>
    <col min="9" max="9" width="9.71094" customWidth="true"/>
    <col min="10" max="10" width="11.5312" customWidth="true"/>
    <col min="11" max="11" width="11.5" customWidth="true"/>
    <col min="12" max="12" width="9.20312" customWidth="true"/>
    <col min="13" max="13" width="11.2812" customWidth="true"/>
    <col min="14" max="14" width="12.8828" customWidth="true"/>
    <col min="15" max="15" width="11.2812" customWidth="true"/>
    <col min="16" max="16" width="11.7695" customWidth="true"/>
    <col min="17" max="17" width="13.7305" customWidth="true"/>
    <col min="18" max="18" width="9.71094" customWidth="true"/>
  </cols>
  <sheetData>
    <row r="1" spans="1:19" s="579" customFormat="true" ht="25.5" customHeight="true">
      <c r="A1" s="412" t="s">
        <v>3769</v>
      </c>
      <c r="B1" s="413" t="s">
        <v>400</v>
      </c>
      <c r="C1" s="414" t="s">
        <v>23</v>
      </c>
      <c r="D1" s="415" t="s">
        <v>2378</v>
      </c>
      <c r="E1" s="416" t="s">
        <v>2379</v>
      </c>
      <c r="F1" s="417" t="s">
        <v>404</v>
      </c>
      <c r="G1" s="418" t="s">
        <v>405</v>
      </c>
      <c r="H1" s="419" t="s">
        <v>406</v>
      </c>
      <c r="I1" s="420" t="s">
        <v>2380</v>
      </c>
      <c r="J1" s="421" t="s">
        <v>2381</v>
      </c>
      <c r="K1" s="421" t="s">
        <v>2382</v>
      </c>
      <c r="L1" s="420" t="s">
        <v>2383</v>
      </c>
      <c r="M1" s="422" t="s">
        <v>2384</v>
      </c>
      <c r="N1" s="423" t="s">
        <v>2385</v>
      </c>
      <c r="O1" s="416" t="s">
        <v>2386</v>
      </c>
      <c r="P1" s="416" t="s">
        <v>2387</v>
      </c>
      <c r="Q1" s="424" t="s">
        <v>3770</v>
      </c>
      <c r="R1" s="423" t="s">
        <v>2388</v>
      </c>
      <c r="S1" s="423" t="s">
        <v>2389</v>
      </c>
    </row>
    <row r="2" spans="1:18" ht="15.75" customHeight="true">
      <c r="A2" s="425">
        <v>45680</v>
      </c>
      <c r="B2" s="426">
        <v>45671</v>
      </c>
      <c r="C2" s="64" t="s">
        <v>45</v>
      </c>
      <c r="D2" s="64" t="s">
        <v>46</v>
      </c>
      <c r="E2" s="64" t="s">
        <v>2390</v>
      </c>
      <c r="F2" s="197" t="s">
        <v>421</v>
      </c>
      <c r="G2" s="197" t="s">
        <v>422</v>
      </c>
      <c r="H2" s="197" t="s">
        <v>423</v>
      </c>
      <c r="I2" s="64">
        <v>26</v>
      </c>
      <c r="J2" s="82">
        <v>7140</v>
      </c>
      <c r="K2" s="427">
        <f>=I2*J2</f>
        <v>185640</v>
      </c>
      <c r="L2" s="428">
        <v>7119</v>
      </c>
      <c r="M2" s="428">
        <f>=I2*L2</f>
        <v>185094</v>
      </c>
      <c r="N2" s="82">
        <f>=K2-M2</f>
        <v>546</v>
      </c>
      <c r="O2" s="64">
        <v>0</v>
      </c>
      <c r="P2" s="64">
        <f>=I2*O2*ROUNDUP((A2-B2)/30,0)</f>
        <v>0</v>
      </c>
      <c r="Q2" s="62" t="s"/>
      <c r="R2" s="62" t="s"/>
    </row>
    <row r="3" spans="1:18" ht="15.75" customHeight="true">
      <c r="A3" s="425">
        <v>45680</v>
      </c>
      <c r="B3" s="426">
        <v>45671</v>
      </c>
      <c r="C3" s="64" t="s">
        <v>45</v>
      </c>
      <c r="D3" s="64" t="s">
        <v>46</v>
      </c>
      <c r="E3" s="64" t="s">
        <v>2390</v>
      </c>
      <c r="F3" s="197" t="s">
        <v>421</v>
      </c>
      <c r="G3" s="197" t="s">
        <v>422</v>
      </c>
      <c r="H3" s="197" t="s">
        <v>423</v>
      </c>
      <c r="I3" s="64">
        <v>30</v>
      </c>
      <c r="J3" s="82">
        <v>7140</v>
      </c>
      <c r="K3" s="427">
        <f>=I3*J3</f>
        <v>214200</v>
      </c>
      <c r="L3" s="428">
        <v>7119</v>
      </c>
      <c r="M3" s="428">
        <f>=I3*L3</f>
        <v>213570</v>
      </c>
      <c r="N3" s="82">
        <f>=K3-M3</f>
        <v>630</v>
      </c>
      <c r="O3" s="64">
        <v>0</v>
      </c>
      <c r="P3" s="64">
        <f>=I3*O3*ROUNDUP((A3-B3)/30,0)</f>
        <v>0</v>
      </c>
      <c r="Q3" s="62" t="s"/>
      <c r="R3" s="62" t="s"/>
    </row>
    <row r="4" spans="1:18" ht="15.75" customHeight="true">
      <c r="A4" s="425">
        <v>45680</v>
      </c>
      <c r="B4" s="426">
        <v>45671</v>
      </c>
      <c r="C4" s="64" t="s">
        <v>45</v>
      </c>
      <c r="D4" s="64" t="s">
        <v>46</v>
      </c>
      <c r="E4" s="64" t="s">
        <v>2390</v>
      </c>
      <c r="F4" s="197" t="s">
        <v>421</v>
      </c>
      <c r="G4" s="197" t="s">
        <v>422</v>
      </c>
      <c r="H4" s="197" t="s">
        <v>423</v>
      </c>
      <c r="I4" s="64">
        <v>42</v>
      </c>
      <c r="J4" s="82">
        <v>7140</v>
      </c>
      <c r="K4" s="427">
        <f>=I4*J4</f>
        <v>299880</v>
      </c>
      <c r="L4" s="428">
        <v>7119</v>
      </c>
      <c r="M4" s="428">
        <f>=I4*L4</f>
        <v>298998</v>
      </c>
      <c r="N4" s="82">
        <f>=K4-M4</f>
        <v>882</v>
      </c>
      <c r="O4" s="64">
        <v>0</v>
      </c>
      <c r="P4" s="64">
        <f>=I4*O4*ROUNDUP((A4-B4)/30,0)</f>
        <v>0</v>
      </c>
      <c r="Q4" s="62" t="s"/>
      <c r="R4" s="62" t="s"/>
    </row>
    <row r="5" spans="1:18">
      <c r="A5" s="429">
        <v>45680</v>
      </c>
      <c r="B5" s="430">
        <v>45671</v>
      </c>
      <c r="C5" s="248" t="s">
        <v>45</v>
      </c>
      <c r="D5" s="64" t="s">
        <v>46</v>
      </c>
      <c r="E5" s="64" t="s">
        <v>2390</v>
      </c>
      <c r="F5" s="197" t="s">
        <v>421</v>
      </c>
      <c r="G5" s="197" t="s">
        <v>422</v>
      </c>
      <c r="H5" s="337" t="s">
        <v>423</v>
      </c>
      <c r="I5" s="248">
        <v>42</v>
      </c>
      <c r="J5" s="82">
        <v>7140</v>
      </c>
      <c r="K5" s="431">
        <f>=I5*J5</f>
        <v>299880</v>
      </c>
      <c r="L5" s="432">
        <v>7119</v>
      </c>
      <c r="M5" s="432">
        <f>=I5*L5</f>
        <v>298998</v>
      </c>
      <c r="N5" s="82">
        <f>=K5-M5</f>
        <v>882</v>
      </c>
      <c r="O5" s="64">
        <v>0</v>
      </c>
      <c r="P5" s="64">
        <f>=I5*O5*ROUNDUP((A5-B5)/30,0)</f>
        <v>0</v>
      </c>
      <c r="Q5" s="62" t="s"/>
      <c r="R5" s="62" t="s"/>
    </row>
    <row r="6" spans="1:18">
      <c r="A6" s="429">
        <v>45680</v>
      </c>
      <c r="B6" s="430">
        <v>45670</v>
      </c>
      <c r="C6" s="248" t="s">
        <v>42</v>
      </c>
      <c r="D6" s="64" t="s">
        <v>46</v>
      </c>
      <c r="E6" s="64" t="s">
        <v>2391</v>
      </c>
      <c r="F6" s="197" t="s">
        <v>421</v>
      </c>
      <c r="G6" s="197" t="s">
        <v>422</v>
      </c>
      <c r="H6" s="337" t="s">
        <v>423</v>
      </c>
      <c r="I6" s="248">
        <v>21</v>
      </c>
      <c r="J6" s="82">
        <v>7177</v>
      </c>
      <c r="K6" s="431">
        <f>=I6*J6</f>
        <v>150717</v>
      </c>
      <c r="L6" s="432">
        <v>7155</v>
      </c>
      <c r="M6" s="432">
        <f>=I6*L6</f>
        <v>150255</v>
      </c>
      <c r="N6" s="82">
        <f>=K6-M6</f>
        <v>462</v>
      </c>
      <c r="O6" s="64">
        <v>0</v>
      </c>
      <c r="P6" s="64">
        <f>=I6*O6*ROUNDUP((A6-B6)/30,0)</f>
        <v>0</v>
      </c>
      <c r="Q6" s="62" t="s"/>
      <c r="R6" s="62" t="s"/>
    </row>
    <row r="7" spans="1:18">
      <c r="A7" s="429">
        <v>45680</v>
      </c>
      <c r="B7" s="430">
        <v>45670</v>
      </c>
      <c r="C7" s="248" t="s">
        <v>42</v>
      </c>
      <c r="D7" s="64" t="s">
        <v>46</v>
      </c>
      <c r="E7" s="64" t="s">
        <v>2391</v>
      </c>
      <c r="F7" s="197" t="s">
        <v>421</v>
      </c>
      <c r="G7" s="197" t="s">
        <v>422</v>
      </c>
      <c r="H7" s="248" t="s">
        <v>423</v>
      </c>
      <c r="I7" s="248">
        <v>59</v>
      </c>
      <c r="J7" s="82">
        <v>7177</v>
      </c>
      <c r="K7" s="431">
        <f>=I7*J7</f>
        <v>423443</v>
      </c>
      <c r="L7" s="433">
        <v>7155</v>
      </c>
      <c r="M7" s="434">
        <f>=I7*L7</f>
        <v>422145</v>
      </c>
      <c r="N7" s="82">
        <f>=K7-M7</f>
        <v>1298</v>
      </c>
      <c r="O7" s="64">
        <v>0</v>
      </c>
      <c r="P7" s="64">
        <f>=I7*O7*ROUNDUP((A7-B7)/30,0)</f>
        <v>0</v>
      </c>
      <c r="Q7" s="62" t="s"/>
      <c r="R7" s="62" t="s"/>
    </row>
    <row r="8" spans="1:18">
      <c r="A8" s="429">
        <v>45680</v>
      </c>
      <c r="B8" s="430">
        <v>45670</v>
      </c>
      <c r="C8" s="248" t="s">
        <v>42</v>
      </c>
      <c r="D8" s="64" t="s">
        <v>46</v>
      </c>
      <c r="E8" s="64" t="s">
        <v>2391</v>
      </c>
      <c r="F8" s="197" t="s">
        <v>421</v>
      </c>
      <c r="G8" s="197" t="s">
        <v>422</v>
      </c>
      <c r="H8" s="248" t="s">
        <v>423</v>
      </c>
      <c r="I8" s="248">
        <v>120</v>
      </c>
      <c r="J8" s="82">
        <v>7177</v>
      </c>
      <c r="K8" s="431">
        <f>=I8*J8</f>
        <v>861240</v>
      </c>
      <c r="L8" s="435">
        <v>7155</v>
      </c>
      <c r="M8" s="432">
        <f>=I8*L8</f>
        <v>858600</v>
      </c>
      <c r="N8" s="82">
        <f>=K8-M8</f>
        <v>2640</v>
      </c>
      <c r="O8" s="64">
        <v>0</v>
      </c>
      <c r="P8" s="64">
        <f>=I8*O8*ROUNDUP((A8-B8)/30,0)</f>
        <v>0</v>
      </c>
      <c r="Q8" s="62" t="s"/>
      <c r="R8" s="62" t="s"/>
    </row>
    <row r="9" spans="1:18">
      <c r="A9" s="429">
        <v>45682</v>
      </c>
      <c r="B9" s="430">
        <v>45671</v>
      </c>
      <c r="C9" s="248" t="s">
        <v>45</v>
      </c>
      <c r="D9" s="64" t="s">
        <v>46</v>
      </c>
      <c r="E9" s="64" t="s">
        <v>2392</v>
      </c>
      <c r="F9" s="197" t="s">
        <v>421</v>
      </c>
      <c r="G9" s="197" t="s">
        <v>422</v>
      </c>
      <c r="H9" s="337" t="s">
        <v>427</v>
      </c>
      <c r="I9" s="248">
        <v>18</v>
      </c>
      <c r="J9" s="82">
        <v>7143</v>
      </c>
      <c r="K9" s="431">
        <f>=I9*J9</f>
        <v>128574</v>
      </c>
      <c r="L9" s="434">
        <v>7119</v>
      </c>
      <c r="M9" s="434">
        <f>=I9*L9</f>
        <v>128142</v>
      </c>
      <c r="N9" s="82">
        <f>=K9-M9</f>
        <v>432</v>
      </c>
      <c r="O9" s="64">
        <v>0</v>
      </c>
      <c r="P9" s="64">
        <f>=I9*O9*ROUNDUP((A9-B9)/30,0)</f>
        <v>0</v>
      </c>
      <c r="Q9" s="62" t="s"/>
      <c r="R9" s="62" t="s"/>
    </row>
    <row r="10" spans="1:18">
      <c r="A10" s="429">
        <v>45682</v>
      </c>
      <c r="B10" s="430">
        <v>45671</v>
      </c>
      <c r="C10" s="248" t="s">
        <v>45</v>
      </c>
      <c r="D10" s="64" t="s">
        <v>46</v>
      </c>
      <c r="E10" s="64" t="s">
        <v>2392</v>
      </c>
      <c r="F10" s="197" t="s">
        <v>421</v>
      </c>
      <c r="G10" s="197" t="s">
        <v>422</v>
      </c>
      <c r="H10" s="337" t="s">
        <v>427</v>
      </c>
      <c r="I10" s="248">
        <v>70</v>
      </c>
      <c r="J10" s="82">
        <v>7143</v>
      </c>
      <c r="K10" s="431">
        <f>=I10*J10</f>
        <v>500010</v>
      </c>
      <c r="L10" s="432">
        <v>7119</v>
      </c>
      <c r="M10" s="432">
        <f>=I10*L10</f>
        <v>498330</v>
      </c>
      <c r="N10" s="82">
        <f>=K10-M10</f>
        <v>1680</v>
      </c>
      <c r="O10" s="64">
        <v>0</v>
      </c>
      <c r="P10" s="64">
        <f>=I10*O10*ROUNDUP((A10-B10)/30,0)</f>
        <v>0</v>
      </c>
      <c r="Q10" s="62" t="s"/>
      <c r="R10" s="62" t="s"/>
    </row>
    <row r="11" spans="1:18">
      <c r="A11" s="436">
        <v>45682</v>
      </c>
      <c r="B11" s="430">
        <v>45671</v>
      </c>
      <c r="C11" s="248" t="s">
        <v>45</v>
      </c>
      <c r="D11" s="64" t="s">
        <v>46</v>
      </c>
      <c r="E11" s="64" t="s">
        <v>2392</v>
      </c>
      <c r="F11" s="197" t="s">
        <v>421</v>
      </c>
      <c r="G11" s="197" t="s">
        <v>422</v>
      </c>
      <c r="H11" s="337" t="s">
        <v>427</v>
      </c>
      <c r="I11" s="248">
        <v>70</v>
      </c>
      <c r="J11" s="82">
        <v>7143</v>
      </c>
      <c r="K11" s="431">
        <f>=I11*J11</f>
        <v>500010</v>
      </c>
      <c r="L11" s="432">
        <v>7119</v>
      </c>
      <c r="M11" s="432">
        <f>=I11*L11</f>
        <v>498330</v>
      </c>
      <c r="N11" s="82">
        <f>=K11-M11</f>
        <v>1680</v>
      </c>
      <c r="O11" s="64">
        <v>0</v>
      </c>
      <c r="P11" s="64">
        <f>=I11*O11*ROUNDUP((A11-B11)/30,0)</f>
        <v>0</v>
      </c>
      <c r="Q11" s="62" t="s"/>
      <c r="R11" s="62" t="s"/>
    </row>
    <row r="12" spans="1:18" ht="15.75" customHeight="true">
      <c r="A12" s="436">
        <v>45684</v>
      </c>
      <c r="B12" s="430">
        <v>45671</v>
      </c>
      <c r="C12" s="248" t="s">
        <v>45</v>
      </c>
      <c r="D12" s="64" t="s">
        <v>46</v>
      </c>
      <c r="E12" s="64" t="s">
        <v>2393</v>
      </c>
      <c r="F12" s="197" t="s">
        <v>421</v>
      </c>
      <c r="G12" s="197" t="s">
        <v>422</v>
      </c>
      <c r="H12" s="337" t="s">
        <v>425</v>
      </c>
      <c r="I12" s="248">
        <v>30</v>
      </c>
      <c r="J12" s="82">
        <v>7091</v>
      </c>
      <c r="K12" s="431">
        <f>=I12*J12</f>
        <v>212730</v>
      </c>
      <c r="L12" s="432">
        <v>7065</v>
      </c>
      <c r="M12" s="432">
        <f>=I12*L12</f>
        <v>211950</v>
      </c>
      <c r="N12" s="82">
        <f>=K12-M12</f>
        <v>780</v>
      </c>
      <c r="O12" s="64">
        <v>0</v>
      </c>
      <c r="P12" s="64">
        <f>=I12*O12*ROUNDUP((A12-B12)/30,0)</f>
        <v>0</v>
      </c>
      <c r="Q12" s="62" t="s"/>
      <c r="R12" s="62" t="s"/>
    </row>
    <row r="13" spans="1:18" ht="15.75" customHeight="true">
      <c r="A13" s="436">
        <v>45684</v>
      </c>
      <c r="B13" s="430">
        <v>45671</v>
      </c>
      <c r="C13" s="248" t="s">
        <v>45</v>
      </c>
      <c r="D13" s="64" t="s">
        <v>46</v>
      </c>
      <c r="E13" s="64" t="s">
        <v>2393</v>
      </c>
      <c r="F13" s="197" t="s">
        <v>421</v>
      </c>
      <c r="G13" s="197" t="s">
        <v>422</v>
      </c>
      <c r="H13" s="337" t="s">
        <v>425</v>
      </c>
      <c r="I13" s="248">
        <v>30</v>
      </c>
      <c r="J13" s="82">
        <v>7091</v>
      </c>
      <c r="K13" s="431">
        <f>=I13*J13</f>
        <v>212730</v>
      </c>
      <c r="L13" s="434">
        <v>7065</v>
      </c>
      <c r="M13" s="434">
        <f>=I13*L13</f>
        <v>211950</v>
      </c>
      <c r="N13" s="82">
        <f>=K13-M13</f>
        <v>780</v>
      </c>
      <c r="O13" s="64">
        <v>0</v>
      </c>
      <c r="P13" s="64">
        <f>=I13*O13*ROUNDUP((A13-B13)/30,0)</f>
        <v>0</v>
      </c>
      <c r="Q13" s="62" t="s"/>
      <c r="R13" s="62" t="s"/>
    </row>
    <row r="14" spans="1:18">
      <c r="A14" s="126">
        <v>45684</v>
      </c>
      <c r="B14" s="426">
        <v>45671</v>
      </c>
      <c r="C14" s="64" t="s">
        <v>45</v>
      </c>
      <c r="D14" s="64" t="s">
        <v>46</v>
      </c>
      <c r="E14" s="64" t="s">
        <v>2393</v>
      </c>
      <c r="F14" s="197" t="s">
        <v>421</v>
      </c>
      <c r="G14" s="197" t="s">
        <v>422</v>
      </c>
      <c r="H14" s="197" t="s">
        <v>425</v>
      </c>
      <c r="I14" s="64">
        <v>33</v>
      </c>
      <c r="J14" s="82">
        <v>7091</v>
      </c>
      <c r="K14" s="427">
        <f>=I14*J14</f>
        <v>234003</v>
      </c>
      <c r="L14" s="428">
        <v>7065</v>
      </c>
      <c r="M14" s="428">
        <f>=I14*L14</f>
        <v>233145</v>
      </c>
      <c r="N14" s="82">
        <f>=K14-M14</f>
        <v>858</v>
      </c>
      <c r="O14" s="64">
        <v>0</v>
      </c>
      <c r="P14" s="64">
        <f>=I14*O14*ROUNDUP((A14-B14)/30,0)</f>
        <v>0</v>
      </c>
      <c r="Q14" s="62" t="s"/>
      <c r="R14" s="62" t="s"/>
    </row>
    <row r="15" spans="1:18">
      <c r="A15" s="348">
        <v>45761</v>
      </c>
      <c r="B15" s="426">
        <v>45737</v>
      </c>
      <c r="C15" s="64" t="s">
        <v>53</v>
      </c>
      <c r="D15" s="437" t="s">
        <v>52</v>
      </c>
      <c r="E15" s="94" t="s">
        <v>2394</v>
      </c>
      <c r="F15" s="247" t="s">
        <v>428</v>
      </c>
      <c r="G15" s="64" t="s">
        <v>449</v>
      </c>
      <c r="H15" s="64" t="s">
        <v>543</v>
      </c>
      <c r="I15" s="64">
        <v>7</v>
      </c>
      <c r="J15" s="82">
        <v>1213</v>
      </c>
      <c r="K15" s="427">
        <f>=I15*J15</f>
        <v>8491</v>
      </c>
      <c r="L15" s="82">
        <v>1204</v>
      </c>
      <c r="M15" s="428">
        <f>=I15*L15</f>
        <v>8428</v>
      </c>
      <c r="N15" s="82">
        <f>=K15-M15</f>
        <v>63</v>
      </c>
      <c r="O15" s="64">
        <v>0</v>
      </c>
      <c r="P15" s="64">
        <f>=I15*O15*ROUNDUP((A15-B15)/30,0)</f>
        <v>0</v>
      </c>
      <c r="Q15" s="76" t="s"/>
      <c r="R15" s="62" t="s"/>
    </row>
    <row r="16" spans="1:18">
      <c r="A16" s="348">
        <v>45761</v>
      </c>
      <c r="B16" s="426">
        <v>45737</v>
      </c>
      <c r="C16" s="64" t="s">
        <v>53</v>
      </c>
      <c r="D16" s="437" t="s">
        <v>52</v>
      </c>
      <c r="E16" s="94" t="s">
        <v>2395</v>
      </c>
      <c r="F16" s="247" t="s">
        <v>428</v>
      </c>
      <c r="G16" s="64" t="s">
        <v>422</v>
      </c>
      <c r="H16" s="64" t="s">
        <v>2396</v>
      </c>
      <c r="I16" s="64">
        <v>25</v>
      </c>
      <c r="J16" s="82">
        <v>434</v>
      </c>
      <c r="K16" s="427">
        <f>=I16*J16</f>
        <v>10850</v>
      </c>
      <c r="L16" s="82">
        <v>431</v>
      </c>
      <c r="M16" s="428">
        <f>=I16*L16</f>
        <v>10775</v>
      </c>
      <c r="N16" s="82">
        <f>=K16-M16</f>
        <v>75</v>
      </c>
      <c r="O16" s="64">
        <v>0</v>
      </c>
      <c r="P16" s="64">
        <f>=I16*O16*ROUNDUP((A16-B16)/30,0)</f>
        <v>0</v>
      </c>
      <c r="Q16" s="76" t="s"/>
      <c r="R16" s="62" t="s"/>
    </row>
    <row r="17" spans="1:18">
      <c r="A17" s="348">
        <v>45761</v>
      </c>
      <c r="B17" s="426">
        <v>45737</v>
      </c>
      <c r="C17" s="64" t="s">
        <v>53</v>
      </c>
      <c r="D17" s="437" t="s">
        <v>52</v>
      </c>
      <c r="E17" s="94" t="s">
        <v>2397</v>
      </c>
      <c r="F17" s="247" t="s">
        <v>428</v>
      </c>
      <c r="G17" s="64" t="s">
        <v>429</v>
      </c>
      <c r="H17" s="64" t="s">
        <v>598</v>
      </c>
      <c r="I17" s="64">
        <v>11</v>
      </c>
      <c r="J17" s="82">
        <v>846</v>
      </c>
      <c r="K17" s="427">
        <f>=I17*J17</f>
        <v>9306</v>
      </c>
      <c r="L17" s="82">
        <v>840</v>
      </c>
      <c r="M17" s="428">
        <f>=I17*L17</f>
        <v>9240</v>
      </c>
      <c r="N17" s="82">
        <f>=K17-M17</f>
        <v>66</v>
      </c>
      <c r="O17" s="64">
        <v>0</v>
      </c>
      <c r="P17" s="64">
        <f>=I17*O17*ROUNDUP((A17-B17)/30,0)</f>
        <v>0</v>
      </c>
      <c r="Q17" s="76" t="s"/>
      <c r="R17" s="62" t="s"/>
    </row>
    <row r="18" spans="1:18">
      <c r="A18" s="348">
        <v>45761</v>
      </c>
      <c r="B18" s="426">
        <v>45737</v>
      </c>
      <c r="C18" s="64" t="s">
        <v>53</v>
      </c>
      <c r="D18" s="437" t="s">
        <v>52</v>
      </c>
      <c r="E18" s="94" t="s">
        <v>2398</v>
      </c>
      <c r="F18" s="247" t="s">
        <v>428</v>
      </c>
      <c r="G18" s="64" t="s">
        <v>429</v>
      </c>
      <c r="H18" s="64" t="s">
        <v>2399</v>
      </c>
      <c r="I18" s="64">
        <v>111</v>
      </c>
      <c r="J18" s="82">
        <v>807</v>
      </c>
      <c r="K18" s="427">
        <f>=I18*J18</f>
        <v>89577</v>
      </c>
      <c r="L18" s="82">
        <v>801</v>
      </c>
      <c r="M18" s="428">
        <f>=I18*L18</f>
        <v>88911</v>
      </c>
      <c r="N18" s="82">
        <f>=K18-M18</f>
        <v>666</v>
      </c>
      <c r="O18" s="64">
        <v>0</v>
      </c>
      <c r="P18" s="64">
        <f>=I18*O18*ROUNDUP((A18-B18)/30,0)</f>
        <v>0</v>
      </c>
      <c r="Q18" s="76" t="s"/>
      <c r="R18" s="62" t="s"/>
    </row>
    <row r="19" spans="1:18">
      <c r="A19" s="438">
        <v>45761</v>
      </c>
      <c r="B19" s="426">
        <v>45737</v>
      </c>
      <c r="C19" s="64" t="s">
        <v>53</v>
      </c>
      <c r="D19" s="437" t="s">
        <v>52</v>
      </c>
      <c r="E19" s="94" t="s">
        <v>2400</v>
      </c>
      <c r="F19" s="247" t="s">
        <v>428</v>
      </c>
      <c r="G19" s="64" t="s">
        <v>429</v>
      </c>
      <c r="H19" s="64" t="s">
        <v>2401</v>
      </c>
      <c r="I19" s="64">
        <v>9</v>
      </c>
      <c r="J19" s="82">
        <v>1087</v>
      </c>
      <c r="K19" s="427">
        <f>=I19*J19</f>
        <v>9783</v>
      </c>
      <c r="L19" s="82">
        <v>1079</v>
      </c>
      <c r="M19" s="428">
        <f>=I19*L19</f>
        <v>9711</v>
      </c>
      <c r="N19" s="82">
        <f>=K19-M19</f>
        <v>72</v>
      </c>
      <c r="O19" s="64">
        <v>0</v>
      </c>
      <c r="P19" s="64">
        <f>=I19*O19*ROUNDUP((A19-B19)/30,0)</f>
        <v>0</v>
      </c>
      <c r="Q19" s="76" t="s"/>
      <c r="R19" s="62" t="s"/>
    </row>
    <row r="20" spans="1:18">
      <c r="A20" s="438">
        <v>45761</v>
      </c>
      <c r="B20" s="426">
        <v>45737</v>
      </c>
      <c r="C20" s="64" t="s">
        <v>53</v>
      </c>
      <c r="D20" s="437" t="s">
        <v>52</v>
      </c>
      <c r="E20" s="94" t="s">
        <v>2402</v>
      </c>
      <c r="F20" s="247" t="s">
        <v>428</v>
      </c>
      <c r="G20" s="64" t="s">
        <v>429</v>
      </c>
      <c r="H20" s="64" t="s">
        <v>2403</v>
      </c>
      <c r="I20" s="64">
        <v>6</v>
      </c>
      <c r="J20" s="82">
        <v>1813</v>
      </c>
      <c r="K20" s="427">
        <f>=I20*J20</f>
        <v>10878</v>
      </c>
      <c r="L20" s="82">
        <v>1799</v>
      </c>
      <c r="M20" s="428">
        <f>=I20*L20</f>
        <v>10794</v>
      </c>
      <c r="N20" s="82">
        <f>=K20-M20</f>
        <v>84</v>
      </c>
      <c r="O20" s="64">
        <v>0</v>
      </c>
      <c r="P20" s="64">
        <f>=I20*O20*ROUNDUP((A20-B20)/30,0)</f>
        <v>0</v>
      </c>
      <c r="Q20" s="76" t="s"/>
      <c r="R20" s="62" t="s"/>
    </row>
    <row r="21" spans="1:18">
      <c r="A21" s="438">
        <v>45761</v>
      </c>
      <c r="B21" s="426">
        <v>45737</v>
      </c>
      <c r="C21" s="64" t="s">
        <v>53</v>
      </c>
      <c r="D21" s="437" t="s">
        <v>52</v>
      </c>
      <c r="E21" s="94" t="s">
        <v>2404</v>
      </c>
      <c r="F21" s="247" t="s">
        <v>428</v>
      </c>
      <c r="G21" s="64" t="s">
        <v>429</v>
      </c>
      <c r="H21" s="64" t="s">
        <v>2405</v>
      </c>
      <c r="I21" s="64">
        <v>54</v>
      </c>
      <c r="J21" s="82">
        <v>1312</v>
      </c>
      <c r="K21" s="427">
        <f>=I21*J21</f>
        <v>70848</v>
      </c>
      <c r="L21" s="82">
        <v>1302</v>
      </c>
      <c r="M21" s="428">
        <f>=I21*L21</f>
        <v>70308</v>
      </c>
      <c r="N21" s="82">
        <f>=K21-M21</f>
        <v>540</v>
      </c>
      <c r="O21" s="64">
        <v>0</v>
      </c>
      <c r="P21" s="64">
        <f>=I21*O21*ROUNDUP((A21-B21)/30,0)</f>
        <v>0</v>
      </c>
      <c r="Q21" s="76" t="s"/>
      <c r="R21" s="62" t="s"/>
    </row>
    <row r="22" spans="1:18">
      <c r="A22" s="438">
        <v>45761</v>
      </c>
      <c r="B22" s="426">
        <v>45737</v>
      </c>
      <c r="C22" s="64" t="s">
        <v>53</v>
      </c>
      <c r="D22" s="437" t="s">
        <v>52</v>
      </c>
      <c r="E22" s="94" t="s">
        <v>2406</v>
      </c>
      <c r="F22" s="247" t="s">
        <v>428</v>
      </c>
      <c r="G22" s="64" t="s">
        <v>422</v>
      </c>
      <c r="H22" s="64" t="s">
        <v>2407</v>
      </c>
      <c r="I22" s="64">
        <v>6</v>
      </c>
      <c r="J22" s="82">
        <v>7081</v>
      </c>
      <c r="K22" s="427">
        <f>=I22*J22</f>
        <v>42486</v>
      </c>
      <c r="L22" s="82">
        <v>7028</v>
      </c>
      <c r="M22" s="428">
        <f>=I22*L22</f>
        <v>42168</v>
      </c>
      <c r="N22" s="82">
        <f>=K22-M22</f>
        <v>318</v>
      </c>
      <c r="O22" s="64">
        <v>0</v>
      </c>
      <c r="P22" s="64">
        <f>=I22*O22*ROUNDUP((A22-B22)/30,0)</f>
        <v>0</v>
      </c>
      <c r="Q22" s="76" t="s"/>
      <c r="R22" s="62" t="s"/>
    </row>
    <row r="23" spans="1:18">
      <c r="A23" s="438">
        <v>45761</v>
      </c>
      <c r="B23" s="426">
        <v>45737</v>
      </c>
      <c r="C23" s="64" t="s">
        <v>53</v>
      </c>
      <c r="D23" s="437" t="s">
        <v>52</v>
      </c>
      <c r="E23" s="94" t="s">
        <v>2408</v>
      </c>
      <c r="F23" s="247" t="s">
        <v>428</v>
      </c>
      <c r="G23" s="64" t="s">
        <v>422</v>
      </c>
      <c r="H23" s="64" t="s">
        <v>2409</v>
      </c>
      <c r="I23" s="64">
        <v>5</v>
      </c>
      <c r="J23" s="82">
        <v>14445</v>
      </c>
      <c r="K23" s="427">
        <f>=I23*J23</f>
        <v>72225</v>
      </c>
      <c r="L23" s="82">
        <v>14336</v>
      </c>
      <c r="M23" s="428">
        <f>=I23*L23</f>
        <v>71680</v>
      </c>
      <c r="N23" s="82">
        <f>=K23-M23</f>
        <v>545</v>
      </c>
      <c r="O23" s="64">
        <v>0</v>
      </c>
      <c r="P23" s="64">
        <f>=I23*O23*ROUNDUP((A23-B23)/30,0)</f>
        <v>0</v>
      </c>
      <c r="Q23" s="76" t="s"/>
      <c r="R23" s="62" t="s"/>
    </row>
    <row r="24" spans="1:18">
      <c r="A24" s="438">
        <v>45761</v>
      </c>
      <c r="B24" s="426">
        <v>45737</v>
      </c>
      <c r="C24" s="64" t="s">
        <v>53</v>
      </c>
      <c r="D24" s="437" t="s">
        <v>52</v>
      </c>
      <c r="E24" s="94" t="s">
        <v>2410</v>
      </c>
      <c r="F24" s="247" t="s">
        <v>428</v>
      </c>
      <c r="G24" s="64" t="s">
        <v>422</v>
      </c>
      <c r="H24" s="64" t="s">
        <v>2411</v>
      </c>
      <c r="I24" s="64">
        <v>50</v>
      </c>
      <c r="J24" s="82">
        <v>1883</v>
      </c>
      <c r="K24" s="427">
        <f>=I24*J24</f>
        <v>94150</v>
      </c>
      <c r="L24" s="82">
        <v>1869</v>
      </c>
      <c r="M24" s="428">
        <f>=I24*L24</f>
        <v>93450</v>
      </c>
      <c r="N24" s="82">
        <f>=K24-M24</f>
        <v>700</v>
      </c>
      <c r="O24" s="64">
        <v>0</v>
      </c>
      <c r="P24" s="64">
        <f>=I24*O24*ROUNDUP((A24-B24)/30,0)</f>
        <v>0</v>
      </c>
      <c r="Q24" s="76" t="s"/>
      <c r="R24" s="62" t="s"/>
    </row>
    <row r="25" spans="1:18">
      <c r="A25" s="438">
        <v>45761</v>
      </c>
      <c r="B25" s="426">
        <v>45737</v>
      </c>
      <c r="C25" s="64" t="s">
        <v>53</v>
      </c>
      <c r="D25" s="437" t="s">
        <v>52</v>
      </c>
      <c r="E25" s="94" t="s">
        <v>2412</v>
      </c>
      <c r="F25" s="247" t="s">
        <v>428</v>
      </c>
      <c r="G25" s="64" t="s">
        <v>422</v>
      </c>
      <c r="H25" s="64" t="s">
        <v>2413</v>
      </c>
      <c r="I25" s="64">
        <v>5</v>
      </c>
      <c r="J25" s="82">
        <v>1002</v>
      </c>
      <c r="K25" s="427">
        <f>=I25*J25</f>
        <v>5010</v>
      </c>
      <c r="L25" s="82">
        <v>994</v>
      </c>
      <c r="M25" s="428">
        <f>=I25*L25</f>
        <v>4970</v>
      </c>
      <c r="N25" s="82">
        <f>=K25-M25</f>
        <v>40</v>
      </c>
      <c r="O25" s="64">
        <v>0</v>
      </c>
      <c r="P25" s="64">
        <f>=I25*O25*ROUNDUP((A25-B25)/30,0)</f>
        <v>0</v>
      </c>
      <c r="Q25" s="76" t="s"/>
      <c r="R25" s="62" t="s"/>
    </row>
    <row r="26" spans="1:18" ht="15.75" customHeight="true">
      <c r="A26" s="348">
        <v>45761</v>
      </c>
      <c r="B26" s="426">
        <v>45737</v>
      </c>
      <c r="C26" s="64" t="s">
        <v>53</v>
      </c>
      <c r="D26" s="437" t="s">
        <v>52</v>
      </c>
      <c r="E26" s="94" t="s">
        <v>2414</v>
      </c>
      <c r="F26" s="247" t="s">
        <v>428</v>
      </c>
      <c r="G26" s="64" t="s">
        <v>422</v>
      </c>
      <c r="H26" s="64" t="s">
        <v>2415</v>
      </c>
      <c r="I26" s="64">
        <v>24</v>
      </c>
      <c r="J26" s="82">
        <v>1006</v>
      </c>
      <c r="K26" s="427">
        <f>=I26*J26</f>
        <v>24144</v>
      </c>
      <c r="L26" s="82">
        <v>998</v>
      </c>
      <c r="M26" s="428">
        <f>=I26*L26</f>
        <v>23952</v>
      </c>
      <c r="N26" s="82">
        <f>=K26-M26</f>
        <v>192</v>
      </c>
      <c r="O26" s="64">
        <v>0</v>
      </c>
      <c r="P26" s="64">
        <f>=I26*O26*ROUNDUP((A26-B26)/30,0)</f>
        <v>0</v>
      </c>
      <c r="Q26" s="76" t="s"/>
      <c r="R26" s="62" t="s"/>
    </row>
    <row r="27" spans="1:18" ht="15.75" customHeight="true">
      <c r="A27" s="348">
        <v>45761</v>
      </c>
      <c r="B27" s="426">
        <v>45737</v>
      </c>
      <c r="C27" s="64" t="s">
        <v>53</v>
      </c>
      <c r="D27" s="437" t="s">
        <v>52</v>
      </c>
      <c r="E27" s="94" t="s">
        <v>2416</v>
      </c>
      <c r="F27" s="247" t="s">
        <v>428</v>
      </c>
      <c r="G27" s="64" t="s">
        <v>422</v>
      </c>
      <c r="H27" s="64" t="s">
        <v>2417</v>
      </c>
      <c r="I27" s="64">
        <v>10</v>
      </c>
      <c r="J27" s="82">
        <v>1550</v>
      </c>
      <c r="K27" s="427">
        <f>=I27*J27</f>
        <v>15500</v>
      </c>
      <c r="L27" s="82">
        <v>1538</v>
      </c>
      <c r="M27" s="428">
        <f>=I27*L27</f>
        <v>15380</v>
      </c>
      <c r="N27" s="82">
        <f>=K27-M27</f>
        <v>120</v>
      </c>
      <c r="O27" s="64">
        <v>0</v>
      </c>
      <c r="P27" s="64">
        <f>=I27*O27*ROUNDUP((A27-B27)/30,0)</f>
        <v>0</v>
      </c>
      <c r="Q27" s="76" t="s"/>
      <c r="R27" s="62" t="s"/>
    </row>
    <row r="28" spans="1:18" ht="15.75" customHeight="true">
      <c r="A28" s="348">
        <v>45761</v>
      </c>
      <c r="B28" s="426">
        <v>45737</v>
      </c>
      <c r="C28" s="64" t="s">
        <v>53</v>
      </c>
      <c r="D28" s="437" t="s">
        <v>52</v>
      </c>
      <c r="E28" s="94" t="s">
        <v>2418</v>
      </c>
      <c r="F28" s="247" t="s">
        <v>428</v>
      </c>
      <c r="G28" s="64" t="s">
        <v>422</v>
      </c>
      <c r="H28" s="64" t="s">
        <v>2419</v>
      </c>
      <c r="I28" s="64">
        <v>15</v>
      </c>
      <c r="J28" s="82">
        <v>1784</v>
      </c>
      <c r="K28" s="427">
        <f>=I28*J28</f>
        <v>26760</v>
      </c>
      <c r="L28" s="82">
        <v>1771</v>
      </c>
      <c r="M28" s="428">
        <f>=I28*L28</f>
        <v>26565</v>
      </c>
      <c r="N28" s="82">
        <f>=K28-M28</f>
        <v>195</v>
      </c>
      <c r="O28" s="64">
        <v>0</v>
      </c>
      <c r="P28" s="64">
        <f>=I28*O28*ROUNDUP((A28-B28)/30,0)</f>
        <v>0</v>
      </c>
      <c r="Q28" s="76" t="s"/>
      <c r="R28" s="62" t="s"/>
    </row>
    <row r="29" spans="1:18" ht="15.75" customHeight="true">
      <c r="A29" s="348">
        <v>45761</v>
      </c>
      <c r="B29" s="426">
        <v>45737</v>
      </c>
      <c r="C29" s="64" t="s">
        <v>53</v>
      </c>
      <c r="D29" s="437" t="s">
        <v>52</v>
      </c>
      <c r="E29" s="94" t="s">
        <v>2420</v>
      </c>
      <c r="F29" s="247" t="s">
        <v>428</v>
      </c>
      <c r="G29" s="64" t="s">
        <v>422</v>
      </c>
      <c r="H29" s="64" t="s">
        <v>2421</v>
      </c>
      <c r="I29" s="64">
        <v>6</v>
      </c>
      <c r="J29" s="82">
        <v>2335</v>
      </c>
      <c r="K29" s="427">
        <f>=I29*J29</f>
        <v>14010</v>
      </c>
      <c r="L29" s="82">
        <v>2317</v>
      </c>
      <c r="M29" s="428">
        <f>=I29*L29</f>
        <v>13902</v>
      </c>
      <c r="N29" s="82">
        <f>=K29-M29</f>
        <v>108</v>
      </c>
      <c r="O29" s="64">
        <v>0</v>
      </c>
      <c r="P29" s="64">
        <f>=I29*O29*ROUNDUP((A29-B29)/30,0)</f>
        <v>0</v>
      </c>
      <c r="Q29" s="76" t="s"/>
      <c r="R29" s="62" t="s"/>
    </row>
    <row r="30" spans="1:18" ht="15.75" customHeight="true">
      <c r="A30" s="348">
        <v>45761</v>
      </c>
      <c r="B30" s="426">
        <v>45737</v>
      </c>
      <c r="C30" s="64" t="s">
        <v>53</v>
      </c>
      <c r="D30" s="437" t="s">
        <v>52</v>
      </c>
      <c r="E30" s="94" t="s">
        <v>2422</v>
      </c>
      <c r="F30" s="247" t="s">
        <v>428</v>
      </c>
      <c r="G30" s="64" t="s">
        <v>422</v>
      </c>
      <c r="H30" s="64" t="s">
        <v>2423</v>
      </c>
      <c r="I30" s="64">
        <v>6</v>
      </c>
      <c r="J30" s="82">
        <v>2268</v>
      </c>
      <c r="K30" s="427">
        <f>=I30*J30</f>
        <v>13608</v>
      </c>
      <c r="L30" s="82">
        <v>2251</v>
      </c>
      <c r="M30" s="428">
        <f>=I30*L30</f>
        <v>13506</v>
      </c>
      <c r="N30" s="82">
        <f>=K30-M30</f>
        <v>102</v>
      </c>
      <c r="O30" s="64">
        <v>0</v>
      </c>
      <c r="P30" s="64">
        <f>=I30*O30*ROUNDUP((A30-B30)/30,0)</f>
        <v>0</v>
      </c>
      <c r="Q30" s="76" t="s"/>
      <c r="R30" s="62" t="s"/>
    </row>
    <row r="31" spans="1:18" ht="15.75" customHeight="true">
      <c r="A31" s="348">
        <v>45761</v>
      </c>
      <c r="B31" s="426">
        <v>45737</v>
      </c>
      <c r="C31" s="64" t="s">
        <v>53</v>
      </c>
      <c r="D31" s="437" t="s">
        <v>52</v>
      </c>
      <c r="E31" s="94" t="s">
        <v>2424</v>
      </c>
      <c r="F31" s="247" t="s">
        <v>428</v>
      </c>
      <c r="G31" s="64" t="s">
        <v>422</v>
      </c>
      <c r="H31" s="64" t="s">
        <v>2425</v>
      </c>
      <c r="I31" s="64">
        <v>30</v>
      </c>
      <c r="J31" s="82">
        <v>794</v>
      </c>
      <c r="K31" s="427">
        <f>=I31*J31</f>
        <v>23820</v>
      </c>
      <c r="L31" s="82">
        <v>788</v>
      </c>
      <c r="M31" s="428">
        <f>=I31*L31</f>
        <v>23640</v>
      </c>
      <c r="N31" s="82">
        <f>=K31-M31</f>
        <v>180</v>
      </c>
      <c r="O31" s="64">
        <v>0</v>
      </c>
      <c r="P31" s="64">
        <f>=I31*O31*ROUNDUP((A31-B31)/30,0)</f>
        <v>0</v>
      </c>
      <c r="Q31" s="76" t="s"/>
      <c r="R31" s="62" t="s"/>
    </row>
    <row r="32" spans="1:18" ht="15.75" customHeight="true">
      <c r="A32" s="348">
        <v>45761</v>
      </c>
      <c r="B32" s="426">
        <v>45737</v>
      </c>
      <c r="C32" s="64" t="s">
        <v>53</v>
      </c>
      <c r="D32" s="437" t="s">
        <v>52</v>
      </c>
      <c r="E32" s="94" t="s">
        <v>2426</v>
      </c>
      <c r="F32" s="247" t="s">
        <v>428</v>
      </c>
      <c r="G32" s="64" t="s">
        <v>422</v>
      </c>
      <c r="H32" s="64" t="s">
        <v>2427</v>
      </c>
      <c r="I32" s="64">
        <v>58</v>
      </c>
      <c r="J32" s="82">
        <v>783</v>
      </c>
      <c r="K32" s="427">
        <f>=I32*J32</f>
        <v>45414</v>
      </c>
      <c r="L32" s="82">
        <v>777</v>
      </c>
      <c r="M32" s="428">
        <f>=I32*L32</f>
        <v>45066</v>
      </c>
      <c r="N32" s="82">
        <f>=K32-M32</f>
        <v>348</v>
      </c>
      <c r="O32" s="64">
        <v>0</v>
      </c>
      <c r="P32" s="64">
        <f>=I32*O32*ROUNDUP((A32-B32)/30,0)</f>
        <v>0</v>
      </c>
      <c r="Q32" s="76" t="s"/>
      <c r="R32" s="62" t="s"/>
    </row>
    <row r="33" spans="1:18" ht="15.75" customHeight="true">
      <c r="A33" s="348">
        <v>45761</v>
      </c>
      <c r="B33" s="426">
        <v>45737</v>
      </c>
      <c r="C33" s="64" t="s">
        <v>53</v>
      </c>
      <c r="D33" s="437" t="s">
        <v>52</v>
      </c>
      <c r="E33" s="94" t="s">
        <v>2428</v>
      </c>
      <c r="F33" s="247" t="s">
        <v>428</v>
      </c>
      <c r="G33" s="64" t="s">
        <v>429</v>
      </c>
      <c r="H33" s="64" t="s">
        <v>2429</v>
      </c>
      <c r="I33" s="64">
        <v>6</v>
      </c>
      <c r="J33" s="82">
        <v>4147</v>
      </c>
      <c r="K33" s="427">
        <f>=I33*J33</f>
        <v>24882</v>
      </c>
      <c r="L33" s="82">
        <v>4116</v>
      </c>
      <c r="M33" s="428">
        <f>=I33*L33</f>
        <v>24696</v>
      </c>
      <c r="N33" s="82">
        <f>=K33-M33</f>
        <v>186</v>
      </c>
      <c r="O33" s="64">
        <v>0</v>
      </c>
      <c r="P33" s="64">
        <f>=I33*O33*ROUNDUP((A33-B33)/30,0)</f>
        <v>0</v>
      </c>
      <c r="Q33" s="76" t="s"/>
      <c r="R33" s="62" t="s"/>
    </row>
    <row r="34" spans="1:18" ht="15.75" customHeight="true">
      <c r="A34" s="80">
        <v>46086</v>
      </c>
      <c r="B34" s="426">
        <v>45881</v>
      </c>
      <c r="C34" s="64" t="s">
        <v>71</v>
      </c>
      <c r="D34" s="64" t="s">
        <v>50</v>
      </c>
      <c r="E34" s="94" t="s">
        <v>2430</v>
      </c>
      <c r="F34" s="247" t="s">
        <v>428</v>
      </c>
      <c r="G34" s="64" t="s">
        <v>422</v>
      </c>
      <c r="H34" s="64" t="s">
        <v>610</v>
      </c>
      <c r="I34" s="247">
        <v>5</v>
      </c>
      <c r="J34" s="82">
        <v>833</v>
      </c>
      <c r="K34" s="427">
        <f>=I34*J34</f>
        <v>4165</v>
      </c>
      <c r="L34" s="82">
        <v>784</v>
      </c>
      <c r="M34" s="428">
        <f>=I34*L34</f>
        <v>3920</v>
      </c>
      <c r="N34" s="82">
        <f>=K34-M34</f>
        <v>245</v>
      </c>
      <c r="O34" s="64">
        <v>0</v>
      </c>
      <c r="P34" s="64">
        <f>=I34*O34*ROUNDUP((A34-B34)/30,0)</f>
        <v>0</v>
      </c>
      <c r="Q34" s="76" t="s"/>
      <c r="R34" s="62" t="s"/>
    </row>
    <row r="35" spans="1:18" ht="15.75" customHeight="true">
      <c r="A35" s="110">
        <v>46086</v>
      </c>
      <c r="B35" s="426">
        <v>45881</v>
      </c>
      <c r="C35" s="64" t="s">
        <v>71</v>
      </c>
      <c r="D35" s="64" t="s">
        <v>50</v>
      </c>
      <c r="E35" s="94" t="s">
        <v>2431</v>
      </c>
      <c r="F35" s="247" t="s">
        <v>428</v>
      </c>
      <c r="G35" s="83" t="s">
        <v>422</v>
      </c>
      <c r="H35" s="83" t="s">
        <v>612</v>
      </c>
      <c r="I35" s="256">
        <v>8</v>
      </c>
      <c r="J35" s="84">
        <v>986</v>
      </c>
      <c r="K35" s="439">
        <f>=I35*J35</f>
        <v>7888</v>
      </c>
      <c r="L35" s="84">
        <v>928</v>
      </c>
      <c r="M35" s="428">
        <f>=I35*L35</f>
        <v>7424</v>
      </c>
      <c r="N35" s="82">
        <f>=K35-M35</f>
        <v>464</v>
      </c>
      <c r="O35" s="64">
        <v>0</v>
      </c>
      <c r="P35" s="64">
        <f>=I35*O35*ROUNDUP((A35-B35)/30,0)</f>
        <v>0</v>
      </c>
      <c r="Q35" s="76" t="s"/>
      <c r="R35" s="62" t="s"/>
    </row>
    <row r="36" spans="1:18" ht="15.75" customHeight="true">
      <c r="A36" s="110">
        <v>46086</v>
      </c>
      <c r="B36" s="426">
        <v>45881</v>
      </c>
      <c r="C36" s="64" t="s">
        <v>71</v>
      </c>
      <c r="D36" s="64" t="s">
        <v>50</v>
      </c>
      <c r="E36" s="94" t="s">
        <v>2432</v>
      </c>
      <c r="F36" s="247" t="s">
        <v>428</v>
      </c>
      <c r="G36" s="83" t="s">
        <v>422</v>
      </c>
      <c r="H36" s="83" t="s">
        <v>614</v>
      </c>
      <c r="I36" s="256">
        <v>5</v>
      </c>
      <c r="J36" s="84">
        <v>1223</v>
      </c>
      <c r="K36" s="439">
        <f>=I36*J36</f>
        <v>6115</v>
      </c>
      <c r="L36" s="84">
        <v>1152</v>
      </c>
      <c r="M36" s="428">
        <f>=I36*L36</f>
        <v>5760</v>
      </c>
      <c r="N36" s="82">
        <f>=K36-M36</f>
        <v>355</v>
      </c>
      <c r="O36" s="64">
        <v>0</v>
      </c>
      <c r="P36" s="64">
        <f>=I36*O36*ROUNDUP((A36-B36)/30,0)</f>
        <v>0</v>
      </c>
      <c r="Q36" s="76" t="s"/>
      <c r="R36" s="62" t="s"/>
    </row>
    <row r="37" spans="1:18" ht="15.75" customHeight="true">
      <c r="A37" s="110">
        <v>46086</v>
      </c>
      <c r="B37" s="426">
        <v>45881</v>
      </c>
      <c r="C37" s="64" t="s">
        <v>71</v>
      </c>
      <c r="D37" s="64" t="s">
        <v>50</v>
      </c>
      <c r="E37" s="94" t="s">
        <v>2433</v>
      </c>
      <c r="F37" s="247" t="s">
        <v>428</v>
      </c>
      <c r="G37" s="83" t="s">
        <v>422</v>
      </c>
      <c r="H37" s="83" t="s">
        <v>643</v>
      </c>
      <c r="I37" s="256">
        <v>25</v>
      </c>
      <c r="J37" s="84">
        <v>4121</v>
      </c>
      <c r="K37" s="439">
        <f>=I37*J37</f>
        <v>103025</v>
      </c>
      <c r="L37" s="84">
        <v>3880</v>
      </c>
      <c r="M37" s="428">
        <f>=I37*L37</f>
        <v>97000</v>
      </c>
      <c r="N37" s="82">
        <f>=K37-M37</f>
        <v>6025</v>
      </c>
      <c r="O37" s="64">
        <v>0</v>
      </c>
      <c r="P37" s="64">
        <f>=I37*O37*ROUNDUP((A37-B37)/30,0)</f>
        <v>0</v>
      </c>
      <c r="Q37" s="76" t="s"/>
      <c r="R37" s="62" t="s"/>
    </row>
    <row r="38" spans="1:18" ht="15.75" customHeight="true">
      <c r="A38" s="80">
        <v>45840</v>
      </c>
      <c r="B38" s="426">
        <v>45737</v>
      </c>
      <c r="C38" s="64" t="s">
        <v>51</v>
      </c>
      <c r="D38" s="437" t="s">
        <v>50</v>
      </c>
      <c r="E38" s="94" t="s">
        <v>2434</v>
      </c>
      <c r="F38" s="247" t="s">
        <v>428</v>
      </c>
      <c r="G38" s="64" t="s">
        <v>422</v>
      </c>
      <c r="H38" s="247" t="s">
        <v>2419</v>
      </c>
      <c r="I38" s="247">
        <v>20</v>
      </c>
      <c r="J38" s="82">
        <v>1826</v>
      </c>
      <c r="K38" s="427">
        <f>=I38*J38</f>
        <v>36520</v>
      </c>
      <c r="L38" s="82">
        <v>1771</v>
      </c>
      <c r="M38" s="428">
        <f>=I38*L38</f>
        <v>35420</v>
      </c>
      <c r="N38" s="82">
        <f>=K38-M38</f>
        <v>1100</v>
      </c>
      <c r="O38" s="64">
        <v>0</v>
      </c>
      <c r="P38" s="64">
        <f>=I38*O38*ROUNDUP((A38-B38)/30,0)</f>
        <v>0</v>
      </c>
      <c r="Q38" s="76" t="s"/>
      <c r="R38" s="62" t="s"/>
    </row>
    <row r="39" spans="1:18" s="270" customFormat="true" ht="15.75" customHeight="true">
      <c r="A39" s="80">
        <v>45840</v>
      </c>
      <c r="B39" s="426">
        <v>45737</v>
      </c>
      <c r="C39" s="64" t="s">
        <v>51</v>
      </c>
      <c r="D39" s="437" t="s">
        <v>50</v>
      </c>
      <c r="E39" s="94" t="s">
        <v>2435</v>
      </c>
      <c r="F39" s="247" t="s">
        <v>428</v>
      </c>
      <c r="G39" s="64" t="s">
        <v>422</v>
      </c>
      <c r="H39" s="247" t="s">
        <v>2409</v>
      </c>
      <c r="I39" s="247">
        <v>6</v>
      </c>
      <c r="J39" s="82">
        <v>14763</v>
      </c>
      <c r="K39" s="427">
        <f>=I39*J39</f>
        <v>88578</v>
      </c>
      <c r="L39" s="82">
        <v>14315</v>
      </c>
      <c r="M39" s="428">
        <f>=I39*L39</f>
        <v>85890</v>
      </c>
      <c r="N39" s="82">
        <f>=K39-M39</f>
        <v>2688</v>
      </c>
      <c r="O39" s="64">
        <v>0</v>
      </c>
      <c r="P39" s="64">
        <f>=I39*O39*ROUNDUP((A39-B39)/30,0)</f>
        <v>0</v>
      </c>
      <c r="Q39" s="348" t="s"/>
      <c r="R39" s="64" t="s"/>
    </row>
    <row r="40" spans="1:18" ht="15.75" customHeight="true">
      <c r="A40" s="80">
        <v>45840</v>
      </c>
      <c r="B40" s="426">
        <v>45737</v>
      </c>
      <c r="C40" s="64" t="s">
        <v>51</v>
      </c>
      <c r="D40" s="64" t="s">
        <v>50</v>
      </c>
      <c r="E40" s="94" t="s">
        <v>2436</v>
      </c>
      <c r="F40" s="247" t="s">
        <v>428</v>
      </c>
      <c r="G40" s="64" t="s">
        <v>422</v>
      </c>
      <c r="H40" s="247" t="s">
        <v>1236</v>
      </c>
      <c r="I40" s="247">
        <v>5</v>
      </c>
      <c r="J40" s="82">
        <v>16243</v>
      </c>
      <c r="K40" s="427">
        <f>=I40*J40</f>
        <v>81215</v>
      </c>
      <c r="L40" s="82">
        <v>15750</v>
      </c>
      <c r="M40" s="428">
        <f>=I40*L40</f>
        <v>78750</v>
      </c>
      <c r="N40" s="82">
        <f>=K40-M40</f>
        <v>2465</v>
      </c>
      <c r="O40" s="64">
        <v>0</v>
      </c>
      <c r="P40" s="64">
        <f>=I40*O40*ROUNDUP((A40-B40)/30,0)</f>
        <v>0</v>
      </c>
      <c r="Q40" s="76" t="s"/>
      <c r="R40" s="62" t="s"/>
    </row>
    <row r="41" spans="1:18" ht="15.75" customHeight="true">
      <c r="A41" s="80">
        <v>45840</v>
      </c>
      <c r="B41" s="426">
        <v>45737</v>
      </c>
      <c r="C41" s="64" t="s">
        <v>51</v>
      </c>
      <c r="D41" s="64" t="s">
        <v>50</v>
      </c>
      <c r="E41" s="94" t="s">
        <v>2437</v>
      </c>
      <c r="F41" s="247" t="s">
        <v>428</v>
      </c>
      <c r="G41" s="64" t="s">
        <v>449</v>
      </c>
      <c r="H41" s="197" t="s">
        <v>3771</v>
      </c>
      <c r="I41" s="247">
        <v>15</v>
      </c>
      <c r="J41" s="82">
        <v>910</v>
      </c>
      <c r="K41" s="427">
        <f>=I41*J41</f>
        <v>13650</v>
      </c>
      <c r="L41" s="82">
        <v>882</v>
      </c>
      <c r="M41" s="428">
        <f>=I41*L41</f>
        <v>13230</v>
      </c>
      <c r="N41" s="82">
        <f>=K41-M41</f>
        <v>420</v>
      </c>
      <c r="O41" s="64">
        <v>0</v>
      </c>
      <c r="P41" s="64">
        <f>=I41*O41*ROUNDUP((A41-B41)/30,0)</f>
        <v>0</v>
      </c>
      <c r="Q41" s="76" t="s"/>
      <c r="R41" s="62" t="s"/>
    </row>
    <row r="42" spans="1:18" ht="15.75" customHeight="true">
      <c r="A42" s="80">
        <v>45840</v>
      </c>
      <c r="B42" s="426">
        <v>45737</v>
      </c>
      <c r="C42" s="64" t="s">
        <v>51</v>
      </c>
      <c r="D42" s="64" t="s">
        <v>50</v>
      </c>
      <c r="E42" s="94" t="s">
        <v>2438</v>
      </c>
      <c r="F42" s="247" t="s">
        <v>428</v>
      </c>
      <c r="G42" s="64" t="s">
        <v>449</v>
      </c>
      <c r="H42" s="197" t="s">
        <v>2439</v>
      </c>
      <c r="I42" s="247">
        <v>15</v>
      </c>
      <c r="J42" s="82">
        <v>923</v>
      </c>
      <c r="K42" s="427">
        <f>=I42*J42</f>
        <v>13845</v>
      </c>
      <c r="L42" s="82">
        <v>894.6</v>
      </c>
      <c r="M42" s="428">
        <f>=I42*L42</f>
        <v>13419</v>
      </c>
      <c r="N42" s="82">
        <f>=K42-M42</f>
        <v>426</v>
      </c>
      <c r="O42" s="64">
        <v>0</v>
      </c>
      <c r="P42" s="64">
        <f>=I42*O42*ROUNDUP((A42-B42)/30,0)</f>
        <v>0</v>
      </c>
      <c r="Q42" s="76" t="s"/>
      <c r="R42" s="62" t="s"/>
    </row>
    <row r="43" spans="1:18" ht="15.75" customHeight="true">
      <c r="A43" s="80">
        <v>45840</v>
      </c>
      <c r="B43" s="426">
        <v>45737</v>
      </c>
      <c r="C43" s="64" t="s">
        <v>51</v>
      </c>
      <c r="D43" s="64" t="s">
        <v>50</v>
      </c>
      <c r="E43" s="94" t="s">
        <v>2440</v>
      </c>
      <c r="F43" s="247" t="s">
        <v>428</v>
      </c>
      <c r="G43" s="64" t="s">
        <v>449</v>
      </c>
      <c r="H43" s="197" t="s">
        <v>2441</v>
      </c>
      <c r="I43" s="247">
        <v>15</v>
      </c>
      <c r="J43" s="82">
        <v>816</v>
      </c>
      <c r="K43" s="427">
        <f>=I43*J43</f>
        <v>12240</v>
      </c>
      <c r="L43" s="82">
        <v>791</v>
      </c>
      <c r="M43" s="428">
        <f>=I43*L43</f>
        <v>11865</v>
      </c>
      <c r="N43" s="82">
        <f>=K43-M43</f>
        <v>375</v>
      </c>
      <c r="O43" s="64">
        <v>0</v>
      </c>
      <c r="P43" s="64">
        <f>=I43*O43*ROUNDUP((A43-B43)/30,0)</f>
        <v>0</v>
      </c>
      <c r="Q43" s="76" t="s"/>
      <c r="R43" s="62" t="s"/>
    </row>
    <row r="44" spans="1:18" ht="15.75" customHeight="true">
      <c r="A44" s="80">
        <v>45840</v>
      </c>
      <c r="B44" s="426">
        <v>45737</v>
      </c>
      <c r="C44" s="64" t="s">
        <v>51</v>
      </c>
      <c r="D44" s="64" t="s">
        <v>50</v>
      </c>
      <c r="E44" s="94" t="s">
        <v>2442</v>
      </c>
      <c r="F44" s="247" t="s">
        <v>428</v>
      </c>
      <c r="G44" s="64" t="s">
        <v>449</v>
      </c>
      <c r="H44" s="197" t="s">
        <v>2443</v>
      </c>
      <c r="I44" s="247">
        <v>10</v>
      </c>
      <c r="J44" s="82">
        <v>818</v>
      </c>
      <c r="K44" s="427">
        <f>=I44*J44</f>
        <v>8180</v>
      </c>
      <c r="L44" s="82">
        <v>793.1</v>
      </c>
      <c r="M44" s="428">
        <f>=I44*L44</f>
        <v>7931</v>
      </c>
      <c r="N44" s="82">
        <f>=K44-M44</f>
        <v>249</v>
      </c>
      <c r="O44" s="64">
        <v>0</v>
      </c>
      <c r="P44" s="64">
        <f>=I44*O44*ROUNDUP((A44-B44)/30,0)</f>
        <v>0</v>
      </c>
      <c r="Q44" s="76" t="s"/>
      <c r="R44" s="62" t="s"/>
    </row>
    <row r="45" spans="1:18" ht="15.75" customHeight="true">
      <c r="A45" s="80">
        <v>45840</v>
      </c>
      <c r="B45" s="426">
        <v>45737</v>
      </c>
      <c r="C45" s="64" t="s">
        <v>51</v>
      </c>
      <c r="D45" s="64" t="s">
        <v>50</v>
      </c>
      <c r="E45" s="94" t="s">
        <v>2444</v>
      </c>
      <c r="F45" s="247" t="s">
        <v>428</v>
      </c>
      <c r="G45" s="64" t="s">
        <v>422</v>
      </c>
      <c r="H45" s="247" t="s">
        <v>618</v>
      </c>
      <c r="I45" s="247">
        <v>5</v>
      </c>
      <c r="J45" s="82">
        <v>4418</v>
      </c>
      <c r="K45" s="427">
        <f>=I45*J45</f>
        <v>22090</v>
      </c>
      <c r="L45" s="82">
        <v>4284</v>
      </c>
      <c r="M45" s="428">
        <f>=I45*L45</f>
        <v>21420</v>
      </c>
      <c r="N45" s="82">
        <f>=K45-M45</f>
        <v>670</v>
      </c>
      <c r="O45" s="64">
        <v>0</v>
      </c>
      <c r="P45" s="64">
        <f>=I45*O45*ROUNDUP((A45-B45)/30,0)</f>
        <v>0</v>
      </c>
      <c r="Q45" s="76" t="s"/>
      <c r="R45" s="62" t="s"/>
    </row>
    <row r="46" spans="1:18" ht="15.75" customHeight="true">
      <c r="A46" s="80">
        <v>45840</v>
      </c>
      <c r="B46" s="426">
        <v>45737</v>
      </c>
      <c r="C46" s="64" t="s">
        <v>51</v>
      </c>
      <c r="D46" s="64" t="s">
        <v>50</v>
      </c>
      <c r="E46" s="94" t="s">
        <v>2445</v>
      </c>
      <c r="F46" s="247" t="s">
        <v>428</v>
      </c>
      <c r="G46" s="64" t="s">
        <v>422</v>
      </c>
      <c r="H46" s="247" t="s">
        <v>2446</v>
      </c>
      <c r="I46" s="247">
        <v>10</v>
      </c>
      <c r="J46" s="82">
        <v>4483</v>
      </c>
      <c r="K46" s="427">
        <f>=I46*J46</f>
        <v>44830</v>
      </c>
      <c r="L46" s="82">
        <v>4347</v>
      </c>
      <c r="M46" s="428">
        <f>=I46*L46</f>
        <v>43470</v>
      </c>
      <c r="N46" s="82">
        <f>=K46-M46</f>
        <v>1360</v>
      </c>
      <c r="O46" s="64">
        <v>0</v>
      </c>
      <c r="P46" s="64">
        <f>=I46*O46*ROUNDUP((A46-B46)/30,0)</f>
        <v>0</v>
      </c>
      <c r="Q46" s="76" t="s"/>
      <c r="R46" s="62" t="s"/>
    </row>
    <row r="47" spans="1:18" ht="15.75" customHeight="true">
      <c r="A47" s="80">
        <v>45840</v>
      </c>
      <c r="B47" s="426">
        <v>45737</v>
      </c>
      <c r="C47" s="64" t="s">
        <v>51</v>
      </c>
      <c r="D47" s="64" t="s">
        <v>50</v>
      </c>
      <c r="E47" s="94" t="s">
        <v>2447</v>
      </c>
      <c r="F47" s="247" t="s">
        <v>428</v>
      </c>
      <c r="G47" s="64" t="s">
        <v>422</v>
      </c>
      <c r="H47" s="247" t="s">
        <v>621</v>
      </c>
      <c r="I47" s="247">
        <v>20</v>
      </c>
      <c r="J47" s="82">
        <v>4422</v>
      </c>
      <c r="K47" s="427">
        <f>=I47*J47</f>
        <v>88440</v>
      </c>
      <c r="L47" s="82">
        <v>4287.5</v>
      </c>
      <c r="M47" s="428">
        <f>=I47*L47</f>
        <v>85750</v>
      </c>
      <c r="N47" s="82">
        <f>=K47-M47</f>
        <v>2690</v>
      </c>
      <c r="O47" s="64">
        <v>0</v>
      </c>
      <c r="P47" s="64">
        <f>=I47*O47*ROUNDUP((A47-B47)/30,0)</f>
        <v>0</v>
      </c>
      <c r="Q47" s="76" t="s"/>
      <c r="R47" s="62" t="s"/>
    </row>
    <row r="48" spans="1:18" ht="15.75" customHeight="true">
      <c r="A48" s="80">
        <v>45848</v>
      </c>
      <c r="B48" s="426">
        <v>45737</v>
      </c>
      <c r="C48" s="64" t="s">
        <v>51</v>
      </c>
      <c r="D48" s="64" t="s">
        <v>50</v>
      </c>
      <c r="E48" s="94" t="s">
        <v>2448</v>
      </c>
      <c r="F48" s="247" t="s">
        <v>428</v>
      </c>
      <c r="G48" s="64" t="s">
        <v>422</v>
      </c>
      <c r="H48" s="247" t="s">
        <v>2449</v>
      </c>
      <c r="I48" s="247">
        <v>10</v>
      </c>
      <c r="J48" s="82">
        <v>3584</v>
      </c>
      <c r="K48" s="427">
        <f>=I48*J48</f>
        <v>35840</v>
      </c>
      <c r="L48" s="82">
        <v>3475.5</v>
      </c>
      <c r="M48" s="428">
        <f>=I48*L48</f>
        <v>34755</v>
      </c>
      <c r="N48" s="82">
        <f>=K48-M48</f>
        <v>1085</v>
      </c>
      <c r="O48" s="64">
        <v>0</v>
      </c>
      <c r="P48" s="64">
        <f>=I48*O48*ROUNDUP((A48-B48)/30,0)</f>
        <v>0</v>
      </c>
      <c r="Q48" s="76" t="s"/>
      <c r="R48" s="62" t="s"/>
    </row>
    <row r="49" spans="1:18" ht="15.75" customHeight="true">
      <c r="A49" s="80">
        <v>45840</v>
      </c>
      <c r="B49" s="426">
        <v>45737</v>
      </c>
      <c r="C49" s="64" t="s">
        <v>51</v>
      </c>
      <c r="D49" s="64" t="s">
        <v>50</v>
      </c>
      <c r="E49" s="94" t="s">
        <v>2450</v>
      </c>
      <c r="F49" s="247" t="s">
        <v>428</v>
      </c>
      <c r="G49" s="64" t="s">
        <v>422</v>
      </c>
      <c r="H49" s="247" t="s">
        <v>2423</v>
      </c>
      <c r="I49" s="247">
        <v>10</v>
      </c>
      <c r="J49" s="82">
        <v>2310</v>
      </c>
      <c r="K49" s="427">
        <f>=I49*J49</f>
        <v>23100</v>
      </c>
      <c r="L49" s="82">
        <v>2240</v>
      </c>
      <c r="M49" s="428">
        <f>=I49*L49</f>
        <v>22400</v>
      </c>
      <c r="N49" s="82">
        <f>=K49-M49</f>
        <v>700</v>
      </c>
      <c r="O49" s="64">
        <v>0</v>
      </c>
      <c r="P49" s="64">
        <f>=I49*O49*ROUNDUP((A49-B49)/30,0)</f>
        <v>0</v>
      </c>
      <c r="Q49" s="76" t="s"/>
      <c r="R49" s="62" t="s"/>
    </row>
    <row r="50" spans="1:18" ht="15.75" customHeight="true">
      <c r="A50" s="80">
        <v>45840</v>
      </c>
      <c r="B50" s="426">
        <v>45737</v>
      </c>
      <c r="C50" s="64" t="s">
        <v>51</v>
      </c>
      <c r="D50" s="64" t="s">
        <v>50</v>
      </c>
      <c r="E50" s="94" t="s">
        <v>2451</v>
      </c>
      <c r="F50" s="247" t="s">
        <v>428</v>
      </c>
      <c r="G50" s="64" t="s">
        <v>422</v>
      </c>
      <c r="H50" s="247" t="s">
        <v>2421</v>
      </c>
      <c r="I50" s="247">
        <v>15</v>
      </c>
      <c r="J50" s="82">
        <v>2382</v>
      </c>
      <c r="K50" s="427">
        <f>=I50*J50</f>
        <v>35730</v>
      </c>
      <c r="L50" s="82">
        <v>2310</v>
      </c>
      <c r="M50" s="428">
        <f>=I50*L50</f>
        <v>34650</v>
      </c>
      <c r="N50" s="82">
        <f>=K50-M50</f>
        <v>1080</v>
      </c>
      <c r="O50" s="64">
        <v>0</v>
      </c>
      <c r="P50" s="64">
        <f>=I50*O50*ROUNDUP((A50-B50)/30,0)</f>
        <v>0</v>
      </c>
      <c r="Q50" s="76" t="s"/>
      <c r="R50" s="62" t="s"/>
    </row>
    <row r="51" spans="1:18" ht="15.75" customHeight="true">
      <c r="A51" s="80">
        <v>45883</v>
      </c>
      <c r="B51" s="426">
        <v>45737</v>
      </c>
      <c r="C51" s="64" t="s">
        <v>51</v>
      </c>
      <c r="D51" s="64" t="s">
        <v>50</v>
      </c>
      <c r="E51" s="94" t="s">
        <v>2452</v>
      </c>
      <c r="F51" s="247" t="s">
        <v>428</v>
      </c>
      <c r="G51" s="64" t="s">
        <v>449</v>
      </c>
      <c r="H51" s="197" t="s">
        <v>2439</v>
      </c>
      <c r="I51" s="247">
        <v>10</v>
      </c>
      <c r="J51" s="82">
        <v>934</v>
      </c>
      <c r="K51" s="427">
        <f>=I51*J51</f>
        <v>9340</v>
      </c>
      <c r="L51" s="82">
        <v>894.6</v>
      </c>
      <c r="M51" s="428">
        <f>=I51*L51</f>
        <v>8946</v>
      </c>
      <c r="N51" s="82">
        <f>=K51-M51</f>
        <v>394</v>
      </c>
      <c r="O51" s="64">
        <v>0</v>
      </c>
      <c r="P51" s="64">
        <f>=I51*O51*ROUNDUP((A51-B51)/30,0)</f>
        <v>0</v>
      </c>
      <c r="Q51" s="76" t="s"/>
      <c r="R51" s="62" t="s"/>
    </row>
    <row r="52" spans="1:18" ht="15.75" customHeight="true">
      <c r="A52" s="80">
        <v>45883</v>
      </c>
      <c r="B52" s="426">
        <v>45737</v>
      </c>
      <c r="C52" s="64" t="s">
        <v>51</v>
      </c>
      <c r="D52" s="64" t="s">
        <v>50</v>
      </c>
      <c r="E52" s="94" t="s">
        <v>2453</v>
      </c>
      <c r="F52" s="247" t="s">
        <v>428</v>
      </c>
      <c r="G52" s="64" t="s">
        <v>422</v>
      </c>
      <c r="H52" s="247" t="s">
        <v>2454</v>
      </c>
      <c r="I52" s="247">
        <v>21</v>
      </c>
      <c r="J52" s="82">
        <v>1239</v>
      </c>
      <c r="K52" s="427">
        <f>=I52*J52</f>
        <v>26019</v>
      </c>
      <c r="L52" s="82">
        <v>1186.5</v>
      </c>
      <c r="M52" s="428">
        <f>=I52*L52</f>
        <v>24916.5</v>
      </c>
      <c r="N52" s="82">
        <f>=K52-M52</f>
        <v>1102.5</v>
      </c>
      <c r="O52" s="64">
        <v>0</v>
      </c>
      <c r="P52" s="64">
        <f>=I52*O52*ROUNDUP((A52-B52)/30,0)</f>
        <v>0</v>
      </c>
      <c r="Q52" s="76" t="s"/>
      <c r="R52" s="62" t="s"/>
    </row>
    <row r="53" spans="1:18" ht="15.75" customHeight="true">
      <c r="A53" s="80">
        <v>45883</v>
      </c>
      <c r="B53" s="426">
        <v>45737</v>
      </c>
      <c r="C53" s="64" t="s">
        <v>51</v>
      </c>
      <c r="D53" s="64" t="s">
        <v>50</v>
      </c>
      <c r="E53" s="94" t="s">
        <v>2455</v>
      </c>
      <c r="F53" s="247" t="s">
        <v>428</v>
      </c>
      <c r="G53" s="64" t="s">
        <v>422</v>
      </c>
      <c r="H53" s="247" t="s">
        <v>2456</v>
      </c>
      <c r="I53" s="247">
        <v>10</v>
      </c>
      <c r="J53" s="82">
        <v>1221</v>
      </c>
      <c r="K53" s="427">
        <f>=I53*J53</f>
        <v>12210</v>
      </c>
      <c r="L53" s="82">
        <v>1169</v>
      </c>
      <c r="M53" s="428">
        <f>=I53*L53</f>
        <v>11690</v>
      </c>
      <c r="N53" s="82">
        <f>=K53-M53</f>
        <v>520</v>
      </c>
      <c r="O53" s="64">
        <v>0</v>
      </c>
      <c r="P53" s="64">
        <f>=I53*O53*ROUNDUP((A53-B53)/30,0)</f>
        <v>0</v>
      </c>
      <c r="Q53" s="76" t="s"/>
      <c r="R53" s="62" t="s"/>
    </row>
    <row r="54" spans="1:18" ht="15.75" customHeight="true">
      <c r="A54" s="80">
        <v>45883</v>
      </c>
      <c r="B54" s="426">
        <v>45737</v>
      </c>
      <c r="C54" s="64" t="s">
        <v>51</v>
      </c>
      <c r="D54" s="64" t="s">
        <v>50</v>
      </c>
      <c r="E54" s="94" t="s">
        <v>2457</v>
      </c>
      <c r="F54" s="247" t="s">
        <v>428</v>
      </c>
      <c r="G54" s="64" t="s">
        <v>422</v>
      </c>
      <c r="H54" s="247" t="s">
        <v>2411</v>
      </c>
      <c r="I54" s="247">
        <v>15</v>
      </c>
      <c r="J54" s="82">
        <v>1952</v>
      </c>
      <c r="K54" s="427">
        <f>=I54*J54</f>
        <v>29280</v>
      </c>
      <c r="L54" s="82">
        <v>1869</v>
      </c>
      <c r="M54" s="428">
        <f>=I54*L54</f>
        <v>28035</v>
      </c>
      <c r="N54" s="82">
        <f>=K54-M54</f>
        <v>1245</v>
      </c>
      <c r="O54" s="64">
        <v>0</v>
      </c>
      <c r="P54" s="64">
        <f>=I54*O54*ROUNDUP((A54-B54)/30,0)</f>
        <v>0</v>
      </c>
      <c r="Q54" s="76" t="s"/>
      <c r="R54" s="62" t="s"/>
    </row>
    <row r="55" spans="1:18" ht="15.75" customHeight="true">
      <c r="A55" s="80">
        <v>45883</v>
      </c>
      <c r="B55" s="426">
        <v>45737</v>
      </c>
      <c r="C55" s="64" t="s">
        <v>51</v>
      </c>
      <c r="D55" s="64" t="s">
        <v>50</v>
      </c>
      <c r="E55" s="94" t="s">
        <v>2458</v>
      </c>
      <c r="F55" s="247" t="s">
        <v>428</v>
      </c>
      <c r="G55" s="64" t="s">
        <v>429</v>
      </c>
      <c r="H55" s="247" t="s">
        <v>2399</v>
      </c>
      <c r="I55" s="247">
        <v>10</v>
      </c>
      <c r="J55" s="82">
        <v>836</v>
      </c>
      <c r="K55" s="427">
        <f>=I55*J55</f>
        <v>8360</v>
      </c>
      <c r="L55" s="82">
        <v>800.1</v>
      </c>
      <c r="M55" s="428">
        <f>=I55*L55</f>
        <v>8001</v>
      </c>
      <c r="N55" s="82">
        <f>=K55-M55</f>
        <v>359</v>
      </c>
      <c r="O55" s="64">
        <v>0</v>
      </c>
      <c r="P55" s="64">
        <f>=I55*O55*ROUNDUP((A55-B55)/30,0)</f>
        <v>0</v>
      </c>
      <c r="Q55" s="76" t="s"/>
      <c r="R55" s="62" t="s"/>
    </row>
    <row r="56" spans="1:18" ht="15.75" customHeight="true">
      <c r="A56" s="80">
        <v>45901</v>
      </c>
      <c r="B56" s="426">
        <v>45737</v>
      </c>
      <c r="C56" s="64" t="s">
        <v>51</v>
      </c>
      <c r="D56" s="64" t="s">
        <v>50</v>
      </c>
      <c r="E56" s="94" t="s">
        <v>2459</v>
      </c>
      <c r="F56" s="247" t="s">
        <v>428</v>
      </c>
      <c r="G56" s="64" t="s">
        <v>429</v>
      </c>
      <c r="H56" s="247" t="s">
        <v>598</v>
      </c>
      <c r="I56" s="247">
        <v>20</v>
      </c>
      <c r="J56" s="82">
        <v>882</v>
      </c>
      <c r="K56" s="427">
        <f>=I56*J56</f>
        <v>17640</v>
      </c>
      <c r="L56" s="82">
        <v>840</v>
      </c>
      <c r="M56" s="428">
        <f>=I56*L56</f>
        <v>16800</v>
      </c>
      <c r="N56" s="82">
        <f>=K56-M56</f>
        <v>840</v>
      </c>
      <c r="O56" s="64">
        <v>0</v>
      </c>
      <c r="P56" s="64">
        <f>=I56*O56*ROUNDUP((A56-B56)/30,0)</f>
        <v>0</v>
      </c>
      <c r="Q56" s="76" t="s"/>
      <c r="R56" s="62" t="s"/>
    </row>
    <row r="57" spans="1:18" ht="15.75" customHeight="true">
      <c r="A57" s="80">
        <v>45909</v>
      </c>
      <c r="B57" s="426">
        <v>45737</v>
      </c>
      <c r="C57" s="64" t="s">
        <v>51</v>
      </c>
      <c r="D57" s="64" t="s">
        <v>50</v>
      </c>
      <c r="E57" s="94" t="s">
        <v>2460</v>
      </c>
      <c r="F57" s="247" t="s">
        <v>428</v>
      </c>
      <c r="G57" s="64" t="s">
        <v>422</v>
      </c>
      <c r="H57" s="247" t="s">
        <v>2461</v>
      </c>
      <c r="I57" s="247">
        <v>5</v>
      </c>
      <c r="J57" s="82">
        <v>3632</v>
      </c>
      <c r="K57" s="427">
        <f>=I57*J57</f>
        <v>18160</v>
      </c>
      <c r="L57" s="82">
        <v>3451</v>
      </c>
      <c r="M57" s="428">
        <f>=I57*L57</f>
        <v>17255</v>
      </c>
      <c r="N57" s="82">
        <f>=K57-M57</f>
        <v>905</v>
      </c>
      <c r="O57" s="64">
        <v>0</v>
      </c>
      <c r="P57" s="64">
        <f>=I57*O57*ROUNDUP((A57-B57)/30,0)</f>
        <v>0</v>
      </c>
      <c r="Q57" s="76" t="s"/>
      <c r="R57" s="62" t="s"/>
    </row>
    <row r="58" spans="1:18" ht="15.75" customHeight="true">
      <c r="A58" s="80">
        <v>45909</v>
      </c>
      <c r="B58" s="426">
        <v>45737</v>
      </c>
      <c r="C58" s="64" t="s">
        <v>51</v>
      </c>
      <c r="D58" s="64" t="s">
        <v>50</v>
      </c>
      <c r="E58" s="94" t="s">
        <v>2462</v>
      </c>
      <c r="F58" s="247" t="s">
        <v>428</v>
      </c>
      <c r="G58" s="64" t="s">
        <v>449</v>
      </c>
      <c r="H58" s="197" t="s">
        <v>2463</v>
      </c>
      <c r="I58" s="247">
        <v>15</v>
      </c>
      <c r="J58" s="82">
        <v>928</v>
      </c>
      <c r="K58" s="427">
        <f>=I58*J58</f>
        <v>13920</v>
      </c>
      <c r="L58" s="82">
        <v>882</v>
      </c>
      <c r="M58" s="428">
        <f>=I58*L58</f>
        <v>13230</v>
      </c>
      <c r="N58" s="82">
        <f>=K58-M58</f>
        <v>690</v>
      </c>
      <c r="O58" s="64">
        <v>0</v>
      </c>
      <c r="P58" s="64">
        <f>=I58*O58*ROUNDUP((A58-B58)/30,0)</f>
        <v>0</v>
      </c>
      <c r="Q58" s="76" t="s"/>
      <c r="R58" s="62" t="s"/>
    </row>
    <row r="59" spans="1:18" ht="15.75" customHeight="true">
      <c r="A59" s="80">
        <v>45909</v>
      </c>
      <c r="B59" s="426">
        <v>45737</v>
      </c>
      <c r="C59" s="64" t="s">
        <v>51</v>
      </c>
      <c r="D59" s="64" t="s">
        <v>50</v>
      </c>
      <c r="E59" s="94" t="s">
        <v>2464</v>
      </c>
      <c r="F59" s="247" t="s">
        <v>428</v>
      </c>
      <c r="G59" s="64" t="s">
        <v>449</v>
      </c>
      <c r="H59" s="197" t="s">
        <v>2439</v>
      </c>
      <c r="I59" s="247">
        <v>15</v>
      </c>
      <c r="J59" s="82">
        <v>941</v>
      </c>
      <c r="K59" s="427">
        <f>=I59*J59</f>
        <v>14115</v>
      </c>
      <c r="L59" s="82">
        <v>894.6</v>
      </c>
      <c r="M59" s="428">
        <f>=I59*L59</f>
        <v>13419</v>
      </c>
      <c r="N59" s="82">
        <f>=K59-M59</f>
        <v>696</v>
      </c>
      <c r="O59" s="64">
        <v>0</v>
      </c>
      <c r="P59" s="64">
        <f>=I59*O59*ROUNDUP((A59-B59)/30,0)</f>
        <v>0</v>
      </c>
      <c r="Q59" s="76" t="s"/>
      <c r="R59" s="62" t="s"/>
    </row>
    <row r="60" spans="1:18" ht="15.75" customHeight="true">
      <c r="A60" s="80">
        <v>45909</v>
      </c>
      <c r="B60" s="426">
        <v>45737</v>
      </c>
      <c r="C60" s="64" t="s">
        <v>51</v>
      </c>
      <c r="D60" s="64" t="s">
        <v>50</v>
      </c>
      <c r="E60" s="94" t="s">
        <v>2465</v>
      </c>
      <c r="F60" s="247" t="s">
        <v>428</v>
      </c>
      <c r="G60" s="64" t="s">
        <v>449</v>
      </c>
      <c r="H60" s="197" t="s">
        <v>2441</v>
      </c>
      <c r="I60" s="247">
        <v>15</v>
      </c>
      <c r="J60" s="82">
        <v>832</v>
      </c>
      <c r="K60" s="427">
        <f>=I60*J60</f>
        <v>12480</v>
      </c>
      <c r="L60" s="82">
        <v>791</v>
      </c>
      <c r="M60" s="428">
        <f>=I60*L60</f>
        <v>11865</v>
      </c>
      <c r="N60" s="82">
        <f>=K60-M60</f>
        <v>615</v>
      </c>
      <c r="O60" s="64">
        <v>0</v>
      </c>
      <c r="P60" s="64">
        <f>=I60*O60*ROUNDUP((A60-B60)/30,0)</f>
        <v>0</v>
      </c>
      <c r="Q60" s="76" t="s"/>
      <c r="R60" s="62" t="s"/>
    </row>
    <row r="61" spans="1:18" ht="15.75" customHeight="true">
      <c r="A61" s="80">
        <v>45909</v>
      </c>
      <c r="B61" s="426">
        <v>45737</v>
      </c>
      <c r="C61" s="64" t="s">
        <v>51</v>
      </c>
      <c r="D61" s="64" t="s">
        <v>50</v>
      </c>
      <c r="E61" s="94" t="s">
        <v>2466</v>
      </c>
      <c r="F61" s="247" t="s">
        <v>428</v>
      </c>
      <c r="G61" s="64" t="s">
        <v>429</v>
      </c>
      <c r="H61" s="247" t="s">
        <v>2399</v>
      </c>
      <c r="I61" s="247">
        <v>10</v>
      </c>
      <c r="J61" s="82">
        <v>842</v>
      </c>
      <c r="K61" s="427">
        <f>=I61*J61</f>
        <v>8420</v>
      </c>
      <c r="L61" s="82">
        <v>800.1</v>
      </c>
      <c r="M61" s="428">
        <f>=I61*L61</f>
        <v>8001</v>
      </c>
      <c r="N61" s="82">
        <f>=K61-M61</f>
        <v>419</v>
      </c>
      <c r="O61" s="64">
        <v>0</v>
      </c>
      <c r="P61" s="64">
        <f>=I61*O61*ROUNDUP((A61-B61)/30,0)</f>
        <v>0</v>
      </c>
      <c r="Q61" s="76" t="s"/>
      <c r="R61" s="62" t="s"/>
    </row>
    <row r="62" spans="1:18" ht="15.75" customHeight="true">
      <c r="A62" s="80">
        <v>45919</v>
      </c>
      <c r="B62" s="426">
        <v>45737</v>
      </c>
      <c r="C62" s="64" t="s">
        <v>51</v>
      </c>
      <c r="D62" s="64" t="s">
        <v>50</v>
      </c>
      <c r="E62" s="440" t="s">
        <v>2467</v>
      </c>
      <c r="F62" s="247" t="s">
        <v>428</v>
      </c>
      <c r="G62" s="64" t="s">
        <v>422</v>
      </c>
      <c r="H62" s="247" t="s">
        <v>2454</v>
      </c>
      <c r="I62" s="247">
        <v>39</v>
      </c>
      <c r="J62" s="82">
        <v>1252</v>
      </c>
      <c r="K62" s="427">
        <f>=I62*J62</f>
        <v>48828</v>
      </c>
      <c r="L62" s="82">
        <v>1186.5</v>
      </c>
      <c r="M62" s="428">
        <f>=I62*L62</f>
        <v>46273.5</v>
      </c>
      <c r="N62" s="82">
        <f>=K62-M62</f>
        <v>2554.5</v>
      </c>
      <c r="O62" s="64">
        <v>0</v>
      </c>
      <c r="P62" s="64">
        <f>=I62*O62*ROUNDUP((A62-B62)/30,0)</f>
        <v>0</v>
      </c>
      <c r="Q62" s="76" t="s"/>
      <c r="R62" s="62" t="s"/>
    </row>
    <row r="63" spans="1:18" ht="15.75" customHeight="true">
      <c r="A63" s="80">
        <v>45919</v>
      </c>
      <c r="B63" s="426">
        <v>45737</v>
      </c>
      <c r="C63" s="64" t="s">
        <v>51</v>
      </c>
      <c r="D63" s="64" t="s">
        <v>50</v>
      </c>
      <c r="E63" s="94" t="s">
        <v>2468</v>
      </c>
      <c r="F63" s="247" t="s">
        <v>428</v>
      </c>
      <c r="G63" s="64" t="s">
        <v>422</v>
      </c>
      <c r="H63" s="247" t="s">
        <v>2411</v>
      </c>
      <c r="I63" s="247">
        <v>25</v>
      </c>
      <c r="J63" s="82">
        <v>1972</v>
      </c>
      <c r="K63" s="427">
        <f>=I63*J63</f>
        <v>49300</v>
      </c>
      <c r="L63" s="82">
        <v>1869</v>
      </c>
      <c r="M63" s="428">
        <f>=I63*L63</f>
        <v>46725</v>
      </c>
      <c r="N63" s="82">
        <f>=K63-M63</f>
        <v>2575</v>
      </c>
      <c r="O63" s="64">
        <v>0</v>
      </c>
      <c r="P63" s="64">
        <f>=I63*O63*ROUNDUP((A63-B63)/30,0)</f>
        <v>0</v>
      </c>
      <c r="Q63" s="76" t="s"/>
      <c r="R63" s="62" t="s"/>
    </row>
    <row r="64" spans="1:18" ht="15.75" customHeight="true">
      <c r="A64" s="80">
        <v>45919</v>
      </c>
      <c r="B64" s="426">
        <v>45737</v>
      </c>
      <c r="C64" s="64" t="s">
        <v>51</v>
      </c>
      <c r="D64" s="64" t="s">
        <v>50</v>
      </c>
      <c r="E64" s="440" t="s">
        <v>2469</v>
      </c>
      <c r="F64" s="247" t="s">
        <v>428</v>
      </c>
      <c r="G64" s="64" t="s">
        <v>422</v>
      </c>
      <c r="H64" s="247" t="s">
        <v>1236</v>
      </c>
      <c r="I64" s="247">
        <v>7</v>
      </c>
      <c r="J64" s="82">
        <v>16617</v>
      </c>
      <c r="K64" s="427">
        <f>=I64*J64</f>
        <v>116319</v>
      </c>
      <c r="L64" s="82">
        <v>15750</v>
      </c>
      <c r="M64" s="428">
        <f>=I64*L64</f>
        <v>110250</v>
      </c>
      <c r="N64" s="82">
        <f>=K64-M64</f>
        <v>6069</v>
      </c>
      <c r="O64" s="64">
        <v>0</v>
      </c>
      <c r="P64" s="64">
        <f>=I64*O64*ROUNDUP((A64-B64)/30,0)</f>
        <v>0</v>
      </c>
      <c r="Q64" s="76" t="s"/>
      <c r="R64" s="62" t="s"/>
    </row>
    <row r="65" spans="1:18" ht="15.75" customHeight="true">
      <c r="A65" s="80">
        <v>45932</v>
      </c>
      <c r="B65" s="426">
        <v>45737</v>
      </c>
      <c r="C65" s="64" t="s">
        <v>51</v>
      </c>
      <c r="D65" s="64" t="s">
        <v>50</v>
      </c>
      <c r="E65" s="94" t="s">
        <v>2470</v>
      </c>
      <c r="F65" s="247" t="s">
        <v>428</v>
      </c>
      <c r="G65" s="64" t="s">
        <v>449</v>
      </c>
      <c r="H65" s="197" t="s">
        <v>2463</v>
      </c>
      <c r="I65" s="247">
        <v>20</v>
      </c>
      <c r="J65" s="82">
        <v>934</v>
      </c>
      <c r="K65" s="427">
        <f>=I65*J65</f>
        <v>18680</v>
      </c>
      <c r="L65" s="82">
        <v>882</v>
      </c>
      <c r="M65" s="428">
        <f>=I65*L65</f>
        <v>17640</v>
      </c>
      <c r="N65" s="82">
        <f>=K65-M65</f>
        <v>1040</v>
      </c>
      <c r="O65" s="64">
        <v>0</v>
      </c>
      <c r="P65" s="64">
        <f>=I65*O65*ROUNDUP((A65-B65)/30,0)</f>
        <v>0</v>
      </c>
      <c r="Q65" s="76" t="s"/>
      <c r="R65" s="62" t="s"/>
    </row>
    <row r="66" spans="1:18" ht="15.75" customHeight="true">
      <c r="A66" s="80">
        <v>45932</v>
      </c>
      <c r="B66" s="426">
        <v>45737</v>
      </c>
      <c r="C66" s="64" t="s">
        <v>51</v>
      </c>
      <c r="D66" s="64" t="s">
        <v>50</v>
      </c>
      <c r="E66" s="94" t="s">
        <v>2471</v>
      </c>
      <c r="F66" s="247" t="s">
        <v>428</v>
      </c>
      <c r="G66" s="64" t="s">
        <v>449</v>
      </c>
      <c r="H66" s="197" t="s">
        <v>2439</v>
      </c>
      <c r="I66" s="247">
        <v>20</v>
      </c>
      <c r="J66" s="82">
        <v>945</v>
      </c>
      <c r="K66" s="427">
        <f>=I66*J66</f>
        <v>18900</v>
      </c>
      <c r="L66" s="82">
        <v>894.6</v>
      </c>
      <c r="M66" s="428">
        <f>=I66*L66</f>
        <v>17892</v>
      </c>
      <c r="N66" s="82">
        <f>=K66-M66</f>
        <v>1008</v>
      </c>
      <c r="O66" s="64">
        <v>0</v>
      </c>
      <c r="P66" s="64">
        <f>=I66*O66*ROUNDUP((A66-B66)/30,0)</f>
        <v>0</v>
      </c>
      <c r="Q66" s="76" t="s"/>
      <c r="R66" s="62" t="s"/>
    </row>
    <row r="67" spans="1:18" ht="15.75" customHeight="true">
      <c r="A67" s="80">
        <v>45797</v>
      </c>
      <c r="B67" s="426">
        <v>45737</v>
      </c>
      <c r="C67" s="64" t="s">
        <v>51</v>
      </c>
      <c r="D67" s="64" t="s">
        <v>50</v>
      </c>
      <c r="E67" s="94" t="s">
        <v>2472</v>
      </c>
      <c r="F67" s="247" t="s">
        <v>428</v>
      </c>
      <c r="G67" s="64" t="s">
        <v>429</v>
      </c>
      <c r="H67" s="64" t="s">
        <v>598</v>
      </c>
      <c r="I67" s="64">
        <v>30</v>
      </c>
      <c r="J67" s="82">
        <v>855</v>
      </c>
      <c r="K67" s="427">
        <f>=I67*J67</f>
        <v>25650</v>
      </c>
      <c r="L67" s="82">
        <v>840</v>
      </c>
      <c r="M67" s="428">
        <f>=I67*L67</f>
        <v>25200</v>
      </c>
      <c r="N67" s="82">
        <f>=K67-M67</f>
        <v>450</v>
      </c>
      <c r="O67" s="64">
        <v>0</v>
      </c>
      <c r="P67" s="64">
        <f>=I67*O67*ROUNDUP((A67-B67)/30,0)</f>
        <v>0</v>
      </c>
      <c r="Q67" s="76" t="s"/>
      <c r="R67" s="62" t="s"/>
    </row>
    <row r="68" spans="1:18" ht="15.75" customHeight="true">
      <c r="A68" s="80">
        <v>45797</v>
      </c>
      <c r="B68" s="426">
        <v>45737</v>
      </c>
      <c r="C68" s="64" t="s">
        <v>51</v>
      </c>
      <c r="D68" s="64" t="s">
        <v>50</v>
      </c>
      <c r="E68" s="94" t="s">
        <v>2473</v>
      </c>
      <c r="F68" s="247" t="s">
        <v>428</v>
      </c>
      <c r="G68" s="64" t="s">
        <v>429</v>
      </c>
      <c r="H68" s="64" t="s">
        <v>2399</v>
      </c>
      <c r="I68" s="64">
        <v>10</v>
      </c>
      <c r="J68" s="82">
        <v>815</v>
      </c>
      <c r="K68" s="427">
        <f>=I68*J68</f>
        <v>8150</v>
      </c>
      <c r="L68" s="82">
        <v>800.1</v>
      </c>
      <c r="M68" s="428">
        <f>=I68*L68</f>
        <v>8001</v>
      </c>
      <c r="N68" s="82">
        <f>=K68-M68</f>
        <v>149</v>
      </c>
      <c r="O68" s="64">
        <v>0</v>
      </c>
      <c r="P68" s="64">
        <f>=I68*O68*ROUNDUP((A68-B68)/30,0)</f>
        <v>0</v>
      </c>
      <c r="Q68" s="76" t="s"/>
      <c r="R68" s="62" t="s"/>
    </row>
    <row r="69" spans="1:18" ht="15.75" customHeight="true">
      <c r="A69" s="80">
        <v>45797</v>
      </c>
      <c r="B69" s="426">
        <v>45737</v>
      </c>
      <c r="C69" s="64" t="s">
        <v>51</v>
      </c>
      <c r="D69" s="64" t="s">
        <v>50</v>
      </c>
      <c r="E69" s="94" t="s">
        <v>2474</v>
      </c>
      <c r="F69" s="247" t="s">
        <v>428</v>
      </c>
      <c r="G69" s="64" t="s">
        <v>422</v>
      </c>
      <c r="H69" s="64" t="s">
        <v>2475</v>
      </c>
      <c r="I69" s="64">
        <v>25</v>
      </c>
      <c r="J69" s="82">
        <v>1900</v>
      </c>
      <c r="K69" s="427">
        <f>=I69*J69</f>
        <v>47500</v>
      </c>
      <c r="L69" s="82">
        <v>1865.5</v>
      </c>
      <c r="M69" s="428">
        <f>=I69*L69</f>
        <v>46637.5</v>
      </c>
      <c r="N69" s="82">
        <f>=K69-M69</f>
        <v>862.5</v>
      </c>
      <c r="O69" s="64">
        <v>0</v>
      </c>
      <c r="P69" s="64">
        <f>=I69*O69*ROUNDUP((A69-B69)/30,0)</f>
        <v>0</v>
      </c>
      <c r="Q69" s="76" t="s"/>
      <c r="R69" s="62" t="s"/>
    </row>
    <row r="70" spans="1:18" ht="15.75" customHeight="true">
      <c r="A70" s="80">
        <v>45797</v>
      </c>
      <c r="B70" s="426">
        <v>45737</v>
      </c>
      <c r="C70" s="64" t="s">
        <v>51</v>
      </c>
      <c r="D70" s="64" t="s">
        <v>50</v>
      </c>
      <c r="E70" s="94" t="s">
        <v>2476</v>
      </c>
      <c r="F70" s="247" t="s">
        <v>428</v>
      </c>
      <c r="G70" s="64" t="s">
        <v>422</v>
      </c>
      <c r="H70" s="64" t="s">
        <v>2411</v>
      </c>
      <c r="I70" s="64">
        <v>25</v>
      </c>
      <c r="J70" s="82">
        <v>1903</v>
      </c>
      <c r="K70" s="427">
        <f>=I70*J70</f>
        <v>47575</v>
      </c>
      <c r="L70" s="82">
        <v>1869</v>
      </c>
      <c r="M70" s="428">
        <f>=I70*L70</f>
        <v>46725</v>
      </c>
      <c r="N70" s="82">
        <f>=K70-M70</f>
        <v>850</v>
      </c>
      <c r="O70" s="64">
        <v>0</v>
      </c>
      <c r="P70" s="64">
        <f>=I70*O70*ROUNDUP((A70-B70)/30,0)</f>
        <v>0</v>
      </c>
      <c r="Q70" s="76" t="s"/>
      <c r="R70" s="62" t="s"/>
    </row>
    <row r="71" spans="1:18" ht="15.75" customHeight="true">
      <c r="A71" s="80">
        <v>45797</v>
      </c>
      <c r="B71" s="426">
        <v>45737</v>
      </c>
      <c r="C71" s="64" t="s">
        <v>51</v>
      </c>
      <c r="D71" s="64" t="s">
        <v>50</v>
      </c>
      <c r="E71" s="94" t="s">
        <v>2477</v>
      </c>
      <c r="F71" s="247" t="s">
        <v>428</v>
      </c>
      <c r="G71" s="64" t="s">
        <v>422</v>
      </c>
      <c r="H71" s="64" t="s">
        <v>2419</v>
      </c>
      <c r="I71" s="64">
        <v>15</v>
      </c>
      <c r="J71" s="82">
        <v>1803</v>
      </c>
      <c r="K71" s="427">
        <f>=I71*J71</f>
        <v>27045</v>
      </c>
      <c r="L71" s="82">
        <v>1771</v>
      </c>
      <c r="M71" s="428">
        <f>=I71*L71</f>
        <v>26565</v>
      </c>
      <c r="N71" s="82">
        <f>=K71-M71</f>
        <v>480</v>
      </c>
      <c r="O71" s="64">
        <v>0</v>
      </c>
      <c r="P71" s="64">
        <f>=I71*O71*ROUNDUP((A71-B71)/30,0)</f>
        <v>0</v>
      </c>
      <c r="Q71" s="76" t="s"/>
      <c r="R71" s="62" t="s"/>
    </row>
    <row r="72" spans="1:18" s="270" customFormat="true" ht="15.75" customHeight="true">
      <c r="A72" s="80">
        <v>45776</v>
      </c>
      <c r="B72" s="426">
        <v>45737</v>
      </c>
      <c r="C72" s="64" t="s">
        <v>51</v>
      </c>
      <c r="D72" s="64" t="s">
        <v>50</v>
      </c>
      <c r="E72" s="92" t="s">
        <v>2478</v>
      </c>
      <c r="F72" s="247" t="s">
        <v>428</v>
      </c>
      <c r="G72" s="64" t="s">
        <v>422</v>
      </c>
      <c r="H72" s="64" t="s">
        <v>2415</v>
      </c>
      <c r="I72" s="64">
        <v>20</v>
      </c>
      <c r="J72" s="82">
        <v>1006</v>
      </c>
      <c r="K72" s="427">
        <f>=I72*J72</f>
        <v>20120</v>
      </c>
      <c r="L72" s="82">
        <v>994</v>
      </c>
      <c r="M72" s="428">
        <f>=I72*L72</f>
        <v>19880</v>
      </c>
      <c r="N72" s="82">
        <f>=K72-M72</f>
        <v>240</v>
      </c>
      <c r="O72" s="64">
        <v>0</v>
      </c>
      <c r="P72" s="64">
        <f>=I72*O72*ROUNDUP((A72-B72)/30,0)</f>
        <v>0</v>
      </c>
      <c r="Q72" s="348" t="s"/>
      <c r="R72" s="64" t="s"/>
    </row>
    <row r="73" spans="1:18" ht="15.75" customHeight="true">
      <c r="A73" s="80">
        <v>45776</v>
      </c>
      <c r="B73" s="426">
        <v>45737</v>
      </c>
      <c r="C73" s="64" t="s">
        <v>51</v>
      </c>
      <c r="D73" s="64" t="s">
        <v>50</v>
      </c>
      <c r="E73" s="94" t="s">
        <v>2479</v>
      </c>
      <c r="F73" s="247" t="s">
        <v>428</v>
      </c>
      <c r="G73" s="64" t="s">
        <v>422</v>
      </c>
      <c r="H73" s="64" t="s">
        <v>2456</v>
      </c>
      <c r="I73" s="64">
        <v>20</v>
      </c>
      <c r="J73" s="82">
        <v>1183</v>
      </c>
      <c r="K73" s="427">
        <f>=I73*J73</f>
        <v>23660</v>
      </c>
      <c r="L73" s="82">
        <v>1169</v>
      </c>
      <c r="M73" s="428">
        <f>=I73*L73</f>
        <v>23380</v>
      </c>
      <c r="N73" s="82">
        <f>=K73-M73</f>
        <v>280</v>
      </c>
      <c r="O73" s="64">
        <v>0</v>
      </c>
      <c r="P73" s="64">
        <f>=I73*O73*ROUNDUP((A73-B73)/30,0)</f>
        <v>0</v>
      </c>
      <c r="Q73" s="76" t="s"/>
      <c r="R73" s="62" t="s"/>
    </row>
    <row r="74" spans="1:18" ht="15.75" customHeight="true">
      <c r="A74" s="348">
        <v>45896</v>
      </c>
      <c r="B74" s="441">
        <v>45860</v>
      </c>
      <c r="C74" s="194" t="s">
        <v>67</v>
      </c>
      <c r="D74" s="64" t="s">
        <v>72</v>
      </c>
      <c r="E74" s="64" t="s"/>
      <c r="F74" s="197" t="s">
        <v>421</v>
      </c>
      <c r="G74" s="197" t="s">
        <v>422</v>
      </c>
      <c r="H74" s="442" t="s">
        <v>511</v>
      </c>
      <c r="I74" s="64">
        <v>60</v>
      </c>
      <c r="J74" s="82">
        <v>6240</v>
      </c>
      <c r="K74" s="427">
        <f>=I74*J74</f>
        <v>374400</v>
      </c>
      <c r="L74" s="82">
        <v>6190</v>
      </c>
      <c r="M74" s="428">
        <f>=I74*L74</f>
        <v>371400</v>
      </c>
      <c r="N74" s="82">
        <f>=K74-M74</f>
        <v>3000</v>
      </c>
      <c r="O74" s="64">
        <v>0</v>
      </c>
      <c r="P74" s="64">
        <f>=I74*O74*ROUNDUP((A74-B74)/30,0)</f>
        <v>0</v>
      </c>
      <c r="Q74" s="76" t="s"/>
      <c r="R74" s="62" t="s"/>
    </row>
    <row r="75" spans="1:18" ht="15.75" customHeight="true">
      <c r="A75" s="348">
        <v>45896</v>
      </c>
      <c r="B75" s="441">
        <v>45860</v>
      </c>
      <c r="C75" s="194" t="s">
        <v>67</v>
      </c>
      <c r="D75" s="64" t="s">
        <v>72</v>
      </c>
      <c r="E75" s="64" t="s"/>
      <c r="F75" s="197" t="s">
        <v>421</v>
      </c>
      <c r="G75" s="197" t="s">
        <v>422</v>
      </c>
      <c r="H75" s="442" t="s">
        <v>513</v>
      </c>
      <c r="I75" s="64">
        <v>35</v>
      </c>
      <c r="J75" s="82">
        <v>6250</v>
      </c>
      <c r="K75" s="427">
        <f>=I75*J75</f>
        <v>218750</v>
      </c>
      <c r="L75" s="82">
        <v>6200</v>
      </c>
      <c r="M75" s="428">
        <f>=I75*L75</f>
        <v>217000</v>
      </c>
      <c r="N75" s="82">
        <f>=K75-M75</f>
        <v>1750</v>
      </c>
      <c r="O75" s="64">
        <v>0</v>
      </c>
      <c r="P75" s="64">
        <f>=I75*O75*ROUNDUP((A75-B75)/30,0)</f>
        <v>0</v>
      </c>
      <c r="Q75" s="76" t="s"/>
      <c r="R75" s="62" t="s"/>
    </row>
    <row r="76" spans="1:18" ht="15.75" customHeight="true">
      <c r="A76" s="348">
        <v>45896</v>
      </c>
      <c r="B76" s="441">
        <v>45860</v>
      </c>
      <c r="C76" s="194" t="s">
        <v>67</v>
      </c>
      <c r="D76" s="64" t="s">
        <v>72</v>
      </c>
      <c r="E76" s="64" t="s"/>
      <c r="F76" s="197" t="s">
        <v>421</v>
      </c>
      <c r="G76" s="197" t="s">
        <v>422</v>
      </c>
      <c r="H76" s="442" t="s">
        <v>507</v>
      </c>
      <c r="I76" s="64">
        <v>70</v>
      </c>
      <c r="J76" s="82">
        <v>6230</v>
      </c>
      <c r="K76" s="427">
        <f>=I76*J76</f>
        <v>436100</v>
      </c>
      <c r="L76" s="82">
        <v>6180</v>
      </c>
      <c r="M76" s="428">
        <f>=I76*L76</f>
        <v>432600</v>
      </c>
      <c r="N76" s="82">
        <f>=K76-M76</f>
        <v>3500</v>
      </c>
      <c r="O76" s="64">
        <v>0</v>
      </c>
      <c r="P76" s="64">
        <f>=I76*O76*ROUNDUP((A76-B76)/30,0)</f>
        <v>0</v>
      </c>
      <c r="Q76" s="76" t="s"/>
      <c r="R76" s="62" t="s"/>
    </row>
    <row r="77" spans="1:18" ht="15.75" customHeight="true">
      <c r="A77" s="348">
        <v>45896</v>
      </c>
      <c r="B77" s="441">
        <v>45860</v>
      </c>
      <c r="C77" s="194" t="s">
        <v>67</v>
      </c>
      <c r="D77" s="64" t="s">
        <v>72</v>
      </c>
      <c r="E77" s="64" t="s"/>
      <c r="F77" s="197" t="s">
        <v>421</v>
      </c>
      <c r="G77" s="197" t="s">
        <v>422</v>
      </c>
      <c r="H77" s="442" t="s">
        <v>509</v>
      </c>
      <c r="I77" s="64">
        <v>25</v>
      </c>
      <c r="J77" s="82">
        <v>6230</v>
      </c>
      <c r="K77" s="427">
        <f>=I77*J77</f>
        <v>155750</v>
      </c>
      <c r="L77" s="82">
        <v>6180</v>
      </c>
      <c r="M77" s="428">
        <f>=I77*L77</f>
        <v>154500</v>
      </c>
      <c r="N77" s="82">
        <f>=K77-M77</f>
        <v>1250</v>
      </c>
      <c r="O77" s="64">
        <v>0</v>
      </c>
      <c r="P77" s="64">
        <f>=I77*O77*ROUNDUP((A77-B77)/30,0)</f>
        <v>0</v>
      </c>
      <c r="Q77" s="76" t="s"/>
      <c r="R77" s="62" t="s"/>
    </row>
    <row r="78" spans="1:18" ht="15.75" customHeight="true">
      <c r="A78" s="348">
        <v>45897</v>
      </c>
      <c r="B78" s="441">
        <v>45860</v>
      </c>
      <c r="C78" s="194" t="s">
        <v>67</v>
      </c>
      <c r="D78" s="64" t="s">
        <v>72</v>
      </c>
      <c r="E78" s="64" t="s"/>
      <c r="F78" s="197" t="s">
        <v>421</v>
      </c>
      <c r="G78" s="197" t="s">
        <v>422</v>
      </c>
      <c r="H78" s="442" t="s">
        <v>513</v>
      </c>
      <c r="I78" s="64">
        <v>75</v>
      </c>
      <c r="J78" s="82">
        <v>6252</v>
      </c>
      <c r="K78" s="427">
        <f>=I78*J78</f>
        <v>468900</v>
      </c>
      <c r="L78" s="82">
        <v>6200</v>
      </c>
      <c r="M78" s="428">
        <f>=I78*L78</f>
        <v>465000</v>
      </c>
      <c r="N78" s="82">
        <f>=K78-M78</f>
        <v>3900</v>
      </c>
      <c r="O78" s="64">
        <v>0</v>
      </c>
      <c r="P78" s="64">
        <f>=I78*O78*ROUNDUP((A78-B78)/30,0)</f>
        <v>0</v>
      </c>
      <c r="Q78" s="76" t="s"/>
      <c r="R78" s="62" t="s"/>
    </row>
    <row r="79" spans="1:18" ht="15.75" customHeight="true">
      <c r="A79" s="348">
        <v>45897</v>
      </c>
      <c r="B79" s="441">
        <v>45860</v>
      </c>
      <c r="C79" s="194" t="s">
        <v>67</v>
      </c>
      <c r="D79" s="64" t="s">
        <v>72</v>
      </c>
      <c r="E79" s="64" t="s"/>
      <c r="F79" s="197" t="s">
        <v>421</v>
      </c>
      <c r="G79" s="197" t="s">
        <v>422</v>
      </c>
      <c r="H79" s="442" t="s">
        <v>509</v>
      </c>
      <c r="I79" s="64">
        <v>85</v>
      </c>
      <c r="J79" s="82">
        <v>6231</v>
      </c>
      <c r="K79" s="427">
        <f>=I79*J79</f>
        <v>529635</v>
      </c>
      <c r="L79" s="82">
        <v>6180</v>
      </c>
      <c r="M79" s="428">
        <f>=I79*L79</f>
        <v>525300</v>
      </c>
      <c r="N79" s="82">
        <f>=K79-M79</f>
        <v>4335</v>
      </c>
      <c r="O79" s="64">
        <v>0</v>
      </c>
      <c r="P79" s="64">
        <f>=I79*O79*ROUNDUP((A79-B79)/30,0)</f>
        <v>0</v>
      </c>
      <c r="Q79" s="76" t="s"/>
      <c r="R79" s="62" t="s"/>
    </row>
    <row r="80" spans="1:18" ht="15.75" customHeight="true">
      <c r="A80" s="348">
        <v>45897</v>
      </c>
      <c r="B80" s="441">
        <v>45868</v>
      </c>
      <c r="C80" s="194" t="s">
        <v>70</v>
      </c>
      <c r="D80" s="64" t="s">
        <v>72</v>
      </c>
      <c r="E80" s="64" t="s"/>
      <c r="F80" s="197" t="s">
        <v>421</v>
      </c>
      <c r="G80" s="197" t="s">
        <v>422</v>
      </c>
      <c r="H80" s="442" t="s">
        <v>507</v>
      </c>
      <c r="I80" s="64">
        <v>20</v>
      </c>
      <c r="J80" s="82">
        <v>6261</v>
      </c>
      <c r="K80" s="427">
        <f>=I80*J80</f>
        <v>125220</v>
      </c>
      <c r="L80" s="82">
        <v>6220</v>
      </c>
      <c r="M80" s="428">
        <f>=I80*L80</f>
        <v>124400</v>
      </c>
      <c r="N80" s="82">
        <f>=K80-M80</f>
        <v>820</v>
      </c>
      <c r="O80" s="64">
        <v>0</v>
      </c>
      <c r="P80" s="64">
        <f>=I80*O80*ROUNDUP((A80-B80)/30,0)</f>
        <v>0</v>
      </c>
      <c r="Q80" s="76" t="s"/>
      <c r="R80" s="62" t="s"/>
    </row>
    <row r="81" spans="1:18" ht="15.75" customHeight="true">
      <c r="A81" s="348">
        <v>45897</v>
      </c>
      <c r="B81" s="441">
        <v>45868</v>
      </c>
      <c r="C81" s="194" t="s">
        <v>70</v>
      </c>
      <c r="D81" s="64" t="s">
        <v>72</v>
      </c>
      <c r="E81" s="64" t="s"/>
      <c r="F81" s="197" t="s">
        <v>421</v>
      </c>
      <c r="G81" s="197" t="s">
        <v>422</v>
      </c>
      <c r="H81" s="442" t="s">
        <v>511</v>
      </c>
      <c r="I81" s="64">
        <v>20</v>
      </c>
      <c r="J81" s="82">
        <v>6271</v>
      </c>
      <c r="K81" s="427">
        <f>=I81*J81</f>
        <v>125420</v>
      </c>
      <c r="L81" s="82">
        <v>6230</v>
      </c>
      <c r="M81" s="428">
        <f>=I81*L81</f>
        <v>124600</v>
      </c>
      <c r="N81" s="82">
        <f>=K81-M81</f>
        <v>820</v>
      </c>
      <c r="O81" s="64">
        <v>0</v>
      </c>
      <c r="P81" s="64">
        <f>=I81*O81*ROUNDUP((A81-B81)/30,0)</f>
        <v>0</v>
      </c>
      <c r="Q81" s="76" t="s"/>
      <c r="R81" s="62" t="s"/>
    </row>
    <row r="82" spans="1:18" ht="15.75" customHeight="true">
      <c r="A82" s="348">
        <v>45897</v>
      </c>
      <c r="B82" s="441">
        <v>45868</v>
      </c>
      <c r="C82" s="194" t="s">
        <v>70</v>
      </c>
      <c r="D82" s="64" t="s">
        <v>72</v>
      </c>
      <c r="E82" s="64" t="s"/>
      <c r="F82" s="197" t="s">
        <v>421</v>
      </c>
      <c r="G82" s="197" t="s">
        <v>422</v>
      </c>
      <c r="H82" s="442" t="s">
        <v>513</v>
      </c>
      <c r="I82" s="64">
        <v>45</v>
      </c>
      <c r="J82" s="82">
        <v>6301</v>
      </c>
      <c r="K82" s="427">
        <f>=I82*J82</f>
        <v>283545</v>
      </c>
      <c r="L82" s="82">
        <v>6260</v>
      </c>
      <c r="M82" s="428">
        <f>=I82*L82</f>
        <v>281700</v>
      </c>
      <c r="N82" s="82">
        <f>=K82-M82</f>
        <v>1845</v>
      </c>
      <c r="O82" s="64">
        <v>0</v>
      </c>
      <c r="P82" s="64">
        <f>=I82*O82*ROUNDUP((A82-B82)/30,0)</f>
        <v>0</v>
      </c>
      <c r="Q82" s="76" t="s"/>
      <c r="R82" s="62" t="s"/>
    </row>
    <row r="83" spans="1:18" ht="15.75" customHeight="true">
      <c r="A83" s="348">
        <v>45897</v>
      </c>
      <c r="B83" s="441">
        <v>45862</v>
      </c>
      <c r="C83" s="194" t="s">
        <v>68</v>
      </c>
      <c r="D83" s="64" t="s">
        <v>72</v>
      </c>
      <c r="E83" s="64" t="s"/>
      <c r="F83" s="197" t="s">
        <v>421</v>
      </c>
      <c r="G83" s="197" t="s">
        <v>422</v>
      </c>
      <c r="H83" s="442" t="s">
        <v>511</v>
      </c>
      <c r="I83" s="64">
        <v>100</v>
      </c>
      <c r="J83" s="82">
        <v>6254</v>
      </c>
      <c r="K83" s="427">
        <f>=I83*J83</f>
        <v>625400</v>
      </c>
      <c r="L83" s="82">
        <v>6205</v>
      </c>
      <c r="M83" s="428">
        <f>=I83*L83</f>
        <v>620500</v>
      </c>
      <c r="N83" s="82">
        <f>=K83-M83</f>
        <v>4900</v>
      </c>
      <c r="O83" s="64">
        <v>0</v>
      </c>
      <c r="P83" s="64">
        <f>=I83*O83*ROUNDUP((A83-B83)/30,0)</f>
        <v>0</v>
      </c>
      <c r="Q83" s="76" t="s"/>
      <c r="R83" s="62" t="s"/>
    </row>
    <row r="84" spans="1:18" ht="15.75" customHeight="true">
      <c r="A84" s="348">
        <v>45897</v>
      </c>
      <c r="B84" s="441">
        <v>45855</v>
      </c>
      <c r="C84" s="194" t="s">
        <v>66</v>
      </c>
      <c r="D84" s="64" t="s">
        <v>72</v>
      </c>
      <c r="E84" s="64" t="s"/>
      <c r="F84" s="197" t="s">
        <v>421</v>
      </c>
      <c r="G84" s="197" t="s">
        <v>422</v>
      </c>
      <c r="H84" s="442" t="s">
        <v>507</v>
      </c>
      <c r="I84" s="64">
        <v>200</v>
      </c>
      <c r="J84" s="82">
        <v>6248</v>
      </c>
      <c r="K84" s="427">
        <f>=I84*J84</f>
        <v>1249600</v>
      </c>
      <c r="L84" s="82">
        <v>6190</v>
      </c>
      <c r="M84" s="428">
        <f>=I84*L84</f>
        <v>1238000</v>
      </c>
      <c r="N84" s="82">
        <f>=K84-M84</f>
        <v>11600</v>
      </c>
      <c r="O84" s="64">
        <v>0</v>
      </c>
      <c r="P84" s="64">
        <f>=I84*O84*ROUNDUP((A84-B84)/30,0)</f>
        <v>0</v>
      </c>
      <c r="Q84" s="76" t="s"/>
      <c r="R84" s="62" t="s"/>
    </row>
    <row r="85" spans="1:18" ht="15.75" customHeight="true">
      <c r="A85" s="348">
        <v>45897</v>
      </c>
      <c r="B85" s="441">
        <v>45855</v>
      </c>
      <c r="C85" s="194" t="s">
        <v>66</v>
      </c>
      <c r="D85" s="64" t="s">
        <v>72</v>
      </c>
      <c r="E85" s="64" t="s"/>
      <c r="F85" s="197" t="s">
        <v>421</v>
      </c>
      <c r="G85" s="197" t="s">
        <v>422</v>
      </c>
      <c r="H85" s="442" t="s">
        <v>509</v>
      </c>
      <c r="I85" s="64">
        <v>125</v>
      </c>
      <c r="J85" s="82">
        <v>6248</v>
      </c>
      <c r="K85" s="427">
        <f>=I85*J85</f>
        <v>781000</v>
      </c>
      <c r="L85" s="82">
        <v>6190</v>
      </c>
      <c r="M85" s="428">
        <f>=I85*L85</f>
        <v>773750</v>
      </c>
      <c r="N85" s="82">
        <f>=K85-M85</f>
        <v>7250</v>
      </c>
      <c r="O85" s="64">
        <v>0</v>
      </c>
      <c r="P85" s="64">
        <f>=I85*O85*ROUNDUP((A85-B85)/30,0)</f>
        <v>0</v>
      </c>
      <c r="Q85" s="76" t="s"/>
      <c r="R85" s="62" t="s"/>
    </row>
    <row r="86" spans="1:18" ht="15.75" customHeight="true">
      <c r="A86" s="348">
        <v>45898</v>
      </c>
      <c r="B86" s="441">
        <v>45855</v>
      </c>
      <c r="C86" s="194" t="s">
        <v>66</v>
      </c>
      <c r="D86" s="64" t="s">
        <v>72</v>
      </c>
      <c r="E86" s="64" t="s"/>
      <c r="F86" s="197" t="s">
        <v>421</v>
      </c>
      <c r="G86" s="197" t="s">
        <v>422</v>
      </c>
      <c r="H86" s="442" t="s">
        <v>509</v>
      </c>
      <c r="I86" s="64">
        <v>75</v>
      </c>
      <c r="J86" s="82">
        <v>6250</v>
      </c>
      <c r="K86" s="427">
        <f>=I86*J86</f>
        <v>468750</v>
      </c>
      <c r="L86" s="82">
        <v>6190</v>
      </c>
      <c r="M86" s="428">
        <f>=I86*L86</f>
        <v>464250</v>
      </c>
      <c r="N86" s="82">
        <f>=K86-M86</f>
        <v>4500</v>
      </c>
      <c r="O86" s="64">
        <v>0</v>
      </c>
      <c r="P86" s="64">
        <f>=I86*O86*ROUNDUP((A86-B86)/30,0)</f>
        <v>0</v>
      </c>
      <c r="Q86" s="76" t="s"/>
      <c r="R86" s="62" t="s"/>
    </row>
    <row r="87" spans="1:18" ht="15.75" customHeight="true">
      <c r="A87" s="348">
        <v>45898</v>
      </c>
      <c r="B87" s="441">
        <v>45868</v>
      </c>
      <c r="C87" s="194" t="s">
        <v>70</v>
      </c>
      <c r="D87" s="64" t="s">
        <v>72</v>
      </c>
      <c r="E87" s="64" t="s"/>
      <c r="F87" s="197" t="s">
        <v>421</v>
      </c>
      <c r="G87" s="197" t="s">
        <v>422</v>
      </c>
      <c r="H87" s="442" t="s">
        <v>507</v>
      </c>
      <c r="I87" s="64">
        <v>31</v>
      </c>
      <c r="J87" s="82">
        <v>6262</v>
      </c>
      <c r="K87" s="427">
        <f>=I87*J87</f>
        <v>194122</v>
      </c>
      <c r="L87" s="82">
        <v>6220</v>
      </c>
      <c r="M87" s="428">
        <f>=I87*L87</f>
        <v>192820</v>
      </c>
      <c r="N87" s="82">
        <f>=K87-M87</f>
        <v>1302</v>
      </c>
      <c r="O87" s="64">
        <v>0</v>
      </c>
      <c r="P87" s="64">
        <f>=I87*O87*ROUNDUP((A87-B87)/30,0)</f>
        <v>0</v>
      </c>
      <c r="Q87" s="76" t="s"/>
      <c r="R87" s="62" t="s"/>
    </row>
    <row r="88" spans="1:18" ht="15.75" customHeight="true">
      <c r="A88" s="348">
        <v>45898</v>
      </c>
      <c r="B88" s="441">
        <v>45868</v>
      </c>
      <c r="C88" s="194" t="s">
        <v>70</v>
      </c>
      <c r="D88" s="64" t="s">
        <v>72</v>
      </c>
      <c r="E88" s="64" t="s"/>
      <c r="F88" s="197" t="s">
        <v>421</v>
      </c>
      <c r="G88" s="197" t="s">
        <v>422</v>
      </c>
      <c r="H88" s="442" t="s">
        <v>511</v>
      </c>
      <c r="I88" s="64">
        <v>43</v>
      </c>
      <c r="J88" s="82">
        <v>6272</v>
      </c>
      <c r="K88" s="427">
        <f>=I88*J88</f>
        <v>269696</v>
      </c>
      <c r="L88" s="82">
        <v>6230</v>
      </c>
      <c r="M88" s="428">
        <f>=I88*L88</f>
        <v>267890</v>
      </c>
      <c r="N88" s="82">
        <f>=K88-M88</f>
        <v>1806</v>
      </c>
      <c r="O88" s="64">
        <v>0</v>
      </c>
      <c r="P88" s="64">
        <f>=I88*O88*ROUNDUP((A88-B88)/30,0)</f>
        <v>0</v>
      </c>
      <c r="Q88" s="76" t="s"/>
      <c r="R88" s="62" t="s"/>
    </row>
    <row r="89" spans="1:18" ht="15.75" customHeight="true">
      <c r="A89" s="348">
        <v>45898</v>
      </c>
      <c r="B89" s="441">
        <v>45868</v>
      </c>
      <c r="C89" s="194" t="s">
        <v>70</v>
      </c>
      <c r="D89" s="64" t="s">
        <v>72</v>
      </c>
      <c r="E89" s="64" t="s"/>
      <c r="F89" s="197" t="s">
        <v>421</v>
      </c>
      <c r="G89" s="197" t="s">
        <v>422</v>
      </c>
      <c r="H89" s="442" t="s">
        <v>509</v>
      </c>
      <c r="I89" s="64">
        <v>59</v>
      </c>
      <c r="J89" s="82">
        <v>6262</v>
      </c>
      <c r="K89" s="427">
        <f>=I89*J89</f>
        <v>369458</v>
      </c>
      <c r="L89" s="82">
        <v>6220</v>
      </c>
      <c r="M89" s="428">
        <f>=I89*L89</f>
        <v>366980</v>
      </c>
      <c r="N89" s="82">
        <f>=K89-M89</f>
        <v>2478</v>
      </c>
      <c r="O89" s="64">
        <v>0</v>
      </c>
      <c r="P89" s="64">
        <f>=I89*O89*ROUNDUP((A89-B89)/30,0)</f>
        <v>0</v>
      </c>
      <c r="Q89" s="76" t="s"/>
      <c r="R89" s="62" t="s"/>
    </row>
    <row r="90" spans="1:18" ht="15.75" customHeight="true">
      <c r="A90" s="348">
        <v>45898</v>
      </c>
      <c r="B90" s="441">
        <v>45868</v>
      </c>
      <c r="C90" s="194" t="s">
        <v>70</v>
      </c>
      <c r="D90" s="64" t="s">
        <v>72</v>
      </c>
      <c r="E90" s="64" t="s"/>
      <c r="F90" s="197" t="s">
        <v>421</v>
      </c>
      <c r="G90" s="197" t="s">
        <v>422</v>
      </c>
      <c r="H90" s="442" t="s">
        <v>513</v>
      </c>
      <c r="I90" s="64">
        <v>26</v>
      </c>
      <c r="J90" s="82">
        <v>6302</v>
      </c>
      <c r="K90" s="427">
        <f>=I90*J90</f>
        <v>163852</v>
      </c>
      <c r="L90" s="82">
        <v>6260</v>
      </c>
      <c r="M90" s="428">
        <f>=I90*L90</f>
        <v>162760</v>
      </c>
      <c r="N90" s="82">
        <f>=K90-M90</f>
        <v>1092</v>
      </c>
      <c r="O90" s="64">
        <v>0</v>
      </c>
      <c r="P90" s="64">
        <f>=I90*O90*ROUNDUP((A90-B90)/30,0)</f>
        <v>0</v>
      </c>
      <c r="Q90" s="76" t="s"/>
      <c r="R90" s="62" t="s"/>
    </row>
    <row r="91" spans="1:18" ht="15.75" customHeight="true">
      <c r="A91" s="348">
        <v>45898</v>
      </c>
      <c r="B91" s="441">
        <v>45862</v>
      </c>
      <c r="C91" s="194" t="s">
        <v>68</v>
      </c>
      <c r="D91" s="64" t="s">
        <v>72</v>
      </c>
      <c r="E91" s="64" t="s"/>
      <c r="F91" s="197" t="s">
        <v>421</v>
      </c>
      <c r="G91" s="197" t="s">
        <v>422</v>
      </c>
      <c r="H91" s="442" t="s">
        <v>507</v>
      </c>
      <c r="I91" s="64">
        <v>20</v>
      </c>
      <c r="J91" s="82">
        <v>6245</v>
      </c>
      <c r="K91" s="427">
        <f>=I91*J91</f>
        <v>124900</v>
      </c>
      <c r="L91" s="82">
        <v>6195</v>
      </c>
      <c r="M91" s="428">
        <f>=I91*L91</f>
        <v>123900</v>
      </c>
      <c r="N91" s="82">
        <f>=K91-M91</f>
        <v>1000</v>
      </c>
      <c r="O91" s="64">
        <v>0</v>
      </c>
      <c r="P91" s="64">
        <f>=I91*O91*ROUNDUP((A91-B91)/30,0)</f>
        <v>0</v>
      </c>
      <c r="Q91" s="76" t="s"/>
      <c r="R91" s="62" t="s"/>
    </row>
    <row r="92" spans="1:18" ht="15.75" customHeight="true">
      <c r="A92" s="348">
        <v>45898</v>
      </c>
      <c r="B92" s="441">
        <v>45862</v>
      </c>
      <c r="C92" s="194" t="s">
        <v>68</v>
      </c>
      <c r="D92" s="64" t="s">
        <v>72</v>
      </c>
      <c r="E92" s="64" t="s"/>
      <c r="F92" s="197" t="s">
        <v>421</v>
      </c>
      <c r="G92" s="197" t="s">
        <v>422</v>
      </c>
      <c r="H92" s="442" t="s">
        <v>513</v>
      </c>
      <c r="I92" s="64">
        <v>30</v>
      </c>
      <c r="J92" s="82">
        <v>6286</v>
      </c>
      <c r="K92" s="427">
        <f>=I92*J92</f>
        <v>188580</v>
      </c>
      <c r="L92" s="82">
        <v>6235</v>
      </c>
      <c r="M92" s="428">
        <f>=I92*L92</f>
        <v>187050</v>
      </c>
      <c r="N92" s="82">
        <f>=K92-M92</f>
        <v>1530</v>
      </c>
      <c r="O92" s="64">
        <v>0</v>
      </c>
      <c r="P92" s="64">
        <f>=I92*O92*ROUNDUP((A92-B92)/30,0)</f>
        <v>0</v>
      </c>
      <c r="Q92" s="76" t="s"/>
      <c r="R92" s="62" t="s"/>
    </row>
    <row r="93" spans="1:18" ht="15.75" customHeight="true">
      <c r="A93" s="80">
        <v>45899</v>
      </c>
      <c r="B93" s="426">
        <v>45855</v>
      </c>
      <c r="C93" s="92" t="s">
        <v>62</v>
      </c>
      <c r="D93" s="197" t="s">
        <v>2480</v>
      </c>
      <c r="E93" s="64" t="s"/>
      <c r="F93" s="64" t="s">
        <v>2481</v>
      </c>
      <c r="G93" s="83" t="s">
        <v>422</v>
      </c>
      <c r="H93" s="83" t="s">
        <v>504</v>
      </c>
      <c r="I93" s="64">
        <v>50</v>
      </c>
      <c r="J93" s="82">
        <v>2428</v>
      </c>
      <c r="K93" s="427">
        <f>=I93*J93</f>
        <v>121400</v>
      </c>
      <c r="L93" s="82">
        <v>2394</v>
      </c>
      <c r="M93" s="428">
        <f>=I93*L93</f>
        <v>119700</v>
      </c>
      <c r="N93" s="82">
        <f>=K93-M93</f>
        <v>1700</v>
      </c>
      <c r="O93" s="64">
        <v>0</v>
      </c>
      <c r="P93" s="64">
        <f>=I93*O93*ROUNDUP((A93-B93)/30,0)</f>
        <v>0</v>
      </c>
      <c r="Q93" s="76" t="s"/>
      <c r="R93" s="62" t="s"/>
    </row>
    <row r="94" spans="1:18" ht="15.75" customHeight="true">
      <c r="A94" s="348">
        <v>45901</v>
      </c>
      <c r="B94" s="426">
        <v>45881</v>
      </c>
      <c r="C94" s="64" t="s">
        <v>71</v>
      </c>
      <c r="D94" s="64" t="s">
        <v>50</v>
      </c>
      <c r="E94" s="440" t="s">
        <v>2482</v>
      </c>
      <c r="F94" s="247" t="s">
        <v>428</v>
      </c>
      <c r="G94" s="64" t="s">
        <v>422</v>
      </c>
      <c r="H94" s="247" t="s">
        <v>657</v>
      </c>
      <c r="I94" s="247">
        <v>1</v>
      </c>
      <c r="J94" s="82">
        <v>6358</v>
      </c>
      <c r="K94" s="427">
        <f>=I94*J94</f>
        <v>6358</v>
      </c>
      <c r="L94" s="82">
        <v>6320</v>
      </c>
      <c r="M94" s="428">
        <f>=I94*L94</f>
        <v>6320</v>
      </c>
      <c r="N94" s="82">
        <f>=K94-M94</f>
        <v>38</v>
      </c>
      <c r="O94" s="64">
        <v>0</v>
      </c>
      <c r="P94" s="64">
        <f>=I94*O94*ROUNDUP((A94-B94)/30,0)</f>
        <v>0</v>
      </c>
      <c r="Q94" s="76" t="s"/>
      <c r="R94" s="62" t="s"/>
    </row>
    <row r="95" spans="1:18" ht="15.75" customHeight="true">
      <c r="A95" s="348">
        <v>45901</v>
      </c>
      <c r="B95" s="426">
        <v>45881</v>
      </c>
      <c r="C95" s="64" t="s">
        <v>71</v>
      </c>
      <c r="D95" s="64" t="s">
        <v>50</v>
      </c>
      <c r="E95" s="94" t="s">
        <v>2483</v>
      </c>
      <c r="F95" s="247" t="s">
        <v>428</v>
      </c>
      <c r="G95" s="64" t="s">
        <v>422</v>
      </c>
      <c r="H95" s="247" t="s">
        <v>655</v>
      </c>
      <c r="I95" s="247">
        <v>2</v>
      </c>
      <c r="J95" s="82">
        <v>6358</v>
      </c>
      <c r="K95" s="427">
        <f>=I95*J95</f>
        <v>12716</v>
      </c>
      <c r="L95" s="82">
        <v>6320</v>
      </c>
      <c r="M95" s="428">
        <f>=I95*L95</f>
        <v>12640</v>
      </c>
      <c r="N95" s="82">
        <f>=K95-M95</f>
        <v>76</v>
      </c>
      <c r="O95" s="64">
        <v>0</v>
      </c>
      <c r="P95" s="64">
        <f>=I95*O95*ROUNDUP((A95-B95)/30,0)</f>
        <v>0</v>
      </c>
      <c r="Q95" s="76" t="s"/>
      <c r="R95" s="62" t="s"/>
    </row>
    <row r="96" spans="1:18" ht="15.75" customHeight="true">
      <c r="A96" s="348">
        <v>45901</v>
      </c>
      <c r="B96" s="426">
        <v>45881</v>
      </c>
      <c r="C96" s="64" t="s">
        <v>71</v>
      </c>
      <c r="D96" s="64" t="s">
        <v>50</v>
      </c>
      <c r="E96" s="94" t="s">
        <v>2484</v>
      </c>
      <c r="F96" s="247" t="s">
        <v>428</v>
      </c>
      <c r="G96" s="64" t="s">
        <v>422</v>
      </c>
      <c r="H96" s="247" t="s">
        <v>632</v>
      </c>
      <c r="I96" s="247">
        <v>7</v>
      </c>
      <c r="J96" s="82">
        <v>4668</v>
      </c>
      <c r="K96" s="427">
        <f>=I96*J96</f>
        <v>32676</v>
      </c>
      <c r="L96" s="82">
        <v>4640</v>
      </c>
      <c r="M96" s="428">
        <f>=I96*L96</f>
        <v>32480</v>
      </c>
      <c r="N96" s="82">
        <f>=K96-M96</f>
        <v>196</v>
      </c>
      <c r="O96" s="64">
        <v>0</v>
      </c>
      <c r="P96" s="64">
        <f>=I96*O96*ROUNDUP((A96-B96)/30,0)</f>
        <v>0</v>
      </c>
      <c r="Q96" s="76" t="s"/>
      <c r="R96" s="62" t="s"/>
    </row>
    <row r="97" spans="1:18" ht="15.75" customHeight="true">
      <c r="A97" s="348">
        <v>45901</v>
      </c>
      <c r="B97" s="426">
        <v>45881</v>
      </c>
      <c r="C97" s="64" t="s">
        <v>71</v>
      </c>
      <c r="D97" s="64" t="s">
        <v>50</v>
      </c>
      <c r="E97" s="94" t="s">
        <v>2485</v>
      </c>
      <c r="F97" s="247" t="s">
        <v>428</v>
      </c>
      <c r="G97" s="64" t="s">
        <v>422</v>
      </c>
      <c r="H97" s="247" t="s">
        <v>627</v>
      </c>
      <c r="I97" s="247">
        <v>2</v>
      </c>
      <c r="J97" s="82">
        <v>10463</v>
      </c>
      <c r="K97" s="427">
        <f>=I97*J97</f>
        <v>20926</v>
      </c>
      <c r="L97" s="82">
        <v>10400</v>
      </c>
      <c r="M97" s="428">
        <f>=I97*L97</f>
        <v>20800</v>
      </c>
      <c r="N97" s="82">
        <f>=K97-M97</f>
        <v>126</v>
      </c>
      <c r="O97" s="64">
        <v>0</v>
      </c>
      <c r="P97" s="64">
        <f>=I97*O97*ROUNDUP((A97-B97)/30,0)</f>
        <v>0</v>
      </c>
      <c r="Q97" s="76" t="s"/>
      <c r="R97" s="62" t="s"/>
    </row>
    <row r="98" spans="1:18" ht="15.75" customHeight="true">
      <c r="A98" s="348">
        <v>45901</v>
      </c>
      <c r="B98" s="426">
        <v>45881</v>
      </c>
      <c r="C98" s="64" t="s">
        <v>71</v>
      </c>
      <c r="D98" s="64" t="s">
        <v>50</v>
      </c>
      <c r="E98" s="94" t="s">
        <v>2486</v>
      </c>
      <c r="F98" s="247" t="s">
        <v>428</v>
      </c>
      <c r="G98" s="64" t="s">
        <v>422</v>
      </c>
      <c r="H98" s="247" t="s">
        <v>561</v>
      </c>
      <c r="I98" s="247">
        <v>6</v>
      </c>
      <c r="J98" s="82">
        <v>4668</v>
      </c>
      <c r="K98" s="427">
        <f>=I98*J98</f>
        <v>28008</v>
      </c>
      <c r="L98" s="82">
        <v>4640</v>
      </c>
      <c r="M98" s="428">
        <f>=I98*L98</f>
        <v>27840</v>
      </c>
      <c r="N98" s="82">
        <f>=K98-M98</f>
        <v>168</v>
      </c>
      <c r="O98" s="64">
        <v>0</v>
      </c>
      <c r="P98" s="64">
        <f>=I98*O98*ROUNDUP((A98-B98)/30,0)</f>
        <v>0</v>
      </c>
      <c r="Q98" s="76" t="s"/>
      <c r="R98" s="62" t="s"/>
    </row>
    <row r="99" spans="1:18" ht="15.75" customHeight="true">
      <c r="A99" s="348">
        <v>45901</v>
      </c>
      <c r="B99" s="426">
        <v>45881</v>
      </c>
      <c r="C99" s="64" t="s">
        <v>71</v>
      </c>
      <c r="D99" s="64" t="s">
        <v>50</v>
      </c>
      <c r="E99" s="94" t="s">
        <v>2487</v>
      </c>
      <c r="F99" s="247" t="s">
        <v>428</v>
      </c>
      <c r="G99" s="64" t="s">
        <v>429</v>
      </c>
      <c r="H99" s="247" t="s">
        <v>596</v>
      </c>
      <c r="I99" s="247">
        <v>10</v>
      </c>
      <c r="J99" s="82">
        <v>797</v>
      </c>
      <c r="K99" s="427">
        <f>=I99*J99</f>
        <v>7970</v>
      </c>
      <c r="L99" s="82">
        <v>792</v>
      </c>
      <c r="M99" s="428">
        <f>=I99*L99</f>
        <v>7920</v>
      </c>
      <c r="N99" s="82">
        <f>=K99-M99</f>
        <v>50</v>
      </c>
      <c r="O99" s="64">
        <v>0</v>
      </c>
      <c r="P99" s="64">
        <f>=I99*O99*ROUNDUP((A99-B99)/30,0)</f>
        <v>0</v>
      </c>
      <c r="Q99" s="76" t="s"/>
      <c r="R99" s="62" t="s"/>
    </row>
    <row r="100" spans="1:18" ht="15.75" customHeight="true">
      <c r="A100" s="348">
        <v>45901</v>
      </c>
      <c r="B100" s="426">
        <v>45881</v>
      </c>
      <c r="C100" s="64" t="s">
        <v>71</v>
      </c>
      <c r="D100" s="64" t="s">
        <v>50</v>
      </c>
      <c r="E100" s="94" t="s">
        <v>2488</v>
      </c>
      <c r="F100" s="247" t="s">
        <v>428</v>
      </c>
      <c r="G100" s="64" t="s">
        <v>429</v>
      </c>
      <c r="H100" s="247" t="s">
        <v>592</v>
      </c>
      <c r="I100" s="247">
        <v>12</v>
      </c>
      <c r="J100" s="82">
        <v>660</v>
      </c>
      <c r="K100" s="427">
        <f>=I100*J100</f>
        <v>7920</v>
      </c>
      <c r="L100" s="82">
        <v>656</v>
      </c>
      <c r="M100" s="428">
        <f>=I100*L100</f>
        <v>7872</v>
      </c>
      <c r="N100" s="82">
        <f>=K100-M100</f>
        <v>48</v>
      </c>
      <c r="O100" s="64">
        <v>0</v>
      </c>
      <c r="P100" s="64">
        <f>=I100*O100*ROUNDUP((A100-B100)/30,0)</f>
        <v>0</v>
      </c>
      <c r="Q100" s="76" t="s"/>
      <c r="R100" s="62" t="s"/>
    </row>
    <row r="101" spans="1:18" ht="15.75" customHeight="true">
      <c r="A101" s="348">
        <v>45901</v>
      </c>
      <c r="B101" s="441">
        <v>45862</v>
      </c>
      <c r="C101" s="194" t="s">
        <v>68</v>
      </c>
      <c r="D101" s="64" t="s">
        <v>72</v>
      </c>
      <c r="E101" s="64" t="s"/>
      <c r="F101" s="197" t="s">
        <v>421</v>
      </c>
      <c r="G101" s="197" t="s">
        <v>422</v>
      </c>
      <c r="H101" s="442" t="s">
        <v>509</v>
      </c>
      <c r="I101" s="64">
        <v>50</v>
      </c>
      <c r="J101" s="82">
        <v>6249</v>
      </c>
      <c r="K101" s="427">
        <f>=I101*J101</f>
        <v>312450</v>
      </c>
      <c r="L101" s="82">
        <v>6195</v>
      </c>
      <c r="M101" s="428">
        <f>=I101*L101</f>
        <v>309750</v>
      </c>
      <c r="N101" s="82">
        <f>=K101-M101</f>
        <v>2700</v>
      </c>
      <c r="O101" s="64">
        <v>0</v>
      </c>
      <c r="P101" s="64">
        <f>=I101*O101*ROUNDUP((A101-B101)/30,0)</f>
        <v>0</v>
      </c>
      <c r="Q101" s="76" t="s"/>
      <c r="R101" s="62" t="s"/>
    </row>
    <row r="102" spans="1:18" ht="15.75" customHeight="true">
      <c r="A102" s="80">
        <v>45776</v>
      </c>
      <c r="B102" s="426">
        <v>45737</v>
      </c>
      <c r="C102" s="64" t="s">
        <v>51</v>
      </c>
      <c r="D102" s="64" t="s">
        <v>50</v>
      </c>
      <c r="E102" s="94" t="s">
        <v>2489</v>
      </c>
      <c r="F102" s="247" t="s">
        <v>428</v>
      </c>
      <c r="G102" s="64" t="s">
        <v>422</v>
      </c>
      <c r="H102" s="64" t="s">
        <v>2421</v>
      </c>
      <c r="I102" s="64">
        <v>25</v>
      </c>
      <c r="J102" s="82">
        <v>2337</v>
      </c>
      <c r="K102" s="427">
        <f>=I102*J102</f>
        <v>58425</v>
      </c>
      <c r="L102" s="82">
        <v>2310</v>
      </c>
      <c r="M102" s="428">
        <f>=I102*L102</f>
        <v>57750</v>
      </c>
      <c r="N102" s="82">
        <f>=K102-M102</f>
        <v>675</v>
      </c>
      <c r="O102" s="64">
        <v>0</v>
      </c>
      <c r="P102" s="64">
        <f>=I102*O102*ROUNDUP((A102-B102)/30,0)</f>
        <v>0</v>
      </c>
      <c r="Q102" s="76" t="s"/>
      <c r="R102" s="62" t="s"/>
    </row>
    <row r="103" spans="1:18" ht="15.75" customHeight="true">
      <c r="A103" s="348">
        <v>45902</v>
      </c>
      <c r="B103" s="426">
        <v>45865</v>
      </c>
      <c r="C103" s="64" t="s">
        <v>69</v>
      </c>
      <c r="D103" s="64" t="s">
        <v>52</v>
      </c>
      <c r="E103" s="94" t="s">
        <v>2490</v>
      </c>
      <c r="F103" s="247" t="s">
        <v>428</v>
      </c>
      <c r="G103" s="64" t="s">
        <v>422</v>
      </c>
      <c r="H103" s="64" t="s">
        <v>561</v>
      </c>
      <c r="I103" s="64">
        <v>2</v>
      </c>
      <c r="J103" s="82">
        <v>4666</v>
      </c>
      <c r="K103" s="427">
        <f>=I103*J103</f>
        <v>9332</v>
      </c>
      <c r="L103" s="82">
        <v>4614</v>
      </c>
      <c r="M103" s="428">
        <f>=I103*L103</f>
        <v>9228</v>
      </c>
      <c r="N103" s="82">
        <f>=K103-M103</f>
        <v>104</v>
      </c>
      <c r="O103" s="64">
        <v>0</v>
      </c>
      <c r="P103" s="64">
        <f>=I103*O103*ROUNDUP((A103-B103)/30,0)</f>
        <v>0</v>
      </c>
      <c r="Q103" s="76" t="s"/>
      <c r="R103" s="62" t="s"/>
    </row>
    <row r="104" spans="1:18" ht="15.75" customHeight="true">
      <c r="A104" s="348">
        <v>45903</v>
      </c>
      <c r="B104" s="441">
        <v>45862</v>
      </c>
      <c r="C104" s="194" t="s">
        <v>68</v>
      </c>
      <c r="D104" s="64" t="s">
        <v>72</v>
      </c>
      <c r="E104" s="64" t="s"/>
      <c r="F104" s="197" t="s">
        <v>421</v>
      </c>
      <c r="G104" s="197" t="s">
        <v>422</v>
      </c>
      <c r="H104" s="442" t="s">
        <v>507</v>
      </c>
      <c r="I104" s="64">
        <v>176</v>
      </c>
      <c r="J104" s="82">
        <v>6252</v>
      </c>
      <c r="K104" s="427">
        <f>=I104*J104</f>
        <v>1100352</v>
      </c>
      <c r="L104" s="82">
        <v>6195</v>
      </c>
      <c r="M104" s="428">
        <f>=I104*L104</f>
        <v>1090320</v>
      </c>
      <c r="N104" s="82">
        <f>=K104-M104</f>
        <v>10032</v>
      </c>
      <c r="O104" s="64">
        <v>0</v>
      </c>
      <c r="P104" s="64">
        <f>=I104*O104*ROUNDUP((A104-B104)/30,0)</f>
        <v>0</v>
      </c>
      <c r="Q104" s="76" t="s"/>
      <c r="R104" s="62" t="s"/>
    </row>
    <row r="105" spans="1:18" ht="15.75" customHeight="true">
      <c r="A105" s="348">
        <v>45903</v>
      </c>
      <c r="B105" s="441">
        <v>45862</v>
      </c>
      <c r="C105" s="194" t="s">
        <v>68</v>
      </c>
      <c r="D105" s="64" t="s">
        <v>72</v>
      </c>
      <c r="E105" s="64" t="s"/>
      <c r="F105" s="197" t="s">
        <v>421</v>
      </c>
      <c r="G105" s="197" t="s">
        <v>422</v>
      </c>
      <c r="H105" s="442" t="s">
        <v>513</v>
      </c>
      <c r="I105" s="64">
        <v>68</v>
      </c>
      <c r="J105" s="82">
        <v>6293</v>
      </c>
      <c r="K105" s="427">
        <f>=I105*J105</f>
        <v>427924</v>
      </c>
      <c r="L105" s="82">
        <v>6235</v>
      </c>
      <c r="M105" s="428">
        <f>=I105*L105</f>
        <v>423980</v>
      </c>
      <c r="N105" s="82">
        <f>=K105-M105</f>
        <v>3944</v>
      </c>
      <c r="O105" s="64">
        <v>0</v>
      </c>
      <c r="P105" s="64">
        <f>=I105*O105*ROUNDUP((A105-B105)/30,0)</f>
        <v>0</v>
      </c>
      <c r="Q105" s="76" t="s"/>
      <c r="R105" s="62" t="s"/>
    </row>
    <row r="106" spans="1:18" ht="15.75" customHeight="true">
      <c r="A106" s="348">
        <v>45903</v>
      </c>
      <c r="B106" s="441">
        <v>45862</v>
      </c>
      <c r="C106" s="194" t="s">
        <v>68</v>
      </c>
      <c r="D106" s="64" t="s">
        <v>72</v>
      </c>
      <c r="E106" s="64" t="s"/>
      <c r="F106" s="197" t="s">
        <v>421</v>
      </c>
      <c r="G106" s="197" t="s">
        <v>422</v>
      </c>
      <c r="H106" s="442" t="s">
        <v>509</v>
      </c>
      <c r="I106" s="64">
        <v>49</v>
      </c>
      <c r="J106" s="82">
        <v>6252</v>
      </c>
      <c r="K106" s="427">
        <f>=I106*J106</f>
        <v>306348</v>
      </c>
      <c r="L106" s="82">
        <v>6195</v>
      </c>
      <c r="M106" s="428">
        <f>=I106*L106</f>
        <v>303555</v>
      </c>
      <c r="N106" s="82">
        <f>=K106-M106</f>
        <v>2793</v>
      </c>
      <c r="O106" s="64">
        <v>0</v>
      </c>
      <c r="P106" s="64">
        <f>=I106*O106*ROUNDUP((A106-B106)/30,0)</f>
        <v>0</v>
      </c>
      <c r="Q106" s="76" t="s"/>
      <c r="R106" s="62" t="s"/>
    </row>
    <row r="107" spans="1:18" ht="15.75" customHeight="true">
      <c r="A107" s="80">
        <v>45776</v>
      </c>
      <c r="B107" s="426">
        <v>45737</v>
      </c>
      <c r="C107" s="64" t="s">
        <v>51</v>
      </c>
      <c r="D107" s="64" t="s">
        <v>50</v>
      </c>
      <c r="E107" s="94" t="s">
        <v>2491</v>
      </c>
      <c r="F107" s="247" t="s">
        <v>428</v>
      </c>
      <c r="G107" s="64" t="s">
        <v>422</v>
      </c>
      <c r="H107" s="64" t="s">
        <v>2423</v>
      </c>
      <c r="I107" s="64">
        <v>25</v>
      </c>
      <c r="J107" s="82">
        <v>2267</v>
      </c>
      <c r="K107" s="427">
        <f>=I107*J107</f>
        <v>56675</v>
      </c>
      <c r="L107" s="82">
        <v>2240</v>
      </c>
      <c r="M107" s="428">
        <f>=I107*L107</f>
        <v>56000</v>
      </c>
      <c r="N107" s="82">
        <f>=K107-M107</f>
        <v>675</v>
      </c>
      <c r="O107" s="64">
        <v>0</v>
      </c>
      <c r="P107" s="64">
        <f>=I107*O107*ROUNDUP((A107-B107)/30,0)</f>
        <v>0</v>
      </c>
      <c r="Q107" s="76" t="s"/>
      <c r="R107" s="62" t="s"/>
    </row>
    <row r="108" spans="1:18" ht="15.75" customHeight="true">
      <c r="A108" s="80">
        <v>45776</v>
      </c>
      <c r="B108" s="426">
        <v>45737</v>
      </c>
      <c r="C108" s="64" t="s">
        <v>51</v>
      </c>
      <c r="D108" s="64" t="s">
        <v>50</v>
      </c>
      <c r="E108" s="94" t="s">
        <v>2492</v>
      </c>
      <c r="F108" s="247" t="s">
        <v>428</v>
      </c>
      <c r="G108" s="64" t="s">
        <v>422</v>
      </c>
      <c r="H108" s="64" t="s">
        <v>1235</v>
      </c>
      <c r="I108" s="64">
        <v>6</v>
      </c>
      <c r="J108" s="82">
        <v>16149</v>
      </c>
      <c r="K108" s="427">
        <f>=I108*J108</f>
        <v>96894</v>
      </c>
      <c r="L108" s="82">
        <v>15960</v>
      </c>
      <c r="M108" s="428">
        <f>=I108*L108</f>
        <v>95760</v>
      </c>
      <c r="N108" s="82">
        <f>=K108-M108</f>
        <v>1134</v>
      </c>
      <c r="O108" s="64">
        <v>0</v>
      </c>
      <c r="P108" s="64">
        <f>=I108*O108*ROUNDUP((A108-B108)/30,0)</f>
        <v>0</v>
      </c>
      <c r="Q108" s="76" t="s"/>
      <c r="R108" s="62" t="s"/>
    </row>
    <row r="109" spans="1:18" ht="15.75" customHeight="true">
      <c r="A109" s="80">
        <v>45776</v>
      </c>
      <c r="B109" s="426">
        <v>45737</v>
      </c>
      <c r="C109" s="64" t="s">
        <v>51</v>
      </c>
      <c r="D109" s="64" t="s">
        <v>50</v>
      </c>
      <c r="E109" s="94" t="s">
        <v>2493</v>
      </c>
      <c r="F109" s="247" t="s">
        <v>428</v>
      </c>
      <c r="G109" s="64" t="s">
        <v>422</v>
      </c>
      <c r="H109" s="247" t="s">
        <v>618</v>
      </c>
      <c r="I109" s="64">
        <v>5</v>
      </c>
      <c r="J109" s="82">
        <v>4335</v>
      </c>
      <c r="K109" s="427">
        <f>=I109*J109</f>
        <v>21675</v>
      </c>
      <c r="L109" s="82">
        <v>4284</v>
      </c>
      <c r="M109" s="428">
        <f>=I109*L109</f>
        <v>21420</v>
      </c>
      <c r="N109" s="82">
        <f>=K109-M109</f>
        <v>255</v>
      </c>
      <c r="O109" s="64">
        <v>0</v>
      </c>
      <c r="P109" s="64">
        <f>=I109*O109*ROUNDUP((A109-B109)/30,0)</f>
        <v>0</v>
      </c>
      <c r="Q109" s="76" t="s"/>
      <c r="R109" s="62" t="s"/>
    </row>
    <row r="110" spans="1:18" s="270" customFormat="true" ht="15.75" customHeight="true">
      <c r="A110" s="80">
        <v>45763</v>
      </c>
      <c r="B110" s="426">
        <v>45737</v>
      </c>
      <c r="C110" s="64" t="s">
        <v>51</v>
      </c>
      <c r="D110" s="64" t="s">
        <v>50</v>
      </c>
      <c r="E110" s="94" t="s">
        <v>2494</v>
      </c>
      <c r="F110" s="247" t="s">
        <v>428</v>
      </c>
      <c r="G110" s="64" t="s">
        <v>422</v>
      </c>
      <c r="H110" s="64" t="s">
        <v>2409</v>
      </c>
      <c r="I110" s="64">
        <v>1</v>
      </c>
      <c r="J110" s="82">
        <v>14437</v>
      </c>
      <c r="K110" s="427">
        <f>=I110*J110</f>
        <v>14437</v>
      </c>
      <c r="L110" s="82">
        <v>14315</v>
      </c>
      <c r="M110" s="428">
        <f>=I110*L110</f>
        <v>14315</v>
      </c>
      <c r="N110" s="82">
        <f>=K110-M110</f>
        <v>122</v>
      </c>
      <c r="O110" s="64">
        <v>0</v>
      </c>
      <c r="P110" s="64">
        <f>=I110*O110*ROUNDUP((A110-B110)/30,0)</f>
        <v>0</v>
      </c>
      <c r="Q110" s="348" t="s"/>
      <c r="R110" s="64" t="s"/>
    </row>
    <row r="111" spans="1:18" ht="15.75" customHeight="true">
      <c r="A111" s="80">
        <v>45763</v>
      </c>
      <c r="B111" s="426">
        <v>45737</v>
      </c>
      <c r="C111" s="64" t="s">
        <v>51</v>
      </c>
      <c r="D111" s="64" t="s">
        <v>50</v>
      </c>
      <c r="E111" s="94" t="s">
        <v>2495</v>
      </c>
      <c r="F111" s="247" t="s">
        <v>428</v>
      </c>
      <c r="G111" s="64" t="s">
        <v>429</v>
      </c>
      <c r="H111" s="64" t="s">
        <v>2399</v>
      </c>
      <c r="I111" s="64">
        <v>20</v>
      </c>
      <c r="J111" s="82">
        <v>807</v>
      </c>
      <c r="K111" s="427">
        <f>=I111*J111</f>
        <v>16140</v>
      </c>
      <c r="L111" s="82">
        <v>800.1</v>
      </c>
      <c r="M111" s="428">
        <f>=I111*L111</f>
        <v>16002</v>
      </c>
      <c r="N111" s="82">
        <f>=K111-M111</f>
        <v>138</v>
      </c>
      <c r="O111" s="64">
        <v>0</v>
      </c>
      <c r="P111" s="64">
        <f>=I111*O111*ROUNDUP((A111-B111)/30,0)</f>
        <v>0</v>
      </c>
      <c r="Q111" s="76" t="s"/>
      <c r="R111" s="62" t="s"/>
    </row>
    <row r="112" spans="1:18" ht="15.75" customHeight="true">
      <c r="A112" s="348">
        <v>45909</v>
      </c>
      <c r="B112" s="426">
        <v>45881</v>
      </c>
      <c r="C112" s="64" t="s">
        <v>71</v>
      </c>
      <c r="D112" s="64" t="s">
        <v>50</v>
      </c>
      <c r="E112" s="94" t="s">
        <v>2496</v>
      </c>
      <c r="F112" s="247" t="s">
        <v>428</v>
      </c>
      <c r="G112" s="64" t="s">
        <v>422</v>
      </c>
      <c r="H112" s="247" t="s">
        <v>639</v>
      </c>
      <c r="I112" s="247">
        <v>3</v>
      </c>
      <c r="J112" s="82">
        <v>8149</v>
      </c>
      <c r="K112" s="427">
        <f>=I112*J112</f>
        <v>24447</v>
      </c>
      <c r="L112" s="82">
        <v>8080</v>
      </c>
      <c r="M112" s="428">
        <f>=I112*L112</f>
        <v>24240</v>
      </c>
      <c r="N112" s="82">
        <f>=K112-M112</f>
        <v>207</v>
      </c>
      <c r="O112" s="64">
        <v>0</v>
      </c>
      <c r="P112" s="64">
        <f>=I112*O112*ROUNDUP((A112-B112)/30,0)</f>
        <v>0</v>
      </c>
      <c r="Q112" s="76" t="s"/>
      <c r="R112" s="62" t="s"/>
    </row>
    <row r="113" spans="1:18" ht="15.75" customHeight="true">
      <c r="A113" s="348">
        <v>45909</v>
      </c>
      <c r="B113" s="426">
        <v>45881</v>
      </c>
      <c r="C113" s="64" t="s">
        <v>71</v>
      </c>
      <c r="D113" s="64" t="s">
        <v>50</v>
      </c>
      <c r="E113" s="94" t="s">
        <v>2497</v>
      </c>
      <c r="F113" s="247" t="s">
        <v>428</v>
      </c>
      <c r="G113" s="64" t="s">
        <v>422</v>
      </c>
      <c r="H113" s="247" t="s">
        <v>621</v>
      </c>
      <c r="I113" s="247">
        <v>4</v>
      </c>
      <c r="J113" s="82">
        <v>4680</v>
      </c>
      <c r="K113" s="427">
        <f>=I113*J113</f>
        <v>18720</v>
      </c>
      <c r="L113" s="82">
        <v>4640</v>
      </c>
      <c r="M113" s="428">
        <f>=I113*L113</f>
        <v>18560</v>
      </c>
      <c r="N113" s="82">
        <f>=K113-M113</f>
        <v>160</v>
      </c>
      <c r="O113" s="64">
        <v>0</v>
      </c>
      <c r="P113" s="64">
        <f>=I113*O113*ROUNDUP((A113-B113)/30,0)</f>
        <v>0</v>
      </c>
      <c r="Q113" s="76" t="s"/>
      <c r="R113" s="62" t="s"/>
    </row>
    <row r="114" spans="1:18" ht="15.75" customHeight="true">
      <c r="A114" s="348">
        <v>45909</v>
      </c>
      <c r="B114" s="426">
        <v>45881</v>
      </c>
      <c r="C114" s="64" t="s">
        <v>71</v>
      </c>
      <c r="D114" s="64" t="s">
        <v>50</v>
      </c>
      <c r="E114" s="94" t="s">
        <v>2498</v>
      </c>
      <c r="F114" s="247" t="s">
        <v>428</v>
      </c>
      <c r="G114" s="64" t="s">
        <v>422</v>
      </c>
      <c r="H114" s="247" t="s">
        <v>618</v>
      </c>
      <c r="I114" s="247">
        <v>6</v>
      </c>
      <c r="J114" s="82">
        <v>4680</v>
      </c>
      <c r="K114" s="427">
        <f>=I114*J114</f>
        <v>28080</v>
      </c>
      <c r="L114" s="82">
        <v>4640</v>
      </c>
      <c r="M114" s="428">
        <f>=I114*L114</f>
        <v>27840</v>
      </c>
      <c r="N114" s="82">
        <f>=K114-M114</f>
        <v>240</v>
      </c>
      <c r="O114" s="64">
        <v>0</v>
      </c>
      <c r="P114" s="64">
        <f>=I114*O114*ROUNDUP((A114-B114)/30,0)</f>
        <v>0</v>
      </c>
      <c r="Q114" s="76" t="s"/>
      <c r="R114" s="62" t="s"/>
    </row>
    <row r="115" spans="1:18" ht="15.75" customHeight="true">
      <c r="A115" s="348">
        <v>45909</v>
      </c>
      <c r="B115" s="426">
        <v>45881</v>
      </c>
      <c r="C115" s="64" t="s">
        <v>71</v>
      </c>
      <c r="D115" s="64" t="s">
        <v>50</v>
      </c>
      <c r="E115" s="94" t="s">
        <v>2499</v>
      </c>
      <c r="F115" s="247" t="s">
        <v>428</v>
      </c>
      <c r="G115" s="64" t="s">
        <v>422</v>
      </c>
      <c r="H115" s="247" t="s">
        <v>641</v>
      </c>
      <c r="I115" s="247">
        <v>1</v>
      </c>
      <c r="J115" s="82">
        <v>3994</v>
      </c>
      <c r="K115" s="427">
        <f>=I115*J115</f>
        <v>3994</v>
      </c>
      <c r="L115" s="82">
        <v>3960</v>
      </c>
      <c r="M115" s="428">
        <f>=I115*L115</f>
        <v>3960</v>
      </c>
      <c r="N115" s="82">
        <f>=K115-M115</f>
        <v>34</v>
      </c>
      <c r="O115" s="64">
        <v>0</v>
      </c>
      <c r="P115" s="64">
        <f>=I115*O115*ROUNDUP((A115-B115)/30,0)</f>
        <v>0</v>
      </c>
      <c r="Q115" s="76" t="s"/>
      <c r="R115" s="62" t="s"/>
    </row>
    <row r="116" spans="1:18" ht="15.75" customHeight="true">
      <c r="A116" s="348">
        <v>45909</v>
      </c>
      <c r="B116" s="426">
        <v>45881</v>
      </c>
      <c r="C116" s="64" t="s">
        <v>71</v>
      </c>
      <c r="D116" s="64" t="s">
        <v>50</v>
      </c>
      <c r="E116" s="94" t="s">
        <v>2500</v>
      </c>
      <c r="F116" s="247" t="s">
        <v>428</v>
      </c>
      <c r="G116" s="64" t="s">
        <v>422</v>
      </c>
      <c r="H116" s="247" t="s">
        <v>643</v>
      </c>
      <c r="I116" s="247">
        <v>3</v>
      </c>
      <c r="J116" s="82">
        <v>3913</v>
      </c>
      <c r="K116" s="427">
        <f>=I116*J116</f>
        <v>11739</v>
      </c>
      <c r="L116" s="82">
        <v>3880</v>
      </c>
      <c r="M116" s="428">
        <f>=I116*L116</f>
        <v>11640</v>
      </c>
      <c r="N116" s="82">
        <f>=K116-M116</f>
        <v>99</v>
      </c>
      <c r="O116" s="64">
        <v>0</v>
      </c>
      <c r="P116" s="64">
        <f>=I116*O116*ROUNDUP((A116-B116)/30,0)</f>
        <v>0</v>
      </c>
      <c r="Q116" s="76" t="s"/>
      <c r="R116" s="62" t="s"/>
    </row>
    <row r="117" spans="1:18" ht="15.75" customHeight="true">
      <c r="A117" s="348">
        <v>45909</v>
      </c>
      <c r="B117" s="426">
        <v>45881</v>
      </c>
      <c r="C117" s="64" t="s">
        <v>71</v>
      </c>
      <c r="D117" s="64" t="s">
        <v>50</v>
      </c>
      <c r="E117" s="94" t="s">
        <v>2501</v>
      </c>
      <c r="F117" s="247" t="s">
        <v>428</v>
      </c>
      <c r="G117" s="64" t="s">
        <v>429</v>
      </c>
      <c r="H117" s="247" t="s">
        <v>598</v>
      </c>
      <c r="I117" s="247">
        <v>28</v>
      </c>
      <c r="J117" s="82">
        <v>887</v>
      </c>
      <c r="K117" s="427">
        <f>=I117*J117</f>
        <v>24836</v>
      </c>
      <c r="L117" s="82">
        <v>880</v>
      </c>
      <c r="M117" s="428">
        <f>=I117*L117</f>
        <v>24640</v>
      </c>
      <c r="N117" s="82">
        <f>=K117-M117</f>
        <v>196</v>
      </c>
      <c r="O117" s="64">
        <v>0</v>
      </c>
      <c r="P117" s="64">
        <f>=I117*O117*ROUNDUP((A117-B117)/30,0)</f>
        <v>0</v>
      </c>
      <c r="Q117" s="76" t="s"/>
      <c r="R117" s="62" t="s"/>
    </row>
    <row r="118" spans="1:18" ht="15.75" customHeight="true">
      <c r="A118" s="348">
        <v>45909</v>
      </c>
      <c r="B118" s="426">
        <v>45881</v>
      </c>
      <c r="C118" s="64" t="s">
        <v>71</v>
      </c>
      <c r="D118" s="64" t="s">
        <v>50</v>
      </c>
      <c r="E118" s="94" t="s">
        <v>2502</v>
      </c>
      <c r="F118" s="247" t="s">
        <v>428</v>
      </c>
      <c r="G118" s="64" t="s">
        <v>429</v>
      </c>
      <c r="H118" s="247" t="s">
        <v>596</v>
      </c>
      <c r="I118" s="247">
        <v>12</v>
      </c>
      <c r="J118" s="82">
        <v>799</v>
      </c>
      <c r="K118" s="427">
        <f>=I118*J118</f>
        <v>9588</v>
      </c>
      <c r="L118" s="82">
        <v>792</v>
      </c>
      <c r="M118" s="428">
        <f>=I118*L118</f>
        <v>9504</v>
      </c>
      <c r="N118" s="82">
        <f>=K118-M118</f>
        <v>84</v>
      </c>
      <c r="O118" s="64">
        <v>0</v>
      </c>
      <c r="P118" s="64">
        <f>=I118*O118*ROUNDUP((A118-B118)/30,0)</f>
        <v>0</v>
      </c>
      <c r="Q118" s="76" t="s"/>
      <c r="R118" s="62" t="s"/>
    </row>
    <row r="119" spans="1:18" ht="15.75" customHeight="true">
      <c r="A119" s="348">
        <v>45919</v>
      </c>
      <c r="B119" s="426">
        <v>45881</v>
      </c>
      <c r="C119" s="64" t="s">
        <v>71</v>
      </c>
      <c r="D119" s="64" t="s">
        <v>50</v>
      </c>
      <c r="E119" s="94" t="s">
        <v>2503</v>
      </c>
      <c r="F119" s="247" t="s">
        <v>428</v>
      </c>
      <c r="G119" s="64" t="s">
        <v>429</v>
      </c>
      <c r="H119" s="247" t="s">
        <v>600</v>
      </c>
      <c r="I119" s="247">
        <v>15</v>
      </c>
      <c r="J119" s="82">
        <v>1367</v>
      </c>
      <c r="K119" s="427">
        <f>=I119*J119</f>
        <v>20505</v>
      </c>
      <c r="L119" s="82">
        <v>1352</v>
      </c>
      <c r="M119" s="428">
        <f>=I119*L119</f>
        <v>20280</v>
      </c>
      <c r="N119" s="82">
        <f>=K119-M119</f>
        <v>225</v>
      </c>
      <c r="O119" s="64">
        <v>0</v>
      </c>
      <c r="P119" s="64">
        <f>=I119*O119*ROUNDUP((A119-B119)/30,0)</f>
        <v>0</v>
      </c>
      <c r="Q119" s="76" t="s"/>
      <c r="R119" s="62" t="s"/>
    </row>
    <row r="120" spans="1:18" ht="15.75" customHeight="true">
      <c r="A120" s="348">
        <v>45919</v>
      </c>
      <c r="B120" s="426">
        <v>45881</v>
      </c>
      <c r="C120" s="64" t="s">
        <v>71</v>
      </c>
      <c r="D120" s="64" t="s">
        <v>50</v>
      </c>
      <c r="E120" s="94" t="s">
        <v>2504</v>
      </c>
      <c r="F120" s="247" t="s">
        <v>428</v>
      </c>
      <c r="G120" s="64" t="s">
        <v>429</v>
      </c>
      <c r="H120" s="247" t="s">
        <v>594</v>
      </c>
      <c r="I120" s="247">
        <v>10</v>
      </c>
      <c r="J120" s="82">
        <v>607</v>
      </c>
      <c r="K120" s="427">
        <f>=I120*J120</f>
        <v>6070</v>
      </c>
      <c r="L120" s="82">
        <v>600</v>
      </c>
      <c r="M120" s="428">
        <f>=I120*L120</f>
        <v>6000</v>
      </c>
      <c r="N120" s="82">
        <f>=K120-M120</f>
        <v>70</v>
      </c>
      <c r="O120" s="64">
        <v>0</v>
      </c>
      <c r="P120" s="64">
        <f>=I120*O120*ROUNDUP((A120-B120)/30,0)</f>
        <v>0</v>
      </c>
      <c r="Q120" s="76" t="s"/>
      <c r="R120" s="62" t="s"/>
    </row>
    <row r="121" spans="1:18" ht="15.75" customHeight="true">
      <c r="A121" s="348">
        <v>45919</v>
      </c>
      <c r="B121" s="426">
        <v>45881</v>
      </c>
      <c r="C121" s="64" t="s">
        <v>71</v>
      </c>
      <c r="D121" s="64" t="s">
        <v>50</v>
      </c>
      <c r="E121" s="94" t="s">
        <v>2505</v>
      </c>
      <c r="F121" s="247" t="s">
        <v>428</v>
      </c>
      <c r="G121" s="64" t="s">
        <v>429</v>
      </c>
      <c r="H121" s="247" t="s">
        <v>590</v>
      </c>
      <c r="I121" s="247">
        <v>10</v>
      </c>
      <c r="J121" s="82">
        <v>1270</v>
      </c>
      <c r="K121" s="427">
        <f>=I121*J121</f>
        <v>12700</v>
      </c>
      <c r="L121" s="82">
        <v>1256</v>
      </c>
      <c r="M121" s="428">
        <f>=I121*L121</f>
        <v>12560</v>
      </c>
      <c r="N121" s="82">
        <f>=K121-M121</f>
        <v>140</v>
      </c>
      <c r="O121" s="64">
        <v>0</v>
      </c>
      <c r="P121" s="64">
        <f>=I121*O121*ROUNDUP((A121-B121)/30,0)</f>
        <v>0</v>
      </c>
      <c r="Q121" s="76" t="s"/>
      <c r="R121" s="62" t="s"/>
    </row>
    <row r="122" spans="1:18" ht="15.75" customHeight="true">
      <c r="A122" s="348">
        <v>45919</v>
      </c>
      <c r="B122" s="426">
        <v>45881</v>
      </c>
      <c r="C122" s="64" t="s">
        <v>71</v>
      </c>
      <c r="D122" s="64" t="s">
        <v>50</v>
      </c>
      <c r="E122" s="94" t="s">
        <v>2506</v>
      </c>
      <c r="F122" s="247" t="s">
        <v>428</v>
      </c>
      <c r="G122" s="64" t="s">
        <v>422</v>
      </c>
      <c r="H122" s="247" t="s">
        <v>653</v>
      </c>
      <c r="I122" s="247">
        <v>2</v>
      </c>
      <c r="J122" s="82">
        <v>5752</v>
      </c>
      <c r="K122" s="427">
        <f>=I122*J122</f>
        <v>11504</v>
      </c>
      <c r="L122" s="82">
        <v>5688</v>
      </c>
      <c r="M122" s="428">
        <f>=I122*L122</f>
        <v>11376</v>
      </c>
      <c r="N122" s="82">
        <f>=K122-M122</f>
        <v>128</v>
      </c>
      <c r="O122" s="64">
        <v>0</v>
      </c>
      <c r="P122" s="64">
        <f>=I122*O122*ROUNDUP((A122-B122)/30,0)</f>
        <v>0</v>
      </c>
      <c r="Q122" s="76" t="s"/>
      <c r="R122" s="62" t="s"/>
    </row>
    <row r="123" spans="1:18" ht="15.75" customHeight="true">
      <c r="A123" s="348">
        <v>45919</v>
      </c>
      <c r="B123" s="426">
        <v>45881</v>
      </c>
      <c r="C123" s="64" t="s">
        <v>71</v>
      </c>
      <c r="D123" s="64" t="s">
        <v>50</v>
      </c>
      <c r="E123" s="94" t="s">
        <v>2507</v>
      </c>
      <c r="F123" s="247" t="s">
        <v>428</v>
      </c>
      <c r="G123" s="64" t="s">
        <v>422</v>
      </c>
      <c r="H123" s="247" t="s">
        <v>651</v>
      </c>
      <c r="I123" s="247">
        <v>3</v>
      </c>
      <c r="J123" s="82">
        <v>5752</v>
      </c>
      <c r="K123" s="427">
        <f>=I123*J123</f>
        <v>17256</v>
      </c>
      <c r="L123" s="82">
        <v>5688</v>
      </c>
      <c r="M123" s="428">
        <f>=I123*L123</f>
        <v>17064</v>
      </c>
      <c r="N123" s="82">
        <f>=K123-M123</f>
        <v>192</v>
      </c>
      <c r="O123" s="64">
        <v>0</v>
      </c>
      <c r="P123" s="64">
        <f>=I123*O123*ROUNDUP((A123-B123)/30,0)</f>
        <v>0</v>
      </c>
      <c r="Q123" s="76" t="s"/>
      <c r="R123" s="62" t="s"/>
    </row>
    <row r="124" spans="1:18" ht="15.75" customHeight="true">
      <c r="A124" s="348">
        <v>45919</v>
      </c>
      <c r="B124" s="426">
        <v>45881</v>
      </c>
      <c r="C124" s="64" t="s">
        <v>71</v>
      </c>
      <c r="D124" s="64" t="s">
        <v>50</v>
      </c>
      <c r="E124" s="94" t="s">
        <v>2508</v>
      </c>
      <c r="F124" s="247" t="s">
        <v>428</v>
      </c>
      <c r="G124" s="64" t="s">
        <v>422</v>
      </c>
      <c r="H124" s="247" t="s">
        <v>645</v>
      </c>
      <c r="I124" s="247">
        <v>4</v>
      </c>
      <c r="J124" s="82">
        <v>3924</v>
      </c>
      <c r="K124" s="427">
        <f>=I124*J124</f>
        <v>15696</v>
      </c>
      <c r="L124" s="82">
        <v>3880</v>
      </c>
      <c r="M124" s="428">
        <f>=I124*L124</f>
        <v>15520</v>
      </c>
      <c r="N124" s="82">
        <f>=K124-M124</f>
        <v>176</v>
      </c>
      <c r="O124" s="64">
        <v>0</v>
      </c>
      <c r="P124" s="64">
        <f>=I124*O124*ROUNDUP((A124-B124)/30,0)</f>
        <v>0</v>
      </c>
      <c r="Q124" s="76" t="s"/>
      <c r="R124" s="62" t="s"/>
    </row>
    <row r="125" spans="1:18" ht="15.75" customHeight="true">
      <c r="A125" s="348">
        <v>45919</v>
      </c>
      <c r="B125" s="426">
        <v>45881</v>
      </c>
      <c r="C125" s="64" t="s">
        <v>71</v>
      </c>
      <c r="D125" s="64" t="s">
        <v>50</v>
      </c>
      <c r="E125" s="440" t="s">
        <v>2509</v>
      </c>
      <c r="F125" s="247" t="s">
        <v>428</v>
      </c>
      <c r="G125" s="64" t="s">
        <v>422</v>
      </c>
      <c r="H125" s="247" t="s">
        <v>643</v>
      </c>
      <c r="I125" s="247">
        <v>1</v>
      </c>
      <c r="J125" s="82">
        <v>3924</v>
      </c>
      <c r="K125" s="427">
        <f>=I125*J125</f>
        <v>3924</v>
      </c>
      <c r="L125" s="82">
        <v>3880</v>
      </c>
      <c r="M125" s="428">
        <f>=I125*L125</f>
        <v>3880</v>
      </c>
      <c r="N125" s="82">
        <f>=K125-M125</f>
        <v>44</v>
      </c>
      <c r="O125" s="64">
        <v>0</v>
      </c>
      <c r="P125" s="64">
        <f>=I125*O125*ROUNDUP((A125-B125)/30,0)</f>
        <v>0</v>
      </c>
      <c r="Q125" s="76" t="s"/>
      <c r="R125" s="62" t="s"/>
    </row>
    <row r="126" spans="1:18" ht="15.75" customHeight="true">
      <c r="A126" s="348">
        <v>45919</v>
      </c>
      <c r="B126" s="426">
        <v>45881</v>
      </c>
      <c r="C126" s="64" t="s">
        <v>71</v>
      </c>
      <c r="D126" s="64" t="s">
        <v>50</v>
      </c>
      <c r="E126" s="94" t="s">
        <v>2510</v>
      </c>
      <c r="F126" s="247" t="s">
        <v>428</v>
      </c>
      <c r="G126" s="64" t="s">
        <v>422</v>
      </c>
      <c r="H126" s="247" t="s">
        <v>641</v>
      </c>
      <c r="I126" s="247">
        <v>5</v>
      </c>
      <c r="J126" s="82">
        <v>4005</v>
      </c>
      <c r="K126" s="427">
        <f>=I126*J126</f>
        <v>20025</v>
      </c>
      <c r="L126" s="82">
        <v>3960</v>
      </c>
      <c r="M126" s="428">
        <f>=I126*L126</f>
        <v>19800</v>
      </c>
      <c r="N126" s="82">
        <f>=K126-M126</f>
        <v>225</v>
      </c>
      <c r="O126" s="64">
        <v>0</v>
      </c>
      <c r="P126" s="64">
        <f>=I126*O126*ROUNDUP((A126-B126)/30,0)</f>
        <v>0</v>
      </c>
      <c r="Q126" s="76" t="s"/>
      <c r="R126" s="62" t="s"/>
    </row>
    <row r="127" spans="1:18" ht="15.75" customHeight="true">
      <c r="A127" s="348">
        <v>45919</v>
      </c>
      <c r="B127" s="426">
        <v>45881</v>
      </c>
      <c r="C127" s="64" t="s">
        <v>71</v>
      </c>
      <c r="D127" s="64" t="s">
        <v>50</v>
      </c>
      <c r="E127" s="440" t="s">
        <v>2511</v>
      </c>
      <c r="F127" s="247" t="s">
        <v>428</v>
      </c>
      <c r="G127" s="64" t="s">
        <v>422</v>
      </c>
      <c r="H127" s="247" t="s">
        <v>639</v>
      </c>
      <c r="I127" s="247">
        <v>2</v>
      </c>
      <c r="J127" s="82">
        <v>8171</v>
      </c>
      <c r="K127" s="427">
        <f>=I127*J127</f>
        <v>16342</v>
      </c>
      <c r="L127" s="82">
        <v>8080</v>
      </c>
      <c r="M127" s="428">
        <f>=I127*L127</f>
        <v>16160</v>
      </c>
      <c r="N127" s="82">
        <f>=K127-M127</f>
        <v>182</v>
      </c>
      <c r="O127" s="64">
        <v>0</v>
      </c>
      <c r="P127" s="64">
        <f>=I127*O127*ROUNDUP((A127-B127)/30,0)</f>
        <v>0</v>
      </c>
      <c r="Q127" s="76" t="s"/>
      <c r="R127" s="62" t="s"/>
    </row>
    <row r="128" spans="1:18" ht="15.75" customHeight="true">
      <c r="A128" s="348">
        <v>45919</v>
      </c>
      <c r="B128" s="426">
        <v>45881</v>
      </c>
      <c r="C128" s="64" t="s">
        <v>71</v>
      </c>
      <c r="D128" s="64" t="s">
        <v>50</v>
      </c>
      <c r="E128" s="440" t="s">
        <v>2512</v>
      </c>
      <c r="F128" s="247" t="s">
        <v>428</v>
      </c>
      <c r="G128" s="64" t="s">
        <v>422</v>
      </c>
      <c r="H128" s="247" t="s">
        <v>608</v>
      </c>
      <c r="I128" s="247">
        <v>16</v>
      </c>
      <c r="J128" s="82">
        <v>534</v>
      </c>
      <c r="K128" s="427">
        <f>=I128*J128</f>
        <v>8544</v>
      </c>
      <c r="L128" s="82">
        <v>528</v>
      </c>
      <c r="M128" s="428">
        <f>=I128*L128</f>
        <v>8448</v>
      </c>
      <c r="N128" s="82">
        <f>=K128-M128</f>
        <v>96</v>
      </c>
      <c r="O128" s="64">
        <v>0</v>
      </c>
      <c r="P128" s="64">
        <f>=I128*O128*ROUNDUP((A128-B128)/30,0)</f>
        <v>0</v>
      </c>
      <c r="Q128" s="76" t="s"/>
      <c r="R128" s="62" t="s"/>
    </row>
    <row r="129" spans="1:18" ht="15.75" customHeight="true">
      <c r="A129" s="348">
        <v>45919</v>
      </c>
      <c r="B129" s="426">
        <v>45881</v>
      </c>
      <c r="C129" s="64" t="s">
        <v>71</v>
      </c>
      <c r="D129" s="64" t="s">
        <v>50</v>
      </c>
      <c r="E129" s="440" t="s">
        <v>2513</v>
      </c>
      <c r="F129" s="247" t="s">
        <v>428</v>
      </c>
      <c r="G129" s="64" t="s">
        <v>422</v>
      </c>
      <c r="H129" s="247" t="s">
        <v>606</v>
      </c>
      <c r="I129" s="247">
        <v>5</v>
      </c>
      <c r="J129" s="82">
        <v>1214</v>
      </c>
      <c r="K129" s="427">
        <f>=I129*J129</f>
        <v>6070</v>
      </c>
      <c r="L129" s="82">
        <v>1200</v>
      </c>
      <c r="M129" s="428">
        <f>=I129*L129</f>
        <v>6000</v>
      </c>
      <c r="N129" s="82">
        <f>=K129-M129</f>
        <v>70</v>
      </c>
      <c r="O129" s="64">
        <v>0</v>
      </c>
      <c r="P129" s="64">
        <f>=I129*O129*ROUNDUP((A129-B129)/30,0)</f>
        <v>0</v>
      </c>
      <c r="Q129" s="76" t="s"/>
      <c r="R129" s="62" t="s"/>
    </row>
    <row r="130" spans="1:18" ht="15.75" customHeight="true">
      <c r="A130" s="348">
        <v>45919</v>
      </c>
      <c r="B130" s="426">
        <v>45881</v>
      </c>
      <c r="C130" s="64" t="s">
        <v>71</v>
      </c>
      <c r="D130" s="64" t="s">
        <v>50</v>
      </c>
      <c r="E130" s="440" t="s">
        <v>2514</v>
      </c>
      <c r="F130" s="247" t="s">
        <v>428</v>
      </c>
      <c r="G130" s="64" t="s">
        <v>422</v>
      </c>
      <c r="H130" s="247" t="s">
        <v>604</v>
      </c>
      <c r="I130" s="247">
        <v>14</v>
      </c>
      <c r="J130" s="82">
        <v>1214</v>
      </c>
      <c r="K130" s="427">
        <f>=I130*J130</f>
        <v>16996</v>
      </c>
      <c r="L130" s="82">
        <v>1200</v>
      </c>
      <c r="M130" s="428">
        <f>=I130*L130</f>
        <v>16800</v>
      </c>
      <c r="N130" s="82">
        <f>=K130-M130</f>
        <v>196</v>
      </c>
      <c r="O130" s="64">
        <v>0</v>
      </c>
      <c r="P130" s="64">
        <f>=I130*O130*ROUNDUP((A130-B130)/30,0)</f>
        <v>0</v>
      </c>
      <c r="Q130" s="76" t="s"/>
      <c r="R130" s="62" t="s"/>
    </row>
    <row r="131" spans="1:18" ht="15.75" customHeight="true">
      <c r="A131" s="348">
        <v>45919</v>
      </c>
      <c r="B131" s="426">
        <v>45881</v>
      </c>
      <c r="C131" s="64" t="s">
        <v>71</v>
      </c>
      <c r="D131" s="64" t="s">
        <v>50</v>
      </c>
      <c r="E131" s="440" t="s">
        <v>2515</v>
      </c>
      <c r="F131" s="247" t="s">
        <v>428</v>
      </c>
      <c r="G131" s="64" t="s">
        <v>422</v>
      </c>
      <c r="H131" s="247" t="s">
        <v>602</v>
      </c>
      <c r="I131" s="247">
        <v>14</v>
      </c>
      <c r="J131" s="82">
        <v>526</v>
      </c>
      <c r="K131" s="427">
        <f>=I131*J131</f>
        <v>7364</v>
      </c>
      <c r="L131" s="82">
        <v>520</v>
      </c>
      <c r="M131" s="428">
        <f>=I131*L131</f>
        <v>7280</v>
      </c>
      <c r="N131" s="82">
        <f>=K131-M131</f>
        <v>84</v>
      </c>
      <c r="O131" s="64">
        <v>0</v>
      </c>
      <c r="P131" s="64">
        <f>=I131*O131*ROUNDUP((A131-B131)/30,0)</f>
        <v>0</v>
      </c>
      <c r="Q131" s="76" t="s"/>
      <c r="R131" s="62" t="s"/>
    </row>
    <row r="132" spans="1:18" ht="15.75" customHeight="true">
      <c r="A132" s="80">
        <v>45763</v>
      </c>
      <c r="B132" s="426">
        <v>45737</v>
      </c>
      <c r="C132" s="64" t="s">
        <v>51</v>
      </c>
      <c r="D132" s="64" t="s">
        <v>50</v>
      </c>
      <c r="E132" s="80" t="s">
        <v>2516</v>
      </c>
      <c r="F132" s="247" t="s">
        <v>428</v>
      </c>
      <c r="G132" s="64" t="s">
        <v>422</v>
      </c>
      <c r="H132" s="64" t="s">
        <v>2407</v>
      </c>
      <c r="I132" s="64">
        <v>6</v>
      </c>
      <c r="J132" s="82">
        <v>7079</v>
      </c>
      <c r="K132" s="427">
        <f>=I132*J132</f>
        <v>42474</v>
      </c>
      <c r="L132" s="82">
        <v>7021</v>
      </c>
      <c r="M132" s="428">
        <f>=I132*L132</f>
        <v>42126</v>
      </c>
      <c r="N132" s="82">
        <f>=K132-M132</f>
        <v>348</v>
      </c>
      <c r="O132" s="64">
        <v>0</v>
      </c>
      <c r="P132" s="64">
        <f>=I132*O132*ROUNDUP((A132-B132)/30,0)</f>
        <v>0</v>
      </c>
      <c r="Q132" s="76" t="s"/>
      <c r="R132" s="62" t="s"/>
    </row>
    <row r="133" spans="1:18" ht="15.75" customHeight="true">
      <c r="A133" s="80">
        <v>45763</v>
      </c>
      <c r="B133" s="426">
        <v>45737</v>
      </c>
      <c r="C133" s="64" t="s">
        <v>51</v>
      </c>
      <c r="D133" s="64" t="s">
        <v>50</v>
      </c>
      <c r="E133" s="94" t="s">
        <v>2517</v>
      </c>
      <c r="F133" s="247" t="s">
        <v>428</v>
      </c>
      <c r="G133" s="64" t="s">
        <v>422</v>
      </c>
      <c r="H133" s="64" t="s">
        <v>2475</v>
      </c>
      <c r="I133" s="64">
        <v>25</v>
      </c>
      <c r="J133" s="82">
        <v>1881</v>
      </c>
      <c r="K133" s="427">
        <f>=I133*J133</f>
        <v>47025</v>
      </c>
      <c r="L133" s="82">
        <v>1865.5</v>
      </c>
      <c r="M133" s="428">
        <f>=I133*L133</f>
        <v>46637.5</v>
      </c>
      <c r="N133" s="82">
        <f>=K133-M133</f>
        <v>387.5</v>
      </c>
      <c r="O133" s="64">
        <v>0</v>
      </c>
      <c r="P133" s="64">
        <f>=I133*O133*ROUNDUP((A133-B133)/30,0)</f>
        <v>0</v>
      </c>
      <c r="Q133" s="76" t="s"/>
      <c r="R133" s="62" t="s"/>
    </row>
    <row r="134" spans="1:18" ht="15.75" customHeight="true">
      <c r="A134" s="80">
        <v>45763</v>
      </c>
      <c r="B134" s="426">
        <v>45737</v>
      </c>
      <c r="C134" s="64" t="s">
        <v>51</v>
      </c>
      <c r="D134" s="64" t="s">
        <v>50</v>
      </c>
      <c r="E134" s="94" t="s">
        <v>2518</v>
      </c>
      <c r="F134" s="247" t="s">
        <v>428</v>
      </c>
      <c r="G134" s="64" t="s">
        <v>422</v>
      </c>
      <c r="H134" s="64" t="s">
        <v>2411</v>
      </c>
      <c r="I134" s="64">
        <v>35</v>
      </c>
      <c r="J134" s="82">
        <v>1884</v>
      </c>
      <c r="K134" s="427">
        <f>=I134*J134</f>
        <v>65940</v>
      </c>
      <c r="L134" s="82">
        <v>1869</v>
      </c>
      <c r="M134" s="428">
        <f>=I134*L134</f>
        <v>65415</v>
      </c>
      <c r="N134" s="82">
        <f>=K134-M134</f>
        <v>525</v>
      </c>
      <c r="O134" s="64">
        <v>0</v>
      </c>
      <c r="P134" s="64">
        <f>=I134*O134*ROUNDUP((A134-B134)/30,0)</f>
        <v>0</v>
      </c>
      <c r="Q134" s="76" t="s"/>
      <c r="R134" s="62" t="s"/>
    </row>
    <row r="135" spans="1:18" ht="15.75" customHeight="true">
      <c r="A135" s="80">
        <v>45763</v>
      </c>
      <c r="B135" s="426">
        <v>45737</v>
      </c>
      <c r="C135" s="64" t="s">
        <v>51</v>
      </c>
      <c r="D135" s="64" t="s">
        <v>50</v>
      </c>
      <c r="E135" s="94" t="s">
        <v>2519</v>
      </c>
      <c r="F135" s="247" t="s">
        <v>428</v>
      </c>
      <c r="G135" s="64" t="s">
        <v>449</v>
      </c>
      <c r="H135" s="197" t="s">
        <v>2443</v>
      </c>
      <c r="I135" s="64">
        <v>10</v>
      </c>
      <c r="J135" s="82">
        <v>800</v>
      </c>
      <c r="K135" s="427">
        <f>=I135*J135</f>
        <v>8000</v>
      </c>
      <c r="L135" s="82">
        <v>793.1</v>
      </c>
      <c r="M135" s="428">
        <f>=I135*L135</f>
        <v>7931</v>
      </c>
      <c r="N135" s="82">
        <f>=K135-M135</f>
        <v>69</v>
      </c>
      <c r="O135" s="64">
        <v>0</v>
      </c>
      <c r="P135" s="64">
        <f>=I135*O135*ROUNDUP((A135-B135)/30,0)</f>
        <v>0</v>
      </c>
      <c r="Q135" s="76" t="s"/>
      <c r="R135" s="62" t="s"/>
    </row>
    <row r="136" spans="1:18" ht="15.75" customHeight="true">
      <c r="A136" s="80">
        <v>45763</v>
      </c>
      <c r="B136" s="426">
        <v>45737</v>
      </c>
      <c r="C136" s="64" t="s">
        <v>51</v>
      </c>
      <c r="D136" s="64" t="s">
        <v>50</v>
      </c>
      <c r="E136" s="94" t="s">
        <v>2520</v>
      </c>
      <c r="F136" s="247" t="s">
        <v>428</v>
      </c>
      <c r="G136" s="64" t="s">
        <v>449</v>
      </c>
      <c r="H136" s="197" t="s">
        <v>2441</v>
      </c>
      <c r="I136" s="64">
        <v>10</v>
      </c>
      <c r="J136" s="82">
        <v>797</v>
      </c>
      <c r="K136" s="427">
        <f>=I136*J136</f>
        <v>7970</v>
      </c>
      <c r="L136" s="82">
        <v>791</v>
      </c>
      <c r="M136" s="428">
        <f>=I136*L136</f>
        <v>7910</v>
      </c>
      <c r="N136" s="82">
        <f>=K136-M136</f>
        <v>60</v>
      </c>
      <c r="O136" s="64">
        <v>0</v>
      </c>
      <c r="P136" s="64">
        <f>=I136*O136*ROUNDUP((A136-B136)/30,0)</f>
        <v>0</v>
      </c>
      <c r="Q136" s="76" t="s"/>
      <c r="R136" s="62" t="s"/>
    </row>
    <row r="137" spans="1:18" ht="15.75" customHeight="true">
      <c r="A137" s="348">
        <v>45958</v>
      </c>
      <c r="B137" s="426">
        <v>45929</v>
      </c>
      <c r="C137" s="64" t="s">
        <v>76</v>
      </c>
      <c r="D137" s="64" t="s">
        <v>52</v>
      </c>
      <c r="E137" s="94" t="s">
        <v>2521</v>
      </c>
      <c r="F137" s="247" t="s">
        <v>428</v>
      </c>
      <c r="G137" s="64" t="s">
        <v>422</v>
      </c>
      <c r="H137" s="64" t="s">
        <v>493</v>
      </c>
      <c r="I137" s="64">
        <v>65</v>
      </c>
      <c r="J137" s="82">
        <v>1759</v>
      </c>
      <c r="K137" s="427">
        <f>=I137*J137</f>
        <v>114335</v>
      </c>
      <c r="L137" s="82">
        <v>1744</v>
      </c>
      <c r="M137" s="428">
        <f>=I137*L137</f>
        <v>113360</v>
      </c>
      <c r="N137" s="82">
        <f>=K137-M137</f>
        <v>975</v>
      </c>
      <c r="O137" s="64">
        <v>0</v>
      </c>
      <c r="P137" s="64">
        <f>=I137*O137*ROUNDUP((A137-B137)/30,0)</f>
        <v>0</v>
      </c>
      <c r="Q137" s="76" t="s"/>
      <c r="R137" s="62" t="s"/>
    </row>
    <row r="138" spans="1:18" ht="15.75" customHeight="true">
      <c r="A138" s="348">
        <v>45958</v>
      </c>
      <c r="B138" s="426">
        <v>45929</v>
      </c>
      <c r="C138" s="64" t="s">
        <v>76</v>
      </c>
      <c r="D138" s="64" t="s">
        <v>52</v>
      </c>
      <c r="E138" s="94" t="s">
        <v>2522</v>
      </c>
      <c r="F138" s="247" t="s">
        <v>428</v>
      </c>
      <c r="G138" s="64" t="s">
        <v>422</v>
      </c>
      <c r="H138" s="64" t="s">
        <v>660</v>
      </c>
      <c r="I138" s="64">
        <v>70</v>
      </c>
      <c r="J138" s="82">
        <v>1509</v>
      </c>
      <c r="K138" s="427">
        <f>=I138*J138</f>
        <v>105630</v>
      </c>
      <c r="L138" s="82">
        <v>1496</v>
      </c>
      <c r="M138" s="428">
        <f>=I138*L138</f>
        <v>104720</v>
      </c>
      <c r="N138" s="82">
        <f>=K138-M138</f>
        <v>910</v>
      </c>
      <c r="O138" s="64">
        <v>0</v>
      </c>
      <c r="P138" s="64">
        <f>=I138*O138*ROUNDUP((A138-B138)/30,0)</f>
        <v>0</v>
      </c>
      <c r="Q138" s="76" t="s"/>
      <c r="R138" s="62" t="s"/>
    </row>
    <row r="139" spans="1:18" ht="15.75" customHeight="true">
      <c r="A139" s="348">
        <v>45967</v>
      </c>
      <c r="B139" s="441">
        <v>45961</v>
      </c>
      <c r="C139" s="194" t="s">
        <v>83</v>
      </c>
      <c r="D139" s="64" t="s">
        <v>84</v>
      </c>
      <c r="E139" s="194" t="s"/>
      <c r="F139" s="94" t="s">
        <v>671</v>
      </c>
      <c r="G139" s="194" t="s">
        <v>470</v>
      </c>
      <c r="H139" s="194" t="s">
        <v>672</v>
      </c>
      <c r="I139" s="194">
        <v>100</v>
      </c>
      <c r="J139" s="82">
        <v>7167.54</v>
      </c>
      <c r="K139" s="427">
        <f>=I139*J139</f>
        <v>716754</v>
      </c>
      <c r="L139" s="443">
        <v>7156.8</v>
      </c>
      <c r="M139" s="428">
        <f>=I139*L139</f>
        <v>715680</v>
      </c>
      <c r="N139" s="82">
        <f>=K139-M139</f>
        <v>1074</v>
      </c>
      <c r="O139" s="64">
        <v>0</v>
      </c>
      <c r="P139" s="64">
        <f>=I139*O139*ROUNDUP((A139-B139)/30,0)</f>
        <v>0</v>
      </c>
      <c r="Q139" s="76" t="s"/>
      <c r="R139" s="444" t="s"/>
    </row>
    <row r="140" spans="1:18" ht="15.75" customHeight="true">
      <c r="A140" s="348">
        <v>45974</v>
      </c>
      <c r="B140" s="426">
        <v>45881</v>
      </c>
      <c r="C140" s="64" t="s">
        <v>71</v>
      </c>
      <c r="D140" s="64" t="s">
        <v>50</v>
      </c>
      <c r="E140" s="94" t="s">
        <v>2523</v>
      </c>
      <c r="F140" s="247" t="s">
        <v>428</v>
      </c>
      <c r="G140" s="64" t="s">
        <v>422</v>
      </c>
      <c r="H140" s="247" t="s">
        <v>625</v>
      </c>
      <c r="I140" s="247">
        <v>4</v>
      </c>
      <c r="J140" s="82">
        <v>9872</v>
      </c>
      <c r="K140" s="427">
        <f>=I140*J140</f>
        <v>39488</v>
      </c>
      <c r="L140" s="82">
        <v>9600</v>
      </c>
      <c r="M140" s="428">
        <f>=I140*L140</f>
        <v>38400</v>
      </c>
      <c r="N140" s="82">
        <f>=K140-M140</f>
        <v>1088</v>
      </c>
      <c r="O140" s="64">
        <v>0</v>
      </c>
      <c r="P140" s="64">
        <f>=I140*O140*ROUNDUP((A140-B140)/30,0)</f>
        <v>0</v>
      </c>
      <c r="Q140" s="76" t="s"/>
      <c r="R140" s="62" t="s"/>
    </row>
    <row r="141" spans="1:18" ht="15.75" customHeight="true">
      <c r="A141" s="348">
        <v>45974</v>
      </c>
      <c r="B141" s="426">
        <v>45881</v>
      </c>
      <c r="C141" s="64" t="s">
        <v>71</v>
      </c>
      <c r="D141" s="64" t="s">
        <v>50</v>
      </c>
      <c r="E141" s="94" t="s">
        <v>2524</v>
      </c>
      <c r="F141" s="247" t="s">
        <v>428</v>
      </c>
      <c r="G141" s="64" t="s">
        <v>422</v>
      </c>
      <c r="H141" s="247" t="s">
        <v>627</v>
      </c>
      <c r="I141" s="247">
        <v>2</v>
      </c>
      <c r="J141" s="82">
        <v>10694</v>
      </c>
      <c r="K141" s="427">
        <f>=I141*J141</f>
        <v>21388</v>
      </c>
      <c r="L141" s="82">
        <v>10400</v>
      </c>
      <c r="M141" s="428">
        <f>=I141*L141</f>
        <v>20800</v>
      </c>
      <c r="N141" s="82">
        <f>=K141-M141</f>
        <v>588</v>
      </c>
      <c r="O141" s="64">
        <v>0</v>
      </c>
      <c r="P141" s="64">
        <f>=I141*O141*ROUNDUP((A141-B141)/30,0)</f>
        <v>0</v>
      </c>
      <c r="Q141" s="76" t="s"/>
      <c r="R141" s="62" t="s"/>
    </row>
    <row r="142" spans="1:18" ht="15.75" customHeight="true">
      <c r="A142" s="348">
        <v>45975</v>
      </c>
      <c r="B142" s="441">
        <v>45961</v>
      </c>
      <c r="C142" s="194" t="s">
        <v>83</v>
      </c>
      <c r="D142" s="64" t="s">
        <v>84</v>
      </c>
      <c r="E142" s="194" t="s"/>
      <c r="F142" s="94" t="s">
        <v>671</v>
      </c>
      <c r="G142" s="194" t="s">
        <v>470</v>
      </c>
      <c r="H142" s="194" t="s">
        <v>672</v>
      </c>
      <c r="I142" s="194">
        <v>100</v>
      </c>
      <c r="J142" s="82">
        <v>7181.85</v>
      </c>
      <c r="K142" s="427">
        <f>=I142*J142</f>
        <v>718185</v>
      </c>
      <c r="L142" s="443">
        <v>7156.8</v>
      </c>
      <c r="M142" s="428">
        <f>=I142*L142</f>
        <v>715680</v>
      </c>
      <c r="N142" s="82">
        <f>=K142-M142</f>
        <v>2505</v>
      </c>
      <c r="O142" s="64">
        <v>0</v>
      </c>
      <c r="P142" s="64">
        <f>=I142*O142*ROUNDUP((A142-B142)/30,0)</f>
        <v>0</v>
      </c>
      <c r="Q142" s="76" t="s"/>
      <c r="R142" s="444" t="s"/>
    </row>
    <row r="143" spans="1:18" ht="15.75" customHeight="true">
      <c r="A143" s="80">
        <v>45763</v>
      </c>
      <c r="B143" s="426">
        <v>45737</v>
      </c>
      <c r="C143" s="64" t="s">
        <v>51</v>
      </c>
      <c r="D143" s="64" t="s">
        <v>50</v>
      </c>
      <c r="E143" s="94" t="s">
        <v>2525</v>
      </c>
      <c r="F143" s="247" t="s">
        <v>428</v>
      </c>
      <c r="G143" s="64" t="s">
        <v>449</v>
      </c>
      <c r="H143" s="197" t="s">
        <v>2463</v>
      </c>
      <c r="I143" s="64">
        <v>15</v>
      </c>
      <c r="J143" s="82">
        <v>889</v>
      </c>
      <c r="K143" s="427">
        <f>=I143*J143</f>
        <v>13335</v>
      </c>
      <c r="L143" s="82">
        <v>882</v>
      </c>
      <c r="M143" s="428">
        <f>=I143*L143</f>
        <v>13230</v>
      </c>
      <c r="N143" s="82">
        <f>=K143-M143</f>
        <v>105</v>
      </c>
      <c r="O143" s="64">
        <v>0</v>
      </c>
      <c r="P143" s="64">
        <f>=I143*O143*ROUNDUP((A143-B143)/30,0)</f>
        <v>0</v>
      </c>
      <c r="Q143" s="76" t="s"/>
      <c r="R143" s="62" t="s"/>
    </row>
    <row r="144" spans="1:18" ht="15.75" customHeight="true">
      <c r="A144" s="80">
        <v>45986</v>
      </c>
      <c r="B144" s="426">
        <v>45737</v>
      </c>
      <c r="C144" s="64" t="s">
        <v>51</v>
      </c>
      <c r="D144" s="64" t="s">
        <v>50</v>
      </c>
      <c r="E144" s="94" t="s">
        <v>2526</v>
      </c>
      <c r="F144" s="247" t="s">
        <v>428</v>
      </c>
      <c r="G144" s="64" t="s">
        <v>422</v>
      </c>
      <c r="H144" s="247" t="s">
        <v>2461</v>
      </c>
      <c r="I144" s="247">
        <v>5</v>
      </c>
      <c r="J144" s="82">
        <v>3712</v>
      </c>
      <c r="K144" s="427">
        <f>=I144*J144</f>
        <v>18560</v>
      </c>
      <c r="L144" s="82">
        <v>3451</v>
      </c>
      <c r="M144" s="428">
        <f>=I144*L144</f>
        <v>17255</v>
      </c>
      <c r="N144" s="82">
        <f>=K144-M144</f>
        <v>1305</v>
      </c>
      <c r="O144" s="64">
        <v>0</v>
      </c>
      <c r="P144" s="64">
        <f>=I144*O144*ROUNDUP((A144-B144)/30,0)</f>
        <v>0</v>
      </c>
      <c r="Q144" s="76" t="s"/>
      <c r="R144" s="62" t="s"/>
    </row>
    <row r="145" spans="1:18" ht="15.75" customHeight="true">
      <c r="A145" s="348">
        <v>45986</v>
      </c>
      <c r="B145" s="426">
        <v>45881</v>
      </c>
      <c r="C145" s="64" t="s">
        <v>71</v>
      </c>
      <c r="D145" s="64" t="s">
        <v>50</v>
      </c>
      <c r="E145" s="94" t="s">
        <v>2527</v>
      </c>
      <c r="F145" s="247" t="s">
        <v>428</v>
      </c>
      <c r="G145" s="64" t="s">
        <v>422</v>
      </c>
      <c r="H145" s="247" t="s">
        <v>623</v>
      </c>
      <c r="I145" s="247">
        <v>5</v>
      </c>
      <c r="J145" s="82">
        <v>7331</v>
      </c>
      <c r="K145" s="427">
        <f>=I145*J145</f>
        <v>36655</v>
      </c>
      <c r="L145" s="82">
        <v>7104</v>
      </c>
      <c r="M145" s="428">
        <f>=I145*L145</f>
        <v>35520</v>
      </c>
      <c r="N145" s="82">
        <f>=K145-M145</f>
        <v>1135</v>
      </c>
      <c r="O145" s="64">
        <v>0</v>
      </c>
      <c r="P145" s="64">
        <f>=I145*O145*ROUNDUP((A145-B145)/30,0)</f>
        <v>0</v>
      </c>
      <c r="Q145" s="76" t="s"/>
      <c r="R145" s="62" t="s"/>
    </row>
    <row r="146" spans="1:18" ht="15.75" customHeight="true">
      <c r="A146" s="348">
        <v>45987</v>
      </c>
      <c r="B146" s="441">
        <v>45961</v>
      </c>
      <c r="C146" s="194" t="s">
        <v>83</v>
      </c>
      <c r="D146" s="64" t="s">
        <v>84</v>
      </c>
      <c r="E146" s="194" t="s"/>
      <c r="F146" s="94" t="s">
        <v>671</v>
      </c>
      <c r="G146" s="194" t="s">
        <v>470</v>
      </c>
      <c r="H146" s="194" t="s">
        <v>672</v>
      </c>
      <c r="I146" s="194">
        <v>100</v>
      </c>
      <c r="J146" s="82">
        <v>7203.32</v>
      </c>
      <c r="K146" s="427">
        <f>=I146*J146</f>
        <v>720332</v>
      </c>
      <c r="L146" s="443">
        <v>7156.8</v>
      </c>
      <c r="M146" s="428">
        <f>=I146*L146</f>
        <v>715680</v>
      </c>
      <c r="N146" s="82">
        <f>=K146-M146</f>
        <v>4652</v>
      </c>
      <c r="O146" s="64">
        <v>0</v>
      </c>
      <c r="P146" s="64">
        <f>=I146*O146*ROUNDUP((A146-B146)/30,0)</f>
        <v>0</v>
      </c>
      <c r="Q146" s="76" t="s"/>
      <c r="R146" s="444" t="s"/>
    </row>
    <row r="147" spans="1:18" ht="15.75" customHeight="true">
      <c r="A147" s="348">
        <v>45990</v>
      </c>
      <c r="B147" s="441">
        <v>45961</v>
      </c>
      <c r="C147" s="194" t="s">
        <v>83</v>
      </c>
      <c r="D147" s="64" t="s">
        <v>84</v>
      </c>
      <c r="E147" s="194" t="s"/>
      <c r="F147" s="94" t="s">
        <v>671</v>
      </c>
      <c r="G147" s="194" t="s">
        <v>470</v>
      </c>
      <c r="H147" s="194" t="s">
        <v>672</v>
      </c>
      <c r="I147" s="194">
        <v>100</v>
      </c>
      <c r="J147" s="82">
        <v>7208.69</v>
      </c>
      <c r="K147" s="427">
        <f>=I147*J147</f>
        <v>720869</v>
      </c>
      <c r="L147" s="443">
        <v>7156.8</v>
      </c>
      <c r="M147" s="428">
        <f>=I147*L147</f>
        <v>715680</v>
      </c>
      <c r="N147" s="82">
        <f>=K147-M147</f>
        <v>5189</v>
      </c>
      <c r="O147" s="64">
        <v>0</v>
      </c>
      <c r="P147" s="64">
        <f>=I147*O147*ROUNDUP((A147-B147)/30,0)</f>
        <v>0</v>
      </c>
      <c r="Q147" s="76" t="s"/>
      <c r="R147" s="444" t="s"/>
    </row>
    <row r="148" spans="1:18" ht="15.75" customHeight="true">
      <c r="A148" s="348">
        <v>45995</v>
      </c>
      <c r="B148" s="426">
        <v>45865</v>
      </c>
      <c r="C148" s="64" t="s">
        <v>69</v>
      </c>
      <c r="D148" s="64" t="s">
        <v>52</v>
      </c>
      <c r="E148" s="94" t="s">
        <v>2528</v>
      </c>
      <c r="F148" s="247" t="s">
        <v>428</v>
      </c>
      <c r="G148" s="64" t="s">
        <v>470</v>
      </c>
      <c r="H148" s="64" t="s">
        <v>575</v>
      </c>
      <c r="I148" s="64">
        <v>2</v>
      </c>
      <c r="J148" s="82">
        <v>8563</v>
      </c>
      <c r="K148" s="427">
        <f>=I148*J148</f>
        <v>17126</v>
      </c>
      <c r="L148" s="82">
        <v>8240</v>
      </c>
      <c r="M148" s="428">
        <f>=I148*L148</f>
        <v>16480</v>
      </c>
      <c r="N148" s="82">
        <f>=K148-M148</f>
        <v>646</v>
      </c>
      <c r="O148" s="64">
        <v>0</v>
      </c>
      <c r="P148" s="64">
        <f>=I148*O148*ROUNDUP((A148-B148)/30,0)</f>
        <v>0</v>
      </c>
      <c r="Q148" s="76" t="s"/>
      <c r="R148" s="62" t="s"/>
    </row>
    <row r="149" spans="1:18" ht="15.75" customHeight="true">
      <c r="A149" s="348">
        <v>45995</v>
      </c>
      <c r="B149" s="426">
        <v>45865</v>
      </c>
      <c r="C149" s="64" t="s">
        <v>69</v>
      </c>
      <c r="D149" s="64" t="s">
        <v>52</v>
      </c>
      <c r="E149" s="94" t="s">
        <v>2529</v>
      </c>
      <c r="F149" s="247" t="s">
        <v>428</v>
      </c>
      <c r="G149" s="64" t="s">
        <v>470</v>
      </c>
      <c r="H149" s="64" t="s">
        <v>521</v>
      </c>
      <c r="I149" s="64">
        <v>1</v>
      </c>
      <c r="J149" s="82">
        <v>4196</v>
      </c>
      <c r="K149" s="427">
        <f>=I149*J149</f>
        <v>4196</v>
      </c>
      <c r="L149" s="82">
        <v>4038</v>
      </c>
      <c r="M149" s="428">
        <f>=I149*L149</f>
        <v>4038</v>
      </c>
      <c r="N149" s="82">
        <f>=K149-M149</f>
        <v>158</v>
      </c>
      <c r="O149" s="64">
        <v>0</v>
      </c>
      <c r="P149" s="64">
        <f>=I149*O149*ROUNDUP((A149-B149)/30,0)</f>
        <v>0</v>
      </c>
      <c r="Q149" s="76" t="s"/>
      <c r="R149" s="62" t="s"/>
    </row>
    <row r="150" spans="1:18" ht="15.75" customHeight="true">
      <c r="A150" s="348">
        <v>45995</v>
      </c>
      <c r="B150" s="426">
        <v>45865</v>
      </c>
      <c r="C150" s="64" t="s">
        <v>69</v>
      </c>
      <c r="D150" s="64" t="s">
        <v>52</v>
      </c>
      <c r="E150" s="94" t="s">
        <v>2530</v>
      </c>
      <c r="F150" s="247" t="s">
        <v>428</v>
      </c>
      <c r="G150" s="64" t="s">
        <v>470</v>
      </c>
      <c r="H150" s="64" t="s">
        <v>570</v>
      </c>
      <c r="I150" s="64">
        <v>2</v>
      </c>
      <c r="J150" s="82">
        <v>4967</v>
      </c>
      <c r="K150" s="427">
        <f>=I150*J150</f>
        <v>9934</v>
      </c>
      <c r="L150" s="82">
        <v>4779</v>
      </c>
      <c r="M150" s="428">
        <f>=I150*L150</f>
        <v>9558</v>
      </c>
      <c r="N150" s="82">
        <f>=K150-M150</f>
        <v>376</v>
      </c>
      <c r="O150" s="64">
        <v>0</v>
      </c>
      <c r="P150" s="64">
        <f>=I150*O150*ROUNDUP((A150-B150)/30,0)</f>
        <v>0</v>
      </c>
      <c r="Q150" s="76" t="s"/>
      <c r="R150" s="62" t="s"/>
    </row>
    <row r="151" spans="1:18" ht="15.75" customHeight="true">
      <c r="A151" s="348">
        <v>45995</v>
      </c>
      <c r="B151" s="426">
        <v>45865</v>
      </c>
      <c r="C151" s="64" t="s">
        <v>69</v>
      </c>
      <c r="D151" s="64" t="s">
        <v>52</v>
      </c>
      <c r="E151" s="94" t="s">
        <v>2531</v>
      </c>
      <c r="F151" s="247" t="s">
        <v>428</v>
      </c>
      <c r="G151" s="64" t="s">
        <v>470</v>
      </c>
      <c r="H151" s="64" t="s">
        <v>523</v>
      </c>
      <c r="I151" s="64">
        <v>2</v>
      </c>
      <c r="J151" s="82">
        <v>4967</v>
      </c>
      <c r="K151" s="427">
        <f>=I151*J151</f>
        <v>9934</v>
      </c>
      <c r="L151" s="82">
        <v>4779</v>
      </c>
      <c r="M151" s="428">
        <f>=I151*L151</f>
        <v>9558</v>
      </c>
      <c r="N151" s="82">
        <f>=K151-M151</f>
        <v>376</v>
      </c>
      <c r="O151" s="64">
        <v>0</v>
      </c>
      <c r="P151" s="64">
        <f>=I151*O151*ROUNDUP((A151-B151)/30,0)</f>
        <v>0</v>
      </c>
      <c r="Q151" s="76" t="s"/>
      <c r="R151" s="62" t="s"/>
    </row>
    <row r="152" spans="1:18" ht="15.75" customHeight="true">
      <c r="A152" s="348">
        <v>45996</v>
      </c>
      <c r="B152" s="441">
        <v>45994</v>
      </c>
      <c r="C152" s="194" t="s">
        <v>92</v>
      </c>
      <c r="D152" s="64" t="s">
        <v>84</v>
      </c>
      <c r="E152" s="445" t="s">
        <v>2532</v>
      </c>
      <c r="F152" s="94" t="s">
        <v>671</v>
      </c>
      <c r="G152" s="194" t="s">
        <v>470</v>
      </c>
      <c r="H152" s="446" t="s">
        <v>739</v>
      </c>
      <c r="I152" s="194">
        <v>100</v>
      </c>
      <c r="J152" s="82">
        <v>5842.92</v>
      </c>
      <c r="K152" s="427">
        <f>=I152*J152</f>
        <v>584292</v>
      </c>
      <c r="L152" s="443">
        <v>5840</v>
      </c>
      <c r="M152" s="428">
        <f>=I152*L152</f>
        <v>584000</v>
      </c>
      <c r="N152" s="82">
        <f>=K152-M152</f>
        <v>292</v>
      </c>
      <c r="O152" s="64">
        <v>0</v>
      </c>
      <c r="P152" s="64">
        <f>=I152*O152*ROUNDUP((A152-B152)/30,0)</f>
        <v>0</v>
      </c>
      <c r="Q152" s="76" t="s"/>
      <c r="R152" s="444" t="s"/>
    </row>
    <row r="153" spans="1:18" ht="15.75" customHeight="true">
      <c r="A153" s="348">
        <v>45998</v>
      </c>
      <c r="B153" s="426">
        <v>45865</v>
      </c>
      <c r="C153" s="64" t="s">
        <v>69</v>
      </c>
      <c r="D153" s="64" t="s">
        <v>52</v>
      </c>
      <c r="E153" s="94" t="s">
        <v>2533</v>
      </c>
      <c r="F153" s="247" t="s">
        <v>428</v>
      </c>
      <c r="G153" s="64" t="s">
        <v>449</v>
      </c>
      <c r="H153" s="64" t="s">
        <v>537</v>
      </c>
      <c r="I153" s="64">
        <v>3</v>
      </c>
      <c r="J153" s="82">
        <v>2143</v>
      </c>
      <c r="K153" s="427">
        <f>=I153*J153</f>
        <v>6429</v>
      </c>
      <c r="L153" s="82">
        <v>2060</v>
      </c>
      <c r="M153" s="428">
        <f>=I153*L153</f>
        <v>6180</v>
      </c>
      <c r="N153" s="82">
        <f>=K153-M153</f>
        <v>249</v>
      </c>
      <c r="O153" s="64">
        <v>0</v>
      </c>
      <c r="P153" s="64">
        <f>=I153*O153*ROUNDUP((A153-B153)/30,0)</f>
        <v>0</v>
      </c>
      <c r="Q153" s="76" t="s"/>
      <c r="R153" s="62" t="s"/>
    </row>
    <row r="154" spans="1:18" ht="15.75" customHeight="true">
      <c r="A154" s="348">
        <v>45998</v>
      </c>
      <c r="B154" s="426">
        <v>45865</v>
      </c>
      <c r="C154" s="64" t="s">
        <v>69</v>
      </c>
      <c r="D154" s="64" t="s">
        <v>52</v>
      </c>
      <c r="E154" s="94" t="s">
        <v>2534</v>
      </c>
      <c r="F154" s="247" t="s">
        <v>428</v>
      </c>
      <c r="G154" s="64" t="s">
        <v>449</v>
      </c>
      <c r="H154" s="64" t="s">
        <v>535</v>
      </c>
      <c r="I154" s="64">
        <v>5</v>
      </c>
      <c r="J154" s="82">
        <v>2487</v>
      </c>
      <c r="K154" s="427">
        <f>=I154*J154</f>
        <v>12435</v>
      </c>
      <c r="L154" s="82">
        <v>2390</v>
      </c>
      <c r="M154" s="428">
        <f>=I154*L154</f>
        <v>11950</v>
      </c>
      <c r="N154" s="82">
        <f>=K154-M154</f>
        <v>485</v>
      </c>
      <c r="O154" s="64">
        <v>0</v>
      </c>
      <c r="P154" s="64">
        <f>=I154*O154*ROUNDUP((A154-B154)/30,0)</f>
        <v>0</v>
      </c>
      <c r="Q154" s="76" t="s"/>
      <c r="R154" s="62" t="s"/>
    </row>
    <row r="155" spans="1:18" ht="15.75" customHeight="true">
      <c r="A155" s="348">
        <v>45998</v>
      </c>
      <c r="B155" s="426">
        <v>45865</v>
      </c>
      <c r="C155" s="64" t="s">
        <v>69</v>
      </c>
      <c r="D155" s="64" t="s">
        <v>52</v>
      </c>
      <c r="E155" s="94" t="s">
        <v>2535</v>
      </c>
      <c r="F155" s="247" t="s">
        <v>428</v>
      </c>
      <c r="G155" s="64" t="s">
        <v>449</v>
      </c>
      <c r="H155" s="64" t="s">
        <v>533</v>
      </c>
      <c r="I155" s="64">
        <v>2</v>
      </c>
      <c r="J155" s="82">
        <v>2315</v>
      </c>
      <c r="K155" s="427">
        <f>=I155*J155</f>
        <v>4630</v>
      </c>
      <c r="L155" s="82">
        <v>2225</v>
      </c>
      <c r="M155" s="428">
        <f>=I155*L155</f>
        <v>4450</v>
      </c>
      <c r="N155" s="82">
        <f>=K155-M155</f>
        <v>180</v>
      </c>
      <c r="O155" s="64">
        <v>0</v>
      </c>
      <c r="P155" s="64">
        <f>=I155*O155*ROUNDUP((A155-B155)/30,0)</f>
        <v>0</v>
      </c>
      <c r="Q155" s="76" t="s"/>
      <c r="R155" s="62" t="s"/>
    </row>
    <row r="156" spans="1:18" ht="15.75" customHeight="true">
      <c r="A156" s="348">
        <v>45998</v>
      </c>
      <c r="B156" s="426">
        <v>45865</v>
      </c>
      <c r="C156" s="64" t="s">
        <v>69</v>
      </c>
      <c r="D156" s="64" t="s">
        <v>52</v>
      </c>
      <c r="E156" s="94" t="s">
        <v>2536</v>
      </c>
      <c r="F156" s="247" t="s">
        <v>428</v>
      </c>
      <c r="G156" s="64" t="s">
        <v>449</v>
      </c>
      <c r="H156" s="64" t="s">
        <v>531</v>
      </c>
      <c r="I156" s="64">
        <v>1</v>
      </c>
      <c r="J156" s="82">
        <v>1792</v>
      </c>
      <c r="K156" s="427">
        <f>=I156*J156</f>
        <v>1792</v>
      </c>
      <c r="L156" s="82">
        <v>1722</v>
      </c>
      <c r="M156" s="428">
        <f>=I156*L156</f>
        <v>1722</v>
      </c>
      <c r="N156" s="82">
        <f>=K156-M156</f>
        <v>70</v>
      </c>
      <c r="O156" s="64">
        <v>0</v>
      </c>
      <c r="P156" s="64">
        <f>=I156*O156*ROUNDUP((A156-B156)/30,0)</f>
        <v>0</v>
      </c>
      <c r="Q156" s="76" t="s"/>
      <c r="R156" s="62" t="s"/>
    </row>
    <row r="157" spans="1:18" ht="15.75" customHeight="true">
      <c r="A157" s="348">
        <v>45998</v>
      </c>
      <c r="B157" s="426">
        <v>45865</v>
      </c>
      <c r="C157" s="64" t="s">
        <v>69</v>
      </c>
      <c r="D157" s="64" t="s">
        <v>52</v>
      </c>
      <c r="E157" s="94" t="s">
        <v>2537</v>
      </c>
      <c r="F157" s="247" t="s">
        <v>428</v>
      </c>
      <c r="G157" s="64" t="s">
        <v>449</v>
      </c>
      <c r="H157" s="64" t="s">
        <v>529</v>
      </c>
      <c r="I157" s="64">
        <v>1</v>
      </c>
      <c r="J157" s="82">
        <v>1792</v>
      </c>
      <c r="K157" s="427">
        <f>=I157*J157</f>
        <v>1792</v>
      </c>
      <c r="L157" s="82">
        <v>1722</v>
      </c>
      <c r="M157" s="428">
        <f>=I157*L157</f>
        <v>1722</v>
      </c>
      <c r="N157" s="82">
        <f>=K157-M157</f>
        <v>70</v>
      </c>
      <c r="O157" s="64">
        <v>0</v>
      </c>
      <c r="P157" s="64">
        <f>=I157*O157*ROUNDUP((A157-B157)/30,0)</f>
        <v>0</v>
      </c>
      <c r="Q157" s="76" t="s"/>
      <c r="R157" s="62" t="s"/>
    </row>
    <row r="158" spans="1:18" ht="15.75" customHeight="true">
      <c r="A158" s="348">
        <v>45998</v>
      </c>
      <c r="B158" s="426">
        <v>45865</v>
      </c>
      <c r="C158" s="64" t="s">
        <v>69</v>
      </c>
      <c r="D158" s="64" t="s">
        <v>52</v>
      </c>
      <c r="E158" s="94" t="s">
        <v>2538</v>
      </c>
      <c r="F158" s="247" t="s">
        <v>428</v>
      </c>
      <c r="G158" s="64" t="s">
        <v>449</v>
      </c>
      <c r="H158" s="64" t="s">
        <v>527</v>
      </c>
      <c r="I158" s="64">
        <v>8</v>
      </c>
      <c r="J158" s="82">
        <v>2315</v>
      </c>
      <c r="K158" s="427">
        <f>=I158*J158</f>
        <v>18520</v>
      </c>
      <c r="L158" s="82">
        <v>2225</v>
      </c>
      <c r="M158" s="428">
        <f>=I158*L158</f>
        <v>17800</v>
      </c>
      <c r="N158" s="82">
        <f>=K158-M158</f>
        <v>720</v>
      </c>
      <c r="O158" s="64">
        <v>0</v>
      </c>
      <c r="P158" s="64">
        <f>=I158*O158*ROUNDUP((A158-B158)/30,0)</f>
        <v>0</v>
      </c>
      <c r="Q158" s="76" t="s"/>
      <c r="R158" s="62" t="s"/>
    </row>
    <row r="159" spans="1:18" ht="15.75" customHeight="true">
      <c r="A159" s="348">
        <v>45998</v>
      </c>
      <c r="B159" s="426">
        <v>45865</v>
      </c>
      <c r="C159" s="64" t="s">
        <v>69</v>
      </c>
      <c r="D159" s="64" t="s">
        <v>52</v>
      </c>
      <c r="E159" s="94" t="s">
        <v>2539</v>
      </c>
      <c r="F159" s="247" t="s">
        <v>428</v>
      </c>
      <c r="G159" s="64" t="s">
        <v>449</v>
      </c>
      <c r="H159" s="64" t="s">
        <v>525</v>
      </c>
      <c r="I159" s="64">
        <v>5</v>
      </c>
      <c r="J159" s="82">
        <v>1792</v>
      </c>
      <c r="K159" s="427">
        <f>=I159*J159</f>
        <v>8960</v>
      </c>
      <c r="L159" s="82">
        <v>1722</v>
      </c>
      <c r="M159" s="428">
        <f>=I159*L159</f>
        <v>8610</v>
      </c>
      <c r="N159" s="82">
        <f>=K159-M159</f>
        <v>350</v>
      </c>
      <c r="O159" s="64">
        <v>0</v>
      </c>
      <c r="P159" s="64">
        <f>=I159*O159*ROUNDUP((A159-B159)/30,0)</f>
        <v>0</v>
      </c>
      <c r="Q159" s="76" t="s"/>
      <c r="R159" s="62" t="s"/>
    </row>
    <row r="160" spans="1:18" ht="15.75" customHeight="true">
      <c r="A160" s="80">
        <v>45998</v>
      </c>
      <c r="B160" s="426">
        <v>45737</v>
      </c>
      <c r="C160" s="64" t="s">
        <v>51</v>
      </c>
      <c r="D160" s="64" t="s">
        <v>50</v>
      </c>
      <c r="E160" s="94" t="s">
        <v>2540</v>
      </c>
      <c r="F160" s="247" t="s">
        <v>428</v>
      </c>
      <c r="G160" s="64" t="s">
        <v>449</v>
      </c>
      <c r="H160" s="197" t="s">
        <v>2463</v>
      </c>
      <c r="I160" s="247">
        <v>10</v>
      </c>
      <c r="J160" s="82">
        <v>952</v>
      </c>
      <c r="K160" s="427">
        <f>=I160*J160</f>
        <v>9520</v>
      </c>
      <c r="L160" s="82">
        <v>882</v>
      </c>
      <c r="M160" s="428">
        <f>=I160*L160</f>
        <v>8820</v>
      </c>
      <c r="N160" s="82">
        <f>=K160-M160</f>
        <v>700</v>
      </c>
      <c r="O160" s="64">
        <v>0</v>
      </c>
      <c r="P160" s="64">
        <f>=I160*O160*ROUNDUP((A160-B160)/30,0)</f>
        <v>0</v>
      </c>
      <c r="Q160" s="76" t="s"/>
      <c r="R160" s="62" t="s"/>
    </row>
    <row r="161" spans="1:18" ht="15.75" customHeight="true">
      <c r="A161" s="348">
        <v>45998</v>
      </c>
      <c r="B161" s="426">
        <v>45881</v>
      </c>
      <c r="C161" s="64" t="s">
        <v>71</v>
      </c>
      <c r="D161" s="64" t="s">
        <v>50</v>
      </c>
      <c r="E161" s="94" t="s">
        <v>2541</v>
      </c>
      <c r="F161" s="247" t="s">
        <v>428</v>
      </c>
      <c r="G161" s="64" t="s">
        <v>422</v>
      </c>
      <c r="H161" s="247" t="s">
        <v>639</v>
      </c>
      <c r="I161" s="247">
        <v>2</v>
      </c>
      <c r="J161" s="82">
        <v>8368</v>
      </c>
      <c r="K161" s="427">
        <f>=I161*J161</f>
        <v>16736</v>
      </c>
      <c r="L161" s="82">
        <v>8080</v>
      </c>
      <c r="M161" s="428">
        <f>=I161*L161</f>
        <v>16160</v>
      </c>
      <c r="N161" s="82">
        <f>=K161-M161</f>
        <v>576</v>
      </c>
      <c r="O161" s="64">
        <v>0</v>
      </c>
      <c r="P161" s="64">
        <f>=I161*O161*ROUNDUP((A161-B161)/30,0)</f>
        <v>0</v>
      </c>
      <c r="Q161" s="76" t="s"/>
      <c r="R161" s="62" t="s"/>
    </row>
    <row r="162" spans="1:18" ht="15.75" customHeight="true">
      <c r="A162" s="348">
        <v>45998</v>
      </c>
      <c r="B162" s="426">
        <v>45881</v>
      </c>
      <c r="C162" s="64" t="s">
        <v>71</v>
      </c>
      <c r="D162" s="64" t="s">
        <v>50</v>
      </c>
      <c r="E162" s="94" t="s">
        <v>2542</v>
      </c>
      <c r="F162" s="247" t="s">
        <v>428</v>
      </c>
      <c r="G162" s="64" t="s">
        <v>422</v>
      </c>
      <c r="H162" s="247" t="s">
        <v>635</v>
      </c>
      <c r="I162" s="247">
        <v>6</v>
      </c>
      <c r="J162" s="82">
        <v>5468</v>
      </c>
      <c r="K162" s="427">
        <f>=I162*J162</f>
        <v>32808</v>
      </c>
      <c r="L162" s="82">
        <v>5280</v>
      </c>
      <c r="M162" s="428">
        <f>=I162*L162</f>
        <v>31680</v>
      </c>
      <c r="N162" s="82">
        <f>=K162-M162</f>
        <v>1128</v>
      </c>
      <c r="O162" s="64">
        <v>0</v>
      </c>
      <c r="P162" s="64">
        <f>=I162*O162*ROUNDUP((A162-B162)/30,0)</f>
        <v>0</v>
      </c>
      <c r="Q162" s="76" t="s"/>
      <c r="R162" s="62" t="s"/>
    </row>
    <row r="163" spans="1:18" ht="15.75" customHeight="true">
      <c r="A163" s="348">
        <v>45998</v>
      </c>
      <c r="B163" s="426">
        <v>45881</v>
      </c>
      <c r="C163" s="64" t="s">
        <v>71</v>
      </c>
      <c r="D163" s="64" t="s">
        <v>50</v>
      </c>
      <c r="E163" s="94" t="s">
        <v>2543</v>
      </c>
      <c r="F163" s="247" t="s">
        <v>428</v>
      </c>
      <c r="G163" s="64" t="s">
        <v>422</v>
      </c>
      <c r="H163" s="247" t="s">
        <v>497</v>
      </c>
      <c r="I163" s="247">
        <v>6</v>
      </c>
      <c r="J163" s="82">
        <v>5468</v>
      </c>
      <c r="K163" s="427">
        <f>=I163*J163</f>
        <v>32808</v>
      </c>
      <c r="L163" s="82">
        <v>5280</v>
      </c>
      <c r="M163" s="428">
        <f>=I163*L163</f>
        <v>31680</v>
      </c>
      <c r="N163" s="82">
        <f>=K163-M163</f>
        <v>1128</v>
      </c>
      <c r="O163" s="64">
        <v>0</v>
      </c>
      <c r="P163" s="64">
        <f>=I163*O163*ROUNDUP((A163-B163)/30,0)</f>
        <v>0</v>
      </c>
      <c r="Q163" s="76" t="s"/>
      <c r="R163" s="62" t="s"/>
    </row>
    <row r="164" spans="1:18" ht="15.75" customHeight="true">
      <c r="A164" s="348">
        <v>45998</v>
      </c>
      <c r="B164" s="426">
        <v>45881</v>
      </c>
      <c r="C164" s="64" t="s">
        <v>71</v>
      </c>
      <c r="D164" s="64" t="s">
        <v>50</v>
      </c>
      <c r="E164" s="94" t="s">
        <v>2544</v>
      </c>
      <c r="F164" s="247" t="s">
        <v>428</v>
      </c>
      <c r="G164" s="64" t="s">
        <v>422</v>
      </c>
      <c r="H164" s="247" t="s">
        <v>499</v>
      </c>
      <c r="I164" s="247">
        <v>6</v>
      </c>
      <c r="J164" s="82">
        <v>4490</v>
      </c>
      <c r="K164" s="427">
        <f>=I164*J164</f>
        <v>26940</v>
      </c>
      <c r="L164" s="82">
        <v>4336</v>
      </c>
      <c r="M164" s="428">
        <f>=I164*L164</f>
        <v>26016</v>
      </c>
      <c r="N164" s="82">
        <f>=K164-M164</f>
        <v>924</v>
      </c>
      <c r="O164" s="64">
        <v>0</v>
      </c>
      <c r="P164" s="64">
        <f>=I164*O164*ROUNDUP((A164-B164)/30,0)</f>
        <v>0</v>
      </c>
      <c r="Q164" s="76" t="s"/>
      <c r="R164" s="62" t="s"/>
    </row>
    <row r="165" spans="1:18" ht="15.75" customHeight="true">
      <c r="A165" s="348">
        <v>45998</v>
      </c>
      <c r="B165" s="426">
        <v>45881</v>
      </c>
      <c r="C165" s="64" t="s">
        <v>71</v>
      </c>
      <c r="D165" s="64" t="s">
        <v>50</v>
      </c>
      <c r="E165" s="94" t="s">
        <v>2545</v>
      </c>
      <c r="F165" s="247" t="s">
        <v>428</v>
      </c>
      <c r="G165" s="64" t="s">
        <v>422</v>
      </c>
      <c r="H165" s="247" t="s">
        <v>629</v>
      </c>
      <c r="I165" s="247">
        <v>8</v>
      </c>
      <c r="J165" s="82">
        <v>4490</v>
      </c>
      <c r="K165" s="427">
        <f>=I165*J165</f>
        <v>35920</v>
      </c>
      <c r="L165" s="82">
        <v>4336</v>
      </c>
      <c r="M165" s="428">
        <f>=I165*L165</f>
        <v>34688</v>
      </c>
      <c r="N165" s="82">
        <f>=K165-M165</f>
        <v>1232</v>
      </c>
      <c r="O165" s="64">
        <v>0</v>
      </c>
      <c r="P165" s="64">
        <f>=I165*O165*ROUNDUP((A165-B165)/30,0)</f>
        <v>0</v>
      </c>
      <c r="Q165" s="76" t="s"/>
      <c r="R165" s="62" t="s"/>
    </row>
    <row r="166" spans="1:18" ht="15.75" customHeight="true">
      <c r="A166" s="348">
        <v>45998</v>
      </c>
      <c r="B166" s="426">
        <v>45881</v>
      </c>
      <c r="C166" s="64" t="s">
        <v>71</v>
      </c>
      <c r="D166" s="64" t="s">
        <v>50</v>
      </c>
      <c r="E166" s="94" t="s">
        <v>2546</v>
      </c>
      <c r="F166" s="247" t="s">
        <v>428</v>
      </c>
      <c r="G166" s="64" t="s">
        <v>429</v>
      </c>
      <c r="H166" s="247" t="s">
        <v>600</v>
      </c>
      <c r="I166" s="247">
        <v>13</v>
      </c>
      <c r="J166" s="82">
        <v>1400</v>
      </c>
      <c r="K166" s="427">
        <f>=I166*J166</f>
        <v>18200</v>
      </c>
      <c r="L166" s="82">
        <v>1352</v>
      </c>
      <c r="M166" s="428">
        <f>=I166*L166</f>
        <v>17576</v>
      </c>
      <c r="N166" s="82">
        <f>=K166-M166</f>
        <v>624</v>
      </c>
      <c r="O166" s="64">
        <v>0</v>
      </c>
      <c r="P166" s="64">
        <f>=I166*O166*ROUNDUP((A166-B166)/30,0)</f>
        <v>0</v>
      </c>
      <c r="Q166" s="76" t="s"/>
      <c r="R166" s="62" t="s"/>
    </row>
    <row r="167" spans="1:18" ht="15.75" customHeight="true">
      <c r="A167" s="80">
        <v>45763</v>
      </c>
      <c r="B167" s="426">
        <v>45737</v>
      </c>
      <c r="C167" s="64" t="s">
        <v>51</v>
      </c>
      <c r="D167" s="64" t="s">
        <v>50</v>
      </c>
      <c r="E167" s="94" t="s">
        <v>2547</v>
      </c>
      <c r="F167" s="247" t="s">
        <v>428</v>
      </c>
      <c r="G167" s="64" t="s">
        <v>449</v>
      </c>
      <c r="H167" s="197" t="s">
        <v>2439</v>
      </c>
      <c r="I167" s="64">
        <v>15</v>
      </c>
      <c r="J167" s="82">
        <v>902</v>
      </c>
      <c r="K167" s="427">
        <f>=I167*J167</f>
        <v>13530</v>
      </c>
      <c r="L167" s="82">
        <v>894.6</v>
      </c>
      <c r="M167" s="428">
        <f>=I167*L167</f>
        <v>13419</v>
      </c>
      <c r="N167" s="82">
        <f>=K167-M167</f>
        <v>111</v>
      </c>
      <c r="O167" s="64">
        <v>0</v>
      </c>
      <c r="P167" s="64">
        <f>=I167*O167*ROUNDUP((A167-B167)/30,0)</f>
        <v>0</v>
      </c>
      <c r="Q167" s="76" t="s"/>
      <c r="R167" s="62" t="s"/>
    </row>
    <row r="168" spans="1:18" ht="15.75" customHeight="true">
      <c r="A168" s="80">
        <v>46001</v>
      </c>
      <c r="B168" s="426">
        <v>45980</v>
      </c>
      <c r="C168" s="64" t="s">
        <v>88</v>
      </c>
      <c r="D168" s="64" t="s">
        <v>65</v>
      </c>
      <c r="E168" s="194" t="s"/>
      <c r="F168" s="197" t="s">
        <v>421</v>
      </c>
      <c r="G168" s="197" t="s">
        <v>422</v>
      </c>
      <c r="H168" s="64" t="s">
        <v>686</v>
      </c>
      <c r="I168" s="194">
        <v>1</v>
      </c>
      <c r="J168" s="82">
        <v>27049.01</v>
      </c>
      <c r="K168" s="427">
        <f>=I168*J168</f>
        <v>27049.01</v>
      </c>
      <c r="L168" s="82">
        <v>6445.47</v>
      </c>
      <c r="M168" s="428">
        <f>=I168*L168</f>
        <v>6445.47</v>
      </c>
      <c r="N168" s="82">
        <f>=K168-M168</f>
        <v>20603.54</v>
      </c>
      <c r="O168" s="64">
        <v>0</v>
      </c>
      <c r="P168" s="64">
        <f>=I168*O168*ROUNDUP((A168-B168)/30,0)</f>
        <v>0</v>
      </c>
      <c r="Q168" s="76" t="s"/>
      <c r="R168" s="444" t="s"/>
    </row>
    <row r="169" spans="1:18" ht="15.75" customHeight="true">
      <c r="A169" s="80">
        <v>46001</v>
      </c>
      <c r="B169" s="426">
        <v>45980</v>
      </c>
      <c r="C169" s="64" t="s">
        <v>88</v>
      </c>
      <c r="D169" s="64" t="s">
        <v>65</v>
      </c>
      <c r="E169" s="194" t="s"/>
      <c r="F169" s="197" t="s">
        <v>421</v>
      </c>
      <c r="G169" s="197" t="s">
        <v>422</v>
      </c>
      <c r="H169" s="64" t="s">
        <v>676</v>
      </c>
      <c r="I169" s="194">
        <v>2</v>
      </c>
      <c r="J169" s="82">
        <v>5159.85</v>
      </c>
      <c r="K169" s="427">
        <f>=I169*J169</f>
        <v>10319.7</v>
      </c>
      <c r="L169" s="443">
        <v>5159.85</v>
      </c>
      <c r="M169" s="428">
        <f>=I169*L169</f>
        <v>10319.7</v>
      </c>
      <c r="N169" s="82">
        <f>=K169-M169</f>
        <v>0</v>
      </c>
      <c r="O169" s="64">
        <v>0</v>
      </c>
      <c r="P169" s="64">
        <f>=I169*O169*ROUNDUP((A169-B169)/30,0)</f>
        <v>0</v>
      </c>
      <c r="Q169" s="76" t="s"/>
      <c r="R169" s="444" t="s"/>
    </row>
    <row r="170" spans="1:18" ht="15.75" customHeight="true">
      <c r="A170" s="80">
        <v>46001</v>
      </c>
      <c r="B170" s="426">
        <v>45980</v>
      </c>
      <c r="C170" s="64" t="s">
        <v>88</v>
      </c>
      <c r="D170" s="64" t="s">
        <v>65</v>
      </c>
      <c r="E170" s="194" t="s"/>
      <c r="F170" s="197" t="s">
        <v>421</v>
      </c>
      <c r="G170" s="197" t="s">
        <v>422</v>
      </c>
      <c r="H170" s="64" t="s">
        <v>682</v>
      </c>
      <c r="I170" s="194">
        <v>2</v>
      </c>
      <c r="J170" s="82">
        <v>5160.3</v>
      </c>
      <c r="K170" s="427">
        <f>=I170*J170</f>
        <v>10320.6</v>
      </c>
      <c r="L170" s="443">
        <v>5160.3</v>
      </c>
      <c r="M170" s="428">
        <f>=I170*L170</f>
        <v>10320.6</v>
      </c>
      <c r="N170" s="82">
        <f>=K170-M170</f>
        <v>0</v>
      </c>
      <c r="O170" s="64">
        <v>0</v>
      </c>
      <c r="P170" s="64">
        <f>=I170*O170*ROUNDUP((A170-B170)/30,0)</f>
        <v>0</v>
      </c>
      <c r="Q170" s="76" t="s"/>
      <c r="R170" s="444" t="s"/>
    </row>
    <row r="171" spans="1:18" ht="15.75" customHeight="true">
      <c r="A171" s="80">
        <v>46001</v>
      </c>
      <c r="B171" s="426">
        <v>45980</v>
      </c>
      <c r="C171" s="64" t="s">
        <v>88</v>
      </c>
      <c r="D171" s="64" t="s">
        <v>65</v>
      </c>
      <c r="E171" s="194" t="s"/>
      <c r="F171" s="197" t="s">
        <v>421</v>
      </c>
      <c r="G171" s="197" t="s">
        <v>422</v>
      </c>
      <c r="H171" s="64" t="s">
        <v>705</v>
      </c>
      <c r="I171" s="194">
        <v>2</v>
      </c>
      <c r="J171" s="82">
        <v>7374.81</v>
      </c>
      <c r="K171" s="427">
        <f>=I171*J171</f>
        <v>14749.62</v>
      </c>
      <c r="L171" s="443">
        <v>7374.81</v>
      </c>
      <c r="M171" s="428">
        <f>=I171*L171</f>
        <v>14749.62</v>
      </c>
      <c r="N171" s="82">
        <f>=K171-M171</f>
        <v>0</v>
      </c>
      <c r="O171" s="64">
        <v>0</v>
      </c>
      <c r="P171" s="64">
        <f>=I171*O171*ROUNDUP((A171-B171)/30,0)</f>
        <v>0</v>
      </c>
      <c r="Q171" s="76" t="s"/>
      <c r="R171" s="444" t="s"/>
    </row>
    <row r="172" spans="1:18" ht="15.75" customHeight="true">
      <c r="A172" s="80">
        <v>46001</v>
      </c>
      <c r="B172" s="426">
        <v>45980</v>
      </c>
      <c r="C172" s="64" t="s">
        <v>88</v>
      </c>
      <c r="D172" s="64" t="s">
        <v>65</v>
      </c>
      <c r="E172" s="194" t="s"/>
      <c r="F172" s="197" t="s">
        <v>421</v>
      </c>
      <c r="G172" s="197" t="s">
        <v>422</v>
      </c>
      <c r="H172" s="64" t="s">
        <v>699</v>
      </c>
      <c r="I172" s="194">
        <v>2</v>
      </c>
      <c r="J172" s="82">
        <v>7391.59</v>
      </c>
      <c r="K172" s="427">
        <f>=I172*J172</f>
        <v>14783.18</v>
      </c>
      <c r="L172" s="443">
        <v>7391.59</v>
      </c>
      <c r="M172" s="428">
        <f>=I172*L172</f>
        <v>14783.18</v>
      </c>
      <c r="N172" s="82">
        <f>=K172-M172</f>
        <v>0</v>
      </c>
      <c r="O172" s="64">
        <v>0</v>
      </c>
      <c r="P172" s="64">
        <f>=I172*O172*ROUNDUP((A172-B172)/30,0)</f>
        <v>0</v>
      </c>
      <c r="Q172" s="76" t="s"/>
      <c r="R172" s="444" t="s"/>
    </row>
    <row r="173" spans="1:18" ht="15.75" customHeight="true">
      <c r="A173" s="80">
        <v>46001</v>
      </c>
      <c r="B173" s="426">
        <v>45980</v>
      </c>
      <c r="C173" s="64" t="s">
        <v>88</v>
      </c>
      <c r="D173" s="64" t="s">
        <v>65</v>
      </c>
      <c r="E173" s="194" t="s"/>
      <c r="F173" s="197" t="s">
        <v>421</v>
      </c>
      <c r="G173" s="197" t="s">
        <v>422</v>
      </c>
      <c r="H173" s="64" t="s">
        <v>703</v>
      </c>
      <c r="I173" s="194">
        <v>2</v>
      </c>
      <c r="J173" s="82">
        <v>9178.66</v>
      </c>
      <c r="K173" s="427">
        <f>=I173*J173</f>
        <v>18357.32</v>
      </c>
      <c r="L173" s="443">
        <v>9178.66</v>
      </c>
      <c r="M173" s="428">
        <f>=I173*L173</f>
        <v>18357.32</v>
      </c>
      <c r="N173" s="82">
        <f>=K173-M173</f>
        <v>0</v>
      </c>
      <c r="O173" s="64">
        <v>0</v>
      </c>
      <c r="P173" s="64">
        <f>=I173*O173*ROUNDUP((A173-B173)/30,0)</f>
        <v>0</v>
      </c>
      <c r="Q173" s="76" t="s"/>
      <c r="R173" s="444" t="s"/>
    </row>
    <row r="174" spans="1:18" ht="15.75" customHeight="true">
      <c r="A174" s="80">
        <v>46001</v>
      </c>
      <c r="B174" s="426">
        <v>45980</v>
      </c>
      <c r="C174" s="64" t="s">
        <v>88</v>
      </c>
      <c r="D174" s="64" t="s">
        <v>65</v>
      </c>
      <c r="E174" s="194" t="s"/>
      <c r="F174" s="197" t="s">
        <v>421</v>
      </c>
      <c r="G174" s="197" t="s">
        <v>422</v>
      </c>
      <c r="H174" s="64" t="s">
        <v>689</v>
      </c>
      <c r="I174" s="194">
        <v>3</v>
      </c>
      <c r="J174" s="82">
        <v>8431.95</v>
      </c>
      <c r="K174" s="427">
        <f>=I174*J174</f>
        <v>25295.85</v>
      </c>
      <c r="L174" s="443">
        <v>8431.95</v>
      </c>
      <c r="M174" s="428">
        <f>=I174*L174</f>
        <v>25295.85</v>
      </c>
      <c r="N174" s="82">
        <f>=K174-M174</f>
        <v>0</v>
      </c>
      <c r="O174" s="64">
        <v>0</v>
      </c>
      <c r="P174" s="64">
        <f>=I174*O174*ROUNDUP((A174-B174)/30,0)</f>
        <v>0</v>
      </c>
      <c r="Q174" s="76" t="s"/>
      <c r="R174" s="444" t="s"/>
    </row>
    <row r="175" spans="1:18" ht="15.75" customHeight="true">
      <c r="A175" s="80">
        <v>46001</v>
      </c>
      <c r="B175" s="426">
        <v>45982</v>
      </c>
      <c r="C175" s="64" t="s">
        <v>89</v>
      </c>
      <c r="D175" s="64" t="s">
        <v>65</v>
      </c>
      <c r="E175" s="194" t="s"/>
      <c r="F175" s="197" t="s">
        <v>421</v>
      </c>
      <c r="G175" s="197" t="s">
        <v>422</v>
      </c>
      <c r="H175" s="64" t="s">
        <v>709</v>
      </c>
      <c r="I175" s="194">
        <v>4</v>
      </c>
      <c r="J175" s="82">
        <v>6952</v>
      </c>
      <c r="K175" s="427">
        <f>=I175*J175</f>
        <v>27808</v>
      </c>
      <c r="L175" s="443">
        <v>6952</v>
      </c>
      <c r="M175" s="428">
        <f>=I175*L175</f>
        <v>27808</v>
      </c>
      <c r="N175" s="82">
        <f>=K175-M175</f>
        <v>0</v>
      </c>
      <c r="O175" s="64">
        <v>0</v>
      </c>
      <c r="P175" s="64">
        <f>=I175*O175*ROUNDUP((A175-B175)/30,0)</f>
        <v>0</v>
      </c>
      <c r="Q175" s="76" t="s"/>
      <c r="R175" s="444" t="s"/>
    </row>
    <row r="176" spans="1:18" ht="15.75" customHeight="true">
      <c r="A176" s="80">
        <v>46001</v>
      </c>
      <c r="B176" s="426">
        <v>45982</v>
      </c>
      <c r="C176" s="64" t="s">
        <v>89</v>
      </c>
      <c r="D176" s="64" t="s">
        <v>65</v>
      </c>
      <c r="E176" s="194" t="s"/>
      <c r="F176" s="197" t="s">
        <v>421</v>
      </c>
      <c r="G176" s="197" t="s">
        <v>422</v>
      </c>
      <c r="H176" s="64" t="s">
        <v>711</v>
      </c>
      <c r="I176" s="194">
        <v>4</v>
      </c>
      <c r="J176" s="82">
        <v>7223</v>
      </c>
      <c r="K176" s="427">
        <f>=I176*J176</f>
        <v>28892</v>
      </c>
      <c r="L176" s="443">
        <v>6908</v>
      </c>
      <c r="M176" s="428">
        <f>=I176*L176</f>
        <v>27632</v>
      </c>
      <c r="N176" s="82">
        <f>=K176-M176</f>
        <v>1260</v>
      </c>
      <c r="O176" s="64">
        <v>0</v>
      </c>
      <c r="P176" s="64">
        <f>=I176*O176*ROUNDUP((A176-B176)/30,0)</f>
        <v>0</v>
      </c>
      <c r="Q176" s="76" t="s"/>
      <c r="R176" s="444" t="s"/>
    </row>
    <row r="177" spans="1:18" ht="15.75" customHeight="true">
      <c r="A177" s="80">
        <v>46001</v>
      </c>
      <c r="B177" s="426">
        <v>45980</v>
      </c>
      <c r="C177" s="64" t="s">
        <v>88</v>
      </c>
      <c r="D177" s="64" t="s">
        <v>65</v>
      </c>
      <c r="E177" s="194" t="s"/>
      <c r="F177" s="197" t="s">
        <v>421</v>
      </c>
      <c r="G177" s="197" t="s">
        <v>422</v>
      </c>
      <c r="H177" s="64" t="s">
        <v>678</v>
      </c>
      <c r="I177" s="194">
        <v>5</v>
      </c>
      <c r="J177" s="82">
        <v>5093.5</v>
      </c>
      <c r="K177" s="427">
        <f>=I177*J177</f>
        <v>25467.5</v>
      </c>
      <c r="L177" s="82">
        <v>5093.5</v>
      </c>
      <c r="M177" s="428">
        <f>=I177*L177</f>
        <v>25467.5</v>
      </c>
      <c r="N177" s="82">
        <f>=K177-M177</f>
        <v>0</v>
      </c>
      <c r="O177" s="64">
        <v>0</v>
      </c>
      <c r="P177" s="64">
        <f>=I177*O177*ROUNDUP((A177-B177)/30,0)</f>
        <v>0</v>
      </c>
      <c r="Q177" s="76" t="s"/>
      <c r="R177" s="444" t="s"/>
    </row>
    <row r="178" spans="1:18" ht="15.75" customHeight="true">
      <c r="A178" s="80">
        <v>46001</v>
      </c>
      <c r="B178" s="426">
        <v>45980</v>
      </c>
      <c r="C178" s="64" t="s">
        <v>88</v>
      </c>
      <c r="D178" s="64" t="s">
        <v>65</v>
      </c>
      <c r="E178" s="194" t="s"/>
      <c r="F178" s="197" t="s">
        <v>421</v>
      </c>
      <c r="G178" s="197" t="s">
        <v>422</v>
      </c>
      <c r="H178" s="64" t="s">
        <v>680</v>
      </c>
      <c r="I178" s="194">
        <v>5</v>
      </c>
      <c r="J178" s="82">
        <v>5126.9</v>
      </c>
      <c r="K178" s="427">
        <f>=I178*J178</f>
        <v>25634.5</v>
      </c>
      <c r="L178" s="443">
        <v>5126.9</v>
      </c>
      <c r="M178" s="428">
        <f>=I178*L178</f>
        <v>25634.5</v>
      </c>
      <c r="N178" s="82">
        <f>=K178-M178</f>
        <v>0</v>
      </c>
      <c r="O178" s="64">
        <v>0</v>
      </c>
      <c r="P178" s="64">
        <f>=I178*O178*ROUNDUP((A178-B178)/30,0)</f>
        <v>0</v>
      </c>
      <c r="Q178" s="76" t="s"/>
      <c r="R178" s="444" t="s"/>
    </row>
    <row r="179" spans="1:18" ht="15.75" customHeight="true">
      <c r="A179" s="80">
        <v>46001</v>
      </c>
      <c r="B179" s="426">
        <v>45980</v>
      </c>
      <c r="C179" s="64" t="s">
        <v>88</v>
      </c>
      <c r="D179" s="64" t="s">
        <v>65</v>
      </c>
      <c r="E179" s="194" t="s"/>
      <c r="F179" s="197" t="s">
        <v>421</v>
      </c>
      <c r="G179" s="197" t="s">
        <v>422</v>
      </c>
      <c r="H179" s="64" t="s">
        <v>693</v>
      </c>
      <c r="I179" s="194">
        <v>6</v>
      </c>
      <c r="J179" s="82">
        <v>8373.22</v>
      </c>
      <c r="K179" s="427">
        <f>=I179*J179</f>
        <v>50239.32</v>
      </c>
      <c r="L179" s="82">
        <v>8373.22</v>
      </c>
      <c r="M179" s="428">
        <f>=I179*L179</f>
        <v>50239.32</v>
      </c>
      <c r="N179" s="82">
        <f>=K179-M179</f>
        <v>0</v>
      </c>
      <c r="O179" s="64">
        <v>0</v>
      </c>
      <c r="P179" s="64">
        <f>=I179*O179*ROUNDUP((A179-B179)/30,0)</f>
        <v>0</v>
      </c>
      <c r="Q179" s="76" t="s"/>
      <c r="R179" s="444" t="s"/>
    </row>
    <row r="180" spans="1:18" ht="15.75" customHeight="true">
      <c r="A180" s="80">
        <v>46001</v>
      </c>
      <c r="B180" s="426">
        <v>45980</v>
      </c>
      <c r="C180" s="64" t="s">
        <v>88</v>
      </c>
      <c r="D180" s="64" t="s">
        <v>65</v>
      </c>
      <c r="E180" s="194" t="s"/>
      <c r="F180" s="197" t="s">
        <v>421</v>
      </c>
      <c r="G180" s="197" t="s">
        <v>422</v>
      </c>
      <c r="H180" s="64" t="s">
        <v>701</v>
      </c>
      <c r="I180" s="194">
        <v>10</v>
      </c>
      <c r="J180" s="82">
        <v>7349.64</v>
      </c>
      <c r="K180" s="427">
        <f>=I180*J180</f>
        <v>73496.4</v>
      </c>
      <c r="L180" s="82">
        <v>7349.64</v>
      </c>
      <c r="M180" s="428">
        <f>=I180*L180</f>
        <v>73496.4</v>
      </c>
      <c r="N180" s="82">
        <f>=K180-M180</f>
        <v>0</v>
      </c>
      <c r="O180" s="64">
        <v>0</v>
      </c>
      <c r="P180" s="64">
        <f>=I180*O180*ROUNDUP((A180-B180)/30,0)</f>
        <v>0</v>
      </c>
      <c r="Q180" s="76" t="s"/>
      <c r="R180" s="444" t="s"/>
    </row>
    <row r="181" spans="1:18" ht="15.75" customHeight="true">
      <c r="A181" s="348">
        <v>46003</v>
      </c>
      <c r="B181" s="441">
        <v>45994</v>
      </c>
      <c r="C181" s="194" t="s">
        <v>92</v>
      </c>
      <c r="D181" s="194" t="s">
        <v>84</v>
      </c>
      <c r="E181" s="445" t="s">
        <v>2548</v>
      </c>
      <c r="F181" s="94" t="s">
        <v>671</v>
      </c>
      <c r="G181" s="194" t="s">
        <v>470</v>
      </c>
      <c r="H181" s="446" t="s">
        <v>735</v>
      </c>
      <c r="I181" s="194">
        <v>20</v>
      </c>
      <c r="J181" s="82">
        <v>12989.16</v>
      </c>
      <c r="K181" s="427">
        <f>=I181*J181</f>
        <v>259783.2</v>
      </c>
      <c r="L181" s="443">
        <v>12960</v>
      </c>
      <c r="M181" s="428">
        <f>=I181*L181</f>
        <v>259200</v>
      </c>
      <c r="N181" s="82">
        <f>=K181-M181</f>
        <v>583.200000000012</v>
      </c>
      <c r="O181" s="64">
        <v>0</v>
      </c>
      <c r="P181" s="64">
        <f>=I181*O181*ROUNDUP((A181-B181)/30,0)</f>
        <v>0</v>
      </c>
      <c r="Q181" s="76" t="s"/>
      <c r="R181" s="444" t="s"/>
    </row>
    <row r="182" spans="1:18" ht="15.75" customHeight="true">
      <c r="A182" s="348">
        <v>46003</v>
      </c>
      <c r="B182" s="441">
        <v>45994</v>
      </c>
      <c r="C182" s="194" t="s">
        <v>92</v>
      </c>
      <c r="D182" s="194" t="s">
        <v>84</v>
      </c>
      <c r="E182" s="445" t="s">
        <v>2549</v>
      </c>
      <c r="F182" s="94" t="s">
        <v>671</v>
      </c>
      <c r="G182" s="194" t="s">
        <v>470</v>
      </c>
      <c r="H182" s="446" t="s">
        <v>739</v>
      </c>
      <c r="I182" s="194">
        <v>100</v>
      </c>
      <c r="J182" s="82">
        <v>5853.14</v>
      </c>
      <c r="K182" s="427">
        <f>=I182*J182</f>
        <v>585314</v>
      </c>
      <c r="L182" s="443">
        <v>5840</v>
      </c>
      <c r="M182" s="428">
        <f>=I182*L182</f>
        <v>584000</v>
      </c>
      <c r="N182" s="82">
        <f>=K182-M182</f>
        <v>1314</v>
      </c>
      <c r="O182" s="64">
        <v>0</v>
      </c>
      <c r="P182" s="64">
        <f>=I182*O182*ROUNDUP((A182-B182)/30,0)</f>
        <v>0</v>
      </c>
      <c r="Q182" s="76" t="s"/>
      <c r="R182" s="444" t="s"/>
    </row>
    <row r="183" spans="1:18" ht="15.75" customHeight="true">
      <c r="A183" s="348">
        <v>46006</v>
      </c>
      <c r="B183" s="426">
        <v>45865</v>
      </c>
      <c r="C183" s="64" t="s">
        <v>69</v>
      </c>
      <c r="D183" s="194" t="s">
        <v>52</v>
      </c>
      <c r="E183" s="94" t="s">
        <v>2550</v>
      </c>
      <c r="F183" s="247" t="s">
        <v>428</v>
      </c>
      <c r="G183" s="64" t="s">
        <v>470</v>
      </c>
      <c r="H183" s="64" t="s">
        <v>523</v>
      </c>
      <c r="I183" s="64">
        <v>2</v>
      </c>
      <c r="J183" s="82">
        <v>3953</v>
      </c>
      <c r="K183" s="427">
        <f>=I183*J183</f>
        <v>7906</v>
      </c>
      <c r="L183" s="82">
        <v>3790</v>
      </c>
      <c r="M183" s="428">
        <f>=I183*L183</f>
        <v>7580</v>
      </c>
      <c r="N183" s="82">
        <f>=K183-M183</f>
        <v>326</v>
      </c>
      <c r="O183" s="64">
        <v>0</v>
      </c>
      <c r="P183" s="64">
        <f>=I183*O183*ROUNDUP((A183-B183)/30,0)</f>
        <v>0</v>
      </c>
      <c r="Q183" s="76" t="s"/>
      <c r="R183" s="62" t="s"/>
    </row>
    <row r="184" spans="1:18" ht="15.75" customHeight="true">
      <c r="A184" s="348">
        <v>46008</v>
      </c>
      <c r="B184" s="426">
        <v>45994</v>
      </c>
      <c r="C184" s="64" t="s">
        <v>92</v>
      </c>
      <c r="D184" s="194" t="s">
        <v>84</v>
      </c>
      <c r="E184" s="445" t="s">
        <v>2551</v>
      </c>
      <c r="F184" s="94" t="s">
        <v>671</v>
      </c>
      <c r="G184" s="194" t="s">
        <v>470</v>
      </c>
      <c r="H184" s="447" t="s">
        <v>739</v>
      </c>
      <c r="I184" s="64">
        <v>100</v>
      </c>
      <c r="J184" s="82">
        <v>5860.44</v>
      </c>
      <c r="K184" s="427">
        <f>=I184*J184</f>
        <v>586044</v>
      </c>
      <c r="L184" s="82">
        <v>5840</v>
      </c>
      <c r="M184" s="428">
        <f>=I184*L184</f>
        <v>584000</v>
      </c>
      <c r="N184" s="82">
        <f>=K184-M184</f>
        <v>2044</v>
      </c>
      <c r="O184" s="64">
        <v>0</v>
      </c>
      <c r="P184" s="64">
        <f>=I184*O184*ROUNDUP((A184-B184)/30,0)</f>
        <v>0</v>
      </c>
      <c r="Q184" s="76" t="s"/>
      <c r="R184" s="62" t="s"/>
    </row>
    <row r="185" spans="1:18" ht="15.75" customHeight="true">
      <c r="A185" s="80">
        <v>46013</v>
      </c>
      <c r="B185" s="426">
        <v>45854</v>
      </c>
      <c r="C185" s="92" t="s">
        <v>61</v>
      </c>
      <c r="D185" s="194" t="s">
        <v>2480</v>
      </c>
      <c r="E185" s="64" t="s"/>
      <c r="F185" s="64" t="s">
        <v>2481</v>
      </c>
      <c r="G185" s="64" t="s">
        <v>422</v>
      </c>
      <c r="H185" s="64" t="s">
        <v>504</v>
      </c>
      <c r="I185" s="64">
        <v>156</v>
      </c>
      <c r="J185" s="82">
        <v>2509</v>
      </c>
      <c r="K185" s="427">
        <f>=I185*J185</f>
        <v>391404</v>
      </c>
      <c r="L185" s="82">
        <v>2394</v>
      </c>
      <c r="M185" s="428">
        <f>=I185*L185</f>
        <v>373464</v>
      </c>
      <c r="N185" s="82">
        <f>=K185-M185</f>
        <v>17940</v>
      </c>
      <c r="O185" s="64">
        <v>0</v>
      </c>
      <c r="P185" s="64">
        <f>=I185*O185*ROUNDUP((A185-B185)/30,0)</f>
        <v>0</v>
      </c>
      <c r="Q185" s="76" t="s"/>
      <c r="R185" s="62" t="s"/>
    </row>
    <row r="186" spans="1:18" ht="15.75" customHeight="true">
      <c r="A186" s="80">
        <v>46014</v>
      </c>
      <c r="B186" s="426">
        <v>45854</v>
      </c>
      <c r="C186" s="92" t="s">
        <v>61</v>
      </c>
      <c r="D186" s="194" t="s">
        <v>2480</v>
      </c>
      <c r="E186" s="64" t="s"/>
      <c r="F186" s="64" t="s">
        <v>2481</v>
      </c>
      <c r="G186" s="64" t="s">
        <v>422</v>
      </c>
      <c r="H186" s="64" t="s">
        <v>504</v>
      </c>
      <c r="I186" s="64">
        <v>80</v>
      </c>
      <c r="J186" s="82">
        <v>2509</v>
      </c>
      <c r="K186" s="427">
        <f>=I186*J186</f>
        <v>200720</v>
      </c>
      <c r="L186" s="82">
        <v>2394</v>
      </c>
      <c r="M186" s="428">
        <f>=I186*L186</f>
        <v>191520</v>
      </c>
      <c r="N186" s="82">
        <f>=K186-M186</f>
        <v>9200</v>
      </c>
      <c r="O186" s="64">
        <v>0</v>
      </c>
      <c r="P186" s="64">
        <f>=I186*O186*ROUNDUP((A186-B186)/30,0)</f>
        <v>0</v>
      </c>
      <c r="Q186" s="76" t="s"/>
      <c r="R186" s="62" t="s"/>
    </row>
    <row r="187" spans="1:18" ht="15.75" customHeight="true">
      <c r="A187" s="348">
        <v>46017</v>
      </c>
      <c r="B187" s="426">
        <v>45994</v>
      </c>
      <c r="C187" s="64" t="s">
        <v>92</v>
      </c>
      <c r="D187" s="194" t="s">
        <v>84</v>
      </c>
      <c r="E187" s="445" t="s">
        <v>2552</v>
      </c>
      <c r="F187" s="94" t="s">
        <v>671</v>
      </c>
      <c r="G187" s="194" t="s">
        <v>470</v>
      </c>
      <c r="H187" s="447" t="s">
        <v>739</v>
      </c>
      <c r="I187" s="64">
        <v>113</v>
      </c>
      <c r="J187" s="82">
        <v>5873.58</v>
      </c>
      <c r="K187" s="427">
        <f>=I187*J187</f>
        <v>663714.54</v>
      </c>
      <c r="L187" s="82">
        <v>5840</v>
      </c>
      <c r="M187" s="428">
        <f>=I187*L187</f>
        <v>659920</v>
      </c>
      <c r="N187" s="82">
        <f>=K187-M187</f>
        <v>3794.54000000004</v>
      </c>
      <c r="O187" s="64">
        <v>0</v>
      </c>
      <c r="P187" s="64">
        <f>=I187*O187*ROUNDUP((A187-B187)/30,0)</f>
        <v>0</v>
      </c>
      <c r="Q187" s="76" t="s"/>
      <c r="R187" s="62" t="s"/>
    </row>
    <row r="188" spans="1:18" ht="15.75" customHeight="true">
      <c r="A188" s="80">
        <v>46021</v>
      </c>
      <c r="B188" s="426">
        <v>45854</v>
      </c>
      <c r="C188" s="92" t="s">
        <v>61</v>
      </c>
      <c r="D188" s="194" t="s">
        <v>2480</v>
      </c>
      <c r="E188" s="64" t="s"/>
      <c r="F188" s="64" t="s">
        <v>2481</v>
      </c>
      <c r="G188" s="64" t="s">
        <v>422</v>
      </c>
      <c r="H188" s="64" t="s">
        <v>504</v>
      </c>
      <c r="I188" s="64">
        <v>45</v>
      </c>
      <c r="J188" s="82">
        <v>2515</v>
      </c>
      <c r="K188" s="427">
        <f>=I188*J188</f>
        <v>113175</v>
      </c>
      <c r="L188" s="82">
        <v>2394</v>
      </c>
      <c r="M188" s="428">
        <f>=I188*L188</f>
        <v>107730</v>
      </c>
      <c r="N188" s="82">
        <f>=K188-M188</f>
        <v>5445</v>
      </c>
      <c r="O188" s="64">
        <v>0</v>
      </c>
      <c r="P188" s="64">
        <f>=I188*O188*ROUNDUP((A188-B188)/30,0)</f>
        <v>0</v>
      </c>
      <c r="Q188" s="76" t="s"/>
      <c r="R188" s="62" t="s"/>
    </row>
    <row r="189" spans="1:18" ht="15.75" customHeight="true">
      <c r="A189" s="348">
        <v>46026</v>
      </c>
      <c r="B189" s="426">
        <v>45989</v>
      </c>
      <c r="C189" s="64" t="s">
        <v>90</v>
      </c>
      <c r="D189" s="194" t="s">
        <v>2553</v>
      </c>
      <c r="E189" s="94" t="s">
        <v>2554</v>
      </c>
      <c r="F189" s="247" t="s">
        <v>428</v>
      </c>
      <c r="G189" s="64" t="s">
        <v>470</v>
      </c>
      <c r="H189" s="247" t="s">
        <v>733</v>
      </c>
      <c r="I189" s="247">
        <v>500</v>
      </c>
      <c r="J189" s="82">
        <v>948</v>
      </c>
      <c r="K189" s="427">
        <f>=I189*J189</f>
        <v>474000</v>
      </c>
      <c r="L189" s="82">
        <v>938</v>
      </c>
      <c r="M189" s="428">
        <f>=I189*L189</f>
        <v>469000</v>
      </c>
      <c r="N189" s="82">
        <f>=K189-M189</f>
        <v>5000</v>
      </c>
      <c r="O189" s="64">
        <v>0</v>
      </c>
      <c r="P189" s="64">
        <f>=I189*O189*ROUNDUP((A189-B189)/30,0)</f>
        <v>0</v>
      </c>
      <c r="Q189" s="76" t="s"/>
      <c r="R189" s="62" t="s"/>
    </row>
    <row r="190" spans="1:18" ht="15.75" customHeight="true">
      <c r="A190" s="348">
        <v>46028</v>
      </c>
      <c r="B190" s="426">
        <v>45881</v>
      </c>
      <c r="C190" s="64" t="s">
        <v>71</v>
      </c>
      <c r="D190" s="194" t="s">
        <v>50</v>
      </c>
      <c r="E190" s="94" t="s">
        <v>2555</v>
      </c>
      <c r="F190" s="64" t="s">
        <v>428</v>
      </c>
      <c r="G190" s="247" t="s">
        <v>422</v>
      </c>
      <c r="H190" s="247" t="s">
        <v>499</v>
      </c>
      <c r="I190" s="247">
        <v>1</v>
      </c>
      <c r="J190" s="82">
        <v>4530</v>
      </c>
      <c r="K190" s="427">
        <f>=I190*J190</f>
        <v>4530</v>
      </c>
      <c r="L190" s="82">
        <v>4336</v>
      </c>
      <c r="M190" s="428">
        <f>=I190*L190</f>
        <v>4336</v>
      </c>
      <c r="N190" s="82">
        <f>=K190-M190</f>
        <v>194</v>
      </c>
      <c r="O190" s="64">
        <v>0</v>
      </c>
      <c r="P190" s="64">
        <f>=I190*O190*ROUNDUP((A190-B190)/30,0)</f>
        <v>0</v>
      </c>
      <c r="Q190" s="76" t="s"/>
      <c r="R190" s="62" t="s"/>
    </row>
    <row r="191" spans="1:18" ht="15.75" customHeight="true">
      <c r="A191" s="348">
        <v>46029</v>
      </c>
      <c r="B191" s="426">
        <v>45994</v>
      </c>
      <c r="C191" s="64" t="s">
        <v>92</v>
      </c>
      <c r="D191" s="194" t="s">
        <v>84</v>
      </c>
      <c r="E191" s="445" t="s">
        <v>2556</v>
      </c>
      <c r="F191" s="94" t="s">
        <v>671</v>
      </c>
      <c r="G191" s="194" t="s">
        <v>470</v>
      </c>
      <c r="H191" s="447" t="s">
        <v>672</v>
      </c>
      <c r="I191" s="64">
        <v>150</v>
      </c>
      <c r="J191" s="82">
        <v>5810.4</v>
      </c>
      <c r="K191" s="427">
        <f>=I191*J191</f>
        <v>871560</v>
      </c>
      <c r="L191" s="82">
        <v>5760</v>
      </c>
      <c r="M191" s="428">
        <f>=I191*L191</f>
        <v>864000</v>
      </c>
      <c r="N191" s="82">
        <f>=K191-M191</f>
        <v>7560</v>
      </c>
      <c r="O191" s="64">
        <v>0</v>
      </c>
      <c r="P191" s="64">
        <f>=I191*O191*ROUNDUP((A191-B191)/30,0)</f>
        <v>0</v>
      </c>
      <c r="Q191" s="76" t="s"/>
      <c r="R191" s="62" t="s"/>
    </row>
    <row r="192" spans="1:18" ht="15.75" customHeight="true">
      <c r="A192" s="348">
        <v>46031</v>
      </c>
      <c r="B192" s="426">
        <v>45994</v>
      </c>
      <c r="C192" s="64" t="s">
        <v>92</v>
      </c>
      <c r="D192" s="194" t="s">
        <v>84</v>
      </c>
      <c r="E192" s="445" t="s">
        <v>2557</v>
      </c>
      <c r="F192" s="94" t="s">
        <v>671</v>
      </c>
      <c r="G192" s="194" t="s">
        <v>470</v>
      </c>
      <c r="H192" s="447" t="s">
        <v>672</v>
      </c>
      <c r="I192" s="64">
        <v>20</v>
      </c>
      <c r="J192" s="82">
        <v>6136.24</v>
      </c>
      <c r="K192" s="427">
        <f>=I192*J192</f>
        <v>122724.8</v>
      </c>
      <c r="L192" s="82">
        <v>6080</v>
      </c>
      <c r="M192" s="428">
        <f>=I192*L192</f>
        <v>121600</v>
      </c>
      <c r="N192" s="82">
        <f>=K192-M192</f>
        <v>1124.79999999999</v>
      </c>
      <c r="O192" s="64">
        <v>0</v>
      </c>
      <c r="P192" s="64">
        <f>=I192*O192*ROUNDUP((A192-B192)/30,0)</f>
        <v>0</v>
      </c>
      <c r="Q192" s="76" t="s"/>
      <c r="R192" s="62" t="s"/>
    </row>
    <row r="193" spans="1:18" ht="15.75" customHeight="true">
      <c r="A193" s="348">
        <v>46033</v>
      </c>
      <c r="B193" s="426">
        <v>45865</v>
      </c>
      <c r="C193" s="64" t="s">
        <v>69</v>
      </c>
      <c r="D193" s="194" t="s">
        <v>52</v>
      </c>
      <c r="E193" s="94" t="s">
        <v>2558</v>
      </c>
      <c r="F193" s="247" t="s">
        <v>428</v>
      </c>
      <c r="G193" s="64" t="s">
        <v>470</v>
      </c>
      <c r="H193" s="64" t="s">
        <v>573</v>
      </c>
      <c r="I193" s="64">
        <v>5</v>
      </c>
      <c r="J193" s="82">
        <v>4241</v>
      </c>
      <c r="K193" s="427">
        <f>=I193*J193</f>
        <v>21205</v>
      </c>
      <c r="L193" s="82">
        <v>4038</v>
      </c>
      <c r="M193" s="428">
        <f>=I193*L193</f>
        <v>20190</v>
      </c>
      <c r="N193" s="82">
        <f>=K193-M193</f>
        <v>1015</v>
      </c>
      <c r="O193" s="64">
        <v>0</v>
      </c>
      <c r="P193" s="64">
        <f>=I193*O193*ROUNDUP((A193-B193)/30,0)</f>
        <v>0</v>
      </c>
      <c r="Q193" s="76" t="s"/>
      <c r="R193" s="62" t="s"/>
    </row>
    <row r="194" spans="1:18" ht="15.75" customHeight="true">
      <c r="A194" s="348">
        <v>46033</v>
      </c>
      <c r="B194" s="426">
        <v>45865</v>
      </c>
      <c r="C194" s="64" t="s">
        <v>69</v>
      </c>
      <c r="D194" s="194" t="s">
        <v>52</v>
      </c>
      <c r="E194" s="94" t="s">
        <v>2559</v>
      </c>
      <c r="F194" s="247" t="s">
        <v>428</v>
      </c>
      <c r="G194" s="64" t="s">
        <v>470</v>
      </c>
      <c r="H194" s="64" t="s">
        <v>567</v>
      </c>
      <c r="I194" s="64">
        <v>3</v>
      </c>
      <c r="J194" s="82">
        <v>5019</v>
      </c>
      <c r="K194" s="427">
        <f>=I194*J194</f>
        <v>15057</v>
      </c>
      <c r="L194" s="82">
        <v>4779</v>
      </c>
      <c r="M194" s="428">
        <f>=I194*L194</f>
        <v>14337</v>
      </c>
      <c r="N194" s="82">
        <f>=K194-M194</f>
        <v>720</v>
      </c>
      <c r="O194" s="64">
        <v>0</v>
      </c>
      <c r="P194" s="64">
        <f>=I194*O194*ROUNDUP((A194-B194)/30,0)</f>
        <v>0</v>
      </c>
      <c r="Q194" s="76" t="s"/>
      <c r="R194" s="62" t="s"/>
    </row>
    <row r="195" spans="1:18" ht="15.75" customHeight="true">
      <c r="A195" s="348">
        <v>46033</v>
      </c>
      <c r="B195" s="426">
        <v>45865</v>
      </c>
      <c r="C195" s="64" t="s">
        <v>69</v>
      </c>
      <c r="D195" s="194" t="s">
        <v>52</v>
      </c>
      <c r="E195" s="94" t="s">
        <v>2560</v>
      </c>
      <c r="F195" s="247" t="s">
        <v>428</v>
      </c>
      <c r="G195" s="64" t="s">
        <v>470</v>
      </c>
      <c r="H195" s="64" t="s">
        <v>523</v>
      </c>
      <c r="I195" s="64">
        <v>2</v>
      </c>
      <c r="J195" s="82">
        <v>3980</v>
      </c>
      <c r="K195" s="427">
        <f>=I195*J195</f>
        <v>7960</v>
      </c>
      <c r="L195" s="82">
        <v>3790</v>
      </c>
      <c r="M195" s="428">
        <f>=I195*L195</f>
        <v>7580</v>
      </c>
      <c r="N195" s="82">
        <f>=K195-M195</f>
        <v>380</v>
      </c>
      <c r="O195" s="64">
        <v>0</v>
      </c>
      <c r="P195" s="64">
        <f>=I195*O195*ROUNDUP((A195-B195)/30,0)</f>
        <v>0</v>
      </c>
      <c r="Q195" s="76" t="s"/>
      <c r="R195" s="62" t="s"/>
    </row>
    <row r="196" spans="1:18" ht="15.75" customHeight="true">
      <c r="A196" s="348">
        <v>46037</v>
      </c>
      <c r="B196" s="426">
        <v>45865</v>
      </c>
      <c r="C196" s="64" t="s">
        <v>69</v>
      </c>
      <c r="D196" s="194" t="s">
        <v>52</v>
      </c>
      <c r="E196" s="94" t="s">
        <v>2561</v>
      </c>
      <c r="F196" s="247" t="s">
        <v>428</v>
      </c>
      <c r="G196" s="64" t="s">
        <v>470</v>
      </c>
      <c r="H196" s="64" t="s">
        <v>584</v>
      </c>
      <c r="I196" s="64">
        <v>2</v>
      </c>
      <c r="J196" s="82">
        <v>5635</v>
      </c>
      <c r="K196" s="427">
        <f>=I196*J196</f>
        <v>11270</v>
      </c>
      <c r="L196" s="82">
        <v>5356</v>
      </c>
      <c r="M196" s="428">
        <f>=I196*L196</f>
        <v>10712</v>
      </c>
      <c r="N196" s="82">
        <f>=K196-M196</f>
        <v>558</v>
      </c>
      <c r="O196" s="64">
        <v>0</v>
      </c>
      <c r="P196" s="64">
        <f>=I196*O196*ROUNDUP((A196-B196)/30,0)</f>
        <v>0</v>
      </c>
      <c r="Q196" s="76" t="s"/>
      <c r="R196" s="62" t="s"/>
    </row>
    <row r="197" spans="1:18" ht="15.75" customHeight="true">
      <c r="A197" s="348">
        <v>46037</v>
      </c>
      <c r="B197" s="426">
        <v>45865</v>
      </c>
      <c r="C197" s="64" t="s">
        <v>69</v>
      </c>
      <c r="D197" s="194" t="s">
        <v>52</v>
      </c>
      <c r="E197" s="94" t="s">
        <v>2562</v>
      </c>
      <c r="F197" s="247" t="s">
        <v>428</v>
      </c>
      <c r="G197" s="64" t="s">
        <v>470</v>
      </c>
      <c r="H197" s="64" t="s">
        <v>573</v>
      </c>
      <c r="I197" s="64">
        <v>4</v>
      </c>
      <c r="J197" s="82">
        <v>4248</v>
      </c>
      <c r="K197" s="427">
        <f>=I197*J197</f>
        <v>16992</v>
      </c>
      <c r="L197" s="82">
        <v>4038</v>
      </c>
      <c r="M197" s="428">
        <f>=I197*L197</f>
        <v>16152</v>
      </c>
      <c r="N197" s="82">
        <f>=K197-M197</f>
        <v>840</v>
      </c>
      <c r="O197" s="64">
        <v>0</v>
      </c>
      <c r="P197" s="64">
        <f>=I197*O197*ROUNDUP((A197-B197)/30,0)</f>
        <v>0</v>
      </c>
      <c r="Q197" s="76" t="s"/>
      <c r="R197" s="62" t="s"/>
    </row>
    <row r="198" spans="1:18" ht="15.75" customHeight="true">
      <c r="A198" s="348">
        <v>46038</v>
      </c>
      <c r="B198" s="426">
        <v>45989</v>
      </c>
      <c r="C198" s="64" t="s">
        <v>90</v>
      </c>
      <c r="D198" s="194" t="s">
        <v>2553</v>
      </c>
      <c r="E198" s="94" t="s">
        <v>2563</v>
      </c>
      <c r="F198" s="247" t="s">
        <v>428</v>
      </c>
      <c r="G198" s="64" t="s">
        <v>470</v>
      </c>
      <c r="H198" s="247" t="s">
        <v>733</v>
      </c>
      <c r="I198" s="247">
        <v>500</v>
      </c>
      <c r="J198" s="82">
        <v>951</v>
      </c>
      <c r="K198" s="427">
        <f>=I198*J198</f>
        <v>475500</v>
      </c>
      <c r="L198" s="82">
        <v>938</v>
      </c>
      <c r="M198" s="428">
        <f>=I198*L198</f>
        <v>469000</v>
      </c>
      <c r="N198" s="82">
        <f>=K198-M198</f>
        <v>6500</v>
      </c>
      <c r="O198" s="64">
        <v>0</v>
      </c>
      <c r="P198" s="64">
        <f>=I198*O198*ROUNDUP((A198-B198)/30,0)</f>
        <v>0</v>
      </c>
      <c r="Q198" s="76" t="s"/>
      <c r="R198" s="62" t="s"/>
    </row>
    <row r="199" spans="1:18" ht="15.75" customHeight="true">
      <c r="A199" s="348">
        <v>46041</v>
      </c>
      <c r="B199" s="426">
        <v>45994</v>
      </c>
      <c r="C199" s="64" t="s">
        <v>92</v>
      </c>
      <c r="D199" s="194" t="s">
        <v>84</v>
      </c>
      <c r="E199" s="445" t="s">
        <v>2564</v>
      </c>
      <c r="F199" s="94" t="s">
        <v>671</v>
      </c>
      <c r="G199" s="194" t="s">
        <v>470</v>
      </c>
      <c r="H199" s="447" t="s">
        <v>672</v>
      </c>
      <c r="I199" s="64">
        <v>20</v>
      </c>
      <c r="J199" s="82">
        <v>6151.44</v>
      </c>
      <c r="K199" s="427">
        <f>=I199*J199</f>
        <v>123028.8</v>
      </c>
      <c r="L199" s="82">
        <v>6080</v>
      </c>
      <c r="M199" s="428">
        <f>=I199*L199</f>
        <v>121600</v>
      </c>
      <c r="N199" s="82">
        <f>=K199-M199</f>
        <v>1428.79999999999</v>
      </c>
      <c r="O199" s="64">
        <v>0</v>
      </c>
      <c r="P199" s="64">
        <f>=I199*O199*ROUNDUP((A199-B199)/30,0)</f>
        <v>0</v>
      </c>
      <c r="Q199" s="76" t="s"/>
      <c r="R199" s="62" t="s"/>
    </row>
    <row r="200" spans="1:18" ht="15.75" customHeight="true">
      <c r="A200" s="80">
        <v>46042</v>
      </c>
      <c r="B200" s="426">
        <v>46025</v>
      </c>
      <c r="C200" s="64" t="s">
        <v>99</v>
      </c>
      <c r="D200" s="194" t="s">
        <v>100</v>
      </c>
      <c r="E200" s="64" t="s"/>
      <c r="F200" s="64" t="s">
        <v>741</v>
      </c>
      <c r="G200" s="64" t="s">
        <v>470</v>
      </c>
      <c r="H200" s="64" t="s">
        <v>752</v>
      </c>
      <c r="I200" s="64">
        <v>100</v>
      </c>
      <c r="J200" s="82">
        <v>3315</v>
      </c>
      <c r="K200" s="427">
        <f>=I200*J200</f>
        <v>331500</v>
      </c>
      <c r="L200" s="82">
        <v>3299</v>
      </c>
      <c r="M200" s="428">
        <f>=I200*L200</f>
        <v>329900</v>
      </c>
      <c r="N200" s="82">
        <f>=K200-M200</f>
        <v>1600</v>
      </c>
      <c r="O200" s="64">
        <v>1.5</v>
      </c>
      <c r="P200" s="64">
        <f>=I200*O200*ROUNDUP((A200-B200)/30,0)</f>
        <v>150</v>
      </c>
      <c r="Q200" s="62" t="s"/>
      <c r="R200" s="62" t="s"/>
    </row>
    <row r="201" spans="1:18" ht="15.75" customHeight="true">
      <c r="A201" s="348">
        <v>46043</v>
      </c>
      <c r="B201" s="426">
        <v>45994</v>
      </c>
      <c r="C201" s="64" t="s">
        <v>92</v>
      </c>
      <c r="D201" s="194" t="s">
        <v>84</v>
      </c>
      <c r="E201" s="445" t="s">
        <v>2565</v>
      </c>
      <c r="F201" s="94" t="s">
        <v>671</v>
      </c>
      <c r="G201" s="194" t="s">
        <v>470</v>
      </c>
      <c r="H201" s="447" t="s">
        <v>735</v>
      </c>
      <c r="I201" s="64">
        <v>20</v>
      </c>
      <c r="J201" s="82">
        <v>13118.76</v>
      </c>
      <c r="K201" s="427">
        <f>=I201*J201</f>
        <v>262375.2</v>
      </c>
      <c r="L201" s="82">
        <v>12960</v>
      </c>
      <c r="M201" s="428">
        <f>=I201*L201</f>
        <v>259200</v>
      </c>
      <c r="N201" s="82">
        <f>=K201-M201</f>
        <v>3175.20000000001</v>
      </c>
      <c r="O201" s="64">
        <v>0</v>
      </c>
      <c r="P201" s="64">
        <f>=I201*O201*ROUNDUP((A201-B201)/30,0)</f>
        <v>0</v>
      </c>
      <c r="Q201" s="76" t="s"/>
      <c r="R201" s="62" t="s"/>
    </row>
    <row r="202" spans="1:18" ht="15.75" customHeight="true">
      <c r="A202" s="348">
        <v>46043</v>
      </c>
      <c r="B202" s="426">
        <v>45989</v>
      </c>
      <c r="C202" s="64" t="s">
        <v>90</v>
      </c>
      <c r="D202" s="194" t="s">
        <v>2553</v>
      </c>
      <c r="E202" s="94" t="s">
        <v>2566</v>
      </c>
      <c r="F202" s="247" t="s">
        <v>428</v>
      </c>
      <c r="G202" s="64" t="s">
        <v>470</v>
      </c>
      <c r="H202" s="247" t="s">
        <v>733</v>
      </c>
      <c r="I202" s="247">
        <v>500</v>
      </c>
      <c r="J202" s="82">
        <v>952</v>
      </c>
      <c r="K202" s="427">
        <f>=I202*J202</f>
        <v>476000</v>
      </c>
      <c r="L202" s="82">
        <v>938</v>
      </c>
      <c r="M202" s="428">
        <f>=I202*L202</f>
        <v>469000</v>
      </c>
      <c r="N202" s="82">
        <f>=K202-M202</f>
        <v>7000</v>
      </c>
      <c r="O202" s="64">
        <v>0</v>
      </c>
      <c r="P202" s="64">
        <f>=I202*O202*ROUNDUP((A202-B202)/30,0)</f>
        <v>0</v>
      </c>
      <c r="Q202" s="76" t="s"/>
      <c r="R202" s="62" t="s"/>
    </row>
    <row r="203" spans="1:18" ht="15.75" customHeight="true">
      <c r="A203" s="80">
        <v>46047</v>
      </c>
      <c r="B203" s="426">
        <v>45855</v>
      </c>
      <c r="C203" s="92" t="s">
        <v>62</v>
      </c>
      <c r="D203" s="194" t="s">
        <v>2480</v>
      </c>
      <c r="E203" s="94" t="s">
        <v>2567</v>
      </c>
      <c r="F203" s="64" t="s">
        <v>2481</v>
      </c>
      <c r="G203" s="64" t="s">
        <v>422</v>
      </c>
      <c r="H203" s="64" t="s">
        <v>504</v>
      </c>
      <c r="I203" s="64">
        <v>10</v>
      </c>
      <c r="J203" s="82">
        <v>2534</v>
      </c>
      <c r="K203" s="427">
        <f>=I203*J203</f>
        <v>25340</v>
      </c>
      <c r="L203" s="82">
        <v>2394</v>
      </c>
      <c r="M203" s="428">
        <f>=I203*L203</f>
        <v>23940</v>
      </c>
      <c r="N203" s="82">
        <f>=K203-M203</f>
        <v>1400</v>
      </c>
      <c r="O203" s="64">
        <v>0</v>
      </c>
      <c r="P203" s="64">
        <f>=I203*O203*ROUNDUP((A203-B203)/30,0)</f>
        <v>0</v>
      </c>
      <c r="Q203" s="76" t="s"/>
      <c r="R203" s="62" t="s"/>
    </row>
    <row r="204" spans="1:18" ht="15.75" customHeight="true">
      <c r="A204" s="80">
        <v>46047</v>
      </c>
      <c r="B204" s="426">
        <v>45855</v>
      </c>
      <c r="C204" s="92" t="s">
        <v>62</v>
      </c>
      <c r="D204" s="194" t="s">
        <v>2480</v>
      </c>
      <c r="E204" s="94" t="s">
        <v>2568</v>
      </c>
      <c r="F204" s="64" t="s">
        <v>2481</v>
      </c>
      <c r="G204" s="64" t="s">
        <v>422</v>
      </c>
      <c r="H204" s="64" t="s">
        <v>504</v>
      </c>
      <c r="I204" s="64">
        <v>190</v>
      </c>
      <c r="J204" s="82">
        <v>2534</v>
      </c>
      <c r="K204" s="427">
        <f>=I204*J204</f>
        <v>481460</v>
      </c>
      <c r="L204" s="82">
        <v>2394</v>
      </c>
      <c r="M204" s="428">
        <f>=I204*L204</f>
        <v>454860</v>
      </c>
      <c r="N204" s="82">
        <f>=K204-M204</f>
        <v>26600</v>
      </c>
      <c r="O204" s="64">
        <v>0</v>
      </c>
      <c r="P204" s="64">
        <f>=I204*O204*ROUNDUP((A204-B204)/30,0)</f>
        <v>0</v>
      </c>
      <c r="Q204" s="76" t="s"/>
      <c r="R204" s="62" t="s"/>
    </row>
    <row r="205" spans="1:18" ht="15.75" customHeight="true">
      <c r="A205" s="348">
        <v>46048</v>
      </c>
      <c r="B205" s="426">
        <v>45994</v>
      </c>
      <c r="C205" s="64" t="s">
        <v>92</v>
      </c>
      <c r="D205" s="194" t="s">
        <v>84</v>
      </c>
      <c r="E205" s="445" t="s">
        <v>2569</v>
      </c>
      <c r="F205" s="94" t="s">
        <v>671</v>
      </c>
      <c r="G205" s="194" t="s">
        <v>470</v>
      </c>
      <c r="H205" s="447" t="s">
        <v>672</v>
      </c>
      <c r="I205" s="64">
        <v>20</v>
      </c>
      <c r="J205" s="82">
        <v>6162.1</v>
      </c>
      <c r="K205" s="427">
        <f>=I205*J205</f>
        <v>123242</v>
      </c>
      <c r="L205" s="82">
        <v>6080</v>
      </c>
      <c r="M205" s="428">
        <f>=I205*L205</f>
        <v>121600</v>
      </c>
      <c r="N205" s="82">
        <f>=K205-M205</f>
        <v>1642</v>
      </c>
      <c r="O205" s="64">
        <v>0</v>
      </c>
      <c r="P205" s="64">
        <f>=I205*O205*ROUNDUP((A205-B205)/30,0)</f>
        <v>0</v>
      </c>
      <c r="Q205" s="76" t="s"/>
      <c r="R205" s="62" t="s"/>
    </row>
    <row r="206" spans="1:18" ht="15.75" customHeight="true">
      <c r="A206" s="348">
        <v>46048</v>
      </c>
      <c r="B206" s="426">
        <v>46013</v>
      </c>
      <c r="C206" s="64" t="s">
        <v>95</v>
      </c>
      <c r="D206" s="194" t="s">
        <v>84</v>
      </c>
      <c r="E206" s="445" t="s"/>
      <c r="F206" s="94" t="s">
        <v>747</v>
      </c>
      <c r="G206" s="194" t="s">
        <v>470</v>
      </c>
      <c r="H206" s="64" t="s">
        <v>748</v>
      </c>
      <c r="I206" s="64">
        <v>50</v>
      </c>
      <c r="J206" s="82">
        <v>5407</v>
      </c>
      <c r="K206" s="427">
        <f>=I206*J206</f>
        <v>270350</v>
      </c>
      <c r="L206" s="82">
        <v>5360</v>
      </c>
      <c r="M206" s="428">
        <f>=I206*L206</f>
        <v>268000</v>
      </c>
      <c r="N206" s="82">
        <f>=K206-M206</f>
        <v>2350</v>
      </c>
      <c r="O206" s="64">
        <v>0</v>
      </c>
      <c r="P206" s="64">
        <f>=I206*O206*ROUNDUP((A206-B206)/30,0)</f>
        <v>0</v>
      </c>
      <c r="Q206" s="76" t="s"/>
      <c r="R206" s="62" t="s"/>
    </row>
    <row r="207" spans="1:18" ht="15.75" customHeight="true">
      <c r="A207" s="80">
        <v>46050</v>
      </c>
      <c r="B207" s="426">
        <v>45982</v>
      </c>
      <c r="C207" s="64" t="s">
        <v>89</v>
      </c>
      <c r="D207" s="194" t="s">
        <v>65</v>
      </c>
      <c r="E207" s="64" t="s"/>
      <c r="F207" s="197" t="s">
        <v>421</v>
      </c>
      <c r="G207" s="197" t="s">
        <v>422</v>
      </c>
      <c r="H207" s="64" t="s">
        <v>707</v>
      </c>
      <c r="I207" s="64">
        <v>19</v>
      </c>
      <c r="J207" s="82">
        <v>7048.8</v>
      </c>
      <c r="K207" s="427">
        <f>=I207*J207</f>
        <v>133927.2</v>
      </c>
      <c r="L207" s="82">
        <v>7048.8</v>
      </c>
      <c r="M207" s="428">
        <f>=I207*L207</f>
        <v>133927.2</v>
      </c>
      <c r="N207" s="82">
        <f>=K207-M207</f>
        <v>0</v>
      </c>
      <c r="O207" s="64">
        <v>0</v>
      </c>
      <c r="P207" s="64">
        <f>=I207*O207*ROUNDUP((A207-B207)/30,0)</f>
        <v>0</v>
      </c>
      <c r="Q207" s="62" t="s"/>
      <c r="R207" s="62" t="s"/>
    </row>
    <row r="208" spans="1:18" ht="15.75" customHeight="true">
      <c r="A208" s="80">
        <v>46050</v>
      </c>
      <c r="B208" s="426">
        <v>45982</v>
      </c>
      <c r="C208" s="64" t="s">
        <v>89</v>
      </c>
      <c r="D208" s="194" t="s">
        <v>65</v>
      </c>
      <c r="E208" s="64" t="s"/>
      <c r="F208" s="197" t="s">
        <v>421</v>
      </c>
      <c r="G208" s="197" t="s">
        <v>422</v>
      </c>
      <c r="H208" s="64" t="s">
        <v>709</v>
      </c>
      <c r="I208" s="64">
        <v>40</v>
      </c>
      <c r="J208" s="82">
        <v>6952</v>
      </c>
      <c r="K208" s="427">
        <f>=I208*J208</f>
        <v>278080</v>
      </c>
      <c r="L208" s="82">
        <v>6952</v>
      </c>
      <c r="M208" s="428">
        <f>=I208*L208</f>
        <v>278080</v>
      </c>
      <c r="N208" s="82">
        <f>=K208-M208</f>
        <v>0</v>
      </c>
      <c r="O208" s="64">
        <v>0</v>
      </c>
      <c r="P208" s="64">
        <f>=I208*O208*ROUNDUP((A208-B208)/30,0)</f>
        <v>0</v>
      </c>
      <c r="Q208" s="62" t="s"/>
      <c r="R208" s="62" t="s"/>
    </row>
    <row r="209" spans="1:18" ht="15.75" customHeight="true">
      <c r="A209" s="80">
        <v>46050</v>
      </c>
      <c r="B209" s="426">
        <v>45982</v>
      </c>
      <c r="C209" s="64" t="s">
        <v>89</v>
      </c>
      <c r="D209" s="194" t="s">
        <v>65</v>
      </c>
      <c r="E209" s="64" t="s"/>
      <c r="F209" s="197" t="s">
        <v>421</v>
      </c>
      <c r="G209" s="197" t="s">
        <v>422</v>
      </c>
      <c r="H209" s="64" t="s">
        <v>711</v>
      </c>
      <c r="I209" s="64">
        <v>24</v>
      </c>
      <c r="J209" s="82">
        <v>6908</v>
      </c>
      <c r="K209" s="427">
        <f>=I209*J209</f>
        <v>165792</v>
      </c>
      <c r="L209" s="82">
        <v>6908</v>
      </c>
      <c r="M209" s="428">
        <f>=I209*L209</f>
        <v>165792</v>
      </c>
      <c r="N209" s="82">
        <f>=K209-M209</f>
        <v>0</v>
      </c>
      <c r="O209" s="64">
        <v>0</v>
      </c>
      <c r="P209" s="64">
        <f>=I209*O209*ROUNDUP((A209-B209)/30,0)</f>
        <v>0</v>
      </c>
      <c r="Q209" s="62" t="s"/>
      <c r="R209" s="62" t="s"/>
    </row>
    <row r="210" spans="1:18" ht="15.75" customHeight="true">
      <c r="A210" s="80">
        <v>46050</v>
      </c>
      <c r="B210" s="426">
        <v>45982</v>
      </c>
      <c r="C210" s="64" t="s">
        <v>89</v>
      </c>
      <c r="D210" s="194" t="s">
        <v>65</v>
      </c>
      <c r="E210" s="64" t="s"/>
      <c r="F210" s="197" t="s">
        <v>421</v>
      </c>
      <c r="G210" s="197" t="s">
        <v>422</v>
      </c>
      <c r="H210" s="64" t="s">
        <v>713</v>
      </c>
      <c r="I210" s="64">
        <v>1</v>
      </c>
      <c r="J210" s="82">
        <v>21165.8</v>
      </c>
      <c r="K210" s="427">
        <f>=I210*J210</f>
        <v>21165.8</v>
      </c>
      <c r="L210" s="82">
        <v>8766.5</v>
      </c>
      <c r="M210" s="428">
        <f>=I210*L210</f>
        <v>8766.5</v>
      </c>
      <c r="N210" s="82">
        <f>=K210-M210</f>
        <v>12399.3</v>
      </c>
      <c r="O210" s="64">
        <v>0</v>
      </c>
      <c r="P210" s="64">
        <f>=I210*O210*ROUNDUP((A210-B210)/30,0)</f>
        <v>0</v>
      </c>
      <c r="Q210" s="62" t="s"/>
      <c r="R210" s="62" t="s"/>
    </row>
    <row r="211" spans="1:18" ht="15.75" customHeight="true">
      <c r="A211" s="80">
        <v>46050</v>
      </c>
      <c r="B211" s="426">
        <v>45982</v>
      </c>
      <c r="C211" s="64" t="s">
        <v>89</v>
      </c>
      <c r="D211" s="194" t="s">
        <v>65</v>
      </c>
      <c r="E211" s="64" t="s"/>
      <c r="F211" s="197" t="s">
        <v>421</v>
      </c>
      <c r="G211" s="197" t="s">
        <v>422</v>
      </c>
      <c r="H211" s="64" t="s">
        <v>715</v>
      </c>
      <c r="I211" s="64">
        <v>5</v>
      </c>
      <c r="J211" s="82">
        <v>8722</v>
      </c>
      <c r="K211" s="427">
        <f>=I211*J211</f>
        <v>43610</v>
      </c>
      <c r="L211" s="82">
        <v>8722</v>
      </c>
      <c r="M211" s="428">
        <f>=I211*L211</f>
        <v>43610</v>
      </c>
      <c r="N211" s="82">
        <f>=K211-M211</f>
        <v>0</v>
      </c>
      <c r="O211" s="64">
        <v>0</v>
      </c>
      <c r="P211" s="64">
        <f>=I211*O211*ROUNDUP((A211-B211)/30,0)</f>
        <v>0</v>
      </c>
      <c r="Q211" s="62" t="s"/>
      <c r="R211" s="62" t="s"/>
    </row>
    <row r="212" spans="1:18" ht="15.75" customHeight="true">
      <c r="A212" s="80">
        <v>46050</v>
      </c>
      <c r="B212" s="426">
        <v>45982</v>
      </c>
      <c r="C212" s="64" t="s">
        <v>89</v>
      </c>
      <c r="D212" s="194" t="s">
        <v>65</v>
      </c>
      <c r="E212" s="64" t="s"/>
      <c r="F212" s="197" t="s">
        <v>421</v>
      </c>
      <c r="G212" s="197" t="s">
        <v>422</v>
      </c>
      <c r="H212" s="64" t="s">
        <v>717</v>
      </c>
      <c r="I212" s="64">
        <v>2</v>
      </c>
      <c r="J212" s="82">
        <v>9701</v>
      </c>
      <c r="K212" s="427">
        <f>=I212*J212</f>
        <v>19402</v>
      </c>
      <c r="L212" s="82">
        <v>9701</v>
      </c>
      <c r="M212" s="428">
        <f>=I212*L212</f>
        <v>19402</v>
      </c>
      <c r="N212" s="82">
        <f>=K212-M212</f>
        <v>0</v>
      </c>
      <c r="O212" s="64">
        <v>0</v>
      </c>
      <c r="P212" s="64">
        <f>=I212*O212*ROUNDUP((A212-B212)/30,0)</f>
        <v>0</v>
      </c>
      <c r="Q212" s="62" t="s"/>
      <c r="R212" s="62" t="s"/>
    </row>
    <row r="213" spans="1:18" s="270" customFormat="true" ht="15.75" customHeight="true">
      <c r="A213" s="348">
        <v>46051</v>
      </c>
      <c r="B213" s="426">
        <v>45989</v>
      </c>
      <c r="C213" s="64" t="s">
        <v>90</v>
      </c>
      <c r="D213" s="194" t="s">
        <v>2553</v>
      </c>
      <c r="E213" s="94" t="s">
        <v>2570</v>
      </c>
      <c r="F213" s="247" t="s">
        <v>428</v>
      </c>
      <c r="G213" s="64" t="s">
        <v>470</v>
      </c>
      <c r="H213" s="247" t="s">
        <v>733</v>
      </c>
      <c r="I213" s="247">
        <v>500</v>
      </c>
      <c r="J213" s="82">
        <v>954</v>
      </c>
      <c r="K213" s="427">
        <f>=I213*J213</f>
        <v>477000</v>
      </c>
      <c r="L213" s="82">
        <v>938</v>
      </c>
      <c r="M213" s="428">
        <f>=I213*L213</f>
        <v>469000</v>
      </c>
      <c r="N213" s="82">
        <f>=K213-M213</f>
        <v>8000</v>
      </c>
      <c r="O213" s="64">
        <v>0</v>
      </c>
      <c r="P213" s="64">
        <f>=I213*O213*ROUNDUP((A213-B213)/30,0)</f>
        <v>0</v>
      </c>
      <c r="Q213" s="348" t="s"/>
      <c r="R213" s="64" t="s"/>
    </row>
    <row r="214" spans="1:18" ht="15.75" customHeight="true">
      <c r="A214" s="80">
        <v>46052</v>
      </c>
      <c r="B214" s="426">
        <v>46025</v>
      </c>
      <c r="C214" s="64" t="s">
        <v>99</v>
      </c>
      <c r="D214" s="448" t="s">
        <v>100</v>
      </c>
      <c r="E214" s="64" t="s"/>
      <c r="F214" s="64" t="s">
        <v>741</v>
      </c>
      <c r="G214" s="194" t="s">
        <v>470</v>
      </c>
      <c r="H214" s="194" t="s">
        <v>750</v>
      </c>
      <c r="I214" s="64">
        <v>300</v>
      </c>
      <c r="J214" s="82">
        <v>3021</v>
      </c>
      <c r="K214" s="427">
        <f>=I214*J214</f>
        <v>906300</v>
      </c>
      <c r="L214" s="82">
        <v>2999</v>
      </c>
      <c r="M214" s="428">
        <f>=I214*L214</f>
        <v>899700</v>
      </c>
      <c r="N214" s="82">
        <f>=K214-M214</f>
        <v>6600</v>
      </c>
      <c r="O214" s="64">
        <v>1.5</v>
      </c>
      <c r="P214" s="64">
        <f>=I214*O214*ROUNDUP((A214-B214)/30,0)</f>
        <v>450</v>
      </c>
      <c r="Q214" s="62" t="s"/>
      <c r="R214" s="62" t="s"/>
    </row>
    <row r="215" spans="1:18" ht="15.75" customHeight="true">
      <c r="A215" s="80">
        <v>46052</v>
      </c>
      <c r="B215" s="426">
        <v>46025</v>
      </c>
      <c r="C215" s="64" t="s">
        <v>99</v>
      </c>
      <c r="D215" s="94" t="s">
        <v>100</v>
      </c>
      <c r="E215" s="64" t="s"/>
      <c r="F215" s="64" t="s">
        <v>741</v>
      </c>
      <c r="G215" s="194" t="s">
        <v>470</v>
      </c>
      <c r="H215" s="194" t="s">
        <v>751</v>
      </c>
      <c r="I215" s="64">
        <v>189</v>
      </c>
      <c r="J215" s="82">
        <v>3122</v>
      </c>
      <c r="K215" s="427">
        <f>=I215*J215</f>
        <v>590058</v>
      </c>
      <c r="L215" s="82">
        <v>3099</v>
      </c>
      <c r="M215" s="428">
        <f>=I215*L215</f>
        <v>585711</v>
      </c>
      <c r="N215" s="82">
        <f>=K215-M215</f>
        <v>4347</v>
      </c>
      <c r="O215" s="64">
        <v>1.5</v>
      </c>
      <c r="P215" s="64">
        <f>=I215*O215*ROUNDUP((A215-B215)/30,0)</f>
        <v>283.5</v>
      </c>
      <c r="Q215" s="62" t="s"/>
      <c r="R215" s="62" t="s"/>
    </row>
    <row r="216" spans="1:18" ht="15.75" customHeight="true">
      <c r="A216" s="80">
        <v>46052</v>
      </c>
      <c r="B216" s="426">
        <v>46025</v>
      </c>
      <c r="C216" s="64" t="s">
        <v>99</v>
      </c>
      <c r="D216" s="94" t="s">
        <v>100</v>
      </c>
      <c r="E216" s="64" t="s"/>
      <c r="F216" s="64" t="s">
        <v>741</v>
      </c>
      <c r="G216" s="194" t="s">
        <v>470</v>
      </c>
      <c r="H216" s="194" t="s">
        <v>752</v>
      </c>
      <c r="I216" s="64">
        <v>1900</v>
      </c>
      <c r="J216" s="82">
        <v>3323</v>
      </c>
      <c r="K216" s="427">
        <f>=I216*J216</f>
        <v>6313700</v>
      </c>
      <c r="L216" s="82">
        <v>3299</v>
      </c>
      <c r="M216" s="428">
        <f>=I216*L216</f>
        <v>6268100</v>
      </c>
      <c r="N216" s="82">
        <f>=K216-M216</f>
        <v>45600</v>
      </c>
      <c r="O216" s="64">
        <v>1.5</v>
      </c>
      <c r="P216" s="64">
        <f>=I216*O216*ROUNDUP((A216-B216)/30,0)</f>
        <v>2850</v>
      </c>
      <c r="Q216" s="62" t="s"/>
      <c r="R216" s="62" t="s"/>
    </row>
    <row r="217" spans="1:18" ht="15.75" customHeight="true">
      <c r="A217" s="126">
        <v>46061</v>
      </c>
      <c r="B217" s="426">
        <v>45989</v>
      </c>
      <c r="C217" s="64" t="s">
        <v>90</v>
      </c>
      <c r="D217" s="64" t="s">
        <v>2553</v>
      </c>
      <c r="E217" s="94" t="s">
        <v>2571</v>
      </c>
      <c r="F217" s="247" t="s">
        <v>428</v>
      </c>
      <c r="G217" s="64" t="s">
        <v>470</v>
      </c>
      <c r="H217" s="247" t="s">
        <v>733</v>
      </c>
      <c r="I217" s="64">
        <v>500</v>
      </c>
      <c r="J217" s="82">
        <v>957</v>
      </c>
      <c r="K217" s="427">
        <v>478500</v>
      </c>
      <c r="L217" s="82">
        <v>938</v>
      </c>
      <c r="M217" s="428">
        <f>=I217*L217</f>
        <v>469000</v>
      </c>
      <c r="N217" s="82">
        <f>=K217-M217</f>
        <v>9500</v>
      </c>
      <c r="O217" s="64">
        <v>0</v>
      </c>
      <c r="P217" s="64">
        <f>=I217*O217*ROUNDUP((A217-B217)/30,0)</f>
        <v>0</v>
      </c>
      <c r="Q217" s="62" t="s"/>
      <c r="R217" s="62" t="s"/>
    </row>
    <row r="218" spans="1:18" ht="15.75" customHeight="true">
      <c r="A218" s="348">
        <v>46062</v>
      </c>
      <c r="B218" s="426">
        <v>46053</v>
      </c>
      <c r="C218" s="64" t="s">
        <v>108</v>
      </c>
      <c r="D218" s="64" t="s">
        <v>2553</v>
      </c>
      <c r="E218" s="94" t="s">
        <v>2572</v>
      </c>
      <c r="F218" s="247" t="s">
        <v>428</v>
      </c>
      <c r="G218" s="64" t="s">
        <v>470</v>
      </c>
      <c r="H218" s="64" t="s">
        <v>658</v>
      </c>
      <c r="I218" s="64">
        <v>300</v>
      </c>
      <c r="J218" s="82">
        <v>940</v>
      </c>
      <c r="K218" s="427">
        <f>=I218*J218</f>
        <v>282000</v>
      </c>
      <c r="L218" s="82">
        <v>938</v>
      </c>
      <c r="M218" s="428">
        <f>=I218*L218</f>
        <v>281400</v>
      </c>
      <c r="N218" s="82">
        <f>=K218-M218</f>
        <v>600</v>
      </c>
      <c r="O218" s="64">
        <v>0</v>
      </c>
      <c r="P218" s="64">
        <f>=I218*O218*ROUNDUP((A218-B218)/30,0)</f>
        <v>0</v>
      </c>
      <c r="Q218" s="62" t="s"/>
      <c r="R218" s="62" t="s"/>
    </row>
    <row r="219" spans="1:18" ht="15.75" customHeight="true">
      <c r="A219" s="449">
        <v>46055</v>
      </c>
      <c r="B219" s="426">
        <v>46037</v>
      </c>
      <c r="C219" s="64" t="s">
        <v>105</v>
      </c>
      <c r="D219" s="64" t="s">
        <v>80</v>
      </c>
      <c r="E219" s="64" t="s"/>
      <c r="F219" s="197" t="s">
        <v>421</v>
      </c>
      <c r="G219" s="197" t="s">
        <v>422</v>
      </c>
      <c r="H219" s="197" t="s">
        <v>797</v>
      </c>
      <c r="I219" s="64">
        <v>15</v>
      </c>
      <c r="J219" s="82">
        <v>10668</v>
      </c>
      <c r="K219" s="427">
        <f>=I219*J219</f>
        <v>160020</v>
      </c>
      <c r="L219" s="428">
        <v>10620</v>
      </c>
      <c r="M219" s="428">
        <f>=I219*L219</f>
        <v>159300</v>
      </c>
      <c r="N219" s="82">
        <f>=K219-M219</f>
        <v>720</v>
      </c>
      <c r="O219" s="64">
        <v>0</v>
      </c>
      <c r="P219" s="64">
        <f>=I219*O219*ROUNDUP((A219-B219)/30,0)</f>
        <v>0</v>
      </c>
      <c r="Q219" s="62" t="s"/>
      <c r="R219" s="62" t="s"/>
    </row>
    <row r="220" spans="1:18" ht="15.75" customHeight="true">
      <c r="A220" s="449">
        <v>46041</v>
      </c>
      <c r="B220" s="426">
        <v>46037</v>
      </c>
      <c r="C220" s="64" t="s">
        <v>105</v>
      </c>
      <c r="D220" s="64" t="s">
        <v>80</v>
      </c>
      <c r="E220" s="64" t="s"/>
      <c r="F220" s="197" t="s">
        <v>421</v>
      </c>
      <c r="G220" s="197" t="s">
        <v>422</v>
      </c>
      <c r="H220" s="197" t="s">
        <v>780</v>
      </c>
      <c r="I220" s="64">
        <v>2</v>
      </c>
      <c r="J220" s="82">
        <v>8898</v>
      </c>
      <c r="K220" s="427">
        <f>=I220*J220</f>
        <v>17796</v>
      </c>
      <c r="L220" s="428">
        <v>8875</v>
      </c>
      <c r="M220" s="428">
        <f>=I220*L220</f>
        <v>17750</v>
      </c>
      <c r="N220" s="82">
        <f>=K220-M220</f>
        <v>46</v>
      </c>
      <c r="O220" s="64">
        <v>0</v>
      </c>
      <c r="P220" s="64">
        <f>=I220*O220*ROUNDUP((A220-B220)/30,0)</f>
        <v>0</v>
      </c>
      <c r="Q220" s="62" t="s"/>
      <c r="R220" s="62" t="s"/>
    </row>
    <row r="221" spans="1:18" ht="15.75" customHeight="true">
      <c r="A221" s="449">
        <v>46032</v>
      </c>
      <c r="B221" s="426">
        <v>46031</v>
      </c>
      <c r="C221" s="64" t="s">
        <v>102</v>
      </c>
      <c r="D221" s="64" t="s">
        <v>80</v>
      </c>
      <c r="E221" s="64" t="s"/>
      <c r="F221" s="197" t="s">
        <v>421</v>
      </c>
      <c r="G221" s="197" t="s">
        <v>422</v>
      </c>
      <c r="H221" s="197" t="s">
        <v>513</v>
      </c>
      <c r="I221" s="64">
        <v>13</v>
      </c>
      <c r="J221" s="82">
        <v>5170</v>
      </c>
      <c r="K221" s="427">
        <f>=I221*J221</f>
        <v>67210</v>
      </c>
      <c r="L221" s="428">
        <v>5166</v>
      </c>
      <c r="M221" s="428">
        <f>=I221*L221</f>
        <v>67158</v>
      </c>
      <c r="N221" s="82">
        <f>=K221-M221</f>
        <v>52</v>
      </c>
      <c r="O221" s="64">
        <v>0</v>
      </c>
      <c r="P221" s="64">
        <f>=I221*O221*ROUNDUP((A221-B221)/30,0)</f>
        <v>0</v>
      </c>
      <c r="Q221" s="62" t="s"/>
      <c r="R221" s="62" t="s"/>
    </row>
    <row r="222" spans="1:18" ht="15.75" customHeight="true">
      <c r="A222" s="449">
        <v>46048</v>
      </c>
      <c r="B222" s="426">
        <v>46031</v>
      </c>
      <c r="C222" s="64" t="s">
        <v>102</v>
      </c>
      <c r="D222" s="64" t="s">
        <v>80</v>
      </c>
      <c r="E222" s="64" t="s"/>
      <c r="F222" s="197" t="s">
        <v>421</v>
      </c>
      <c r="G222" s="197" t="s">
        <v>422</v>
      </c>
      <c r="H222" s="197" t="s">
        <v>765</v>
      </c>
      <c r="I222" s="64">
        <v>8</v>
      </c>
      <c r="J222" s="82">
        <v>8223</v>
      </c>
      <c r="K222" s="427">
        <f>=I222*J222</f>
        <v>65784</v>
      </c>
      <c r="L222" s="428">
        <v>8190</v>
      </c>
      <c r="M222" s="428">
        <f>=I222*L222</f>
        <v>65520</v>
      </c>
      <c r="N222" s="82">
        <f>=K222-M222</f>
        <v>264</v>
      </c>
      <c r="O222" s="64">
        <v>0</v>
      </c>
      <c r="P222" s="64">
        <f>=I222*O222*ROUNDUP((A222-B222)/30,0)</f>
        <v>0</v>
      </c>
      <c r="Q222" s="62" t="s"/>
      <c r="R222" s="62" t="s"/>
    </row>
    <row r="223" spans="1:18" ht="15.75" customHeight="true">
      <c r="A223" s="449">
        <v>46041</v>
      </c>
      <c r="B223" s="426">
        <v>46031</v>
      </c>
      <c r="C223" s="64" t="s">
        <v>102</v>
      </c>
      <c r="D223" s="64" t="s">
        <v>80</v>
      </c>
      <c r="E223" s="64" t="s"/>
      <c r="F223" s="197" t="s">
        <v>421</v>
      </c>
      <c r="G223" s="197" t="s">
        <v>422</v>
      </c>
      <c r="H223" s="197" t="s">
        <v>768</v>
      </c>
      <c r="I223" s="64">
        <v>8</v>
      </c>
      <c r="J223" s="82">
        <v>7960</v>
      </c>
      <c r="K223" s="427">
        <f>=I223*J223</f>
        <v>63680</v>
      </c>
      <c r="L223" s="428">
        <v>7940</v>
      </c>
      <c r="M223" s="428">
        <f>=I223*L223</f>
        <v>63520</v>
      </c>
      <c r="N223" s="82">
        <f>=K223-M223</f>
        <v>160</v>
      </c>
      <c r="O223" s="64">
        <v>0</v>
      </c>
      <c r="P223" s="64">
        <f>=I223*O223*ROUNDUP((A223-B223)/30,0)</f>
        <v>0</v>
      </c>
      <c r="Q223" s="62" t="s"/>
      <c r="R223" s="62" t="s"/>
    </row>
    <row r="224" spans="1:18" ht="15.75" customHeight="true">
      <c r="A224" s="449">
        <v>46034</v>
      </c>
      <c r="B224" s="426">
        <v>46031</v>
      </c>
      <c r="C224" s="64" t="s">
        <v>102</v>
      </c>
      <c r="D224" s="64" t="s">
        <v>80</v>
      </c>
      <c r="E224" s="64" t="s"/>
      <c r="F224" s="197" t="s">
        <v>421</v>
      </c>
      <c r="G224" s="197" t="s">
        <v>422</v>
      </c>
      <c r="H224" s="197" t="s">
        <v>780</v>
      </c>
      <c r="I224" s="64">
        <v>1</v>
      </c>
      <c r="J224" s="82">
        <v>8848</v>
      </c>
      <c r="K224" s="427">
        <f>=I224*J224</f>
        <v>8848</v>
      </c>
      <c r="L224" s="428">
        <v>8840</v>
      </c>
      <c r="M224" s="428">
        <f>=I224*L224</f>
        <v>8840</v>
      </c>
      <c r="N224" s="82">
        <f>=K224-M224</f>
        <v>8</v>
      </c>
      <c r="O224" s="64">
        <v>0</v>
      </c>
      <c r="P224" s="64">
        <f>=I224*O224*ROUNDUP((A224-B224)/30,0)</f>
        <v>0</v>
      </c>
      <c r="Q224" s="62" t="s"/>
      <c r="R224" s="62" t="s"/>
    </row>
    <row r="225" spans="1:18" ht="15.75" customHeight="true">
      <c r="A225" s="449">
        <v>46033</v>
      </c>
      <c r="B225" s="426">
        <v>46031</v>
      </c>
      <c r="C225" s="64" t="s">
        <v>102</v>
      </c>
      <c r="D225" s="64" t="s">
        <v>80</v>
      </c>
      <c r="E225" s="64" t="s"/>
      <c r="F225" s="197" t="s">
        <v>421</v>
      </c>
      <c r="G225" s="197" t="s">
        <v>422</v>
      </c>
      <c r="H225" s="197" t="s">
        <v>780</v>
      </c>
      <c r="I225" s="64">
        <v>15</v>
      </c>
      <c r="J225" s="82">
        <v>8846</v>
      </c>
      <c r="K225" s="427">
        <f>=I225*J225</f>
        <v>132690</v>
      </c>
      <c r="L225" s="428">
        <v>8840</v>
      </c>
      <c r="M225" s="428">
        <f>=I225*L225</f>
        <v>132600</v>
      </c>
      <c r="N225" s="82">
        <f>=K225-M225</f>
        <v>90</v>
      </c>
      <c r="O225" s="64">
        <v>0</v>
      </c>
      <c r="P225" s="64">
        <f>=I225*O225*ROUNDUP((A225-B225)/30,0)</f>
        <v>0</v>
      </c>
      <c r="Q225" s="62" t="s"/>
      <c r="R225" s="62" t="s"/>
    </row>
    <row r="226" spans="1:18" ht="15.75" customHeight="true">
      <c r="A226" s="449">
        <v>46049</v>
      </c>
      <c r="B226" s="426">
        <v>46031</v>
      </c>
      <c r="C226" s="64" t="s">
        <v>102</v>
      </c>
      <c r="D226" s="64" t="s">
        <v>80</v>
      </c>
      <c r="E226" s="64" t="s"/>
      <c r="F226" s="197" t="s">
        <v>421</v>
      </c>
      <c r="G226" s="197" t="s">
        <v>422</v>
      </c>
      <c r="H226" s="197" t="s">
        <v>780</v>
      </c>
      <c r="I226" s="64">
        <v>15</v>
      </c>
      <c r="J226" s="82">
        <v>8880</v>
      </c>
      <c r="K226" s="427">
        <f>=I226*J226</f>
        <v>133200</v>
      </c>
      <c r="L226" s="428">
        <v>8840</v>
      </c>
      <c r="M226" s="428">
        <f>=I226*L226</f>
        <v>132600</v>
      </c>
      <c r="N226" s="82">
        <f>=K226-M226</f>
        <v>600</v>
      </c>
      <c r="O226" s="64">
        <v>0</v>
      </c>
      <c r="P226" s="64">
        <f>=I226*O226*ROUNDUP((A226-B226)/30,0)</f>
        <v>0</v>
      </c>
      <c r="Q226" s="62" t="s"/>
      <c r="R226" s="62" t="s"/>
    </row>
    <row r="227" spans="1:18" ht="15.75" customHeight="true">
      <c r="A227" s="449">
        <v>46032</v>
      </c>
      <c r="B227" s="426">
        <v>46031</v>
      </c>
      <c r="C227" s="64" t="s">
        <v>102</v>
      </c>
      <c r="D227" s="64" t="s">
        <v>80</v>
      </c>
      <c r="E227" s="64" t="s"/>
      <c r="F227" s="197" t="s">
        <v>421</v>
      </c>
      <c r="G227" s="197" t="s">
        <v>422</v>
      </c>
      <c r="H227" s="197" t="s">
        <v>783</v>
      </c>
      <c r="I227" s="64">
        <v>35</v>
      </c>
      <c r="J227" s="82">
        <v>8914</v>
      </c>
      <c r="K227" s="427">
        <f>=I227*J227</f>
        <v>311990</v>
      </c>
      <c r="L227" s="428">
        <v>8910</v>
      </c>
      <c r="M227" s="428">
        <f>=I227*L227</f>
        <v>311850</v>
      </c>
      <c r="N227" s="82">
        <f>=K227-M227</f>
        <v>140</v>
      </c>
      <c r="O227" s="64">
        <v>0</v>
      </c>
      <c r="P227" s="64">
        <f>=I227*O227*ROUNDUP((A227-B227)/30,0)</f>
        <v>0</v>
      </c>
      <c r="Q227" s="62" t="s"/>
      <c r="R227" s="62" t="s"/>
    </row>
    <row r="228" spans="1:18" ht="15.75" customHeight="true">
      <c r="A228" s="449">
        <v>46049</v>
      </c>
      <c r="B228" s="426">
        <v>46029</v>
      </c>
      <c r="C228" s="64" t="s">
        <v>101</v>
      </c>
      <c r="D228" s="64" t="s">
        <v>80</v>
      </c>
      <c r="E228" s="64" t="s"/>
      <c r="F228" s="197" t="s">
        <v>421</v>
      </c>
      <c r="G228" s="197" t="s">
        <v>422</v>
      </c>
      <c r="H228" s="197" t="s">
        <v>755</v>
      </c>
      <c r="I228" s="64">
        <v>30</v>
      </c>
      <c r="J228" s="82">
        <v>5246</v>
      </c>
      <c r="K228" s="427">
        <f>=I228*J228</f>
        <v>157380</v>
      </c>
      <c r="L228" s="428">
        <v>5220</v>
      </c>
      <c r="M228" s="428">
        <f>=I228*L228</f>
        <v>156600</v>
      </c>
      <c r="N228" s="82">
        <f>=K228-M228</f>
        <v>780</v>
      </c>
      <c r="O228" s="64">
        <v>0</v>
      </c>
      <c r="P228" s="64">
        <f>=I228*O228*ROUNDUP((A228-B228)/30,0)</f>
        <v>0</v>
      </c>
      <c r="Q228" s="62" t="s"/>
      <c r="R228" s="62" t="s"/>
    </row>
    <row r="229" spans="1:18" ht="15.75" customHeight="true">
      <c r="A229" s="449">
        <v>46033</v>
      </c>
      <c r="B229" s="426">
        <v>46029</v>
      </c>
      <c r="C229" s="64" t="s">
        <v>101</v>
      </c>
      <c r="D229" s="64" t="s">
        <v>80</v>
      </c>
      <c r="E229" s="64" t="s"/>
      <c r="F229" s="197" t="s">
        <v>421</v>
      </c>
      <c r="G229" s="197" t="s">
        <v>422</v>
      </c>
      <c r="H229" s="197" t="s">
        <v>758</v>
      </c>
      <c r="I229" s="64">
        <v>5</v>
      </c>
      <c r="J229" s="82">
        <v>5228</v>
      </c>
      <c r="K229" s="427">
        <f>=I229*J229</f>
        <v>26140</v>
      </c>
      <c r="L229" s="428">
        <v>5220</v>
      </c>
      <c r="M229" s="428">
        <f>=I229*L229</f>
        <v>26100</v>
      </c>
      <c r="N229" s="82">
        <f>=K229-M229</f>
        <v>40</v>
      </c>
      <c r="O229" s="64">
        <v>0</v>
      </c>
      <c r="P229" s="64">
        <f>=I229*O229*ROUNDUP((A229-B229)/30,0)</f>
        <v>0</v>
      </c>
      <c r="Q229" s="62" t="s"/>
      <c r="R229" s="62" t="s"/>
    </row>
    <row r="230" spans="1:18" ht="15.75" customHeight="true">
      <c r="A230" s="449">
        <v>46033</v>
      </c>
      <c r="B230" s="426">
        <v>46029</v>
      </c>
      <c r="C230" s="64" t="s">
        <v>101</v>
      </c>
      <c r="D230" s="64" t="s">
        <v>80</v>
      </c>
      <c r="E230" s="64" t="s"/>
      <c r="F230" s="197" t="s">
        <v>421</v>
      </c>
      <c r="G230" s="197" t="s">
        <v>422</v>
      </c>
      <c r="H230" s="197" t="s">
        <v>761</v>
      </c>
      <c r="I230" s="64">
        <v>15</v>
      </c>
      <c r="J230" s="82">
        <v>8110</v>
      </c>
      <c r="K230" s="427">
        <f>=I230*J230</f>
        <v>121650</v>
      </c>
      <c r="L230" s="428">
        <v>8100</v>
      </c>
      <c r="M230" s="428">
        <f>=I230*L230</f>
        <v>121500</v>
      </c>
      <c r="N230" s="82">
        <f>=K230-M230</f>
        <v>150</v>
      </c>
      <c r="O230" s="64">
        <v>0</v>
      </c>
      <c r="P230" s="64">
        <f>=I230*O230*ROUNDUP((A230-B230)/30,0)</f>
        <v>0</v>
      </c>
      <c r="Q230" s="62" t="s"/>
      <c r="R230" s="62" t="s"/>
    </row>
    <row r="231" spans="1:18" ht="15.75" customHeight="true">
      <c r="A231" s="449">
        <v>46034</v>
      </c>
      <c r="B231" s="426">
        <v>46031</v>
      </c>
      <c r="C231" s="64" t="s">
        <v>102</v>
      </c>
      <c r="D231" s="64" t="s">
        <v>80</v>
      </c>
      <c r="E231" s="64" t="s"/>
      <c r="F231" s="197" t="s">
        <v>421</v>
      </c>
      <c r="G231" s="197" t="s">
        <v>422</v>
      </c>
      <c r="H231" s="197" t="s">
        <v>780</v>
      </c>
      <c r="I231" s="64">
        <v>30</v>
      </c>
      <c r="J231" s="82">
        <v>8838</v>
      </c>
      <c r="K231" s="427">
        <f>=I231*J231</f>
        <v>265140</v>
      </c>
      <c r="L231" s="428">
        <v>8830</v>
      </c>
      <c r="M231" s="428">
        <f>=I231*L231</f>
        <v>264900</v>
      </c>
      <c r="N231" s="82">
        <f>=K231-M231</f>
        <v>240</v>
      </c>
      <c r="O231" s="64">
        <v>0</v>
      </c>
      <c r="P231" s="64">
        <f>=I231*O231*ROUNDUP((A231-B231)/30,0)</f>
        <v>0</v>
      </c>
      <c r="Q231" s="62" t="s"/>
      <c r="R231" s="62" t="s"/>
    </row>
    <row r="232" spans="1:18" ht="15.75" customHeight="true">
      <c r="A232" s="449">
        <v>46033</v>
      </c>
      <c r="B232" s="426">
        <v>46031</v>
      </c>
      <c r="C232" s="64" t="s">
        <v>102</v>
      </c>
      <c r="D232" s="64" t="s">
        <v>80</v>
      </c>
      <c r="E232" s="64" t="s"/>
      <c r="F232" s="197" t="s">
        <v>421</v>
      </c>
      <c r="G232" s="197" t="s">
        <v>422</v>
      </c>
      <c r="H232" s="197" t="s">
        <v>790</v>
      </c>
      <c r="I232" s="64">
        <v>5</v>
      </c>
      <c r="J232" s="82">
        <v>5224</v>
      </c>
      <c r="K232" s="427">
        <f>=I232*J232</f>
        <v>26120</v>
      </c>
      <c r="L232" s="428">
        <v>5220</v>
      </c>
      <c r="M232" s="428">
        <f>=I232*L232</f>
        <v>26100</v>
      </c>
      <c r="N232" s="82">
        <f>=K232-M232</f>
        <v>20</v>
      </c>
      <c r="O232" s="64">
        <v>0</v>
      </c>
      <c r="P232" s="64">
        <f>=I232*O232*ROUNDUP((A232-B232)/30,0)</f>
        <v>0</v>
      </c>
      <c r="Q232" s="62" t="s"/>
      <c r="R232" s="62" t="s"/>
    </row>
    <row r="233" spans="1:18" ht="15.75" customHeight="true">
      <c r="A233" s="449">
        <v>45955</v>
      </c>
      <c r="B233" s="426">
        <v>45951</v>
      </c>
      <c r="C233" s="64" t="s">
        <v>79</v>
      </c>
      <c r="D233" s="64" t="s">
        <v>80</v>
      </c>
      <c r="E233" s="64" t="s"/>
      <c r="F233" s="197" t="s">
        <v>421</v>
      </c>
      <c r="G233" s="197" t="s">
        <v>422</v>
      </c>
      <c r="H233" s="197" t="s">
        <v>665</v>
      </c>
      <c r="I233" s="64">
        <v>4</v>
      </c>
      <c r="J233" s="82">
        <v>11355.67</v>
      </c>
      <c r="K233" s="427">
        <f>=I233*J233</f>
        <v>45422.68</v>
      </c>
      <c r="L233" s="428">
        <v>11340</v>
      </c>
      <c r="M233" s="428">
        <f>=I233*L233</f>
        <v>45360</v>
      </c>
      <c r="N233" s="82">
        <f>=K233-M233</f>
        <v>62.6800000000003</v>
      </c>
      <c r="O233" s="64">
        <v>0</v>
      </c>
      <c r="P233" s="64">
        <f>=I233*O233*ROUNDUP((A233-B233)/30,0)</f>
        <v>0</v>
      </c>
      <c r="Q233" s="62" t="s"/>
      <c r="R233" s="62" t="s"/>
    </row>
    <row r="234" spans="1:18" ht="15.75" customHeight="true">
      <c r="A234" s="449">
        <v>45965</v>
      </c>
      <c r="B234" s="426">
        <v>45951</v>
      </c>
      <c r="C234" s="64" t="s">
        <v>79</v>
      </c>
      <c r="D234" s="64" t="s">
        <v>80</v>
      </c>
      <c r="E234" s="64" t="s"/>
      <c r="F234" s="197" t="s">
        <v>421</v>
      </c>
      <c r="G234" s="197" t="s">
        <v>422</v>
      </c>
      <c r="H234" s="197" t="s">
        <v>667</v>
      </c>
      <c r="I234" s="64">
        <v>47</v>
      </c>
      <c r="J234" s="82">
        <v>7771</v>
      </c>
      <c r="K234" s="427">
        <f>=I234*J234</f>
        <v>365237</v>
      </c>
      <c r="L234" s="428">
        <v>7740</v>
      </c>
      <c r="M234" s="428">
        <f>=I234*L234</f>
        <v>363780</v>
      </c>
      <c r="N234" s="82">
        <f>=K234-M234</f>
        <v>1457</v>
      </c>
      <c r="O234" s="64">
        <v>0</v>
      </c>
      <c r="P234" s="64">
        <f>=I234*O234*ROUNDUP((A234-B234)/30,0)</f>
        <v>0</v>
      </c>
      <c r="Q234" s="62" t="s"/>
      <c r="R234" s="62" t="s"/>
    </row>
    <row r="235" spans="1:18" ht="15.75" customHeight="true">
      <c r="A235" s="449">
        <v>45955</v>
      </c>
      <c r="B235" s="426">
        <v>45951</v>
      </c>
      <c r="C235" s="64" t="s">
        <v>79</v>
      </c>
      <c r="D235" s="64" t="s">
        <v>80</v>
      </c>
      <c r="E235" s="64" t="s"/>
      <c r="F235" s="197" t="s">
        <v>421</v>
      </c>
      <c r="G235" s="197" t="s">
        <v>422</v>
      </c>
      <c r="H235" s="197" t="s">
        <v>669</v>
      </c>
      <c r="I235" s="64">
        <v>8</v>
      </c>
      <c r="J235" s="82">
        <v>11355.67</v>
      </c>
      <c r="K235" s="427">
        <f>=I235*J235</f>
        <v>90845.36</v>
      </c>
      <c r="L235" s="428">
        <v>11340</v>
      </c>
      <c r="M235" s="428">
        <f>=I235*L235</f>
        <v>90720</v>
      </c>
      <c r="N235" s="82">
        <f>=K235-M235</f>
        <v>125.360000000001</v>
      </c>
      <c r="O235" s="64">
        <v>0</v>
      </c>
      <c r="P235" s="64">
        <f>=I235*O235*ROUNDUP((A235-B235)/30,0)</f>
        <v>0</v>
      </c>
      <c r="Q235" s="62" t="s"/>
      <c r="R235" s="62" t="s"/>
    </row>
    <row r="236" spans="1:18" ht="15.75" customHeight="true">
      <c r="A236" s="449">
        <v>46001</v>
      </c>
      <c r="B236" s="426">
        <v>45943</v>
      </c>
      <c r="C236" s="64" t="s">
        <v>78</v>
      </c>
      <c r="D236" s="64" t="s">
        <v>80</v>
      </c>
      <c r="E236" s="64" t="s"/>
      <c r="F236" s="197" t="s">
        <v>421</v>
      </c>
      <c r="G236" s="197" t="s">
        <v>422</v>
      </c>
      <c r="H236" s="197" t="s">
        <v>513</v>
      </c>
      <c r="I236" s="64">
        <v>20</v>
      </c>
      <c r="J236" s="82">
        <v>5173</v>
      </c>
      <c r="K236" s="427">
        <f>=I236*J236</f>
        <v>103460</v>
      </c>
      <c r="L236" s="428">
        <v>5100</v>
      </c>
      <c r="M236" s="428">
        <f>=I236*L236</f>
        <v>102000</v>
      </c>
      <c r="N236" s="82">
        <f>=K236-M236</f>
        <v>1460</v>
      </c>
      <c r="O236" s="64">
        <v>0</v>
      </c>
      <c r="P236" s="64">
        <f>=I236*O236*ROUNDUP((A236-B236)/30,0)</f>
        <v>0</v>
      </c>
      <c r="Q236" s="62" t="s"/>
      <c r="R236" s="62" t="s"/>
    </row>
    <row r="237" spans="1:18" ht="15.75" customHeight="true">
      <c r="A237" s="449">
        <v>46000</v>
      </c>
      <c r="B237" s="426">
        <v>45943</v>
      </c>
      <c r="C237" s="64" t="s">
        <v>78</v>
      </c>
      <c r="D237" s="64" t="s">
        <v>80</v>
      </c>
      <c r="E237" s="64" t="s"/>
      <c r="F237" s="197" t="s">
        <v>421</v>
      </c>
      <c r="G237" s="197" t="s">
        <v>422</v>
      </c>
      <c r="H237" s="197" t="s">
        <v>513</v>
      </c>
      <c r="I237" s="64">
        <v>35</v>
      </c>
      <c r="J237" s="82">
        <v>5171.4</v>
      </c>
      <c r="K237" s="427">
        <f>=I237*J237</f>
        <v>180999</v>
      </c>
      <c r="L237" s="428">
        <v>5100</v>
      </c>
      <c r="M237" s="428">
        <f>=I237*L237</f>
        <v>178500</v>
      </c>
      <c r="N237" s="82">
        <f>=K237-M237</f>
        <v>2499</v>
      </c>
      <c r="O237" s="64">
        <v>0</v>
      </c>
      <c r="P237" s="64">
        <f>=I237*O237*ROUNDUP((A237-B237)/30,0)</f>
        <v>0</v>
      </c>
      <c r="Q237" s="62" t="s"/>
      <c r="R237" s="62" t="s"/>
    </row>
    <row r="238" spans="1:18" ht="15.75" customHeight="true">
      <c r="A238" s="449">
        <v>46048</v>
      </c>
      <c r="B238" s="426">
        <v>45943</v>
      </c>
      <c r="C238" s="64" t="s">
        <v>78</v>
      </c>
      <c r="D238" s="64" t="s">
        <v>80</v>
      </c>
      <c r="E238" s="64" t="s"/>
      <c r="F238" s="197" t="s">
        <v>421</v>
      </c>
      <c r="G238" s="197" t="s">
        <v>422</v>
      </c>
      <c r="H238" s="197" t="s">
        <v>513</v>
      </c>
      <c r="I238" s="64">
        <v>47</v>
      </c>
      <c r="J238" s="82">
        <v>5232.6</v>
      </c>
      <c r="K238" s="427">
        <f>=I238*J238</f>
        <v>245932.2</v>
      </c>
      <c r="L238" s="428">
        <v>5100</v>
      </c>
      <c r="M238" s="428">
        <f>=I238*L238</f>
        <v>239700</v>
      </c>
      <c r="N238" s="82">
        <f>=K238-M238</f>
        <v>6232.20000000001</v>
      </c>
      <c r="O238" s="64">
        <v>0</v>
      </c>
      <c r="P238" s="64">
        <f>=I238*O238*ROUNDUP((A238-B238)/30,0)</f>
        <v>0</v>
      </c>
      <c r="Q238" s="62" t="s"/>
      <c r="R238" s="62" t="s"/>
    </row>
    <row r="239" spans="1:18" ht="15.75" customHeight="true">
      <c r="A239" s="449">
        <v>46033</v>
      </c>
      <c r="B239" s="426">
        <v>45943</v>
      </c>
      <c r="C239" s="64" t="s">
        <v>78</v>
      </c>
      <c r="D239" s="64" t="s">
        <v>80</v>
      </c>
      <c r="E239" s="64" t="s"/>
      <c r="F239" s="197" t="s">
        <v>421</v>
      </c>
      <c r="G239" s="197" t="s">
        <v>422</v>
      </c>
      <c r="H239" s="197" t="s">
        <v>513</v>
      </c>
      <c r="I239" s="64">
        <v>50</v>
      </c>
      <c r="J239" s="82">
        <v>5214.75</v>
      </c>
      <c r="K239" s="427">
        <f>=I239*J239</f>
        <v>260737.5</v>
      </c>
      <c r="L239" s="428">
        <v>5100</v>
      </c>
      <c r="M239" s="428">
        <f>=I239*L239</f>
        <v>255000</v>
      </c>
      <c r="N239" s="82">
        <f>=K239-M239</f>
        <v>5737.5</v>
      </c>
      <c r="O239" s="64">
        <v>0</v>
      </c>
      <c r="P239" s="64">
        <f>=I239*O239*ROUNDUP((A239-B239)/30,0)</f>
        <v>0</v>
      </c>
      <c r="Q239" s="62" t="s"/>
      <c r="R239" s="62" t="s"/>
    </row>
    <row r="240" spans="1:18" ht="15.75" customHeight="true">
      <c r="A240" s="449">
        <v>46048</v>
      </c>
      <c r="B240" s="426">
        <v>45943</v>
      </c>
      <c r="C240" s="64" t="s">
        <v>78</v>
      </c>
      <c r="D240" s="64" t="s">
        <v>80</v>
      </c>
      <c r="E240" s="64" t="s"/>
      <c r="F240" s="197" t="s">
        <v>421</v>
      </c>
      <c r="G240" s="197" t="s">
        <v>422</v>
      </c>
      <c r="H240" s="197" t="s">
        <v>513</v>
      </c>
      <c r="I240" s="64">
        <v>50</v>
      </c>
      <c r="J240" s="82">
        <v>5232.6</v>
      </c>
      <c r="K240" s="427">
        <f>=I240*J240</f>
        <v>261630</v>
      </c>
      <c r="L240" s="428">
        <v>5100</v>
      </c>
      <c r="M240" s="428">
        <f>=I240*L240</f>
        <v>255000</v>
      </c>
      <c r="N240" s="82">
        <f>=K240-M240</f>
        <v>6630.00000000003</v>
      </c>
      <c r="O240" s="64">
        <v>0</v>
      </c>
      <c r="P240" s="64">
        <f>=I240*O240*ROUNDUP((A240-B240)/30,0)</f>
        <v>0</v>
      </c>
      <c r="Q240" s="62" t="s"/>
      <c r="R240" s="62" t="s"/>
    </row>
    <row r="241" spans="1:18" ht="15.75" customHeight="true">
      <c r="A241" s="449">
        <v>46041</v>
      </c>
      <c r="B241" s="426">
        <v>45943</v>
      </c>
      <c r="C241" s="64" t="s">
        <v>78</v>
      </c>
      <c r="D241" s="64" t="s">
        <v>80</v>
      </c>
      <c r="E241" s="64" t="s"/>
      <c r="F241" s="197" t="s">
        <v>421</v>
      </c>
      <c r="G241" s="197" t="s">
        <v>422</v>
      </c>
      <c r="H241" s="197" t="s">
        <v>513</v>
      </c>
      <c r="I241" s="64">
        <v>100</v>
      </c>
      <c r="J241" s="82">
        <v>5223</v>
      </c>
      <c r="K241" s="427">
        <f>=I241*J241</f>
        <v>522300</v>
      </c>
      <c r="L241" s="428">
        <v>5100</v>
      </c>
      <c r="M241" s="428">
        <f>=I241*L241</f>
        <v>510000</v>
      </c>
      <c r="N241" s="82">
        <f>=K241-M241</f>
        <v>12300</v>
      </c>
      <c r="O241" s="64">
        <v>0</v>
      </c>
      <c r="P241" s="64">
        <f>=I241*O241*ROUNDUP((A241-B241)/30,0)</f>
        <v>0</v>
      </c>
      <c r="Q241" s="62" t="s"/>
      <c r="R241" s="62" t="s"/>
    </row>
    <row r="242" spans="1:18" ht="15.75" customHeight="true">
      <c r="A242" s="80">
        <v>46056</v>
      </c>
      <c r="B242" s="426">
        <v>45929</v>
      </c>
      <c r="C242" s="64" t="s">
        <v>76</v>
      </c>
      <c r="D242" s="247" t="s">
        <v>52</v>
      </c>
      <c r="E242" s="155" t="s">
        <v>2573</v>
      </c>
      <c r="F242" s="247" t="s">
        <v>428</v>
      </c>
      <c r="G242" s="64" t="s">
        <v>422</v>
      </c>
      <c r="H242" s="64" t="s">
        <v>493</v>
      </c>
      <c r="I242" s="64">
        <v>45</v>
      </c>
      <c r="J242" s="82">
        <v>1811</v>
      </c>
      <c r="K242" s="427">
        <f>=I242*J242</f>
        <v>81495</v>
      </c>
      <c r="L242" s="82">
        <v>1744</v>
      </c>
      <c r="M242" s="428">
        <f>=I242*L242</f>
        <v>78480</v>
      </c>
      <c r="N242" s="82">
        <f>=K242-M242</f>
        <v>3015</v>
      </c>
      <c r="O242" s="64">
        <v>0</v>
      </c>
      <c r="P242" s="64">
        <f>=I242*O242*ROUNDUP((A242-B242)/30,0)</f>
        <v>0</v>
      </c>
      <c r="Q242" s="76" t="s"/>
      <c r="R242" s="62" t="s"/>
    </row>
    <row r="243" spans="1:18" ht="15.75" customHeight="true">
      <c r="A243" s="80">
        <v>46056</v>
      </c>
      <c r="B243" s="426">
        <v>45929</v>
      </c>
      <c r="C243" s="64" t="s">
        <v>76</v>
      </c>
      <c r="D243" s="247" t="s">
        <v>52</v>
      </c>
      <c r="E243" s="94" t="s">
        <v>2574</v>
      </c>
      <c r="F243" s="247" t="s">
        <v>428</v>
      </c>
      <c r="G243" s="64" t="s">
        <v>422</v>
      </c>
      <c r="H243" s="64" t="s">
        <v>660</v>
      </c>
      <c r="I243" s="64">
        <v>20</v>
      </c>
      <c r="J243" s="82">
        <v>1554</v>
      </c>
      <c r="K243" s="427">
        <f>=I243*J243</f>
        <v>31080</v>
      </c>
      <c r="L243" s="82">
        <v>1496</v>
      </c>
      <c r="M243" s="428">
        <f>=I243*L243</f>
        <v>29920</v>
      </c>
      <c r="N243" s="82">
        <f>=K243-M243</f>
        <v>1160</v>
      </c>
      <c r="O243" s="64">
        <v>0</v>
      </c>
      <c r="P243" s="64">
        <f>=I243*O243*ROUNDUP((A243-B243)/30,0)</f>
        <v>0</v>
      </c>
      <c r="Q243" s="76" t="s"/>
      <c r="R243" s="62" t="s"/>
    </row>
    <row r="244" spans="1:18" ht="15.75" customHeight="true">
      <c r="A244" s="126">
        <v>46062</v>
      </c>
      <c r="B244" s="426">
        <v>46058</v>
      </c>
      <c r="C244" s="64" t="s">
        <v>118</v>
      </c>
      <c r="D244" s="64" t="s">
        <v>116</v>
      </c>
      <c r="E244" s="450" t="s">
        <v>2575</v>
      </c>
      <c r="F244" s="197" t="s">
        <v>804</v>
      </c>
      <c r="G244" s="64" t="s">
        <v>429</v>
      </c>
      <c r="H244" s="64" t="s">
        <v>822</v>
      </c>
      <c r="I244" s="64">
        <v>500</v>
      </c>
      <c r="J244" s="82">
        <v>105.21</v>
      </c>
      <c r="K244" s="427">
        <f>=I244*J244</f>
        <v>52605</v>
      </c>
      <c r="L244" s="82">
        <v>105</v>
      </c>
      <c r="M244" s="428">
        <f>=I244*L244</f>
        <v>52500</v>
      </c>
      <c r="N244" s="82">
        <f>=K244-M244</f>
        <v>105</v>
      </c>
      <c r="O244" s="64">
        <v>0</v>
      </c>
      <c r="P244" s="64">
        <f>=I244*O244*ROUNDUP((A244-B244)/30,0)</f>
        <v>0</v>
      </c>
      <c r="Q244" s="62" t="s"/>
      <c r="R244" s="62" t="s"/>
    </row>
    <row r="245" spans="1:18" ht="15.75" customHeight="true">
      <c r="A245" s="126">
        <v>46062</v>
      </c>
      <c r="B245" s="426">
        <v>46058</v>
      </c>
      <c r="C245" s="64" t="s">
        <v>118</v>
      </c>
      <c r="D245" s="64" t="s">
        <v>116</v>
      </c>
      <c r="E245" s="450" t="s">
        <v>2576</v>
      </c>
      <c r="F245" s="197" t="s">
        <v>804</v>
      </c>
      <c r="G245" s="64" t="s">
        <v>429</v>
      </c>
      <c r="H245" s="64" t="s">
        <v>828</v>
      </c>
      <c r="I245" s="64">
        <v>500</v>
      </c>
      <c r="J245" s="82">
        <v>159.52</v>
      </c>
      <c r="K245" s="427">
        <f>=I245*J245</f>
        <v>79760</v>
      </c>
      <c r="L245" s="82">
        <v>159.2</v>
      </c>
      <c r="M245" s="428">
        <f>=I245*L245</f>
        <v>79600</v>
      </c>
      <c r="N245" s="82">
        <f>=K245-M245</f>
        <v>160</v>
      </c>
      <c r="O245" s="64">
        <v>0</v>
      </c>
      <c r="P245" s="64">
        <f>=I245*O245*ROUNDUP((A245-B245)/30,0)</f>
        <v>0</v>
      </c>
      <c r="Q245" s="62" t="s"/>
      <c r="R245" s="62" t="s"/>
    </row>
    <row r="246" spans="1:18" ht="15.75" customHeight="true">
      <c r="A246" s="126">
        <v>46062</v>
      </c>
      <c r="B246" s="426">
        <v>46059</v>
      </c>
      <c r="C246" s="64" t="s">
        <v>119</v>
      </c>
      <c r="D246" s="64" t="s">
        <v>116</v>
      </c>
      <c r="E246" s="94" t="s">
        <v>2577</v>
      </c>
      <c r="F246" s="197" t="s">
        <v>804</v>
      </c>
      <c r="G246" s="64" t="s">
        <v>429</v>
      </c>
      <c r="H246" s="64" t="s">
        <v>824</v>
      </c>
      <c r="I246" s="64">
        <v>300</v>
      </c>
      <c r="J246" s="82">
        <v>57.11</v>
      </c>
      <c r="K246" s="427">
        <f>=I246*J246</f>
        <v>17133</v>
      </c>
      <c r="L246" s="82">
        <v>57</v>
      </c>
      <c r="M246" s="428">
        <f>=I246*L246</f>
        <v>17100</v>
      </c>
      <c r="N246" s="82">
        <f>=K246-M246</f>
        <v>33</v>
      </c>
      <c r="O246" s="64">
        <v>0</v>
      </c>
      <c r="P246" s="64">
        <f>=I246*O246*ROUNDUP((A246-B246)/30,0)</f>
        <v>0</v>
      </c>
      <c r="Q246" s="62" t="s"/>
      <c r="R246" s="62" t="s"/>
    </row>
    <row r="247" spans="1:18" ht="15.75" customHeight="true">
      <c r="A247" s="126">
        <v>46063</v>
      </c>
      <c r="B247" s="451">
        <v>46061</v>
      </c>
      <c r="C247" s="83" t="s">
        <v>125</v>
      </c>
      <c r="D247" s="64" t="s">
        <v>2578</v>
      </c>
      <c r="E247" s="64" t="s">
        <v>2579</v>
      </c>
      <c r="F247" s="197" t="s">
        <v>421</v>
      </c>
      <c r="G247" s="228" t="s">
        <v>422</v>
      </c>
      <c r="H247" s="83" t="s">
        <v>845</v>
      </c>
      <c r="I247" s="64">
        <v>1</v>
      </c>
      <c r="J247" s="82">
        <v>5026.77</v>
      </c>
      <c r="K247" s="427">
        <f>=I247*J247</f>
        <v>5026.77</v>
      </c>
      <c r="L247" s="82">
        <v>5022</v>
      </c>
      <c r="M247" s="428">
        <f>=I247*L247</f>
        <v>5022</v>
      </c>
      <c r="N247" s="82">
        <f>=K247-M247</f>
        <v>4.77000000000044</v>
      </c>
      <c r="O247" s="64">
        <v>1</v>
      </c>
      <c r="P247" s="64">
        <f>=I247*O247*ROUNDUP((A247-B247)/30,0)</f>
        <v>1</v>
      </c>
      <c r="Q247" s="62" t="s"/>
      <c r="R247" s="62" t="s"/>
    </row>
    <row r="248" spans="1:18" ht="15.75" customHeight="true">
      <c r="A248" s="126">
        <v>46064</v>
      </c>
      <c r="B248" s="426">
        <v>46061</v>
      </c>
      <c r="C248" s="64" t="s">
        <v>125</v>
      </c>
      <c r="D248" s="64" t="s">
        <v>2578</v>
      </c>
      <c r="E248" s="64" t="s">
        <v>2580</v>
      </c>
      <c r="F248" s="197" t="s">
        <v>421</v>
      </c>
      <c r="G248" s="197" t="s">
        <v>422</v>
      </c>
      <c r="H248" s="64" t="s">
        <v>845</v>
      </c>
      <c r="I248" s="64">
        <v>141</v>
      </c>
      <c r="J248" s="82">
        <v>5028.02</v>
      </c>
      <c r="K248" s="427">
        <f>=I248*J248</f>
        <v>708950.82</v>
      </c>
      <c r="L248" s="82">
        <v>5022</v>
      </c>
      <c r="M248" s="428">
        <f>=I248*L248</f>
        <v>708102</v>
      </c>
      <c r="N248" s="82">
        <f>=K248-M248</f>
        <v>848.820000000065</v>
      </c>
      <c r="O248" s="64">
        <v>1</v>
      </c>
      <c r="P248" s="64">
        <f>=I248*O248*ROUNDUP((A248-B248)/30,0)</f>
        <v>141</v>
      </c>
      <c r="Q248" s="62" t="s"/>
      <c r="R248" s="62" t="s"/>
    </row>
    <row r="249" spans="1:18" ht="15.75" customHeight="true">
      <c r="A249" s="126">
        <v>46064</v>
      </c>
      <c r="B249" s="426">
        <v>46061</v>
      </c>
      <c r="C249" s="64" t="s">
        <v>125</v>
      </c>
      <c r="D249" s="64" t="s">
        <v>2578</v>
      </c>
      <c r="E249" s="450" t="s">
        <v>2581</v>
      </c>
      <c r="F249" s="197" t="s">
        <v>421</v>
      </c>
      <c r="G249" s="197" t="s">
        <v>422</v>
      </c>
      <c r="H249" s="64" t="s">
        <v>844</v>
      </c>
      <c r="I249" s="64">
        <v>50</v>
      </c>
      <c r="J249" s="82">
        <v>5028.02</v>
      </c>
      <c r="K249" s="427">
        <f>=I249*J249</f>
        <v>251401</v>
      </c>
      <c r="L249" s="82">
        <v>5022</v>
      </c>
      <c r="M249" s="428">
        <f>=I249*L249</f>
        <v>251100</v>
      </c>
      <c r="N249" s="82">
        <f>=K249-M249</f>
        <v>301.000000000029</v>
      </c>
      <c r="O249" s="64">
        <v>1</v>
      </c>
      <c r="P249" s="64">
        <f>=I249*O249*ROUNDUP((A249-B249)/30,0)</f>
        <v>50</v>
      </c>
      <c r="Q249" s="62" t="s"/>
      <c r="R249" s="62" t="s"/>
    </row>
    <row r="250" spans="1:18" ht="15.75" customHeight="true">
      <c r="A250" s="126">
        <v>46064</v>
      </c>
      <c r="B250" s="426">
        <v>46061</v>
      </c>
      <c r="C250" s="64" t="s">
        <v>125</v>
      </c>
      <c r="D250" s="64" t="s">
        <v>2578</v>
      </c>
      <c r="E250" s="450" t="s">
        <v>2582</v>
      </c>
      <c r="F250" s="197" t="s">
        <v>421</v>
      </c>
      <c r="G250" s="197" t="s">
        <v>422</v>
      </c>
      <c r="H250" s="64" t="s">
        <v>844</v>
      </c>
      <c r="I250" s="64">
        <v>150</v>
      </c>
      <c r="J250" s="82">
        <v>5028.02</v>
      </c>
      <c r="K250" s="427">
        <f>=I250*J250</f>
        <v>754203</v>
      </c>
      <c r="L250" s="82">
        <v>5022</v>
      </c>
      <c r="M250" s="428">
        <f>=I250*L250</f>
        <v>753300</v>
      </c>
      <c r="N250" s="82">
        <f>=K250-M250</f>
        <v>903.000000000117</v>
      </c>
      <c r="O250" s="64">
        <v>1</v>
      </c>
      <c r="P250" s="64">
        <f>=I250*O250*ROUNDUP((A250-B250)/30,0)</f>
        <v>150</v>
      </c>
      <c r="Q250" s="62" t="s"/>
      <c r="R250" s="62" t="s"/>
    </row>
    <row r="251" spans="1:18" ht="15.75" customHeight="true">
      <c r="A251" s="126">
        <v>46064</v>
      </c>
      <c r="B251" s="426">
        <v>46061</v>
      </c>
      <c r="C251" s="64" t="s">
        <v>125</v>
      </c>
      <c r="D251" s="64" t="s">
        <v>2578</v>
      </c>
      <c r="E251" s="450" t="s">
        <v>2583</v>
      </c>
      <c r="F251" s="197" t="s">
        <v>421</v>
      </c>
      <c r="G251" s="197" t="s">
        <v>422</v>
      </c>
      <c r="H251" s="64" t="s">
        <v>844</v>
      </c>
      <c r="I251" s="64">
        <v>158</v>
      </c>
      <c r="J251" s="82">
        <v>5028.02</v>
      </c>
      <c r="K251" s="427">
        <f>=I251*J251</f>
        <v>794427.16</v>
      </c>
      <c r="L251" s="82">
        <v>5022</v>
      </c>
      <c r="M251" s="428">
        <f>=I251*L251</f>
        <v>793476</v>
      </c>
      <c r="N251" s="82">
        <f>=K251-M251</f>
        <v>951.160000000033</v>
      </c>
      <c r="O251" s="64">
        <v>1</v>
      </c>
      <c r="P251" s="64">
        <f>=I251*O251*ROUNDUP((A251-B251)/30,0)</f>
        <v>158</v>
      </c>
      <c r="Q251" s="62" t="s"/>
      <c r="R251" s="62" t="s"/>
    </row>
    <row r="252" spans="1:18" ht="15.75" customHeight="true">
      <c r="A252" s="126">
        <v>46064</v>
      </c>
      <c r="B252" s="426">
        <v>46061</v>
      </c>
      <c r="C252" s="64" t="s">
        <v>125</v>
      </c>
      <c r="D252" s="64" t="s">
        <v>2578</v>
      </c>
      <c r="E252" s="450" t="s">
        <v>2584</v>
      </c>
      <c r="F252" s="197" t="s">
        <v>421</v>
      </c>
      <c r="G252" s="197" t="s">
        <v>422</v>
      </c>
      <c r="H252" s="64" t="s">
        <v>846</v>
      </c>
      <c r="I252" s="64">
        <v>127</v>
      </c>
      <c r="J252" s="82">
        <v>5028.02</v>
      </c>
      <c r="K252" s="427">
        <f>=I252*J252</f>
        <v>638558.54</v>
      </c>
      <c r="L252" s="82">
        <v>5022</v>
      </c>
      <c r="M252" s="428">
        <f>=I252*L252</f>
        <v>637794</v>
      </c>
      <c r="N252" s="82">
        <f>=K252-M252</f>
        <v>764.540000000037</v>
      </c>
      <c r="O252" s="64">
        <v>1</v>
      </c>
      <c r="P252" s="64">
        <f>=I252*O252*ROUNDUP((A252-B252)/30,0)</f>
        <v>127</v>
      </c>
      <c r="Q252" s="62" t="s"/>
      <c r="R252" s="62" t="s"/>
    </row>
    <row r="253" spans="1:18" ht="15.75" customHeight="true">
      <c r="A253" s="126">
        <v>46064</v>
      </c>
      <c r="B253" s="426">
        <v>46062</v>
      </c>
      <c r="C253" s="64" t="s">
        <v>3772</v>
      </c>
      <c r="D253" s="64" t="s">
        <v>2578</v>
      </c>
      <c r="E253" s="450" t="s">
        <v>2585</v>
      </c>
      <c r="F253" s="197" t="s">
        <v>421</v>
      </c>
      <c r="G253" s="197" t="s">
        <v>422</v>
      </c>
      <c r="H253" s="64" t="s">
        <v>847</v>
      </c>
      <c r="I253" s="64">
        <v>100</v>
      </c>
      <c r="J253" s="82">
        <v>5026.77</v>
      </c>
      <c r="K253" s="427">
        <f>=I253*J253</f>
        <v>502677</v>
      </c>
      <c r="L253" s="82">
        <v>5022</v>
      </c>
      <c r="M253" s="428">
        <f>=I253*L253</f>
        <v>502200</v>
      </c>
      <c r="N253" s="82">
        <f>=K253-M253</f>
        <v>477.000000000058</v>
      </c>
      <c r="O253" s="64">
        <v>1</v>
      </c>
      <c r="P253" s="64">
        <f>=I253*O253*ROUNDUP((A253-B253)/30,0)</f>
        <v>100</v>
      </c>
      <c r="Q253" s="62" t="s"/>
      <c r="R253" s="62" t="s"/>
    </row>
    <row r="254" spans="1:18" ht="15.75" customHeight="true">
      <c r="A254" s="126">
        <v>46064</v>
      </c>
      <c r="B254" s="426">
        <v>46062</v>
      </c>
      <c r="C254" s="64" t="s">
        <v>3772</v>
      </c>
      <c r="D254" s="64" t="s">
        <v>2578</v>
      </c>
      <c r="E254" s="450" t="s">
        <v>2586</v>
      </c>
      <c r="F254" s="197" t="s">
        <v>421</v>
      </c>
      <c r="G254" s="197" t="s">
        <v>422</v>
      </c>
      <c r="H254" s="64" t="s">
        <v>847</v>
      </c>
      <c r="I254" s="64">
        <v>150</v>
      </c>
      <c r="J254" s="82">
        <v>5026.77</v>
      </c>
      <c r="K254" s="427">
        <f>=I254*J254</f>
        <v>754015.5</v>
      </c>
      <c r="L254" s="82">
        <v>5022</v>
      </c>
      <c r="M254" s="428">
        <f>=I254*L254</f>
        <v>753300</v>
      </c>
      <c r="N254" s="82">
        <f>=K254-M254</f>
        <v>715.500000000117</v>
      </c>
      <c r="O254" s="64">
        <v>1</v>
      </c>
      <c r="P254" s="64">
        <f>=I254*O254*ROUNDUP((A254-B254)/30,0)</f>
        <v>150</v>
      </c>
      <c r="Q254" s="62" t="s"/>
      <c r="R254" s="62" t="s"/>
    </row>
    <row r="255" spans="1:18" ht="15.75" customHeight="true">
      <c r="A255" s="126">
        <v>46064</v>
      </c>
      <c r="B255" s="426">
        <v>46062</v>
      </c>
      <c r="C255" s="64" t="s">
        <v>3772</v>
      </c>
      <c r="D255" s="64" t="s">
        <v>2578</v>
      </c>
      <c r="E255" s="450" t="s">
        <v>2587</v>
      </c>
      <c r="F255" s="197" t="s">
        <v>421</v>
      </c>
      <c r="G255" s="197" t="s">
        <v>422</v>
      </c>
      <c r="H255" s="64" t="s">
        <v>847</v>
      </c>
      <c r="I255" s="64">
        <v>159</v>
      </c>
      <c r="J255" s="82">
        <v>5026.77</v>
      </c>
      <c r="K255" s="427">
        <f>=I255*J255</f>
        <v>799256.43</v>
      </c>
      <c r="L255" s="82">
        <v>5022</v>
      </c>
      <c r="M255" s="428">
        <f>=I255*L255</f>
        <v>798498</v>
      </c>
      <c r="N255" s="82">
        <f>=K255-M255</f>
        <v>758.430000000051</v>
      </c>
      <c r="O255" s="64">
        <v>1</v>
      </c>
      <c r="P255" s="64">
        <f>=I255*O255*ROUNDUP((A255-B255)/30,0)</f>
        <v>159</v>
      </c>
      <c r="Q255" s="62" t="s"/>
      <c r="R255" s="62" t="s"/>
    </row>
    <row r="256" spans="1:18" ht="15.75" customHeight="true">
      <c r="A256" s="126">
        <v>46064</v>
      </c>
      <c r="B256" s="426">
        <v>46062</v>
      </c>
      <c r="C256" s="64" t="s">
        <v>126</v>
      </c>
      <c r="D256" s="64" t="s">
        <v>2578</v>
      </c>
      <c r="E256" s="450" t="s">
        <v>2588</v>
      </c>
      <c r="F256" s="197" t="s">
        <v>421</v>
      </c>
      <c r="G256" s="197" t="s">
        <v>422</v>
      </c>
      <c r="H256" s="64" t="s">
        <v>848</v>
      </c>
      <c r="I256" s="64">
        <v>100</v>
      </c>
      <c r="J256" s="82">
        <v>5026.77</v>
      </c>
      <c r="K256" s="427">
        <f>=I256*J256</f>
        <v>502677</v>
      </c>
      <c r="L256" s="82">
        <v>5022</v>
      </c>
      <c r="M256" s="428">
        <f>=I256*L256</f>
        <v>502200</v>
      </c>
      <c r="N256" s="82">
        <f>=K256-M256</f>
        <v>477.000000000058</v>
      </c>
      <c r="O256" s="64">
        <v>1</v>
      </c>
      <c r="P256" s="64">
        <f>=I256*O256*ROUNDUP((A256-B256)/30,0)</f>
        <v>100</v>
      </c>
      <c r="Q256" s="62" t="s"/>
      <c r="R256" s="62" t="s"/>
    </row>
    <row r="257" spans="1:18" ht="15.75" customHeight="true">
      <c r="A257" s="80">
        <v>46065</v>
      </c>
      <c r="B257" s="426">
        <v>45854</v>
      </c>
      <c r="C257" s="92" t="s">
        <v>61</v>
      </c>
      <c r="D257" s="197" t="s">
        <v>2480</v>
      </c>
      <c r="E257" s="94" t="s">
        <v>2589</v>
      </c>
      <c r="F257" s="64" t="s">
        <v>2481</v>
      </c>
      <c r="G257" s="64" t="s">
        <v>422</v>
      </c>
      <c r="H257" s="64" t="s">
        <v>504</v>
      </c>
      <c r="I257" s="64">
        <v>30</v>
      </c>
      <c r="J257" s="82">
        <v>2547</v>
      </c>
      <c r="K257" s="427">
        <f>=I257*J257</f>
        <v>76410</v>
      </c>
      <c r="L257" s="82">
        <v>2394</v>
      </c>
      <c r="M257" s="428">
        <f>=I257*L257</f>
        <v>71820</v>
      </c>
      <c r="N257" s="82">
        <f>=K257-M257</f>
        <v>4590</v>
      </c>
      <c r="O257" s="64">
        <v>0</v>
      </c>
      <c r="P257" s="64">
        <f>=I257*O257*ROUNDUP((A257-B257)/30,0)</f>
        <v>0</v>
      </c>
      <c r="Q257" s="76" t="s"/>
      <c r="R257" s="62" t="s"/>
    </row>
    <row r="258" spans="1:18" ht="15.75" customHeight="true">
      <c r="A258" s="80">
        <v>46065</v>
      </c>
      <c r="B258" s="426">
        <v>45854</v>
      </c>
      <c r="C258" s="92" t="s">
        <v>61</v>
      </c>
      <c r="D258" s="197" t="s">
        <v>2480</v>
      </c>
      <c r="E258" s="121" t="s">
        <v>2590</v>
      </c>
      <c r="F258" s="64" t="s">
        <v>2481</v>
      </c>
      <c r="G258" s="64" t="s">
        <v>422</v>
      </c>
      <c r="H258" s="64" t="s">
        <v>504</v>
      </c>
      <c r="I258" s="64">
        <v>170</v>
      </c>
      <c r="J258" s="82">
        <v>2547</v>
      </c>
      <c r="K258" s="427">
        <f>=I258*J258</f>
        <v>432990</v>
      </c>
      <c r="L258" s="82">
        <v>2394</v>
      </c>
      <c r="M258" s="428">
        <f>=I258*L258</f>
        <v>406980</v>
      </c>
      <c r="N258" s="82">
        <f>=K258-M258</f>
        <v>26010</v>
      </c>
      <c r="O258" s="64">
        <v>0</v>
      </c>
      <c r="P258" s="64">
        <f>=I258*O258*ROUNDUP((A258-B258)/30,0)</f>
        <v>0</v>
      </c>
      <c r="Q258" s="76" t="s"/>
      <c r="R258" s="62" t="s"/>
    </row>
    <row r="259" spans="1:18" ht="15.75" customHeight="true">
      <c r="A259" s="126">
        <v>46065</v>
      </c>
      <c r="B259" s="426">
        <v>46062</v>
      </c>
      <c r="C259" s="64" t="s">
        <v>3772</v>
      </c>
      <c r="D259" s="64" t="s">
        <v>2578</v>
      </c>
      <c r="E259" s="450" t="s">
        <v>2591</v>
      </c>
      <c r="F259" s="197" t="s">
        <v>421</v>
      </c>
      <c r="G259" s="197" t="s">
        <v>422</v>
      </c>
      <c r="H259" s="64" t="s">
        <v>848</v>
      </c>
      <c r="I259" s="64">
        <v>146</v>
      </c>
      <c r="J259" s="82">
        <v>5028.02</v>
      </c>
      <c r="K259" s="427">
        <f>=I259*J259</f>
        <v>734090.92</v>
      </c>
      <c r="L259" s="82">
        <v>5022</v>
      </c>
      <c r="M259" s="428">
        <f>=I259*L259</f>
        <v>733212</v>
      </c>
      <c r="N259" s="82">
        <f>=K259-M259</f>
        <v>878.920000000042</v>
      </c>
      <c r="O259" s="64">
        <v>1</v>
      </c>
      <c r="P259" s="64">
        <f>=I259*O259*ROUNDUP((A259-B259)/30,0)</f>
        <v>146</v>
      </c>
      <c r="Q259" s="62" t="s"/>
      <c r="R259" s="62" t="s"/>
    </row>
    <row r="260" spans="1:18" ht="15.75" customHeight="true">
      <c r="A260" s="126">
        <v>46065</v>
      </c>
      <c r="B260" s="426">
        <v>46062</v>
      </c>
      <c r="C260" s="64" t="s">
        <v>3772</v>
      </c>
      <c r="D260" s="64" t="s">
        <v>2578</v>
      </c>
      <c r="E260" s="450" t="s">
        <v>2592</v>
      </c>
      <c r="F260" s="197" t="s">
        <v>421</v>
      </c>
      <c r="G260" s="197" t="s">
        <v>422</v>
      </c>
      <c r="H260" s="64" t="s">
        <v>848</v>
      </c>
      <c r="I260" s="64">
        <v>100</v>
      </c>
      <c r="J260" s="82">
        <v>5028.02</v>
      </c>
      <c r="K260" s="427">
        <f>=I260*J260</f>
        <v>502802</v>
      </c>
      <c r="L260" s="82">
        <v>5022</v>
      </c>
      <c r="M260" s="428">
        <f>=I260*L260</f>
        <v>502200</v>
      </c>
      <c r="N260" s="82">
        <f>=K260-M260</f>
        <v>602.000000000058</v>
      </c>
      <c r="O260" s="64">
        <v>1</v>
      </c>
      <c r="P260" s="64">
        <f>=I260*O260*ROUNDUP((A260-B260)/30,0)</f>
        <v>100</v>
      </c>
      <c r="Q260" s="62" t="s"/>
      <c r="R260" s="62" t="s"/>
    </row>
    <row r="261" spans="1:18" ht="15.75" customHeight="true">
      <c r="A261" s="80">
        <v>46066</v>
      </c>
      <c r="B261" s="451">
        <v>46053</v>
      </c>
      <c r="C261" s="83" t="s">
        <v>108</v>
      </c>
      <c r="D261" s="83" t="s">
        <v>2553</v>
      </c>
      <c r="E261" s="94" t="s">
        <v>2593</v>
      </c>
      <c r="F261" s="197" t="s">
        <v>428</v>
      </c>
      <c r="G261" s="83" t="s">
        <v>470</v>
      </c>
      <c r="H261" s="83" t="s">
        <v>658</v>
      </c>
      <c r="I261" s="64">
        <v>300</v>
      </c>
      <c r="J261" s="82">
        <v>941</v>
      </c>
      <c r="K261" s="427">
        <f>=I261*J261</f>
        <v>282300</v>
      </c>
      <c r="L261" s="84">
        <v>938</v>
      </c>
      <c r="M261" s="428">
        <f>=I261*L261</f>
        <v>281400</v>
      </c>
      <c r="N261" s="82">
        <f>=K261-M261</f>
        <v>900</v>
      </c>
      <c r="O261" s="64">
        <v>0</v>
      </c>
      <c r="P261" s="64">
        <f>=I261*O261*ROUNDUP((A261-B261)/30,0)</f>
        <v>0</v>
      </c>
      <c r="Q261" s="62" t="s"/>
      <c r="R261" s="62" t="s"/>
    </row>
    <row r="262" spans="1:18" ht="15.75" customHeight="true">
      <c r="A262" s="126">
        <v>46066</v>
      </c>
      <c r="B262" s="426">
        <v>46062</v>
      </c>
      <c r="C262" s="71" t="s">
        <v>126</v>
      </c>
      <c r="D262" s="94" t="s">
        <v>2578</v>
      </c>
      <c r="E262" s="450" t="s">
        <v>2594</v>
      </c>
      <c r="F262" s="197" t="s">
        <v>421</v>
      </c>
      <c r="G262" s="197" t="s">
        <v>422</v>
      </c>
      <c r="H262" s="197" t="s">
        <v>849</v>
      </c>
      <c r="I262" s="450">
        <v>20</v>
      </c>
      <c r="J262" s="82">
        <v>10043.52</v>
      </c>
      <c r="K262" s="427">
        <f>=I262*J262</f>
        <v>200870.4</v>
      </c>
      <c r="L262" s="82">
        <v>10035</v>
      </c>
      <c r="M262" s="428">
        <f>=I262*L262</f>
        <v>200700</v>
      </c>
      <c r="N262" s="82">
        <f>=K262-M262</f>
        <v>170.400000000023</v>
      </c>
      <c r="O262" s="64">
        <v>1</v>
      </c>
      <c r="P262" s="64">
        <f>=I262*O262*ROUNDUP((A262-B262)/30,0)</f>
        <v>20</v>
      </c>
      <c r="Q262" s="62" t="s"/>
      <c r="R262" s="62" t="s"/>
    </row>
    <row r="263" spans="1:18" ht="15.75" customHeight="true">
      <c r="A263" s="126">
        <v>46066</v>
      </c>
      <c r="B263" s="426">
        <v>46062</v>
      </c>
      <c r="C263" s="64" t="s">
        <v>126</v>
      </c>
      <c r="D263" s="64" t="s">
        <v>2595</v>
      </c>
      <c r="E263" s="450" t="s">
        <v>2596</v>
      </c>
      <c r="F263" s="197" t="s">
        <v>421</v>
      </c>
      <c r="G263" s="197" t="s">
        <v>422</v>
      </c>
      <c r="H263" s="197" t="s">
        <v>849</v>
      </c>
      <c r="I263" s="450">
        <v>90</v>
      </c>
      <c r="J263" s="82">
        <v>10048.54</v>
      </c>
      <c r="K263" s="427">
        <f>=I263*J263</f>
        <v>904368.6</v>
      </c>
      <c r="L263" s="82">
        <v>10035</v>
      </c>
      <c r="M263" s="428">
        <f>=I263*L263</f>
        <v>903150</v>
      </c>
      <c r="N263" s="82">
        <f>=K263-M263</f>
        <v>1218.60000000009</v>
      </c>
      <c r="O263" s="64">
        <v>1</v>
      </c>
      <c r="P263" s="64">
        <f>=I263*O263*ROUNDUP((A263-B263)/30,0)</f>
        <v>90</v>
      </c>
      <c r="Q263" s="62" t="s"/>
      <c r="R263" s="62" t="s"/>
    </row>
    <row r="264" spans="1:18" ht="15.75" customHeight="true">
      <c r="A264" s="126">
        <v>46066</v>
      </c>
      <c r="B264" s="426">
        <v>46062</v>
      </c>
      <c r="C264" s="64" t="s">
        <v>126</v>
      </c>
      <c r="D264" s="64" t="s">
        <v>2595</v>
      </c>
      <c r="E264" s="450" t="s">
        <v>2597</v>
      </c>
      <c r="F264" s="197" t="s">
        <v>421</v>
      </c>
      <c r="G264" s="197" t="s">
        <v>422</v>
      </c>
      <c r="H264" s="197" t="s">
        <v>849</v>
      </c>
      <c r="I264" s="450">
        <v>30</v>
      </c>
      <c r="J264" s="82">
        <v>10048.54</v>
      </c>
      <c r="K264" s="427">
        <f>=I264*J264</f>
        <v>301456.2</v>
      </c>
      <c r="L264" s="82">
        <v>10035</v>
      </c>
      <c r="M264" s="428">
        <f>=I264*L264</f>
        <v>301050</v>
      </c>
      <c r="N264" s="82">
        <f>=K264-M264</f>
        <v>406.200000000012</v>
      </c>
      <c r="O264" s="64">
        <v>1</v>
      </c>
      <c r="P264" s="64">
        <f>=I264*O264*ROUNDUP((A264-B264)/30,0)</f>
        <v>30</v>
      </c>
      <c r="Q264" s="62" t="s"/>
      <c r="R264" s="62" t="s"/>
    </row>
    <row r="265" spans="1:18" ht="15.75" customHeight="true">
      <c r="A265" s="452">
        <v>46066</v>
      </c>
      <c r="B265" s="451">
        <v>46062</v>
      </c>
      <c r="C265" s="83" t="s">
        <v>126</v>
      </c>
      <c r="D265" s="83" t="s">
        <v>2595</v>
      </c>
      <c r="E265" s="83" t="s">
        <v>2598</v>
      </c>
      <c r="F265" s="228" t="s">
        <v>421</v>
      </c>
      <c r="G265" s="228" t="s">
        <v>422</v>
      </c>
      <c r="H265" s="228" t="s">
        <v>849</v>
      </c>
      <c r="I265" s="453">
        <v>80</v>
      </c>
      <c r="J265" s="84">
        <v>10048.54</v>
      </c>
      <c r="K265" s="439">
        <f>=I265*J265</f>
        <v>803883.2</v>
      </c>
      <c r="L265" s="84">
        <v>10035</v>
      </c>
      <c r="M265" s="454">
        <f>=I265*L265</f>
        <v>802800</v>
      </c>
      <c r="N265" s="84">
        <f>=K265-M265</f>
        <v>1083.20000000007</v>
      </c>
      <c r="O265" s="83">
        <v>1</v>
      </c>
      <c r="P265" s="83">
        <f>=I265*O265*ROUNDUP((A265-B265)/30,0)</f>
        <v>80</v>
      </c>
      <c r="Q265" s="62" t="s"/>
      <c r="R265" s="62" t="s"/>
    </row>
    <row r="266" spans="1:18" ht="15.75" customHeight="true">
      <c r="A266" s="452">
        <v>46066</v>
      </c>
      <c r="B266" s="451">
        <v>46062</v>
      </c>
      <c r="C266" s="83" t="s">
        <v>126</v>
      </c>
      <c r="D266" s="83" t="s">
        <v>2595</v>
      </c>
      <c r="E266" s="453" t="s">
        <v>2599</v>
      </c>
      <c r="F266" s="228" t="s">
        <v>421</v>
      </c>
      <c r="G266" s="228" t="s">
        <v>422</v>
      </c>
      <c r="H266" s="228" t="s">
        <v>849</v>
      </c>
      <c r="I266" s="453">
        <v>90</v>
      </c>
      <c r="J266" s="84">
        <v>10048.54</v>
      </c>
      <c r="K266" s="439">
        <f>=I266*J266</f>
        <v>904368.6</v>
      </c>
      <c r="L266" s="84">
        <v>10035</v>
      </c>
      <c r="M266" s="454">
        <f>=I266*L266</f>
        <v>903150</v>
      </c>
      <c r="N266" s="84">
        <f>=K266-M266</f>
        <v>1218.60000000009</v>
      </c>
      <c r="O266" s="83">
        <v>1</v>
      </c>
      <c r="P266" s="83">
        <f>=I266*O266*ROUNDUP((A266-B266)/30,0)</f>
        <v>90</v>
      </c>
      <c r="Q266" s="62" t="s"/>
      <c r="R266" s="62" t="s"/>
    </row>
    <row r="267" spans="1:18" ht="15.75" customHeight="true">
      <c r="A267" s="452">
        <v>46066</v>
      </c>
      <c r="B267" s="451">
        <v>46062</v>
      </c>
      <c r="C267" s="83" t="s">
        <v>126</v>
      </c>
      <c r="D267" s="83" t="s">
        <v>2595</v>
      </c>
      <c r="E267" s="453" t="s">
        <v>2600</v>
      </c>
      <c r="F267" s="228" t="s">
        <v>421</v>
      </c>
      <c r="G267" s="228" t="s">
        <v>422</v>
      </c>
      <c r="H267" s="228" t="s">
        <v>849</v>
      </c>
      <c r="I267" s="453">
        <v>90</v>
      </c>
      <c r="J267" s="84">
        <v>10048.54</v>
      </c>
      <c r="K267" s="439">
        <f>=I267*J267</f>
        <v>904368.6</v>
      </c>
      <c r="L267" s="84">
        <v>10035</v>
      </c>
      <c r="M267" s="454">
        <f>=I267*L267</f>
        <v>903150</v>
      </c>
      <c r="N267" s="84">
        <f>=K267-M267</f>
        <v>1218.60000000009</v>
      </c>
      <c r="O267" s="83">
        <v>1</v>
      </c>
      <c r="P267" s="83">
        <f>=I267*O267*ROUNDUP((A267-B267)/30,0)</f>
        <v>90</v>
      </c>
      <c r="Q267" s="62" t="s"/>
      <c r="R267" s="62" t="s"/>
    </row>
    <row r="268" spans="1:18" ht="15.75" customHeight="true">
      <c r="A268" s="126">
        <v>46066</v>
      </c>
      <c r="B268" s="426">
        <v>46064</v>
      </c>
      <c r="C268" s="64" t="s">
        <v>127</v>
      </c>
      <c r="D268" s="64" t="s">
        <v>2595</v>
      </c>
      <c r="E268" s="450" t="s">
        <v>2601</v>
      </c>
      <c r="F268" s="197" t="s">
        <v>421</v>
      </c>
      <c r="G268" s="197" t="s">
        <v>422</v>
      </c>
      <c r="H268" s="197" t="s">
        <v>727</v>
      </c>
      <c r="I268" s="64">
        <v>30</v>
      </c>
      <c r="J268" s="82">
        <v>10043.53</v>
      </c>
      <c r="K268" s="427">
        <f>=I268*J268</f>
        <v>301305.9</v>
      </c>
      <c r="L268" s="82">
        <v>10035</v>
      </c>
      <c r="M268" s="428">
        <f>=I268*L268</f>
        <v>301050</v>
      </c>
      <c r="N268" s="82">
        <f>=K268-M268</f>
        <v>255.900000000023</v>
      </c>
      <c r="O268" s="64">
        <v>1</v>
      </c>
      <c r="P268" s="64">
        <f>=I268*O268*ROUNDUP((A268-B268)/30,0)</f>
        <v>30</v>
      </c>
      <c r="Q268" s="62" t="s"/>
      <c r="R268" s="62" t="s"/>
    </row>
    <row r="269" spans="1:18" ht="15.75" customHeight="true">
      <c r="A269" s="126">
        <v>46066</v>
      </c>
      <c r="B269" s="426">
        <v>46064</v>
      </c>
      <c r="C269" s="64" t="s">
        <v>127</v>
      </c>
      <c r="D269" s="64" t="s">
        <v>2595</v>
      </c>
      <c r="E269" s="450" t="s">
        <v>2602</v>
      </c>
      <c r="F269" s="197" t="s">
        <v>421</v>
      </c>
      <c r="G269" s="197" t="s">
        <v>422</v>
      </c>
      <c r="H269" s="197" t="s">
        <v>851</v>
      </c>
      <c r="I269" s="64">
        <v>60</v>
      </c>
      <c r="J269" s="82">
        <v>10043.53</v>
      </c>
      <c r="K269" s="427">
        <f>=I269*J269</f>
        <v>602611.8</v>
      </c>
      <c r="L269" s="82">
        <v>10035</v>
      </c>
      <c r="M269" s="428">
        <f>=I269*L269</f>
        <v>602100</v>
      </c>
      <c r="N269" s="82">
        <f>=K269-M269</f>
        <v>511.800000000047</v>
      </c>
      <c r="O269" s="64">
        <v>1</v>
      </c>
      <c r="P269" s="64">
        <f>=I269*O269*ROUNDUP((A269-B269)/30,0)</f>
        <v>60</v>
      </c>
      <c r="Q269" s="62" t="s"/>
      <c r="R269" s="62" t="s"/>
    </row>
    <row r="270" spans="1:18" ht="15.75" customHeight="true">
      <c r="A270" s="126">
        <v>46066</v>
      </c>
      <c r="B270" s="426">
        <v>46064</v>
      </c>
      <c r="C270" s="64" t="s">
        <v>127</v>
      </c>
      <c r="D270" s="64" t="s">
        <v>2595</v>
      </c>
      <c r="E270" s="450" t="s">
        <v>2603</v>
      </c>
      <c r="F270" s="197" t="s">
        <v>421</v>
      </c>
      <c r="G270" s="197" t="s">
        <v>422</v>
      </c>
      <c r="H270" s="197" t="s">
        <v>851</v>
      </c>
      <c r="I270" s="64">
        <v>90</v>
      </c>
      <c r="J270" s="82">
        <v>10043.53</v>
      </c>
      <c r="K270" s="427">
        <f>=I270*J270</f>
        <v>903917.7</v>
      </c>
      <c r="L270" s="82">
        <v>10035</v>
      </c>
      <c r="M270" s="428">
        <f>=I270*L270</f>
        <v>903150</v>
      </c>
      <c r="N270" s="82">
        <f>=K270-M270</f>
        <v>767.70000000007</v>
      </c>
      <c r="O270" s="64">
        <v>1</v>
      </c>
      <c r="P270" s="64">
        <f>=I270*O270*ROUNDUP((A270-B270)/30,0)</f>
        <v>90</v>
      </c>
      <c r="Q270" s="62" t="s"/>
      <c r="R270" s="62" t="s"/>
    </row>
    <row r="271" spans="1:18" ht="15.75" customHeight="true">
      <c r="A271" s="452">
        <v>46067</v>
      </c>
      <c r="B271" s="451">
        <v>46064</v>
      </c>
      <c r="C271" s="83" t="s">
        <v>127</v>
      </c>
      <c r="D271" s="83" t="s">
        <v>2595</v>
      </c>
      <c r="E271" s="453" t="s">
        <v>2604</v>
      </c>
      <c r="F271" s="455" t="s">
        <v>421</v>
      </c>
      <c r="G271" s="455" t="s">
        <v>422</v>
      </c>
      <c r="H271" s="455" t="s">
        <v>851</v>
      </c>
      <c r="I271" s="453">
        <v>100</v>
      </c>
      <c r="J271" s="84">
        <v>10051.05</v>
      </c>
      <c r="K271" s="456">
        <f>=I271*J271</f>
        <v>1005105</v>
      </c>
      <c r="L271" s="457">
        <v>10035</v>
      </c>
      <c r="M271" s="458">
        <f>=I271*L271</f>
        <v>1003500</v>
      </c>
      <c r="N271" s="457">
        <f>=K271-M271</f>
        <v>1604.99999999988</v>
      </c>
      <c r="O271" s="317">
        <v>1</v>
      </c>
      <c r="P271" s="83">
        <f>=I271*O271*ROUNDUP((A271-B271)/30,0)</f>
        <v>100</v>
      </c>
      <c r="Q271" s="62" t="s"/>
      <c r="R271" s="62" t="s"/>
    </row>
    <row r="272" spans="1:18" ht="15.75" customHeight="true">
      <c r="A272" s="126">
        <v>46067</v>
      </c>
      <c r="B272" s="426">
        <v>46064</v>
      </c>
      <c r="C272" s="64" t="s">
        <v>127</v>
      </c>
      <c r="D272" s="64" t="s">
        <v>2595</v>
      </c>
      <c r="E272" s="453" t="s">
        <v>2605</v>
      </c>
      <c r="F272" s="197" t="s">
        <v>421</v>
      </c>
      <c r="G272" s="197" t="s">
        <v>422</v>
      </c>
      <c r="H272" s="197" t="s">
        <v>851</v>
      </c>
      <c r="I272" s="450">
        <v>100</v>
      </c>
      <c r="J272" s="82">
        <v>10051.05</v>
      </c>
      <c r="K272" s="427">
        <f>=I272*J272</f>
        <v>1005105</v>
      </c>
      <c r="L272" s="82">
        <v>10035</v>
      </c>
      <c r="M272" s="428">
        <f>=I272*L272</f>
        <v>1003500</v>
      </c>
      <c r="N272" s="82">
        <f>=K272-M272</f>
        <v>1604.99999999988</v>
      </c>
      <c r="O272" s="64">
        <v>1</v>
      </c>
      <c r="P272" s="64">
        <f>=I272*O272*ROUNDUP((A272-B272)/30,0)</f>
        <v>100</v>
      </c>
      <c r="Q272" s="62" t="s"/>
      <c r="R272" s="62" t="s"/>
    </row>
    <row r="273" spans="1:18" ht="15.75" customHeight="true">
      <c r="A273" s="126">
        <v>46066</v>
      </c>
      <c r="B273" s="426">
        <v>46064</v>
      </c>
      <c r="C273" s="64" t="s">
        <v>127</v>
      </c>
      <c r="D273" s="64" t="s">
        <v>2595</v>
      </c>
      <c r="E273" s="450" t="s">
        <v>2606</v>
      </c>
      <c r="F273" s="197" t="s">
        <v>421</v>
      </c>
      <c r="G273" s="197" t="s">
        <v>422</v>
      </c>
      <c r="H273" s="197" t="s">
        <v>852</v>
      </c>
      <c r="I273" s="64">
        <v>140</v>
      </c>
      <c r="J273" s="82">
        <v>10043.53</v>
      </c>
      <c r="K273" s="427">
        <f>=I273*J273</f>
        <v>1406094.2</v>
      </c>
      <c r="L273" s="82">
        <v>10035</v>
      </c>
      <c r="M273" s="428">
        <f>=I273*L273</f>
        <v>1404900</v>
      </c>
      <c r="N273" s="82">
        <f>=K273-M273</f>
        <v>1194.20000000019</v>
      </c>
      <c r="O273" s="64">
        <v>1</v>
      </c>
      <c r="P273" s="64">
        <f>=I273*O273*ROUNDUP((A273-B273)/30,0)</f>
        <v>140</v>
      </c>
      <c r="Q273" s="62" t="s"/>
      <c r="R273" s="62" t="s"/>
    </row>
    <row r="274" spans="1:18" ht="15.75" customHeight="true">
      <c r="A274" s="126">
        <v>46067</v>
      </c>
      <c r="B274" s="426">
        <v>46064</v>
      </c>
      <c r="C274" s="64" t="s">
        <v>127</v>
      </c>
      <c r="D274" s="64" t="s">
        <v>2595</v>
      </c>
      <c r="E274" s="453" t="s">
        <v>2607</v>
      </c>
      <c r="F274" s="197" t="s">
        <v>421</v>
      </c>
      <c r="G274" s="197" t="s">
        <v>422</v>
      </c>
      <c r="H274" s="197" t="s">
        <v>851</v>
      </c>
      <c r="I274" s="450">
        <v>100</v>
      </c>
      <c r="J274" s="82">
        <v>10051.05</v>
      </c>
      <c r="K274" s="427">
        <f>=I274*J274</f>
        <v>1005105</v>
      </c>
      <c r="L274" s="82">
        <v>10035</v>
      </c>
      <c r="M274" s="428">
        <f>=I274*L274</f>
        <v>1003500</v>
      </c>
      <c r="N274" s="82">
        <f>=K274-M274</f>
        <v>1604.99999999988</v>
      </c>
      <c r="O274" s="64">
        <v>1</v>
      </c>
      <c r="P274" s="64">
        <f>=I274*O274*ROUNDUP((A274-B274)/30,0)</f>
        <v>100</v>
      </c>
      <c r="Q274" s="62" t="s"/>
      <c r="R274" s="62" t="s"/>
    </row>
    <row r="275" spans="1:18" ht="15.75" customHeight="true">
      <c r="A275" s="126">
        <v>46067</v>
      </c>
      <c r="B275" s="426">
        <v>46062</v>
      </c>
      <c r="C275" s="64" t="s">
        <v>126</v>
      </c>
      <c r="D275" s="64" t="s">
        <v>2595</v>
      </c>
      <c r="E275" s="450" t="s">
        <v>2608</v>
      </c>
      <c r="F275" s="197" t="s">
        <v>421</v>
      </c>
      <c r="G275" s="197" t="s">
        <v>422</v>
      </c>
      <c r="H275" s="197" t="s">
        <v>849</v>
      </c>
      <c r="I275" s="64">
        <v>70</v>
      </c>
      <c r="J275" s="82">
        <v>10048.54</v>
      </c>
      <c r="K275" s="427">
        <f>=I275*J275</f>
        <v>703397.8</v>
      </c>
      <c r="L275" s="82">
        <v>10035</v>
      </c>
      <c r="M275" s="428">
        <f>=I275*L275</f>
        <v>702450</v>
      </c>
      <c r="N275" s="82">
        <f>=K275-M275</f>
        <v>947.800000000047</v>
      </c>
      <c r="O275" s="64">
        <v>1</v>
      </c>
      <c r="P275" s="64">
        <f>=I275*O275*ROUNDUP((A275-B275)/30,0)</f>
        <v>70</v>
      </c>
      <c r="Q275" s="62" t="s"/>
      <c r="R275" s="62" t="s"/>
    </row>
    <row r="276" spans="1:18" ht="15.75" customHeight="true">
      <c r="A276" s="126">
        <v>46068</v>
      </c>
      <c r="B276" s="426">
        <v>46062</v>
      </c>
      <c r="C276" s="64" t="s">
        <v>126</v>
      </c>
      <c r="D276" s="64" t="s">
        <v>2595</v>
      </c>
      <c r="E276" s="450" t="s">
        <v>2609</v>
      </c>
      <c r="F276" s="197" t="s">
        <v>421</v>
      </c>
      <c r="G276" s="197" t="s">
        <v>422</v>
      </c>
      <c r="H276" s="197" t="s">
        <v>849</v>
      </c>
      <c r="I276" s="64">
        <v>100</v>
      </c>
      <c r="J276" s="450">
        <v>10053.56</v>
      </c>
      <c r="K276" s="427">
        <f>=I276*J276</f>
        <v>1005356</v>
      </c>
      <c r="L276" s="82">
        <v>10035</v>
      </c>
      <c r="M276" s="428">
        <f>=I276*L276</f>
        <v>1003500</v>
      </c>
      <c r="N276" s="82">
        <f>=K276-M276</f>
        <v>1856</v>
      </c>
      <c r="O276" s="64">
        <v>1</v>
      </c>
      <c r="P276" s="64">
        <f>=I276*O276*ROUNDUP((A276-B276)/30,0)</f>
        <v>100</v>
      </c>
      <c r="Q276" s="62" t="s"/>
      <c r="R276" s="62" t="s"/>
    </row>
    <row r="277" spans="1:18" ht="15.75" customHeight="true">
      <c r="A277" s="126">
        <v>46075</v>
      </c>
      <c r="B277" s="426">
        <v>45982</v>
      </c>
      <c r="C277" s="64" t="s">
        <v>89</v>
      </c>
      <c r="D277" s="194" t="s">
        <v>65</v>
      </c>
      <c r="E277" s="64" t="s"/>
      <c r="F277" s="197" t="s">
        <v>421</v>
      </c>
      <c r="G277" s="197" t="s">
        <v>422</v>
      </c>
      <c r="H277" s="197" t="s">
        <v>719</v>
      </c>
      <c r="I277" s="64">
        <v>1</v>
      </c>
      <c r="J277" s="82">
        <v>7796.4</v>
      </c>
      <c r="K277" s="427">
        <f>=I277*J277</f>
        <v>7796.4</v>
      </c>
      <c r="L277" s="82">
        <v>7796.4</v>
      </c>
      <c r="M277" s="428">
        <f>=I277*L277</f>
        <v>7796.4</v>
      </c>
      <c r="N277" s="82">
        <f>=K277-M277</f>
        <v>0</v>
      </c>
      <c r="O277" s="64">
        <v>0</v>
      </c>
      <c r="P277" s="64">
        <f>=I277*O277*ROUNDUP((A277-B277)/30,0)</f>
        <v>0</v>
      </c>
      <c r="Q277" s="62" t="s"/>
      <c r="R277" s="62" t="s"/>
    </row>
    <row r="278" spans="1:18" ht="15.75" customHeight="true">
      <c r="A278" s="126">
        <v>46075</v>
      </c>
      <c r="B278" s="426">
        <v>45982</v>
      </c>
      <c r="C278" s="64" t="s">
        <v>89</v>
      </c>
      <c r="D278" s="194" t="s">
        <v>65</v>
      </c>
      <c r="E278" s="64" t="s"/>
      <c r="F278" s="197" t="s">
        <v>421</v>
      </c>
      <c r="G278" s="197" t="s">
        <v>422</v>
      </c>
      <c r="H278" s="197" t="s">
        <v>721</v>
      </c>
      <c r="I278" s="64">
        <v>3</v>
      </c>
      <c r="J278" s="82">
        <v>8944.5</v>
      </c>
      <c r="K278" s="427">
        <f>=I278*J278</f>
        <v>26833.5</v>
      </c>
      <c r="L278" s="82">
        <v>8944.5</v>
      </c>
      <c r="M278" s="428">
        <f>=I278*L278</f>
        <v>26833.5</v>
      </c>
      <c r="N278" s="82">
        <f>=K278-M278</f>
        <v>0</v>
      </c>
      <c r="O278" s="64">
        <v>0</v>
      </c>
      <c r="P278" s="64">
        <f>=I278*O278*ROUNDUP((A278-B278)/30,0)</f>
        <v>0</v>
      </c>
      <c r="Q278" s="62" t="s"/>
      <c r="R278" s="62" t="s"/>
    </row>
    <row r="279" spans="1:18" ht="15.75" customHeight="true">
      <c r="A279" s="126">
        <v>46075</v>
      </c>
      <c r="B279" s="426">
        <v>45982</v>
      </c>
      <c r="C279" s="64" t="s">
        <v>89</v>
      </c>
      <c r="D279" s="194" t="s">
        <v>65</v>
      </c>
      <c r="E279" s="64" t="s"/>
      <c r="F279" s="197" t="s">
        <v>421</v>
      </c>
      <c r="G279" s="197" t="s">
        <v>422</v>
      </c>
      <c r="H279" s="197" t="s">
        <v>723</v>
      </c>
      <c r="I279" s="64">
        <v>1</v>
      </c>
      <c r="J279" s="82">
        <v>8989</v>
      </c>
      <c r="K279" s="427">
        <f>=I279*J279</f>
        <v>8989</v>
      </c>
      <c r="L279" s="82">
        <v>8989</v>
      </c>
      <c r="M279" s="428">
        <f>=I279*L279</f>
        <v>8989</v>
      </c>
      <c r="N279" s="82">
        <f>=K279-M279</f>
        <v>0</v>
      </c>
      <c r="O279" s="64">
        <v>0</v>
      </c>
      <c r="P279" s="64">
        <f>=I279*O279*ROUNDUP((A279-B279)/30,0)</f>
        <v>0</v>
      </c>
      <c r="Q279" s="62" t="s"/>
      <c r="R279" s="62" t="s"/>
    </row>
    <row r="280" spans="1:18" ht="15.75" customHeight="true">
      <c r="A280" s="126">
        <v>46075</v>
      </c>
      <c r="B280" s="426">
        <v>45982</v>
      </c>
      <c r="C280" s="64" t="s">
        <v>89</v>
      </c>
      <c r="D280" s="194" t="s">
        <v>65</v>
      </c>
      <c r="E280" s="64" t="s"/>
      <c r="F280" s="197" t="s">
        <v>421</v>
      </c>
      <c r="G280" s="197" t="s">
        <v>422</v>
      </c>
      <c r="H280" s="197" t="s">
        <v>725</v>
      </c>
      <c r="I280" s="64">
        <v>2</v>
      </c>
      <c r="J280" s="82">
        <v>8882.2</v>
      </c>
      <c r="K280" s="427">
        <f>=I280*J280</f>
        <v>17764.4</v>
      </c>
      <c r="L280" s="82">
        <v>8882.2</v>
      </c>
      <c r="M280" s="428">
        <f>=I280*L280</f>
        <v>17764.4</v>
      </c>
      <c r="N280" s="82">
        <f>=K280-M280</f>
        <v>0</v>
      </c>
      <c r="O280" s="64">
        <v>0</v>
      </c>
      <c r="P280" s="64">
        <f>=I280*O280*ROUNDUP((A280-B280)/30,0)</f>
        <v>0</v>
      </c>
      <c r="Q280" s="62" t="s"/>
      <c r="R280" s="62" t="s"/>
    </row>
    <row r="281" spans="1:18" ht="15.75" customHeight="true">
      <c r="A281" s="126">
        <v>46075</v>
      </c>
      <c r="B281" s="426">
        <v>45982</v>
      </c>
      <c r="C281" s="64" t="s">
        <v>89</v>
      </c>
      <c r="D281" s="194" t="s">
        <v>65</v>
      </c>
      <c r="E281" s="64" t="s"/>
      <c r="F281" s="197" t="s">
        <v>421</v>
      </c>
      <c r="G281" s="197" t="s">
        <v>422</v>
      </c>
      <c r="H281" s="197" t="s">
        <v>727</v>
      </c>
      <c r="I281" s="64">
        <v>2</v>
      </c>
      <c r="J281" s="82">
        <v>10635.5</v>
      </c>
      <c r="K281" s="427">
        <f>=I281*J281</f>
        <v>21271</v>
      </c>
      <c r="L281" s="82">
        <v>10635.5</v>
      </c>
      <c r="M281" s="428">
        <f>=I281*L281</f>
        <v>21271</v>
      </c>
      <c r="N281" s="82">
        <f>=K281-M281</f>
        <v>0</v>
      </c>
      <c r="O281" s="64">
        <v>0</v>
      </c>
      <c r="P281" s="64">
        <f>=I281*O281*ROUNDUP((A281-B281)/30,0)</f>
        <v>0</v>
      </c>
      <c r="Q281" s="62" t="s"/>
      <c r="R281" s="62" t="s"/>
    </row>
    <row r="282" spans="1:18" ht="15.75" customHeight="true">
      <c r="A282" s="126">
        <v>46075</v>
      </c>
      <c r="B282" s="426">
        <v>45982</v>
      </c>
      <c r="C282" s="64" t="s">
        <v>89</v>
      </c>
      <c r="D282" s="194" t="s">
        <v>65</v>
      </c>
      <c r="E282" s="64" t="s"/>
      <c r="F282" s="197" t="s">
        <v>421</v>
      </c>
      <c r="G282" s="197" t="s">
        <v>422</v>
      </c>
      <c r="H282" s="197" t="s">
        <v>729</v>
      </c>
      <c r="I282" s="64">
        <v>2</v>
      </c>
      <c r="J282" s="82">
        <v>5412</v>
      </c>
      <c r="K282" s="427">
        <f>=I282*J282</f>
        <v>10824</v>
      </c>
      <c r="L282" s="82">
        <v>5412</v>
      </c>
      <c r="M282" s="428">
        <f>=I282*L282</f>
        <v>10824</v>
      </c>
      <c r="N282" s="82">
        <f>=K282-M282</f>
        <v>0</v>
      </c>
      <c r="O282" s="64">
        <v>0</v>
      </c>
      <c r="P282" s="64">
        <f>=I282*O282*ROUNDUP((A282-B282)/30,0)</f>
        <v>0</v>
      </c>
      <c r="Q282" s="62" t="s"/>
      <c r="R282" s="62" t="s"/>
    </row>
    <row r="283" spans="1:18" ht="15.75" customHeight="true">
      <c r="A283" s="126">
        <v>46075</v>
      </c>
      <c r="B283" s="426">
        <v>45982</v>
      </c>
      <c r="C283" s="64" t="s">
        <v>89</v>
      </c>
      <c r="D283" s="194" t="s">
        <v>65</v>
      </c>
      <c r="E283" s="64" t="s"/>
      <c r="F283" s="197" t="s">
        <v>421</v>
      </c>
      <c r="G283" s="197" t="s">
        <v>422</v>
      </c>
      <c r="H283" s="197" t="s">
        <v>731</v>
      </c>
      <c r="I283" s="64">
        <v>1</v>
      </c>
      <c r="J283" s="82">
        <v>233.11</v>
      </c>
      <c r="K283" s="427">
        <f>=I283*J283</f>
        <v>233.11</v>
      </c>
      <c r="L283" s="82">
        <v>7806.8</v>
      </c>
      <c r="M283" s="428">
        <f>=I283*L283</f>
        <v>7806.8</v>
      </c>
      <c r="N283" s="82">
        <f>=K283-M283</f>
        <v>-7573.69</v>
      </c>
      <c r="O283" s="64">
        <v>0</v>
      </c>
      <c r="P283" s="64">
        <f>=I283*O283*ROUNDUP((A283-B283)/30,0)</f>
        <v>0</v>
      </c>
      <c r="Q283" s="62" t="s"/>
      <c r="R283" s="62" t="s"/>
    </row>
    <row r="284" spans="1:18" ht="15.75" customHeight="true">
      <c r="A284" s="126">
        <v>46076</v>
      </c>
      <c r="B284" s="426">
        <v>46062</v>
      </c>
      <c r="C284" s="64" t="s">
        <v>126</v>
      </c>
      <c r="D284" s="64" t="s">
        <v>2595</v>
      </c>
      <c r="E284" s="450" t="s">
        <v>2610</v>
      </c>
      <c r="F284" s="197" t="s">
        <v>421</v>
      </c>
      <c r="G284" s="197" t="s">
        <v>422</v>
      </c>
      <c r="H284" s="197" t="s">
        <v>849</v>
      </c>
      <c r="I284" s="64">
        <v>50</v>
      </c>
      <c r="J284" s="82">
        <v>10067.61</v>
      </c>
      <c r="K284" s="427">
        <f>=I284*J284</f>
        <v>503380.5</v>
      </c>
      <c r="L284" s="82">
        <v>10035</v>
      </c>
      <c r="M284" s="428">
        <f>=I284*L284</f>
        <v>501750</v>
      </c>
      <c r="N284" s="82">
        <f>=K284-M284</f>
        <v>1630.5</v>
      </c>
      <c r="O284" s="64">
        <v>1</v>
      </c>
      <c r="P284" s="64">
        <f>=I284*O284*ROUNDUP((A284-B284)/30,0)</f>
        <v>50</v>
      </c>
      <c r="Q284" s="62" t="s"/>
      <c r="R284" s="62" t="s"/>
    </row>
    <row r="285" spans="1:18" ht="15.75" customHeight="true">
      <c r="A285" s="126">
        <v>46076</v>
      </c>
      <c r="B285" s="426">
        <v>46062</v>
      </c>
      <c r="C285" s="64" t="s">
        <v>126</v>
      </c>
      <c r="D285" s="64" t="s">
        <v>2595</v>
      </c>
      <c r="E285" s="450" t="s">
        <v>2611</v>
      </c>
      <c r="F285" s="197" t="s">
        <v>421</v>
      </c>
      <c r="G285" s="197" t="s">
        <v>422</v>
      </c>
      <c r="H285" s="197" t="s">
        <v>849</v>
      </c>
      <c r="I285" s="64">
        <v>50</v>
      </c>
      <c r="J285" s="82">
        <v>10067.61</v>
      </c>
      <c r="K285" s="427">
        <f>=I285*J285</f>
        <v>503380.5</v>
      </c>
      <c r="L285" s="82">
        <v>10035</v>
      </c>
      <c r="M285" s="428">
        <f>=I285*L285</f>
        <v>501750</v>
      </c>
      <c r="N285" s="82">
        <f>=K285-M285</f>
        <v>1630.5</v>
      </c>
      <c r="O285" s="64">
        <v>1</v>
      </c>
      <c r="P285" s="64">
        <f>=I285*O285*ROUNDUP((A285-B285)/30,0)</f>
        <v>50</v>
      </c>
      <c r="Q285" s="62" t="s"/>
      <c r="R285" s="62" t="s"/>
    </row>
    <row r="286" spans="1:18" ht="15.75" customHeight="true">
      <c r="A286" s="452">
        <v>46076</v>
      </c>
      <c r="B286" s="451">
        <v>46062</v>
      </c>
      <c r="C286" s="83" t="s">
        <v>126</v>
      </c>
      <c r="D286" s="83" t="s">
        <v>2595</v>
      </c>
      <c r="E286" s="453" t="s">
        <v>2612</v>
      </c>
      <c r="F286" s="228" t="s">
        <v>421</v>
      </c>
      <c r="G286" s="228" t="s">
        <v>422</v>
      </c>
      <c r="H286" s="228" t="s">
        <v>849</v>
      </c>
      <c r="I286" s="83">
        <v>50</v>
      </c>
      <c r="J286" s="84">
        <v>10067.61</v>
      </c>
      <c r="K286" s="439">
        <f>=I286*J286</f>
        <v>503380.5</v>
      </c>
      <c r="L286" s="84">
        <v>10035</v>
      </c>
      <c r="M286" s="454">
        <f>=I286*L286</f>
        <v>501750</v>
      </c>
      <c r="N286" s="84">
        <f>=K286-M286</f>
        <v>1630.5</v>
      </c>
      <c r="O286" s="83">
        <v>1</v>
      </c>
      <c r="P286" s="83">
        <f>=I286*O286*ROUNDUP((A286-B286)/30,0)</f>
        <v>50</v>
      </c>
      <c r="Q286" s="62" t="s"/>
      <c r="R286" s="62" t="s"/>
    </row>
    <row r="287" spans="1:18" ht="15.75" customHeight="true">
      <c r="A287" s="126">
        <v>46076</v>
      </c>
      <c r="B287" s="426">
        <v>46062</v>
      </c>
      <c r="C287" s="64" t="s">
        <v>126</v>
      </c>
      <c r="D287" s="64" t="s">
        <v>2595</v>
      </c>
      <c r="E287" s="450" t="s">
        <v>2613</v>
      </c>
      <c r="F287" s="197" t="s">
        <v>421</v>
      </c>
      <c r="G287" s="197" t="s">
        <v>422</v>
      </c>
      <c r="H287" s="197" t="s">
        <v>849</v>
      </c>
      <c r="I287" s="64">
        <v>50</v>
      </c>
      <c r="J287" s="82">
        <v>10067.61</v>
      </c>
      <c r="K287" s="427">
        <f>=I287*J287</f>
        <v>503380.5</v>
      </c>
      <c r="L287" s="82">
        <v>10035</v>
      </c>
      <c r="M287" s="428">
        <f>=I287*L287</f>
        <v>501750</v>
      </c>
      <c r="N287" s="82">
        <f>=K287-M287</f>
        <v>1630.5</v>
      </c>
      <c r="O287" s="64">
        <v>1</v>
      </c>
      <c r="P287" s="83">
        <f>=I287*O287*ROUNDUP((A287-B287)/30,0)</f>
        <v>50</v>
      </c>
      <c r="Q287" s="62" t="s"/>
      <c r="R287" s="62" t="s"/>
    </row>
    <row r="288" spans="1:18" ht="15.75" customHeight="true">
      <c r="A288" s="126">
        <v>46077</v>
      </c>
      <c r="B288" s="426">
        <v>46058</v>
      </c>
      <c r="C288" s="64" t="s">
        <v>118</v>
      </c>
      <c r="D288" s="64" t="s">
        <v>116</v>
      </c>
      <c r="E288" s="450" t="s">
        <v>2614</v>
      </c>
      <c r="F288" s="197" t="s">
        <v>804</v>
      </c>
      <c r="G288" s="64" t="s">
        <v>429</v>
      </c>
      <c r="H288" s="64" t="s">
        <v>821</v>
      </c>
      <c r="I288" s="64">
        <v>120</v>
      </c>
      <c r="J288" s="82">
        <v>55.29</v>
      </c>
      <c r="K288" s="427">
        <f>=I288*J288</f>
        <v>6634.8</v>
      </c>
      <c r="L288" s="82">
        <v>55</v>
      </c>
      <c r="M288" s="428">
        <f>=I288*L288</f>
        <v>6600</v>
      </c>
      <c r="N288" s="82">
        <f>=K288-M288</f>
        <v>34.8000000000002</v>
      </c>
      <c r="O288" s="64">
        <v>0</v>
      </c>
      <c r="P288" s="83">
        <f>=I288*O288*ROUNDUP((A288-B288)/30,0)</f>
        <v>0</v>
      </c>
      <c r="Q288" s="62" t="s"/>
      <c r="R288" s="62" t="s"/>
    </row>
    <row r="289" spans="1:18" ht="15.75" customHeight="true">
      <c r="A289" s="126">
        <v>46077</v>
      </c>
      <c r="B289" s="426">
        <v>46058</v>
      </c>
      <c r="C289" s="64" t="s">
        <v>118</v>
      </c>
      <c r="D289" s="64" t="s">
        <v>116</v>
      </c>
      <c r="E289" s="450" t="s">
        <v>2615</v>
      </c>
      <c r="F289" s="197" t="s">
        <v>804</v>
      </c>
      <c r="G289" s="64" t="s">
        <v>429</v>
      </c>
      <c r="H289" s="64" t="s">
        <v>828</v>
      </c>
      <c r="I289" s="64">
        <v>800</v>
      </c>
      <c r="J289" s="82">
        <v>160.03</v>
      </c>
      <c r="K289" s="427">
        <f>=I289*J289</f>
        <v>128024</v>
      </c>
      <c r="L289" s="82">
        <v>159.2</v>
      </c>
      <c r="M289" s="428">
        <f>=I289*L289</f>
        <v>127360</v>
      </c>
      <c r="N289" s="82">
        <f>=K289-M289</f>
        <v>664.000000000015</v>
      </c>
      <c r="O289" s="64">
        <v>0</v>
      </c>
      <c r="P289" s="64">
        <f>=I289*O289*ROUNDUP((A289-B289)/30,0)</f>
        <v>0</v>
      </c>
      <c r="Q289" s="62" t="s"/>
      <c r="R289" s="62" t="s"/>
    </row>
    <row r="290" spans="1:18" ht="15.75" customHeight="true">
      <c r="A290" s="126">
        <v>46077</v>
      </c>
      <c r="B290" s="426">
        <v>46058</v>
      </c>
      <c r="C290" s="64" t="s">
        <v>118</v>
      </c>
      <c r="D290" s="64" t="s">
        <v>116</v>
      </c>
      <c r="E290" s="450" t="s">
        <v>2616</v>
      </c>
      <c r="F290" s="197" t="s">
        <v>804</v>
      </c>
      <c r="G290" s="64" t="s">
        <v>429</v>
      </c>
      <c r="H290" s="64" t="s">
        <v>822</v>
      </c>
      <c r="I290" s="64">
        <v>300</v>
      </c>
      <c r="J290" s="82">
        <v>105.55</v>
      </c>
      <c r="K290" s="427">
        <f>=I290*J290</f>
        <v>31665</v>
      </c>
      <c r="L290" s="82">
        <v>105</v>
      </c>
      <c r="M290" s="428">
        <f>=I290*L290</f>
        <v>31500</v>
      </c>
      <c r="N290" s="82">
        <f>=K290-M290</f>
        <v>165</v>
      </c>
      <c r="O290" s="64">
        <v>0</v>
      </c>
      <c r="P290" s="64">
        <f>=I290*O290*ROUNDUP((A290-B290)/30,0)</f>
        <v>0</v>
      </c>
      <c r="Q290" s="62" t="s"/>
      <c r="R290" s="62" t="s"/>
    </row>
    <row r="291" spans="1:18" ht="15.75" customHeight="true">
      <c r="A291" s="126">
        <v>46077</v>
      </c>
      <c r="B291" s="426">
        <v>46057</v>
      </c>
      <c r="C291" s="64" t="s">
        <v>113</v>
      </c>
      <c r="D291" s="94" t="s">
        <v>112</v>
      </c>
      <c r="E291" s="94" t="s">
        <v>2617</v>
      </c>
      <c r="F291" s="197" t="s">
        <v>428</v>
      </c>
      <c r="G291" s="64" t="s">
        <v>422</v>
      </c>
      <c r="H291" s="64" t="s">
        <v>816</v>
      </c>
      <c r="I291" s="64">
        <v>30</v>
      </c>
      <c r="J291" s="82">
        <v>2012.6</v>
      </c>
      <c r="K291" s="427">
        <f>=I291*J291</f>
        <v>60378</v>
      </c>
      <c r="L291" s="82">
        <v>2000</v>
      </c>
      <c r="M291" s="428">
        <f>=I291*L291</f>
        <v>60000</v>
      </c>
      <c r="N291" s="82">
        <f>=K291-M291</f>
        <v>378</v>
      </c>
      <c r="O291" s="64">
        <v>1</v>
      </c>
      <c r="P291" s="64">
        <f>=I291*O291*ROUNDUP((A291-B291)/30,0)</f>
        <v>30</v>
      </c>
      <c r="Q291" s="62" t="s"/>
      <c r="R291" s="62" t="s"/>
    </row>
    <row r="292" spans="1:16">
      <c r="A292" s="126">
        <v>46078</v>
      </c>
      <c r="B292" s="426">
        <v>45994</v>
      </c>
      <c r="C292" s="64" t="s">
        <v>92</v>
      </c>
      <c r="D292" s="348" t="s">
        <v>84</v>
      </c>
      <c r="E292" s="258" t="s"/>
      <c r="F292" s="94" t="s">
        <v>671</v>
      </c>
      <c r="G292" s="194" t="s">
        <v>470</v>
      </c>
      <c r="H292" s="459" t="s">
        <v>735</v>
      </c>
      <c r="I292" s="64">
        <v>5</v>
      </c>
      <c r="J292" s="82">
        <v>13235.4</v>
      </c>
      <c r="K292" s="427">
        <f>=I292*J292</f>
        <v>66177</v>
      </c>
      <c r="L292" s="82">
        <v>12960</v>
      </c>
      <c r="M292" s="428">
        <f>=I292*L292</f>
        <v>64800</v>
      </c>
      <c r="N292" s="82">
        <f>=K292-M292</f>
        <v>1377</v>
      </c>
      <c r="O292" s="64">
        <v>0</v>
      </c>
      <c r="P292" s="64">
        <f>=I292*O292*ROUNDUP((A292-B292)/30,0)</f>
        <v>0</v>
      </c>
    </row>
    <row r="293" spans="1:16">
      <c r="A293" s="126">
        <v>46078</v>
      </c>
      <c r="B293" s="426">
        <v>46013</v>
      </c>
      <c r="C293" s="64" t="s">
        <v>95</v>
      </c>
      <c r="D293" s="348" t="s">
        <v>84</v>
      </c>
      <c r="E293" s="258" t="s"/>
      <c r="F293" s="155" t="s">
        <v>747</v>
      </c>
      <c r="G293" s="80" t="s">
        <v>470</v>
      </c>
      <c r="H293" s="348" t="s">
        <v>748</v>
      </c>
      <c r="I293" s="64">
        <v>10</v>
      </c>
      <c r="J293" s="82">
        <v>5449</v>
      </c>
      <c r="K293" s="427">
        <f>=I293*J293</f>
        <v>54490</v>
      </c>
      <c r="L293" s="82">
        <v>5360</v>
      </c>
      <c r="M293" s="428">
        <f>=I293*L293</f>
        <v>53600</v>
      </c>
      <c r="N293" s="82">
        <f>=K293-M293</f>
        <v>890</v>
      </c>
      <c r="O293" s="64">
        <v>0</v>
      </c>
      <c r="P293" s="64">
        <f>=I293*O293*ROUNDUP((A293-B293)/30,0)</f>
        <v>0</v>
      </c>
    </row>
    <row r="294" spans="1:16">
      <c r="A294" s="126">
        <v>46079</v>
      </c>
      <c r="B294" s="426">
        <v>46053</v>
      </c>
      <c r="C294" s="64" t="s">
        <v>108</v>
      </c>
      <c r="D294" s="64" t="s">
        <v>2553</v>
      </c>
      <c r="E294" s="155" t="s">
        <v>2618</v>
      </c>
      <c r="F294" s="197" t="s">
        <v>428</v>
      </c>
      <c r="G294" s="80" t="s">
        <v>470</v>
      </c>
      <c r="H294" s="348" t="s">
        <v>733</v>
      </c>
      <c r="I294" s="64">
        <v>500</v>
      </c>
      <c r="J294" s="82">
        <v>944</v>
      </c>
      <c r="K294" s="427">
        <f>=I294*J294</f>
        <v>472000</v>
      </c>
      <c r="L294" s="82">
        <v>938</v>
      </c>
      <c r="M294" s="428">
        <f>=I294*L294</f>
        <v>469000</v>
      </c>
      <c r="N294" s="82">
        <f>=K294-M294</f>
        <v>3000</v>
      </c>
      <c r="O294" s="64">
        <v>0</v>
      </c>
      <c r="P294" s="64">
        <f>=I294*O294*ROUNDUP((A294-B294)/30,0)</f>
        <v>0</v>
      </c>
    </row>
    <row r="295" spans="1:16">
      <c r="A295" s="126">
        <v>46080</v>
      </c>
      <c r="B295" s="426">
        <v>46013</v>
      </c>
      <c r="C295" s="64" t="s">
        <v>95</v>
      </c>
      <c r="D295" s="348" t="s">
        <v>84</v>
      </c>
      <c r="E295" s="258" t="s"/>
      <c r="F295" s="155" t="s">
        <v>747</v>
      </c>
      <c r="G295" s="80" t="s">
        <v>470</v>
      </c>
      <c r="H295" s="348" t="s">
        <v>748</v>
      </c>
      <c r="I295" s="64">
        <v>30</v>
      </c>
      <c r="J295" s="82">
        <v>5452</v>
      </c>
      <c r="K295" s="427">
        <f>=I295*J295</f>
        <v>163560</v>
      </c>
      <c r="L295" s="82">
        <v>5360</v>
      </c>
      <c r="M295" s="428">
        <f>=I295*L295</f>
        <v>160800</v>
      </c>
      <c r="N295" s="82">
        <f>=K295-M295</f>
        <v>2760</v>
      </c>
      <c r="O295" s="64">
        <v>0</v>
      </c>
      <c r="P295" s="64">
        <f>=I295*O295*ROUNDUP((A295-B295)/30,0)</f>
        <v>0</v>
      </c>
    </row>
    <row r="296" spans="1:18" ht="15.75" customHeight="true">
      <c r="A296" s="126">
        <v>46081</v>
      </c>
      <c r="B296" s="426">
        <v>46013</v>
      </c>
      <c r="C296" s="64" t="s">
        <v>95</v>
      </c>
      <c r="D296" s="348" t="s">
        <v>84</v>
      </c>
      <c r="E296" s="258" t="s"/>
      <c r="F296" s="155" t="s">
        <v>747</v>
      </c>
      <c r="G296" s="80" t="s">
        <v>470</v>
      </c>
      <c r="H296" s="348" t="s">
        <v>748</v>
      </c>
      <c r="I296" s="64">
        <v>50</v>
      </c>
      <c r="J296" s="82">
        <v>5453</v>
      </c>
      <c r="K296" s="427">
        <f>=I296*J296</f>
        <v>272650</v>
      </c>
      <c r="L296" s="82">
        <v>5360</v>
      </c>
      <c r="M296" s="428">
        <f>=I296*L296</f>
        <v>268000</v>
      </c>
      <c r="N296" s="82">
        <f>=K296-M296</f>
        <v>4650</v>
      </c>
      <c r="O296" s="64">
        <v>0</v>
      </c>
      <c r="P296" s="64">
        <f>=I296*O296*ROUNDUP((A296-B296)/30,0)</f>
        <v>0</v>
      </c>
      <c r="Q296" s="62" t="s"/>
      <c r="R296" s="62" t="s"/>
    </row>
    <row r="297" spans="1:18" ht="15.75" customHeight="true">
      <c r="A297" s="126">
        <v>46081</v>
      </c>
      <c r="B297" s="426">
        <v>46053</v>
      </c>
      <c r="C297" s="64" t="s">
        <v>108</v>
      </c>
      <c r="D297" s="64" t="s">
        <v>2553</v>
      </c>
      <c r="E297" s="155" t="s">
        <v>2619</v>
      </c>
      <c r="F297" s="197" t="s">
        <v>428</v>
      </c>
      <c r="G297" s="80" t="s">
        <v>470</v>
      </c>
      <c r="H297" s="348" t="s">
        <v>733</v>
      </c>
      <c r="I297" s="64">
        <v>500</v>
      </c>
      <c r="J297" s="82">
        <v>945</v>
      </c>
      <c r="K297" s="427">
        <f>=I297*J297</f>
        <v>472500</v>
      </c>
      <c r="L297" s="82">
        <v>938</v>
      </c>
      <c r="M297" s="428">
        <f>=I297*L297</f>
        <v>469000</v>
      </c>
      <c r="N297" s="82">
        <f>=K297-M297</f>
        <v>3500</v>
      </c>
      <c r="O297" s="64">
        <v>0</v>
      </c>
      <c r="P297" s="64">
        <f>=I297*O297*ROUNDUP((A297-B297)/30,0)</f>
        <v>0</v>
      </c>
      <c r="Q297" s="62" t="s"/>
      <c r="R297" s="62" t="s"/>
    </row>
    <row r="298" spans="1:18" ht="15.75" customHeight="true">
      <c r="A298" s="126">
        <v>46083</v>
      </c>
      <c r="B298" s="426">
        <v>46058</v>
      </c>
      <c r="C298" s="64" t="s">
        <v>118</v>
      </c>
      <c r="D298" s="64" t="s">
        <v>116</v>
      </c>
      <c r="E298" s="450" t="s">
        <v>2620</v>
      </c>
      <c r="F298" s="197" t="s">
        <v>804</v>
      </c>
      <c r="G298" s="64" t="s">
        <v>429</v>
      </c>
      <c r="H298" s="64" t="s">
        <v>821</v>
      </c>
      <c r="I298" s="64">
        <v>60</v>
      </c>
      <c r="J298" s="82">
        <v>55.37</v>
      </c>
      <c r="K298" s="427">
        <f>=I298*J298</f>
        <v>3322.2</v>
      </c>
      <c r="L298" s="82">
        <v>55</v>
      </c>
      <c r="M298" s="428">
        <f>=I298*L298</f>
        <v>3300</v>
      </c>
      <c r="N298" s="82">
        <f>=K298-M298</f>
        <v>22.1999999999998</v>
      </c>
      <c r="O298" s="64">
        <v>0</v>
      </c>
      <c r="P298" s="64">
        <f>=I298*O298*ROUNDUP((A298-B298)/30,0)</f>
        <v>0</v>
      </c>
      <c r="Q298" s="62" t="s"/>
      <c r="R298" s="62" t="s"/>
    </row>
    <row r="299" spans="1:18" ht="15.75" customHeight="true">
      <c r="A299" s="126">
        <v>46083</v>
      </c>
      <c r="B299" s="426">
        <v>46058</v>
      </c>
      <c r="C299" s="64" t="s">
        <v>118</v>
      </c>
      <c r="D299" s="64" t="s">
        <v>116</v>
      </c>
      <c r="E299" s="450" t="s">
        <v>2621</v>
      </c>
      <c r="F299" s="197" t="s">
        <v>804</v>
      </c>
      <c r="G299" s="64" t="s">
        <v>429</v>
      </c>
      <c r="H299" s="64" t="s">
        <v>828</v>
      </c>
      <c r="I299" s="64">
        <v>300</v>
      </c>
      <c r="J299" s="82">
        <v>160.28</v>
      </c>
      <c r="K299" s="427">
        <f>=I299*J299</f>
        <v>48084</v>
      </c>
      <c r="L299" s="82">
        <v>159.2</v>
      </c>
      <c r="M299" s="428">
        <f>=I299*L299</f>
        <v>47760</v>
      </c>
      <c r="N299" s="82">
        <f>=K299-M299</f>
        <v>324</v>
      </c>
      <c r="O299" s="64">
        <v>0</v>
      </c>
      <c r="P299" s="64">
        <f>=I299*O299*ROUNDUP((A299-B299)/30,0)</f>
        <v>0</v>
      </c>
      <c r="Q299" s="62" t="s"/>
      <c r="R299" s="62" t="s"/>
    </row>
    <row r="300" spans="1:18" ht="15.75" customHeight="true">
      <c r="A300" s="126">
        <v>46083</v>
      </c>
      <c r="B300" s="426">
        <v>46058</v>
      </c>
      <c r="C300" s="64" t="s">
        <v>118</v>
      </c>
      <c r="D300" s="64" t="s">
        <v>116</v>
      </c>
      <c r="E300" s="450" t="s">
        <v>2622</v>
      </c>
      <c r="F300" s="197" t="s">
        <v>804</v>
      </c>
      <c r="G300" s="64" t="s">
        <v>429</v>
      </c>
      <c r="H300" s="64" t="s">
        <v>822</v>
      </c>
      <c r="I300" s="64">
        <v>500</v>
      </c>
      <c r="J300" s="82">
        <v>105.71</v>
      </c>
      <c r="K300" s="427">
        <f>=I300*J300</f>
        <v>52855</v>
      </c>
      <c r="L300" s="82">
        <v>105</v>
      </c>
      <c r="M300" s="428">
        <f>=I300*L300</f>
        <v>52500</v>
      </c>
      <c r="N300" s="82">
        <f>=K300-M300</f>
        <v>355</v>
      </c>
      <c r="O300" s="64">
        <v>0</v>
      </c>
      <c r="P300" s="64">
        <f>=I300*O300*ROUNDUP((A300-B300)/30,0)</f>
        <v>0</v>
      </c>
      <c r="Q300" s="62" t="s"/>
      <c r="R300" s="62" t="s"/>
    </row>
    <row r="301" spans="1:18" ht="15.75" customHeight="true">
      <c r="A301" s="126">
        <v>46083</v>
      </c>
      <c r="B301" s="426">
        <v>46037</v>
      </c>
      <c r="C301" s="64" t="s">
        <v>104</v>
      </c>
      <c r="D301" s="64" t="s">
        <v>2623</v>
      </c>
      <c r="E301" s="64" t="s"/>
      <c r="F301" s="197" t="s">
        <v>428</v>
      </c>
      <c r="G301" s="447" t="s">
        <v>422</v>
      </c>
      <c r="H301" s="447" t="s">
        <v>794</v>
      </c>
      <c r="I301" s="64">
        <v>400</v>
      </c>
      <c r="J301" s="82">
        <f>=K301/I301</f>
        <v>1805.97375</v>
      </c>
      <c r="K301" s="427">
        <v>722389.5</v>
      </c>
      <c r="L301" s="82">
        <v>1785</v>
      </c>
      <c r="M301" s="428">
        <f>=I301*L301</f>
        <v>714000</v>
      </c>
      <c r="N301" s="82">
        <f>=K301-M301</f>
        <v>8389.5</v>
      </c>
      <c r="O301" s="64">
        <v>0</v>
      </c>
      <c r="P301" s="64">
        <f>=I301*O301*ROUNDUP((A301-B301)/30,0)</f>
        <v>0</v>
      </c>
      <c r="Q301" s="62" t="s"/>
      <c r="R301" s="62" t="s"/>
    </row>
    <row r="302" spans="1:18" ht="15.75" customHeight="true">
      <c r="A302" s="126">
        <v>46083</v>
      </c>
      <c r="B302" s="426">
        <v>46042</v>
      </c>
      <c r="C302" s="64" t="s">
        <v>106</v>
      </c>
      <c r="D302" s="64" t="s">
        <v>2623</v>
      </c>
      <c r="E302" s="64" t="s"/>
      <c r="F302" s="197" t="s">
        <v>428</v>
      </c>
      <c r="G302" s="447" t="s">
        <v>422</v>
      </c>
      <c r="H302" s="447" t="s">
        <v>802</v>
      </c>
      <c r="I302" s="64">
        <v>300</v>
      </c>
      <c r="J302" s="82">
        <v>1899.74</v>
      </c>
      <c r="K302" s="427">
        <f>=I302*J302</f>
        <v>569922</v>
      </c>
      <c r="L302" s="82">
        <v>1880</v>
      </c>
      <c r="M302" s="428">
        <f>=I302*L302</f>
        <v>564000</v>
      </c>
      <c r="N302" s="82">
        <f>=K302-M302</f>
        <v>5922</v>
      </c>
      <c r="O302" s="64">
        <v>0</v>
      </c>
      <c r="P302" s="64">
        <f>=I302*O302*ROUNDUP((A302-B302)/30,0)</f>
        <v>0</v>
      </c>
      <c r="Q302" s="62" t="s"/>
      <c r="R302" s="62" t="s"/>
    </row>
    <row r="303" spans="1:18" ht="15.75" customHeight="true">
      <c r="A303" s="126">
        <v>46083</v>
      </c>
      <c r="B303" s="426">
        <v>45980</v>
      </c>
      <c r="C303" s="64" t="s">
        <v>88</v>
      </c>
      <c r="D303" s="194" t="s">
        <v>65</v>
      </c>
      <c r="E303" s="64" t="s"/>
      <c r="F303" s="197" t="s">
        <v>421</v>
      </c>
      <c r="G303" s="197" t="s">
        <v>422</v>
      </c>
      <c r="H303" s="64" t="s">
        <v>674</v>
      </c>
      <c r="I303" s="64">
        <v>5</v>
      </c>
      <c r="J303" s="82">
        <v>5151.46</v>
      </c>
      <c r="K303" s="427">
        <f>=I303*J303</f>
        <v>25757.3</v>
      </c>
      <c r="L303" s="82">
        <v>5151.46</v>
      </c>
      <c r="M303" s="428">
        <f>=I303*L303</f>
        <v>25757.3</v>
      </c>
      <c r="N303" s="82">
        <f>=K303-M303</f>
        <v>0</v>
      </c>
      <c r="O303" s="64">
        <v>0</v>
      </c>
      <c r="P303" s="64">
        <f>=I303*O303*ROUNDUP((A303-B303)/30,0)</f>
        <v>0</v>
      </c>
      <c r="Q303" s="62" t="s"/>
      <c r="R303" s="62" t="s"/>
    </row>
    <row r="304" spans="1:18" ht="15.75" customHeight="true">
      <c r="A304" s="126">
        <v>46083</v>
      </c>
      <c r="B304" s="426">
        <v>45980</v>
      </c>
      <c r="C304" s="64" t="s">
        <v>88</v>
      </c>
      <c r="D304" s="194" t="s">
        <v>65</v>
      </c>
      <c r="E304" s="64" t="s"/>
      <c r="F304" s="197" t="s">
        <v>421</v>
      </c>
      <c r="G304" s="197" t="s">
        <v>422</v>
      </c>
      <c r="H304" s="64" t="s">
        <v>676</v>
      </c>
      <c r="I304" s="64">
        <v>11</v>
      </c>
      <c r="J304" s="82">
        <v>5159.85</v>
      </c>
      <c r="K304" s="427">
        <f>=I304*J304</f>
        <v>56758.35</v>
      </c>
      <c r="L304" s="82">
        <v>5159.85</v>
      </c>
      <c r="M304" s="428">
        <f>=I304*L304</f>
        <v>56758.35</v>
      </c>
      <c r="N304" s="82">
        <f>=K304-M304</f>
        <v>0</v>
      </c>
      <c r="O304" s="64">
        <v>0</v>
      </c>
      <c r="P304" s="64">
        <f>=I304*O304*ROUNDUP((A304-B304)/30,0)</f>
        <v>0</v>
      </c>
      <c r="Q304" s="62" t="s"/>
      <c r="R304" s="62" t="s"/>
    </row>
    <row r="305" spans="1:18" ht="15.75" customHeight="true">
      <c r="A305" s="126">
        <v>46083</v>
      </c>
      <c r="B305" s="426">
        <v>45980</v>
      </c>
      <c r="C305" s="64" t="s">
        <v>88</v>
      </c>
      <c r="D305" s="194" t="s">
        <v>65</v>
      </c>
      <c r="E305" s="64" t="s"/>
      <c r="F305" s="197" t="s">
        <v>421</v>
      </c>
      <c r="G305" s="197" t="s">
        <v>422</v>
      </c>
      <c r="H305" s="64" t="s">
        <v>678</v>
      </c>
      <c r="I305" s="64">
        <v>42</v>
      </c>
      <c r="J305" s="82">
        <v>5093.5</v>
      </c>
      <c r="K305" s="427">
        <f>=I305*J305</f>
        <v>213927</v>
      </c>
      <c r="L305" s="82">
        <v>5093.5</v>
      </c>
      <c r="M305" s="428">
        <f>=I305*L305</f>
        <v>213927</v>
      </c>
      <c r="N305" s="82">
        <f>=K305-M305</f>
        <v>0</v>
      </c>
      <c r="O305" s="64">
        <v>0</v>
      </c>
      <c r="P305" s="64">
        <f>=I305*O305*ROUNDUP((A305-B305)/30,0)</f>
        <v>0</v>
      </c>
      <c r="Q305" s="62" t="s"/>
      <c r="R305" s="62" t="s"/>
    </row>
    <row r="306" spans="1:18" ht="15.75" customHeight="true">
      <c r="A306" s="126">
        <v>46083</v>
      </c>
      <c r="B306" s="426">
        <v>45980</v>
      </c>
      <c r="C306" s="64" t="s">
        <v>88</v>
      </c>
      <c r="D306" s="194" t="s">
        <v>65</v>
      </c>
      <c r="E306" s="64" t="s"/>
      <c r="F306" s="197" t="s">
        <v>421</v>
      </c>
      <c r="G306" s="197" t="s">
        <v>422</v>
      </c>
      <c r="H306" s="64" t="s">
        <v>680</v>
      </c>
      <c r="I306" s="64">
        <v>21</v>
      </c>
      <c r="J306" s="82">
        <v>5126.9</v>
      </c>
      <c r="K306" s="427">
        <f>=I306*J306</f>
        <v>107664.9</v>
      </c>
      <c r="L306" s="82">
        <v>5126.9</v>
      </c>
      <c r="M306" s="428">
        <f>=I306*L306</f>
        <v>107664.9</v>
      </c>
      <c r="N306" s="82">
        <f>=K306-M306</f>
        <v>0</v>
      </c>
      <c r="O306" s="64">
        <v>0</v>
      </c>
      <c r="P306" s="64">
        <f>=I306*O306*ROUNDUP((A306-B306)/30,0)</f>
        <v>0</v>
      </c>
      <c r="Q306" s="62" t="s"/>
      <c r="R306" s="62" t="s"/>
    </row>
    <row r="307" spans="1:18" ht="15.75" customHeight="true">
      <c r="A307" s="126">
        <v>46083</v>
      </c>
      <c r="B307" s="426">
        <v>45980</v>
      </c>
      <c r="C307" s="64" t="s">
        <v>88</v>
      </c>
      <c r="D307" s="194" t="s">
        <v>65</v>
      </c>
      <c r="E307" s="64" t="s"/>
      <c r="F307" s="197" t="s">
        <v>421</v>
      </c>
      <c r="G307" s="197" t="s">
        <v>422</v>
      </c>
      <c r="H307" s="64" t="s">
        <v>682</v>
      </c>
      <c r="I307" s="64">
        <v>8</v>
      </c>
      <c r="J307" s="82">
        <v>5160.3</v>
      </c>
      <c r="K307" s="427">
        <f>=I307*J307</f>
        <v>41282.4</v>
      </c>
      <c r="L307" s="82">
        <v>5160.3</v>
      </c>
      <c r="M307" s="428">
        <f>=I307*L307</f>
        <v>41282.4</v>
      </c>
      <c r="N307" s="82">
        <f>=K307-M307</f>
        <v>0</v>
      </c>
      <c r="O307" s="64">
        <v>0</v>
      </c>
      <c r="P307" s="64">
        <f>=I307*O307*ROUNDUP((A307-B307)/30,0)</f>
        <v>0</v>
      </c>
      <c r="Q307" s="62" t="s"/>
      <c r="R307" s="62" t="s"/>
    </row>
    <row r="308" spans="1:18" ht="15.75" customHeight="true">
      <c r="A308" s="126">
        <v>46083</v>
      </c>
      <c r="B308" s="426">
        <v>45980</v>
      </c>
      <c r="C308" s="64" t="s">
        <v>88</v>
      </c>
      <c r="D308" s="194" t="s">
        <v>65</v>
      </c>
      <c r="E308" s="64" t="s"/>
      <c r="F308" s="197" t="s">
        <v>421</v>
      </c>
      <c r="G308" s="197" t="s">
        <v>422</v>
      </c>
      <c r="H308" s="64" t="s">
        <v>684</v>
      </c>
      <c r="I308" s="64">
        <v>3</v>
      </c>
      <c r="J308" s="82">
        <v>6680</v>
      </c>
      <c r="K308" s="427">
        <f>=I308*J308</f>
        <v>20040</v>
      </c>
      <c r="L308" s="82">
        <v>6680</v>
      </c>
      <c r="M308" s="428">
        <f>=I308*L308</f>
        <v>20040</v>
      </c>
      <c r="N308" s="82">
        <f>=K308-M308</f>
        <v>0</v>
      </c>
      <c r="O308" s="64">
        <v>0</v>
      </c>
      <c r="P308" s="64">
        <f>=I308*O308*ROUNDUP((A308-B308)/30,0)</f>
        <v>0</v>
      </c>
      <c r="Q308" s="62" t="s"/>
      <c r="R308" s="62" t="s"/>
    </row>
    <row r="309" spans="1:18" ht="15.75" customHeight="true">
      <c r="A309" s="126">
        <v>46083</v>
      </c>
      <c r="B309" s="426">
        <v>45980</v>
      </c>
      <c r="C309" s="64" t="s">
        <v>88</v>
      </c>
      <c r="D309" s="194" t="s">
        <v>65</v>
      </c>
      <c r="E309" s="64" t="s"/>
      <c r="F309" s="197" t="s">
        <v>421</v>
      </c>
      <c r="G309" s="197" t="s">
        <v>422</v>
      </c>
      <c r="H309" s="64" t="s">
        <v>686</v>
      </c>
      <c r="I309" s="64">
        <v>1</v>
      </c>
      <c r="J309" s="82">
        <v>7855.7</v>
      </c>
      <c r="K309" s="427">
        <f>=I309*J309</f>
        <v>7855.7</v>
      </c>
      <c r="L309" s="82">
        <v>6445.4</v>
      </c>
      <c r="M309" s="428">
        <f>=I309*L309</f>
        <v>6445.4</v>
      </c>
      <c r="N309" s="82">
        <f>=K309-M309</f>
        <v>1410.3</v>
      </c>
      <c r="O309" s="64">
        <v>0</v>
      </c>
      <c r="P309" s="64">
        <f>=I309*O309*ROUNDUP((A309-B309)/30,0)</f>
        <v>0</v>
      </c>
      <c r="Q309" s="62" t="s"/>
      <c r="R309" s="62" t="s"/>
    </row>
    <row r="310" spans="1:18" ht="15.75" customHeight="true">
      <c r="A310" s="126">
        <v>46083</v>
      </c>
      <c r="B310" s="426">
        <v>45980</v>
      </c>
      <c r="C310" s="64" t="s">
        <v>88</v>
      </c>
      <c r="D310" s="194" t="s">
        <v>65</v>
      </c>
      <c r="E310" s="64" t="s"/>
      <c r="F310" s="197" t="s">
        <v>421</v>
      </c>
      <c r="G310" s="197" t="s">
        <v>422</v>
      </c>
      <c r="H310" s="64" t="s">
        <v>689</v>
      </c>
      <c r="I310" s="64">
        <v>15</v>
      </c>
      <c r="J310" s="82">
        <v>8431.95</v>
      </c>
      <c r="K310" s="427">
        <f>=I310*J310</f>
        <v>126479.25</v>
      </c>
      <c r="L310" s="82">
        <v>8431.95</v>
      </c>
      <c r="M310" s="428">
        <f>=I310*L310</f>
        <v>126479.25</v>
      </c>
      <c r="N310" s="82">
        <f>=K310-M310</f>
        <v>0</v>
      </c>
      <c r="O310" s="64">
        <v>0</v>
      </c>
      <c r="P310" s="64">
        <f>=I310*O310*ROUNDUP((A310-B310)/30,0)</f>
        <v>0</v>
      </c>
      <c r="Q310" s="62" t="s"/>
      <c r="R310" s="62" t="s"/>
    </row>
    <row r="311" spans="1:18" ht="15.75" customHeight="true">
      <c r="A311" s="126">
        <v>46083</v>
      </c>
      <c r="B311" s="426">
        <v>45980</v>
      </c>
      <c r="C311" s="64" t="s">
        <v>88</v>
      </c>
      <c r="D311" s="194" t="s">
        <v>65</v>
      </c>
      <c r="E311" s="64" t="s"/>
      <c r="F311" s="197" t="s">
        <v>421</v>
      </c>
      <c r="G311" s="197" t="s">
        <v>422</v>
      </c>
      <c r="H311" s="64" t="s">
        <v>691</v>
      </c>
      <c r="I311" s="64">
        <v>24</v>
      </c>
      <c r="J311" s="82">
        <v>8473.9</v>
      </c>
      <c r="K311" s="427">
        <f>=I311*J311</f>
        <v>203373.6</v>
      </c>
      <c r="L311" s="82">
        <v>8473.9</v>
      </c>
      <c r="M311" s="428">
        <f>=I311*L311</f>
        <v>203373.6</v>
      </c>
      <c r="N311" s="82">
        <f>=K311-M311</f>
        <v>0</v>
      </c>
      <c r="O311" s="64">
        <v>0</v>
      </c>
      <c r="P311" s="64">
        <f>=I311*O311*ROUNDUP((A311-B311)/30,0)</f>
        <v>0</v>
      </c>
      <c r="Q311" s="62" t="s"/>
      <c r="R311" s="62" t="s"/>
    </row>
    <row r="312" spans="1:18" ht="15.75" customHeight="true">
      <c r="A312" s="126">
        <v>46083</v>
      </c>
      <c r="B312" s="426">
        <v>45980</v>
      </c>
      <c r="C312" s="64" t="s">
        <v>88</v>
      </c>
      <c r="D312" s="194" t="s">
        <v>65</v>
      </c>
      <c r="E312" s="64" t="s"/>
      <c r="F312" s="197" t="s">
        <v>421</v>
      </c>
      <c r="G312" s="197" t="s">
        <v>422</v>
      </c>
      <c r="H312" s="64" t="s">
        <v>693</v>
      </c>
      <c r="I312" s="64">
        <v>29</v>
      </c>
      <c r="J312" s="82">
        <v>8373.22</v>
      </c>
      <c r="K312" s="427">
        <f>=I312*J312</f>
        <v>242823.38</v>
      </c>
      <c r="L312" s="82">
        <v>8373.22</v>
      </c>
      <c r="M312" s="428">
        <f>=I312*L312</f>
        <v>242823.38</v>
      </c>
      <c r="N312" s="82">
        <f>=K312-M312</f>
        <v>0</v>
      </c>
      <c r="O312" s="64">
        <v>0</v>
      </c>
      <c r="P312" s="64">
        <f>=I312*O312*ROUNDUP((A312-B312)/30,0)</f>
        <v>0</v>
      </c>
      <c r="Q312" s="62" t="s"/>
      <c r="R312" s="62" t="s"/>
    </row>
    <row r="313" spans="1:18" ht="15.75" customHeight="true">
      <c r="A313" s="126">
        <v>46083</v>
      </c>
      <c r="B313" s="426">
        <v>45980</v>
      </c>
      <c r="C313" s="64" t="s">
        <v>88</v>
      </c>
      <c r="D313" s="194" t="s">
        <v>65</v>
      </c>
      <c r="E313" s="64" t="s"/>
      <c r="F313" s="197" t="s">
        <v>421</v>
      </c>
      <c r="G313" s="197" t="s">
        <v>422</v>
      </c>
      <c r="H313" s="64" t="s">
        <v>695</v>
      </c>
      <c r="I313" s="64">
        <v>13</v>
      </c>
      <c r="J313" s="82">
        <v>10026.05</v>
      </c>
      <c r="K313" s="427">
        <f>=I313*J313</f>
        <v>130338.65</v>
      </c>
      <c r="L313" s="82">
        <v>10026.05</v>
      </c>
      <c r="M313" s="428">
        <f>=I313*L313</f>
        <v>130338.65</v>
      </c>
      <c r="N313" s="82">
        <f>=K313-M313</f>
        <v>0</v>
      </c>
      <c r="O313" s="64">
        <v>0</v>
      </c>
      <c r="P313" s="64">
        <f>=I313*O313*ROUNDUP((A313-B313)/30,0)</f>
        <v>0</v>
      </c>
      <c r="Q313" s="62" t="s"/>
      <c r="R313" s="62" t="s"/>
    </row>
    <row r="314" spans="1:18" ht="15.75" customHeight="true">
      <c r="A314" s="126">
        <v>46083</v>
      </c>
      <c r="B314" s="426">
        <v>45980</v>
      </c>
      <c r="C314" s="64" t="s">
        <v>88</v>
      </c>
      <c r="D314" s="194" t="s">
        <v>65</v>
      </c>
      <c r="E314" s="64" t="s"/>
      <c r="F314" s="197" t="s">
        <v>421</v>
      </c>
      <c r="G314" s="197" t="s">
        <v>422</v>
      </c>
      <c r="H314" s="64" t="s">
        <v>697</v>
      </c>
      <c r="I314" s="64">
        <v>3</v>
      </c>
      <c r="J314" s="82">
        <v>11955.75</v>
      </c>
      <c r="K314" s="427">
        <f>=I314*J314</f>
        <v>35867.25</v>
      </c>
      <c r="L314" s="82">
        <v>11955.75</v>
      </c>
      <c r="M314" s="428">
        <f>=I314*L314</f>
        <v>35867.25</v>
      </c>
      <c r="N314" s="82">
        <f>=K314-M314</f>
        <v>0</v>
      </c>
      <c r="O314" s="64">
        <v>0</v>
      </c>
      <c r="P314" s="64">
        <f>=I314*O314*ROUNDUP((A314-B314)/30,0)</f>
        <v>0</v>
      </c>
      <c r="Q314" s="62" t="s"/>
      <c r="R314" s="62" t="s"/>
    </row>
    <row r="315" spans="1:18" ht="15.75" customHeight="true">
      <c r="A315" s="126">
        <v>46083</v>
      </c>
      <c r="B315" s="426">
        <v>45980</v>
      </c>
      <c r="C315" s="64" t="s">
        <v>88</v>
      </c>
      <c r="D315" s="194" t="s">
        <v>65</v>
      </c>
      <c r="E315" s="64" t="s"/>
      <c r="F315" s="197" t="s">
        <v>421</v>
      </c>
      <c r="G315" s="197" t="s">
        <v>422</v>
      </c>
      <c r="H315" s="64" t="s">
        <v>699</v>
      </c>
      <c r="I315" s="64">
        <v>12</v>
      </c>
      <c r="J315" s="82">
        <v>7391.59</v>
      </c>
      <c r="K315" s="427">
        <f>=I315*J315</f>
        <v>88699.08</v>
      </c>
      <c r="L315" s="82">
        <v>7391.59</v>
      </c>
      <c r="M315" s="428">
        <f>=I315*L315</f>
        <v>88699.08</v>
      </c>
      <c r="N315" s="82">
        <f>=K315-M315</f>
        <v>0</v>
      </c>
      <c r="O315" s="64">
        <v>0</v>
      </c>
      <c r="P315" s="64">
        <f>=I315*O315*ROUNDUP((A315-B315)/30,0)</f>
        <v>0</v>
      </c>
      <c r="Q315" s="62" t="s"/>
      <c r="R315" s="62" t="s"/>
    </row>
    <row r="316" spans="1:18" ht="15.75" customHeight="true">
      <c r="A316" s="126">
        <v>46083</v>
      </c>
      <c r="B316" s="426">
        <v>45980</v>
      </c>
      <c r="C316" s="64" t="s">
        <v>88</v>
      </c>
      <c r="D316" s="194" t="s">
        <v>65</v>
      </c>
      <c r="E316" s="64" t="s"/>
      <c r="F316" s="197" t="s">
        <v>421</v>
      </c>
      <c r="G316" s="197" t="s">
        <v>422</v>
      </c>
      <c r="H316" s="64" t="s">
        <v>701</v>
      </c>
      <c r="I316" s="64">
        <v>35</v>
      </c>
      <c r="J316" s="82">
        <v>7349.64</v>
      </c>
      <c r="K316" s="427">
        <f>=I316*J316</f>
        <v>257237.4</v>
      </c>
      <c r="L316" s="82">
        <v>7349.64</v>
      </c>
      <c r="M316" s="428">
        <f>=I316*L316</f>
        <v>257237.4</v>
      </c>
      <c r="N316" s="82">
        <f>=K316-M316</f>
        <v>0</v>
      </c>
      <c r="O316" s="64">
        <v>0</v>
      </c>
      <c r="P316" s="64">
        <f>=I316*O316*ROUNDUP((A316-B316)/30,0)</f>
        <v>0</v>
      </c>
      <c r="Q316" s="62" t="s"/>
      <c r="R316" s="62" t="s"/>
    </row>
    <row r="317" spans="1:18" ht="15.75" customHeight="true">
      <c r="A317" s="126">
        <v>46083</v>
      </c>
      <c r="B317" s="426">
        <v>45980</v>
      </c>
      <c r="C317" s="348" t="s">
        <v>88</v>
      </c>
      <c r="D317" s="194" t="s">
        <v>65</v>
      </c>
      <c r="E317" s="64" t="s"/>
      <c r="F317" s="197" t="s">
        <v>421</v>
      </c>
      <c r="G317" s="197" t="s">
        <v>422</v>
      </c>
      <c r="H317" s="64" t="s">
        <v>705</v>
      </c>
      <c r="I317" s="64">
        <v>38</v>
      </c>
      <c r="J317" s="82">
        <v>7374.81</v>
      </c>
      <c r="K317" s="427">
        <f>=I317*J317</f>
        <v>280242.78</v>
      </c>
      <c r="L317" s="82">
        <v>7374.81</v>
      </c>
      <c r="M317" s="428">
        <f>=I317*L317</f>
        <v>280242.78</v>
      </c>
      <c r="N317" s="82">
        <f>=K317-M317</f>
        <v>0</v>
      </c>
      <c r="O317" s="64">
        <v>0</v>
      </c>
      <c r="P317" s="64">
        <f>=I317*O317*ROUNDUP((A317-B317)/30,0)</f>
        <v>0</v>
      </c>
      <c r="Q317" s="62" t="s"/>
      <c r="R317" s="62" t="s"/>
    </row>
    <row r="318" spans="1:18" ht="15.75" customHeight="true">
      <c r="A318" s="126">
        <v>46084</v>
      </c>
      <c r="B318" s="426">
        <v>46058</v>
      </c>
      <c r="C318" s="64" t="s">
        <v>118</v>
      </c>
      <c r="D318" s="64" t="s">
        <v>116</v>
      </c>
      <c r="E318" s="450" t="s">
        <v>2624</v>
      </c>
      <c r="F318" s="197" t="s">
        <v>804</v>
      </c>
      <c r="G318" s="64" t="s">
        <v>429</v>
      </c>
      <c r="H318" s="64" t="s">
        <v>821</v>
      </c>
      <c r="I318" s="64">
        <v>1000</v>
      </c>
      <c r="J318" s="82">
        <v>55.39</v>
      </c>
      <c r="K318" s="427">
        <f>=I318*J318</f>
        <v>55390</v>
      </c>
      <c r="L318" s="82">
        <v>55</v>
      </c>
      <c r="M318" s="428">
        <f>=I318*L318</f>
        <v>55000</v>
      </c>
      <c r="N318" s="82">
        <f>=K318-M318</f>
        <v>390</v>
      </c>
      <c r="O318" s="64">
        <v>0</v>
      </c>
      <c r="P318" s="64">
        <f>=I318*O318*ROUNDUP((A318-B318)/30,0)</f>
        <v>0</v>
      </c>
      <c r="Q318" s="62" t="s"/>
      <c r="R318" s="62" t="s"/>
    </row>
    <row r="319" spans="1:18" ht="15.75" customHeight="true">
      <c r="A319" s="126">
        <v>46085</v>
      </c>
      <c r="B319" s="426">
        <v>45865</v>
      </c>
      <c r="C319" s="64" t="s">
        <v>69</v>
      </c>
      <c r="D319" s="194" t="s">
        <v>52</v>
      </c>
      <c r="E319" s="94" t="s">
        <v>2625</v>
      </c>
      <c r="F319" s="197" t="s">
        <v>428</v>
      </c>
      <c r="G319" s="64" t="s">
        <v>470</v>
      </c>
      <c r="H319" s="64" t="s">
        <v>521</v>
      </c>
      <c r="I319" s="64">
        <v>3</v>
      </c>
      <c r="J319" s="82">
        <v>4042</v>
      </c>
      <c r="K319" s="427">
        <f>=I319*J319</f>
        <v>12126</v>
      </c>
      <c r="L319" s="82">
        <v>3790</v>
      </c>
      <c r="M319" s="428">
        <f>=I319*L319</f>
        <v>11370</v>
      </c>
      <c r="N319" s="82">
        <f>=K319-M319</f>
        <v>756</v>
      </c>
      <c r="O319" s="64">
        <v>0</v>
      </c>
      <c r="P319" s="64">
        <f>=I319*O319*ROUNDUP((A319-B319)/30,0)</f>
        <v>0</v>
      </c>
      <c r="Q319" s="62" t="s"/>
      <c r="R319" s="62" t="s"/>
    </row>
    <row r="320" spans="1:18" ht="15.75" customHeight="true">
      <c r="A320" s="126">
        <v>46085</v>
      </c>
      <c r="B320" s="426">
        <v>45865</v>
      </c>
      <c r="C320" s="64" t="s">
        <v>69</v>
      </c>
      <c r="D320" s="194" t="s">
        <v>52</v>
      </c>
      <c r="E320" s="94" t="s">
        <v>2626</v>
      </c>
      <c r="F320" s="197" t="s">
        <v>428</v>
      </c>
      <c r="G320" s="64" t="s">
        <v>470</v>
      </c>
      <c r="H320" s="64" t="s">
        <v>523</v>
      </c>
      <c r="I320" s="64">
        <v>7</v>
      </c>
      <c r="J320" s="82">
        <v>4042</v>
      </c>
      <c r="K320" s="427">
        <f>=I320*J320</f>
        <v>28294</v>
      </c>
      <c r="L320" s="82">
        <v>3790</v>
      </c>
      <c r="M320" s="428">
        <f>=I320*L320</f>
        <v>26530</v>
      </c>
      <c r="N320" s="82">
        <f>=K320-M320</f>
        <v>1764</v>
      </c>
      <c r="O320" s="64">
        <v>0</v>
      </c>
      <c r="P320" s="64">
        <f>=I320*O320*ROUNDUP((A320-B320)/30,0)</f>
        <v>0</v>
      </c>
      <c r="Q320" s="62" t="s"/>
      <c r="R320" s="62" t="s"/>
    </row>
    <row r="321" spans="1:18" ht="15.75" customHeight="true">
      <c r="A321" s="126">
        <v>46085</v>
      </c>
      <c r="B321" s="426">
        <v>45865</v>
      </c>
      <c r="C321" s="64" t="s">
        <v>69</v>
      </c>
      <c r="D321" s="194" t="s">
        <v>52</v>
      </c>
      <c r="E321" s="94" t="s">
        <v>2627</v>
      </c>
      <c r="F321" s="247" t="s">
        <v>428</v>
      </c>
      <c r="G321" s="64" t="s">
        <v>449</v>
      </c>
      <c r="H321" s="64" t="s">
        <v>539</v>
      </c>
      <c r="I321" s="64">
        <v>1</v>
      </c>
      <c r="J321" s="82">
        <v>2637</v>
      </c>
      <c r="K321" s="427">
        <f>=I321*J321</f>
        <v>2637</v>
      </c>
      <c r="L321" s="82">
        <v>2472</v>
      </c>
      <c r="M321" s="428">
        <f>=I321*L321</f>
        <v>2472</v>
      </c>
      <c r="N321" s="82">
        <f>=K321-M321</f>
        <v>165</v>
      </c>
      <c r="O321" s="64">
        <v>0</v>
      </c>
      <c r="P321" s="64">
        <f>=I321*O321*ROUNDUP((A321-B321)/30,0)</f>
        <v>0</v>
      </c>
      <c r="Q321" s="62" t="s"/>
      <c r="R321" s="62" t="s"/>
    </row>
    <row r="322" spans="1:18" ht="15.75" customHeight="true">
      <c r="A322" s="126">
        <v>46085</v>
      </c>
      <c r="B322" s="426">
        <v>45865</v>
      </c>
      <c r="C322" s="64" t="s">
        <v>69</v>
      </c>
      <c r="D322" s="194" t="s">
        <v>52</v>
      </c>
      <c r="E322" s="94" t="s">
        <v>2628</v>
      </c>
      <c r="F322" s="247" t="s">
        <v>428</v>
      </c>
      <c r="G322" s="64" t="s">
        <v>449</v>
      </c>
      <c r="H322" s="64" t="s">
        <v>541</v>
      </c>
      <c r="I322" s="64">
        <v>1</v>
      </c>
      <c r="J322" s="82">
        <v>3076</v>
      </c>
      <c r="K322" s="427">
        <f>=I322*J322</f>
        <v>3076</v>
      </c>
      <c r="L322" s="82">
        <v>2884</v>
      </c>
      <c r="M322" s="428">
        <f>=I322*L322</f>
        <v>2884</v>
      </c>
      <c r="N322" s="82">
        <f>=K322-M322</f>
        <v>192</v>
      </c>
      <c r="O322" s="64">
        <v>0</v>
      </c>
      <c r="P322" s="64">
        <f>=I322*O322*ROUNDUP((A322-B322)/30,0)</f>
        <v>0</v>
      </c>
      <c r="Q322" s="62" t="s"/>
      <c r="R322" s="62" t="s"/>
    </row>
    <row r="323" spans="1:18" ht="15.75" customHeight="true">
      <c r="A323" s="126">
        <v>46085</v>
      </c>
      <c r="B323" s="426">
        <v>45865</v>
      </c>
      <c r="C323" s="64" t="s">
        <v>69</v>
      </c>
      <c r="D323" s="194" t="s">
        <v>52</v>
      </c>
      <c r="E323" s="94" t="s">
        <v>2629</v>
      </c>
      <c r="F323" s="247" t="s">
        <v>428</v>
      </c>
      <c r="G323" s="64" t="s">
        <v>449</v>
      </c>
      <c r="H323" s="64" t="s">
        <v>543</v>
      </c>
      <c r="I323" s="64">
        <v>2</v>
      </c>
      <c r="J323" s="82">
        <v>1231</v>
      </c>
      <c r="K323" s="427">
        <f>=I323*J323</f>
        <v>2462</v>
      </c>
      <c r="L323" s="82">
        <v>1154</v>
      </c>
      <c r="M323" s="428">
        <f>=I323*L323</f>
        <v>2308</v>
      </c>
      <c r="N323" s="82">
        <f>=K323-M323</f>
        <v>154</v>
      </c>
      <c r="O323" s="64">
        <v>0</v>
      </c>
      <c r="P323" s="64">
        <f>=I323*O323*ROUNDUP((A323-B323)/30,0)</f>
        <v>0</v>
      </c>
      <c r="Q323" s="62" t="s"/>
      <c r="R323" s="62" t="s"/>
    </row>
    <row r="324" spans="1:18" ht="15.75" customHeight="true">
      <c r="A324" s="126">
        <v>46085</v>
      </c>
      <c r="B324" s="426">
        <v>45865</v>
      </c>
      <c r="C324" s="64" t="s">
        <v>69</v>
      </c>
      <c r="D324" s="194" t="s">
        <v>52</v>
      </c>
      <c r="E324" s="94" t="s">
        <v>2630</v>
      </c>
      <c r="F324" s="247" t="s">
        <v>428</v>
      </c>
      <c r="G324" s="64" t="s">
        <v>449</v>
      </c>
      <c r="H324" s="64" t="s">
        <v>545</v>
      </c>
      <c r="I324" s="64">
        <v>1</v>
      </c>
      <c r="J324" s="82">
        <v>1231</v>
      </c>
      <c r="K324" s="427">
        <f>=I324*J324</f>
        <v>1231</v>
      </c>
      <c r="L324" s="82">
        <v>1154</v>
      </c>
      <c r="M324" s="428">
        <f>=I324*L324</f>
        <v>1154</v>
      </c>
      <c r="N324" s="82">
        <f>=K324-M324</f>
        <v>77</v>
      </c>
      <c r="O324" s="64">
        <v>0</v>
      </c>
      <c r="P324" s="64">
        <f>=I324*O324*ROUNDUP((A324-B324)/30,0)</f>
        <v>0</v>
      </c>
      <c r="Q324" s="62" t="s"/>
      <c r="R324" s="62" t="s"/>
    </row>
    <row r="325" spans="1:18" ht="15.75" customHeight="true">
      <c r="A325" s="126">
        <v>46085</v>
      </c>
      <c r="B325" s="426">
        <v>45865</v>
      </c>
      <c r="C325" s="64" t="s">
        <v>69</v>
      </c>
      <c r="D325" s="194" t="s">
        <v>52</v>
      </c>
      <c r="E325" s="94" t="s">
        <v>2631</v>
      </c>
      <c r="F325" s="247" t="s">
        <v>428</v>
      </c>
      <c r="G325" s="64" t="s">
        <v>449</v>
      </c>
      <c r="H325" s="64" t="s">
        <v>547</v>
      </c>
      <c r="I325" s="64">
        <v>1</v>
      </c>
      <c r="J325" s="82">
        <v>1231</v>
      </c>
      <c r="K325" s="427">
        <f>=I325*J325</f>
        <v>1231</v>
      </c>
      <c r="L325" s="82">
        <v>1154</v>
      </c>
      <c r="M325" s="428">
        <f>=I325*L325</f>
        <v>1154</v>
      </c>
      <c r="N325" s="82">
        <f>=K325-M325</f>
        <v>77</v>
      </c>
      <c r="O325" s="64">
        <v>0</v>
      </c>
      <c r="P325" s="64">
        <f>=I325*O325*ROUNDUP((A325-B325)/30,0)</f>
        <v>0</v>
      </c>
      <c r="Q325" s="62" t="s"/>
      <c r="R325" s="62" t="s"/>
    </row>
    <row r="326" spans="1:18" ht="15.75" customHeight="true">
      <c r="A326" s="126">
        <v>46085</v>
      </c>
      <c r="B326" s="426">
        <v>45865</v>
      </c>
      <c r="C326" s="64" t="s">
        <v>69</v>
      </c>
      <c r="D326" s="194" t="s">
        <v>52</v>
      </c>
      <c r="E326" s="94" t="s">
        <v>2632</v>
      </c>
      <c r="F326" s="247" t="s">
        <v>428</v>
      </c>
      <c r="G326" s="64" t="s">
        <v>449</v>
      </c>
      <c r="H326" s="64" t="s">
        <v>549</v>
      </c>
      <c r="I326" s="64">
        <v>1</v>
      </c>
      <c r="J326" s="82">
        <v>1231</v>
      </c>
      <c r="K326" s="427">
        <f>=I326*J326</f>
        <v>1231</v>
      </c>
      <c r="L326" s="82">
        <v>1154</v>
      </c>
      <c r="M326" s="428">
        <f>=I326*L326</f>
        <v>1154</v>
      </c>
      <c r="N326" s="82">
        <f>=K326-M326</f>
        <v>77</v>
      </c>
      <c r="O326" s="64">
        <v>0</v>
      </c>
      <c r="P326" s="64">
        <f>=I326*O326*ROUNDUP((A326-B326)/30,0)</f>
        <v>0</v>
      </c>
      <c r="Q326" s="62" t="s"/>
      <c r="R326" s="62" t="s"/>
    </row>
    <row r="327" spans="1:18" ht="15.75" customHeight="true">
      <c r="A327" s="126">
        <v>46085</v>
      </c>
      <c r="B327" s="426">
        <v>45865</v>
      </c>
      <c r="C327" s="64" t="s">
        <v>69</v>
      </c>
      <c r="D327" s="194" t="s">
        <v>52</v>
      </c>
      <c r="E327" s="94" t="s">
        <v>2633</v>
      </c>
      <c r="F327" s="247" t="s">
        <v>428</v>
      </c>
      <c r="G327" s="64" t="s">
        <v>449</v>
      </c>
      <c r="H327" s="64" t="s">
        <v>551</v>
      </c>
      <c r="I327" s="64">
        <v>1</v>
      </c>
      <c r="J327" s="82">
        <v>4394</v>
      </c>
      <c r="K327" s="427">
        <f>=I327*J327</f>
        <v>4394</v>
      </c>
      <c r="L327" s="82">
        <v>4120</v>
      </c>
      <c r="M327" s="428">
        <f>=I327*L327</f>
        <v>4120</v>
      </c>
      <c r="N327" s="82">
        <f>=K327-M327</f>
        <v>274</v>
      </c>
      <c r="O327" s="64">
        <v>0</v>
      </c>
      <c r="P327" s="64">
        <f>=I327*O327*ROUNDUP((A327-B327)/30,0)</f>
        <v>0</v>
      </c>
      <c r="Q327" s="62" t="s"/>
      <c r="R327" s="62" t="s"/>
    </row>
    <row r="328" spans="1:18" ht="15.75" customHeight="true">
      <c r="A328" s="126">
        <v>46085</v>
      </c>
      <c r="B328" s="426">
        <v>45865</v>
      </c>
      <c r="C328" s="64" t="s">
        <v>69</v>
      </c>
      <c r="D328" s="194" t="s">
        <v>52</v>
      </c>
      <c r="E328" s="94" t="s">
        <v>2634</v>
      </c>
      <c r="F328" s="197" t="s">
        <v>428</v>
      </c>
      <c r="G328" s="64" t="s">
        <v>470</v>
      </c>
      <c r="H328" s="64" t="s">
        <v>553</v>
      </c>
      <c r="I328" s="64">
        <v>1</v>
      </c>
      <c r="J328" s="82">
        <v>2989</v>
      </c>
      <c r="K328" s="427">
        <f>=I328*J328</f>
        <v>2989</v>
      </c>
      <c r="L328" s="82">
        <v>2802</v>
      </c>
      <c r="M328" s="428">
        <f>=I328*L328</f>
        <v>2802</v>
      </c>
      <c r="N328" s="82">
        <f>=K328-M328</f>
        <v>187</v>
      </c>
      <c r="O328" s="64">
        <v>0</v>
      </c>
      <c r="P328" s="64">
        <f>=I328*O328*ROUNDUP((A328-B328)/30,0)</f>
        <v>0</v>
      </c>
      <c r="Q328" s="62" t="s"/>
      <c r="R328" s="62" t="s"/>
    </row>
    <row r="329" spans="1:18" ht="15.75" customHeight="true">
      <c r="A329" s="126">
        <v>46085</v>
      </c>
      <c r="B329" s="426">
        <v>45865</v>
      </c>
      <c r="C329" s="64" t="s">
        <v>69</v>
      </c>
      <c r="D329" s="194" t="s">
        <v>52</v>
      </c>
      <c r="E329" s="94" t="s">
        <v>2635</v>
      </c>
      <c r="F329" s="197" t="s">
        <v>428</v>
      </c>
      <c r="G329" s="64" t="s">
        <v>470</v>
      </c>
      <c r="H329" s="64" t="s">
        <v>555</v>
      </c>
      <c r="I329" s="64">
        <v>1</v>
      </c>
      <c r="J329" s="82">
        <v>2989</v>
      </c>
      <c r="K329" s="427">
        <f>=I329*J329</f>
        <v>2989</v>
      </c>
      <c r="L329" s="82">
        <v>2802</v>
      </c>
      <c r="M329" s="428">
        <f>=I329*L329</f>
        <v>2802</v>
      </c>
      <c r="N329" s="82">
        <f>=K329-M329</f>
        <v>187</v>
      </c>
      <c r="O329" s="64">
        <v>0</v>
      </c>
      <c r="P329" s="64">
        <f>=I329*O329*ROUNDUP((A329-B329)/30,0)</f>
        <v>0</v>
      </c>
      <c r="Q329" s="62" t="s"/>
      <c r="R329" s="62" t="s"/>
    </row>
    <row r="330" spans="1:18" ht="15.75" customHeight="true">
      <c r="A330" s="126">
        <v>46085</v>
      </c>
      <c r="B330" s="426">
        <v>45865</v>
      </c>
      <c r="C330" s="64" t="s">
        <v>69</v>
      </c>
      <c r="D330" s="194" t="s">
        <v>52</v>
      </c>
      <c r="E330" s="94" t="s">
        <v>2636</v>
      </c>
      <c r="F330" s="247" t="s">
        <v>428</v>
      </c>
      <c r="G330" s="64" t="s">
        <v>449</v>
      </c>
      <c r="H330" s="64" t="s">
        <v>557</v>
      </c>
      <c r="I330" s="64">
        <v>4</v>
      </c>
      <c r="J330" s="82">
        <v>4131</v>
      </c>
      <c r="K330" s="427">
        <f>=I330*J330</f>
        <v>16524</v>
      </c>
      <c r="L330" s="82">
        <v>3873</v>
      </c>
      <c r="M330" s="428">
        <f>=I330*L330</f>
        <v>15492</v>
      </c>
      <c r="N330" s="82">
        <f>=K330-M330</f>
        <v>1032</v>
      </c>
      <c r="O330" s="64">
        <v>0</v>
      </c>
      <c r="P330" s="64">
        <f>=I330*O330*ROUNDUP((A330-B330)/30,0)</f>
        <v>0</v>
      </c>
      <c r="Q330" s="62" t="s"/>
      <c r="R330" s="62" t="s"/>
    </row>
    <row r="331" spans="1:18" ht="15.75" customHeight="true">
      <c r="A331" s="126">
        <v>46085</v>
      </c>
      <c r="B331" s="426">
        <v>45865</v>
      </c>
      <c r="C331" s="64" t="s">
        <v>69</v>
      </c>
      <c r="D331" s="194" t="s">
        <v>52</v>
      </c>
      <c r="E331" s="94" t="s">
        <v>2637</v>
      </c>
      <c r="F331" s="247" t="s">
        <v>428</v>
      </c>
      <c r="G331" s="64" t="s">
        <v>449</v>
      </c>
      <c r="H331" s="64" t="s">
        <v>559</v>
      </c>
      <c r="I331" s="64">
        <v>2</v>
      </c>
      <c r="J331" s="82">
        <v>4131</v>
      </c>
      <c r="K331" s="427">
        <f>=I331*J331</f>
        <v>8262</v>
      </c>
      <c r="L331" s="82">
        <v>3873</v>
      </c>
      <c r="M331" s="428">
        <f>=I331*L331</f>
        <v>7746</v>
      </c>
      <c r="N331" s="82">
        <f>=K331-M331</f>
        <v>516</v>
      </c>
      <c r="O331" s="64">
        <v>0</v>
      </c>
      <c r="P331" s="64">
        <f>=I331*O331*ROUNDUP((A331-B331)/30,0)</f>
        <v>0</v>
      </c>
      <c r="Q331" s="62" t="s"/>
      <c r="R331" s="62" t="s"/>
    </row>
    <row r="332" spans="1:18" ht="15.75" customHeight="true">
      <c r="A332" s="126">
        <v>46085</v>
      </c>
      <c r="B332" s="426">
        <v>45865</v>
      </c>
      <c r="C332" s="64" t="s">
        <v>69</v>
      </c>
      <c r="D332" s="194" t="s">
        <v>52</v>
      </c>
      <c r="E332" s="94" t="s">
        <v>2638</v>
      </c>
      <c r="F332" s="247" t="s">
        <v>428</v>
      </c>
      <c r="G332" s="64" t="s">
        <v>449</v>
      </c>
      <c r="H332" s="64" t="s">
        <v>563</v>
      </c>
      <c r="I332" s="64">
        <v>4</v>
      </c>
      <c r="J332" s="82">
        <v>3692</v>
      </c>
      <c r="K332" s="427">
        <f>=I332*J332</f>
        <v>14768</v>
      </c>
      <c r="L332" s="82">
        <v>3461</v>
      </c>
      <c r="M332" s="428">
        <f>=I332*L332</f>
        <v>13844</v>
      </c>
      <c r="N332" s="82">
        <f>=K332-M332</f>
        <v>924</v>
      </c>
      <c r="O332" s="64">
        <v>0</v>
      </c>
      <c r="P332" s="64">
        <f>=I332*O332*ROUNDUP((A332-B332)/30,0)</f>
        <v>0</v>
      </c>
      <c r="Q332" s="62" t="s"/>
      <c r="R332" s="62" t="s"/>
    </row>
    <row r="333" spans="1:18" ht="15.75" customHeight="true">
      <c r="A333" s="126">
        <v>46085</v>
      </c>
      <c r="B333" s="426">
        <v>45865</v>
      </c>
      <c r="C333" s="64" t="s">
        <v>69</v>
      </c>
      <c r="D333" s="194" t="s">
        <v>52</v>
      </c>
      <c r="E333" s="94" t="s">
        <v>2639</v>
      </c>
      <c r="F333" s="247" t="s">
        <v>428</v>
      </c>
      <c r="G333" s="64" t="s">
        <v>449</v>
      </c>
      <c r="H333" s="64" t="s">
        <v>565</v>
      </c>
      <c r="I333" s="64">
        <v>2</v>
      </c>
      <c r="J333" s="82">
        <v>3692</v>
      </c>
      <c r="K333" s="427">
        <f>=I333*J333</f>
        <v>7384</v>
      </c>
      <c r="L333" s="82">
        <v>3461</v>
      </c>
      <c r="M333" s="428">
        <f>=I333*L333</f>
        <v>6922</v>
      </c>
      <c r="N333" s="82">
        <f>=K333-M333</f>
        <v>462</v>
      </c>
      <c r="O333" s="64">
        <v>0</v>
      </c>
      <c r="P333" s="64">
        <f>=I333*O333*ROUNDUP((A333-B333)/30,0)</f>
        <v>0</v>
      </c>
      <c r="Q333" s="62" t="s"/>
      <c r="R333" s="62" t="s"/>
    </row>
    <row r="334" spans="1:18" ht="15.75" customHeight="true">
      <c r="A334" s="126">
        <v>46085</v>
      </c>
      <c r="B334" s="426">
        <v>45865</v>
      </c>
      <c r="C334" s="64" t="s">
        <v>69</v>
      </c>
      <c r="D334" s="194" t="s">
        <v>52</v>
      </c>
      <c r="E334" s="94" t="s">
        <v>2640</v>
      </c>
      <c r="F334" s="197" t="s">
        <v>428</v>
      </c>
      <c r="G334" s="64" t="s">
        <v>470</v>
      </c>
      <c r="H334" s="64" t="s">
        <v>573</v>
      </c>
      <c r="I334" s="64">
        <v>1</v>
      </c>
      <c r="J334" s="82">
        <v>4307</v>
      </c>
      <c r="K334" s="427">
        <f>=I334*J334</f>
        <v>4307</v>
      </c>
      <c r="L334" s="82">
        <v>4038</v>
      </c>
      <c r="M334" s="428">
        <f>=I334*L334</f>
        <v>4038</v>
      </c>
      <c r="N334" s="82">
        <f>=K334-M334</f>
        <v>269</v>
      </c>
      <c r="O334" s="64">
        <v>0</v>
      </c>
      <c r="P334" s="64">
        <f>=I334*O334*ROUNDUP((A334-B334)/30,0)</f>
        <v>0</v>
      </c>
      <c r="Q334" s="62" t="s"/>
      <c r="R334" s="62" t="s"/>
    </row>
    <row r="335" spans="1:18" ht="15.75" customHeight="true">
      <c r="A335" s="126">
        <v>46085</v>
      </c>
      <c r="B335" s="426">
        <v>45865</v>
      </c>
      <c r="C335" s="64" t="s">
        <v>69</v>
      </c>
      <c r="D335" s="194" t="s">
        <v>52</v>
      </c>
      <c r="E335" s="94" t="s">
        <v>2641</v>
      </c>
      <c r="F335" s="197" t="s">
        <v>428</v>
      </c>
      <c r="G335" s="64" t="s">
        <v>470</v>
      </c>
      <c r="H335" s="64" t="s">
        <v>471</v>
      </c>
      <c r="I335" s="64">
        <v>2</v>
      </c>
      <c r="J335" s="82">
        <v>3076</v>
      </c>
      <c r="K335" s="427">
        <f>=I335*J335</f>
        <v>6152</v>
      </c>
      <c r="L335" s="82">
        <v>2884</v>
      </c>
      <c r="M335" s="428">
        <f>=I335*L335</f>
        <v>5768</v>
      </c>
      <c r="N335" s="82">
        <f>=K335-M335</f>
        <v>384</v>
      </c>
      <c r="O335" s="64">
        <v>0</v>
      </c>
      <c r="P335" s="64">
        <f>=I335*O335*ROUNDUP((A335-B335)/30,0)</f>
        <v>0</v>
      </c>
      <c r="Q335" s="62" t="s"/>
      <c r="R335" s="62" t="s"/>
    </row>
    <row r="336" spans="1:18" ht="15.75" customHeight="true">
      <c r="A336" s="126">
        <v>46085</v>
      </c>
      <c r="B336" s="426">
        <v>45865</v>
      </c>
      <c r="C336" s="64" t="s">
        <v>69</v>
      </c>
      <c r="D336" s="194" t="s">
        <v>52</v>
      </c>
      <c r="E336" s="94" t="s">
        <v>2642</v>
      </c>
      <c r="F336" s="197" t="s">
        <v>428</v>
      </c>
      <c r="G336" s="64" t="s">
        <v>470</v>
      </c>
      <c r="H336" s="64" t="s">
        <v>473</v>
      </c>
      <c r="I336" s="64">
        <v>2</v>
      </c>
      <c r="J336" s="82">
        <v>3076</v>
      </c>
      <c r="K336" s="427">
        <f>=I336*J336</f>
        <v>6152</v>
      </c>
      <c r="L336" s="82">
        <v>2884</v>
      </c>
      <c r="M336" s="428">
        <f>=I336*L336</f>
        <v>5768</v>
      </c>
      <c r="N336" s="82">
        <f>=K336-M336</f>
        <v>384</v>
      </c>
      <c r="O336" s="64">
        <v>0</v>
      </c>
      <c r="P336" s="64">
        <f>=I336*O336*ROUNDUP((A336-B336)/30,0)</f>
        <v>0</v>
      </c>
      <c r="Q336" s="62" t="s"/>
      <c r="R336" s="62" t="s"/>
    </row>
    <row r="337" spans="1:18" ht="15.75" customHeight="true">
      <c r="A337" s="126">
        <v>46085</v>
      </c>
      <c r="B337" s="426">
        <v>45865</v>
      </c>
      <c r="C337" s="64" t="s">
        <v>69</v>
      </c>
      <c r="D337" s="194" t="s">
        <v>52</v>
      </c>
      <c r="E337" s="94" t="s">
        <v>2643</v>
      </c>
      <c r="F337" s="197" t="s">
        <v>428</v>
      </c>
      <c r="G337" s="64" t="s">
        <v>470</v>
      </c>
      <c r="H337" s="64" t="s">
        <v>579</v>
      </c>
      <c r="I337" s="64">
        <v>2</v>
      </c>
      <c r="J337" s="82">
        <v>3076</v>
      </c>
      <c r="K337" s="427">
        <f>=I337*J337</f>
        <v>6152</v>
      </c>
      <c r="L337" s="82">
        <v>2884</v>
      </c>
      <c r="M337" s="428">
        <f>=I337*L337</f>
        <v>5768</v>
      </c>
      <c r="N337" s="82">
        <f>=K337-M337</f>
        <v>384</v>
      </c>
      <c r="O337" s="64">
        <v>0</v>
      </c>
      <c r="P337" s="64">
        <f>=I337*O337*ROUNDUP((A337-B337)/30,0)</f>
        <v>0</v>
      </c>
      <c r="Q337" s="62" t="s"/>
      <c r="R337" s="62" t="s"/>
    </row>
    <row r="338" spans="1:18" ht="15.75" customHeight="true">
      <c r="A338" s="126">
        <v>46085</v>
      </c>
      <c r="B338" s="426">
        <v>45865</v>
      </c>
      <c r="C338" s="64" t="s">
        <v>69</v>
      </c>
      <c r="D338" s="194" t="s">
        <v>52</v>
      </c>
      <c r="E338" s="94" t="s">
        <v>2644</v>
      </c>
      <c r="F338" s="197" t="s">
        <v>428</v>
      </c>
      <c r="G338" s="64" t="s">
        <v>470</v>
      </c>
      <c r="H338" s="64" t="s">
        <v>477</v>
      </c>
      <c r="I338" s="64">
        <v>1</v>
      </c>
      <c r="J338" s="82">
        <v>2373</v>
      </c>
      <c r="K338" s="427">
        <f>=I338*J338</f>
        <v>2373</v>
      </c>
      <c r="L338" s="82">
        <v>2225</v>
      </c>
      <c r="M338" s="428">
        <f>=I338*L338</f>
        <v>2225</v>
      </c>
      <c r="N338" s="82">
        <f>=K338-M338</f>
        <v>148</v>
      </c>
      <c r="O338" s="64">
        <v>0</v>
      </c>
      <c r="P338" s="64">
        <f>=I338*O338*ROUNDUP((A338-B338)/30,0)</f>
        <v>0</v>
      </c>
      <c r="Q338" s="62" t="s"/>
      <c r="R338" s="62" t="s"/>
    </row>
    <row r="339" spans="1:18" ht="15.75" customHeight="true">
      <c r="A339" s="126">
        <v>46085</v>
      </c>
      <c r="B339" s="426">
        <v>45865</v>
      </c>
      <c r="C339" s="64" t="s">
        <v>69</v>
      </c>
      <c r="D339" s="194" t="s">
        <v>52</v>
      </c>
      <c r="E339" s="94" t="s">
        <v>2645</v>
      </c>
      <c r="F339" s="197" t="s">
        <v>428</v>
      </c>
      <c r="G339" s="64" t="s">
        <v>470</v>
      </c>
      <c r="H339" s="64" t="s">
        <v>582</v>
      </c>
      <c r="I339" s="64">
        <v>6</v>
      </c>
      <c r="J339" s="82">
        <v>2373</v>
      </c>
      <c r="K339" s="427">
        <f>=I339*J339</f>
        <v>14238</v>
      </c>
      <c r="L339" s="82">
        <v>2225</v>
      </c>
      <c r="M339" s="428">
        <f>=I339*L339</f>
        <v>13350</v>
      </c>
      <c r="N339" s="82">
        <f>=K339-M339</f>
        <v>888</v>
      </c>
      <c r="O339" s="64">
        <v>0</v>
      </c>
      <c r="P339" s="64">
        <f>=I339*O339*ROUNDUP((A339-B339)/30,0)</f>
        <v>0</v>
      </c>
      <c r="Q339" s="62" t="s"/>
      <c r="R339" s="62" t="s"/>
    </row>
    <row r="340" spans="1:18" ht="15.75" customHeight="true">
      <c r="A340" s="126">
        <v>46086</v>
      </c>
      <c r="B340" s="426">
        <v>46013</v>
      </c>
      <c r="C340" s="64" t="s">
        <v>95</v>
      </c>
      <c r="D340" s="194" t="s">
        <v>84</v>
      </c>
      <c r="E340" s="64" t="s"/>
      <c r="F340" s="308" t="s">
        <v>747</v>
      </c>
      <c r="G340" s="80" t="s">
        <v>470</v>
      </c>
      <c r="H340" s="348" t="s">
        <v>748</v>
      </c>
      <c r="I340" s="64">
        <v>20</v>
      </c>
      <c r="J340" s="82">
        <v>5460</v>
      </c>
      <c r="K340" s="427">
        <f>=I340*J340</f>
        <v>109200</v>
      </c>
      <c r="L340" s="82">
        <v>5360</v>
      </c>
      <c r="M340" s="428">
        <f>=I340*L340</f>
        <v>107200</v>
      </c>
      <c r="N340" s="82">
        <f>=K340-M340</f>
        <v>2000</v>
      </c>
      <c r="O340" s="64">
        <v>0</v>
      </c>
      <c r="P340" s="64">
        <f>=I340*O340*ROUNDUP((A340-B340)/30,0)</f>
        <v>0</v>
      </c>
      <c r="Q340" s="62" t="s"/>
      <c r="R340" s="62" t="s"/>
    </row>
    <row r="341" spans="1:18" ht="15.75" customHeight="true">
      <c r="A341" s="126">
        <v>46086</v>
      </c>
      <c r="B341" s="426">
        <v>45994</v>
      </c>
      <c r="C341" s="64" t="s">
        <v>92</v>
      </c>
      <c r="D341" s="348" t="s">
        <v>84</v>
      </c>
      <c r="E341" s="445" t="s">
        <v>2646</v>
      </c>
      <c r="F341" s="94" t="s">
        <v>671</v>
      </c>
      <c r="G341" s="194" t="s">
        <v>470</v>
      </c>
      <c r="H341" s="459" t="s">
        <v>735</v>
      </c>
      <c r="I341" s="64">
        <v>10</v>
      </c>
      <c r="J341" s="82">
        <v>13261.32</v>
      </c>
      <c r="K341" s="427">
        <f>=I341*J341</f>
        <v>132613.2</v>
      </c>
      <c r="L341" s="82">
        <v>12960</v>
      </c>
      <c r="M341" s="428">
        <f>=I341*L341</f>
        <v>129600</v>
      </c>
      <c r="N341" s="82">
        <f>=K341-M341</f>
        <v>3013.20000000001</v>
      </c>
      <c r="O341" s="64">
        <v>0</v>
      </c>
      <c r="P341" s="64">
        <f>=I341*O341*ROUNDUP((A341-B341)/30,0)</f>
        <v>0</v>
      </c>
      <c r="Q341" s="62" t="s"/>
      <c r="R341" s="62" t="s"/>
    </row>
    <row r="342" spans="1:18" ht="15.75" customHeight="true">
      <c r="A342" s="126">
        <v>46086</v>
      </c>
      <c r="B342" s="426">
        <v>45924</v>
      </c>
      <c r="C342" s="64" t="s">
        <v>75</v>
      </c>
      <c r="D342" s="64" t="s">
        <v>74</v>
      </c>
      <c r="E342" s="64" t="s"/>
      <c r="F342" s="197" t="s">
        <v>428</v>
      </c>
      <c r="G342" s="64" t="s">
        <v>470</v>
      </c>
      <c r="H342" s="64" t="s">
        <v>658</v>
      </c>
      <c r="I342" s="64">
        <v>100</v>
      </c>
      <c r="J342" s="82">
        <v>1101</v>
      </c>
      <c r="K342" s="427">
        <f>=I342*J342</f>
        <v>110100</v>
      </c>
      <c r="L342" s="82">
        <v>1053</v>
      </c>
      <c r="M342" s="428">
        <f>=I342*L342</f>
        <v>105300</v>
      </c>
      <c r="N342" s="82">
        <f>=K342-M342</f>
        <v>4800</v>
      </c>
      <c r="O342" s="64">
        <v>0</v>
      </c>
      <c r="P342" s="64">
        <f>=I342*O342*ROUNDUP((A342-B342)/30,0)</f>
        <v>0</v>
      </c>
      <c r="Q342" s="62" t="s"/>
      <c r="R342" s="62" t="s"/>
    </row>
    <row r="343" spans="1:18" ht="15.75" customHeight="true">
      <c r="A343" s="126">
        <v>46090</v>
      </c>
      <c r="B343" s="460">
        <v>46089</v>
      </c>
      <c r="C343" s="80" t="s">
        <v>136</v>
      </c>
      <c r="D343" s="64" t="s">
        <v>135</v>
      </c>
      <c r="E343" s="94" t="s">
        <v>2647</v>
      </c>
      <c r="F343" s="197" t="s">
        <v>428</v>
      </c>
      <c r="G343" s="64" t="s">
        <v>422</v>
      </c>
      <c r="H343" s="64" t="s">
        <v>2648</v>
      </c>
      <c r="I343" s="64">
        <v>200</v>
      </c>
      <c r="J343" s="82">
        <v>1162.32</v>
      </c>
      <c r="K343" s="427">
        <f>=I343*J343</f>
        <v>232464</v>
      </c>
      <c r="L343" s="82">
        <v>1160</v>
      </c>
      <c r="M343" s="428">
        <f>=I343*L343</f>
        <v>232000</v>
      </c>
      <c r="N343" s="82">
        <f>=K343-M343</f>
        <v>464</v>
      </c>
      <c r="O343" s="64">
        <v>1</v>
      </c>
      <c r="P343" s="64">
        <f>=I343*O343*ROUNDUP((A343-B343)/30,0)</f>
        <v>200</v>
      </c>
      <c r="Q343" s="62" t="s"/>
      <c r="R343" s="62" t="s"/>
    </row>
    <row r="344" spans="1:18" ht="15.75" customHeight="true">
      <c r="A344" s="126">
        <v>46090</v>
      </c>
      <c r="B344" s="426">
        <v>46057</v>
      </c>
      <c r="C344" s="64" t="s">
        <v>113</v>
      </c>
      <c r="D344" s="94" t="s">
        <v>112</v>
      </c>
      <c r="E344" s="94" t="s">
        <v>2649</v>
      </c>
      <c r="F344" s="197" t="s">
        <v>428</v>
      </c>
      <c r="G344" s="64" t="s">
        <v>422</v>
      </c>
      <c r="H344" s="64" t="s">
        <v>816</v>
      </c>
      <c r="I344" s="64">
        <v>70</v>
      </c>
      <c r="J344" s="82">
        <v>2022.4</v>
      </c>
      <c r="K344" s="427">
        <f>=I344*J344</f>
        <v>141568</v>
      </c>
      <c r="L344" s="82">
        <v>2000</v>
      </c>
      <c r="M344" s="428">
        <f>=I344*L344</f>
        <v>140000</v>
      </c>
      <c r="N344" s="82">
        <f>=K344-M344</f>
        <v>1568</v>
      </c>
      <c r="O344" s="64">
        <v>1</v>
      </c>
      <c r="P344" s="64">
        <f>=I344*O344*ROUNDUP((A344-B344)/30,0)</f>
        <v>140</v>
      </c>
      <c r="Q344" s="62" t="s"/>
      <c r="R344" s="62" t="s"/>
    </row>
    <row r="345" spans="1:18" ht="15.75" customHeight="true">
      <c r="A345" s="126">
        <v>46091</v>
      </c>
      <c r="B345" s="426">
        <v>45924</v>
      </c>
      <c r="C345" s="64" t="s">
        <v>75</v>
      </c>
      <c r="D345" s="194" t="s">
        <v>2553</v>
      </c>
      <c r="E345" s="64" t="s"/>
      <c r="F345" s="197" t="s">
        <v>428</v>
      </c>
      <c r="G345" s="64" t="s">
        <v>470</v>
      </c>
      <c r="H345" s="64" t="s">
        <v>658</v>
      </c>
      <c r="I345" s="64">
        <v>298</v>
      </c>
      <c r="J345" s="82">
        <v>1102</v>
      </c>
      <c r="K345" s="427">
        <f>=I345*J345</f>
        <v>328396</v>
      </c>
      <c r="L345" s="82">
        <v>1053</v>
      </c>
      <c r="M345" s="428">
        <f>=I345*L345</f>
        <v>313794</v>
      </c>
      <c r="N345" s="82">
        <f>=K345-M345</f>
        <v>14602</v>
      </c>
      <c r="O345" s="64">
        <v>0</v>
      </c>
      <c r="P345" s="64">
        <f>=I345*O345*ROUNDUP((A345-B345)/30,0)</f>
        <v>0</v>
      </c>
      <c r="Q345" s="62" t="s"/>
      <c r="R345" s="62" t="s"/>
    </row>
    <row r="346" spans="1:18" ht="15.75" customHeight="true">
      <c r="A346" s="126">
        <v>46092</v>
      </c>
      <c r="B346" s="426">
        <v>46058</v>
      </c>
      <c r="C346" s="64" t="s">
        <v>118</v>
      </c>
      <c r="D346" s="64" t="s">
        <v>116</v>
      </c>
      <c r="E346" s="450" t="s">
        <v>2650</v>
      </c>
      <c r="F346" s="197" t="s">
        <v>804</v>
      </c>
      <c r="G346" s="64" t="s">
        <v>429</v>
      </c>
      <c r="H346" s="64" t="s">
        <v>821</v>
      </c>
      <c r="I346" s="64">
        <v>60</v>
      </c>
      <c r="J346" s="82">
        <v>55.51</v>
      </c>
      <c r="K346" s="427">
        <f>=I346*J346</f>
        <v>3330.6</v>
      </c>
      <c r="L346" s="82">
        <v>55</v>
      </c>
      <c r="M346" s="428">
        <f>=I346*L346</f>
        <v>3300</v>
      </c>
      <c r="N346" s="82">
        <f>=K346-M346</f>
        <v>30.5999999999999</v>
      </c>
      <c r="O346" s="64">
        <v>0</v>
      </c>
      <c r="P346" s="64">
        <f>=I346*O346*ROUNDUP((A346-B346)/30,0)</f>
        <v>0</v>
      </c>
      <c r="Q346" s="62" t="s"/>
      <c r="R346" s="62" t="s"/>
    </row>
    <row r="347" spans="1:18" ht="15.75" customHeight="true">
      <c r="A347" s="126">
        <v>46092</v>
      </c>
      <c r="B347" s="426">
        <v>46058</v>
      </c>
      <c r="C347" s="64" t="s">
        <v>118</v>
      </c>
      <c r="D347" s="64" t="s">
        <v>116</v>
      </c>
      <c r="E347" s="450" t="s">
        <v>2651</v>
      </c>
      <c r="F347" s="197" t="s">
        <v>804</v>
      </c>
      <c r="G347" s="64" t="s">
        <v>429</v>
      </c>
      <c r="H347" s="348" t="s">
        <v>828</v>
      </c>
      <c r="I347" s="64">
        <v>500</v>
      </c>
      <c r="J347" s="82">
        <v>160.65</v>
      </c>
      <c r="K347" s="427">
        <f>=I347*J347</f>
        <v>80325</v>
      </c>
      <c r="L347" s="82">
        <v>159.2</v>
      </c>
      <c r="M347" s="428">
        <f>=I347*L347</f>
        <v>79600</v>
      </c>
      <c r="N347" s="82">
        <f>=K347-M347</f>
        <v>725</v>
      </c>
      <c r="O347" s="64">
        <v>0</v>
      </c>
      <c r="P347" s="64">
        <f>=I347*O347*ROUNDUP((A347-B347)/30,0)</f>
        <v>0</v>
      </c>
      <c r="Q347" s="62" t="s"/>
      <c r="R347" s="62" t="s"/>
    </row>
    <row r="348" spans="1:18" ht="15.75" customHeight="true">
      <c r="A348" s="126">
        <v>46092</v>
      </c>
      <c r="B348" s="426">
        <v>46058</v>
      </c>
      <c r="C348" s="64" t="s">
        <v>118</v>
      </c>
      <c r="D348" s="64" t="s">
        <v>116</v>
      </c>
      <c r="E348" s="450" t="s">
        <v>2652</v>
      </c>
      <c r="F348" s="197" t="s">
        <v>804</v>
      </c>
      <c r="G348" s="64" t="s">
        <v>429</v>
      </c>
      <c r="H348" s="459" t="s">
        <v>822</v>
      </c>
      <c r="I348" s="64">
        <v>500</v>
      </c>
      <c r="J348" s="82">
        <v>105.96</v>
      </c>
      <c r="K348" s="427">
        <f>=I348*J348</f>
        <v>52980</v>
      </c>
      <c r="L348" s="82">
        <v>105</v>
      </c>
      <c r="M348" s="428">
        <f>=I348*L348</f>
        <v>52500</v>
      </c>
      <c r="N348" s="82">
        <f>=K348-M348</f>
        <v>480</v>
      </c>
      <c r="O348" s="64">
        <v>0</v>
      </c>
      <c r="P348" s="64">
        <f>=I348*O348*ROUNDUP((A348-B348)/30,0)</f>
        <v>0</v>
      </c>
      <c r="Q348" s="62" t="s"/>
      <c r="R348" s="62" t="s"/>
    </row>
    <row r="349" spans="1:18" ht="15.75" customHeight="true">
      <c r="A349" s="126">
        <v>46093</v>
      </c>
      <c r="B349" s="426">
        <v>45924</v>
      </c>
      <c r="C349" s="64" t="s">
        <v>75</v>
      </c>
      <c r="D349" s="194" t="s">
        <v>2553</v>
      </c>
      <c r="E349" s="64" t="s"/>
      <c r="F349" s="197" t="s">
        <v>428</v>
      </c>
      <c r="G349" s="64" t="s">
        <v>470</v>
      </c>
      <c r="H349" s="64" t="s">
        <v>658</v>
      </c>
      <c r="I349" s="64">
        <v>600</v>
      </c>
      <c r="J349" s="82">
        <v>1103</v>
      </c>
      <c r="K349" s="427">
        <f>=I349*J349</f>
        <v>661800</v>
      </c>
      <c r="L349" s="82">
        <v>1053</v>
      </c>
      <c r="M349" s="428">
        <f>=I349*L349</f>
        <v>631800</v>
      </c>
      <c r="N349" s="82">
        <f>=K349-M349</f>
        <v>30000</v>
      </c>
      <c r="O349" s="64">
        <v>0</v>
      </c>
      <c r="P349" s="64">
        <f>=I349*O349*ROUNDUP((A349-B349)/30,0)</f>
        <v>0</v>
      </c>
      <c r="Q349" s="62" t="s"/>
      <c r="R349" s="62" t="s"/>
    </row>
    <row r="350" spans="1:18" ht="15.75" customHeight="true">
      <c r="A350" s="126">
        <v>46094</v>
      </c>
      <c r="B350" s="426">
        <v>45924</v>
      </c>
      <c r="C350" s="64" t="s">
        <v>75</v>
      </c>
      <c r="D350" s="194" t="s">
        <v>2553</v>
      </c>
      <c r="E350" s="64" t="s"/>
      <c r="F350" s="197" t="s">
        <v>428</v>
      </c>
      <c r="G350" s="64" t="s">
        <v>470</v>
      </c>
      <c r="H350" s="64" t="s">
        <v>658</v>
      </c>
      <c r="I350" s="64">
        <v>100</v>
      </c>
      <c r="J350" s="82">
        <v>1103</v>
      </c>
      <c r="K350" s="427">
        <f>=I350*J350</f>
        <v>110300</v>
      </c>
      <c r="L350" s="82">
        <v>1053</v>
      </c>
      <c r="M350" s="428">
        <f>=I350*L350</f>
        <v>105300</v>
      </c>
      <c r="N350" s="82">
        <f>=K350-M350</f>
        <v>5000</v>
      </c>
      <c r="O350" s="64">
        <v>0</v>
      </c>
      <c r="P350" s="64">
        <f>=I350*O350*ROUNDUP((A350-B350)/30,0)</f>
        <v>0</v>
      </c>
      <c r="Q350" s="62" t="s"/>
      <c r="R350" s="62" t="s"/>
    </row>
    <row r="351" spans="1:18" ht="15.75" customHeight="true">
      <c r="A351" s="126">
        <v>46094</v>
      </c>
      <c r="B351" s="426">
        <v>45994</v>
      </c>
      <c r="C351" s="64" t="s">
        <v>92</v>
      </c>
      <c r="D351" s="348" t="s">
        <v>84</v>
      </c>
      <c r="E351" s="445" t="s">
        <v>2653</v>
      </c>
      <c r="F351" s="94" t="s">
        <v>671</v>
      </c>
      <c r="G351" s="194" t="s">
        <v>470</v>
      </c>
      <c r="H351" s="459" t="s">
        <v>735</v>
      </c>
      <c r="I351" s="64">
        <v>10</v>
      </c>
      <c r="J351" s="82">
        <v>13287.24</v>
      </c>
      <c r="K351" s="427">
        <f>=I351*J351</f>
        <v>132872.4</v>
      </c>
      <c r="L351" s="82">
        <v>12960</v>
      </c>
      <c r="M351" s="428">
        <f>=I351*L351</f>
        <v>129600</v>
      </c>
      <c r="N351" s="82">
        <f>=K351-M351</f>
        <v>3272.39999999999</v>
      </c>
      <c r="O351" s="64">
        <v>0</v>
      </c>
      <c r="P351" s="64">
        <f>=I351*O351*ROUNDUP((A351-B351)/30,0)</f>
        <v>0</v>
      </c>
      <c r="Q351" s="62" t="s"/>
      <c r="R351" s="62" t="s"/>
    </row>
    <row r="352" spans="1:18" ht="15.75" customHeight="true">
      <c r="A352" s="126">
        <v>46094</v>
      </c>
      <c r="B352" s="426">
        <v>45994</v>
      </c>
      <c r="C352" s="64" t="s">
        <v>92</v>
      </c>
      <c r="D352" s="348" t="s">
        <v>84</v>
      </c>
      <c r="E352" s="445" t="s">
        <v>2654</v>
      </c>
      <c r="F352" s="94" t="s">
        <v>671</v>
      </c>
      <c r="G352" s="194" t="s">
        <v>470</v>
      </c>
      <c r="H352" s="94" t="s">
        <v>672</v>
      </c>
      <c r="I352" s="64">
        <v>40</v>
      </c>
      <c r="J352" s="82">
        <v>6233.52</v>
      </c>
      <c r="K352" s="427">
        <f>=I352*J352</f>
        <v>249340.8</v>
      </c>
      <c r="L352" s="82">
        <v>6080</v>
      </c>
      <c r="M352" s="428">
        <f>=I352*L352</f>
        <v>243200</v>
      </c>
      <c r="N352" s="82">
        <f>=K352-M352</f>
        <v>6140.80000000002</v>
      </c>
      <c r="O352" s="64">
        <v>0</v>
      </c>
      <c r="P352" s="64">
        <f>=I352*O352*ROUNDUP((A352-B352)/30,0)</f>
        <v>0</v>
      </c>
      <c r="Q352" s="62" t="s"/>
      <c r="R352" s="62" t="s"/>
    </row>
    <row r="353" spans="1:18" ht="15.75" customHeight="true">
      <c r="A353" s="126">
        <v>46094</v>
      </c>
      <c r="B353" s="426">
        <v>45924</v>
      </c>
      <c r="C353" s="64" t="s">
        <v>75</v>
      </c>
      <c r="D353" s="194" t="s">
        <v>2553</v>
      </c>
      <c r="E353" s="64" t="s"/>
      <c r="F353" s="197" t="s">
        <v>428</v>
      </c>
      <c r="G353" s="64" t="s">
        <v>470</v>
      </c>
      <c r="H353" s="64" t="s">
        <v>658</v>
      </c>
      <c r="I353" s="64">
        <v>200</v>
      </c>
      <c r="J353" s="82">
        <v>1103</v>
      </c>
      <c r="K353" s="427">
        <f>=I353*J353</f>
        <v>220600</v>
      </c>
      <c r="L353" s="82">
        <v>1053</v>
      </c>
      <c r="M353" s="428">
        <f>=I353*L353</f>
        <v>210600</v>
      </c>
      <c r="N353" s="82">
        <f>=K353-M353</f>
        <v>10000</v>
      </c>
      <c r="O353" s="64">
        <v>0</v>
      </c>
      <c r="P353" s="64">
        <f>=I353*O353*ROUNDUP((A353-B353)/30,0)</f>
        <v>0</v>
      </c>
      <c r="Q353" s="62" t="s"/>
      <c r="R353" s="62" t="s"/>
    </row>
    <row r="354" spans="1:18" ht="15.75" customHeight="true">
      <c r="A354" s="126">
        <v>46094</v>
      </c>
      <c r="B354" s="460">
        <v>46083</v>
      </c>
      <c r="C354" s="80" t="s">
        <v>132</v>
      </c>
      <c r="D354" s="194" t="s">
        <v>65</v>
      </c>
      <c r="E354" s="64" t="s"/>
      <c r="F354" s="197" t="s">
        <v>421</v>
      </c>
      <c r="G354" s="197" t="s">
        <v>422</v>
      </c>
      <c r="H354" s="64" t="s">
        <v>693</v>
      </c>
      <c r="I354" s="64">
        <v>4</v>
      </c>
      <c r="J354" s="82">
        <v>8802</v>
      </c>
      <c r="K354" s="427">
        <f>=I354*J354</f>
        <v>35208</v>
      </c>
      <c r="L354" s="82">
        <v>8802</v>
      </c>
      <c r="M354" s="428">
        <f>=I354*L354</f>
        <v>35208</v>
      </c>
      <c r="N354" s="82">
        <f>=K354-M354</f>
        <v>0</v>
      </c>
      <c r="O354" s="64">
        <v>0</v>
      </c>
      <c r="P354" s="64">
        <f>=I354*O354*ROUNDUP((A354-B354)/30,0)</f>
        <v>0</v>
      </c>
      <c r="Q354" s="62" t="s"/>
      <c r="R354" s="62" t="s"/>
    </row>
    <row r="355" spans="1:18" ht="15.75" customHeight="true">
      <c r="A355" s="126">
        <v>46094</v>
      </c>
      <c r="B355" s="460">
        <v>46083</v>
      </c>
      <c r="C355" s="80" t="s">
        <v>132</v>
      </c>
      <c r="D355" s="194" t="s">
        <v>65</v>
      </c>
      <c r="E355" s="64" t="s"/>
      <c r="F355" s="197" t="s">
        <v>421</v>
      </c>
      <c r="G355" s="197" t="s">
        <v>422</v>
      </c>
      <c r="H355" s="64" t="s">
        <v>701</v>
      </c>
      <c r="I355" s="64">
        <v>9</v>
      </c>
      <c r="J355" s="82">
        <v>7956</v>
      </c>
      <c r="K355" s="427">
        <f>=I355*J355</f>
        <v>71604</v>
      </c>
      <c r="L355" s="82">
        <v>7956</v>
      </c>
      <c r="M355" s="428">
        <f>=I355*L355</f>
        <v>71604</v>
      </c>
      <c r="N355" s="82">
        <f>=K355-M355</f>
        <v>0</v>
      </c>
      <c r="O355" s="64">
        <v>0</v>
      </c>
      <c r="P355" s="64">
        <f>=I355*O355*ROUNDUP((A355-B355)/30,0)</f>
        <v>0</v>
      </c>
      <c r="Q355" s="62" t="s"/>
      <c r="R355" s="62" t="s"/>
    </row>
    <row r="356" spans="1:18" ht="15.75" customHeight="true">
      <c r="A356" s="126">
        <v>46094</v>
      </c>
      <c r="B356" s="460">
        <v>46083</v>
      </c>
      <c r="C356" s="80" t="s">
        <v>132</v>
      </c>
      <c r="D356" s="194" t="s">
        <v>65</v>
      </c>
      <c r="E356" s="64" t="s"/>
      <c r="F356" s="197" t="s">
        <v>421</v>
      </c>
      <c r="G356" s="197" t="s">
        <v>422</v>
      </c>
      <c r="H356" s="64" t="s">
        <v>699</v>
      </c>
      <c r="I356" s="64">
        <v>2</v>
      </c>
      <c r="J356" s="82">
        <v>8181</v>
      </c>
      <c r="K356" s="427">
        <f>=I356*J356</f>
        <v>16362</v>
      </c>
      <c r="L356" s="82">
        <v>8100</v>
      </c>
      <c r="M356" s="428">
        <f>=I356*L356</f>
        <v>16200</v>
      </c>
      <c r="N356" s="82">
        <f>=K356-M356</f>
        <v>162</v>
      </c>
      <c r="O356" s="64">
        <v>0</v>
      </c>
      <c r="P356" s="64">
        <f>=I356*O356*ROUNDUP((A356-B356)/30,0)</f>
        <v>0</v>
      </c>
      <c r="Q356" s="62" t="s"/>
      <c r="R356" s="62" t="s"/>
    </row>
    <row r="357" spans="1:18" ht="15.75" customHeight="true">
      <c r="A357" s="126">
        <v>46094</v>
      </c>
      <c r="B357" s="460">
        <v>46083</v>
      </c>
      <c r="C357" s="80" t="s">
        <v>132</v>
      </c>
      <c r="D357" s="194" t="s">
        <v>65</v>
      </c>
      <c r="E357" s="64" t="s"/>
      <c r="F357" s="197" t="s">
        <v>421</v>
      </c>
      <c r="G357" s="197" t="s">
        <v>422</v>
      </c>
      <c r="H357" s="64" t="s">
        <v>705</v>
      </c>
      <c r="I357" s="64">
        <v>1</v>
      </c>
      <c r="J357" s="82">
        <v>8100</v>
      </c>
      <c r="K357" s="427">
        <f>=I357*J357</f>
        <v>8100</v>
      </c>
      <c r="L357" s="82">
        <v>8181</v>
      </c>
      <c r="M357" s="428">
        <f>=I357*L357</f>
        <v>8181</v>
      </c>
      <c r="N357" s="82">
        <f>=K357-M357</f>
        <v>-81</v>
      </c>
      <c r="O357" s="64">
        <v>0</v>
      </c>
      <c r="P357" s="64">
        <f>=I357*O357*ROUNDUP((A357-B357)/30,0)</f>
        <v>0</v>
      </c>
      <c r="Q357" s="62" t="s"/>
      <c r="R357" s="62" t="s"/>
    </row>
    <row r="358" spans="1:18" ht="15.75" customHeight="true">
      <c r="A358" s="126">
        <v>46094</v>
      </c>
      <c r="B358" s="460">
        <v>46083</v>
      </c>
      <c r="C358" s="80" t="s">
        <v>132</v>
      </c>
      <c r="D358" s="194" t="s">
        <v>65</v>
      </c>
      <c r="E358" s="64" t="s"/>
      <c r="F358" s="197" t="s">
        <v>421</v>
      </c>
      <c r="G358" s="197" t="s">
        <v>422</v>
      </c>
      <c r="H358" s="64" t="s">
        <v>678</v>
      </c>
      <c r="I358" s="64">
        <v>5</v>
      </c>
      <c r="J358" s="82">
        <v>5292</v>
      </c>
      <c r="K358" s="427">
        <f>=I358*J358</f>
        <v>26460</v>
      </c>
      <c r="L358" s="82">
        <v>5292</v>
      </c>
      <c r="M358" s="428">
        <f>=I358*L358</f>
        <v>26460</v>
      </c>
      <c r="N358" s="82">
        <f>=K358-M358</f>
        <v>0</v>
      </c>
      <c r="O358" s="64">
        <v>0</v>
      </c>
      <c r="P358" s="64">
        <f>=I358*O358*ROUNDUP((A358-B358)/30,0)</f>
        <v>0</v>
      </c>
      <c r="Q358" s="62" t="s"/>
      <c r="R358" s="62" t="s"/>
    </row>
    <row r="359" spans="1:18" ht="15.75" customHeight="true">
      <c r="A359" s="126">
        <v>46094</v>
      </c>
      <c r="B359" s="460">
        <v>46083</v>
      </c>
      <c r="C359" s="80" t="s">
        <v>132</v>
      </c>
      <c r="D359" s="194" t="s">
        <v>65</v>
      </c>
      <c r="E359" s="64" t="s"/>
      <c r="F359" s="197" t="s">
        <v>421</v>
      </c>
      <c r="G359" s="197" t="s">
        <v>422</v>
      </c>
      <c r="H359" s="64" t="s">
        <v>682</v>
      </c>
      <c r="I359" s="64">
        <v>2</v>
      </c>
      <c r="J359" s="82">
        <v>5292</v>
      </c>
      <c r="K359" s="427">
        <f>=I359*J359</f>
        <v>10584</v>
      </c>
      <c r="L359" s="82">
        <v>5292</v>
      </c>
      <c r="M359" s="428">
        <f>=I359*L359</f>
        <v>10584</v>
      </c>
      <c r="N359" s="82">
        <f>=K359-M359</f>
        <v>0</v>
      </c>
      <c r="O359" s="64">
        <v>0</v>
      </c>
      <c r="P359" s="64">
        <f>=I359*O359*ROUNDUP((A359-B359)/30,0)</f>
        <v>0</v>
      </c>
      <c r="Q359" s="62" t="s"/>
      <c r="R359" s="62" t="s"/>
    </row>
    <row r="360" spans="1:18" ht="15.75" customHeight="true">
      <c r="A360" s="126">
        <v>46094</v>
      </c>
      <c r="B360" s="460">
        <v>46083</v>
      </c>
      <c r="C360" s="80" t="s">
        <v>132</v>
      </c>
      <c r="D360" s="194" t="s">
        <v>65</v>
      </c>
      <c r="E360" s="64" t="s"/>
      <c r="F360" s="197" t="s">
        <v>421</v>
      </c>
      <c r="G360" s="197" t="s">
        <v>422</v>
      </c>
      <c r="H360" s="64" t="s">
        <v>680</v>
      </c>
      <c r="I360" s="64">
        <v>5</v>
      </c>
      <c r="J360" s="82">
        <v>5319</v>
      </c>
      <c r="K360" s="427">
        <f>=I360*J360</f>
        <v>26595</v>
      </c>
      <c r="L360" s="82">
        <v>5319</v>
      </c>
      <c r="M360" s="428">
        <f>=I360*L360</f>
        <v>26595</v>
      </c>
      <c r="N360" s="82">
        <f>=K360-M360</f>
        <v>0</v>
      </c>
      <c r="O360" s="64">
        <v>0</v>
      </c>
      <c r="P360" s="64">
        <f>=I360*O360*ROUNDUP((A360-B360)/30,0)</f>
        <v>0</v>
      </c>
      <c r="Q360" s="62" t="s"/>
      <c r="R360" s="62" t="s"/>
    </row>
    <row r="361" spans="1:18" s="270" customFormat="true" ht="15.75" customHeight="true">
      <c r="A361" s="452">
        <v>46095</v>
      </c>
      <c r="B361" s="461">
        <v>46092</v>
      </c>
      <c r="C361" s="110" t="s">
        <v>141</v>
      </c>
      <c r="D361" s="83" t="s">
        <v>135</v>
      </c>
      <c r="E361" s="121" t="s">
        <v>2655</v>
      </c>
      <c r="F361" s="228" t="s">
        <v>741</v>
      </c>
      <c r="G361" s="83" t="s">
        <v>422</v>
      </c>
      <c r="H361" s="83" t="s">
        <v>873</v>
      </c>
      <c r="I361" s="83">
        <v>200</v>
      </c>
      <c r="J361" s="84">
        <v>1103.7</v>
      </c>
      <c r="K361" s="439">
        <f>=I361*J361</f>
        <v>220740</v>
      </c>
      <c r="L361" s="84">
        <v>1100</v>
      </c>
      <c r="M361" s="454">
        <f>=I361*L361</f>
        <v>220000</v>
      </c>
      <c r="N361" s="84">
        <f>=K361-M361</f>
        <v>740</v>
      </c>
      <c r="O361" s="83">
        <v>1</v>
      </c>
      <c r="P361" s="83">
        <f>=I361*O361*ROUNDUP((A361-B361)/30,0)</f>
        <v>200</v>
      </c>
      <c r="Q361" s="83" t="s"/>
      <c r="R361" s="83" t="s"/>
    </row>
    <row r="362" spans="1:18" ht="15.75" customHeight="true">
      <c r="A362" s="126">
        <v>46096</v>
      </c>
      <c r="B362" s="426">
        <v>45994</v>
      </c>
      <c r="C362" s="64" t="s">
        <v>92</v>
      </c>
      <c r="D362" s="348" t="s">
        <v>84</v>
      </c>
      <c r="E362" s="445" t="s">
        <v>2656</v>
      </c>
      <c r="F362" s="94" t="s">
        <v>671</v>
      </c>
      <c r="G362" s="194" t="s">
        <v>470</v>
      </c>
      <c r="H362" s="94" t="s">
        <v>672</v>
      </c>
      <c r="I362" s="64">
        <v>20</v>
      </c>
      <c r="J362" s="82">
        <v>6236.56</v>
      </c>
      <c r="K362" s="427">
        <f>=I362*J362</f>
        <v>124731.2</v>
      </c>
      <c r="L362" s="82">
        <v>6080</v>
      </c>
      <c r="M362" s="428">
        <f>=I362*L362</f>
        <v>121600</v>
      </c>
      <c r="N362" s="82">
        <f>=K362-M362</f>
        <v>3131.20000000001</v>
      </c>
      <c r="O362" s="64">
        <v>0</v>
      </c>
      <c r="P362" s="64">
        <f>=I362*O362*ROUNDUP((A362-B362)/30,0)</f>
        <v>0</v>
      </c>
      <c r="Q362" s="62" t="s"/>
      <c r="R362" s="62" t="s"/>
    </row>
    <row r="363" spans="1:18" ht="15.75" customHeight="true">
      <c r="A363" s="126">
        <v>46097</v>
      </c>
      <c r="B363" s="426">
        <v>46013</v>
      </c>
      <c r="C363" s="64" t="s">
        <v>95</v>
      </c>
      <c r="D363" s="348" t="s">
        <v>84</v>
      </c>
      <c r="E363" s="64" t="s"/>
      <c r="F363" s="308" t="s">
        <v>747</v>
      </c>
      <c r="G363" s="80" t="s">
        <v>470</v>
      </c>
      <c r="H363" s="348" t="s">
        <v>748</v>
      </c>
      <c r="I363" s="64">
        <v>20</v>
      </c>
      <c r="J363" s="82">
        <v>5474</v>
      </c>
      <c r="K363" s="427">
        <f>=I363*J363</f>
        <v>109480</v>
      </c>
      <c r="L363" s="82">
        <v>5360</v>
      </c>
      <c r="M363" s="428">
        <f>=I363*L363</f>
        <v>107200</v>
      </c>
      <c r="N363" s="82">
        <f>=K363-M363</f>
        <v>2280</v>
      </c>
      <c r="O363" s="64">
        <v>0</v>
      </c>
      <c r="P363" s="64">
        <f>=I363*O363*ROUNDUP((A363-B363)/30,0)</f>
        <v>0</v>
      </c>
      <c r="Q363" s="62" t="s"/>
      <c r="R363" s="62" t="s"/>
    </row>
    <row r="364" spans="1:18" ht="15.75" customHeight="true">
      <c r="A364" s="126">
        <v>46098</v>
      </c>
      <c r="B364" s="426">
        <v>45924</v>
      </c>
      <c r="C364" s="64" t="s">
        <v>75</v>
      </c>
      <c r="D364" s="194" t="s">
        <v>2553</v>
      </c>
      <c r="E364" s="64" t="s"/>
      <c r="F364" s="197" t="s">
        <v>428</v>
      </c>
      <c r="G364" s="64" t="s">
        <v>470</v>
      </c>
      <c r="H364" s="64" t="s">
        <v>658</v>
      </c>
      <c r="I364" s="64">
        <v>300</v>
      </c>
      <c r="J364" s="82">
        <v>1104</v>
      </c>
      <c r="K364" s="427">
        <f>=I364*J364</f>
        <v>331200</v>
      </c>
      <c r="L364" s="82">
        <v>1053</v>
      </c>
      <c r="M364" s="428">
        <f>=I364*L364</f>
        <v>315900</v>
      </c>
      <c r="N364" s="82">
        <f>=K364-M364</f>
        <v>15300</v>
      </c>
      <c r="O364" s="64">
        <v>0</v>
      </c>
      <c r="P364" s="64">
        <f>=I364*O364*ROUNDUP((A364-B364)/30,0)</f>
        <v>0</v>
      </c>
      <c r="Q364" s="62" t="s"/>
      <c r="R364" s="62" t="s"/>
    </row>
    <row r="365" spans="1:18" s="270" customFormat="true" ht="15.75" customHeight="true">
      <c r="A365" s="126">
        <v>46099</v>
      </c>
      <c r="B365" s="461">
        <v>46092</v>
      </c>
      <c r="C365" s="80" t="s">
        <v>141</v>
      </c>
      <c r="D365" s="64" t="s">
        <v>135</v>
      </c>
      <c r="E365" s="94" t="s">
        <v>2657</v>
      </c>
      <c r="F365" s="197" t="s">
        <v>741</v>
      </c>
      <c r="G365" s="64" t="s">
        <v>422</v>
      </c>
      <c r="H365" s="64" t="s">
        <v>873</v>
      </c>
      <c r="I365" s="64">
        <v>300</v>
      </c>
      <c r="J365" s="82">
        <v>1103.7</v>
      </c>
      <c r="K365" s="427">
        <f>=I365*J365</f>
        <v>331110</v>
      </c>
      <c r="L365" s="82">
        <v>1100</v>
      </c>
      <c r="M365" s="428">
        <f>=I365*L365</f>
        <v>330000</v>
      </c>
      <c r="N365" s="82">
        <f>=K365-M365</f>
        <v>1110</v>
      </c>
      <c r="O365" s="64">
        <v>1</v>
      </c>
      <c r="P365" s="64">
        <f>=I365*O365*ROUNDUP((A365-B365)/30,0)</f>
        <v>300</v>
      </c>
      <c r="Q365" s="64" t="s"/>
      <c r="R365" s="64" t="s"/>
    </row>
    <row r="366" spans="1:18" ht="15.75" customHeight="true">
      <c r="A366" s="126">
        <v>46099</v>
      </c>
      <c r="B366" s="460">
        <v>46099</v>
      </c>
      <c r="C366" s="98" t="s">
        <v>147</v>
      </c>
      <c r="D366" s="64" t="s">
        <v>135</v>
      </c>
      <c r="E366" s="94" t="s">
        <v>2658</v>
      </c>
      <c r="F366" s="197" t="s">
        <v>428</v>
      </c>
      <c r="G366" s="64" t="s">
        <v>422</v>
      </c>
      <c r="H366" s="248" t="s">
        <v>485</v>
      </c>
      <c r="I366" s="64">
        <v>100</v>
      </c>
      <c r="J366" s="82">
        <v>1003.5</v>
      </c>
      <c r="K366" s="427">
        <f>=I366*J366</f>
        <v>100350</v>
      </c>
      <c r="L366" s="82">
        <v>1000</v>
      </c>
      <c r="M366" s="428">
        <f>=I366*L366</f>
        <v>100000</v>
      </c>
      <c r="N366" s="82">
        <f>=K366-M366</f>
        <v>350</v>
      </c>
      <c r="O366" s="64">
        <v>1</v>
      </c>
      <c r="P366" s="64">
        <f>=I366*O366*ROUNDUP((A366-B366)/30,0)</f>
        <v>0</v>
      </c>
      <c r="Q366" s="62" t="s"/>
      <c r="R366" s="62" t="s"/>
    </row>
    <row r="367" spans="1:18" ht="15.75" customHeight="true">
      <c r="A367" s="126">
        <v>46099</v>
      </c>
      <c r="B367" s="460">
        <v>46099</v>
      </c>
      <c r="C367" s="98" t="s">
        <v>147</v>
      </c>
      <c r="D367" s="64" t="s">
        <v>135</v>
      </c>
      <c r="E367" s="94" t="s">
        <v>2659</v>
      </c>
      <c r="F367" s="197" t="s">
        <v>428</v>
      </c>
      <c r="G367" s="64" t="s">
        <v>422</v>
      </c>
      <c r="H367" s="248" t="s">
        <v>487</v>
      </c>
      <c r="I367" s="64">
        <v>100</v>
      </c>
      <c r="J367" s="82">
        <v>1003.5</v>
      </c>
      <c r="K367" s="427">
        <f>=I367*J367</f>
        <v>100350</v>
      </c>
      <c r="L367" s="82">
        <v>1000</v>
      </c>
      <c r="M367" s="428">
        <f>=I367*L367</f>
        <v>100000</v>
      </c>
      <c r="N367" s="82">
        <f>=K367-M367</f>
        <v>350</v>
      </c>
      <c r="O367" s="64">
        <v>1</v>
      </c>
      <c r="P367" s="64">
        <f>=I367*O367*ROUNDUP((A367-B367)/30,0)</f>
        <v>0</v>
      </c>
      <c r="Q367" s="62" t="s"/>
      <c r="R367" s="62" t="s"/>
    </row>
    <row r="368" spans="1:18" ht="15.75" customHeight="true">
      <c r="A368" s="126">
        <v>46100</v>
      </c>
      <c r="B368" s="426">
        <v>46096</v>
      </c>
      <c r="C368" s="64" t="s">
        <v>146</v>
      </c>
      <c r="D368" s="64" t="s">
        <v>145</v>
      </c>
      <c r="E368" s="64" t="s"/>
      <c r="F368" s="197" t="s">
        <v>428</v>
      </c>
      <c r="G368" s="64" t="s">
        <v>422</v>
      </c>
      <c r="H368" s="94" t="s">
        <v>890</v>
      </c>
      <c r="I368" s="64">
        <v>100</v>
      </c>
      <c r="J368" s="82">
        <v>3969.42</v>
      </c>
      <c r="K368" s="427">
        <f>=I368*J368</f>
        <v>396942</v>
      </c>
      <c r="L368" s="82">
        <v>3960</v>
      </c>
      <c r="M368" s="428">
        <f>=I368*L368</f>
        <v>396000</v>
      </c>
      <c r="N368" s="82">
        <f>=K368-M368</f>
        <v>942</v>
      </c>
      <c r="O368" s="64">
        <v>1</v>
      </c>
      <c r="P368" s="64">
        <f>=I368*O368*ROUNDUP((A368-B368)/30,0)</f>
        <v>100</v>
      </c>
      <c r="Q368" s="62" t="s"/>
      <c r="R368" s="62" t="s"/>
    </row>
    <row r="369" spans="1:18" ht="15.75" customHeight="true">
      <c r="A369" s="126">
        <v>46100</v>
      </c>
      <c r="B369" s="426">
        <v>46058</v>
      </c>
      <c r="C369" s="64" t="s">
        <v>118</v>
      </c>
      <c r="D369" s="64" t="s">
        <v>116</v>
      </c>
      <c r="E369" s="450" t="s">
        <v>2660</v>
      </c>
      <c r="F369" s="197" t="s">
        <v>804</v>
      </c>
      <c r="G369" s="64" t="s">
        <v>429</v>
      </c>
      <c r="H369" s="64" t="s">
        <v>821</v>
      </c>
      <c r="I369" s="64">
        <v>50</v>
      </c>
      <c r="J369" s="82">
        <v>55.61</v>
      </c>
      <c r="K369" s="427">
        <f>=I369*J369</f>
        <v>2780.5</v>
      </c>
      <c r="L369" s="82">
        <v>55</v>
      </c>
      <c r="M369" s="428">
        <f>=I369*L369</f>
        <v>2750</v>
      </c>
      <c r="N369" s="82">
        <f>=K369-M369</f>
        <v>30.5</v>
      </c>
      <c r="O369" s="64">
        <v>0</v>
      </c>
      <c r="P369" s="64">
        <f>=I369*O369*ROUNDUP((A369-B369)/30,0)</f>
        <v>0</v>
      </c>
      <c r="Q369" s="62" t="s"/>
      <c r="R369" s="62" t="s"/>
    </row>
    <row r="370" spans="1:18" ht="15.75" customHeight="true">
      <c r="A370" s="126">
        <v>46100</v>
      </c>
      <c r="B370" s="426">
        <v>46058</v>
      </c>
      <c r="C370" s="64" t="s">
        <v>118</v>
      </c>
      <c r="D370" s="64" t="s">
        <v>116</v>
      </c>
      <c r="E370" s="450" t="s">
        <v>2661</v>
      </c>
      <c r="F370" s="197" t="s">
        <v>804</v>
      </c>
      <c r="G370" s="64" t="s">
        <v>429</v>
      </c>
      <c r="H370" s="459" t="s">
        <v>822</v>
      </c>
      <c r="I370" s="64">
        <v>492</v>
      </c>
      <c r="J370" s="82">
        <v>106.17</v>
      </c>
      <c r="K370" s="427">
        <f>=I370*J370</f>
        <v>52235.64</v>
      </c>
      <c r="L370" s="82">
        <v>105</v>
      </c>
      <c r="M370" s="428">
        <f>=I370*L370</f>
        <v>51660</v>
      </c>
      <c r="N370" s="82">
        <f>=K370-M370</f>
        <v>575.64</v>
      </c>
      <c r="O370" s="64">
        <v>0</v>
      </c>
      <c r="P370" s="64">
        <f>=I370*O370*ROUNDUP((A370-B370)/30,0)</f>
        <v>0</v>
      </c>
      <c r="Q370" s="62" t="s"/>
      <c r="R370" s="62" t="s"/>
    </row>
    <row r="371" spans="1:18" ht="15.75" customHeight="true">
      <c r="A371" s="126">
        <v>46104</v>
      </c>
      <c r="B371" s="460">
        <v>46101</v>
      </c>
      <c r="C371" s="80" t="s">
        <v>162</v>
      </c>
      <c r="D371" s="64" t="s">
        <v>150</v>
      </c>
      <c r="E371" s="197" t="s"/>
      <c r="F371" s="197" t="s">
        <v>895</v>
      </c>
      <c r="G371" s="64" t="s">
        <v>422</v>
      </c>
      <c r="H371" s="259" t="s">
        <v>2662</v>
      </c>
      <c r="I371" s="64">
        <v>200</v>
      </c>
      <c r="J371" s="82">
        <v>1083.66</v>
      </c>
      <c r="K371" s="427">
        <f>=I371*J371</f>
        <v>216732</v>
      </c>
      <c r="L371" s="82">
        <v>1080</v>
      </c>
      <c r="M371" s="428">
        <f>=I371*L371</f>
        <v>216000</v>
      </c>
      <c r="N371" s="82">
        <f>=K371-M371</f>
        <v>732.000000000029</v>
      </c>
      <c r="O371" s="64">
        <v>1</v>
      </c>
      <c r="P371" s="64">
        <f>=I371*O371*ROUNDUP((A371-B371)/30,0)</f>
        <v>200</v>
      </c>
      <c r="Q371" s="62" t="s"/>
      <c r="R371" s="62" t="s"/>
    </row>
    <row r="372" spans="1:18" ht="15.75" customHeight="true">
      <c r="A372" s="126">
        <v>46104</v>
      </c>
      <c r="B372" s="460">
        <v>46098</v>
      </c>
      <c r="C372" s="80" t="s">
        <v>151</v>
      </c>
      <c r="D372" s="64" t="s">
        <v>150</v>
      </c>
      <c r="E372" s="197" t="s"/>
      <c r="F372" s="197" t="s">
        <v>895</v>
      </c>
      <c r="G372" s="64" t="s">
        <v>422</v>
      </c>
      <c r="H372" s="248" t="s">
        <v>897</v>
      </c>
      <c r="I372" s="64">
        <v>200</v>
      </c>
      <c r="J372" s="82">
        <v>666.83</v>
      </c>
      <c r="K372" s="427">
        <f>=I372*J372</f>
        <v>133366</v>
      </c>
      <c r="L372" s="82">
        <v>664</v>
      </c>
      <c r="M372" s="428">
        <f>=I372*L372</f>
        <v>132800</v>
      </c>
      <c r="N372" s="82">
        <f>=K372-M372</f>
        <v>566</v>
      </c>
      <c r="O372" s="64">
        <v>1</v>
      </c>
      <c r="P372" s="64">
        <f>=I372*O372*ROUNDUP((A372-B372)/30,0)</f>
        <v>200</v>
      </c>
      <c r="Q372" s="62" t="s"/>
      <c r="R372" s="62" t="s"/>
    </row>
    <row r="373" spans="1:18" ht="15.75" customHeight="true">
      <c r="A373" s="126">
        <v>46104</v>
      </c>
      <c r="B373" s="460">
        <v>46100</v>
      </c>
      <c r="C373" s="80" t="s">
        <v>155</v>
      </c>
      <c r="D373" s="64" t="s">
        <v>154</v>
      </c>
      <c r="E373" s="94" t="s">
        <v>2663</v>
      </c>
      <c r="F373" s="197" t="s">
        <v>421</v>
      </c>
      <c r="G373" s="259" t="s">
        <v>470</v>
      </c>
      <c r="H373" s="259" t="s">
        <v>914</v>
      </c>
      <c r="I373" s="64">
        <v>30</v>
      </c>
      <c r="J373" s="82">
        <v>5963.9</v>
      </c>
      <c r="K373" s="427">
        <f>=I373*J373</f>
        <v>178917</v>
      </c>
      <c r="L373" s="82">
        <v>5950</v>
      </c>
      <c r="M373" s="428">
        <f>=I373*L373</f>
        <v>178500</v>
      </c>
      <c r="N373" s="82">
        <f>=K373-M373</f>
        <v>417</v>
      </c>
      <c r="O373" s="64">
        <v>1.5</v>
      </c>
      <c r="P373" s="64">
        <f>=I373*O373*ROUNDUP((A373-B373)/30,0)</f>
        <v>45</v>
      </c>
      <c r="Q373" s="62" t="s"/>
      <c r="R373" s="62" t="s"/>
    </row>
    <row r="374" spans="1:18" ht="15.75" customHeight="true">
      <c r="A374" s="126">
        <v>46104</v>
      </c>
      <c r="B374" s="460">
        <v>46100</v>
      </c>
      <c r="C374" s="80" t="s">
        <v>155</v>
      </c>
      <c r="D374" s="64" t="s">
        <v>154</v>
      </c>
      <c r="E374" s="94" t="s">
        <v>2664</v>
      </c>
      <c r="F374" s="197" t="s">
        <v>421</v>
      </c>
      <c r="G374" s="259" t="s">
        <v>470</v>
      </c>
      <c r="H374" s="259" t="s">
        <v>915</v>
      </c>
      <c r="I374" s="64">
        <v>27</v>
      </c>
      <c r="J374" s="82">
        <v>5963.9</v>
      </c>
      <c r="K374" s="427">
        <f>=I374*J374</f>
        <v>161025.3</v>
      </c>
      <c r="L374" s="82">
        <v>5950</v>
      </c>
      <c r="M374" s="428">
        <f>=I374*L374</f>
        <v>160650</v>
      </c>
      <c r="N374" s="82">
        <f>=K374-M374</f>
        <v>375.299999999988</v>
      </c>
      <c r="O374" s="64">
        <v>1.5</v>
      </c>
      <c r="P374" s="64">
        <f>=I374*O374*ROUNDUP((A374-B374)/30,0)</f>
        <v>40.5</v>
      </c>
      <c r="Q374" s="62" t="s"/>
      <c r="R374" s="62" t="s"/>
    </row>
    <row r="375" spans="1:18" ht="15.75" customHeight="true">
      <c r="A375" s="126">
        <v>46104</v>
      </c>
      <c r="B375" s="460">
        <v>46100</v>
      </c>
      <c r="C375" s="80" t="s">
        <v>155</v>
      </c>
      <c r="D375" s="64" t="s">
        <v>154</v>
      </c>
      <c r="E375" s="94" t="s">
        <v>2665</v>
      </c>
      <c r="F375" s="197" t="s">
        <v>421</v>
      </c>
      <c r="G375" s="259" t="s">
        <v>470</v>
      </c>
      <c r="H375" s="259" t="s">
        <v>916</v>
      </c>
      <c r="I375" s="64">
        <v>30</v>
      </c>
      <c r="J375" s="82">
        <v>5963.9</v>
      </c>
      <c r="K375" s="427">
        <f>=I375*J375</f>
        <v>178917</v>
      </c>
      <c r="L375" s="82">
        <v>5950</v>
      </c>
      <c r="M375" s="428">
        <f>=I375*L375</f>
        <v>178500</v>
      </c>
      <c r="N375" s="82">
        <f>=K375-M375</f>
        <v>417</v>
      </c>
      <c r="O375" s="64">
        <v>1.5</v>
      </c>
      <c r="P375" s="64">
        <f>=I375*O375*ROUNDUP((A375-B375)/30,0)</f>
        <v>45</v>
      </c>
      <c r="Q375" s="62" t="s"/>
      <c r="R375" s="62" t="s"/>
    </row>
    <row r="376" spans="1:18" ht="15.75" customHeight="true">
      <c r="A376" s="126">
        <v>46104</v>
      </c>
      <c r="B376" s="460">
        <v>46100</v>
      </c>
      <c r="C376" s="80" t="s">
        <v>155</v>
      </c>
      <c r="D376" s="64" t="s">
        <v>154</v>
      </c>
      <c r="E376" s="94" t="s">
        <v>2666</v>
      </c>
      <c r="F376" s="197" t="s">
        <v>421</v>
      </c>
      <c r="G376" s="259" t="s">
        <v>470</v>
      </c>
      <c r="H376" s="259" t="s">
        <v>917</v>
      </c>
      <c r="I376" s="64">
        <v>30</v>
      </c>
      <c r="J376" s="82">
        <v>5963.9</v>
      </c>
      <c r="K376" s="427">
        <f>=I376*J376</f>
        <v>178917</v>
      </c>
      <c r="L376" s="82">
        <v>5950</v>
      </c>
      <c r="M376" s="428">
        <f>=I376*L376</f>
        <v>178500</v>
      </c>
      <c r="N376" s="82">
        <f>=K376-M376</f>
        <v>417</v>
      </c>
      <c r="O376" s="64">
        <v>1.5</v>
      </c>
      <c r="P376" s="64">
        <f>=I376*O376*ROUNDUP((A376-B376)/30,0)</f>
        <v>45</v>
      </c>
      <c r="Q376" s="62" t="s"/>
      <c r="R376" s="62" t="s"/>
    </row>
    <row r="377" spans="1:18" ht="15.75" customHeight="true">
      <c r="A377" s="126">
        <v>46104</v>
      </c>
      <c r="B377" s="426">
        <v>46013</v>
      </c>
      <c r="C377" s="64" t="s">
        <v>95</v>
      </c>
      <c r="D377" s="348" t="s">
        <v>84</v>
      </c>
      <c r="E377" s="64" t="s"/>
      <c r="F377" s="308" t="s">
        <v>747</v>
      </c>
      <c r="G377" s="80" t="s">
        <v>470</v>
      </c>
      <c r="H377" s="348" t="s">
        <v>748</v>
      </c>
      <c r="I377" s="64">
        <v>20</v>
      </c>
      <c r="J377" s="82">
        <v>5484</v>
      </c>
      <c r="K377" s="427">
        <f>=I377*J377</f>
        <v>109680</v>
      </c>
      <c r="L377" s="82">
        <v>5360</v>
      </c>
      <c r="M377" s="428">
        <f>=I377*L377</f>
        <v>107200</v>
      </c>
      <c r="N377" s="82">
        <f>=K377-M377</f>
        <v>2480</v>
      </c>
      <c r="O377" s="64">
        <v>0</v>
      </c>
      <c r="P377" s="64">
        <f>=I377*O377*ROUNDUP((A377-B377)/30,0)</f>
        <v>0</v>
      </c>
      <c r="Q377" s="62" t="s"/>
      <c r="R377" s="62" t="s"/>
    </row>
    <row r="378" spans="1:18" ht="15.75" customHeight="true">
      <c r="A378" s="126">
        <v>46104</v>
      </c>
      <c r="B378" s="426">
        <v>45924</v>
      </c>
      <c r="C378" s="64" t="s">
        <v>75</v>
      </c>
      <c r="D378" s="64" t="s">
        <v>74</v>
      </c>
      <c r="E378" s="64" t="s"/>
      <c r="F378" s="197" t="s">
        <v>428</v>
      </c>
      <c r="G378" s="64" t="s">
        <v>470</v>
      </c>
      <c r="H378" s="64" t="s">
        <v>658</v>
      </c>
      <c r="I378" s="64">
        <v>400</v>
      </c>
      <c r="J378" s="82">
        <v>1106</v>
      </c>
      <c r="K378" s="427">
        <f>=I378*J378</f>
        <v>442400</v>
      </c>
      <c r="L378" s="82">
        <v>1053</v>
      </c>
      <c r="M378" s="428">
        <f>=I378*L378</f>
        <v>421200</v>
      </c>
      <c r="N378" s="82">
        <f>=K378-M378</f>
        <v>21200</v>
      </c>
      <c r="O378" s="64">
        <v>0</v>
      </c>
      <c r="P378" s="64">
        <f>=I378*O378*ROUNDUP((A378-B378)/30,0)</f>
        <v>0</v>
      </c>
      <c r="Q378" s="62" t="s"/>
      <c r="R378" s="62" t="s"/>
    </row>
    <row r="379" spans="1:18" ht="15.75" customHeight="true">
      <c r="A379" s="126">
        <v>46105</v>
      </c>
      <c r="B379" s="460">
        <v>46100</v>
      </c>
      <c r="C379" s="80" t="s">
        <v>155</v>
      </c>
      <c r="D379" s="64" t="s">
        <v>154</v>
      </c>
      <c r="E379" s="94" t="s">
        <v>2667</v>
      </c>
      <c r="F379" s="197" t="s">
        <v>421</v>
      </c>
      <c r="G379" s="259" t="s">
        <v>470</v>
      </c>
      <c r="H379" s="259" t="s">
        <v>914</v>
      </c>
      <c r="I379" s="64">
        <v>45</v>
      </c>
      <c r="J379" s="82">
        <v>5963.9</v>
      </c>
      <c r="K379" s="427">
        <f>=I379*J379</f>
        <v>268375.5</v>
      </c>
      <c r="L379" s="82">
        <v>5950</v>
      </c>
      <c r="M379" s="428">
        <f>=I379*L379</f>
        <v>267750</v>
      </c>
      <c r="N379" s="82">
        <f>=K379-M379</f>
        <v>625.5</v>
      </c>
      <c r="O379" s="64">
        <v>1.5</v>
      </c>
      <c r="P379" s="64">
        <f>=I379*O379*ROUNDUP((A379-B379)/30,0)</f>
        <v>67.5</v>
      </c>
      <c r="Q379" s="62" t="s"/>
      <c r="R379" s="62" t="s"/>
    </row>
    <row r="380" spans="1:18" ht="15.75" customHeight="true">
      <c r="A380" s="126">
        <v>46105</v>
      </c>
      <c r="B380" s="460">
        <v>46100</v>
      </c>
      <c r="C380" s="80" t="s">
        <v>155</v>
      </c>
      <c r="D380" s="64" t="s">
        <v>154</v>
      </c>
      <c r="E380" s="94" t="s">
        <v>2668</v>
      </c>
      <c r="F380" s="197" t="s">
        <v>421</v>
      </c>
      <c r="G380" s="259" t="s">
        <v>470</v>
      </c>
      <c r="H380" s="259" t="s">
        <v>915</v>
      </c>
      <c r="I380" s="64">
        <v>15</v>
      </c>
      <c r="J380" s="82">
        <v>5963.9</v>
      </c>
      <c r="K380" s="427">
        <f>=I380*J380</f>
        <v>89458.5</v>
      </c>
      <c r="L380" s="82">
        <v>5950</v>
      </c>
      <c r="M380" s="428">
        <f>=I380*L380</f>
        <v>89250</v>
      </c>
      <c r="N380" s="82">
        <f>=K380-M380</f>
        <v>208.5</v>
      </c>
      <c r="O380" s="64">
        <v>1.5</v>
      </c>
      <c r="P380" s="64">
        <f>=I380*O380*ROUNDUP((A380-B380)/30,0)</f>
        <v>22.5</v>
      </c>
      <c r="Q380" s="62" t="s"/>
      <c r="R380" s="62" t="s"/>
    </row>
    <row r="381" spans="1:18" ht="15.75" customHeight="true">
      <c r="A381" s="126">
        <v>46105</v>
      </c>
      <c r="B381" s="460">
        <v>46100</v>
      </c>
      <c r="C381" s="80" t="s">
        <v>155</v>
      </c>
      <c r="D381" s="64" t="s">
        <v>154</v>
      </c>
      <c r="E381" s="94" t="s">
        <v>2669</v>
      </c>
      <c r="F381" s="197" t="s">
        <v>421</v>
      </c>
      <c r="G381" s="259" t="s">
        <v>470</v>
      </c>
      <c r="H381" s="259" t="s">
        <v>916</v>
      </c>
      <c r="I381" s="64">
        <v>53</v>
      </c>
      <c r="J381" s="82">
        <v>5963.9</v>
      </c>
      <c r="K381" s="427">
        <f>=I381*J381</f>
        <v>316086.7</v>
      </c>
      <c r="L381" s="82">
        <v>5950</v>
      </c>
      <c r="M381" s="428">
        <f>=I381*L381</f>
        <v>315350</v>
      </c>
      <c r="N381" s="82">
        <f>=K381-M381</f>
        <v>736.699999999954</v>
      </c>
      <c r="O381" s="64">
        <v>1.5</v>
      </c>
      <c r="P381" s="64">
        <f>=I381*O381*ROUNDUP((A381-B381)/30,0)</f>
        <v>79.5</v>
      </c>
      <c r="Q381" s="62" t="s"/>
      <c r="R381" s="62" t="s"/>
    </row>
    <row r="382" spans="1:18" ht="15.75" customHeight="true">
      <c r="A382" s="126">
        <v>46105</v>
      </c>
      <c r="B382" s="460">
        <v>46100</v>
      </c>
      <c r="C382" s="80" t="s">
        <v>155</v>
      </c>
      <c r="D382" s="64" t="s">
        <v>154</v>
      </c>
      <c r="E382" s="94" t="s">
        <v>2670</v>
      </c>
      <c r="F382" s="197" t="s">
        <v>421</v>
      </c>
      <c r="G382" s="259" t="s">
        <v>470</v>
      </c>
      <c r="H382" s="259" t="s">
        <v>917</v>
      </c>
      <c r="I382" s="64">
        <v>54</v>
      </c>
      <c r="J382" s="82">
        <v>5963.9</v>
      </c>
      <c r="K382" s="427">
        <f>=I382*J382</f>
        <v>322050.6</v>
      </c>
      <c r="L382" s="82">
        <v>5950</v>
      </c>
      <c r="M382" s="428">
        <f>=I382*L382</f>
        <v>321300</v>
      </c>
      <c r="N382" s="82">
        <f>=K382-M382</f>
        <v>750.599999999977</v>
      </c>
      <c r="O382" s="64">
        <v>1.5</v>
      </c>
      <c r="P382" s="64">
        <f>=I382*O382*ROUNDUP((A382-B382)/30,0)</f>
        <v>81</v>
      </c>
      <c r="Q382" s="62" t="s"/>
      <c r="R382" s="62" t="s"/>
    </row>
    <row r="383" spans="1:18" ht="15.75" customHeight="true">
      <c r="A383" s="126">
        <v>46105</v>
      </c>
      <c r="B383" s="426">
        <v>45994</v>
      </c>
      <c r="C383" s="64" t="s">
        <v>92</v>
      </c>
      <c r="D383" s="348" t="s">
        <v>84</v>
      </c>
      <c r="E383" s="445" t="s">
        <v>2671</v>
      </c>
      <c r="F383" s="94" t="s">
        <v>671</v>
      </c>
      <c r="G383" s="194" t="s">
        <v>470</v>
      </c>
      <c r="H383" s="459" t="s">
        <v>672</v>
      </c>
      <c r="I383" s="64">
        <v>20</v>
      </c>
      <c r="J383" s="82">
        <v>6250.24</v>
      </c>
      <c r="K383" s="427">
        <f>=I383*J383</f>
        <v>125004.8</v>
      </c>
      <c r="L383" s="82">
        <v>6080</v>
      </c>
      <c r="M383" s="428">
        <f>=I383*L383</f>
        <v>121600</v>
      </c>
      <c r="N383" s="82">
        <f>=K383-M383</f>
        <v>3404.79999999999</v>
      </c>
      <c r="O383" s="64">
        <v>0</v>
      </c>
      <c r="P383" s="64">
        <f>=I383*O383*ROUNDUP((A383-B383)/30,0)</f>
        <v>0</v>
      </c>
      <c r="Q383" s="62" t="s"/>
      <c r="R383" s="62" t="s"/>
    </row>
    <row r="384" spans="1:18" ht="15.75" customHeight="true">
      <c r="A384" s="126">
        <v>46105</v>
      </c>
      <c r="B384" s="426">
        <v>46013</v>
      </c>
      <c r="C384" s="64" t="s">
        <v>95</v>
      </c>
      <c r="D384" s="348" t="s">
        <v>84</v>
      </c>
      <c r="E384" s="448" t="s">
        <v>2672</v>
      </c>
      <c r="F384" s="155" t="s">
        <v>747</v>
      </c>
      <c r="G384" s="80" t="s">
        <v>470</v>
      </c>
      <c r="H384" s="348" t="s">
        <v>748</v>
      </c>
      <c r="I384" s="64">
        <v>30</v>
      </c>
      <c r="J384" s="82">
        <v>5485</v>
      </c>
      <c r="K384" s="427">
        <f>=I384*J384</f>
        <v>164550</v>
      </c>
      <c r="L384" s="82">
        <v>5360</v>
      </c>
      <c r="M384" s="428">
        <f>=I384*L384</f>
        <v>160800</v>
      </c>
      <c r="N384" s="82">
        <f>=K384-M384</f>
        <v>3750</v>
      </c>
      <c r="O384" s="64">
        <v>0</v>
      </c>
      <c r="P384" s="64">
        <f>=I384*O384*ROUNDUP((A384-B384)/30,0)</f>
        <v>0</v>
      </c>
      <c r="Q384" s="62" t="s"/>
      <c r="R384" s="62" t="s"/>
    </row>
    <row r="385" spans="1:18" ht="15.75" customHeight="true">
      <c r="A385" s="126">
        <v>46105</v>
      </c>
      <c r="B385" s="451">
        <v>46022</v>
      </c>
      <c r="C385" s="83" t="s">
        <v>96</v>
      </c>
      <c r="D385" s="64" t="s">
        <v>74</v>
      </c>
      <c r="E385" s="94" t="s">
        <v>2673</v>
      </c>
      <c r="F385" s="197" t="s">
        <v>428</v>
      </c>
      <c r="G385" s="64" t="s">
        <v>470</v>
      </c>
      <c r="H385" s="64" t="s">
        <v>2674</v>
      </c>
      <c r="I385" s="64">
        <v>400</v>
      </c>
      <c r="J385" s="82">
        <v>1076</v>
      </c>
      <c r="K385" s="427">
        <f>=I385*J385</f>
        <v>430400</v>
      </c>
      <c r="L385" s="82">
        <v>1053</v>
      </c>
      <c r="M385" s="428">
        <f>=I385*L385</f>
        <v>421200</v>
      </c>
      <c r="N385" s="82">
        <f>=K385-M385</f>
        <v>9200</v>
      </c>
      <c r="O385" s="64">
        <v>0</v>
      </c>
      <c r="P385" s="64">
        <f>=I385*O385*ROUNDUP((A385-B385)/30,0)</f>
        <v>0</v>
      </c>
      <c r="Q385" s="62" t="s"/>
      <c r="R385" s="62" t="s"/>
    </row>
    <row r="386" spans="1:18" ht="15.75" customHeight="true">
      <c r="A386" s="126">
        <v>46106</v>
      </c>
      <c r="B386" s="460">
        <v>46083</v>
      </c>
      <c r="C386" s="80" t="s">
        <v>132</v>
      </c>
      <c r="D386" s="194" t="s">
        <v>65</v>
      </c>
      <c r="E386" s="64" t="s"/>
      <c r="F386" s="197" t="s">
        <v>421</v>
      </c>
      <c r="G386" s="197" t="s">
        <v>422</v>
      </c>
      <c r="H386" s="64" t="s">
        <v>2675</v>
      </c>
      <c r="I386" s="64">
        <v>1</v>
      </c>
      <c r="J386" s="82">
        <v>5319</v>
      </c>
      <c r="K386" s="427">
        <f>=I386*J386</f>
        <v>5319</v>
      </c>
      <c r="L386" s="82">
        <v>5319</v>
      </c>
      <c r="M386" s="428">
        <f>=I386*L386</f>
        <v>5319</v>
      </c>
      <c r="N386" s="82">
        <f>=K386-M386</f>
        <v>0</v>
      </c>
      <c r="O386" s="64">
        <v>0</v>
      </c>
      <c r="P386" s="64">
        <f>=I386*O386*ROUNDUP((A386-B386)/30,0)</f>
        <v>0</v>
      </c>
      <c r="Q386" s="62" t="s"/>
      <c r="R386" s="62" t="s"/>
    </row>
    <row r="387" spans="1:18" ht="15.75" customHeight="true">
      <c r="A387" s="126">
        <v>46106</v>
      </c>
      <c r="B387" s="460">
        <v>46083</v>
      </c>
      <c r="C387" s="80" t="s">
        <v>132</v>
      </c>
      <c r="D387" s="194" t="s">
        <v>65</v>
      </c>
      <c r="E387" s="64" t="s"/>
      <c r="F387" s="197" t="s">
        <v>421</v>
      </c>
      <c r="G387" s="197" t="s">
        <v>422</v>
      </c>
      <c r="H387" s="64" t="s">
        <v>2676</v>
      </c>
      <c r="I387" s="64">
        <v>2</v>
      </c>
      <c r="J387" s="82">
        <v>5292</v>
      </c>
      <c r="K387" s="427">
        <f>=I387*J387</f>
        <v>10584</v>
      </c>
      <c r="L387" s="82">
        <v>5292</v>
      </c>
      <c r="M387" s="428">
        <f>=I387*L387</f>
        <v>10584</v>
      </c>
      <c r="N387" s="82">
        <f>=K387-M387</f>
        <v>0</v>
      </c>
      <c r="O387" s="64">
        <v>0</v>
      </c>
      <c r="P387" s="64">
        <f>=I387*O387*ROUNDUP((A387-B387)/30,0)</f>
        <v>0</v>
      </c>
      <c r="Q387" s="62" t="s"/>
      <c r="R387" s="62" t="s"/>
    </row>
    <row r="388" spans="1:18" ht="15.75" customHeight="true">
      <c r="A388" s="126">
        <v>46106</v>
      </c>
      <c r="B388" s="460">
        <v>46083</v>
      </c>
      <c r="C388" s="80" t="s">
        <v>132</v>
      </c>
      <c r="D388" s="194" t="s">
        <v>65</v>
      </c>
      <c r="E388" s="64" t="s"/>
      <c r="F388" s="197" t="s">
        <v>421</v>
      </c>
      <c r="G388" s="197" t="s">
        <v>422</v>
      </c>
      <c r="H388" s="64" t="s">
        <v>2677</v>
      </c>
      <c r="I388" s="64">
        <v>1</v>
      </c>
      <c r="J388" s="82">
        <v>8802</v>
      </c>
      <c r="K388" s="427">
        <f>=I388*J388</f>
        <v>8802</v>
      </c>
      <c r="L388" s="82">
        <v>8802</v>
      </c>
      <c r="M388" s="428">
        <f>=I388*L388</f>
        <v>8802</v>
      </c>
      <c r="N388" s="82">
        <f>=K388-M388</f>
        <v>0</v>
      </c>
      <c r="O388" s="64">
        <v>0</v>
      </c>
      <c r="P388" s="64">
        <f>=I388*O388*ROUNDUP((A388-B388)/30,0)</f>
        <v>0</v>
      </c>
      <c r="Q388" s="62" t="s"/>
      <c r="R388" s="62" t="s"/>
    </row>
    <row r="389" spans="1:18" ht="15.75" customHeight="true">
      <c r="A389" s="126">
        <v>46106</v>
      </c>
      <c r="B389" s="460">
        <v>46083</v>
      </c>
      <c r="C389" s="80" t="s">
        <v>132</v>
      </c>
      <c r="D389" s="194" t="s">
        <v>65</v>
      </c>
      <c r="E389" s="64" t="s"/>
      <c r="F389" s="197" t="s">
        <v>421</v>
      </c>
      <c r="G389" s="197" t="s">
        <v>422</v>
      </c>
      <c r="H389" s="64" t="s">
        <v>2678</v>
      </c>
      <c r="I389" s="64">
        <v>1</v>
      </c>
      <c r="J389" s="82">
        <v>7956</v>
      </c>
      <c r="K389" s="427">
        <f>=I389*J389</f>
        <v>7956</v>
      </c>
      <c r="L389" s="82">
        <v>7956</v>
      </c>
      <c r="M389" s="428">
        <f>=I389*L389</f>
        <v>7956</v>
      </c>
      <c r="N389" s="82">
        <f>=K389-M389</f>
        <v>0</v>
      </c>
      <c r="O389" s="64">
        <v>0</v>
      </c>
      <c r="P389" s="64">
        <f>=I389*O389*ROUNDUP((A389-B389)/30,0)</f>
        <v>0</v>
      </c>
      <c r="Q389" s="62" t="s"/>
      <c r="R389" s="62" t="s"/>
    </row>
    <row r="390" spans="1:18" ht="15.75" customHeight="true">
      <c r="A390" s="126">
        <v>46106</v>
      </c>
      <c r="B390" s="460">
        <v>46083</v>
      </c>
      <c r="C390" s="80" t="s">
        <v>132</v>
      </c>
      <c r="D390" s="194" t="s">
        <v>65</v>
      </c>
      <c r="E390" s="64" t="s"/>
      <c r="F390" s="197" t="s">
        <v>421</v>
      </c>
      <c r="G390" s="197" t="s">
        <v>422</v>
      </c>
      <c r="H390" s="64" t="s">
        <v>2679</v>
      </c>
      <c r="I390" s="64">
        <v>1</v>
      </c>
      <c r="J390" s="82">
        <v>9018</v>
      </c>
      <c r="K390" s="427">
        <f>=I390*J390</f>
        <v>9018</v>
      </c>
      <c r="L390" s="82">
        <v>9018</v>
      </c>
      <c r="M390" s="428">
        <f>=I390*L390</f>
        <v>9018</v>
      </c>
      <c r="N390" s="82">
        <f>=K390-M390</f>
        <v>0</v>
      </c>
      <c r="O390" s="64">
        <v>0</v>
      </c>
      <c r="P390" s="64">
        <f>=I390*O390*ROUNDUP((A390-B390)/30,0)</f>
        <v>0</v>
      </c>
      <c r="Q390" s="62" t="s"/>
      <c r="R390" s="62" t="s"/>
    </row>
    <row r="391" spans="1:18" ht="15.75" customHeight="true">
      <c r="A391" s="126">
        <v>46106</v>
      </c>
      <c r="B391" s="460">
        <v>46083</v>
      </c>
      <c r="C391" s="80" t="s">
        <v>132</v>
      </c>
      <c r="D391" s="194" t="s">
        <v>65</v>
      </c>
      <c r="E391" s="64" t="s"/>
      <c r="F391" s="197" t="s">
        <v>421</v>
      </c>
      <c r="G391" s="197" t="s">
        <v>422</v>
      </c>
      <c r="H391" s="64" t="s">
        <v>2680</v>
      </c>
      <c r="I391" s="64">
        <v>1</v>
      </c>
      <c r="J391" s="82">
        <v>5292</v>
      </c>
      <c r="K391" s="427">
        <f>=I391*J391</f>
        <v>5292</v>
      </c>
      <c r="L391" s="82">
        <v>5292</v>
      </c>
      <c r="M391" s="428">
        <f>=I391*L391</f>
        <v>5292</v>
      </c>
      <c r="N391" s="82">
        <f>=K391-M391</f>
        <v>0</v>
      </c>
      <c r="O391" s="64">
        <v>0</v>
      </c>
      <c r="P391" s="64">
        <f>=I391*O391*ROUNDUP((A391-B391)/30,0)</f>
        <v>0</v>
      </c>
      <c r="Q391" s="62" t="s"/>
      <c r="R391" s="62" t="s"/>
    </row>
    <row r="392" spans="1:18" ht="15.75" customHeight="true">
      <c r="A392" s="126">
        <v>46106</v>
      </c>
      <c r="B392" s="460">
        <v>46083</v>
      </c>
      <c r="C392" s="80" t="s">
        <v>132</v>
      </c>
      <c r="D392" s="194" t="s">
        <v>65</v>
      </c>
      <c r="E392" s="64" t="s"/>
      <c r="F392" s="197" t="s">
        <v>421</v>
      </c>
      <c r="G392" s="197" t="s">
        <v>422</v>
      </c>
      <c r="H392" s="64" t="s">
        <v>2681</v>
      </c>
      <c r="I392" s="64">
        <v>1</v>
      </c>
      <c r="J392" s="82">
        <v>8181</v>
      </c>
      <c r="K392" s="427">
        <f>=I392*J392</f>
        <v>8181</v>
      </c>
      <c r="L392" s="82">
        <v>8181</v>
      </c>
      <c r="M392" s="428">
        <f>=I392*L392</f>
        <v>8181</v>
      </c>
      <c r="N392" s="82">
        <f>=K392-M392</f>
        <v>0</v>
      </c>
      <c r="O392" s="64">
        <v>0</v>
      </c>
      <c r="P392" s="64">
        <f>=I392*O392*ROUNDUP((A392-B392)/30,0)</f>
        <v>0</v>
      </c>
      <c r="Q392" s="62" t="s"/>
      <c r="R392" s="62" t="s"/>
    </row>
    <row r="393" spans="1:18" ht="15.75" customHeight="true">
      <c r="A393" s="126">
        <v>46106</v>
      </c>
      <c r="B393" s="460">
        <v>46083</v>
      </c>
      <c r="C393" s="80" t="s">
        <v>132</v>
      </c>
      <c r="D393" s="194" t="s">
        <v>65</v>
      </c>
      <c r="E393" s="64" t="s"/>
      <c r="F393" s="197" t="s">
        <v>421</v>
      </c>
      <c r="G393" s="197" t="s">
        <v>422</v>
      </c>
      <c r="H393" s="64" t="s">
        <v>2682</v>
      </c>
      <c r="I393" s="64">
        <v>1</v>
      </c>
      <c r="J393" s="82">
        <v>8910</v>
      </c>
      <c r="K393" s="427">
        <f>=I393*J393</f>
        <v>8910</v>
      </c>
      <c r="L393" s="82">
        <v>8910</v>
      </c>
      <c r="M393" s="428">
        <f>=I393*L393</f>
        <v>8910</v>
      </c>
      <c r="N393" s="82">
        <f>=K393-M393</f>
        <v>0</v>
      </c>
      <c r="O393" s="64">
        <v>0</v>
      </c>
      <c r="P393" s="64">
        <f>=I393*O393*ROUNDUP((A393-B393)/30,0)</f>
        <v>0</v>
      </c>
      <c r="Q393" s="62" t="s"/>
      <c r="R393" s="62" t="s"/>
    </row>
    <row r="394" spans="1:18" ht="15.75" customHeight="true">
      <c r="A394" s="126">
        <v>46106</v>
      </c>
      <c r="B394" s="460">
        <v>46100</v>
      </c>
      <c r="C394" s="80" t="s">
        <v>155</v>
      </c>
      <c r="D394" s="64" t="s">
        <v>154</v>
      </c>
      <c r="E394" s="94" t="s">
        <v>2683</v>
      </c>
      <c r="F394" s="197" t="s">
        <v>421</v>
      </c>
      <c r="G394" s="259" t="s">
        <v>470</v>
      </c>
      <c r="H394" s="259" t="s">
        <v>914</v>
      </c>
      <c r="I394" s="64">
        <v>40</v>
      </c>
      <c r="J394" s="82">
        <v>5963.9</v>
      </c>
      <c r="K394" s="427">
        <f>=I394*J394</f>
        <v>238556</v>
      </c>
      <c r="L394" s="82">
        <v>5950</v>
      </c>
      <c r="M394" s="428">
        <f>=I394*L394</f>
        <v>238000</v>
      </c>
      <c r="N394" s="82">
        <f>=K394-M394</f>
        <v>556</v>
      </c>
      <c r="O394" s="64">
        <v>1.5</v>
      </c>
      <c r="P394" s="64">
        <f>=I394*O394*ROUNDUP((A394-B394)/30,0)</f>
        <v>60</v>
      </c>
      <c r="Q394" s="62" t="s"/>
      <c r="R394" s="62" t="s"/>
    </row>
    <row r="395" spans="1:18" ht="15.75" customHeight="true">
      <c r="A395" s="126">
        <v>46106</v>
      </c>
      <c r="B395" s="460">
        <v>46100</v>
      </c>
      <c r="C395" s="80" t="s">
        <v>155</v>
      </c>
      <c r="D395" s="64" t="s">
        <v>154</v>
      </c>
      <c r="E395" s="94" t="s">
        <v>2684</v>
      </c>
      <c r="F395" s="197" t="s">
        <v>421</v>
      </c>
      <c r="G395" s="259" t="s">
        <v>470</v>
      </c>
      <c r="H395" s="259" t="s">
        <v>917</v>
      </c>
      <c r="I395" s="64">
        <v>30</v>
      </c>
      <c r="J395" s="82">
        <v>5963.9</v>
      </c>
      <c r="K395" s="427">
        <f>=I395*J395</f>
        <v>178917</v>
      </c>
      <c r="L395" s="82">
        <v>5950</v>
      </c>
      <c r="M395" s="428">
        <f>=I395*L395</f>
        <v>178500</v>
      </c>
      <c r="N395" s="82">
        <f>=K395-M395</f>
        <v>417</v>
      </c>
      <c r="O395" s="64">
        <v>1.5</v>
      </c>
      <c r="P395" s="64">
        <f>=I395*O395*ROUNDUP((A395-B395)/30,0)</f>
        <v>45</v>
      </c>
      <c r="Q395" s="62" t="s"/>
      <c r="R395" s="62" t="s"/>
    </row>
    <row r="396" spans="1:18" ht="15.75" customHeight="true">
      <c r="A396" s="126">
        <v>46107</v>
      </c>
      <c r="B396" s="460">
        <v>46100</v>
      </c>
      <c r="C396" s="80" t="s">
        <v>155</v>
      </c>
      <c r="D396" s="64" t="s">
        <v>154</v>
      </c>
      <c r="E396" s="94" t="s">
        <v>2685</v>
      </c>
      <c r="F396" s="197" t="s">
        <v>421</v>
      </c>
      <c r="G396" s="259" t="s">
        <v>470</v>
      </c>
      <c r="H396" s="259" t="s">
        <v>914</v>
      </c>
      <c r="I396" s="64">
        <v>35</v>
      </c>
      <c r="J396" s="82">
        <v>5963.4</v>
      </c>
      <c r="K396" s="427">
        <f>=I396*J396</f>
        <v>208719</v>
      </c>
      <c r="L396" s="82">
        <v>5950</v>
      </c>
      <c r="M396" s="428">
        <f>=I396*L396</f>
        <v>208250</v>
      </c>
      <c r="N396" s="82">
        <f>=K396-M396</f>
        <v>469</v>
      </c>
      <c r="O396" s="64">
        <v>1.5</v>
      </c>
      <c r="P396" s="64">
        <f>=I396*O396*ROUNDUP((A396-B396)/30,0)</f>
        <v>52.5</v>
      </c>
      <c r="Q396" s="62" t="s"/>
      <c r="R396" s="62" t="s"/>
    </row>
    <row r="397" spans="1:18" ht="15.75" customHeight="true">
      <c r="A397" s="126">
        <v>46107</v>
      </c>
      <c r="B397" s="460">
        <v>46100</v>
      </c>
      <c r="C397" s="80" t="s">
        <v>155</v>
      </c>
      <c r="D397" s="64" t="s">
        <v>154</v>
      </c>
      <c r="E397" s="94" t="s">
        <v>2686</v>
      </c>
      <c r="F397" s="197" t="s">
        <v>421</v>
      </c>
      <c r="G397" s="259" t="s">
        <v>470</v>
      </c>
      <c r="H397" s="259" t="s">
        <v>917</v>
      </c>
      <c r="I397" s="64">
        <v>32</v>
      </c>
      <c r="J397" s="82">
        <v>5963.4</v>
      </c>
      <c r="K397" s="427">
        <f>=I397*J397</f>
        <v>190828.8</v>
      </c>
      <c r="L397" s="82">
        <v>5950</v>
      </c>
      <c r="M397" s="428">
        <f>=I397*L397</f>
        <v>190400</v>
      </c>
      <c r="N397" s="82">
        <f>=K397-M397</f>
        <v>428.799999999988</v>
      </c>
      <c r="O397" s="64">
        <v>1.5</v>
      </c>
      <c r="P397" s="64">
        <f>=I397*O397*ROUNDUP((A397-B397)/30,0)</f>
        <v>48</v>
      </c>
      <c r="Q397" s="62" t="s"/>
      <c r="R397" s="62" t="s"/>
    </row>
    <row r="398" spans="1:18" ht="15.75" customHeight="true">
      <c r="A398" s="126">
        <v>46107</v>
      </c>
      <c r="B398" s="426">
        <v>46101</v>
      </c>
      <c r="C398" s="64" t="s">
        <v>170</v>
      </c>
      <c r="D398" s="64" t="s">
        <v>169</v>
      </c>
      <c r="E398" s="64" t="s"/>
      <c r="F398" s="197" t="s">
        <v>421</v>
      </c>
      <c r="G398" s="197" t="s">
        <v>422</v>
      </c>
      <c r="H398" s="64" t="s">
        <v>1002</v>
      </c>
      <c r="I398" s="64">
        <v>2</v>
      </c>
      <c r="J398" s="82">
        <v>4747.97</v>
      </c>
      <c r="K398" s="427">
        <f>=I398*J398</f>
        <v>9495.94</v>
      </c>
      <c r="L398" s="82">
        <v>4737</v>
      </c>
      <c r="M398" s="428">
        <f>=I398*L398</f>
        <v>9474</v>
      </c>
      <c r="N398" s="82">
        <f>=K398-M398</f>
        <v>21.9400000000005</v>
      </c>
      <c r="O398" s="64">
        <v>1</v>
      </c>
      <c r="P398" s="64">
        <f>=I398*O398*ROUNDUP((A398-B398)/30,0)</f>
        <v>2</v>
      </c>
      <c r="Q398" s="62" t="s"/>
      <c r="R398" s="62" t="s"/>
    </row>
    <row r="399" spans="1:18" ht="15.75" customHeight="true">
      <c r="A399" s="126">
        <v>46107</v>
      </c>
      <c r="B399" s="426">
        <v>46101</v>
      </c>
      <c r="C399" s="64" t="s">
        <v>170</v>
      </c>
      <c r="D399" s="64" t="s">
        <v>169</v>
      </c>
      <c r="E399" s="64" t="s"/>
      <c r="F399" s="197" t="s">
        <v>421</v>
      </c>
      <c r="G399" s="197" t="s">
        <v>422</v>
      </c>
      <c r="H399" s="64" t="s">
        <v>719</v>
      </c>
      <c r="I399" s="64">
        <v>1</v>
      </c>
      <c r="J399" s="82">
        <v>7121.71</v>
      </c>
      <c r="K399" s="427">
        <f>=I399*J399</f>
        <v>7121.71</v>
      </c>
      <c r="L399" s="82">
        <v>7106</v>
      </c>
      <c r="M399" s="428">
        <f>=I399*L399</f>
        <v>7106</v>
      </c>
      <c r="N399" s="82">
        <f>=K399-M399</f>
        <v>15.71</v>
      </c>
      <c r="O399" s="64">
        <v>1</v>
      </c>
      <c r="P399" s="64">
        <f>=I399*O399*ROUNDUP((A399-B399)/30,0)</f>
        <v>1</v>
      </c>
      <c r="Q399" s="62" t="s"/>
      <c r="R399" s="62" t="s"/>
    </row>
    <row r="400" spans="1:18" ht="15.75" customHeight="true">
      <c r="A400" s="126">
        <v>46107</v>
      </c>
      <c r="B400" s="426">
        <v>46101</v>
      </c>
      <c r="C400" s="64" t="s">
        <v>170</v>
      </c>
      <c r="D400" s="64" t="s">
        <v>169</v>
      </c>
      <c r="E400" s="64" t="s"/>
      <c r="F400" s="197" t="s">
        <v>421</v>
      </c>
      <c r="G400" s="197" t="s">
        <v>422</v>
      </c>
      <c r="H400" s="64" t="s">
        <v>2187</v>
      </c>
      <c r="I400" s="64">
        <v>1</v>
      </c>
      <c r="J400" s="82">
        <v>7121.71</v>
      </c>
      <c r="K400" s="427">
        <f>=I400*J400</f>
        <v>7121.71</v>
      </c>
      <c r="L400" s="82">
        <v>7106</v>
      </c>
      <c r="M400" s="428">
        <f>=I400*L400</f>
        <v>7106</v>
      </c>
      <c r="N400" s="82">
        <f>=K400-M400</f>
        <v>15.71</v>
      </c>
      <c r="O400" s="64">
        <v>1</v>
      </c>
      <c r="P400" s="64">
        <f>=I400*O400*ROUNDUP((A400-B400)/30,0)</f>
        <v>1</v>
      </c>
      <c r="Q400" s="62" t="s"/>
      <c r="R400" s="62" t="s"/>
    </row>
    <row r="401" spans="1:18" ht="15.75" customHeight="true">
      <c r="A401" s="126">
        <v>46107</v>
      </c>
      <c r="B401" s="426">
        <v>46101</v>
      </c>
      <c r="C401" s="64" t="s">
        <v>170</v>
      </c>
      <c r="D401" s="64" t="s">
        <v>169</v>
      </c>
      <c r="E401" s="64" t="s"/>
      <c r="F401" s="197" t="s">
        <v>421</v>
      </c>
      <c r="G401" s="197" t="s">
        <v>422</v>
      </c>
      <c r="H401" s="64" t="s">
        <v>723</v>
      </c>
      <c r="I401" s="64">
        <v>1</v>
      </c>
      <c r="J401" s="82">
        <v>7863.19</v>
      </c>
      <c r="K401" s="427">
        <f>=I401*J401</f>
        <v>7863.19</v>
      </c>
      <c r="L401" s="82">
        <v>7846</v>
      </c>
      <c r="M401" s="428">
        <f>=I401*L401</f>
        <v>7846</v>
      </c>
      <c r="N401" s="82">
        <f>=K401-M401</f>
        <v>17.1899999999996</v>
      </c>
      <c r="O401" s="64">
        <v>1</v>
      </c>
      <c r="P401" s="64">
        <f>=I401*O401*ROUNDUP((A401-B401)/30,0)</f>
        <v>1</v>
      </c>
      <c r="Q401" s="62" t="s"/>
      <c r="R401" s="62" t="s"/>
    </row>
    <row r="402" spans="1:18" ht="15.75" customHeight="true">
      <c r="A402" s="126">
        <v>46107</v>
      </c>
      <c r="B402" s="426">
        <v>46101</v>
      </c>
      <c r="C402" s="64" t="s">
        <v>170</v>
      </c>
      <c r="D402" s="64" t="s">
        <v>169</v>
      </c>
      <c r="E402" s="64" t="s"/>
      <c r="F402" s="197" t="s">
        <v>421</v>
      </c>
      <c r="G402" s="197" t="s">
        <v>422</v>
      </c>
      <c r="H402" s="462" t="s">
        <v>721</v>
      </c>
      <c r="I402" s="462">
        <v>1</v>
      </c>
      <c r="J402" s="463">
        <v>7863.19</v>
      </c>
      <c r="K402" s="464">
        <f>=I402*J402</f>
        <v>7863.19</v>
      </c>
      <c r="L402" s="463">
        <v>7846</v>
      </c>
      <c r="M402" s="465">
        <f>=I402*L402</f>
        <v>7846</v>
      </c>
      <c r="N402" s="82">
        <f>=K402-M402</f>
        <v>17.1899999999996</v>
      </c>
      <c r="O402" s="64">
        <v>1</v>
      </c>
      <c r="P402" s="64">
        <f>=I402*O402*ROUNDUP((A402-B402)/30,0)</f>
        <v>1</v>
      </c>
      <c r="Q402" s="62" t="s"/>
      <c r="R402" s="62" t="s"/>
    </row>
    <row r="403" spans="1:18" ht="15.75" customHeight="true">
      <c r="A403" s="126">
        <v>46108</v>
      </c>
      <c r="B403" s="426">
        <v>46013</v>
      </c>
      <c r="C403" s="64" t="s">
        <v>95</v>
      </c>
      <c r="D403" s="348" t="s">
        <v>84</v>
      </c>
      <c r="E403" s="448" t="s">
        <v>2687</v>
      </c>
      <c r="F403" s="155" t="s">
        <v>747</v>
      </c>
      <c r="G403" s="80" t="s">
        <v>470</v>
      </c>
      <c r="H403" s="466" t="s">
        <v>748</v>
      </c>
      <c r="I403" s="462">
        <v>20</v>
      </c>
      <c r="J403" s="463">
        <v>5489</v>
      </c>
      <c r="K403" s="464">
        <f>=I403*J403</f>
        <v>109780</v>
      </c>
      <c r="L403" s="463">
        <v>5360</v>
      </c>
      <c r="M403" s="465">
        <f>=I403*L403</f>
        <v>107200</v>
      </c>
      <c r="N403" s="82">
        <f>=K403-M403</f>
        <v>2580</v>
      </c>
      <c r="O403" s="64">
        <v>0</v>
      </c>
      <c r="P403" s="64">
        <f>=I403*O403*ROUNDUP((A403-B403)/30,0)</f>
        <v>0</v>
      </c>
      <c r="Q403" s="62" t="s"/>
      <c r="R403" s="62" t="s"/>
    </row>
    <row r="404" spans="1:18" ht="15.75" customHeight="true">
      <c r="A404" s="348">
        <v>46065</v>
      </c>
      <c r="B404" s="426">
        <v>46029</v>
      </c>
      <c r="C404" s="64" t="s">
        <v>101</v>
      </c>
      <c r="D404" s="64" t="s">
        <v>80</v>
      </c>
      <c r="E404" s="64" t="s"/>
      <c r="F404" s="197" t="s">
        <v>421</v>
      </c>
      <c r="G404" s="197" t="s">
        <v>422</v>
      </c>
      <c r="H404" s="462" t="s">
        <v>761</v>
      </c>
      <c r="I404" s="462">
        <v>10</v>
      </c>
      <c r="J404" s="463">
        <v>8172.9</v>
      </c>
      <c r="K404" s="464">
        <f>=I404*J404</f>
        <v>81729</v>
      </c>
      <c r="L404" s="465">
        <v>8100</v>
      </c>
      <c r="M404" s="465">
        <f>=I404*L404</f>
        <v>81000</v>
      </c>
      <c r="N404" s="82">
        <f>=K404-M404</f>
        <v>729</v>
      </c>
      <c r="O404" s="64">
        <v>0</v>
      </c>
      <c r="P404" s="64">
        <f>=I404*O404*ROUNDUP((A404-B404)/30,0)</f>
        <v>0</v>
      </c>
      <c r="Q404" s="62" t="s"/>
      <c r="R404" s="62" t="s"/>
    </row>
    <row r="405" spans="1:18" ht="15.75" customHeight="true">
      <c r="A405" s="348">
        <v>46065</v>
      </c>
      <c r="B405" s="426">
        <v>46036</v>
      </c>
      <c r="C405" s="64" t="s">
        <v>103</v>
      </c>
      <c r="D405" s="64" t="s">
        <v>80</v>
      </c>
      <c r="E405" s="64" t="s"/>
      <c r="F405" s="197" t="s">
        <v>421</v>
      </c>
      <c r="G405" s="197" t="s">
        <v>422</v>
      </c>
      <c r="H405" s="462" t="s">
        <v>783</v>
      </c>
      <c r="I405" s="462">
        <v>10</v>
      </c>
      <c r="J405" s="463">
        <v>8974.6</v>
      </c>
      <c r="K405" s="464">
        <f>=I405*J405</f>
        <v>89746</v>
      </c>
      <c r="L405" s="465">
        <v>8910</v>
      </c>
      <c r="M405" s="465">
        <f>=I405*L405</f>
        <v>89100</v>
      </c>
      <c r="N405" s="82">
        <f>=K405-M405</f>
        <v>646</v>
      </c>
      <c r="O405" s="64">
        <v>0</v>
      </c>
      <c r="P405" s="64">
        <f>=I405*O405*ROUNDUP((A405-B405)/30,0)</f>
        <v>0</v>
      </c>
      <c r="Q405" s="62" t="s"/>
      <c r="R405" s="62" t="s"/>
    </row>
    <row r="406" spans="1:18" ht="15.75" customHeight="true">
      <c r="A406" s="348">
        <v>46065</v>
      </c>
      <c r="B406" s="426">
        <v>46036</v>
      </c>
      <c r="C406" s="64" t="s">
        <v>103</v>
      </c>
      <c r="D406" s="64" t="s">
        <v>80</v>
      </c>
      <c r="E406" s="64" t="s"/>
      <c r="F406" s="197" t="s">
        <v>421</v>
      </c>
      <c r="G406" s="197" t="s">
        <v>422</v>
      </c>
      <c r="H406" s="462" t="s">
        <v>780</v>
      </c>
      <c r="I406" s="462">
        <v>10</v>
      </c>
      <c r="J406" s="463">
        <v>8974.6</v>
      </c>
      <c r="K406" s="464">
        <f>=I406*J406</f>
        <v>89746</v>
      </c>
      <c r="L406" s="465">
        <v>8910</v>
      </c>
      <c r="M406" s="465">
        <f>=I406*L406</f>
        <v>89100</v>
      </c>
      <c r="N406" s="82">
        <f>=K406-M406</f>
        <v>646</v>
      </c>
      <c r="O406" s="64">
        <v>0</v>
      </c>
      <c r="P406" s="64">
        <f>=I406*O406*ROUNDUP((A406-B406)/30,0)</f>
        <v>0</v>
      </c>
      <c r="Q406" s="62" t="s"/>
      <c r="R406" s="62" t="s"/>
    </row>
    <row r="407" spans="1:18" ht="15.75" customHeight="true">
      <c r="A407" s="348">
        <v>46066</v>
      </c>
      <c r="B407" s="426">
        <v>46036</v>
      </c>
      <c r="C407" s="64" t="s">
        <v>103</v>
      </c>
      <c r="D407" s="64" t="s">
        <v>80</v>
      </c>
      <c r="E407" s="64" t="s"/>
      <c r="F407" s="197" t="s">
        <v>421</v>
      </c>
      <c r="G407" s="197" t="s">
        <v>422</v>
      </c>
      <c r="H407" s="462" t="s">
        <v>783</v>
      </c>
      <c r="I407" s="462">
        <v>10</v>
      </c>
      <c r="J407" s="463">
        <v>8977.82</v>
      </c>
      <c r="K407" s="464">
        <f>=I407*J407</f>
        <v>89778.2</v>
      </c>
      <c r="L407" s="465">
        <v>8910</v>
      </c>
      <c r="M407" s="465">
        <f>=I407*L407</f>
        <v>89100</v>
      </c>
      <c r="N407" s="82">
        <f>=K407-M407</f>
        <v>678.199999999997</v>
      </c>
      <c r="O407" s="64">
        <v>0</v>
      </c>
      <c r="P407" s="64">
        <f>=I407*O407*ROUNDUP((A407-B407)/30,0)</f>
        <v>0</v>
      </c>
      <c r="Q407" s="62" t="s"/>
      <c r="R407" s="62" t="s"/>
    </row>
    <row r="408" spans="1:18" ht="15.75" customHeight="true">
      <c r="A408" s="348">
        <v>46079</v>
      </c>
      <c r="B408" s="426">
        <v>46036</v>
      </c>
      <c r="C408" s="64" t="s">
        <v>103</v>
      </c>
      <c r="D408" s="64" t="s">
        <v>80</v>
      </c>
      <c r="E408" s="64" t="s"/>
      <c r="F408" s="197" t="s">
        <v>421</v>
      </c>
      <c r="G408" s="197" t="s">
        <v>422</v>
      </c>
      <c r="H408" s="462" t="s">
        <v>783</v>
      </c>
      <c r="I408" s="193">
        <v>30</v>
      </c>
      <c r="J408" s="467">
        <v>9004.56</v>
      </c>
      <c r="K408" s="464">
        <f>=I408*J408</f>
        <v>270136.8</v>
      </c>
      <c r="L408" s="465">
        <v>8910</v>
      </c>
      <c r="M408" s="465">
        <f>=I408*L408</f>
        <v>267300</v>
      </c>
      <c r="N408" s="82">
        <f>=K408-M408</f>
        <v>2836.79999999999</v>
      </c>
      <c r="O408" s="64">
        <v>0</v>
      </c>
      <c r="P408" s="64">
        <f>=I408*O408*ROUNDUP((A408-B408)/30,0)</f>
        <v>0</v>
      </c>
      <c r="Q408" s="62" t="s"/>
      <c r="R408" s="62" t="s"/>
    </row>
    <row r="409" spans="1:18" ht="15.75" customHeight="true">
      <c r="A409" s="348">
        <v>46079</v>
      </c>
      <c r="B409" s="426">
        <v>46036</v>
      </c>
      <c r="C409" s="64" t="s">
        <v>103</v>
      </c>
      <c r="D409" s="64" t="s">
        <v>80</v>
      </c>
      <c r="E409" s="64" t="s"/>
      <c r="F409" s="197" t="s">
        <v>421</v>
      </c>
      <c r="G409" s="197" t="s">
        <v>422</v>
      </c>
      <c r="H409" s="462" t="s">
        <v>780</v>
      </c>
      <c r="I409" s="193">
        <v>40</v>
      </c>
      <c r="J409" s="467">
        <v>9004.56</v>
      </c>
      <c r="K409" s="464">
        <f>=I409*J409</f>
        <v>360182.4</v>
      </c>
      <c r="L409" s="465">
        <v>8910</v>
      </c>
      <c r="M409" s="465">
        <f>=I409*L409</f>
        <v>356400</v>
      </c>
      <c r="N409" s="82">
        <f>=K409-M409</f>
        <v>3782.39999999997</v>
      </c>
      <c r="O409" s="64">
        <v>0</v>
      </c>
      <c r="P409" s="64">
        <f>=I409*O409*ROUNDUP((A409-B409)/30,0)</f>
        <v>0</v>
      </c>
      <c r="Q409" s="62" t="s"/>
      <c r="R409" s="62" t="s"/>
    </row>
    <row r="410" spans="1:18" ht="15.75" customHeight="true">
      <c r="A410" s="348">
        <v>46079</v>
      </c>
      <c r="B410" s="426">
        <v>46037</v>
      </c>
      <c r="C410" s="64" t="s">
        <v>105</v>
      </c>
      <c r="D410" s="64" t="s">
        <v>80</v>
      </c>
      <c r="E410" s="64" t="s"/>
      <c r="F410" s="197" t="s">
        <v>421</v>
      </c>
      <c r="G410" s="197" t="s">
        <v>422</v>
      </c>
      <c r="H410" s="462" t="s">
        <v>780</v>
      </c>
      <c r="I410" s="193">
        <v>18</v>
      </c>
      <c r="J410" s="467">
        <v>8966.97</v>
      </c>
      <c r="K410" s="464">
        <f>=I410*J410</f>
        <v>161405.46</v>
      </c>
      <c r="L410" s="468">
        <v>8875</v>
      </c>
      <c r="M410" s="465">
        <f>=I410*L410</f>
        <v>159750</v>
      </c>
      <c r="N410" s="82">
        <f>=K410-M410</f>
        <v>1655.45999999999</v>
      </c>
      <c r="O410" s="64">
        <v>0</v>
      </c>
      <c r="P410" s="64">
        <f>=I410*O410*ROUNDUP((A410-B410)/30,0)</f>
        <v>0</v>
      </c>
      <c r="Q410" s="62" t="s"/>
      <c r="R410" s="62" t="s"/>
    </row>
    <row r="411" spans="1:18" ht="15.75" customHeight="true">
      <c r="A411" s="348">
        <v>46080</v>
      </c>
      <c r="B411" s="426">
        <v>46029</v>
      </c>
      <c r="C411" s="64" t="s">
        <v>101</v>
      </c>
      <c r="D411" s="64" t="s">
        <v>80</v>
      </c>
      <c r="E411" s="64" t="s"/>
      <c r="F411" s="197" t="s">
        <v>421</v>
      </c>
      <c r="G411" s="197" t="s">
        <v>422</v>
      </c>
      <c r="H411" s="462" t="s">
        <v>758</v>
      </c>
      <c r="I411" s="193">
        <v>20</v>
      </c>
      <c r="J411" s="467">
        <v>5284.95</v>
      </c>
      <c r="K411" s="464">
        <f>=I411*J411</f>
        <v>105699</v>
      </c>
      <c r="L411" s="465">
        <v>5220</v>
      </c>
      <c r="M411" s="465">
        <f>=I411*L411</f>
        <v>104400</v>
      </c>
      <c r="N411" s="82">
        <f>=K411-M411</f>
        <v>1299</v>
      </c>
      <c r="O411" s="64">
        <v>0</v>
      </c>
      <c r="P411" s="64">
        <f>=I411*O411*ROUNDUP((A411-B411)/30,0)</f>
        <v>0</v>
      </c>
      <c r="Q411" s="62" t="s"/>
      <c r="R411" s="62" t="s"/>
    </row>
    <row r="412" spans="1:18" ht="15.75" customHeight="true">
      <c r="A412" s="348">
        <v>46080</v>
      </c>
      <c r="B412" s="426">
        <v>46031</v>
      </c>
      <c r="C412" s="64" t="s">
        <v>102</v>
      </c>
      <c r="D412" s="64" t="s">
        <v>80</v>
      </c>
      <c r="E412" s="64" t="s"/>
      <c r="F412" s="197" t="s">
        <v>421</v>
      </c>
      <c r="G412" s="197" t="s">
        <v>422</v>
      </c>
      <c r="H412" s="462" t="s">
        <v>786</v>
      </c>
      <c r="I412" s="193">
        <v>10</v>
      </c>
      <c r="J412" s="467">
        <v>8605.12</v>
      </c>
      <c r="K412" s="464">
        <f>=I412*J412</f>
        <v>86051.2</v>
      </c>
      <c r="L412" s="468">
        <v>8500</v>
      </c>
      <c r="M412" s="465">
        <f>=I412*L412</f>
        <v>85000</v>
      </c>
      <c r="N412" s="82">
        <f>=K412-M412</f>
        <v>1051.20000000001</v>
      </c>
      <c r="O412" s="64">
        <v>0</v>
      </c>
      <c r="P412" s="64">
        <f>=I412*O412*ROUNDUP((A412-B412)/30,0)</f>
        <v>0</v>
      </c>
      <c r="Q412" s="62" t="s"/>
      <c r="R412" s="62" t="s"/>
    </row>
    <row r="413" spans="1:18" ht="15.75" customHeight="true">
      <c r="A413" s="348">
        <v>46080</v>
      </c>
      <c r="B413" s="426">
        <v>46031</v>
      </c>
      <c r="C413" s="64" t="s">
        <v>102</v>
      </c>
      <c r="D413" s="64" t="s">
        <v>80</v>
      </c>
      <c r="E413" s="64" t="s"/>
      <c r="F413" s="197" t="s">
        <v>421</v>
      </c>
      <c r="G413" s="197" t="s">
        <v>422</v>
      </c>
      <c r="H413" s="462" t="s">
        <v>790</v>
      </c>
      <c r="I413" s="193">
        <v>20</v>
      </c>
      <c r="J413" s="467">
        <v>5284.95</v>
      </c>
      <c r="K413" s="464">
        <f>=I413*J413</f>
        <v>105699</v>
      </c>
      <c r="L413" s="465">
        <v>5220</v>
      </c>
      <c r="M413" s="465">
        <f>=I413*L413</f>
        <v>104400</v>
      </c>
      <c r="N413" s="82">
        <f>=K413-M413</f>
        <v>1299</v>
      </c>
      <c r="O413" s="64">
        <v>0</v>
      </c>
      <c r="P413" s="64">
        <f>=I413*O413*ROUNDUP((A413-B413)/30,0)</f>
        <v>0</v>
      </c>
      <c r="Q413" s="62" t="s"/>
      <c r="R413" s="62" t="s"/>
    </row>
    <row r="414" spans="1:18" ht="15.75" customHeight="true">
      <c r="A414" s="348">
        <v>46086</v>
      </c>
      <c r="B414" s="426">
        <v>46037</v>
      </c>
      <c r="C414" s="64" t="s">
        <v>105</v>
      </c>
      <c r="D414" s="64" t="s">
        <v>80</v>
      </c>
      <c r="E414" s="64" t="s"/>
      <c r="F414" s="197" t="s">
        <v>421</v>
      </c>
      <c r="G414" s="197" t="s">
        <v>422</v>
      </c>
      <c r="H414" s="462" t="s">
        <v>783</v>
      </c>
      <c r="I414" s="193">
        <v>25</v>
      </c>
      <c r="J414" s="467">
        <v>8982.5</v>
      </c>
      <c r="K414" s="464">
        <f>=I414*J414</f>
        <v>224562.5</v>
      </c>
      <c r="L414" s="468">
        <v>8875</v>
      </c>
      <c r="M414" s="465">
        <f>=I414*L414</f>
        <v>221875</v>
      </c>
      <c r="N414" s="82">
        <f>=K414-M414</f>
        <v>2687.5</v>
      </c>
      <c r="O414" s="64">
        <v>0</v>
      </c>
      <c r="P414" s="64">
        <f>=I414*O414*ROUNDUP((A414-B414)/30,0)</f>
        <v>0</v>
      </c>
      <c r="Q414" s="62" t="s"/>
      <c r="R414" s="62" t="s"/>
    </row>
    <row r="415" spans="1:18" ht="15.75" customHeight="true">
      <c r="A415" s="348">
        <v>46099</v>
      </c>
      <c r="B415" s="426">
        <v>46031</v>
      </c>
      <c r="C415" s="64" t="s">
        <v>102</v>
      </c>
      <c r="D415" s="64" t="s">
        <v>80</v>
      </c>
      <c r="E415" s="64" t="s"/>
      <c r="F415" s="197" t="s">
        <v>421</v>
      </c>
      <c r="G415" s="197" t="s">
        <v>422</v>
      </c>
      <c r="H415" s="462" t="s">
        <v>771</v>
      </c>
      <c r="I415" s="193">
        <v>3</v>
      </c>
      <c r="J415" s="467">
        <v>4853.28</v>
      </c>
      <c r="K415" s="464">
        <f>=I415*J415</f>
        <v>14559.84</v>
      </c>
      <c r="L415" s="468">
        <v>4770</v>
      </c>
      <c r="M415" s="465">
        <f>=I415*L415</f>
        <v>14310</v>
      </c>
      <c r="N415" s="82">
        <f>=K415-M415</f>
        <v>249.84</v>
      </c>
      <c r="O415" s="64">
        <v>0</v>
      </c>
      <c r="P415" s="64">
        <f>=I415*O415*ROUNDUP((A415-B415)/30,0)</f>
        <v>0</v>
      </c>
      <c r="Q415" s="62" t="s"/>
      <c r="R415" s="62" t="s"/>
    </row>
    <row r="416" spans="1:18" ht="15.75" customHeight="true">
      <c r="A416" s="348">
        <v>46099</v>
      </c>
      <c r="B416" s="426">
        <v>46031</v>
      </c>
      <c r="C416" s="64" t="s">
        <v>102</v>
      </c>
      <c r="D416" s="64" t="s">
        <v>80</v>
      </c>
      <c r="E416" s="64" t="s"/>
      <c r="F416" s="197" t="s">
        <v>421</v>
      </c>
      <c r="G416" s="197" t="s">
        <v>422</v>
      </c>
      <c r="H416" s="462" t="s">
        <v>774</v>
      </c>
      <c r="I416" s="193">
        <v>9</v>
      </c>
      <c r="J416" s="467">
        <v>4242.93</v>
      </c>
      <c r="K416" s="464">
        <f>=I416*J416</f>
        <v>38186.37</v>
      </c>
      <c r="L416" s="468">
        <v>4170</v>
      </c>
      <c r="M416" s="465">
        <f>=I416*L416</f>
        <v>37530</v>
      </c>
      <c r="N416" s="82">
        <f>=K416-M416</f>
        <v>656.370000000003</v>
      </c>
      <c r="O416" s="64">
        <v>0</v>
      </c>
      <c r="P416" s="64">
        <f>=I416*O416*ROUNDUP((A416-B416)/30,0)</f>
        <v>0</v>
      </c>
      <c r="Q416" s="62" t="s"/>
      <c r="R416" s="62" t="s"/>
    </row>
    <row r="417" spans="1:18" ht="15.75" customHeight="true">
      <c r="A417" s="348">
        <v>46099</v>
      </c>
      <c r="B417" s="426">
        <v>46031</v>
      </c>
      <c r="C417" s="64" t="s">
        <v>102</v>
      </c>
      <c r="D417" s="64" t="s">
        <v>80</v>
      </c>
      <c r="E417" s="64" t="s"/>
      <c r="F417" s="197" t="s">
        <v>421</v>
      </c>
      <c r="G417" s="197" t="s">
        <v>422</v>
      </c>
      <c r="H417" s="462" t="s">
        <v>777</v>
      </c>
      <c r="I417" s="193">
        <v>10</v>
      </c>
      <c r="J417" s="467">
        <v>4242.93</v>
      </c>
      <c r="K417" s="464">
        <f>=I417*J417</f>
        <v>42429.3</v>
      </c>
      <c r="L417" s="468">
        <v>4170</v>
      </c>
      <c r="M417" s="465">
        <f>=I417*L417</f>
        <v>41700</v>
      </c>
      <c r="N417" s="82">
        <f>=K417-M417</f>
        <v>729.300000000003</v>
      </c>
      <c r="O417" s="64">
        <v>0</v>
      </c>
      <c r="P417" s="64">
        <f>=I417*O417*ROUNDUP((A417-B417)/30,0)</f>
        <v>0</v>
      </c>
      <c r="Q417" s="62" t="s"/>
      <c r="R417" s="62" t="s"/>
    </row>
    <row r="418" spans="1:18" ht="15.75" customHeight="true">
      <c r="A418" s="80">
        <v>46111</v>
      </c>
      <c r="B418" s="426">
        <v>46022</v>
      </c>
      <c r="C418" s="64" t="s">
        <v>96</v>
      </c>
      <c r="D418" s="64" t="s">
        <v>74</v>
      </c>
      <c r="E418" s="94" t="s">
        <v>2688</v>
      </c>
      <c r="F418" s="197" t="s">
        <v>428</v>
      </c>
      <c r="G418" s="64" t="s">
        <v>470</v>
      </c>
      <c r="H418" s="462" t="s">
        <v>2674</v>
      </c>
      <c r="I418" s="193">
        <v>200</v>
      </c>
      <c r="J418" s="467">
        <v>1079</v>
      </c>
      <c r="K418" s="464">
        <f>=I418*J418</f>
        <v>215800</v>
      </c>
      <c r="L418" s="467">
        <v>1053</v>
      </c>
      <c r="M418" s="465">
        <f>=I418*L418</f>
        <v>210600</v>
      </c>
      <c r="N418" s="82">
        <f>=K418-M418</f>
        <v>5200</v>
      </c>
      <c r="O418" s="64">
        <v>0</v>
      </c>
      <c r="P418" s="64">
        <f>=I418*O418*ROUNDUP((A418-B418)/30,0)</f>
        <v>0</v>
      </c>
      <c r="Q418" s="62" t="s"/>
      <c r="R418" s="62" t="s"/>
    </row>
    <row r="419" spans="1:18" ht="15.75" customHeight="true">
      <c r="A419" s="80">
        <v>46112</v>
      </c>
      <c r="B419" s="460">
        <v>46105</v>
      </c>
      <c r="C419" s="80" t="s">
        <v>186</v>
      </c>
      <c r="D419" s="64" t="s">
        <v>135</v>
      </c>
      <c r="E419" s="94" t="s">
        <v>2689</v>
      </c>
      <c r="F419" s="197" t="s">
        <v>741</v>
      </c>
      <c r="G419" s="64" t="s">
        <v>422</v>
      </c>
      <c r="H419" s="462" t="s">
        <v>1026</v>
      </c>
      <c r="I419" s="193">
        <v>100</v>
      </c>
      <c r="J419" s="467">
        <v>1123.74</v>
      </c>
      <c r="K419" s="464">
        <f>=I419*J419</f>
        <v>112374</v>
      </c>
      <c r="L419" s="467">
        <v>1120</v>
      </c>
      <c r="M419" s="465">
        <f>=I419*L419</f>
        <v>112000</v>
      </c>
      <c r="N419" s="82">
        <f>=K419-M419</f>
        <v>374</v>
      </c>
      <c r="O419" s="64">
        <v>1</v>
      </c>
      <c r="P419" s="64">
        <f>=I419*O419*ROUNDUP((A419-B419)/30,0)</f>
        <v>100</v>
      </c>
      <c r="Q419" s="62" t="s"/>
      <c r="R419" s="62" t="s"/>
    </row>
    <row r="420" spans="1:18" ht="15.75" customHeight="true">
      <c r="A420" s="80">
        <v>46112</v>
      </c>
      <c r="B420" s="460">
        <v>46105</v>
      </c>
      <c r="C420" s="80" t="s">
        <v>186</v>
      </c>
      <c r="D420" s="64" t="s">
        <v>135</v>
      </c>
      <c r="E420" s="94" t="s">
        <v>2690</v>
      </c>
      <c r="F420" s="197" t="s">
        <v>741</v>
      </c>
      <c r="G420" s="64" t="s">
        <v>422</v>
      </c>
      <c r="H420" s="462" t="s">
        <v>1084</v>
      </c>
      <c r="I420" s="193">
        <v>50</v>
      </c>
      <c r="J420" s="467">
        <v>1123.74</v>
      </c>
      <c r="K420" s="464">
        <f>=I420*J420</f>
        <v>56187</v>
      </c>
      <c r="L420" s="467">
        <v>1120</v>
      </c>
      <c r="M420" s="465">
        <f>=I420*L420</f>
        <v>56000</v>
      </c>
      <c r="N420" s="82">
        <f>=K420-M420</f>
        <v>187</v>
      </c>
      <c r="O420" s="64">
        <v>1</v>
      </c>
      <c r="P420" s="64">
        <f>=I420*O420*ROUNDUP((A420-B420)/30,0)</f>
        <v>50</v>
      </c>
      <c r="Q420" s="62" t="s"/>
      <c r="R420" s="62" t="s"/>
    </row>
    <row r="421" spans="1:18" ht="15.75" customHeight="true">
      <c r="A421" s="80">
        <v>46112</v>
      </c>
      <c r="B421" s="460">
        <v>46100</v>
      </c>
      <c r="C421" s="80" t="s">
        <v>157</v>
      </c>
      <c r="D421" s="64" t="s">
        <v>156</v>
      </c>
      <c r="E421" s="94" t="s">
        <v>2691</v>
      </c>
      <c r="F421" s="197" t="s">
        <v>421</v>
      </c>
      <c r="G421" s="64" t="s">
        <v>470</v>
      </c>
      <c r="H421" s="462" t="s">
        <v>921</v>
      </c>
      <c r="I421" s="193">
        <v>20</v>
      </c>
      <c r="J421" s="467">
        <v>6824.1</v>
      </c>
      <c r="K421" s="464">
        <f>=I421*J421</f>
        <v>136482</v>
      </c>
      <c r="L421" s="468">
        <v>6800</v>
      </c>
      <c r="M421" s="465">
        <f>=I421*L421</f>
        <v>136000</v>
      </c>
      <c r="N421" s="82">
        <f>=K421-M421</f>
        <v>482</v>
      </c>
      <c r="O421" s="64">
        <v>1.5</v>
      </c>
      <c r="P421" s="64">
        <f>=I421*O421*ROUNDUP((A421-B421)/30,0)</f>
        <v>30</v>
      </c>
      <c r="Q421" s="62" t="s"/>
      <c r="R421" s="62" t="s"/>
    </row>
    <row r="422" spans="1:18" ht="15.75" customHeight="true">
      <c r="A422" s="80">
        <v>46112</v>
      </c>
      <c r="B422" s="460">
        <v>46102</v>
      </c>
      <c r="C422" s="80" t="s">
        <v>175</v>
      </c>
      <c r="D422" s="64" t="s">
        <v>156</v>
      </c>
      <c r="E422" s="94" t="s">
        <v>2692</v>
      </c>
      <c r="F422" s="197" t="s">
        <v>421</v>
      </c>
      <c r="G422" s="64" t="s">
        <v>470</v>
      </c>
      <c r="H422" s="469" t="s">
        <v>989</v>
      </c>
      <c r="I422" s="193">
        <v>10</v>
      </c>
      <c r="J422" s="467">
        <v>6819.2</v>
      </c>
      <c r="K422" s="464">
        <f>=I422*J422</f>
        <v>68192</v>
      </c>
      <c r="L422" s="468">
        <v>6800</v>
      </c>
      <c r="M422" s="465">
        <f>=I422*L422</f>
        <v>68000</v>
      </c>
      <c r="N422" s="82">
        <f>=K422-M422</f>
        <v>192</v>
      </c>
      <c r="O422" s="64">
        <v>1.5</v>
      </c>
      <c r="P422" s="64">
        <f>=I422*O422*ROUNDUP((A422-B422)/30,0)</f>
        <v>15</v>
      </c>
      <c r="Q422" s="62" t="s"/>
      <c r="R422" s="62" t="s"/>
    </row>
    <row r="423" spans="1:18" ht="15.75" customHeight="true">
      <c r="A423" s="80">
        <v>46112</v>
      </c>
      <c r="B423" s="426">
        <v>45854</v>
      </c>
      <c r="C423" s="92" t="s">
        <v>61</v>
      </c>
      <c r="D423" s="194" t="s">
        <v>2480</v>
      </c>
      <c r="E423" s="94" t="s">
        <v>2693</v>
      </c>
      <c r="F423" s="64" t="s">
        <v>2481</v>
      </c>
      <c r="G423" s="64" t="s">
        <v>422</v>
      </c>
      <c r="H423" s="64" t="s">
        <v>504</v>
      </c>
      <c r="I423" s="193">
        <v>67</v>
      </c>
      <c r="J423" s="467">
        <v>2581</v>
      </c>
      <c r="K423" s="427">
        <f>=I423*J423</f>
        <v>172927</v>
      </c>
      <c r="L423" s="467">
        <v>2394</v>
      </c>
      <c r="M423" s="428">
        <f>=I423*L423</f>
        <v>160398</v>
      </c>
      <c r="N423" s="82">
        <f>=K423-M423</f>
        <v>12529</v>
      </c>
      <c r="O423" s="64">
        <v>0</v>
      </c>
      <c r="P423" s="64">
        <f>=I423*O423*ROUNDUP((A423-B423)/30,0)</f>
        <v>0</v>
      </c>
      <c r="Q423" s="76" t="s"/>
      <c r="R423" s="62" t="s"/>
    </row>
    <row r="424" spans="1:18" ht="15.75" customHeight="true">
      <c r="A424" s="80">
        <v>46112</v>
      </c>
      <c r="B424" s="426">
        <v>45854</v>
      </c>
      <c r="C424" s="92" t="s">
        <v>61</v>
      </c>
      <c r="D424" s="194" t="s">
        <v>2480</v>
      </c>
      <c r="E424" s="121" t="s">
        <v>2694</v>
      </c>
      <c r="F424" s="64" t="s">
        <v>2481</v>
      </c>
      <c r="G424" s="64" t="s">
        <v>422</v>
      </c>
      <c r="H424" s="64" t="s">
        <v>504</v>
      </c>
      <c r="I424" s="193">
        <v>33</v>
      </c>
      <c r="J424" s="467">
        <v>2581</v>
      </c>
      <c r="K424" s="427">
        <f>=I424*J424</f>
        <v>85173</v>
      </c>
      <c r="L424" s="467">
        <v>2394</v>
      </c>
      <c r="M424" s="428">
        <f>=I424*L424</f>
        <v>79002</v>
      </c>
      <c r="N424" s="82">
        <f>=K424-M424</f>
        <v>6171</v>
      </c>
      <c r="O424" s="64">
        <v>0</v>
      </c>
      <c r="P424" s="64">
        <f>=I424*O424*ROUNDUP((A424-B424)/30,0)</f>
        <v>0</v>
      </c>
      <c r="Q424" s="76" t="s"/>
      <c r="R424" s="62" t="s"/>
    </row>
    <row r="425" spans="1:18" ht="15.75" customHeight="true">
      <c r="A425" s="80">
        <v>46112</v>
      </c>
      <c r="B425" s="426">
        <v>45854</v>
      </c>
      <c r="C425" s="92" t="s">
        <v>61</v>
      </c>
      <c r="D425" s="194" t="s">
        <v>2480</v>
      </c>
      <c r="E425" s="121" t="s">
        <v>2695</v>
      </c>
      <c r="F425" s="64" t="s">
        <v>2481</v>
      </c>
      <c r="G425" s="64" t="s">
        <v>422</v>
      </c>
      <c r="H425" s="64" t="s">
        <v>504</v>
      </c>
      <c r="I425" s="193">
        <v>60</v>
      </c>
      <c r="J425" s="467">
        <v>2581</v>
      </c>
      <c r="K425" s="427">
        <f>=I425*J425</f>
        <v>154860</v>
      </c>
      <c r="L425" s="467">
        <v>2394</v>
      </c>
      <c r="M425" s="428">
        <f>=I425*L425</f>
        <v>143640</v>
      </c>
      <c r="N425" s="82">
        <f>=K425-M425</f>
        <v>11220</v>
      </c>
      <c r="O425" s="64">
        <v>0</v>
      </c>
      <c r="P425" s="64">
        <f>=I425*O425*ROUNDUP((A425-B425)/30,0)</f>
        <v>0</v>
      </c>
      <c r="Q425" s="76" t="s"/>
      <c r="R425" s="62" t="s"/>
    </row>
    <row r="426" spans="1:18" ht="15.75" customHeight="true">
      <c r="A426" s="80">
        <v>46112</v>
      </c>
      <c r="B426" s="426">
        <v>45854</v>
      </c>
      <c r="C426" s="92" t="s">
        <v>61</v>
      </c>
      <c r="D426" s="194" t="s">
        <v>2480</v>
      </c>
      <c r="E426" s="121" t="s">
        <v>2696</v>
      </c>
      <c r="F426" s="64" t="s">
        <v>2481</v>
      </c>
      <c r="G426" s="64" t="s">
        <v>422</v>
      </c>
      <c r="H426" s="64" t="s">
        <v>504</v>
      </c>
      <c r="I426" s="193">
        <v>50</v>
      </c>
      <c r="J426" s="467">
        <v>2581</v>
      </c>
      <c r="K426" s="427">
        <f>=I426*J426</f>
        <v>129050</v>
      </c>
      <c r="L426" s="467">
        <v>2394</v>
      </c>
      <c r="M426" s="428">
        <f>=I426*L426</f>
        <v>119700</v>
      </c>
      <c r="N426" s="82">
        <f>=K426-M426</f>
        <v>9350</v>
      </c>
      <c r="O426" s="64">
        <v>0</v>
      </c>
      <c r="P426" s="64">
        <f>=I426*O426*ROUNDUP((A426-B426)/30,0)</f>
        <v>0</v>
      </c>
      <c r="Q426" s="76" t="s"/>
      <c r="R426" s="62" t="s"/>
    </row>
    <row r="427" spans="1:18" ht="15.75" customHeight="true">
      <c r="A427" s="80">
        <v>46112</v>
      </c>
      <c r="B427" s="426">
        <v>45854</v>
      </c>
      <c r="C427" s="92" t="s">
        <v>61</v>
      </c>
      <c r="D427" s="194" t="s">
        <v>2480</v>
      </c>
      <c r="E427" s="121" t="s">
        <v>2697</v>
      </c>
      <c r="F427" s="64" t="s">
        <v>2481</v>
      </c>
      <c r="G427" s="64" t="s">
        <v>422</v>
      </c>
      <c r="H427" s="64" t="s">
        <v>504</v>
      </c>
      <c r="I427" s="193">
        <v>50</v>
      </c>
      <c r="J427" s="467">
        <v>2581</v>
      </c>
      <c r="K427" s="427">
        <f>=I427*J427</f>
        <v>129050</v>
      </c>
      <c r="L427" s="467">
        <v>2394</v>
      </c>
      <c r="M427" s="428">
        <f>=I427*L427</f>
        <v>119700</v>
      </c>
      <c r="N427" s="82">
        <f>=K427-M427</f>
        <v>9350</v>
      </c>
      <c r="O427" s="64">
        <v>0</v>
      </c>
      <c r="P427" s="64">
        <f>=I427*O427*ROUNDUP((A427-B427)/30,0)</f>
        <v>0</v>
      </c>
      <c r="Q427" s="76" t="s"/>
      <c r="R427" s="62" t="s"/>
    </row>
    <row r="428" spans="1:18" ht="15.75" customHeight="true">
      <c r="A428" s="80">
        <v>46113</v>
      </c>
      <c r="B428" s="426">
        <v>45855</v>
      </c>
      <c r="C428" s="92" t="s">
        <v>62</v>
      </c>
      <c r="D428" s="197" t="s">
        <v>2480</v>
      </c>
      <c r="E428" s="94" t="s">
        <v>2698</v>
      </c>
      <c r="F428" s="64" t="s">
        <v>2481</v>
      </c>
      <c r="G428" s="64" t="s">
        <v>422</v>
      </c>
      <c r="H428" s="64" t="s">
        <v>504</v>
      </c>
      <c r="I428" s="193">
        <v>140</v>
      </c>
      <c r="J428" s="467">
        <v>2582</v>
      </c>
      <c r="K428" s="427">
        <f>=I428*J428</f>
        <v>361480</v>
      </c>
      <c r="L428" s="467">
        <v>2394</v>
      </c>
      <c r="M428" s="428">
        <f>=I428*L428</f>
        <v>335160</v>
      </c>
      <c r="N428" s="82">
        <f>=K428-M428</f>
        <v>26320</v>
      </c>
      <c r="O428" s="64">
        <v>0</v>
      </c>
      <c r="P428" s="64">
        <f>=I428*O428*ROUNDUP((A428-B428)/30,0)</f>
        <v>0</v>
      </c>
      <c r="Q428" s="76" t="s"/>
      <c r="R428" s="62" t="s"/>
    </row>
    <row r="429" spans="1:18" ht="15.75" customHeight="true">
      <c r="A429" s="80">
        <v>46114</v>
      </c>
      <c r="B429" s="426">
        <v>45749</v>
      </c>
      <c r="C429" s="64" t="s">
        <v>57</v>
      </c>
      <c r="D429" s="64" t="s">
        <v>56</v>
      </c>
      <c r="E429" s="94" t="s">
        <v>2699</v>
      </c>
      <c r="F429" s="197" t="s">
        <v>428</v>
      </c>
      <c r="G429" s="64" t="s">
        <v>422</v>
      </c>
      <c r="H429" s="64" t="s">
        <v>467</v>
      </c>
      <c r="I429" s="64">
        <v>300</v>
      </c>
      <c r="J429" s="82">
        <v>916.44</v>
      </c>
      <c r="K429" s="427">
        <f>=I429*J429</f>
        <v>274932</v>
      </c>
      <c r="L429" s="82">
        <v>840</v>
      </c>
      <c r="M429" s="428">
        <f>=I429*L429</f>
        <v>252000</v>
      </c>
      <c r="N429" s="82">
        <f>=K429-M429</f>
        <v>22932</v>
      </c>
      <c r="O429" s="64">
        <v>0</v>
      </c>
      <c r="P429" s="64">
        <f>=I429*O429*ROUNDUP((A429-B429)/30,0)</f>
        <v>0</v>
      </c>
      <c r="Q429" s="62" t="s"/>
      <c r="R429" s="62" t="s"/>
    </row>
    <row r="430" spans="1:18" ht="15.75" customHeight="true">
      <c r="A430" s="80">
        <v>46113</v>
      </c>
      <c r="B430" s="460">
        <v>46104</v>
      </c>
      <c r="C430" s="80" t="s">
        <v>177</v>
      </c>
      <c r="D430" s="64" t="s">
        <v>135</v>
      </c>
      <c r="E430" s="94" t="s">
        <v>2700</v>
      </c>
      <c r="F430" s="197" t="s">
        <v>741</v>
      </c>
      <c r="G430" s="64" t="s">
        <v>422</v>
      </c>
      <c r="H430" s="64" t="s">
        <v>992</v>
      </c>
      <c r="I430" s="64">
        <v>300</v>
      </c>
      <c r="J430" s="82">
        <v>1004</v>
      </c>
      <c r="K430" s="427">
        <f>=I430*J430</f>
        <v>301200</v>
      </c>
      <c r="L430" s="82">
        <v>1000</v>
      </c>
      <c r="M430" s="428">
        <f>=I430*L430</f>
        <v>300000</v>
      </c>
      <c r="N430" s="82">
        <f>=K430-M430</f>
        <v>1200</v>
      </c>
      <c r="O430" s="64">
        <v>1</v>
      </c>
      <c r="P430" s="64">
        <f>=I430*O430*ROUNDUP((A430-B430)/30,0)</f>
        <v>300</v>
      </c>
      <c r="Q430" s="62" t="s"/>
      <c r="R430" s="62" t="s"/>
    </row>
    <row r="431" spans="1:18" ht="15.75" customHeight="true">
      <c r="A431" s="80">
        <v>46113</v>
      </c>
      <c r="B431" s="460">
        <v>46100</v>
      </c>
      <c r="C431" s="80" t="s">
        <v>157</v>
      </c>
      <c r="D431" s="64" t="s">
        <v>156</v>
      </c>
      <c r="E431" s="94" t="s">
        <v>2701</v>
      </c>
      <c r="F431" s="197" t="s">
        <v>421</v>
      </c>
      <c r="G431" s="64" t="s">
        <v>470</v>
      </c>
      <c r="H431" s="64" t="s">
        <v>917</v>
      </c>
      <c r="I431" s="64">
        <v>20</v>
      </c>
      <c r="J431" s="82">
        <v>5972.83</v>
      </c>
      <c r="K431" s="427">
        <f>=I431*J431</f>
        <v>119456.6</v>
      </c>
      <c r="L431" s="82">
        <v>5950</v>
      </c>
      <c r="M431" s="428">
        <f>=I431*L431</f>
        <v>119000</v>
      </c>
      <c r="N431" s="82">
        <f>=K431-M431</f>
        <v>456.600000000006</v>
      </c>
      <c r="O431" s="64">
        <v>1.5</v>
      </c>
      <c r="P431" s="64">
        <f>=I431*O431*ROUNDUP((A431-B431)/30,0)</f>
        <v>30</v>
      </c>
      <c r="Q431" s="62" t="s"/>
      <c r="R431" s="62" t="s"/>
    </row>
    <row r="432" spans="1:18" ht="15.75" customHeight="true">
      <c r="A432" s="80">
        <v>46113</v>
      </c>
      <c r="B432" s="460">
        <v>46100</v>
      </c>
      <c r="C432" s="80" t="s">
        <v>157</v>
      </c>
      <c r="D432" s="64" t="s">
        <v>156</v>
      </c>
      <c r="E432" s="121" t="s">
        <v>2702</v>
      </c>
      <c r="F432" s="197" t="s">
        <v>421</v>
      </c>
      <c r="G432" s="64" t="s">
        <v>470</v>
      </c>
      <c r="H432" s="64" t="s">
        <v>917</v>
      </c>
      <c r="I432" s="64">
        <v>30</v>
      </c>
      <c r="J432" s="82">
        <v>5972.83</v>
      </c>
      <c r="K432" s="427">
        <f>=I432*J432</f>
        <v>179184.9</v>
      </c>
      <c r="L432" s="82">
        <v>5950</v>
      </c>
      <c r="M432" s="428">
        <f>=I432*L432</f>
        <v>178500</v>
      </c>
      <c r="N432" s="82">
        <f>=K432-M432</f>
        <v>684.899999999994</v>
      </c>
      <c r="O432" s="64">
        <v>1.5</v>
      </c>
      <c r="P432" s="64">
        <f>=I432*O432*ROUNDUP((A432-B432)/30,0)</f>
        <v>45</v>
      </c>
      <c r="Q432" s="62" t="s"/>
      <c r="R432" s="62" t="s"/>
    </row>
    <row r="433" spans="1:18" ht="15.75" customHeight="true">
      <c r="A433" s="80">
        <v>46113</v>
      </c>
      <c r="B433" s="460">
        <v>46104</v>
      </c>
      <c r="C433" s="80" t="s">
        <v>180</v>
      </c>
      <c r="D433" s="64" t="s">
        <v>156</v>
      </c>
      <c r="E433" s="94" t="s">
        <v>2703</v>
      </c>
      <c r="F433" s="197" t="s">
        <v>421</v>
      </c>
      <c r="G433" s="64" t="s">
        <v>470</v>
      </c>
      <c r="H433" s="94" t="s">
        <v>917</v>
      </c>
      <c r="I433" s="64">
        <v>30</v>
      </c>
      <c r="J433" s="82">
        <v>5915.57</v>
      </c>
      <c r="K433" s="427">
        <f>=I433*J433</f>
        <v>177467.1</v>
      </c>
      <c r="L433" s="82">
        <v>5900</v>
      </c>
      <c r="M433" s="428">
        <f>=I433*L433</f>
        <v>177000</v>
      </c>
      <c r="N433" s="82">
        <f>=K433-M433</f>
        <v>467.099999999977</v>
      </c>
      <c r="O433" s="64">
        <v>1.5</v>
      </c>
      <c r="P433" s="64">
        <f>=I433*O433*ROUNDUP((A433-B433)/30,0)</f>
        <v>45</v>
      </c>
      <c r="Q433" s="62" t="s"/>
      <c r="R433" s="62" t="s"/>
    </row>
    <row r="434" spans="1:18" ht="15.75" customHeight="true">
      <c r="A434" s="80">
        <v>46113</v>
      </c>
      <c r="B434" s="460">
        <v>46104</v>
      </c>
      <c r="C434" s="80" t="s">
        <v>180</v>
      </c>
      <c r="D434" s="64" t="s">
        <v>156</v>
      </c>
      <c r="E434" s="121" t="s">
        <v>2704</v>
      </c>
      <c r="F434" s="197" t="s">
        <v>421</v>
      </c>
      <c r="G434" s="64" t="s">
        <v>470</v>
      </c>
      <c r="H434" s="94" t="s">
        <v>917</v>
      </c>
      <c r="I434" s="64">
        <v>30</v>
      </c>
      <c r="J434" s="82">
        <v>5915.57</v>
      </c>
      <c r="K434" s="427">
        <f>=I434*J434</f>
        <v>177467.1</v>
      </c>
      <c r="L434" s="82">
        <v>5900</v>
      </c>
      <c r="M434" s="428">
        <f>=I434*L434</f>
        <v>177000</v>
      </c>
      <c r="N434" s="82">
        <f>=K434-M434</f>
        <v>467.099999999977</v>
      </c>
      <c r="O434" s="64">
        <v>1.5</v>
      </c>
      <c r="P434" s="64">
        <f>=I434*O434*ROUNDUP((A434-B434)/30,0)</f>
        <v>45</v>
      </c>
      <c r="Q434" s="62" t="s"/>
      <c r="R434" s="62" t="s"/>
    </row>
    <row r="435" spans="1:18" ht="15.75" customHeight="true">
      <c r="A435" s="80">
        <v>46113</v>
      </c>
      <c r="B435" s="460">
        <v>46103</v>
      </c>
      <c r="C435" s="80" t="s">
        <v>176</v>
      </c>
      <c r="D435" s="64" t="s">
        <v>142</v>
      </c>
      <c r="E435" s="335" t="s">
        <v>2705</v>
      </c>
      <c r="F435" s="197" t="s">
        <v>421</v>
      </c>
      <c r="G435" s="197" t="s">
        <v>422</v>
      </c>
      <c r="H435" s="64" t="s">
        <v>990</v>
      </c>
      <c r="I435" s="64">
        <v>20</v>
      </c>
      <c r="J435" s="82">
        <v>4756.54</v>
      </c>
      <c r="K435" s="427">
        <f>=I435*J435</f>
        <v>95130.8</v>
      </c>
      <c r="L435" s="82">
        <v>4742</v>
      </c>
      <c r="M435" s="428">
        <f>=I435*L435</f>
        <v>94840</v>
      </c>
      <c r="N435" s="82">
        <f>=K435-M435</f>
        <v>290.800000000003</v>
      </c>
      <c r="O435" s="64">
        <v>1</v>
      </c>
      <c r="P435" s="64">
        <f>=I435*O435*ROUNDUP((A435-B435)/30,0)</f>
        <v>20</v>
      </c>
      <c r="Q435" s="62" t="s"/>
      <c r="R435" s="62" t="s"/>
    </row>
    <row r="436" spans="1:18" ht="15.75" customHeight="true">
      <c r="A436" s="80">
        <v>46113</v>
      </c>
      <c r="B436" s="460">
        <v>46104</v>
      </c>
      <c r="C436" s="80" t="s">
        <v>178</v>
      </c>
      <c r="D436" s="64" t="s">
        <v>142</v>
      </c>
      <c r="E436" s="155" t="s">
        <v>2706</v>
      </c>
      <c r="F436" s="197" t="s">
        <v>421</v>
      </c>
      <c r="G436" s="197" t="s">
        <v>422</v>
      </c>
      <c r="H436" s="64" t="s">
        <v>1002</v>
      </c>
      <c r="I436" s="64">
        <v>80</v>
      </c>
      <c r="J436" s="82">
        <v>4755.36</v>
      </c>
      <c r="K436" s="427">
        <f>=I436*J436</f>
        <v>380428.8</v>
      </c>
      <c r="L436" s="82">
        <v>4742</v>
      </c>
      <c r="M436" s="428">
        <f>=I436*L436</f>
        <v>379360</v>
      </c>
      <c r="N436" s="82">
        <f>=K436-M436</f>
        <v>1068.79999999999</v>
      </c>
      <c r="O436" s="64">
        <v>1</v>
      </c>
      <c r="P436" s="64">
        <f>=I436*O436*ROUNDUP((A436-B436)/30,0)</f>
        <v>80</v>
      </c>
      <c r="Q436" s="62" t="s"/>
      <c r="R436" s="62" t="s"/>
    </row>
    <row r="437" spans="1:18" ht="15.75" customHeight="true">
      <c r="A437" s="80">
        <v>46113</v>
      </c>
      <c r="B437" s="426">
        <v>46022</v>
      </c>
      <c r="C437" s="64" t="s">
        <v>96</v>
      </c>
      <c r="D437" s="64" t="s">
        <v>74</v>
      </c>
      <c r="E437" s="94" t="s">
        <v>2625</v>
      </c>
      <c r="F437" s="197" t="s">
        <v>428</v>
      </c>
      <c r="G437" s="64" t="s">
        <v>470</v>
      </c>
      <c r="H437" s="64" t="s">
        <v>2674</v>
      </c>
      <c r="I437" s="64">
        <v>300</v>
      </c>
      <c r="J437" s="82">
        <v>1080</v>
      </c>
      <c r="K437" s="427">
        <f>=I437*J437</f>
        <v>324000</v>
      </c>
      <c r="L437" s="82">
        <v>1053</v>
      </c>
      <c r="M437" s="428">
        <f>=I437*L437</f>
        <v>315900</v>
      </c>
      <c r="N437" s="82">
        <f>=K437-M437</f>
        <v>8100</v>
      </c>
      <c r="O437" s="64">
        <v>0</v>
      </c>
      <c r="P437" s="64">
        <f>=I437*O437*ROUNDUP((A437-B437)/30,0)</f>
        <v>0</v>
      </c>
      <c r="Q437" s="62" t="s"/>
      <c r="R437" s="62" t="s"/>
    </row>
    <row r="438" spans="1:18" ht="15.75" customHeight="true">
      <c r="A438" s="80">
        <v>46113</v>
      </c>
      <c r="B438" s="426">
        <v>46058</v>
      </c>
      <c r="C438" s="64" t="s">
        <v>118</v>
      </c>
      <c r="D438" s="64" t="s">
        <v>116</v>
      </c>
      <c r="E438" s="450" t="s">
        <v>2707</v>
      </c>
      <c r="F438" s="197" t="s">
        <v>804</v>
      </c>
      <c r="G438" s="64" t="s">
        <v>429</v>
      </c>
      <c r="H438" s="64" t="s">
        <v>821</v>
      </c>
      <c r="I438" s="87">
        <v>240</v>
      </c>
      <c r="J438" s="82">
        <v>55.8</v>
      </c>
      <c r="K438" s="427">
        <f>=I438*J438</f>
        <v>13392</v>
      </c>
      <c r="L438" s="82">
        <v>55</v>
      </c>
      <c r="M438" s="428">
        <f>=I438*L438</f>
        <v>13200</v>
      </c>
      <c r="N438" s="82">
        <f>=K438-M438</f>
        <v>192</v>
      </c>
      <c r="O438" s="64">
        <v>0</v>
      </c>
      <c r="P438" s="64">
        <f>=I438*O438*ROUNDUP((A438-B438)/30,0)</f>
        <v>0</v>
      </c>
      <c r="Q438" s="62" t="s"/>
      <c r="R438" s="62" t="s"/>
    </row>
    <row r="439" spans="1:18" ht="15.75" customHeight="true">
      <c r="A439" s="80">
        <v>46114</v>
      </c>
      <c r="B439" s="426">
        <v>46106</v>
      </c>
      <c r="C439" s="64" t="s">
        <v>190</v>
      </c>
      <c r="D439" s="247" t="s">
        <v>189</v>
      </c>
      <c r="E439" s="64" t="s"/>
      <c r="F439" s="197" t="s">
        <v>428</v>
      </c>
      <c r="G439" s="64" t="s">
        <v>422</v>
      </c>
      <c r="H439" s="87" t="s">
        <v>1221</v>
      </c>
      <c r="I439" s="87">
        <v>1</v>
      </c>
      <c r="J439" s="82">
        <v>10830.66</v>
      </c>
      <c r="K439" s="427">
        <f>=I439*J439</f>
        <v>10830.66</v>
      </c>
      <c r="L439" s="470">
        <v>10800</v>
      </c>
      <c r="M439" s="428">
        <f>=I439*L439</f>
        <v>10800</v>
      </c>
      <c r="N439" s="82">
        <f>=K439-M439</f>
        <v>30.6599999999999</v>
      </c>
      <c r="O439" s="64">
        <v>1</v>
      </c>
      <c r="P439" s="64">
        <f>=I439*O439*ROUNDUP((A439-B439)/30,0)</f>
        <v>1</v>
      </c>
      <c r="Q439" s="62" t="s"/>
      <c r="R439" s="62" t="s"/>
    </row>
    <row r="440" spans="1:18" ht="15.75" customHeight="true">
      <c r="A440" s="80">
        <v>46114</v>
      </c>
      <c r="B440" s="426">
        <v>46106</v>
      </c>
      <c r="C440" s="64" t="s">
        <v>190</v>
      </c>
      <c r="D440" s="247" t="s">
        <v>189</v>
      </c>
      <c r="E440" s="64" t="s"/>
      <c r="F440" s="197" t="s">
        <v>428</v>
      </c>
      <c r="G440" s="64" t="s">
        <v>422</v>
      </c>
      <c r="H440" s="87" t="s">
        <v>1146</v>
      </c>
      <c r="I440" s="87">
        <v>2</v>
      </c>
      <c r="J440" s="82">
        <v>10830.66</v>
      </c>
      <c r="K440" s="427">
        <f>=I440*J440</f>
        <v>21661.32</v>
      </c>
      <c r="L440" s="470">
        <v>10800</v>
      </c>
      <c r="M440" s="428">
        <f>=I440*L440</f>
        <v>21600</v>
      </c>
      <c r="N440" s="82">
        <f>=K440-M440</f>
        <v>61.3199999999997</v>
      </c>
      <c r="O440" s="64">
        <v>1</v>
      </c>
      <c r="P440" s="64">
        <f>=I440*O440*ROUNDUP((A440-B440)/30,0)</f>
        <v>2</v>
      </c>
      <c r="Q440" s="62" t="s"/>
      <c r="R440" s="62" t="s"/>
    </row>
    <row r="441" spans="1:18" ht="15.75" customHeight="true">
      <c r="A441" s="80">
        <v>46114</v>
      </c>
      <c r="B441" s="426">
        <v>46106</v>
      </c>
      <c r="C441" s="64" t="s">
        <v>190</v>
      </c>
      <c r="D441" s="247" t="s">
        <v>189</v>
      </c>
      <c r="E441" s="64" t="s"/>
      <c r="F441" s="197" t="s">
        <v>428</v>
      </c>
      <c r="G441" s="64" t="s">
        <v>422</v>
      </c>
      <c r="H441" s="87" t="s">
        <v>1222</v>
      </c>
      <c r="I441" s="87">
        <v>1</v>
      </c>
      <c r="J441" s="82">
        <v>11231.74</v>
      </c>
      <c r="K441" s="427">
        <f>=I441*J441</f>
        <v>11231.74</v>
      </c>
      <c r="L441" s="470">
        <v>11200</v>
      </c>
      <c r="M441" s="428">
        <f>=I441*L441</f>
        <v>11200</v>
      </c>
      <c r="N441" s="82">
        <f>=K441-M441</f>
        <v>31.7399999999998</v>
      </c>
      <c r="O441" s="64">
        <v>1</v>
      </c>
      <c r="P441" s="64">
        <f>=I441*O441*ROUNDUP((A441-B441)/30,0)</f>
        <v>1</v>
      </c>
      <c r="Q441" s="62" t="s"/>
      <c r="R441" s="62" t="s"/>
    </row>
    <row r="442" spans="1:18" ht="15.75" customHeight="true">
      <c r="A442" s="80">
        <v>46114</v>
      </c>
      <c r="B442" s="426">
        <v>46106</v>
      </c>
      <c r="C442" s="64" t="s">
        <v>190</v>
      </c>
      <c r="D442" s="247" t="s">
        <v>189</v>
      </c>
      <c r="E442" s="64" t="s"/>
      <c r="F442" s="197" t="s">
        <v>428</v>
      </c>
      <c r="G442" s="64" t="s">
        <v>422</v>
      </c>
      <c r="H442" s="87" t="s">
        <v>1120</v>
      </c>
      <c r="I442" s="87">
        <v>4</v>
      </c>
      <c r="J442" s="82">
        <v>10429.58</v>
      </c>
      <c r="K442" s="427">
        <f>=I442*J442</f>
        <v>41718.32</v>
      </c>
      <c r="L442" s="470">
        <v>10400</v>
      </c>
      <c r="M442" s="428">
        <f>=I442*L442</f>
        <v>41600</v>
      </c>
      <c r="N442" s="82">
        <f>=K442-M442</f>
        <v>118.32</v>
      </c>
      <c r="O442" s="64">
        <v>1</v>
      </c>
      <c r="P442" s="64">
        <f>=I442*O442*ROUNDUP((A442-B442)/30,0)</f>
        <v>4</v>
      </c>
      <c r="Q442" s="62" t="s"/>
      <c r="R442" s="62" t="s"/>
    </row>
    <row r="443" spans="1:18" ht="15.75" customHeight="true">
      <c r="A443" s="80">
        <v>46114</v>
      </c>
      <c r="B443" s="426">
        <v>46107</v>
      </c>
      <c r="C443" s="64" t="s">
        <v>194</v>
      </c>
      <c r="D443" s="247" t="s">
        <v>189</v>
      </c>
      <c r="E443" s="64" t="s"/>
      <c r="F443" s="197" t="s">
        <v>428</v>
      </c>
      <c r="G443" s="64" t="s">
        <v>422</v>
      </c>
      <c r="H443" s="87" t="s">
        <v>1123</v>
      </c>
      <c r="I443" s="87">
        <v>4</v>
      </c>
      <c r="J443" s="82">
        <v>7369.14</v>
      </c>
      <c r="K443" s="427">
        <f>=I443*J443</f>
        <v>29476.56</v>
      </c>
      <c r="L443" s="82">
        <v>7350</v>
      </c>
      <c r="M443" s="428">
        <f>=I443*L443</f>
        <v>29400</v>
      </c>
      <c r="N443" s="82">
        <f>=K443-M443</f>
        <v>76.5600000000013</v>
      </c>
      <c r="O443" s="64">
        <v>1</v>
      </c>
      <c r="P443" s="64">
        <f>=I443*O443*ROUNDUP((A443-B443)/30,0)</f>
        <v>4</v>
      </c>
      <c r="Q443" s="62" t="s"/>
      <c r="R443" s="62" t="s"/>
    </row>
    <row r="444" spans="1:18" ht="15.75" customHeight="true">
      <c r="A444" s="80">
        <v>46114</v>
      </c>
      <c r="B444" s="426">
        <v>46107</v>
      </c>
      <c r="C444" s="64" t="s">
        <v>194</v>
      </c>
      <c r="D444" s="247" t="s">
        <v>189</v>
      </c>
      <c r="E444" s="64" t="s"/>
      <c r="F444" s="197" t="s">
        <v>428</v>
      </c>
      <c r="G444" s="64" t="s">
        <v>422</v>
      </c>
      <c r="H444" s="87" t="s">
        <v>1235</v>
      </c>
      <c r="I444" s="87">
        <v>1</v>
      </c>
      <c r="J444" s="82">
        <v>14436.06</v>
      </c>
      <c r="K444" s="427">
        <f>=I444*J444</f>
        <v>14436.06</v>
      </c>
      <c r="L444" s="82">
        <v>14400</v>
      </c>
      <c r="M444" s="428">
        <f>=I444*L444</f>
        <v>14400</v>
      </c>
      <c r="N444" s="82">
        <f>=K444-M444</f>
        <v>36.0599999999995</v>
      </c>
      <c r="O444" s="64">
        <v>1</v>
      </c>
      <c r="P444" s="64">
        <f>=I444*O444*ROUNDUP((A444-B444)/30,0)</f>
        <v>1</v>
      </c>
      <c r="Q444" s="62" t="s"/>
      <c r="R444" s="62" t="s"/>
    </row>
    <row r="445" spans="1:18" ht="15.75" customHeight="true">
      <c r="A445" s="80">
        <v>46114</v>
      </c>
      <c r="B445" s="426">
        <v>46107</v>
      </c>
      <c r="C445" s="64" t="s">
        <v>194</v>
      </c>
      <c r="D445" s="247" t="s">
        <v>189</v>
      </c>
      <c r="E445" s="64" t="s"/>
      <c r="F445" s="197" t="s">
        <v>428</v>
      </c>
      <c r="G445" s="64" t="s">
        <v>422</v>
      </c>
      <c r="H445" s="87" t="s">
        <v>1236</v>
      </c>
      <c r="I445" s="87">
        <v>1</v>
      </c>
      <c r="J445" s="82">
        <v>16039.9</v>
      </c>
      <c r="K445" s="427">
        <f>=I445*J445</f>
        <v>16039.9</v>
      </c>
      <c r="L445" s="82">
        <v>16000</v>
      </c>
      <c r="M445" s="428">
        <f>=I445*L445</f>
        <v>16000</v>
      </c>
      <c r="N445" s="82">
        <f>=K445-M445</f>
        <v>39.8999999999996</v>
      </c>
      <c r="O445" s="64">
        <v>1</v>
      </c>
      <c r="P445" s="64">
        <f>=I445*O445*ROUNDUP((A445-B445)/30,0)</f>
        <v>1</v>
      </c>
      <c r="Q445" s="62" t="s"/>
      <c r="R445" s="62" t="s"/>
    </row>
    <row r="446" spans="1:18" ht="15.75" customHeight="true">
      <c r="A446" s="80">
        <v>46114</v>
      </c>
      <c r="B446" s="426">
        <v>46107</v>
      </c>
      <c r="C446" s="64" t="s">
        <v>194</v>
      </c>
      <c r="D446" s="247" t="s">
        <v>189</v>
      </c>
      <c r="E446" s="64" t="s"/>
      <c r="F446" s="197" t="s">
        <v>421</v>
      </c>
      <c r="G446" s="197" t="s">
        <v>422</v>
      </c>
      <c r="H446" s="87" t="s">
        <v>721</v>
      </c>
      <c r="I446" s="87">
        <v>5</v>
      </c>
      <c r="J446" s="82">
        <v>8436.7</v>
      </c>
      <c r="K446" s="427">
        <f>=I446*J446</f>
        <v>42183.5</v>
      </c>
      <c r="L446" s="82">
        <v>8415</v>
      </c>
      <c r="M446" s="428">
        <f>=I446*L446</f>
        <v>42075</v>
      </c>
      <c r="N446" s="82">
        <f>=K446-M446</f>
        <v>108.5</v>
      </c>
      <c r="O446" s="64">
        <v>1</v>
      </c>
      <c r="P446" s="64">
        <f>=I446*O446*ROUNDUP((A446-B446)/30,0)</f>
        <v>5</v>
      </c>
      <c r="Q446" s="62" t="s"/>
      <c r="R446" s="62" t="s"/>
    </row>
    <row r="447" spans="1:18" ht="15.75" customHeight="true">
      <c r="A447" s="80">
        <v>46114</v>
      </c>
      <c r="B447" s="426">
        <v>46107</v>
      </c>
      <c r="C447" s="64" t="s">
        <v>194</v>
      </c>
      <c r="D447" s="247" t="s">
        <v>189</v>
      </c>
      <c r="E447" s="64" t="s"/>
      <c r="F447" s="197" t="s">
        <v>421</v>
      </c>
      <c r="G447" s="197" t="s">
        <v>422</v>
      </c>
      <c r="H447" s="87" t="s">
        <v>852</v>
      </c>
      <c r="I447" s="87">
        <v>1</v>
      </c>
      <c r="J447" s="82">
        <v>10055.57</v>
      </c>
      <c r="K447" s="427">
        <f>=I447*J447</f>
        <v>10055.57</v>
      </c>
      <c r="L447" s="82">
        <v>10030</v>
      </c>
      <c r="M447" s="428">
        <f>=I447*L447</f>
        <v>10030</v>
      </c>
      <c r="N447" s="82">
        <f>=K447-M447</f>
        <v>25.5699999999997</v>
      </c>
      <c r="O447" s="64">
        <v>1</v>
      </c>
      <c r="P447" s="64">
        <f>=I447*O447*ROUNDUP((A447-B447)/30,0)</f>
        <v>1</v>
      </c>
      <c r="Q447" s="62" t="s"/>
      <c r="R447" s="62" t="s"/>
    </row>
    <row r="448" spans="1:18" ht="15.75" customHeight="true">
      <c r="A448" s="80">
        <v>46114</v>
      </c>
      <c r="B448" s="460">
        <v>46105</v>
      </c>
      <c r="C448" s="80" t="s">
        <v>185</v>
      </c>
      <c r="D448" s="64" t="s">
        <v>156</v>
      </c>
      <c r="E448" s="370" t="s">
        <v>2708</v>
      </c>
      <c r="F448" s="197" t="s">
        <v>421</v>
      </c>
      <c r="G448" s="64" t="s">
        <v>470</v>
      </c>
      <c r="H448" s="87" t="s">
        <v>1015</v>
      </c>
      <c r="I448" s="64">
        <v>30</v>
      </c>
      <c r="J448" s="82">
        <v>4012</v>
      </c>
      <c r="K448" s="427">
        <f>=I448*J448</f>
        <v>120360</v>
      </c>
      <c r="L448" s="82">
        <v>4000</v>
      </c>
      <c r="M448" s="428">
        <f>=I448*L448</f>
        <v>120000</v>
      </c>
      <c r="N448" s="82">
        <f>=K448-M448</f>
        <v>360</v>
      </c>
      <c r="O448" s="64">
        <v>1.5</v>
      </c>
      <c r="P448" s="64">
        <f>=I448*O448*ROUNDUP((A448-B448)/30,0)</f>
        <v>45</v>
      </c>
      <c r="Q448" s="62" t="s"/>
      <c r="R448" s="62" t="s"/>
    </row>
    <row r="449" spans="1:18" ht="15.75" customHeight="true">
      <c r="A449" s="80">
        <v>46114</v>
      </c>
      <c r="B449" s="460">
        <v>46105</v>
      </c>
      <c r="C449" s="80" t="s">
        <v>185</v>
      </c>
      <c r="D449" s="64" t="s">
        <v>156</v>
      </c>
      <c r="E449" s="370" t="s">
        <v>2709</v>
      </c>
      <c r="F449" s="197" t="s">
        <v>421</v>
      </c>
      <c r="G449" s="64" t="s">
        <v>470</v>
      </c>
      <c r="H449" s="87" t="s">
        <v>1015</v>
      </c>
      <c r="I449" s="64">
        <v>30</v>
      </c>
      <c r="J449" s="82">
        <v>4012</v>
      </c>
      <c r="K449" s="427">
        <f>=I449*J449</f>
        <v>120360</v>
      </c>
      <c r="L449" s="82">
        <v>4000</v>
      </c>
      <c r="M449" s="428">
        <f>=I449*L449</f>
        <v>120000</v>
      </c>
      <c r="N449" s="82">
        <f>=K449-M449</f>
        <v>360</v>
      </c>
      <c r="O449" s="64">
        <v>1.5</v>
      </c>
      <c r="P449" s="64">
        <f>=I449*O449*ROUNDUP((A449-B449)/30,0)</f>
        <v>45</v>
      </c>
      <c r="Q449" s="62" t="s"/>
      <c r="R449" s="62" t="s"/>
    </row>
    <row r="450" spans="1:18" ht="15.75" customHeight="true">
      <c r="A450" s="80">
        <v>46114</v>
      </c>
      <c r="B450" s="460">
        <v>46105</v>
      </c>
      <c r="C450" s="80" t="s">
        <v>185</v>
      </c>
      <c r="D450" s="64" t="s">
        <v>156</v>
      </c>
      <c r="E450" s="370" t="s">
        <v>2710</v>
      </c>
      <c r="F450" s="197" t="s">
        <v>421</v>
      </c>
      <c r="G450" s="64" t="s">
        <v>470</v>
      </c>
      <c r="H450" s="308" t="s">
        <v>1017</v>
      </c>
      <c r="I450" s="64">
        <v>30</v>
      </c>
      <c r="J450" s="82">
        <v>4012</v>
      </c>
      <c r="K450" s="427">
        <f>=I450*J450</f>
        <v>120360</v>
      </c>
      <c r="L450" s="82">
        <v>4000</v>
      </c>
      <c r="M450" s="428">
        <f>=I450*L450</f>
        <v>120000</v>
      </c>
      <c r="N450" s="82">
        <f>=K450-M450</f>
        <v>360</v>
      </c>
      <c r="O450" s="64">
        <v>1.5</v>
      </c>
      <c r="P450" s="64">
        <f>=I450*O450*ROUNDUP((A450-B450)/30,0)</f>
        <v>45</v>
      </c>
      <c r="Q450" s="62" t="s"/>
      <c r="R450" s="62" t="s"/>
    </row>
    <row r="451" spans="1:18" ht="15.75" customHeight="true">
      <c r="A451" s="80">
        <v>46114</v>
      </c>
      <c r="B451" s="460">
        <v>46112</v>
      </c>
      <c r="C451" s="80" t="s">
        <v>213</v>
      </c>
      <c r="D451" s="64" t="s">
        <v>156</v>
      </c>
      <c r="E451" s="370" t="s">
        <v>2711</v>
      </c>
      <c r="F451" s="197" t="s">
        <v>421</v>
      </c>
      <c r="G451" s="64" t="s">
        <v>470</v>
      </c>
      <c r="H451" s="87" t="s">
        <v>1292</v>
      </c>
      <c r="I451" s="64">
        <v>40</v>
      </c>
      <c r="J451" s="82">
        <v>3228.44</v>
      </c>
      <c r="K451" s="427">
        <f>=I451*J451</f>
        <v>129137.6</v>
      </c>
      <c r="L451" s="470">
        <v>3220</v>
      </c>
      <c r="M451" s="428">
        <f>=I451*L451</f>
        <v>128800</v>
      </c>
      <c r="N451" s="82">
        <f>=K451-M451</f>
        <v>337.600000000006</v>
      </c>
      <c r="O451" s="64">
        <v>1.5</v>
      </c>
      <c r="P451" s="64">
        <f>=I451*O451*ROUNDUP((A451-B451)/30,0)</f>
        <v>60</v>
      </c>
      <c r="Q451" s="62" t="s"/>
      <c r="R451" s="62" t="s"/>
    </row>
    <row r="452" spans="1:18" ht="15.75" customHeight="true">
      <c r="A452" s="80">
        <v>46115</v>
      </c>
      <c r="B452" s="460">
        <v>46112</v>
      </c>
      <c r="C452" s="80" t="s">
        <v>213</v>
      </c>
      <c r="D452" s="64" t="s">
        <v>156</v>
      </c>
      <c r="E452" s="370" t="s">
        <v>2712</v>
      </c>
      <c r="F452" s="197" t="s">
        <v>421</v>
      </c>
      <c r="G452" s="64" t="s">
        <v>470</v>
      </c>
      <c r="H452" s="87" t="s">
        <v>1290</v>
      </c>
      <c r="I452" s="64">
        <v>70</v>
      </c>
      <c r="J452" s="82">
        <v>2807.6</v>
      </c>
      <c r="K452" s="427">
        <f>=I452*J452</f>
        <v>196532</v>
      </c>
      <c r="L452" s="470">
        <v>2800</v>
      </c>
      <c r="M452" s="428">
        <f>=I452*L452</f>
        <v>196000</v>
      </c>
      <c r="N452" s="82">
        <f>=K452-M452</f>
        <v>532</v>
      </c>
      <c r="O452" s="64">
        <v>1.5</v>
      </c>
      <c r="P452" s="64">
        <f>=I452*O452*ROUNDUP((A452-B452)/30,0)</f>
        <v>105</v>
      </c>
      <c r="Q452" s="62" t="s"/>
      <c r="R452" s="62" t="s"/>
    </row>
    <row r="453" spans="1:18" ht="15.75" customHeight="true">
      <c r="A453" s="80">
        <v>46115</v>
      </c>
      <c r="B453" s="460">
        <v>46112</v>
      </c>
      <c r="C453" s="80" t="s">
        <v>213</v>
      </c>
      <c r="D453" s="64" t="s">
        <v>156</v>
      </c>
      <c r="E453" s="370" t="s">
        <v>2713</v>
      </c>
      <c r="F453" s="197" t="s">
        <v>421</v>
      </c>
      <c r="G453" s="64" t="s">
        <v>470</v>
      </c>
      <c r="H453" s="87" t="s">
        <v>1290</v>
      </c>
      <c r="I453" s="64">
        <v>70</v>
      </c>
      <c r="J453" s="82">
        <v>2807.6</v>
      </c>
      <c r="K453" s="427">
        <f>=I453*J453</f>
        <v>196532</v>
      </c>
      <c r="L453" s="470">
        <v>2800</v>
      </c>
      <c r="M453" s="428">
        <f>=I453*L453</f>
        <v>196000</v>
      </c>
      <c r="N453" s="82">
        <f>=K453-M453</f>
        <v>532</v>
      </c>
      <c r="O453" s="64">
        <v>1.5</v>
      </c>
      <c r="P453" s="64">
        <f>=I453*O453*ROUNDUP((A453-B453)/30,0)</f>
        <v>105</v>
      </c>
      <c r="Q453" s="62" t="s"/>
      <c r="R453" s="62" t="s"/>
    </row>
    <row r="454" spans="1:18" ht="15.75" customHeight="true">
      <c r="A454" s="80">
        <v>46115</v>
      </c>
      <c r="B454" s="460">
        <v>46112</v>
      </c>
      <c r="C454" s="80" t="s">
        <v>213</v>
      </c>
      <c r="D454" s="64" t="s">
        <v>156</v>
      </c>
      <c r="E454" s="370" t="s">
        <v>2714</v>
      </c>
      <c r="F454" s="197" t="s">
        <v>421</v>
      </c>
      <c r="G454" s="64" t="s">
        <v>470</v>
      </c>
      <c r="H454" s="87" t="s">
        <v>1292</v>
      </c>
      <c r="I454" s="64">
        <v>30</v>
      </c>
      <c r="J454" s="82">
        <v>3228.44</v>
      </c>
      <c r="K454" s="427">
        <f>=I454*J454</f>
        <v>96853.2</v>
      </c>
      <c r="L454" s="470">
        <v>3220</v>
      </c>
      <c r="M454" s="428">
        <f>=I454*L454</f>
        <v>96600</v>
      </c>
      <c r="N454" s="82">
        <f>=K454-M454</f>
        <v>253.199999999997</v>
      </c>
      <c r="O454" s="64">
        <v>1.5</v>
      </c>
      <c r="P454" s="64">
        <f>=I454*O454*ROUNDUP((A454-B454)/30,0)</f>
        <v>45</v>
      </c>
      <c r="Q454" s="62" t="s"/>
      <c r="R454" s="62" t="s"/>
    </row>
    <row r="455" spans="1:18" ht="15.75" customHeight="true">
      <c r="A455" s="80">
        <v>46115</v>
      </c>
      <c r="B455" s="460">
        <v>46104</v>
      </c>
      <c r="C455" s="80" t="s">
        <v>177</v>
      </c>
      <c r="D455" s="64" t="s">
        <v>135</v>
      </c>
      <c r="E455" s="471" t="s">
        <v>2715</v>
      </c>
      <c r="F455" s="197" t="s">
        <v>741</v>
      </c>
      <c r="G455" s="64" t="s">
        <v>422</v>
      </c>
      <c r="H455" s="64" t="s">
        <v>994</v>
      </c>
      <c r="I455" s="64">
        <v>200</v>
      </c>
      <c r="J455" s="82">
        <v>1255.25</v>
      </c>
      <c r="K455" s="427">
        <f>=I455*J455</f>
        <v>251050</v>
      </c>
      <c r="L455" s="82">
        <v>1250</v>
      </c>
      <c r="M455" s="428">
        <f>=I455*L455</f>
        <v>250000</v>
      </c>
      <c r="N455" s="82">
        <f>=K455-M455</f>
        <v>1050</v>
      </c>
      <c r="O455" s="64">
        <v>1</v>
      </c>
      <c r="P455" s="64">
        <f>=I455*O455*ROUNDUP((A455-B455)/30,0)</f>
        <v>200</v>
      </c>
      <c r="Q455" s="62" t="s"/>
      <c r="R455" s="62" t="s"/>
    </row>
    <row r="456" spans="1:18" ht="15.75" customHeight="true">
      <c r="A456" s="80">
        <v>46115</v>
      </c>
      <c r="B456" s="460">
        <v>46104</v>
      </c>
      <c r="C456" s="80" t="s">
        <v>177</v>
      </c>
      <c r="D456" s="64" t="s">
        <v>135</v>
      </c>
      <c r="E456" s="471" t="s">
        <v>2716</v>
      </c>
      <c r="F456" s="197" t="s">
        <v>741</v>
      </c>
      <c r="G456" s="64" t="s">
        <v>422</v>
      </c>
      <c r="H456" s="64" t="s">
        <v>994</v>
      </c>
      <c r="I456" s="64">
        <v>200</v>
      </c>
      <c r="J456" s="82">
        <v>1255.25</v>
      </c>
      <c r="K456" s="427">
        <f>=I456*J456</f>
        <v>251050</v>
      </c>
      <c r="L456" s="82">
        <v>1250</v>
      </c>
      <c r="M456" s="428">
        <f>=I456*L456</f>
        <v>250000</v>
      </c>
      <c r="N456" s="82">
        <f>=K456-M456</f>
        <v>1050</v>
      </c>
      <c r="O456" s="64">
        <v>1</v>
      </c>
      <c r="P456" s="64">
        <f>=I456*O456*ROUNDUP((A456-B456)/30,0)</f>
        <v>200</v>
      </c>
      <c r="Q456" s="62" t="s"/>
      <c r="R456" s="62" t="s"/>
    </row>
    <row r="457" spans="1:18" ht="15.75" customHeight="true">
      <c r="A457" s="80">
        <v>46115</v>
      </c>
      <c r="B457" s="460">
        <v>46104</v>
      </c>
      <c r="C457" s="80" t="s">
        <v>177</v>
      </c>
      <c r="D457" s="64" t="s">
        <v>135</v>
      </c>
      <c r="E457" s="94" t="s">
        <v>2717</v>
      </c>
      <c r="F457" s="197" t="s">
        <v>741</v>
      </c>
      <c r="G457" s="64" t="s">
        <v>422</v>
      </c>
      <c r="H457" s="64" t="s">
        <v>992</v>
      </c>
      <c r="I457" s="64">
        <v>100</v>
      </c>
      <c r="J457" s="82">
        <v>1004.5</v>
      </c>
      <c r="K457" s="427">
        <f>=I457*J457</f>
        <v>100450</v>
      </c>
      <c r="L457" s="82">
        <v>1000</v>
      </c>
      <c r="M457" s="428">
        <f>=I457*L457</f>
        <v>100000</v>
      </c>
      <c r="N457" s="82">
        <f>=K457-M457</f>
        <v>450</v>
      </c>
      <c r="O457" s="64">
        <v>1</v>
      </c>
      <c r="P457" s="64">
        <f>=I457*O457*ROUNDUP((A457-B457)/30,0)</f>
        <v>100</v>
      </c>
      <c r="Q457" s="62" t="s"/>
      <c r="R457" s="62" t="s"/>
    </row>
    <row r="458" spans="1:18" ht="15.75" customHeight="true">
      <c r="A458" s="80">
        <v>46115</v>
      </c>
      <c r="B458" s="426">
        <v>46053</v>
      </c>
      <c r="C458" s="64" t="s">
        <v>108</v>
      </c>
      <c r="D458" s="64" t="s">
        <v>74</v>
      </c>
      <c r="E458" s="94" t="s">
        <v>2718</v>
      </c>
      <c r="F458" s="197" t="s">
        <v>428</v>
      </c>
      <c r="G458" s="64" t="s">
        <v>470</v>
      </c>
      <c r="H458" s="64" t="s">
        <v>733</v>
      </c>
      <c r="I458" s="64">
        <v>400</v>
      </c>
      <c r="J458" s="82">
        <v>953</v>
      </c>
      <c r="K458" s="427">
        <f>=I458*J458</f>
        <v>381200</v>
      </c>
      <c r="L458" s="82">
        <v>938</v>
      </c>
      <c r="M458" s="428">
        <f>=I458*L458</f>
        <v>375200</v>
      </c>
      <c r="N458" s="82">
        <f>=K458-M458</f>
        <v>6000</v>
      </c>
      <c r="O458" s="64">
        <v>0</v>
      </c>
      <c r="P458" s="64">
        <f>=I458*O458*ROUNDUP((A458-B458)/30,0)</f>
        <v>0</v>
      </c>
      <c r="Q458" s="62" t="s"/>
      <c r="R458" s="62" t="s"/>
    </row>
    <row r="459" spans="1:18" ht="15.75" customHeight="true">
      <c r="A459" s="80">
        <v>46119</v>
      </c>
      <c r="B459" s="460">
        <v>46105</v>
      </c>
      <c r="C459" s="80" t="s">
        <v>185</v>
      </c>
      <c r="D459" s="64" t="s">
        <v>156</v>
      </c>
      <c r="E459" s="94" t="s">
        <v>2719</v>
      </c>
      <c r="F459" s="197" t="s">
        <v>421</v>
      </c>
      <c r="G459" s="64" t="s">
        <v>470</v>
      </c>
      <c r="H459" s="87" t="s">
        <v>1015</v>
      </c>
      <c r="I459" s="64">
        <v>40</v>
      </c>
      <c r="J459" s="82">
        <v>4017</v>
      </c>
      <c r="K459" s="427">
        <f>=I459*J459</f>
        <v>160680</v>
      </c>
      <c r="L459" s="82">
        <v>4000</v>
      </c>
      <c r="M459" s="428">
        <f>=I459*L459</f>
        <v>160000</v>
      </c>
      <c r="N459" s="82">
        <f>=K459-M459</f>
        <v>680</v>
      </c>
      <c r="O459" s="64">
        <v>1.5</v>
      </c>
      <c r="P459" s="64">
        <f>=I459*O459*ROUNDUP((A459-B459)/30,0)</f>
        <v>60</v>
      </c>
      <c r="Q459" s="62" t="s"/>
      <c r="R459" s="62" t="s"/>
    </row>
    <row r="460" spans="1:18" ht="15.75" customHeight="true">
      <c r="A460" s="80">
        <v>46119</v>
      </c>
      <c r="B460" s="460">
        <v>46105</v>
      </c>
      <c r="C460" s="80" t="s">
        <v>185</v>
      </c>
      <c r="D460" s="64" t="s">
        <v>156</v>
      </c>
      <c r="E460" s="94" t="s">
        <v>2720</v>
      </c>
      <c r="F460" s="197" t="s">
        <v>421</v>
      </c>
      <c r="G460" s="64" t="s">
        <v>470</v>
      </c>
      <c r="H460" s="87" t="s">
        <v>1015</v>
      </c>
      <c r="I460" s="64">
        <v>40</v>
      </c>
      <c r="J460" s="82">
        <v>4017</v>
      </c>
      <c r="K460" s="427">
        <f>=I460*J460</f>
        <v>160680</v>
      </c>
      <c r="L460" s="82">
        <v>4000</v>
      </c>
      <c r="M460" s="428">
        <f>=I460*L460</f>
        <v>160000</v>
      </c>
      <c r="N460" s="82">
        <f>=K460-M460</f>
        <v>680</v>
      </c>
      <c r="O460" s="64">
        <v>1.5</v>
      </c>
      <c r="P460" s="64">
        <f>=I460*O460*ROUNDUP((A460-B460)/30,0)</f>
        <v>60</v>
      </c>
      <c r="Q460" s="62" t="s"/>
      <c r="R460" s="62" t="s"/>
    </row>
    <row r="461" spans="1:18" ht="15.75" customHeight="true">
      <c r="A461" s="110">
        <v>46119</v>
      </c>
      <c r="B461" s="461">
        <v>46105</v>
      </c>
      <c r="C461" s="110" t="s">
        <v>185</v>
      </c>
      <c r="D461" s="83" t="s">
        <v>156</v>
      </c>
      <c r="E461" s="121" t="s">
        <v>2721</v>
      </c>
      <c r="F461" s="228" t="s">
        <v>421</v>
      </c>
      <c r="G461" s="83" t="s">
        <v>470</v>
      </c>
      <c r="H461" s="258" t="s">
        <v>1015</v>
      </c>
      <c r="I461" s="83">
        <v>20</v>
      </c>
      <c r="J461" s="84">
        <v>4017</v>
      </c>
      <c r="K461" s="439">
        <f>=I461*J461</f>
        <v>80340</v>
      </c>
      <c r="L461" s="84">
        <v>4000</v>
      </c>
      <c r="M461" s="454">
        <f>=I461*L461</f>
        <v>80000</v>
      </c>
      <c r="N461" s="84">
        <f>=K461-M461</f>
        <v>340</v>
      </c>
      <c r="O461" s="83">
        <v>1.5</v>
      </c>
      <c r="P461" s="83">
        <f>=I461*O461*ROUNDUP((A461-B461)/30,0)</f>
        <v>30</v>
      </c>
      <c r="Q461" s="62" t="s"/>
      <c r="R461" s="62" t="s"/>
    </row>
    <row r="462" spans="1:18" ht="15.75" customHeight="true">
      <c r="A462" s="80">
        <v>46119</v>
      </c>
      <c r="B462" s="460">
        <v>46100</v>
      </c>
      <c r="C462" s="80" t="s">
        <v>157</v>
      </c>
      <c r="D462" s="64" t="s">
        <v>156</v>
      </c>
      <c r="E462" s="94" t="s">
        <v>2722</v>
      </c>
      <c r="F462" s="197" t="s">
        <v>421</v>
      </c>
      <c r="G462" s="64" t="s">
        <v>470</v>
      </c>
      <c r="H462" s="64" t="s">
        <v>914</v>
      </c>
      <c r="I462" s="64">
        <v>30</v>
      </c>
      <c r="J462" s="82">
        <v>5981.75</v>
      </c>
      <c r="K462" s="427">
        <f>=I462*J462</f>
        <v>179452.5</v>
      </c>
      <c r="L462" s="82">
        <v>5950</v>
      </c>
      <c r="M462" s="428">
        <f>=I462*L462</f>
        <v>178500</v>
      </c>
      <c r="N462" s="82">
        <f>=K462-M462</f>
        <v>952.5</v>
      </c>
      <c r="O462" s="64">
        <v>1.5</v>
      </c>
      <c r="P462" s="64">
        <f>=I462*O462*ROUNDUP((A462-B462)/30,0)</f>
        <v>45</v>
      </c>
      <c r="Q462" s="62" t="s"/>
      <c r="R462" s="62" t="s"/>
    </row>
    <row r="463" spans="1:18" ht="15.75" customHeight="true">
      <c r="A463" s="80">
        <v>46119</v>
      </c>
      <c r="B463" s="426">
        <v>45749</v>
      </c>
      <c r="C463" s="64" t="s">
        <v>57</v>
      </c>
      <c r="D463" s="64" t="s">
        <v>56</v>
      </c>
      <c r="E463" s="94" t="s">
        <v>2723</v>
      </c>
      <c r="F463" s="197" t="s">
        <v>428</v>
      </c>
      <c r="G463" s="64" t="s">
        <v>422</v>
      </c>
      <c r="H463" s="64" t="s">
        <v>467</v>
      </c>
      <c r="I463" s="64">
        <v>610</v>
      </c>
      <c r="J463" s="82">
        <v>917.91</v>
      </c>
      <c r="K463" s="427">
        <f>=I463*J463</f>
        <v>559925.1</v>
      </c>
      <c r="L463" s="82">
        <v>840</v>
      </c>
      <c r="M463" s="428">
        <f>=I463*L463</f>
        <v>512400</v>
      </c>
      <c r="N463" s="82">
        <f>=K463-M463</f>
        <v>47525.1</v>
      </c>
      <c r="O463" s="64">
        <v>0</v>
      </c>
      <c r="P463" s="64">
        <f>=I463*O463*ROUNDUP((A463-B463)/30,0)</f>
        <v>0</v>
      </c>
      <c r="Q463" s="62" t="s"/>
      <c r="R463" s="62" t="s"/>
    </row>
    <row r="464" spans="1:18" ht="15.75" customHeight="true">
      <c r="A464" s="80">
        <v>46119</v>
      </c>
      <c r="B464" s="426">
        <v>46104</v>
      </c>
      <c r="C464" s="64" t="s">
        <v>160</v>
      </c>
      <c r="D464" s="64" t="s">
        <v>159</v>
      </c>
      <c r="E464" s="94" t="s">
        <v>2724</v>
      </c>
      <c r="F464" s="197" t="s">
        <v>741</v>
      </c>
      <c r="G464" s="64" t="s">
        <v>422</v>
      </c>
      <c r="H464" s="259" t="s">
        <v>996</v>
      </c>
      <c r="I464" s="64">
        <v>5</v>
      </c>
      <c r="J464" s="82">
        <v>1206.3</v>
      </c>
      <c r="K464" s="427">
        <f>=I464*J464</f>
        <v>6031.5</v>
      </c>
      <c r="L464" s="82">
        <v>1200</v>
      </c>
      <c r="M464" s="428">
        <f>=I464*L464</f>
        <v>6000</v>
      </c>
      <c r="N464" s="82">
        <f>=K464-M464</f>
        <v>31.5</v>
      </c>
      <c r="O464" s="64">
        <v>1</v>
      </c>
      <c r="P464" s="64">
        <f>=I464*O464*ROUNDUP((A464-B464)/30,0)</f>
        <v>5</v>
      </c>
      <c r="Q464" s="62" t="s"/>
      <c r="R464" s="62" t="s"/>
    </row>
    <row r="465" spans="1:18" ht="15.75" customHeight="true">
      <c r="A465" s="80">
        <v>46119</v>
      </c>
      <c r="B465" s="426">
        <v>46104</v>
      </c>
      <c r="C465" s="64" t="s">
        <v>160</v>
      </c>
      <c r="D465" s="64" t="s">
        <v>159</v>
      </c>
      <c r="E465" s="94" t="s">
        <v>2725</v>
      </c>
      <c r="F465" s="197" t="s">
        <v>741</v>
      </c>
      <c r="G465" s="64" t="s">
        <v>422</v>
      </c>
      <c r="H465" s="259" t="s">
        <v>998</v>
      </c>
      <c r="I465" s="64">
        <v>5</v>
      </c>
      <c r="J465" s="82">
        <v>1206.3</v>
      </c>
      <c r="K465" s="427">
        <f>=I465*J465</f>
        <v>6031.5</v>
      </c>
      <c r="L465" s="82">
        <v>1200</v>
      </c>
      <c r="M465" s="428">
        <f>=I465*L465</f>
        <v>6000</v>
      </c>
      <c r="N465" s="82">
        <f>=K465-M465</f>
        <v>31.5</v>
      </c>
      <c r="O465" s="64">
        <v>1</v>
      </c>
      <c r="P465" s="64">
        <f>=I465*O465*ROUNDUP((A465-B465)/30,0)</f>
        <v>5</v>
      </c>
      <c r="Q465" s="62" t="s"/>
      <c r="R465" s="62" t="s"/>
    </row>
    <row r="466" spans="1:18" ht="15.75" customHeight="true">
      <c r="A466" s="80">
        <v>46115</v>
      </c>
      <c r="B466" s="426">
        <v>46056</v>
      </c>
      <c r="C466" s="64" t="s">
        <v>110</v>
      </c>
      <c r="D466" s="64" t="s">
        <v>109</v>
      </c>
      <c r="E466" s="64" t="s"/>
      <c r="F466" s="197" t="s">
        <v>804</v>
      </c>
      <c r="G466" s="64" t="s">
        <v>429</v>
      </c>
      <c r="H466" s="64" t="s">
        <v>805</v>
      </c>
      <c r="I466" s="64">
        <v>2000</v>
      </c>
      <c r="J466" s="82">
        <v>31.47</v>
      </c>
      <c r="K466" s="427">
        <f>=I466*J466</f>
        <v>62940</v>
      </c>
      <c r="L466" s="82">
        <v>31</v>
      </c>
      <c r="M466" s="428">
        <f>=I466*L466</f>
        <v>62000</v>
      </c>
      <c r="N466" s="82">
        <f>=K466-M466</f>
        <v>940</v>
      </c>
      <c r="O466" s="64">
        <v>0</v>
      </c>
      <c r="P466" s="64">
        <f>=I466*O466*ROUNDUP((A466-B466)/30,0)</f>
        <v>0</v>
      </c>
      <c r="Q466" s="62" t="s"/>
      <c r="R466" s="62" t="s"/>
    </row>
    <row r="467" spans="1:18" ht="15.75" customHeight="true">
      <c r="A467" s="80">
        <v>46115</v>
      </c>
      <c r="B467" s="426">
        <v>46056</v>
      </c>
      <c r="C467" s="64" t="s">
        <v>110</v>
      </c>
      <c r="D467" s="64" t="s">
        <v>109</v>
      </c>
      <c r="E467" s="64" t="s"/>
      <c r="F467" s="197" t="s">
        <v>804</v>
      </c>
      <c r="G467" s="64" t="s">
        <v>429</v>
      </c>
      <c r="H467" s="64" t="s">
        <v>807</v>
      </c>
      <c r="I467" s="64">
        <v>12000</v>
      </c>
      <c r="J467" s="82">
        <v>17.26</v>
      </c>
      <c r="K467" s="427">
        <f>=I467*J467</f>
        <v>207120</v>
      </c>
      <c r="L467" s="82">
        <v>17</v>
      </c>
      <c r="M467" s="428">
        <f>=I467*L467</f>
        <v>204000</v>
      </c>
      <c r="N467" s="82">
        <f>=K467-M467</f>
        <v>3120.00000000003</v>
      </c>
      <c r="O467" s="64">
        <v>0</v>
      </c>
      <c r="P467" s="64">
        <f>=I467*O467*ROUNDUP((A467-B467)/30,0)</f>
        <v>0</v>
      </c>
      <c r="Q467" s="62" t="s"/>
      <c r="R467" s="62" t="s"/>
    </row>
    <row r="468" spans="1:18" ht="15.75" customHeight="true">
      <c r="A468" s="80">
        <v>46115</v>
      </c>
      <c r="B468" s="426">
        <v>46056</v>
      </c>
      <c r="C468" s="64" t="s">
        <v>110</v>
      </c>
      <c r="D468" s="64" t="s">
        <v>109</v>
      </c>
      <c r="E468" s="64" t="s"/>
      <c r="F468" s="197" t="s">
        <v>804</v>
      </c>
      <c r="G468" s="64" t="s">
        <v>429</v>
      </c>
      <c r="H468" s="64" t="s">
        <v>809</v>
      </c>
      <c r="I468" s="64">
        <v>11000</v>
      </c>
      <c r="J468" s="82">
        <v>17.26</v>
      </c>
      <c r="K468" s="427">
        <f>=I468*J468</f>
        <v>189860</v>
      </c>
      <c r="L468" s="82">
        <v>17</v>
      </c>
      <c r="M468" s="428">
        <f>=I468*L468</f>
        <v>187000</v>
      </c>
      <c r="N468" s="82">
        <f>=K468-M468</f>
        <v>2860.00000000003</v>
      </c>
      <c r="O468" s="64">
        <v>0</v>
      </c>
      <c r="P468" s="64">
        <f>=I468*O468*ROUNDUP((A468-B468)/30,0)</f>
        <v>0</v>
      </c>
      <c r="Q468" s="62" t="s"/>
      <c r="R468" s="62" t="s"/>
    </row>
    <row r="469" spans="1:18" ht="15.75" customHeight="true">
      <c r="A469" s="80">
        <v>46115</v>
      </c>
      <c r="B469" s="426">
        <v>46056</v>
      </c>
      <c r="C469" s="64" t="s">
        <v>110</v>
      </c>
      <c r="D469" s="64" t="s">
        <v>109</v>
      </c>
      <c r="E469" s="64" t="s"/>
      <c r="F469" s="197" t="s">
        <v>804</v>
      </c>
      <c r="G469" s="64" t="s">
        <v>429</v>
      </c>
      <c r="H469" s="64" t="s">
        <v>811</v>
      </c>
      <c r="I469" s="64">
        <v>5000</v>
      </c>
      <c r="J469" s="82">
        <v>17.26</v>
      </c>
      <c r="K469" s="427">
        <f>=I469*J469</f>
        <v>86300</v>
      </c>
      <c r="L469" s="82">
        <v>17</v>
      </c>
      <c r="M469" s="428">
        <f>=I469*L469</f>
        <v>85000</v>
      </c>
      <c r="N469" s="82">
        <f>=K469-M469</f>
        <v>1300.00000000001</v>
      </c>
      <c r="O469" s="64">
        <v>0</v>
      </c>
      <c r="P469" s="64">
        <f>=I469*O469*ROUNDUP((A469-B469)/30,0)</f>
        <v>0</v>
      </c>
      <c r="Q469" s="62" t="s"/>
      <c r="R469" s="62" t="s"/>
    </row>
    <row r="470" spans="1:18" ht="15.75" customHeight="true">
      <c r="A470" s="80">
        <v>46115</v>
      </c>
      <c r="B470" s="426">
        <v>46056</v>
      </c>
      <c r="C470" s="64" t="s">
        <v>110</v>
      </c>
      <c r="D470" s="64" t="s">
        <v>109</v>
      </c>
      <c r="E470" s="64" t="s"/>
      <c r="F470" s="197" t="s">
        <v>804</v>
      </c>
      <c r="G470" s="64" t="s">
        <v>429</v>
      </c>
      <c r="H470" s="64" t="s">
        <v>813</v>
      </c>
      <c r="I470" s="64">
        <v>3000</v>
      </c>
      <c r="J470" s="82">
        <v>17.26</v>
      </c>
      <c r="K470" s="427">
        <f>=I470*J470</f>
        <v>51780</v>
      </c>
      <c r="L470" s="82">
        <v>17</v>
      </c>
      <c r="M470" s="428">
        <f>=I470*L470</f>
        <v>51000</v>
      </c>
      <c r="N470" s="82">
        <f>=K470-M470</f>
        <v>780.000000000007</v>
      </c>
      <c r="O470" s="64">
        <v>0</v>
      </c>
      <c r="P470" s="64">
        <f>=I470*O470*ROUNDUP((A470-B470)/30,0)</f>
        <v>0</v>
      </c>
      <c r="Q470" s="62" t="s"/>
      <c r="R470" s="62" t="s"/>
    </row>
    <row r="471" spans="1:18" ht="15.75" customHeight="true">
      <c r="A471" s="80">
        <v>46115</v>
      </c>
      <c r="B471" s="426">
        <v>46056</v>
      </c>
      <c r="C471" s="64" t="s">
        <v>110</v>
      </c>
      <c r="D471" s="64" t="s">
        <v>109</v>
      </c>
      <c r="E471" s="64" t="s"/>
      <c r="F471" s="197" t="s">
        <v>804</v>
      </c>
      <c r="G471" s="64" t="s">
        <v>429</v>
      </c>
      <c r="H471" s="64" t="s">
        <v>815</v>
      </c>
      <c r="I471" s="64">
        <v>2100</v>
      </c>
      <c r="J471" s="82">
        <v>31.47</v>
      </c>
      <c r="K471" s="427">
        <f>=I471*J471</f>
        <v>66087</v>
      </c>
      <c r="L471" s="82">
        <v>31</v>
      </c>
      <c r="M471" s="428">
        <f>=I471*L471</f>
        <v>65100</v>
      </c>
      <c r="N471" s="82">
        <f>=K471-M471</f>
        <v>987</v>
      </c>
      <c r="O471" s="64">
        <v>0</v>
      </c>
      <c r="P471" s="64">
        <f>=I471*O471*ROUNDUP((A471-B471)/30,0)</f>
        <v>0</v>
      </c>
      <c r="Q471" s="62" t="s"/>
      <c r="R471" s="62" t="s"/>
    </row>
    <row r="472" spans="1:18" ht="15.75" customHeight="true">
      <c r="A472" s="80">
        <v>46120</v>
      </c>
      <c r="B472" s="426">
        <v>46101</v>
      </c>
      <c r="C472" s="64" t="s">
        <v>173</v>
      </c>
      <c r="D472" s="64" t="s">
        <v>172</v>
      </c>
      <c r="E472" s="64" t="s"/>
      <c r="F472" s="197" t="s">
        <v>864</v>
      </c>
      <c r="G472" s="259" t="s">
        <v>422</v>
      </c>
      <c r="H472" s="259" t="s">
        <v>984</v>
      </c>
      <c r="I472" s="249">
        <v>100</v>
      </c>
      <c r="J472" s="82">
        <v>1961.25</v>
      </c>
      <c r="K472" s="427">
        <f>=I472*J472</f>
        <v>196125</v>
      </c>
      <c r="L472" s="82">
        <v>1950</v>
      </c>
      <c r="M472" s="428">
        <f>=I472*L472</f>
        <v>195000</v>
      </c>
      <c r="N472" s="82">
        <f>=K472-M472</f>
        <v>1125</v>
      </c>
      <c r="O472" s="64">
        <v>1</v>
      </c>
      <c r="P472" s="64">
        <f>=I472*O472*ROUNDUP((A472-B472)/30,0)</f>
        <v>100</v>
      </c>
      <c r="Q472" s="62" t="s"/>
      <c r="R472" s="62" t="s"/>
    </row>
    <row r="473" spans="1:18" ht="15.75" customHeight="true">
      <c r="A473" s="80">
        <v>46120</v>
      </c>
      <c r="B473" s="426">
        <v>46101</v>
      </c>
      <c r="C473" s="64" t="s">
        <v>173</v>
      </c>
      <c r="D473" s="64" t="s">
        <v>172</v>
      </c>
      <c r="E473" s="64" t="s"/>
      <c r="F473" s="197" t="s">
        <v>864</v>
      </c>
      <c r="G473" s="259" t="s">
        <v>422</v>
      </c>
      <c r="H473" s="259" t="s">
        <v>986</v>
      </c>
      <c r="I473" s="249">
        <v>100</v>
      </c>
      <c r="J473" s="82">
        <v>1961.25</v>
      </c>
      <c r="K473" s="427">
        <f>=I473*J473</f>
        <v>196125</v>
      </c>
      <c r="L473" s="82">
        <v>1950</v>
      </c>
      <c r="M473" s="428">
        <f>=I473*L473</f>
        <v>195000</v>
      </c>
      <c r="N473" s="82">
        <f>=K473-M473</f>
        <v>1125</v>
      </c>
      <c r="O473" s="64">
        <v>1</v>
      </c>
      <c r="P473" s="64">
        <f>=I473*O473*ROUNDUP((A473-B473)/30,0)</f>
        <v>100</v>
      </c>
      <c r="Q473" s="62" t="s"/>
      <c r="R473" s="62" t="s"/>
    </row>
    <row r="474" spans="1:18" ht="15.75" customHeight="true">
      <c r="A474" s="80">
        <v>46120</v>
      </c>
      <c r="B474" s="426">
        <v>46101</v>
      </c>
      <c r="C474" s="64" t="s">
        <v>173</v>
      </c>
      <c r="D474" s="64" t="s">
        <v>172</v>
      </c>
      <c r="E474" s="64" t="s"/>
      <c r="F474" s="197" t="s">
        <v>864</v>
      </c>
      <c r="G474" s="259" t="s">
        <v>422</v>
      </c>
      <c r="H474" s="259" t="s">
        <v>988</v>
      </c>
      <c r="I474" s="249">
        <v>100</v>
      </c>
      <c r="J474" s="82">
        <v>1961.25</v>
      </c>
      <c r="K474" s="427">
        <f>=I474*J474</f>
        <v>196125</v>
      </c>
      <c r="L474" s="82">
        <v>1950</v>
      </c>
      <c r="M474" s="428">
        <f>=I474*L474</f>
        <v>195000</v>
      </c>
      <c r="N474" s="82">
        <f>=K474-M474</f>
        <v>1125</v>
      </c>
      <c r="O474" s="64">
        <v>1</v>
      </c>
      <c r="P474" s="64">
        <f>=I474*O474*ROUNDUP((A474-B474)/30,0)</f>
        <v>100</v>
      </c>
      <c r="Q474" s="62" t="s"/>
      <c r="R474" s="62" t="s"/>
    </row>
    <row r="475" spans="1:18" ht="15.75" customHeight="true">
      <c r="A475" s="80">
        <v>46120</v>
      </c>
      <c r="B475" s="426">
        <v>46058</v>
      </c>
      <c r="C475" s="64" t="s">
        <v>118</v>
      </c>
      <c r="D475" s="64" t="s">
        <v>116</v>
      </c>
      <c r="E475" s="94" t="s">
        <v>2726</v>
      </c>
      <c r="F475" s="197" t="s">
        <v>804</v>
      </c>
      <c r="G475" s="64" t="s">
        <v>429</v>
      </c>
      <c r="H475" s="64" t="s">
        <v>824</v>
      </c>
      <c r="I475" s="64">
        <v>300</v>
      </c>
      <c r="J475" s="82">
        <v>116.88</v>
      </c>
      <c r="K475" s="427">
        <f>=I475*J475</f>
        <v>35064</v>
      </c>
      <c r="L475" s="82">
        <v>115</v>
      </c>
      <c r="M475" s="428">
        <f>=I475*L475</f>
        <v>34500</v>
      </c>
      <c r="N475" s="82">
        <f>=K475-M475</f>
        <v>564</v>
      </c>
      <c r="O475" s="64">
        <v>0</v>
      </c>
      <c r="P475" s="64">
        <f>=I475*O475*ROUNDUP((A475-B475)/30,0)</f>
        <v>0</v>
      </c>
      <c r="Q475" s="62" t="s"/>
      <c r="R475" s="62" t="s"/>
    </row>
    <row r="476" spans="1:18" ht="15.75" customHeight="true">
      <c r="A476" s="80">
        <v>46120</v>
      </c>
      <c r="B476" s="426">
        <v>46058</v>
      </c>
      <c r="C476" s="64" t="s">
        <v>118</v>
      </c>
      <c r="D476" s="64" t="s">
        <v>116</v>
      </c>
      <c r="E476" s="94" t="s">
        <v>2727</v>
      </c>
      <c r="F476" s="197" t="s">
        <v>804</v>
      </c>
      <c r="G476" s="64" t="s">
        <v>429</v>
      </c>
      <c r="H476" s="64" t="s">
        <v>828</v>
      </c>
      <c r="I476" s="249">
        <v>300</v>
      </c>
      <c r="J476" s="82">
        <v>161.81</v>
      </c>
      <c r="K476" s="427">
        <f>=I476*J476</f>
        <v>48543</v>
      </c>
      <c r="L476" s="82">
        <v>159.2</v>
      </c>
      <c r="M476" s="428">
        <f>=I476*L476</f>
        <v>47760</v>
      </c>
      <c r="N476" s="82">
        <f>=K476-M476</f>
        <v>783</v>
      </c>
      <c r="O476" s="64">
        <v>0</v>
      </c>
      <c r="P476" s="64">
        <f>=I476*O476*ROUNDUP((A476-B476)/30,0)</f>
        <v>0</v>
      </c>
      <c r="Q476" s="62" t="s"/>
      <c r="R476" s="62" t="s"/>
    </row>
    <row r="477" spans="1:18" s="270" customFormat="true" ht="15.75" customHeight="true">
      <c r="A477" s="80">
        <v>46120</v>
      </c>
      <c r="B477" s="426">
        <v>46061</v>
      </c>
      <c r="C477" s="64" t="s">
        <v>124</v>
      </c>
      <c r="D477" s="64" t="s">
        <v>116</v>
      </c>
      <c r="E477" s="94" t="s">
        <v>2728</v>
      </c>
      <c r="F477" s="197" t="s">
        <v>804</v>
      </c>
      <c r="G477" s="64" t="s">
        <v>429</v>
      </c>
      <c r="H477" s="64" t="s">
        <v>822</v>
      </c>
      <c r="I477" s="249">
        <v>200</v>
      </c>
      <c r="J477" s="82">
        <v>57.89</v>
      </c>
      <c r="K477" s="427">
        <f>=I477*J477</f>
        <v>11578</v>
      </c>
      <c r="L477" s="82">
        <v>57</v>
      </c>
      <c r="M477" s="428">
        <f>=I477*L477</f>
        <v>11400</v>
      </c>
      <c r="N477" s="82">
        <f>=K477-M477</f>
        <v>178</v>
      </c>
      <c r="O477" s="64">
        <v>0</v>
      </c>
      <c r="P477" s="64">
        <f>=I477*O477*ROUNDUP((A477-B477)/30,0)</f>
        <v>0</v>
      </c>
      <c r="Q477" s="64" t="s"/>
      <c r="R477" s="64" t="s"/>
    </row>
    <row r="478" spans="1:18" ht="15.75" customHeight="true">
      <c r="A478" s="80">
        <v>46120</v>
      </c>
      <c r="B478" s="460">
        <v>46106</v>
      </c>
      <c r="C478" s="80" t="s">
        <v>190</v>
      </c>
      <c r="D478" s="64" t="s">
        <v>189</v>
      </c>
      <c r="E478" s="94" t="s">
        <v>2729</v>
      </c>
      <c r="F478" s="197" t="s">
        <v>428</v>
      </c>
      <c r="G478" s="64" t="s">
        <v>422</v>
      </c>
      <c r="H478" s="64" t="s">
        <v>1038</v>
      </c>
      <c r="I478" s="64">
        <v>80</v>
      </c>
      <c r="J478" s="82">
        <v>599.18</v>
      </c>
      <c r="K478" s="427">
        <f>=I478*J478</f>
        <v>47934.4</v>
      </c>
      <c r="L478" s="82">
        <v>595</v>
      </c>
      <c r="M478" s="428">
        <f>=I478*L478</f>
        <v>47600</v>
      </c>
      <c r="N478" s="82">
        <f>=K478-M478</f>
        <v>334.399999999994</v>
      </c>
      <c r="O478" s="64">
        <v>1</v>
      </c>
      <c r="P478" s="64">
        <f>=I478*O478*ROUNDUP((A478-B478)/30,0)</f>
        <v>80</v>
      </c>
      <c r="Q478" s="62" t="s"/>
      <c r="R478" s="62" t="s"/>
    </row>
    <row r="479" spans="1:18" ht="15.75" customHeight="true">
      <c r="A479" s="80">
        <v>46120</v>
      </c>
      <c r="B479" s="460">
        <v>46106</v>
      </c>
      <c r="C479" s="80" t="s">
        <v>190</v>
      </c>
      <c r="D479" s="64" t="s">
        <v>189</v>
      </c>
      <c r="E479" s="94" t="s">
        <v>2730</v>
      </c>
      <c r="F479" s="197" t="s">
        <v>428</v>
      </c>
      <c r="G479" s="64" t="s">
        <v>422</v>
      </c>
      <c r="H479" s="64" t="s">
        <v>884</v>
      </c>
      <c r="I479" s="64">
        <v>70</v>
      </c>
      <c r="J479" s="82">
        <v>739.81</v>
      </c>
      <c r="K479" s="427">
        <f>=I479*J479</f>
        <v>51786.7</v>
      </c>
      <c r="L479" s="82">
        <v>735</v>
      </c>
      <c r="M479" s="428">
        <f>=I479*L479</f>
        <v>51450</v>
      </c>
      <c r="N479" s="82">
        <f>=K479-M479</f>
        <v>336.699999999997</v>
      </c>
      <c r="O479" s="64">
        <v>1</v>
      </c>
      <c r="P479" s="64">
        <f>=I479*O479*ROUNDUP((A479-B479)/30,0)</f>
        <v>70</v>
      </c>
      <c r="Q479" s="62" t="s"/>
      <c r="R479" s="62" t="s"/>
    </row>
    <row r="480" spans="1:18" ht="15.75" customHeight="true">
      <c r="A480" s="80">
        <v>46120</v>
      </c>
      <c r="B480" s="460">
        <v>46106</v>
      </c>
      <c r="C480" s="80" t="s">
        <v>190</v>
      </c>
      <c r="D480" s="64" t="s">
        <v>189</v>
      </c>
      <c r="E480" s="64" t="s"/>
      <c r="F480" s="197" t="s">
        <v>428</v>
      </c>
      <c r="G480" s="64" t="s">
        <v>422</v>
      </c>
      <c r="H480" s="64" t="s">
        <v>612</v>
      </c>
      <c r="I480" s="64">
        <v>60</v>
      </c>
      <c r="J480" s="82">
        <v>739.81</v>
      </c>
      <c r="K480" s="427">
        <f>=I480*J480</f>
        <v>44388.6</v>
      </c>
      <c r="L480" s="82">
        <v>735</v>
      </c>
      <c r="M480" s="428">
        <f>=I480*L480</f>
        <v>44100</v>
      </c>
      <c r="N480" s="82">
        <f>=K480-M480</f>
        <v>288.599999999999</v>
      </c>
      <c r="O480" s="64">
        <v>1</v>
      </c>
      <c r="P480" s="64">
        <f>=I480*O480*ROUNDUP((A480-B480)/30,0)</f>
        <v>60</v>
      </c>
      <c r="Q480" s="62" t="s"/>
      <c r="R480" s="62" t="s"/>
    </row>
    <row r="481" spans="1:18" ht="15.75" customHeight="true">
      <c r="A481" s="80">
        <v>46120</v>
      </c>
      <c r="B481" s="460">
        <v>46106</v>
      </c>
      <c r="C481" s="80" t="s">
        <v>190</v>
      </c>
      <c r="D481" s="64" t="s">
        <v>189</v>
      </c>
      <c r="E481" s="64" t="s"/>
      <c r="F481" s="197" t="s">
        <v>428</v>
      </c>
      <c r="G481" s="64" t="s">
        <v>422</v>
      </c>
      <c r="H481" s="64" t="s">
        <v>886</v>
      </c>
      <c r="I481" s="64">
        <v>60</v>
      </c>
      <c r="J481" s="82">
        <v>739.81</v>
      </c>
      <c r="K481" s="427">
        <f>=I481*J481</f>
        <v>44388.6</v>
      </c>
      <c r="L481" s="82">
        <v>735</v>
      </c>
      <c r="M481" s="428">
        <f>=I481*L481</f>
        <v>44100</v>
      </c>
      <c r="N481" s="82">
        <f>=K481-M481</f>
        <v>288.599999999999</v>
      </c>
      <c r="O481" s="64">
        <v>1</v>
      </c>
      <c r="P481" s="64">
        <f>=I481*O481*ROUNDUP((A481-B481)/30,0)</f>
        <v>60</v>
      </c>
      <c r="Q481" s="62" t="s"/>
      <c r="R481" s="62" t="s"/>
    </row>
    <row r="482" spans="1:18" ht="15.75" customHeight="true">
      <c r="A482" s="80">
        <v>46120</v>
      </c>
      <c r="B482" s="460">
        <v>46109</v>
      </c>
      <c r="C482" s="80" t="s">
        <v>206</v>
      </c>
      <c r="D482" s="64" t="s">
        <v>189</v>
      </c>
      <c r="E482" s="94" t="s">
        <v>2731</v>
      </c>
      <c r="F482" s="197" t="s">
        <v>428</v>
      </c>
      <c r="G482" s="64" t="s">
        <v>422</v>
      </c>
      <c r="H482" s="140" t="s">
        <v>1072</v>
      </c>
      <c r="I482" s="140">
        <v>7</v>
      </c>
      <c r="J482" s="82">
        <v>4899.07</v>
      </c>
      <c r="K482" s="427">
        <f>=I482*J482</f>
        <v>34293.49</v>
      </c>
      <c r="L482" s="472">
        <v>4880</v>
      </c>
      <c r="M482" s="428">
        <f>=I482*L482</f>
        <v>34160</v>
      </c>
      <c r="N482" s="82">
        <f>=K482-M482</f>
        <v>133.489999999998</v>
      </c>
      <c r="O482" s="64">
        <v>1</v>
      </c>
      <c r="P482" s="64">
        <f>=I482*O482*ROUNDUP((A482-B482)/30,0)</f>
        <v>7</v>
      </c>
      <c r="Q482" s="62" t="s"/>
      <c r="R482" s="62" t="s"/>
    </row>
    <row r="483" spans="1:18" ht="15.75" customHeight="true">
      <c r="A483" s="80">
        <v>46120</v>
      </c>
      <c r="B483" s="460">
        <v>46109</v>
      </c>
      <c r="C483" s="80" t="s">
        <v>206</v>
      </c>
      <c r="D483" s="64" t="s">
        <v>189</v>
      </c>
      <c r="E483" s="94" t="s">
        <v>2732</v>
      </c>
      <c r="F483" s="197" t="s">
        <v>428</v>
      </c>
      <c r="G483" s="64" t="s">
        <v>422</v>
      </c>
      <c r="H483" s="140" t="s">
        <v>1074</v>
      </c>
      <c r="I483" s="140">
        <v>6</v>
      </c>
      <c r="J483" s="82">
        <v>4899.07</v>
      </c>
      <c r="K483" s="427">
        <f>=I483*J483</f>
        <v>29394.42</v>
      </c>
      <c r="L483" s="472">
        <v>4880</v>
      </c>
      <c r="M483" s="428">
        <f>=I483*L483</f>
        <v>29280</v>
      </c>
      <c r="N483" s="82">
        <f>=K483-M483</f>
        <v>114.419999999998</v>
      </c>
      <c r="O483" s="64">
        <v>1</v>
      </c>
      <c r="P483" s="64">
        <f>=I483*O483*ROUNDUP((A483-B483)/30,0)</f>
        <v>6</v>
      </c>
      <c r="Q483" s="62" t="s"/>
      <c r="R483" s="62" t="s"/>
    </row>
    <row r="484" spans="1:18" ht="15.75" customHeight="true">
      <c r="A484" s="80">
        <v>46120</v>
      </c>
      <c r="B484" s="460">
        <v>46106</v>
      </c>
      <c r="C484" s="80" t="s">
        <v>190</v>
      </c>
      <c r="D484" s="64" t="s">
        <v>189</v>
      </c>
      <c r="E484" s="94" t="s">
        <v>2733</v>
      </c>
      <c r="F484" s="197" t="s">
        <v>428</v>
      </c>
      <c r="G484" s="64" t="s">
        <v>422</v>
      </c>
      <c r="H484" s="64" t="s">
        <v>1119</v>
      </c>
      <c r="I484" s="64">
        <v>4</v>
      </c>
      <c r="J484" s="82">
        <v>9242.9</v>
      </c>
      <c r="K484" s="427">
        <f>=I484*J484</f>
        <v>36971.6</v>
      </c>
      <c r="L484" s="82">
        <v>9200</v>
      </c>
      <c r="M484" s="428">
        <f>=I484*L484</f>
        <v>36800</v>
      </c>
      <c r="N484" s="82">
        <f>=K484-M484</f>
        <v>171.599999999999</v>
      </c>
      <c r="O484" s="64">
        <v>1</v>
      </c>
      <c r="P484" s="64">
        <f>=I484*O484*ROUNDUP((A484-B484)/30,0)</f>
        <v>4</v>
      </c>
      <c r="Q484" s="62" t="s"/>
      <c r="R484" s="62" t="s"/>
    </row>
    <row r="485" spans="1:18" ht="15.75" customHeight="true">
      <c r="A485" s="80">
        <v>46120</v>
      </c>
      <c r="B485" s="460">
        <v>46107</v>
      </c>
      <c r="C485" s="80" t="s">
        <v>194</v>
      </c>
      <c r="D485" s="64" t="s">
        <v>189</v>
      </c>
      <c r="E485" s="94" t="s">
        <v>2734</v>
      </c>
      <c r="F485" s="197" t="s">
        <v>428</v>
      </c>
      <c r="G485" s="64" t="s">
        <v>422</v>
      </c>
      <c r="H485" s="140" t="s">
        <v>1129</v>
      </c>
      <c r="I485" s="64">
        <v>3</v>
      </c>
      <c r="J485" s="82">
        <v>7382.37</v>
      </c>
      <c r="K485" s="427">
        <f>=I485*J485</f>
        <v>22147.11</v>
      </c>
      <c r="L485" s="82">
        <v>7350</v>
      </c>
      <c r="M485" s="428">
        <f>=I485*L485</f>
        <v>22050</v>
      </c>
      <c r="N485" s="82">
        <f>=K485-M485</f>
        <v>97.1100000000006</v>
      </c>
      <c r="O485" s="64">
        <v>1</v>
      </c>
      <c r="P485" s="64">
        <f>=I485*O485*ROUNDUP((A485-B485)/30,0)</f>
        <v>3</v>
      </c>
      <c r="Q485" s="62" t="s"/>
      <c r="R485" s="62" t="s"/>
    </row>
    <row r="486" spans="1:18" ht="15.75" customHeight="true">
      <c r="A486" s="80">
        <v>46120</v>
      </c>
      <c r="B486" s="460">
        <v>46107</v>
      </c>
      <c r="C486" s="80" t="s">
        <v>194</v>
      </c>
      <c r="D486" s="64" t="s">
        <v>189</v>
      </c>
      <c r="E486" s="64" t="s"/>
      <c r="F486" s="197" t="s">
        <v>428</v>
      </c>
      <c r="G486" s="64" t="s">
        <v>422</v>
      </c>
      <c r="H486" s="140" t="s">
        <v>1131</v>
      </c>
      <c r="I486" s="64">
        <v>3</v>
      </c>
      <c r="J486" s="82">
        <v>3616.62</v>
      </c>
      <c r="K486" s="427">
        <f>=I486*J486</f>
        <v>10849.86</v>
      </c>
      <c r="L486" s="82">
        <v>3600</v>
      </c>
      <c r="M486" s="428">
        <f>=I486*L486</f>
        <v>10800</v>
      </c>
      <c r="N486" s="82">
        <f>=K486-M486</f>
        <v>49.8600000000006</v>
      </c>
      <c r="O486" s="64">
        <v>1</v>
      </c>
      <c r="P486" s="64">
        <f>=I486*O486*ROUNDUP((A486-B486)/30,0)</f>
        <v>3</v>
      </c>
      <c r="Q486" s="62" t="s"/>
      <c r="R486" s="62" t="s"/>
    </row>
    <row r="487" spans="1:18" ht="15.75" customHeight="true">
      <c r="A487" s="80">
        <v>46120</v>
      </c>
      <c r="B487" s="460">
        <v>46109</v>
      </c>
      <c r="C487" s="80" t="s">
        <v>206</v>
      </c>
      <c r="D487" s="64" t="s">
        <v>189</v>
      </c>
      <c r="E487" s="94" t="s">
        <v>2735</v>
      </c>
      <c r="F487" s="197" t="s">
        <v>428</v>
      </c>
      <c r="G487" s="64" t="s">
        <v>422</v>
      </c>
      <c r="H487" s="140" t="s">
        <v>1133</v>
      </c>
      <c r="I487" s="140">
        <v>3</v>
      </c>
      <c r="J487" s="82">
        <v>6825.98</v>
      </c>
      <c r="K487" s="427">
        <f>=I487*J487</f>
        <v>20477.94</v>
      </c>
      <c r="L487" s="472">
        <v>6800</v>
      </c>
      <c r="M487" s="428">
        <f>=I487*L487</f>
        <v>20400</v>
      </c>
      <c r="N487" s="82">
        <f>=K487-M487</f>
        <v>77.9399999999987</v>
      </c>
      <c r="O487" s="64">
        <v>1</v>
      </c>
      <c r="P487" s="64">
        <f>=I487*O487*ROUNDUP((A487-B487)/30,0)</f>
        <v>3</v>
      </c>
      <c r="Q487" s="62" t="s"/>
      <c r="R487" s="62" t="s"/>
    </row>
    <row r="488" spans="1:18" ht="15.75" customHeight="true">
      <c r="A488" s="80">
        <v>46120</v>
      </c>
      <c r="B488" s="460">
        <v>46109</v>
      </c>
      <c r="C488" s="80" t="s">
        <v>206</v>
      </c>
      <c r="D488" s="64" t="s">
        <v>189</v>
      </c>
      <c r="E488" s="94" t="s">
        <v>2736</v>
      </c>
      <c r="F488" s="197" t="s">
        <v>428</v>
      </c>
      <c r="G488" s="64" t="s">
        <v>422</v>
      </c>
      <c r="H488" s="140" t="s">
        <v>1135</v>
      </c>
      <c r="I488" s="140">
        <v>3</v>
      </c>
      <c r="J488" s="82">
        <v>3373.6</v>
      </c>
      <c r="K488" s="427">
        <f>=I488*J488</f>
        <v>10120.8</v>
      </c>
      <c r="L488" s="472">
        <v>3360</v>
      </c>
      <c r="M488" s="428">
        <f>=I488*L488</f>
        <v>10080</v>
      </c>
      <c r="N488" s="82">
        <f>=K488-M488</f>
        <v>40.7999999999993</v>
      </c>
      <c r="O488" s="64">
        <v>1</v>
      </c>
      <c r="P488" s="64">
        <f>=I488*O488*ROUNDUP((A488-B488)/30,0)</f>
        <v>3</v>
      </c>
      <c r="Q488" s="62" t="s"/>
      <c r="R488" s="62" t="s"/>
    </row>
    <row r="489" spans="1:18" ht="15.75" customHeight="true">
      <c r="A489" s="80">
        <v>46120</v>
      </c>
      <c r="B489" s="460">
        <v>46111</v>
      </c>
      <c r="C489" s="80" t="s">
        <v>208</v>
      </c>
      <c r="D489" s="64" t="s">
        <v>189</v>
      </c>
      <c r="E489" s="64" t="s"/>
      <c r="F489" s="197" t="s">
        <v>428</v>
      </c>
      <c r="G489" s="64" t="s">
        <v>422</v>
      </c>
      <c r="H489" s="140" t="s">
        <v>1141</v>
      </c>
      <c r="I489" s="87">
        <v>3</v>
      </c>
      <c r="J489" s="82">
        <v>1440.81</v>
      </c>
      <c r="K489" s="427">
        <f>=I489*J489</f>
        <v>4322.43</v>
      </c>
      <c r="L489" s="470">
        <v>1435</v>
      </c>
      <c r="M489" s="428">
        <f>=I489*L489</f>
        <v>4305</v>
      </c>
      <c r="N489" s="82">
        <f>=K489-M489</f>
        <v>17.4300000000003</v>
      </c>
      <c r="O489" s="64">
        <v>1</v>
      </c>
      <c r="P489" s="64">
        <f>=I489*O489*ROUNDUP((A489-B489)/30,0)</f>
        <v>3</v>
      </c>
      <c r="Q489" s="62" t="s"/>
      <c r="R489" s="62" t="s"/>
    </row>
    <row r="490" spans="1:18" ht="15.75" customHeight="true">
      <c r="A490" s="80">
        <v>46120</v>
      </c>
      <c r="B490" s="460">
        <v>46106</v>
      </c>
      <c r="C490" s="80" t="s">
        <v>190</v>
      </c>
      <c r="D490" s="64" t="s">
        <v>189</v>
      </c>
      <c r="E490" s="64" t="s"/>
      <c r="F490" s="197" t="s">
        <v>428</v>
      </c>
      <c r="G490" s="64" t="s">
        <v>422</v>
      </c>
      <c r="H490" s="64" t="s">
        <v>1145</v>
      </c>
      <c r="I490" s="64">
        <v>2</v>
      </c>
      <c r="J490" s="82">
        <v>10850.1</v>
      </c>
      <c r="K490" s="427">
        <f>=I490*J490</f>
        <v>21700.2</v>
      </c>
      <c r="L490" s="82">
        <v>10800</v>
      </c>
      <c r="M490" s="428">
        <f>=I490*L490</f>
        <v>21600</v>
      </c>
      <c r="N490" s="82">
        <f>=K490-M490</f>
        <v>100.200000000001</v>
      </c>
      <c r="O490" s="64">
        <v>1</v>
      </c>
      <c r="P490" s="64">
        <f>=I490*O490*ROUNDUP((A490-B490)/30,0)</f>
        <v>2</v>
      </c>
      <c r="Q490" s="62" t="s"/>
      <c r="R490" s="62" t="s"/>
    </row>
    <row r="491" spans="1:18" ht="15.75" customHeight="true">
      <c r="A491" s="80">
        <v>46120</v>
      </c>
      <c r="B491" s="460">
        <v>46107</v>
      </c>
      <c r="C491" s="80" t="s">
        <v>194</v>
      </c>
      <c r="D491" s="64" t="s">
        <v>189</v>
      </c>
      <c r="E491" s="64" t="s"/>
      <c r="F491" s="197" t="s">
        <v>428</v>
      </c>
      <c r="G491" s="64" t="s">
        <v>422</v>
      </c>
      <c r="H491" s="140" t="s">
        <v>1150</v>
      </c>
      <c r="I491" s="64">
        <v>2</v>
      </c>
      <c r="J491" s="82">
        <v>7382.37</v>
      </c>
      <c r="K491" s="427">
        <f>=I491*J491</f>
        <v>14764.74</v>
      </c>
      <c r="L491" s="82">
        <v>7350</v>
      </c>
      <c r="M491" s="428">
        <f>=I491*L491</f>
        <v>14700</v>
      </c>
      <c r="N491" s="82">
        <f>=K491-M491</f>
        <v>64.7399999999998</v>
      </c>
      <c r="O491" s="64">
        <v>1</v>
      </c>
      <c r="P491" s="64">
        <f>=I491*O491*ROUNDUP((A491-B491)/30,0)</f>
        <v>2</v>
      </c>
      <c r="Q491" s="62" t="s"/>
      <c r="R491" s="62" t="s"/>
    </row>
    <row r="492" spans="1:18" ht="15.75" customHeight="true">
      <c r="A492" s="80">
        <v>46120</v>
      </c>
      <c r="B492" s="460">
        <v>46107</v>
      </c>
      <c r="C492" s="80" t="s">
        <v>194</v>
      </c>
      <c r="D492" s="64" t="s">
        <v>189</v>
      </c>
      <c r="E492" s="94" t="s">
        <v>2737</v>
      </c>
      <c r="F492" s="197" t="s">
        <v>428</v>
      </c>
      <c r="G492" s="64" t="s">
        <v>422</v>
      </c>
      <c r="H492" s="140" t="s">
        <v>1152</v>
      </c>
      <c r="I492" s="64">
        <v>2</v>
      </c>
      <c r="J492" s="82">
        <v>6990.73</v>
      </c>
      <c r="K492" s="427">
        <f>=I492*J492</f>
        <v>13981.46</v>
      </c>
      <c r="L492" s="82">
        <v>6960</v>
      </c>
      <c r="M492" s="428">
        <f>=I492*L492</f>
        <v>13920</v>
      </c>
      <c r="N492" s="82">
        <f>=K492-M492</f>
        <v>61.4599999999991</v>
      </c>
      <c r="O492" s="64">
        <v>1</v>
      </c>
      <c r="P492" s="64">
        <f>=I492*O492*ROUNDUP((A492-B492)/30,0)</f>
        <v>2</v>
      </c>
      <c r="Q492" s="62" t="s"/>
      <c r="R492" s="62" t="s"/>
    </row>
    <row r="493" spans="1:18" ht="15.75" customHeight="true">
      <c r="A493" s="80">
        <v>46120</v>
      </c>
      <c r="B493" s="460">
        <v>46107</v>
      </c>
      <c r="C493" s="80" t="s">
        <v>194</v>
      </c>
      <c r="D493" s="64" t="s">
        <v>189</v>
      </c>
      <c r="E493" s="94" t="s">
        <v>2738</v>
      </c>
      <c r="F493" s="197" t="s">
        <v>421</v>
      </c>
      <c r="G493" s="197" t="s">
        <v>422</v>
      </c>
      <c r="H493" s="140" t="s">
        <v>851</v>
      </c>
      <c r="I493" s="64">
        <v>2</v>
      </c>
      <c r="J493" s="82">
        <v>10073.63</v>
      </c>
      <c r="K493" s="427">
        <f>=I493*J493</f>
        <v>20147.26</v>
      </c>
      <c r="L493" s="82">
        <v>10030</v>
      </c>
      <c r="M493" s="428">
        <f>=I493*L493</f>
        <v>20060</v>
      </c>
      <c r="N493" s="82">
        <f>=K493-M493</f>
        <v>87.2599999999984</v>
      </c>
      <c r="O493" s="64">
        <v>1</v>
      </c>
      <c r="P493" s="64">
        <f>=I493*O493*ROUNDUP((A493-B493)/30,0)</f>
        <v>2</v>
      </c>
      <c r="Q493" s="62" t="s"/>
      <c r="R493" s="62" t="s"/>
    </row>
    <row r="494" spans="1:18" ht="15.75" customHeight="true">
      <c r="A494" s="80">
        <v>46120</v>
      </c>
      <c r="B494" s="460">
        <v>46109</v>
      </c>
      <c r="C494" s="80" t="s">
        <v>206</v>
      </c>
      <c r="D494" s="64" t="s">
        <v>189</v>
      </c>
      <c r="E494" s="64" t="s"/>
      <c r="F494" s="197" t="s">
        <v>428</v>
      </c>
      <c r="G494" s="64" t="s">
        <v>422</v>
      </c>
      <c r="H494" s="274" t="s">
        <v>1207</v>
      </c>
      <c r="I494" s="274">
        <v>2</v>
      </c>
      <c r="J494" s="82">
        <v>4738.49</v>
      </c>
      <c r="K494" s="427">
        <f>=I494*J494</f>
        <v>9476.98</v>
      </c>
      <c r="L494" s="472">
        <v>4720</v>
      </c>
      <c r="M494" s="428">
        <f>=I494*L494</f>
        <v>9440</v>
      </c>
      <c r="N494" s="82">
        <f>=K494-M494</f>
        <v>36.9799999999996</v>
      </c>
      <c r="O494" s="64">
        <v>1</v>
      </c>
      <c r="P494" s="64">
        <f>=I494*O494*ROUNDUP((A494-B494)/30,0)</f>
        <v>2</v>
      </c>
      <c r="Q494" s="62" t="s"/>
      <c r="R494" s="62" t="s"/>
    </row>
    <row r="495" spans="1:18" ht="15.75" customHeight="true">
      <c r="A495" s="80">
        <v>46120</v>
      </c>
      <c r="B495" s="460">
        <v>46109</v>
      </c>
      <c r="C495" s="80" t="s">
        <v>206</v>
      </c>
      <c r="D495" s="64" t="s">
        <v>189</v>
      </c>
      <c r="E495" s="94" t="s">
        <v>2739</v>
      </c>
      <c r="F495" s="197" t="s">
        <v>428</v>
      </c>
      <c r="G495" s="64" t="s">
        <v>422</v>
      </c>
      <c r="H495" s="140" t="s">
        <v>1209</v>
      </c>
      <c r="I495" s="274">
        <v>2</v>
      </c>
      <c r="J495" s="82">
        <v>6825.98</v>
      </c>
      <c r="K495" s="427">
        <f>=I495*J495</f>
        <v>13651.96</v>
      </c>
      <c r="L495" s="472">
        <v>6800</v>
      </c>
      <c r="M495" s="428">
        <f>=I495*L495</f>
        <v>13600</v>
      </c>
      <c r="N495" s="82">
        <f>=K495-M495</f>
        <v>51.9599999999991</v>
      </c>
      <c r="O495" s="64">
        <v>1</v>
      </c>
      <c r="P495" s="64">
        <f>=I495*O495*ROUNDUP((A495-B495)/30,0)</f>
        <v>2</v>
      </c>
      <c r="Q495" s="62" t="s"/>
      <c r="R495" s="62" t="s"/>
    </row>
    <row r="496" spans="1:18" ht="15.75" customHeight="true">
      <c r="A496" s="80">
        <v>46120</v>
      </c>
      <c r="B496" s="460">
        <v>46109</v>
      </c>
      <c r="C496" s="80" t="s">
        <v>206</v>
      </c>
      <c r="D496" s="64" t="s">
        <v>189</v>
      </c>
      <c r="E496" s="94" t="s">
        <v>2740</v>
      </c>
      <c r="F496" s="197" t="s">
        <v>428</v>
      </c>
      <c r="G496" s="64" t="s">
        <v>422</v>
      </c>
      <c r="H496" s="274" t="s">
        <v>1211</v>
      </c>
      <c r="I496" s="274">
        <v>2</v>
      </c>
      <c r="J496" s="82">
        <v>5942.81</v>
      </c>
      <c r="K496" s="427">
        <f>=I496*J496</f>
        <v>11885.62</v>
      </c>
      <c r="L496" s="472">
        <v>5920</v>
      </c>
      <c r="M496" s="428">
        <f>=I496*L496</f>
        <v>11840</v>
      </c>
      <c r="N496" s="82">
        <f>=K496-M496</f>
        <v>45.6200000000008</v>
      </c>
      <c r="O496" s="64">
        <v>1</v>
      </c>
      <c r="P496" s="64">
        <f>=I496*O496*ROUNDUP((A496-B496)/30,0)</f>
        <v>2</v>
      </c>
      <c r="Q496" s="62" t="s"/>
      <c r="R496" s="62" t="s"/>
    </row>
    <row r="497" spans="1:18" ht="15.75" customHeight="true">
      <c r="A497" s="80">
        <v>46120</v>
      </c>
      <c r="B497" s="460">
        <v>46106</v>
      </c>
      <c r="C497" s="80" t="s">
        <v>190</v>
      </c>
      <c r="D497" s="64" t="s">
        <v>189</v>
      </c>
      <c r="E497" s="94" t="s">
        <v>2741</v>
      </c>
      <c r="F497" s="197" t="s">
        <v>428</v>
      </c>
      <c r="G497" s="64" t="s">
        <v>422</v>
      </c>
      <c r="H497" s="248" t="s">
        <v>1218</v>
      </c>
      <c r="I497" s="248">
        <v>1</v>
      </c>
      <c r="J497" s="82">
        <v>8439.3</v>
      </c>
      <c r="K497" s="427">
        <f>=I497*J497</f>
        <v>8439.3</v>
      </c>
      <c r="L497" s="82">
        <v>8400</v>
      </c>
      <c r="M497" s="428">
        <f>=I497*L497</f>
        <v>8400</v>
      </c>
      <c r="N497" s="82">
        <f>=K497-M497</f>
        <v>39.2999999999993</v>
      </c>
      <c r="O497" s="64">
        <v>1</v>
      </c>
      <c r="P497" s="64">
        <f>=I497*O497*ROUNDUP((A497-B497)/30,0)</f>
        <v>1</v>
      </c>
      <c r="Q497" s="62" t="s"/>
      <c r="R497" s="62" t="s"/>
    </row>
    <row r="498" spans="1:18" ht="15.75" customHeight="true">
      <c r="A498" s="80">
        <v>46120</v>
      </c>
      <c r="B498" s="460">
        <v>46106</v>
      </c>
      <c r="C498" s="80" t="s">
        <v>190</v>
      </c>
      <c r="D498" s="64" t="s">
        <v>189</v>
      </c>
      <c r="E498" s="94" t="s">
        <v>2742</v>
      </c>
      <c r="F498" s="197" t="s">
        <v>428</v>
      </c>
      <c r="G498" s="64" t="s">
        <v>422</v>
      </c>
      <c r="H498" s="248" t="s">
        <v>1220</v>
      </c>
      <c r="I498" s="248">
        <v>1</v>
      </c>
      <c r="J498" s="82">
        <v>9242.9</v>
      </c>
      <c r="K498" s="427">
        <f>=I498*J498</f>
        <v>9242.9</v>
      </c>
      <c r="L498" s="82">
        <v>9200</v>
      </c>
      <c r="M498" s="428">
        <f>=I498*L498</f>
        <v>9200</v>
      </c>
      <c r="N498" s="82">
        <f>=K498-M498</f>
        <v>42.8999999999996</v>
      </c>
      <c r="O498" s="64">
        <v>1</v>
      </c>
      <c r="P498" s="64">
        <f>=I498*O498*ROUNDUP((A498-B498)/30,0)</f>
        <v>1</v>
      </c>
      <c r="Q498" s="62" t="s"/>
      <c r="R498" s="62" t="s"/>
    </row>
    <row r="499" spans="1:18" ht="15.75" customHeight="true">
      <c r="A499" s="80">
        <v>46120</v>
      </c>
      <c r="B499" s="460">
        <v>46107</v>
      </c>
      <c r="C499" s="80" t="s">
        <v>194</v>
      </c>
      <c r="D499" s="64" t="s">
        <v>189</v>
      </c>
      <c r="E499" s="94" t="s">
        <v>2743</v>
      </c>
      <c r="F499" s="197" t="s">
        <v>428</v>
      </c>
      <c r="G499" s="64" t="s">
        <v>422</v>
      </c>
      <c r="H499" s="274" t="s">
        <v>1224</v>
      </c>
      <c r="I499" s="248">
        <v>1</v>
      </c>
      <c r="J499" s="82">
        <v>6820.02</v>
      </c>
      <c r="K499" s="427">
        <f>=I499*J499</f>
        <v>6820.02</v>
      </c>
      <c r="L499" s="82">
        <v>6790</v>
      </c>
      <c r="M499" s="428">
        <f>=I499*L499</f>
        <v>6790</v>
      </c>
      <c r="N499" s="82">
        <f>=K499-M499</f>
        <v>30.0200000000004</v>
      </c>
      <c r="O499" s="64">
        <v>1</v>
      </c>
      <c r="P499" s="64">
        <f>=I499*O499*ROUNDUP((A499-B499)/30,0)</f>
        <v>1</v>
      </c>
      <c r="Q499" s="62" t="s"/>
      <c r="R499" s="62" t="s"/>
    </row>
    <row r="500" spans="1:18" ht="15.75" customHeight="true">
      <c r="A500" s="80">
        <v>46120</v>
      </c>
      <c r="B500" s="460">
        <v>46107</v>
      </c>
      <c r="C500" s="80" t="s">
        <v>194</v>
      </c>
      <c r="D500" s="64" t="s">
        <v>189</v>
      </c>
      <c r="E500" s="94" t="s">
        <v>2744</v>
      </c>
      <c r="F500" s="197" t="s">
        <v>428</v>
      </c>
      <c r="G500" s="64" t="s">
        <v>422</v>
      </c>
      <c r="H500" s="274" t="s">
        <v>1226</v>
      </c>
      <c r="I500" s="248">
        <v>1</v>
      </c>
      <c r="J500" s="82">
        <v>6820.02</v>
      </c>
      <c r="K500" s="427">
        <f>=I500*J500</f>
        <v>6820.02</v>
      </c>
      <c r="L500" s="82">
        <v>6790</v>
      </c>
      <c r="M500" s="428">
        <f>=I500*L500</f>
        <v>6790</v>
      </c>
      <c r="N500" s="82">
        <f>=K500-M500</f>
        <v>30.0200000000004</v>
      </c>
      <c r="O500" s="64">
        <v>1</v>
      </c>
      <c r="P500" s="64">
        <f>=I500*O500*ROUNDUP((A500-B500)/30,0)</f>
        <v>1</v>
      </c>
      <c r="Q500" s="62" t="s"/>
      <c r="R500" s="62" t="s"/>
    </row>
    <row r="501" spans="1:18" ht="15.75" customHeight="true">
      <c r="A501" s="80">
        <v>46120</v>
      </c>
      <c r="B501" s="460">
        <v>46107</v>
      </c>
      <c r="C501" s="80" t="s">
        <v>194</v>
      </c>
      <c r="D501" s="64" t="s">
        <v>189</v>
      </c>
      <c r="E501" s="64" t="s"/>
      <c r="F501" s="197" t="s">
        <v>428</v>
      </c>
      <c r="G501" s="64" t="s">
        <v>422</v>
      </c>
      <c r="H501" s="274" t="s">
        <v>1228</v>
      </c>
      <c r="I501" s="248">
        <v>1</v>
      </c>
      <c r="J501" s="82">
        <v>4821.66</v>
      </c>
      <c r="K501" s="427">
        <f>=I501*J501</f>
        <v>4821.66</v>
      </c>
      <c r="L501" s="82">
        <v>4800</v>
      </c>
      <c r="M501" s="428">
        <f>=I501*L501</f>
        <v>4800</v>
      </c>
      <c r="N501" s="82">
        <f>=K501-M501</f>
        <v>21.6599999999999</v>
      </c>
      <c r="O501" s="64">
        <v>1</v>
      </c>
      <c r="P501" s="64">
        <f>=I501*O501*ROUNDUP((A501-B501)/30,0)</f>
        <v>1</v>
      </c>
      <c r="Q501" s="62" t="s"/>
      <c r="R501" s="62" t="s"/>
    </row>
    <row r="502" spans="1:18" ht="15.75" customHeight="true">
      <c r="A502" s="80">
        <v>46120</v>
      </c>
      <c r="B502" s="460">
        <v>46107</v>
      </c>
      <c r="C502" s="80" t="s">
        <v>194</v>
      </c>
      <c r="D502" s="64" t="s">
        <v>189</v>
      </c>
      <c r="E502" s="64" t="s"/>
      <c r="F502" s="197" t="s">
        <v>428</v>
      </c>
      <c r="G502" s="64" t="s">
        <v>422</v>
      </c>
      <c r="H502" s="274" t="s">
        <v>1230</v>
      </c>
      <c r="I502" s="248">
        <v>1</v>
      </c>
      <c r="J502" s="82">
        <v>4821.66</v>
      </c>
      <c r="K502" s="427">
        <f>=I502*J502</f>
        <v>4821.66</v>
      </c>
      <c r="L502" s="82">
        <v>4800</v>
      </c>
      <c r="M502" s="428">
        <f>=I502*L502</f>
        <v>4800</v>
      </c>
      <c r="N502" s="82">
        <f>=K502-M502</f>
        <v>21.6599999999999</v>
      </c>
      <c r="O502" s="64">
        <v>1</v>
      </c>
      <c r="P502" s="64">
        <f>=I502*O502*ROUNDUP((A502-B502)/30,0)</f>
        <v>1</v>
      </c>
      <c r="Q502" s="62" t="s"/>
      <c r="R502" s="62" t="s"/>
    </row>
    <row r="503" spans="1:18" ht="15.75" customHeight="true">
      <c r="A503" s="80">
        <v>46120</v>
      </c>
      <c r="B503" s="460">
        <v>46107</v>
      </c>
      <c r="C503" s="80" t="s">
        <v>194</v>
      </c>
      <c r="D503" s="64" t="s">
        <v>189</v>
      </c>
      <c r="E503" s="64" t="s"/>
      <c r="F503" s="197" t="s">
        <v>428</v>
      </c>
      <c r="G503" s="64" t="s">
        <v>422</v>
      </c>
      <c r="H503" s="140" t="s">
        <v>1232</v>
      </c>
      <c r="I503" s="64">
        <v>1</v>
      </c>
      <c r="J503" s="82">
        <v>5946.36</v>
      </c>
      <c r="K503" s="427">
        <f>=I503*J503</f>
        <v>5946.36</v>
      </c>
      <c r="L503" s="82">
        <v>5920</v>
      </c>
      <c r="M503" s="428">
        <f>=I503*L503</f>
        <v>5920</v>
      </c>
      <c r="N503" s="82">
        <f>=K503-M503</f>
        <v>26.3599999999997</v>
      </c>
      <c r="O503" s="64">
        <v>1</v>
      </c>
      <c r="P503" s="64">
        <f>=I503*O503*ROUNDUP((A503-B503)/30,0)</f>
        <v>1</v>
      </c>
      <c r="Q503" s="62" t="s"/>
      <c r="R503" s="62" t="s"/>
    </row>
    <row r="504" spans="1:18" ht="15.75" customHeight="true">
      <c r="A504" s="80">
        <v>46120</v>
      </c>
      <c r="B504" s="460">
        <v>46107</v>
      </c>
      <c r="C504" s="80" t="s">
        <v>194</v>
      </c>
      <c r="D504" s="64" t="s">
        <v>189</v>
      </c>
      <c r="E504" s="64" t="s"/>
      <c r="F504" s="197" t="s">
        <v>428</v>
      </c>
      <c r="G504" s="64" t="s">
        <v>422</v>
      </c>
      <c r="H504" s="274" t="s">
        <v>1234</v>
      </c>
      <c r="I504" s="248">
        <v>1</v>
      </c>
      <c r="J504" s="82">
        <v>5946.36</v>
      </c>
      <c r="K504" s="427">
        <f>=I504*J504</f>
        <v>5946.36</v>
      </c>
      <c r="L504" s="82">
        <v>5920</v>
      </c>
      <c r="M504" s="428">
        <f>=I504*L504</f>
        <v>5920</v>
      </c>
      <c r="N504" s="82">
        <f>=K504-M504</f>
        <v>26.3599999999997</v>
      </c>
      <c r="O504" s="64">
        <v>1</v>
      </c>
      <c r="P504" s="64">
        <f>=I504*O504*ROUNDUP((A504-B504)/30,0)</f>
        <v>1</v>
      </c>
      <c r="Q504" s="62" t="s"/>
      <c r="R504" s="62" t="s"/>
    </row>
    <row r="505" spans="1:18" ht="15.75" customHeight="true">
      <c r="A505" s="80">
        <v>46120</v>
      </c>
      <c r="B505" s="460">
        <v>46109</v>
      </c>
      <c r="C505" s="80" t="s">
        <v>206</v>
      </c>
      <c r="D505" s="64" t="s">
        <v>189</v>
      </c>
      <c r="E505" s="94" t="s">
        <v>2745</v>
      </c>
      <c r="F505" s="197" t="s">
        <v>428</v>
      </c>
      <c r="G505" s="64" t="s">
        <v>422</v>
      </c>
      <c r="H505" s="274" t="s">
        <v>1240</v>
      </c>
      <c r="I505" s="274">
        <v>1</v>
      </c>
      <c r="J505" s="82">
        <v>4738.49</v>
      </c>
      <c r="K505" s="427">
        <f>=I505*J505</f>
        <v>4738.49</v>
      </c>
      <c r="L505" s="472">
        <v>4720</v>
      </c>
      <c r="M505" s="428">
        <f>=I505*L505</f>
        <v>4720</v>
      </c>
      <c r="N505" s="82">
        <f>=K505-M505</f>
        <v>18.4899999999998</v>
      </c>
      <c r="O505" s="64">
        <v>1</v>
      </c>
      <c r="P505" s="64">
        <f>=I505*O505*ROUNDUP((A505-B505)/30,0)</f>
        <v>1</v>
      </c>
      <c r="Q505" s="62" t="s"/>
      <c r="R505" s="62" t="s"/>
    </row>
    <row r="506" spans="1:18" ht="15.75" customHeight="true">
      <c r="A506" s="80">
        <v>46120</v>
      </c>
      <c r="B506" s="460">
        <v>46109</v>
      </c>
      <c r="C506" s="80" t="s">
        <v>206</v>
      </c>
      <c r="D506" s="64" t="s">
        <v>189</v>
      </c>
      <c r="E506" s="94" t="s">
        <v>2746</v>
      </c>
      <c r="F506" s="197" t="s">
        <v>428</v>
      </c>
      <c r="G506" s="64" t="s">
        <v>422</v>
      </c>
      <c r="H506" s="274" t="s">
        <v>1242</v>
      </c>
      <c r="I506" s="274">
        <v>1</v>
      </c>
      <c r="J506" s="82">
        <v>5701.95</v>
      </c>
      <c r="K506" s="427">
        <f>=I506*J506</f>
        <v>5701.95</v>
      </c>
      <c r="L506" s="472">
        <v>5680</v>
      </c>
      <c r="M506" s="428">
        <f>=I506*L506</f>
        <v>5680</v>
      </c>
      <c r="N506" s="82">
        <f>=K506-M506</f>
        <v>21.9499999999998</v>
      </c>
      <c r="O506" s="64">
        <v>1</v>
      </c>
      <c r="P506" s="64">
        <f>=I506*O506*ROUNDUP((A506-B506)/30,0)</f>
        <v>1</v>
      </c>
      <c r="Q506" s="62" t="s"/>
      <c r="R506" s="62" t="s"/>
    </row>
    <row r="507" spans="1:18" ht="15.75" customHeight="true">
      <c r="A507" s="80">
        <v>46120</v>
      </c>
      <c r="B507" s="460">
        <v>46109</v>
      </c>
      <c r="C507" s="80" t="s">
        <v>206</v>
      </c>
      <c r="D507" s="64" t="s">
        <v>189</v>
      </c>
      <c r="E507" s="94" t="s">
        <v>2747</v>
      </c>
      <c r="F507" s="197" t="s">
        <v>428</v>
      </c>
      <c r="G507" s="64" t="s">
        <v>422</v>
      </c>
      <c r="H507" s="274" t="s">
        <v>1244</v>
      </c>
      <c r="I507" s="274">
        <v>1</v>
      </c>
      <c r="J507" s="82">
        <v>4899.07</v>
      </c>
      <c r="K507" s="427">
        <f>=I507*J507</f>
        <v>4899.07</v>
      </c>
      <c r="L507" s="472">
        <v>4880</v>
      </c>
      <c r="M507" s="428">
        <f>=I507*L507</f>
        <v>4880</v>
      </c>
      <c r="N507" s="82">
        <f>=K507-M507</f>
        <v>19.0699999999997</v>
      </c>
      <c r="O507" s="64">
        <v>1</v>
      </c>
      <c r="P507" s="64">
        <f>=I507*O507*ROUNDUP((A507-B507)/30,0)</f>
        <v>1</v>
      </c>
      <c r="Q507" s="62" t="s"/>
      <c r="R507" s="62" t="s"/>
    </row>
    <row r="508" spans="1:18" ht="15.75" customHeight="true">
      <c r="A508" s="80">
        <v>46120</v>
      </c>
      <c r="B508" s="460">
        <v>46109</v>
      </c>
      <c r="C508" s="80" t="s">
        <v>206</v>
      </c>
      <c r="D508" s="64" t="s">
        <v>189</v>
      </c>
      <c r="E508" s="94" t="s">
        <v>2748</v>
      </c>
      <c r="F508" s="197" t="s">
        <v>428</v>
      </c>
      <c r="G508" s="64" t="s">
        <v>422</v>
      </c>
      <c r="H508" s="140" t="s">
        <v>1294</v>
      </c>
      <c r="I508" s="140">
        <v>1</v>
      </c>
      <c r="J508" s="82">
        <v>4899.07</v>
      </c>
      <c r="K508" s="427">
        <f>=I508*J508</f>
        <v>4899.07</v>
      </c>
      <c r="L508" s="473">
        <v>4880</v>
      </c>
      <c r="M508" s="428">
        <f>=I508*L508</f>
        <v>4880</v>
      </c>
      <c r="N508" s="82">
        <f>=K508-M508</f>
        <v>19.0699999999997</v>
      </c>
      <c r="O508" s="64">
        <v>1</v>
      </c>
      <c r="P508" s="64">
        <f>=I508*O508*ROUNDUP((A508-B508)/30,0)</f>
        <v>1</v>
      </c>
      <c r="Q508" s="62" t="s"/>
      <c r="R508" s="62" t="s"/>
    </row>
    <row r="509" spans="1:18" ht="15.75" customHeight="true">
      <c r="A509" s="80">
        <v>46120</v>
      </c>
      <c r="B509" s="460">
        <v>46109</v>
      </c>
      <c r="C509" s="80" t="s">
        <v>206</v>
      </c>
      <c r="D509" s="64" t="s">
        <v>189</v>
      </c>
      <c r="E509" s="94" t="s">
        <v>2749</v>
      </c>
      <c r="F509" s="197" t="s">
        <v>428</v>
      </c>
      <c r="G509" s="64" t="s">
        <v>422</v>
      </c>
      <c r="H509" s="140" t="s">
        <v>1296</v>
      </c>
      <c r="I509" s="140">
        <v>1</v>
      </c>
      <c r="J509" s="82">
        <v>5942.81</v>
      </c>
      <c r="K509" s="427">
        <f>=I509*J509</f>
        <v>5942.81</v>
      </c>
      <c r="L509" s="472">
        <v>5920</v>
      </c>
      <c r="M509" s="428">
        <f>=I509*L509</f>
        <v>5920</v>
      </c>
      <c r="N509" s="82">
        <f>=K509-M509</f>
        <v>22.8100000000004</v>
      </c>
      <c r="O509" s="64">
        <v>1</v>
      </c>
      <c r="P509" s="64">
        <f>=I509*O509*ROUNDUP((A509-B509)/30,0)</f>
        <v>1</v>
      </c>
      <c r="Q509" s="62" t="s"/>
      <c r="R509" s="62" t="s"/>
    </row>
    <row r="510" spans="1:18" ht="15.75" customHeight="true">
      <c r="A510" s="80">
        <v>46120</v>
      </c>
      <c r="B510" s="460">
        <v>46109</v>
      </c>
      <c r="C510" s="80" t="s">
        <v>206</v>
      </c>
      <c r="D510" s="64" t="s">
        <v>189</v>
      </c>
      <c r="E510" s="64" t="s"/>
      <c r="F510" s="197" t="s">
        <v>428</v>
      </c>
      <c r="G510" s="64" t="s">
        <v>422</v>
      </c>
      <c r="H510" s="140" t="s">
        <v>1298</v>
      </c>
      <c r="I510" s="140">
        <v>1</v>
      </c>
      <c r="J510" s="82">
        <v>1441.67</v>
      </c>
      <c r="K510" s="427">
        <f>=I510*J510</f>
        <v>1441.67</v>
      </c>
      <c r="L510" s="472">
        <v>1435</v>
      </c>
      <c r="M510" s="428">
        <f>=I510*L510</f>
        <v>1435</v>
      </c>
      <c r="N510" s="82">
        <f>=K510-M510</f>
        <v>6.67000000000007</v>
      </c>
      <c r="O510" s="64">
        <v>1</v>
      </c>
      <c r="P510" s="64">
        <f>=I510*O510*ROUNDUP((A510-B510)/30,0)</f>
        <v>1</v>
      </c>
      <c r="Q510" s="62" t="s"/>
      <c r="R510" s="62" t="s"/>
    </row>
    <row r="511" spans="1:18" ht="15.75" customHeight="true">
      <c r="A511" s="80">
        <v>46120</v>
      </c>
      <c r="B511" s="460">
        <v>46109</v>
      </c>
      <c r="C511" s="80" t="s">
        <v>206</v>
      </c>
      <c r="D511" s="64" t="s">
        <v>189</v>
      </c>
      <c r="E511" s="94" t="s">
        <v>2750</v>
      </c>
      <c r="F511" s="197" t="s">
        <v>428</v>
      </c>
      <c r="G511" s="64" t="s">
        <v>422</v>
      </c>
      <c r="H511" s="140" t="s">
        <v>1303</v>
      </c>
      <c r="I511" s="140">
        <v>1</v>
      </c>
      <c r="J511" s="82">
        <v>3373.6</v>
      </c>
      <c r="K511" s="427">
        <f>=I511*J511</f>
        <v>3373.6</v>
      </c>
      <c r="L511" s="472">
        <v>3360</v>
      </c>
      <c r="M511" s="428">
        <f>=I511*L511</f>
        <v>3360</v>
      </c>
      <c r="N511" s="82">
        <f>=K511-M511</f>
        <v>13.5999999999999</v>
      </c>
      <c r="O511" s="64">
        <v>1</v>
      </c>
      <c r="P511" s="64">
        <f>=I511*O511*ROUNDUP((A511-B511)/30,0)</f>
        <v>1</v>
      </c>
      <c r="Q511" s="62" t="s"/>
      <c r="R511" s="62" t="s"/>
    </row>
    <row r="512" spans="1:18" ht="15.75" customHeight="true">
      <c r="A512" s="80">
        <v>46120</v>
      </c>
      <c r="B512" s="460">
        <v>46111</v>
      </c>
      <c r="C512" s="80" t="s">
        <v>208</v>
      </c>
      <c r="D512" s="64" t="s">
        <v>189</v>
      </c>
      <c r="E512" s="64" t="s"/>
      <c r="F512" s="197" t="s">
        <v>428</v>
      </c>
      <c r="G512" s="64" t="s">
        <v>422</v>
      </c>
      <c r="H512" s="140" t="s">
        <v>1145</v>
      </c>
      <c r="I512" s="87">
        <v>1</v>
      </c>
      <c r="J512" s="82">
        <v>11235.1</v>
      </c>
      <c r="K512" s="427">
        <f>=I512*J512</f>
        <v>11235.1</v>
      </c>
      <c r="L512" s="470">
        <v>11200</v>
      </c>
      <c r="M512" s="428">
        <f>=I512*L512</f>
        <v>11200</v>
      </c>
      <c r="N512" s="82">
        <f>=K512-M512</f>
        <v>35.1000000000004</v>
      </c>
      <c r="O512" s="64">
        <v>1</v>
      </c>
      <c r="P512" s="64">
        <f>=I512*O512*ROUNDUP((A512-B512)/30,0)</f>
        <v>1</v>
      </c>
      <c r="Q512" s="62" t="s"/>
      <c r="R512" s="62" t="s"/>
    </row>
    <row r="513" spans="1:18" ht="15.75" customHeight="true">
      <c r="A513" s="80">
        <v>46120</v>
      </c>
      <c r="B513" s="460">
        <v>46111</v>
      </c>
      <c r="C513" s="80" t="s">
        <v>208</v>
      </c>
      <c r="D513" s="64" t="s">
        <v>189</v>
      </c>
      <c r="E513" s="64" t="s"/>
      <c r="F513" s="197" t="s">
        <v>428</v>
      </c>
      <c r="G513" s="64" t="s">
        <v>422</v>
      </c>
      <c r="H513" s="140" t="s">
        <v>1318</v>
      </c>
      <c r="I513" s="87">
        <v>1</v>
      </c>
      <c r="J513" s="82">
        <v>3772.78</v>
      </c>
      <c r="K513" s="427">
        <f>=I513*J513</f>
        <v>3772.78</v>
      </c>
      <c r="L513" s="470">
        <v>3760</v>
      </c>
      <c r="M513" s="428">
        <f>=I513*L513</f>
        <v>3760</v>
      </c>
      <c r="N513" s="82">
        <f>=K513-M513</f>
        <v>12.7800000000002</v>
      </c>
      <c r="O513" s="64">
        <v>1</v>
      </c>
      <c r="P513" s="64">
        <f>=I513*O513*ROUNDUP((A513-B513)/30,0)</f>
        <v>1</v>
      </c>
      <c r="Q513" s="62" t="s"/>
      <c r="R513" s="62" t="s"/>
    </row>
    <row r="514" spans="1:18" ht="15.75" customHeight="true">
      <c r="A514" s="80">
        <v>46120</v>
      </c>
      <c r="B514" s="460">
        <v>46111</v>
      </c>
      <c r="C514" s="80" t="s">
        <v>208</v>
      </c>
      <c r="D514" s="64" t="s">
        <v>189</v>
      </c>
      <c r="E514" s="64" t="s"/>
      <c r="F514" s="197" t="s">
        <v>428</v>
      </c>
      <c r="G514" s="64" t="s">
        <v>422</v>
      </c>
      <c r="H514" s="140" t="s">
        <v>1320</v>
      </c>
      <c r="I514" s="87">
        <v>1</v>
      </c>
      <c r="J514" s="82">
        <v>8426.7</v>
      </c>
      <c r="K514" s="427">
        <f>=I514*J514</f>
        <v>8426.7</v>
      </c>
      <c r="L514" s="470">
        <v>8400</v>
      </c>
      <c r="M514" s="428">
        <f>=I514*L514</f>
        <v>8400</v>
      </c>
      <c r="N514" s="82">
        <f>=K514-M514</f>
        <v>26.7000000000007</v>
      </c>
      <c r="O514" s="64">
        <v>1</v>
      </c>
      <c r="P514" s="64">
        <f>=I514*O514*ROUNDUP((A514-B514)/30,0)</f>
        <v>1</v>
      </c>
      <c r="Q514" s="62" t="s"/>
      <c r="R514" s="62" t="s"/>
    </row>
    <row r="515" spans="1:18" ht="15.75" customHeight="true">
      <c r="A515" s="80">
        <v>46120</v>
      </c>
      <c r="B515" s="460">
        <v>46111</v>
      </c>
      <c r="C515" s="80" t="s">
        <v>208</v>
      </c>
      <c r="D515" s="64" t="s">
        <v>189</v>
      </c>
      <c r="E515" s="64" t="s"/>
      <c r="F515" s="197" t="s">
        <v>428</v>
      </c>
      <c r="G515" s="64" t="s">
        <v>422</v>
      </c>
      <c r="H515" s="140" t="s">
        <v>1220</v>
      </c>
      <c r="I515" s="87">
        <v>1</v>
      </c>
      <c r="J515" s="82">
        <v>9229.1</v>
      </c>
      <c r="K515" s="427">
        <f>=I515*J515</f>
        <v>9229.1</v>
      </c>
      <c r="L515" s="470">
        <v>9200</v>
      </c>
      <c r="M515" s="428">
        <f>=I515*L515</f>
        <v>9200</v>
      </c>
      <c r="N515" s="82">
        <f>=K515-M515</f>
        <v>29.1000000000004</v>
      </c>
      <c r="O515" s="64">
        <v>1</v>
      </c>
      <c r="P515" s="64">
        <f>=I515*O515*ROUNDUP((A515-B515)/30,0)</f>
        <v>1</v>
      </c>
      <c r="Q515" s="62" t="s"/>
      <c r="R515" s="62" t="s"/>
    </row>
    <row r="516" spans="1:18" ht="15.75" customHeight="true">
      <c r="A516" s="80">
        <v>46120</v>
      </c>
      <c r="B516" s="460">
        <v>46111</v>
      </c>
      <c r="C516" s="80" t="s">
        <v>208</v>
      </c>
      <c r="D516" s="64" t="s">
        <v>189</v>
      </c>
      <c r="E516" s="94" t="s">
        <v>2751</v>
      </c>
      <c r="F516" s="197" t="s">
        <v>428</v>
      </c>
      <c r="G516" s="64" t="s">
        <v>422</v>
      </c>
      <c r="H516" s="140" t="s">
        <v>1323</v>
      </c>
      <c r="I516" s="87">
        <v>1</v>
      </c>
      <c r="J516" s="82">
        <v>6420.7</v>
      </c>
      <c r="K516" s="427">
        <f>=I516*J516</f>
        <v>6420.7</v>
      </c>
      <c r="L516" s="470">
        <v>6400</v>
      </c>
      <c r="M516" s="428">
        <f>=I516*L516</f>
        <v>6400</v>
      </c>
      <c r="N516" s="82">
        <f>=K516-M516</f>
        <v>20.6999999999998</v>
      </c>
      <c r="O516" s="64">
        <v>1</v>
      </c>
      <c r="P516" s="64">
        <f>=I516*O516*ROUNDUP((A516-B516)/30,0)</f>
        <v>1</v>
      </c>
      <c r="Q516" s="62" t="s"/>
      <c r="R516" s="62" t="s"/>
    </row>
    <row r="517" spans="1:18" ht="15.75" customHeight="true">
      <c r="A517" s="80">
        <v>46120</v>
      </c>
      <c r="B517" s="460">
        <v>46111</v>
      </c>
      <c r="C517" s="80" t="s">
        <v>208</v>
      </c>
      <c r="D517" s="64" t="s">
        <v>189</v>
      </c>
      <c r="E517" s="64" t="s"/>
      <c r="F517" s="197" t="s">
        <v>428</v>
      </c>
      <c r="G517" s="64" t="s">
        <v>422</v>
      </c>
      <c r="H517" s="140" t="s">
        <v>1327</v>
      </c>
      <c r="I517" s="87">
        <v>1</v>
      </c>
      <c r="J517" s="82">
        <v>3451.82</v>
      </c>
      <c r="K517" s="427">
        <f>=I517*J517</f>
        <v>3451.82</v>
      </c>
      <c r="L517" s="470">
        <v>3440</v>
      </c>
      <c r="M517" s="428">
        <f>=I517*L517</f>
        <v>3440</v>
      </c>
      <c r="N517" s="82">
        <f>=K517-M517</f>
        <v>11.8200000000002</v>
      </c>
      <c r="O517" s="64">
        <v>1</v>
      </c>
      <c r="P517" s="64">
        <f>=I517*O517*ROUNDUP((A517-B517)/30,0)</f>
        <v>1</v>
      </c>
      <c r="Q517" s="62" t="s"/>
      <c r="R517" s="62" t="s"/>
    </row>
    <row r="518" spans="1:18" ht="15.75" customHeight="true">
      <c r="A518" s="80">
        <v>46120</v>
      </c>
      <c r="B518" s="460">
        <v>46111</v>
      </c>
      <c r="C518" s="80" t="s">
        <v>208</v>
      </c>
      <c r="D518" s="64" t="s">
        <v>189</v>
      </c>
      <c r="E518" s="64" t="s"/>
      <c r="F518" s="197" t="s">
        <v>428</v>
      </c>
      <c r="G518" s="64" t="s">
        <v>422</v>
      </c>
      <c r="H518" s="140" t="s">
        <v>499</v>
      </c>
      <c r="I518" s="87">
        <v>1</v>
      </c>
      <c r="J518" s="82">
        <v>3291.34</v>
      </c>
      <c r="K518" s="427">
        <f>=I518*J518</f>
        <v>3291.34</v>
      </c>
      <c r="L518" s="470">
        <v>3280</v>
      </c>
      <c r="M518" s="428">
        <f>=I518*L518</f>
        <v>3280</v>
      </c>
      <c r="N518" s="82">
        <f>=K518-M518</f>
        <v>11.3400000000001</v>
      </c>
      <c r="O518" s="64">
        <v>1</v>
      </c>
      <c r="P518" s="64">
        <f>=I518*O518*ROUNDUP((A518-B518)/30,0)</f>
        <v>1</v>
      </c>
      <c r="Q518" s="62" t="s"/>
      <c r="R518" s="62" t="s"/>
    </row>
    <row r="519" spans="1:18" ht="15.75" customHeight="true">
      <c r="A519" s="80">
        <v>46120</v>
      </c>
      <c r="B519" s="460">
        <v>46111</v>
      </c>
      <c r="C519" s="80" t="s">
        <v>208</v>
      </c>
      <c r="D519" s="64" t="s">
        <v>189</v>
      </c>
      <c r="E519" s="64" t="s"/>
      <c r="F519" s="197" t="s">
        <v>428</v>
      </c>
      <c r="G519" s="64" t="s">
        <v>422</v>
      </c>
      <c r="H519" s="140" t="s">
        <v>923</v>
      </c>
      <c r="I519" s="87">
        <v>1</v>
      </c>
      <c r="J519" s="82">
        <v>3451.82</v>
      </c>
      <c r="K519" s="427">
        <f>=I519*J519</f>
        <v>3451.82</v>
      </c>
      <c r="L519" s="470">
        <v>3440</v>
      </c>
      <c r="M519" s="428">
        <f>=I519*L519</f>
        <v>3440</v>
      </c>
      <c r="N519" s="82">
        <f>=K519-M519</f>
        <v>11.8200000000002</v>
      </c>
      <c r="O519" s="64">
        <v>1</v>
      </c>
      <c r="P519" s="64">
        <f>=I519*O519*ROUNDUP((A519-B519)/30,0)</f>
        <v>1</v>
      </c>
      <c r="Q519" s="62" t="s"/>
      <c r="R519" s="62" t="s"/>
    </row>
    <row r="520" spans="1:18" ht="15.75" customHeight="true">
      <c r="A520" s="80">
        <v>46120</v>
      </c>
      <c r="B520" s="460">
        <v>46111</v>
      </c>
      <c r="C520" s="80" t="s">
        <v>208</v>
      </c>
      <c r="D520" s="64" t="s">
        <v>189</v>
      </c>
      <c r="E520" s="94" t="s">
        <v>2752</v>
      </c>
      <c r="F520" s="197" t="s">
        <v>428</v>
      </c>
      <c r="G520" s="64" t="s">
        <v>422</v>
      </c>
      <c r="H520" s="140" t="s">
        <v>892</v>
      </c>
      <c r="I520" s="87">
        <v>1</v>
      </c>
      <c r="J520" s="82">
        <v>3291.34</v>
      </c>
      <c r="K520" s="427">
        <f>=I520*J520</f>
        <v>3291.34</v>
      </c>
      <c r="L520" s="470">
        <v>3280</v>
      </c>
      <c r="M520" s="428">
        <f>=I520*L520</f>
        <v>3280</v>
      </c>
      <c r="N520" s="82">
        <f>=K520-M520</f>
        <v>11.3400000000001</v>
      </c>
      <c r="O520" s="64">
        <v>1</v>
      </c>
      <c r="P520" s="64">
        <f>=I520*O520*ROUNDUP((A520-B520)/30,0)</f>
        <v>1</v>
      </c>
      <c r="Q520" s="62" t="s"/>
      <c r="R520" s="62" t="s"/>
    </row>
    <row r="521" spans="1:18" ht="15.75" customHeight="true">
      <c r="A521" s="80">
        <v>46120</v>
      </c>
      <c r="B521" s="460">
        <v>46111</v>
      </c>
      <c r="C521" s="80" t="s">
        <v>208</v>
      </c>
      <c r="D521" s="64" t="s">
        <v>189</v>
      </c>
      <c r="E521" s="94" t="s">
        <v>2753</v>
      </c>
      <c r="F521" s="197" t="s">
        <v>428</v>
      </c>
      <c r="G521" s="64" t="s">
        <v>422</v>
      </c>
      <c r="H521" s="140" t="s">
        <v>629</v>
      </c>
      <c r="I521" s="87">
        <v>1</v>
      </c>
      <c r="J521" s="82">
        <v>3291.34</v>
      </c>
      <c r="K521" s="427">
        <f>=I521*J521</f>
        <v>3291.34</v>
      </c>
      <c r="L521" s="470">
        <v>3280</v>
      </c>
      <c r="M521" s="428">
        <f>=I521*L521</f>
        <v>3280</v>
      </c>
      <c r="N521" s="82">
        <f>=K521-M521</f>
        <v>11.3400000000001</v>
      </c>
      <c r="O521" s="64">
        <v>1</v>
      </c>
      <c r="P521" s="64">
        <f>=I521*O521*ROUNDUP((A521-B521)/30,0)</f>
        <v>1</v>
      </c>
      <c r="Q521" s="62" t="s"/>
      <c r="R521" s="62" t="s"/>
    </row>
    <row r="522" spans="1:18" ht="15.75" customHeight="true">
      <c r="A522" s="449">
        <v>46055</v>
      </c>
      <c r="B522" s="426">
        <v>46037</v>
      </c>
      <c r="C522" s="64" t="s">
        <v>104</v>
      </c>
      <c r="D522" s="64" t="s">
        <v>2623</v>
      </c>
      <c r="E522" s="64" t="s"/>
      <c r="F522" s="197" t="s">
        <v>428</v>
      </c>
      <c r="G522" s="64" t="s">
        <v>422</v>
      </c>
      <c r="H522" s="64" t="s">
        <v>793</v>
      </c>
      <c r="I522" s="249">
        <v>500</v>
      </c>
      <c r="J522" s="82">
        <v>1004.75</v>
      </c>
      <c r="K522" s="427">
        <f>=I522*J522</f>
        <v>502375</v>
      </c>
      <c r="L522" s="82">
        <v>1000</v>
      </c>
      <c r="M522" s="428">
        <f>=I522*L522</f>
        <v>500000</v>
      </c>
      <c r="N522" s="82">
        <f>=K522-M522</f>
        <v>2375</v>
      </c>
      <c r="O522" s="64">
        <v>0</v>
      </c>
      <c r="P522" s="64">
        <f>=I522*O522*ROUNDUP((A522-B522)/30,0)</f>
        <v>0</v>
      </c>
      <c r="Q522" s="62" t="s"/>
      <c r="R522" s="62" t="s"/>
    </row>
    <row r="523" spans="1:18" ht="15.75" customHeight="true">
      <c r="A523" s="449">
        <v>46056</v>
      </c>
      <c r="B523" s="426">
        <v>46037</v>
      </c>
      <c r="C523" s="64" t="s">
        <v>104</v>
      </c>
      <c r="D523" s="64" t="s">
        <v>2623</v>
      </c>
      <c r="E523" s="64" t="s"/>
      <c r="F523" s="197" t="s">
        <v>428</v>
      </c>
      <c r="G523" s="64" t="s">
        <v>422</v>
      </c>
      <c r="H523" s="64" t="s">
        <v>793</v>
      </c>
      <c r="I523" s="249">
        <v>1500</v>
      </c>
      <c r="J523" s="82">
        <v>1005</v>
      </c>
      <c r="K523" s="427">
        <f>=I523*J523</f>
        <v>1507500</v>
      </c>
      <c r="L523" s="82">
        <v>1000</v>
      </c>
      <c r="M523" s="428">
        <f>=I523*L523</f>
        <v>1500000</v>
      </c>
      <c r="N523" s="82">
        <f>=K523-M523</f>
        <v>7500</v>
      </c>
      <c r="O523" s="64">
        <v>0</v>
      </c>
      <c r="P523" s="64">
        <f>=I523*O523*ROUNDUP((A523-B523)/30,0)</f>
        <v>0</v>
      </c>
      <c r="Q523" s="62" t="s"/>
      <c r="R523" s="62" t="s"/>
    </row>
    <row r="524" spans="1:18" ht="15.75" customHeight="true">
      <c r="A524" s="449">
        <v>46051</v>
      </c>
      <c r="B524" s="426">
        <v>46042</v>
      </c>
      <c r="C524" s="64" t="s">
        <v>106</v>
      </c>
      <c r="D524" s="64" t="s">
        <v>2623</v>
      </c>
      <c r="E524" s="64" t="s"/>
      <c r="F524" s="197" t="s">
        <v>428</v>
      </c>
      <c r="G524" s="64" t="s">
        <v>422</v>
      </c>
      <c r="H524" s="94" t="s">
        <v>800</v>
      </c>
      <c r="I524" s="249">
        <v>700</v>
      </c>
      <c r="J524" s="82">
        <v>1724.3</v>
      </c>
      <c r="K524" s="427">
        <f>=I524*J524</f>
        <v>1207010</v>
      </c>
      <c r="L524" s="82">
        <v>1720</v>
      </c>
      <c r="M524" s="428">
        <f>=I524*L524</f>
        <v>1204000</v>
      </c>
      <c r="N524" s="82">
        <f>=K524-M524</f>
        <v>3010</v>
      </c>
      <c r="O524" s="64">
        <v>0</v>
      </c>
      <c r="P524" s="64">
        <f>=I524*O524*ROUNDUP((A524-B524)/30,0)</f>
        <v>0</v>
      </c>
      <c r="Q524" s="62" t="s"/>
      <c r="R524" s="62" t="s"/>
    </row>
    <row r="525" spans="1:18" ht="15.75" customHeight="true">
      <c r="A525" s="449">
        <v>46055</v>
      </c>
      <c r="B525" s="426">
        <v>46042</v>
      </c>
      <c r="C525" s="64" t="s">
        <v>106</v>
      </c>
      <c r="D525" s="64" t="s">
        <v>2623</v>
      </c>
      <c r="E525" s="64" t="s"/>
      <c r="F525" s="197" t="s">
        <v>428</v>
      </c>
      <c r="G525" s="64" t="s">
        <v>422</v>
      </c>
      <c r="H525" s="94" t="s">
        <v>800</v>
      </c>
      <c r="I525" s="249">
        <v>300</v>
      </c>
      <c r="J525" s="82">
        <v>1726.02</v>
      </c>
      <c r="K525" s="427">
        <f>=I525*J525</f>
        <v>517806</v>
      </c>
      <c r="L525" s="82">
        <v>1720</v>
      </c>
      <c r="M525" s="428">
        <f>=I525*L525</f>
        <v>516000</v>
      </c>
      <c r="N525" s="82">
        <f>=K525-M525</f>
        <v>1806</v>
      </c>
      <c r="O525" s="64">
        <v>0</v>
      </c>
      <c r="P525" s="64">
        <f>=I525*O525*ROUNDUP((A525-B525)/30,0)</f>
        <v>0</v>
      </c>
      <c r="Q525" s="62" t="s"/>
      <c r="R525" s="62" t="s"/>
    </row>
    <row r="526" spans="1:18" ht="15.75" customHeight="true">
      <c r="A526" s="449">
        <v>46052</v>
      </c>
      <c r="B526" s="426">
        <v>46042</v>
      </c>
      <c r="C526" s="64" t="s">
        <v>106</v>
      </c>
      <c r="D526" s="64" t="s">
        <v>2623</v>
      </c>
      <c r="E526" s="64" t="s"/>
      <c r="F526" s="197" t="s">
        <v>428</v>
      </c>
      <c r="G526" s="64" t="s">
        <v>422</v>
      </c>
      <c r="H526" s="94" t="s">
        <v>801</v>
      </c>
      <c r="I526" s="87">
        <v>310</v>
      </c>
      <c r="J526" s="82">
        <v>1724.73</v>
      </c>
      <c r="K526" s="427">
        <f>=I526*J526</f>
        <v>534666.3</v>
      </c>
      <c r="L526" s="82">
        <v>1720</v>
      </c>
      <c r="M526" s="428">
        <f>=I526*L526</f>
        <v>533200</v>
      </c>
      <c r="N526" s="82">
        <f>=K526-M526</f>
        <v>1466.30000000005</v>
      </c>
      <c r="O526" s="64">
        <v>0</v>
      </c>
      <c r="P526" s="64">
        <f>=I526*O526*ROUNDUP((A526-B526)/30,0)</f>
        <v>0</v>
      </c>
      <c r="Q526" s="62" t="s"/>
      <c r="R526" s="62" t="s"/>
    </row>
    <row r="527" spans="1:18" ht="15.75" customHeight="true">
      <c r="A527" s="80">
        <v>46000</v>
      </c>
      <c r="B527" s="460">
        <v>45997</v>
      </c>
      <c r="C527" s="80" t="s">
        <v>94</v>
      </c>
      <c r="D527" s="64" t="s">
        <v>93</v>
      </c>
      <c r="E527" s="64" t="s"/>
      <c r="F527" s="197" t="s">
        <v>741</v>
      </c>
      <c r="G527" s="64" t="s">
        <v>422</v>
      </c>
      <c r="H527" s="140" t="s">
        <v>1084</v>
      </c>
      <c r="I527" s="140">
        <v>200</v>
      </c>
      <c r="J527" s="82">
        <v>1051.32</v>
      </c>
      <c r="K527" s="427">
        <f>=I527*J527</f>
        <v>210264</v>
      </c>
      <c r="L527" s="472">
        <v>1050</v>
      </c>
      <c r="M527" s="428">
        <f>=I527*L527</f>
        <v>210000</v>
      </c>
      <c r="N527" s="82">
        <f>=K527-M527</f>
        <v>264</v>
      </c>
      <c r="O527" s="64">
        <v>0</v>
      </c>
      <c r="P527" s="64">
        <f>=I527*O527*ROUNDUP((A527-B527)/30,0)</f>
        <v>0</v>
      </c>
      <c r="Q527" s="62" t="s"/>
      <c r="R527" s="62" t="s"/>
    </row>
    <row r="528" spans="1:18" ht="15.75" customHeight="true">
      <c r="A528" s="80">
        <v>46000</v>
      </c>
      <c r="B528" s="460">
        <v>45997</v>
      </c>
      <c r="C528" s="80" t="s">
        <v>94</v>
      </c>
      <c r="D528" s="64" t="s">
        <v>93</v>
      </c>
      <c r="E528" s="64" t="s"/>
      <c r="F528" s="197" t="s">
        <v>741</v>
      </c>
      <c r="G528" s="64" t="s">
        <v>422</v>
      </c>
      <c r="H528" s="140" t="s">
        <v>1026</v>
      </c>
      <c r="I528" s="140">
        <v>100</v>
      </c>
      <c r="J528" s="82">
        <v>1051.32</v>
      </c>
      <c r="K528" s="427">
        <f>=I528*J528</f>
        <v>105132</v>
      </c>
      <c r="L528" s="472">
        <v>1050</v>
      </c>
      <c r="M528" s="428">
        <f>=I528*L528</f>
        <v>105000</v>
      </c>
      <c r="N528" s="82">
        <f>=K528-M528</f>
        <v>132</v>
      </c>
      <c r="O528" s="64">
        <v>0</v>
      </c>
      <c r="P528" s="64">
        <f>=I528*O528*ROUNDUP((A528-B528)/30,0)</f>
        <v>0</v>
      </c>
      <c r="Q528" s="62" t="s"/>
      <c r="R528" s="62" t="s"/>
    </row>
    <row r="529" spans="1:18" ht="15.75" customHeight="true">
      <c r="A529" s="80">
        <v>46006</v>
      </c>
      <c r="B529" s="460">
        <v>45997</v>
      </c>
      <c r="C529" s="80" t="s">
        <v>94</v>
      </c>
      <c r="D529" s="64" t="s">
        <v>93</v>
      </c>
      <c r="E529" s="64" t="s"/>
      <c r="F529" s="197" t="s">
        <v>741</v>
      </c>
      <c r="G529" s="64" t="s">
        <v>422</v>
      </c>
      <c r="H529" s="140" t="s">
        <v>1084</v>
      </c>
      <c r="I529" s="140">
        <v>100</v>
      </c>
      <c r="J529" s="82">
        <v>1052.89</v>
      </c>
      <c r="K529" s="427">
        <f>=I529*J529</f>
        <v>105289</v>
      </c>
      <c r="L529" s="472">
        <v>1050</v>
      </c>
      <c r="M529" s="428">
        <f>=I529*L529</f>
        <v>105000</v>
      </c>
      <c r="N529" s="82">
        <f>=K529-M529</f>
        <v>289.000000000015</v>
      </c>
      <c r="O529" s="64">
        <v>0</v>
      </c>
      <c r="P529" s="64">
        <f>=I529*O529*ROUNDUP((A529-B529)/30,0)</f>
        <v>0</v>
      </c>
      <c r="Q529" s="62" t="s"/>
      <c r="R529" s="62" t="s"/>
    </row>
    <row r="530" spans="1:18" ht="15.75" customHeight="true">
      <c r="A530" s="80">
        <v>46007</v>
      </c>
      <c r="B530" s="460">
        <v>45997</v>
      </c>
      <c r="C530" s="80" t="s">
        <v>94</v>
      </c>
      <c r="D530" s="64" t="s">
        <v>93</v>
      </c>
      <c r="E530" s="64" t="s"/>
      <c r="F530" s="197" t="s">
        <v>741</v>
      </c>
      <c r="G530" s="64" t="s">
        <v>422</v>
      </c>
      <c r="H530" s="140" t="s">
        <v>1087</v>
      </c>
      <c r="I530" s="140">
        <v>120</v>
      </c>
      <c r="J530" s="82">
        <v>1053.15</v>
      </c>
      <c r="K530" s="427">
        <f>=I530*J530</f>
        <v>126378</v>
      </c>
      <c r="L530" s="472">
        <v>1050</v>
      </c>
      <c r="M530" s="428">
        <f>=I530*L530</f>
        <v>126000</v>
      </c>
      <c r="N530" s="82">
        <f>=K530-M530</f>
        <v>378.000000000015</v>
      </c>
      <c r="O530" s="64">
        <v>0</v>
      </c>
      <c r="P530" s="64">
        <f>=I530*O530*ROUNDUP((A530-B530)/30,0)</f>
        <v>0</v>
      </c>
      <c r="Q530" s="62" t="s"/>
      <c r="R530" s="62" t="s"/>
    </row>
    <row r="531" spans="1:18" ht="15.75" customHeight="true">
      <c r="A531" s="80">
        <v>46016</v>
      </c>
      <c r="B531" s="460">
        <v>45997</v>
      </c>
      <c r="C531" s="80" t="s">
        <v>94</v>
      </c>
      <c r="D531" s="64" t="s">
        <v>93</v>
      </c>
      <c r="E531" s="64" t="s"/>
      <c r="F531" s="197" t="s">
        <v>741</v>
      </c>
      <c r="G531" s="64" t="s">
        <v>422</v>
      </c>
      <c r="H531" s="140" t="s">
        <v>1089</v>
      </c>
      <c r="I531" s="140">
        <v>200</v>
      </c>
      <c r="J531" s="82">
        <v>1055.52</v>
      </c>
      <c r="K531" s="427">
        <f>=I531*J531</f>
        <v>211104</v>
      </c>
      <c r="L531" s="472">
        <v>1050</v>
      </c>
      <c r="M531" s="428">
        <f>=I531*L531</f>
        <v>210000</v>
      </c>
      <c r="N531" s="82">
        <f>=K531-M531</f>
        <v>1104</v>
      </c>
      <c r="O531" s="64">
        <v>0</v>
      </c>
      <c r="P531" s="64">
        <f>=I531*O531*ROUNDUP((A531-B531)/30,0)</f>
        <v>0</v>
      </c>
      <c r="Q531" s="62" t="s"/>
      <c r="R531" s="62" t="s"/>
    </row>
    <row r="532" spans="1:18" ht="15.75" customHeight="true">
      <c r="A532" s="80">
        <v>46016</v>
      </c>
      <c r="B532" s="460">
        <v>45997</v>
      </c>
      <c r="C532" s="80" t="s">
        <v>94</v>
      </c>
      <c r="D532" s="64" t="s">
        <v>93</v>
      </c>
      <c r="E532" s="64" t="s"/>
      <c r="F532" s="197" t="s">
        <v>741</v>
      </c>
      <c r="G532" s="64" t="s">
        <v>422</v>
      </c>
      <c r="H532" s="140" t="s">
        <v>1087</v>
      </c>
      <c r="I532" s="140">
        <v>180</v>
      </c>
      <c r="J532" s="82">
        <v>1055.52</v>
      </c>
      <c r="K532" s="427">
        <f>=I532*J532</f>
        <v>189993.6</v>
      </c>
      <c r="L532" s="472">
        <v>1050</v>
      </c>
      <c r="M532" s="428">
        <f>=I532*L532</f>
        <v>189000</v>
      </c>
      <c r="N532" s="82">
        <f>=K532-M532</f>
        <v>993.600000000006</v>
      </c>
      <c r="O532" s="64">
        <v>0</v>
      </c>
      <c r="P532" s="64">
        <f>=I532*O532*ROUNDUP((A532-B532)/30,0)</f>
        <v>0</v>
      </c>
      <c r="Q532" s="62" t="s"/>
      <c r="R532" s="62" t="s"/>
    </row>
    <row r="533" spans="1:18" ht="15.75" customHeight="true">
      <c r="A533" s="80">
        <v>46017</v>
      </c>
      <c r="B533" s="460">
        <v>45997</v>
      </c>
      <c r="C533" s="80" t="s">
        <v>94</v>
      </c>
      <c r="D533" s="64" t="s">
        <v>93</v>
      </c>
      <c r="E533" s="64" t="s"/>
      <c r="F533" s="197" t="s">
        <v>741</v>
      </c>
      <c r="G533" s="64" t="s">
        <v>422</v>
      </c>
      <c r="H533" s="140" t="s">
        <v>1026</v>
      </c>
      <c r="I533" s="140">
        <v>294</v>
      </c>
      <c r="J533" s="82">
        <v>1055.78</v>
      </c>
      <c r="K533" s="427">
        <f>=I533*J533</f>
        <v>310399.32</v>
      </c>
      <c r="L533" s="472">
        <v>1050</v>
      </c>
      <c r="M533" s="428">
        <f>=I533*L533</f>
        <v>308700</v>
      </c>
      <c r="N533" s="82">
        <f>=K533-M533</f>
        <v>1699.32000000001</v>
      </c>
      <c r="O533" s="64">
        <v>0</v>
      </c>
      <c r="P533" s="64">
        <f>=I533*O533*ROUNDUP((A533-B533)/30,0)</f>
        <v>0</v>
      </c>
      <c r="Q533" s="62" t="s"/>
      <c r="R533" s="62" t="s"/>
    </row>
    <row r="534" spans="1:18" ht="15.75" customHeight="true">
      <c r="A534" s="80">
        <v>46020</v>
      </c>
      <c r="B534" s="460">
        <v>45997</v>
      </c>
      <c r="C534" s="80" t="s">
        <v>94</v>
      </c>
      <c r="D534" s="64" t="s">
        <v>93</v>
      </c>
      <c r="E534" s="64" t="s"/>
      <c r="F534" s="197" t="s">
        <v>741</v>
      </c>
      <c r="G534" s="64" t="s">
        <v>422</v>
      </c>
      <c r="H534" s="140" t="s">
        <v>1084</v>
      </c>
      <c r="I534" s="140">
        <v>156</v>
      </c>
      <c r="J534" s="82">
        <v>1056.57</v>
      </c>
      <c r="K534" s="427">
        <f>=I534*J534</f>
        <v>164824.92</v>
      </c>
      <c r="L534" s="472">
        <v>1050</v>
      </c>
      <c r="M534" s="428">
        <f>=I534*L534</f>
        <v>163800</v>
      </c>
      <c r="N534" s="82">
        <f>=K534-M534</f>
        <v>1024.92000000001</v>
      </c>
      <c r="O534" s="64">
        <v>0</v>
      </c>
      <c r="P534" s="64">
        <f>=I534*O534*ROUNDUP((A534-B534)/30,0)</f>
        <v>0</v>
      </c>
      <c r="Q534" s="62" t="s"/>
      <c r="R534" s="62" t="s"/>
    </row>
    <row r="535" spans="1:18" ht="15.75" customHeight="true">
      <c r="A535" s="80">
        <v>46120</v>
      </c>
      <c r="B535" s="460">
        <v>46091</v>
      </c>
      <c r="C535" s="80" t="s">
        <v>140</v>
      </c>
      <c r="D535" s="64" t="s">
        <v>2754</v>
      </c>
      <c r="E535" s="94" t="s">
        <v>2755</v>
      </c>
      <c r="F535" s="197" t="s">
        <v>864</v>
      </c>
      <c r="G535" s="259" t="s">
        <v>422</v>
      </c>
      <c r="H535" s="259" t="s">
        <v>865</v>
      </c>
      <c r="I535" s="64">
        <v>700</v>
      </c>
      <c r="J535" s="82">
        <v>1930.71</v>
      </c>
      <c r="K535" s="427">
        <f>=I535*J535</f>
        <v>1351497</v>
      </c>
      <c r="L535" s="82">
        <v>1912</v>
      </c>
      <c r="M535" s="428">
        <f>=I535*L535</f>
        <v>1338400</v>
      </c>
      <c r="N535" s="82">
        <f>=K535-M535</f>
        <v>13097</v>
      </c>
      <c r="O535" s="64">
        <v>1</v>
      </c>
      <c r="P535" s="64">
        <f>=I535*O535*ROUNDUP((A535-B535)/30,0)</f>
        <v>700</v>
      </c>
      <c r="Q535" s="62" t="s"/>
      <c r="R535" s="62" t="s"/>
    </row>
    <row r="536" spans="1:18" ht="15.75" customHeight="true">
      <c r="A536" s="80">
        <v>46120</v>
      </c>
      <c r="B536" s="460">
        <v>46091</v>
      </c>
      <c r="C536" s="80" t="s">
        <v>140</v>
      </c>
      <c r="D536" s="64" t="s">
        <v>2754</v>
      </c>
      <c r="E536" s="94" t="s">
        <v>2756</v>
      </c>
      <c r="F536" s="197" t="s">
        <v>864</v>
      </c>
      <c r="G536" s="259" t="s">
        <v>422</v>
      </c>
      <c r="H536" s="259" t="s">
        <v>867</v>
      </c>
      <c r="I536" s="64">
        <v>700</v>
      </c>
      <c r="J536" s="82">
        <v>1930.71</v>
      </c>
      <c r="K536" s="427">
        <f>=I536*J536</f>
        <v>1351497</v>
      </c>
      <c r="L536" s="82">
        <v>1912</v>
      </c>
      <c r="M536" s="428">
        <f>=I536*L536</f>
        <v>1338400</v>
      </c>
      <c r="N536" s="82">
        <f>=K536-M536</f>
        <v>13097</v>
      </c>
      <c r="O536" s="64">
        <v>1</v>
      </c>
      <c r="P536" s="64">
        <f>=I536*O536*ROUNDUP((A536-B536)/30,0)</f>
        <v>700</v>
      </c>
      <c r="Q536" s="62" t="s"/>
      <c r="R536" s="62" t="s"/>
    </row>
    <row r="537" spans="1:18" ht="15.75" customHeight="true">
      <c r="A537" s="80">
        <v>46120</v>
      </c>
      <c r="B537" s="460">
        <v>46091</v>
      </c>
      <c r="C537" s="80" t="s">
        <v>140</v>
      </c>
      <c r="D537" s="64" t="s">
        <v>2754</v>
      </c>
      <c r="E537" s="94" t="s">
        <v>2757</v>
      </c>
      <c r="F537" s="197" t="s">
        <v>864</v>
      </c>
      <c r="G537" s="259" t="s">
        <v>422</v>
      </c>
      <c r="H537" s="259" t="s">
        <v>869</v>
      </c>
      <c r="I537" s="64">
        <v>400</v>
      </c>
      <c r="J537" s="82">
        <v>1930.71</v>
      </c>
      <c r="K537" s="427">
        <f>=I537*J537</f>
        <v>772284</v>
      </c>
      <c r="L537" s="82">
        <v>1912</v>
      </c>
      <c r="M537" s="428">
        <f>=I537*L537</f>
        <v>764800</v>
      </c>
      <c r="N537" s="82">
        <f>=K537-M537</f>
        <v>7484</v>
      </c>
      <c r="O537" s="64">
        <v>1</v>
      </c>
      <c r="P537" s="64">
        <f>=I537*O537*ROUNDUP((A537-B537)/30,0)</f>
        <v>400</v>
      </c>
      <c r="Q537" s="62" t="s"/>
      <c r="R537" s="62" t="s"/>
    </row>
    <row r="538" spans="1:18" ht="15.75" customHeight="true">
      <c r="A538" s="80">
        <v>46120</v>
      </c>
      <c r="B538" s="426">
        <v>46104</v>
      </c>
      <c r="C538" s="64" t="s">
        <v>160</v>
      </c>
      <c r="D538" s="64" t="s">
        <v>159</v>
      </c>
      <c r="E538" s="94" t="s"/>
      <c r="F538" s="197" t="s">
        <v>741</v>
      </c>
      <c r="G538" s="64" t="s">
        <v>422</v>
      </c>
      <c r="H538" s="259" t="s">
        <v>996</v>
      </c>
      <c r="I538" s="64">
        <v>15</v>
      </c>
      <c r="J538" s="82">
        <v>1206.3</v>
      </c>
      <c r="K538" s="427">
        <f>=I538*J538</f>
        <v>18094.5</v>
      </c>
      <c r="L538" s="82">
        <v>1200</v>
      </c>
      <c r="M538" s="428">
        <f>=I538*L538</f>
        <v>18000</v>
      </c>
      <c r="N538" s="82">
        <f>=K538-M538</f>
        <v>94.5</v>
      </c>
      <c r="O538" s="64">
        <v>1</v>
      </c>
      <c r="P538" s="64">
        <f>=I538*O538*ROUNDUP((A538-B538)/30,0)</f>
        <v>15</v>
      </c>
      <c r="Q538" s="62" t="s"/>
      <c r="R538" s="62" t="s"/>
    </row>
    <row r="539" spans="1:18" ht="15.75" customHeight="true">
      <c r="A539" s="80">
        <v>46120</v>
      </c>
      <c r="B539" s="426">
        <v>46104</v>
      </c>
      <c r="C539" s="64" t="s">
        <v>160</v>
      </c>
      <c r="D539" s="64" t="s">
        <v>159</v>
      </c>
      <c r="E539" s="94" t="s"/>
      <c r="F539" s="197" t="s">
        <v>741</v>
      </c>
      <c r="G539" s="64" t="s">
        <v>422</v>
      </c>
      <c r="H539" s="259" t="s">
        <v>998</v>
      </c>
      <c r="I539" s="64">
        <v>15</v>
      </c>
      <c r="J539" s="82">
        <v>1206.3</v>
      </c>
      <c r="K539" s="427">
        <f>=I539*J539</f>
        <v>18094.5</v>
      </c>
      <c r="L539" s="82">
        <v>1200</v>
      </c>
      <c r="M539" s="428">
        <f>=I539*L539</f>
        <v>18000</v>
      </c>
      <c r="N539" s="82">
        <f>=K539-M539</f>
        <v>94.5</v>
      </c>
      <c r="O539" s="64">
        <v>1</v>
      </c>
      <c r="P539" s="64">
        <f>=I539*O539*ROUNDUP((A539-B539)/30,0)</f>
        <v>15</v>
      </c>
      <c r="Q539" s="62" t="s"/>
      <c r="R539" s="62" t="s"/>
    </row>
    <row r="540" spans="1:18" ht="15.75" customHeight="true">
      <c r="A540" s="80">
        <v>46120</v>
      </c>
      <c r="B540" s="426">
        <v>46107</v>
      </c>
      <c r="C540" s="64" t="s">
        <v>202</v>
      </c>
      <c r="D540" s="94" t="s">
        <v>201</v>
      </c>
      <c r="E540" s="155" t="s">
        <v>2758</v>
      </c>
      <c r="F540" s="197" t="s">
        <v>421</v>
      </c>
      <c r="G540" s="197" t="s">
        <v>422</v>
      </c>
      <c r="H540" s="87" t="s">
        <v>1171</v>
      </c>
      <c r="I540" s="64">
        <v>300</v>
      </c>
      <c r="J540" s="82">
        <v>7830</v>
      </c>
      <c r="K540" s="427">
        <f>=I540*J540</f>
        <v>2349000</v>
      </c>
      <c r="L540" s="474">
        <v>7800</v>
      </c>
      <c r="M540" s="428">
        <f>=I540*L540</f>
        <v>2340000</v>
      </c>
      <c r="N540" s="82">
        <f>=K540-M540</f>
        <v>9000</v>
      </c>
      <c r="O540" s="64">
        <v>1</v>
      </c>
      <c r="P540" s="64">
        <f>=I540*O540*ROUNDUP((A540-B540)/30,0)</f>
        <v>300</v>
      </c>
      <c r="Q540" s="62" t="s"/>
      <c r="R540" s="62" t="s"/>
    </row>
    <row r="541" spans="1:18" ht="15.75" customHeight="true">
      <c r="A541" s="80">
        <v>46121</v>
      </c>
      <c r="B541" s="460">
        <v>46098</v>
      </c>
      <c r="C541" s="80" t="s">
        <v>151</v>
      </c>
      <c r="D541" s="64" t="s">
        <v>150</v>
      </c>
      <c r="E541" s="94" t="s">
        <v>2759</v>
      </c>
      <c r="F541" s="197" t="s">
        <v>895</v>
      </c>
      <c r="G541" s="64" t="s">
        <v>422</v>
      </c>
      <c r="H541" s="248" t="s">
        <v>896</v>
      </c>
      <c r="I541" s="64">
        <v>200</v>
      </c>
      <c r="J541" s="82">
        <v>1087.98</v>
      </c>
      <c r="K541" s="427">
        <f>=I541*J541</f>
        <v>217596</v>
      </c>
      <c r="L541" s="82">
        <v>1080</v>
      </c>
      <c r="M541" s="428">
        <f>=I541*L541</f>
        <v>216000</v>
      </c>
      <c r="N541" s="82">
        <f>=K541-M541</f>
        <v>1596</v>
      </c>
      <c r="O541" s="64">
        <v>1</v>
      </c>
      <c r="P541" s="64">
        <f>=I541*O541*ROUNDUP((A541-B541)/30,0)</f>
        <v>200</v>
      </c>
      <c r="Q541" s="62" t="s"/>
      <c r="R541" s="62" t="s"/>
    </row>
    <row r="542" spans="1:18" ht="15.75" customHeight="true">
      <c r="A542" s="80">
        <v>46121</v>
      </c>
      <c r="B542" s="460">
        <v>46105</v>
      </c>
      <c r="C542" s="80" t="s">
        <v>185</v>
      </c>
      <c r="D542" s="64" t="s">
        <v>156</v>
      </c>
      <c r="E542" s="94" t="s">
        <v>2760</v>
      </c>
      <c r="F542" s="197" t="s">
        <v>421</v>
      </c>
      <c r="G542" s="87" t="s">
        <v>470</v>
      </c>
      <c r="H542" s="87" t="s">
        <v>1015</v>
      </c>
      <c r="I542" s="64">
        <v>30</v>
      </c>
      <c r="J542" s="82">
        <v>4019</v>
      </c>
      <c r="K542" s="427">
        <f>=I542*J542</f>
        <v>120570</v>
      </c>
      <c r="L542" s="82">
        <v>4000</v>
      </c>
      <c r="M542" s="428">
        <f>=I542*L542</f>
        <v>120000</v>
      </c>
      <c r="N542" s="82">
        <f>=K542-M542</f>
        <v>570</v>
      </c>
      <c r="O542" s="64">
        <v>1.5</v>
      </c>
      <c r="P542" s="64">
        <f>=I542*O542*ROUNDUP((A542-B542)/30,0)</f>
        <v>45</v>
      </c>
      <c r="Q542" s="62" t="s"/>
      <c r="R542" s="62" t="s"/>
    </row>
    <row r="543" spans="1:18" ht="15.75" customHeight="true">
      <c r="A543" s="80">
        <v>46121</v>
      </c>
      <c r="B543" s="460">
        <v>46105</v>
      </c>
      <c r="C543" s="80" t="s">
        <v>185</v>
      </c>
      <c r="D543" s="64" t="s">
        <v>156</v>
      </c>
      <c r="E543" s="94" t="s">
        <v>2761</v>
      </c>
      <c r="F543" s="197" t="s">
        <v>421</v>
      </c>
      <c r="G543" s="87" t="s">
        <v>470</v>
      </c>
      <c r="H543" s="87" t="s">
        <v>1015</v>
      </c>
      <c r="I543" s="64">
        <v>40</v>
      </c>
      <c r="J543" s="82">
        <v>4019</v>
      </c>
      <c r="K543" s="427">
        <f>=I543*J543</f>
        <v>160760</v>
      </c>
      <c r="L543" s="82">
        <v>4000</v>
      </c>
      <c r="M543" s="428">
        <f>=I543*L543</f>
        <v>160000</v>
      </c>
      <c r="N543" s="82">
        <f>=K543-M543</f>
        <v>760</v>
      </c>
      <c r="O543" s="64">
        <v>1.5</v>
      </c>
      <c r="P543" s="64">
        <f>=I543*O543*ROUNDUP((A543-B543)/30,0)</f>
        <v>60</v>
      </c>
      <c r="Q543" s="62" t="s"/>
      <c r="R543" s="62" t="s"/>
    </row>
    <row r="544" spans="1:18" ht="15.75" customHeight="true">
      <c r="A544" s="80">
        <v>46121</v>
      </c>
      <c r="B544" s="460">
        <v>46105</v>
      </c>
      <c r="C544" s="80" t="s">
        <v>185</v>
      </c>
      <c r="D544" s="64" t="s">
        <v>156</v>
      </c>
      <c r="E544" s="94" t="s">
        <v>2762</v>
      </c>
      <c r="F544" s="197" t="s">
        <v>421</v>
      </c>
      <c r="G544" s="87" t="s">
        <v>470</v>
      </c>
      <c r="H544" s="140" t="s">
        <v>1015</v>
      </c>
      <c r="I544" s="64">
        <v>40</v>
      </c>
      <c r="J544" s="82">
        <v>4019</v>
      </c>
      <c r="K544" s="427">
        <f>=I544*J544</f>
        <v>160760</v>
      </c>
      <c r="L544" s="82">
        <v>4000</v>
      </c>
      <c r="M544" s="428">
        <f>=I544*L544</f>
        <v>160000</v>
      </c>
      <c r="N544" s="82">
        <f>=K544-M544</f>
        <v>760</v>
      </c>
      <c r="O544" s="64">
        <v>1.5</v>
      </c>
      <c r="P544" s="64">
        <f>=I544*O544*ROUNDUP((A544-B544)/30,0)</f>
        <v>60</v>
      </c>
      <c r="Q544" s="62" t="s"/>
      <c r="R544" s="62" t="s"/>
    </row>
    <row r="545" spans="1:18" ht="15.75" customHeight="true">
      <c r="A545" s="80">
        <v>46121</v>
      </c>
      <c r="B545" s="460">
        <v>46105</v>
      </c>
      <c r="C545" s="80" t="s">
        <v>185</v>
      </c>
      <c r="D545" s="64" t="s">
        <v>156</v>
      </c>
      <c r="E545" s="94" t="s">
        <v>2763</v>
      </c>
      <c r="F545" s="197" t="s">
        <v>421</v>
      </c>
      <c r="G545" s="87" t="s">
        <v>470</v>
      </c>
      <c r="H545" s="140" t="s">
        <v>1015</v>
      </c>
      <c r="I545" s="64">
        <v>40</v>
      </c>
      <c r="J545" s="82">
        <v>4019</v>
      </c>
      <c r="K545" s="427">
        <f>=I545*J545</f>
        <v>160760</v>
      </c>
      <c r="L545" s="82">
        <v>4000</v>
      </c>
      <c r="M545" s="428">
        <f>=I545*L545</f>
        <v>160000</v>
      </c>
      <c r="N545" s="82">
        <f>=K545-M545</f>
        <v>760</v>
      </c>
      <c r="O545" s="64">
        <v>1.5</v>
      </c>
      <c r="P545" s="64">
        <f>=I545*O545*ROUNDUP((A545-B545)/30,0)</f>
        <v>60</v>
      </c>
      <c r="Q545" s="62" t="s"/>
      <c r="R545" s="62" t="s"/>
    </row>
    <row r="546" spans="1:18" ht="15.75" customHeight="true">
      <c r="A546" s="80">
        <v>46121</v>
      </c>
      <c r="B546" s="426">
        <v>46058</v>
      </c>
      <c r="C546" s="64" t="s">
        <v>118</v>
      </c>
      <c r="D546" s="64" t="s">
        <v>116</v>
      </c>
      <c r="E546" s="94" t="s">
        <v>2764</v>
      </c>
      <c r="F546" s="197" t="s">
        <v>804</v>
      </c>
      <c r="G546" s="64" t="s">
        <v>429</v>
      </c>
      <c r="H546" s="64" t="s">
        <v>821</v>
      </c>
      <c r="I546" s="64">
        <v>50</v>
      </c>
      <c r="J546" s="82">
        <v>55.92</v>
      </c>
      <c r="K546" s="427">
        <f>=I546*J546</f>
        <v>2796</v>
      </c>
      <c r="L546" s="82">
        <v>55</v>
      </c>
      <c r="M546" s="428">
        <f>=I546*L546</f>
        <v>2750</v>
      </c>
      <c r="N546" s="82">
        <f>=K546-M546</f>
        <v>46</v>
      </c>
      <c r="O546" s="64">
        <v>0</v>
      </c>
      <c r="P546" s="64">
        <f>=I546*O546*ROUNDUP((A546-B546)/30,0)</f>
        <v>0</v>
      </c>
      <c r="Q546" s="62" t="s"/>
      <c r="R546" s="62" t="s"/>
    </row>
    <row r="547" spans="1:18" ht="15.75" customHeight="true">
      <c r="A547" s="80">
        <v>46121</v>
      </c>
      <c r="B547" s="426">
        <v>46058</v>
      </c>
      <c r="C547" s="64" t="s">
        <v>118</v>
      </c>
      <c r="D547" s="64" t="s">
        <v>116</v>
      </c>
      <c r="E547" s="94" t="s">
        <v>2765</v>
      </c>
      <c r="F547" s="197" t="s">
        <v>804</v>
      </c>
      <c r="G547" s="64" t="s">
        <v>429</v>
      </c>
      <c r="H547" s="64" t="s">
        <v>821</v>
      </c>
      <c r="I547" s="64">
        <v>2090</v>
      </c>
      <c r="J547" s="82">
        <v>55.9</v>
      </c>
      <c r="K547" s="427">
        <f>=I547*J547</f>
        <v>116831</v>
      </c>
      <c r="L547" s="82">
        <v>55</v>
      </c>
      <c r="M547" s="428">
        <f>=I547*L547</f>
        <v>114950</v>
      </c>
      <c r="N547" s="82">
        <f>=K547-M547</f>
        <v>1881</v>
      </c>
      <c r="O547" s="64">
        <v>0</v>
      </c>
      <c r="P547" s="64">
        <f>=I547*O547*ROUNDUP((A547-B547)/30,0)</f>
        <v>0</v>
      </c>
      <c r="Q547" s="62" t="s"/>
      <c r="R547" s="62" t="s"/>
    </row>
    <row r="548" spans="1:18" ht="15.75" customHeight="true">
      <c r="A548" s="80">
        <v>46121</v>
      </c>
      <c r="B548" s="426">
        <v>46057</v>
      </c>
      <c r="C548" s="64" t="s">
        <v>117</v>
      </c>
      <c r="D548" s="64" t="s">
        <v>116</v>
      </c>
      <c r="E548" s="94" t="s">
        <v>2766</v>
      </c>
      <c r="F548" s="197" t="s">
        <v>804</v>
      </c>
      <c r="G548" s="64" t="s">
        <v>429</v>
      </c>
      <c r="H548" s="64" t="s">
        <v>819</v>
      </c>
      <c r="I548" s="64">
        <v>2400</v>
      </c>
      <c r="J548" s="82">
        <v>55.92</v>
      </c>
      <c r="K548" s="427">
        <f>=I548*J548</f>
        <v>134208</v>
      </c>
      <c r="L548" s="82">
        <v>55</v>
      </c>
      <c r="M548" s="428">
        <f>=I548*L548</f>
        <v>132000</v>
      </c>
      <c r="N548" s="82">
        <f>=K548-M548</f>
        <v>2208</v>
      </c>
      <c r="O548" s="64">
        <v>0</v>
      </c>
      <c r="P548" s="64">
        <f>=I548*O548*ROUNDUP((A548-B548)/30,0)</f>
        <v>0</v>
      </c>
      <c r="Q548" s="62" t="s"/>
      <c r="R548" s="62" t="s"/>
    </row>
    <row r="549" spans="1:18" ht="15.75" customHeight="true">
      <c r="A549" s="80">
        <v>46121</v>
      </c>
      <c r="B549" s="426">
        <v>46058</v>
      </c>
      <c r="C549" s="64" t="s">
        <v>118</v>
      </c>
      <c r="D549" s="64" t="s">
        <v>116</v>
      </c>
      <c r="E549" s="94" t="s">
        <v>2767</v>
      </c>
      <c r="F549" s="197" t="s">
        <v>804</v>
      </c>
      <c r="G549" s="64" t="s">
        <v>429</v>
      </c>
      <c r="H549" s="64" t="s">
        <v>826</v>
      </c>
      <c r="I549" s="64">
        <v>5300</v>
      </c>
      <c r="J549" s="82">
        <v>55.9</v>
      </c>
      <c r="K549" s="427">
        <f>=I549*J549</f>
        <v>296270</v>
      </c>
      <c r="L549" s="82">
        <v>55</v>
      </c>
      <c r="M549" s="428">
        <f>=I549*L549</f>
        <v>291500</v>
      </c>
      <c r="N549" s="82">
        <f>=K549-M549</f>
        <v>4770</v>
      </c>
      <c r="O549" s="64">
        <v>0</v>
      </c>
      <c r="P549" s="64">
        <f>=I549*O549*ROUNDUP((A549-B549)/30,0)</f>
        <v>0</v>
      </c>
      <c r="Q549" s="62" t="s"/>
      <c r="R549" s="62" t="s"/>
    </row>
    <row r="550" spans="1:18" ht="15.75" customHeight="true">
      <c r="A550" s="80">
        <v>46121</v>
      </c>
      <c r="B550" s="426">
        <v>46059</v>
      </c>
      <c r="C550" s="64" t="s">
        <v>119</v>
      </c>
      <c r="D550" s="64" t="s">
        <v>116</v>
      </c>
      <c r="E550" s="94" t="s">
        <v>2768</v>
      </c>
      <c r="F550" s="197" t="s">
        <v>804</v>
      </c>
      <c r="G550" s="64" t="s">
        <v>429</v>
      </c>
      <c r="H550" s="64" t="s">
        <v>824</v>
      </c>
      <c r="I550" s="64">
        <v>4199</v>
      </c>
      <c r="J550" s="82">
        <v>57.92</v>
      </c>
      <c r="K550" s="427">
        <f>=I550*J550</f>
        <v>243206.08</v>
      </c>
      <c r="L550" s="82">
        <v>57</v>
      </c>
      <c r="M550" s="428">
        <f>=I550*L550</f>
        <v>239343</v>
      </c>
      <c r="N550" s="82">
        <f>=K550-M550</f>
        <v>3863.08000000002</v>
      </c>
      <c r="O550" s="64">
        <v>0</v>
      </c>
      <c r="P550" s="64">
        <f>=I550*O550*ROUNDUP((A550-B550)/30,0)</f>
        <v>0</v>
      </c>
      <c r="Q550" s="62" t="s"/>
      <c r="R550" s="62" t="s"/>
    </row>
    <row r="551" spans="1:18" ht="15.75" customHeight="true">
      <c r="A551" s="80">
        <v>46121</v>
      </c>
      <c r="B551" s="461">
        <v>46089</v>
      </c>
      <c r="C551" s="110" t="s">
        <v>136</v>
      </c>
      <c r="D551" s="83" t="s">
        <v>135</v>
      </c>
      <c r="E551" s="94" t="s">
        <v>2769</v>
      </c>
      <c r="F551" s="197" t="s">
        <v>428</v>
      </c>
      <c r="G551" s="193" t="s">
        <v>422</v>
      </c>
      <c r="H551" s="475" t="s">
        <v>2770</v>
      </c>
      <c r="I551" s="87">
        <v>20</v>
      </c>
      <c r="J551" s="82">
        <v>1170.3</v>
      </c>
      <c r="K551" s="427">
        <f>=I551*J551</f>
        <v>23406</v>
      </c>
      <c r="L551" s="82">
        <v>1160</v>
      </c>
      <c r="M551" s="428">
        <f>=I551*L551</f>
        <v>23200</v>
      </c>
      <c r="N551" s="82">
        <f>=K551-M551</f>
        <v>206</v>
      </c>
      <c r="O551" s="64">
        <v>1</v>
      </c>
      <c r="P551" s="64">
        <f>=I551*O551*ROUNDUP((A551-B551)/30,0)</f>
        <v>40</v>
      </c>
      <c r="Q551" s="62" t="s"/>
      <c r="R551" s="62" t="s"/>
    </row>
    <row r="552" spans="1:18" ht="15.75" customHeight="true">
      <c r="A552" s="80">
        <v>46121</v>
      </c>
      <c r="B552" s="460">
        <v>46111</v>
      </c>
      <c r="C552" s="80" t="s">
        <v>209</v>
      </c>
      <c r="D552" s="64" t="s">
        <v>135</v>
      </c>
      <c r="E552" s="94" t="s">
        <v>2771</v>
      </c>
      <c r="F552" s="197" t="s">
        <v>428</v>
      </c>
      <c r="G552" s="64" t="s">
        <v>422</v>
      </c>
      <c r="H552" s="140" t="s">
        <v>857</v>
      </c>
      <c r="I552" s="87">
        <v>20</v>
      </c>
      <c r="J552" s="82">
        <v>1089.48</v>
      </c>
      <c r="K552" s="427">
        <f>=I552*J552</f>
        <v>21789.6</v>
      </c>
      <c r="L552" s="470">
        <v>1085</v>
      </c>
      <c r="M552" s="428">
        <f>=I552*L552</f>
        <v>21700</v>
      </c>
      <c r="N552" s="82">
        <f>=K552-M552</f>
        <v>89.5999999999986</v>
      </c>
      <c r="O552" s="64">
        <v>1</v>
      </c>
      <c r="P552" s="64">
        <f>=I552*O552*ROUNDUP((A552-B552)/30,0)</f>
        <v>20</v>
      </c>
      <c r="Q552" s="62" t="s"/>
      <c r="R552" s="62" t="s"/>
    </row>
    <row r="553" spans="1:18" ht="15.75" customHeight="true">
      <c r="A553" s="80">
        <v>46121</v>
      </c>
      <c r="B553" s="460">
        <v>46089</v>
      </c>
      <c r="C553" s="80" t="s">
        <v>136</v>
      </c>
      <c r="D553" s="64" t="s">
        <v>135</v>
      </c>
      <c r="E553" s="94" t="s">
        <v>2772</v>
      </c>
      <c r="F553" s="197" t="s">
        <v>428</v>
      </c>
      <c r="G553" s="64" t="s">
        <v>422</v>
      </c>
      <c r="H553" s="64" t="s">
        <v>2773</v>
      </c>
      <c r="I553" s="64">
        <v>20</v>
      </c>
      <c r="J553" s="82">
        <v>1170.3</v>
      </c>
      <c r="K553" s="427">
        <f>=I553*J553</f>
        <v>23406</v>
      </c>
      <c r="L553" s="82">
        <v>1160</v>
      </c>
      <c r="M553" s="428">
        <f>=I553*L553</f>
        <v>23200</v>
      </c>
      <c r="N553" s="82">
        <f>=K553-M553</f>
        <v>206</v>
      </c>
      <c r="O553" s="64">
        <v>1</v>
      </c>
      <c r="P553" s="64">
        <f>=I553*O553*ROUNDUP((A553-B553)/30,0)</f>
        <v>40</v>
      </c>
      <c r="Q553" s="62" t="s"/>
      <c r="R553" s="62" t="s"/>
    </row>
    <row r="554" spans="1:18" ht="15.75" customHeight="true">
      <c r="A554" s="80">
        <v>46121</v>
      </c>
      <c r="B554" s="460">
        <v>46105</v>
      </c>
      <c r="C554" s="80" t="s">
        <v>186</v>
      </c>
      <c r="D554" s="64" t="s">
        <v>135</v>
      </c>
      <c r="E554" s="94" t="s">
        <v>2774</v>
      </c>
      <c r="F554" s="197" t="s">
        <v>741</v>
      </c>
      <c r="G554" s="64" t="s">
        <v>422</v>
      </c>
      <c r="H554" s="64" t="s">
        <v>1032</v>
      </c>
      <c r="I554" s="64">
        <v>50</v>
      </c>
      <c r="J554" s="82">
        <v>1372.3</v>
      </c>
      <c r="K554" s="427">
        <f>=I554*J554</f>
        <v>68615</v>
      </c>
      <c r="L554" s="82">
        <v>1365</v>
      </c>
      <c r="M554" s="428">
        <f>=I554*L554</f>
        <v>68250</v>
      </c>
      <c r="N554" s="82">
        <f>=K554-M554</f>
        <v>365</v>
      </c>
      <c r="O554" s="64">
        <v>1</v>
      </c>
      <c r="P554" s="64">
        <f>=I554*O554*ROUNDUP((A554-B554)/30,0)</f>
        <v>50</v>
      </c>
      <c r="Q554" s="62" t="s"/>
      <c r="R554" s="62" t="s"/>
    </row>
    <row r="555" spans="1:18" ht="15.75" customHeight="true">
      <c r="A555" s="80">
        <v>46122</v>
      </c>
      <c r="B555" s="460">
        <v>46100</v>
      </c>
      <c r="C555" s="80" t="s">
        <v>157</v>
      </c>
      <c r="D555" s="64" t="s">
        <v>156</v>
      </c>
      <c r="E555" s="335" t="s">
        <v>2775</v>
      </c>
      <c r="F555" s="197" t="s">
        <v>421</v>
      </c>
      <c r="G555" s="87" t="s">
        <v>470</v>
      </c>
      <c r="H555" s="64" t="s">
        <v>914</v>
      </c>
      <c r="I555" s="64">
        <v>8</v>
      </c>
      <c r="J555" s="82">
        <v>5986.21</v>
      </c>
      <c r="K555" s="427">
        <f>=I555*J555</f>
        <v>47889.68</v>
      </c>
      <c r="L555" s="82">
        <v>5950</v>
      </c>
      <c r="M555" s="428">
        <f>=I555*L555</f>
        <v>47600</v>
      </c>
      <c r="N555" s="82">
        <f>=K555-M555</f>
        <v>289.68</v>
      </c>
      <c r="O555" s="64">
        <v>1.5</v>
      </c>
      <c r="P555" s="64">
        <f>=I555*O555*ROUNDUP((A555-B555)/30,0)</f>
        <v>12</v>
      </c>
      <c r="Q555" s="62" t="s"/>
      <c r="R555" s="62" t="s"/>
    </row>
    <row r="556" spans="1:18" ht="15.75" customHeight="true">
      <c r="A556" s="80">
        <v>46122</v>
      </c>
      <c r="B556" s="460">
        <v>46104</v>
      </c>
      <c r="C556" s="80" t="s">
        <v>180</v>
      </c>
      <c r="D556" s="64" t="s">
        <v>156</v>
      </c>
      <c r="E556" s="335" t="s">
        <v>2776</v>
      </c>
      <c r="F556" s="197" t="s">
        <v>421</v>
      </c>
      <c r="G556" s="140" t="s">
        <v>470</v>
      </c>
      <c r="H556" s="94" t="s">
        <v>921</v>
      </c>
      <c r="I556" s="64">
        <v>20</v>
      </c>
      <c r="J556" s="82">
        <v>6831.72</v>
      </c>
      <c r="K556" s="427">
        <f>=I556*J556</f>
        <v>136634.4</v>
      </c>
      <c r="L556" s="82">
        <v>6800</v>
      </c>
      <c r="M556" s="428">
        <f>=I556*L556</f>
        <v>136000</v>
      </c>
      <c r="N556" s="82">
        <f>=K556-M556</f>
        <v>634.399999999994</v>
      </c>
      <c r="O556" s="64">
        <v>1.5</v>
      </c>
      <c r="P556" s="64">
        <f>=I556*O556*ROUNDUP((A556-B556)/30,0)</f>
        <v>30</v>
      </c>
      <c r="Q556" s="62" t="s"/>
      <c r="R556" s="62" t="s"/>
    </row>
    <row r="557" spans="1:18" ht="15.75" customHeight="true">
      <c r="A557" s="80">
        <v>46122</v>
      </c>
      <c r="B557" s="460">
        <v>46104</v>
      </c>
      <c r="C557" s="80" t="s">
        <v>180</v>
      </c>
      <c r="D557" s="64" t="s">
        <v>156</v>
      </c>
      <c r="E557" s="335" t="s">
        <v>2777</v>
      </c>
      <c r="F557" s="197" t="s">
        <v>421</v>
      </c>
      <c r="G557" s="140" t="s">
        <v>470</v>
      </c>
      <c r="H557" s="94" t="s">
        <v>921</v>
      </c>
      <c r="I557" s="64">
        <v>20</v>
      </c>
      <c r="J557" s="82">
        <v>6831.72</v>
      </c>
      <c r="K557" s="427">
        <f>=I557*J557</f>
        <v>136634.4</v>
      </c>
      <c r="L557" s="82">
        <v>6800</v>
      </c>
      <c r="M557" s="428">
        <f>=I557*L557</f>
        <v>136000</v>
      </c>
      <c r="N557" s="82">
        <f>=K557-M557</f>
        <v>634.399999999994</v>
      </c>
      <c r="O557" s="64">
        <v>1.5</v>
      </c>
      <c r="P557" s="64">
        <f>=I557*O557*ROUNDUP((A557-B557)/30,0)</f>
        <v>30</v>
      </c>
      <c r="Q557" s="62" t="s"/>
      <c r="R557" s="62" t="s"/>
    </row>
    <row r="558" spans="1:18" ht="15.75" customHeight="true">
      <c r="A558" s="80">
        <v>46122</v>
      </c>
      <c r="B558" s="461">
        <v>46104</v>
      </c>
      <c r="C558" s="110" t="s">
        <v>180</v>
      </c>
      <c r="D558" s="83" t="s">
        <v>156</v>
      </c>
      <c r="E558" s="335" t="s">
        <v>2778</v>
      </c>
      <c r="F558" s="197" t="s">
        <v>421</v>
      </c>
      <c r="G558" s="142" t="s">
        <v>470</v>
      </c>
      <c r="H558" s="121" t="s">
        <v>921</v>
      </c>
      <c r="I558" s="83">
        <v>20</v>
      </c>
      <c r="J558" s="82">
        <v>6831.72</v>
      </c>
      <c r="K558" s="427">
        <f>=I558*J558</f>
        <v>136634.4</v>
      </c>
      <c r="L558" s="84">
        <v>6800</v>
      </c>
      <c r="M558" s="428">
        <f>=I558*L558</f>
        <v>136000</v>
      </c>
      <c r="N558" s="82">
        <f>=K558-M558</f>
        <v>634.399999999994</v>
      </c>
      <c r="O558" s="64">
        <v>1.5</v>
      </c>
      <c r="P558" s="64">
        <f>=I558*O558*ROUNDUP((A558-B558)/30,0)</f>
        <v>30</v>
      </c>
      <c r="Q558" s="62" t="s"/>
      <c r="R558" s="62" t="s"/>
    </row>
    <row r="559" spans="1:18" ht="15.75" customHeight="true">
      <c r="A559" s="80">
        <v>46122</v>
      </c>
      <c r="B559" s="460">
        <v>46111</v>
      </c>
      <c r="C559" s="80" t="s">
        <v>216</v>
      </c>
      <c r="D559" s="64" t="s">
        <v>215</v>
      </c>
      <c r="E559" s="349" t="s">
        <v>2779</v>
      </c>
      <c r="F559" s="197" t="s">
        <v>421</v>
      </c>
      <c r="G559" s="140" t="s">
        <v>470</v>
      </c>
      <c r="H559" s="140" t="s">
        <v>1424</v>
      </c>
      <c r="I559" s="140">
        <v>100</v>
      </c>
      <c r="J559" s="82">
        <v>2810.4</v>
      </c>
      <c r="K559" s="427">
        <f>=I559*J559</f>
        <v>281040</v>
      </c>
      <c r="L559" s="472">
        <v>2800</v>
      </c>
      <c r="M559" s="428">
        <f>=I559*L559</f>
        <v>280000</v>
      </c>
      <c r="N559" s="82">
        <f>=K559-M559</f>
        <v>1040</v>
      </c>
      <c r="O559" s="64">
        <v>1.5</v>
      </c>
      <c r="P559" s="64">
        <f>=I559*O559*ROUNDUP((A559-B559)/30,0)</f>
        <v>150</v>
      </c>
      <c r="Q559" s="62" t="s"/>
      <c r="R559" s="62" t="s"/>
    </row>
    <row r="560" spans="1:18" ht="15.75" customHeight="true">
      <c r="A560" s="80">
        <v>46122</v>
      </c>
      <c r="B560" s="426">
        <v>46058</v>
      </c>
      <c r="C560" s="64" t="s">
        <v>118</v>
      </c>
      <c r="D560" s="64" t="s">
        <v>116</v>
      </c>
      <c r="E560" s="471" t="s">
        <v>2780</v>
      </c>
      <c r="F560" s="197" t="s">
        <v>804</v>
      </c>
      <c r="G560" s="64" t="s">
        <v>429</v>
      </c>
      <c r="H560" s="64" t="s">
        <v>821</v>
      </c>
      <c r="I560" s="64">
        <v>200</v>
      </c>
      <c r="J560" s="82">
        <v>55.93</v>
      </c>
      <c r="K560" s="427">
        <f>=I560*J560</f>
        <v>11186</v>
      </c>
      <c r="L560" s="82">
        <v>55</v>
      </c>
      <c r="M560" s="428">
        <f>=I560*L560</f>
        <v>11000</v>
      </c>
      <c r="N560" s="82">
        <f>=K560-M560</f>
        <v>186</v>
      </c>
      <c r="O560" s="64">
        <v>0</v>
      </c>
      <c r="P560" s="64">
        <f>=I560*O560*ROUNDUP((A560-B560)/30,0)</f>
        <v>0</v>
      </c>
      <c r="Q560" s="62" t="s"/>
      <c r="R560" s="62" t="s"/>
    </row>
    <row r="561" spans="1:18" ht="15.75" customHeight="true">
      <c r="A561" s="80">
        <v>46122</v>
      </c>
      <c r="B561" s="426">
        <v>46122</v>
      </c>
      <c r="C561" s="64" t="s">
        <v>246</v>
      </c>
      <c r="D561" s="64" t="s">
        <v>116</v>
      </c>
      <c r="E561" s="335" t="s">
        <v>2781</v>
      </c>
      <c r="F561" s="197" t="s">
        <v>804</v>
      </c>
      <c r="G561" s="64" t="s">
        <v>429</v>
      </c>
      <c r="H561" s="87" t="s">
        <v>1760</v>
      </c>
      <c r="I561" s="87">
        <v>200</v>
      </c>
      <c r="J561" s="82">
        <v>55.11</v>
      </c>
      <c r="K561" s="427">
        <f>=I561*J561</f>
        <v>11022</v>
      </c>
      <c r="L561" s="82">
        <v>55</v>
      </c>
      <c r="M561" s="428">
        <f>=I561*L561</f>
        <v>11000</v>
      </c>
      <c r="N561" s="82">
        <f>=K561-M561</f>
        <v>22</v>
      </c>
      <c r="O561" s="64">
        <v>0</v>
      </c>
      <c r="P561" s="64">
        <f>=I561*O561*ROUNDUP((A561-B561)/30,0)</f>
        <v>0</v>
      </c>
      <c r="Q561" s="62" t="s"/>
      <c r="R561" s="62" t="s"/>
    </row>
    <row r="562" spans="1:18" ht="15.75" customHeight="true">
      <c r="A562" s="80">
        <v>46122</v>
      </c>
      <c r="B562" s="460">
        <v>46090</v>
      </c>
      <c r="C562" s="80" t="s">
        <v>139</v>
      </c>
      <c r="D562" s="94" t="s">
        <v>294</v>
      </c>
      <c r="E562" s="94" t="s">
        <v>2782</v>
      </c>
      <c r="F562" s="197" t="s">
        <v>864</v>
      </c>
      <c r="G562" s="259" t="s">
        <v>422</v>
      </c>
      <c r="H562" s="259" t="s">
        <v>865</v>
      </c>
      <c r="I562" s="64">
        <v>300</v>
      </c>
      <c r="J562" s="82">
        <v>1933.93</v>
      </c>
      <c r="K562" s="427">
        <f>=I562*J562</f>
        <v>580179</v>
      </c>
      <c r="L562" s="82">
        <v>1912</v>
      </c>
      <c r="M562" s="428">
        <f>=I562*L562</f>
        <v>573600</v>
      </c>
      <c r="N562" s="82">
        <f>=K562-M562</f>
        <v>6579</v>
      </c>
      <c r="O562" s="64">
        <v>1</v>
      </c>
      <c r="P562" s="64">
        <f>=I562*O562*ROUNDUP((A562-B562)/30,0)</f>
        <v>600</v>
      </c>
      <c r="Q562" s="62" t="s"/>
      <c r="R562" s="62" t="s"/>
    </row>
    <row r="563" spans="1:18" ht="15.75" customHeight="true">
      <c r="A563" s="80">
        <v>46122</v>
      </c>
      <c r="B563" s="460">
        <v>46090</v>
      </c>
      <c r="C563" s="80" t="s">
        <v>139</v>
      </c>
      <c r="D563" s="94" t="s">
        <v>294</v>
      </c>
      <c r="E563" s="94" t="s">
        <v>2783</v>
      </c>
      <c r="F563" s="197" t="s">
        <v>864</v>
      </c>
      <c r="G563" s="259" t="s">
        <v>422</v>
      </c>
      <c r="H563" s="259" t="s">
        <v>869</v>
      </c>
      <c r="I563" s="64">
        <v>300</v>
      </c>
      <c r="J563" s="82">
        <v>1933.93</v>
      </c>
      <c r="K563" s="427">
        <f>=I563*J563</f>
        <v>580179</v>
      </c>
      <c r="L563" s="82">
        <v>1912</v>
      </c>
      <c r="M563" s="428">
        <f>=I563*L563</f>
        <v>573600</v>
      </c>
      <c r="N563" s="82">
        <f>=K563-M563</f>
        <v>6579</v>
      </c>
      <c r="O563" s="64">
        <v>1</v>
      </c>
      <c r="P563" s="64">
        <f>=I563*O563*ROUNDUP((A563-B563)/30,0)</f>
        <v>600</v>
      </c>
      <c r="Q563" s="62" t="s"/>
      <c r="R563" s="62" t="s"/>
    </row>
    <row r="564" spans="1:18" ht="15.75" customHeight="true">
      <c r="A564" s="80">
        <v>46122</v>
      </c>
      <c r="B564" s="460">
        <v>46105</v>
      </c>
      <c r="C564" s="80" t="s">
        <v>186</v>
      </c>
      <c r="D564" s="64" t="s">
        <v>135</v>
      </c>
      <c r="E564" s="471" t="s">
        <v>2784</v>
      </c>
      <c r="F564" s="197" t="s">
        <v>741</v>
      </c>
      <c r="G564" s="64" t="s">
        <v>422</v>
      </c>
      <c r="H564" s="64" t="s">
        <v>1028</v>
      </c>
      <c r="I564" s="64">
        <v>100</v>
      </c>
      <c r="J564" s="82">
        <v>1232.01</v>
      </c>
      <c r="K564" s="427">
        <f>=I564*J564</f>
        <v>123201</v>
      </c>
      <c r="L564" s="82">
        <v>1225</v>
      </c>
      <c r="M564" s="428">
        <f>=I564*L564</f>
        <v>122500</v>
      </c>
      <c r="N564" s="82">
        <f>=K564-M564</f>
        <v>701</v>
      </c>
      <c r="O564" s="64">
        <v>1</v>
      </c>
      <c r="P564" s="64">
        <f>=I564*O564*ROUNDUP((A564-B564)/30,0)</f>
        <v>100</v>
      </c>
      <c r="Q564" s="62" t="s"/>
      <c r="R564" s="62" t="s"/>
    </row>
    <row r="565" spans="1:18" ht="15.75" customHeight="true">
      <c r="A565" s="80">
        <v>46122</v>
      </c>
      <c r="B565" s="460">
        <v>46105</v>
      </c>
      <c r="C565" s="80" t="s">
        <v>186</v>
      </c>
      <c r="D565" s="64" t="s">
        <v>135</v>
      </c>
      <c r="E565" s="471" t="s">
        <v>2785</v>
      </c>
      <c r="F565" s="197" t="s">
        <v>741</v>
      </c>
      <c r="G565" s="64" t="s">
        <v>422</v>
      </c>
      <c r="H565" s="64" t="s">
        <v>1179</v>
      </c>
      <c r="I565" s="64">
        <v>50</v>
      </c>
      <c r="J565" s="82">
        <v>1232.01</v>
      </c>
      <c r="K565" s="427">
        <f>=I565*J565</f>
        <v>61600.5</v>
      </c>
      <c r="L565" s="82">
        <v>1225</v>
      </c>
      <c r="M565" s="428">
        <f>=I565*L565</f>
        <v>61250</v>
      </c>
      <c r="N565" s="82">
        <f>=K565-M565</f>
        <v>350.5</v>
      </c>
      <c r="O565" s="64">
        <v>1</v>
      </c>
      <c r="P565" s="64">
        <f>=I565*O565*ROUNDUP((A565-B565)/30,0)</f>
        <v>50</v>
      </c>
      <c r="Q565" s="62" t="s"/>
      <c r="R565" s="62" t="s"/>
    </row>
    <row r="566" spans="1:18" ht="15.75" customHeight="true">
      <c r="A566" s="80">
        <v>46122</v>
      </c>
      <c r="B566" s="426">
        <v>46058</v>
      </c>
      <c r="C566" s="64" t="s">
        <v>118</v>
      </c>
      <c r="D566" s="64" t="s">
        <v>116</v>
      </c>
      <c r="E566" s="94" t="s">
        <v>2786</v>
      </c>
      <c r="F566" s="197" t="s">
        <v>804</v>
      </c>
      <c r="G566" s="64" t="s">
        <v>429</v>
      </c>
      <c r="H566" s="64" t="s">
        <v>821</v>
      </c>
      <c r="I566" s="64">
        <v>750</v>
      </c>
      <c r="J566" s="82">
        <v>55.93</v>
      </c>
      <c r="K566" s="427">
        <f>=I566*J566</f>
        <v>41947.5</v>
      </c>
      <c r="L566" s="82">
        <v>55</v>
      </c>
      <c r="M566" s="428">
        <f>=I566*L566</f>
        <v>41250</v>
      </c>
      <c r="N566" s="82">
        <f>=K566-M566</f>
        <v>697.5</v>
      </c>
      <c r="O566" s="64">
        <v>0</v>
      </c>
      <c r="P566" s="64">
        <f>=I566*O566*ROUNDUP((A566-B566)/30,0)</f>
        <v>0</v>
      </c>
      <c r="Q566" s="62" t="s"/>
      <c r="R566" s="62" t="s"/>
    </row>
    <row r="567" spans="1:18" ht="15.75" customHeight="true">
      <c r="A567" s="80">
        <v>46122</v>
      </c>
      <c r="B567" s="426">
        <v>46058</v>
      </c>
      <c r="C567" s="64" t="s">
        <v>118</v>
      </c>
      <c r="D567" s="64" t="s">
        <v>116</v>
      </c>
      <c r="E567" s="94" t="s">
        <v>2787</v>
      </c>
      <c r="F567" s="197" t="s">
        <v>804</v>
      </c>
      <c r="G567" s="64" t="s">
        <v>429</v>
      </c>
      <c r="H567" s="64" t="s">
        <v>824</v>
      </c>
      <c r="I567" s="64">
        <v>264</v>
      </c>
      <c r="J567" s="82">
        <v>116.94</v>
      </c>
      <c r="K567" s="427">
        <f>=I567*J567</f>
        <v>30872.16</v>
      </c>
      <c r="L567" s="82">
        <v>115</v>
      </c>
      <c r="M567" s="428">
        <f>=I567*L567</f>
        <v>30360</v>
      </c>
      <c r="N567" s="82">
        <f>=K567-M567</f>
        <v>512.16</v>
      </c>
      <c r="O567" s="64">
        <v>0</v>
      </c>
      <c r="P567" s="64">
        <f>=I567*O567*ROUNDUP((A567-B567)/30,0)</f>
        <v>0</v>
      </c>
      <c r="Q567" s="62" t="s"/>
      <c r="R567" s="62" t="s"/>
    </row>
    <row r="568" spans="1:18" ht="15.75" customHeight="true">
      <c r="A568" s="80">
        <v>46122</v>
      </c>
      <c r="B568" s="426">
        <v>46058</v>
      </c>
      <c r="C568" s="64" t="s">
        <v>118</v>
      </c>
      <c r="D568" s="64" t="s">
        <v>116</v>
      </c>
      <c r="E568" s="94" t="s">
        <v>2788</v>
      </c>
      <c r="F568" s="197" t="s">
        <v>804</v>
      </c>
      <c r="G568" s="64" t="s">
        <v>429</v>
      </c>
      <c r="H568" s="64" t="s">
        <v>828</v>
      </c>
      <c r="I568" s="64">
        <v>1933</v>
      </c>
      <c r="J568" s="82">
        <v>161.89</v>
      </c>
      <c r="K568" s="427">
        <f>=I568*J568</f>
        <v>312933.37</v>
      </c>
      <c r="L568" s="82">
        <v>159.2</v>
      </c>
      <c r="M568" s="428">
        <f>=I568*L568</f>
        <v>307733.6</v>
      </c>
      <c r="N568" s="82">
        <f>=K568-M568</f>
        <v>5199.77000000002</v>
      </c>
      <c r="O568" s="64">
        <v>0</v>
      </c>
      <c r="P568" s="64">
        <f>=I568*O568*ROUNDUP((A568-B568)/30,0)</f>
        <v>0</v>
      </c>
      <c r="Q568" s="62" t="s"/>
      <c r="R568" s="62" t="s"/>
    </row>
    <row r="569" spans="1:18" ht="15.75" customHeight="true">
      <c r="A569" s="80">
        <v>46122</v>
      </c>
      <c r="B569" s="426">
        <v>46058</v>
      </c>
      <c r="C569" s="64" t="s">
        <v>118</v>
      </c>
      <c r="D569" s="64" t="s">
        <v>116</v>
      </c>
      <c r="E569" s="94" t="s">
        <v>2789</v>
      </c>
      <c r="F569" s="197" t="s">
        <v>804</v>
      </c>
      <c r="G569" s="64" t="s">
        <v>429</v>
      </c>
      <c r="H569" s="64" t="s">
        <v>828</v>
      </c>
      <c r="I569" s="64">
        <v>1933</v>
      </c>
      <c r="J569" s="82">
        <v>161.89</v>
      </c>
      <c r="K569" s="427">
        <f>=I569*J569</f>
        <v>312933.37</v>
      </c>
      <c r="L569" s="82">
        <v>159.2</v>
      </c>
      <c r="M569" s="428">
        <f>=I569*L569</f>
        <v>307733.6</v>
      </c>
      <c r="N569" s="82">
        <f>=K569-M569</f>
        <v>5199.77000000002</v>
      </c>
      <c r="O569" s="64">
        <v>0</v>
      </c>
      <c r="P569" s="64">
        <f>=I569*O569*ROUNDUP((A569-B569)/30,0)</f>
        <v>0</v>
      </c>
      <c r="Q569" s="62" t="s"/>
      <c r="R569" s="62" t="s"/>
    </row>
    <row r="570" spans="1:18" ht="15.75" customHeight="true">
      <c r="A570" s="80">
        <v>46122</v>
      </c>
      <c r="B570" s="426">
        <v>46061</v>
      </c>
      <c r="C570" s="64" t="s">
        <v>124</v>
      </c>
      <c r="D570" s="64" t="s">
        <v>116</v>
      </c>
      <c r="E570" s="94" t="s">
        <v>2790</v>
      </c>
      <c r="F570" s="197" t="s">
        <v>804</v>
      </c>
      <c r="G570" s="64" t="s">
        <v>429</v>
      </c>
      <c r="H570" s="64" t="s">
        <v>822</v>
      </c>
      <c r="I570" s="64">
        <v>1208</v>
      </c>
      <c r="J570" s="82">
        <v>57.92</v>
      </c>
      <c r="K570" s="427">
        <f>=I570*J570</f>
        <v>69967.36</v>
      </c>
      <c r="L570" s="82">
        <v>57</v>
      </c>
      <c r="M570" s="428">
        <f>=I570*L570</f>
        <v>68856</v>
      </c>
      <c r="N570" s="82">
        <f>=K570-M570</f>
        <v>1111.36</v>
      </c>
      <c r="O570" s="64">
        <v>0</v>
      </c>
      <c r="P570" s="64">
        <f>=I570*O570*ROUNDUP((A570-B570)/30,0)</f>
        <v>0</v>
      </c>
      <c r="Q570" s="62" t="s"/>
      <c r="R570" s="62" t="s"/>
    </row>
    <row r="571" spans="1:18" ht="15.75" customHeight="true">
      <c r="A571" s="80">
        <v>46124</v>
      </c>
      <c r="B571" s="460">
        <v>46105</v>
      </c>
      <c r="C571" s="80" t="s">
        <v>185</v>
      </c>
      <c r="D571" s="64" t="s">
        <v>156</v>
      </c>
      <c r="E571" s="335" t="s">
        <v>2791</v>
      </c>
      <c r="F571" s="197" t="s">
        <v>421</v>
      </c>
      <c r="G571" s="87" t="s">
        <v>470</v>
      </c>
      <c r="H571" s="87" t="s">
        <v>1015</v>
      </c>
      <c r="I571" s="87">
        <v>20</v>
      </c>
      <c r="J571" s="82">
        <v>4022</v>
      </c>
      <c r="K571" s="427">
        <f>=I571*J571</f>
        <v>80440</v>
      </c>
      <c r="L571" s="82">
        <v>4000</v>
      </c>
      <c r="M571" s="428">
        <f>=I571*L571</f>
        <v>80000</v>
      </c>
      <c r="N571" s="82">
        <f>=K571-M571</f>
        <v>440</v>
      </c>
      <c r="O571" s="64">
        <v>1.5</v>
      </c>
      <c r="P571" s="64">
        <f>=I571*O571*ROUNDUP((A571-B571)/30,0)</f>
        <v>30</v>
      </c>
      <c r="Q571" s="62" t="s"/>
      <c r="R571" s="62" t="s"/>
    </row>
    <row r="572" spans="1:18" ht="15.75" customHeight="true">
      <c r="A572" s="80">
        <v>46124</v>
      </c>
      <c r="B572" s="460">
        <v>46105</v>
      </c>
      <c r="C572" s="80" t="s">
        <v>185</v>
      </c>
      <c r="D572" s="64" t="s">
        <v>156</v>
      </c>
      <c r="E572" s="141" t="s">
        <v>2792</v>
      </c>
      <c r="F572" s="197" t="s">
        <v>421</v>
      </c>
      <c r="G572" s="87" t="s">
        <v>470</v>
      </c>
      <c r="H572" s="87" t="s">
        <v>1015</v>
      </c>
      <c r="I572" s="87">
        <v>40</v>
      </c>
      <c r="J572" s="82">
        <v>4022</v>
      </c>
      <c r="K572" s="427">
        <f>=I572*J572</f>
        <v>160880</v>
      </c>
      <c r="L572" s="82">
        <v>4000</v>
      </c>
      <c r="M572" s="428">
        <f>=I572*L572</f>
        <v>160000</v>
      </c>
      <c r="N572" s="82">
        <f>=K572-M572</f>
        <v>880</v>
      </c>
      <c r="O572" s="64">
        <v>1.5</v>
      </c>
      <c r="P572" s="64">
        <f>=I572*O572*ROUNDUP((A572-B572)/30,0)</f>
        <v>60</v>
      </c>
      <c r="Q572" s="62" t="s"/>
      <c r="R572" s="62" t="s"/>
    </row>
    <row r="573" spans="1:18" ht="15.75" customHeight="true">
      <c r="A573" s="80">
        <v>46124</v>
      </c>
      <c r="B573" s="460">
        <v>46105</v>
      </c>
      <c r="C573" s="80" t="s">
        <v>185</v>
      </c>
      <c r="D573" s="64" t="s">
        <v>156</v>
      </c>
      <c r="E573" s="335" t="s">
        <v>2793</v>
      </c>
      <c r="F573" s="197" t="s">
        <v>421</v>
      </c>
      <c r="G573" s="87" t="s">
        <v>470</v>
      </c>
      <c r="H573" s="87" t="s">
        <v>1015</v>
      </c>
      <c r="I573" s="87">
        <v>40</v>
      </c>
      <c r="J573" s="82">
        <v>4022</v>
      </c>
      <c r="K573" s="427">
        <f>=I573*J573</f>
        <v>160880</v>
      </c>
      <c r="L573" s="82">
        <v>4000</v>
      </c>
      <c r="M573" s="428">
        <f>=I573*L573</f>
        <v>160000</v>
      </c>
      <c r="N573" s="82">
        <f>=K573-M573</f>
        <v>880</v>
      </c>
      <c r="O573" s="64">
        <v>1.5</v>
      </c>
      <c r="P573" s="64">
        <f>=I573*O573*ROUNDUP((A573-B573)/30,0)</f>
        <v>60</v>
      </c>
      <c r="Q573" s="62" t="s"/>
      <c r="R573" s="62" t="s"/>
    </row>
    <row r="574" spans="1:18" ht="15.75" customHeight="true">
      <c r="A574" s="80">
        <v>46125</v>
      </c>
      <c r="B574" s="426">
        <v>46022</v>
      </c>
      <c r="C574" s="64" t="s">
        <v>96</v>
      </c>
      <c r="D574" s="64" t="s">
        <v>74</v>
      </c>
      <c r="E574" s="94" t="s">
        <v>2794</v>
      </c>
      <c r="F574" s="197" t="s">
        <v>428</v>
      </c>
      <c r="G574" s="64" t="s">
        <v>470</v>
      </c>
      <c r="H574" s="64" t="s">
        <v>2674</v>
      </c>
      <c r="I574" s="64">
        <v>300</v>
      </c>
      <c r="J574" s="82">
        <v>1084</v>
      </c>
      <c r="K574" s="427">
        <f>=I574*J574</f>
        <v>325200</v>
      </c>
      <c r="L574" s="82">
        <v>1053</v>
      </c>
      <c r="M574" s="428">
        <f>=I574*L574</f>
        <v>315900</v>
      </c>
      <c r="N574" s="82">
        <f>=K574-M574</f>
        <v>9300</v>
      </c>
      <c r="O574" s="64">
        <v>0</v>
      </c>
      <c r="P574" s="64">
        <f>=I574*O574*ROUNDUP((A574-B574)/30,0)</f>
        <v>0</v>
      </c>
      <c r="Q574" s="62" t="s"/>
      <c r="R574" s="62" t="s"/>
    </row>
    <row r="575" spans="1:18" ht="15.75" customHeight="true">
      <c r="A575" s="80">
        <v>46125</v>
      </c>
      <c r="B575" s="426">
        <v>46107</v>
      </c>
      <c r="C575" s="64" t="s">
        <v>202</v>
      </c>
      <c r="D575" s="94" t="s">
        <v>201</v>
      </c>
      <c r="E575" s="94" t="s">
        <v>2795</v>
      </c>
      <c r="F575" s="197" t="s">
        <v>421</v>
      </c>
      <c r="G575" s="197" t="s">
        <v>422</v>
      </c>
      <c r="H575" s="87" t="s">
        <v>1169</v>
      </c>
      <c r="I575" s="87">
        <v>200</v>
      </c>
      <c r="J575" s="82">
        <v>7835</v>
      </c>
      <c r="K575" s="427">
        <f>=I575*J575</f>
        <v>1567000</v>
      </c>
      <c r="L575" s="474">
        <v>7800</v>
      </c>
      <c r="M575" s="428">
        <f>=I575*L575</f>
        <v>1560000</v>
      </c>
      <c r="N575" s="82">
        <f>=K575-M575</f>
        <v>7000</v>
      </c>
      <c r="O575" s="64">
        <v>1</v>
      </c>
      <c r="P575" s="64">
        <f>=I575*O575*ROUNDUP((A575-B575)/30,0)</f>
        <v>200</v>
      </c>
      <c r="Q575" s="62" t="s"/>
      <c r="R575" s="62" t="s"/>
    </row>
    <row r="576" spans="1:18" ht="15.75" customHeight="true">
      <c r="A576" s="80">
        <v>46125</v>
      </c>
      <c r="B576" s="426">
        <v>46107</v>
      </c>
      <c r="C576" s="64" t="s">
        <v>202</v>
      </c>
      <c r="D576" s="94" t="s">
        <v>201</v>
      </c>
      <c r="E576" s="94" t="s">
        <v>2796</v>
      </c>
      <c r="F576" s="197" t="s">
        <v>421</v>
      </c>
      <c r="G576" s="197" t="s">
        <v>422</v>
      </c>
      <c r="H576" s="87" t="s">
        <v>1171</v>
      </c>
      <c r="I576" s="64">
        <v>300</v>
      </c>
      <c r="J576" s="82">
        <v>7835</v>
      </c>
      <c r="K576" s="427">
        <f>=I576*J576</f>
        <v>2350500</v>
      </c>
      <c r="L576" s="474">
        <v>7800</v>
      </c>
      <c r="M576" s="428">
        <f>=I576*L576</f>
        <v>2340000</v>
      </c>
      <c r="N576" s="82">
        <f>=K576-M576</f>
        <v>10500</v>
      </c>
      <c r="O576" s="64">
        <v>1</v>
      </c>
      <c r="P576" s="64">
        <f>=I576*O576*ROUNDUP((A576-B576)/30,0)</f>
        <v>300</v>
      </c>
      <c r="Q576" s="62" t="s"/>
      <c r="R576" s="62" t="s"/>
    </row>
    <row r="577" spans="1:18" ht="15.75" customHeight="true">
      <c r="A577" s="80">
        <v>46125</v>
      </c>
      <c r="B577" s="460">
        <v>46105</v>
      </c>
      <c r="C577" s="80" t="s">
        <v>186</v>
      </c>
      <c r="D577" s="64" t="s">
        <v>135</v>
      </c>
      <c r="E577" s="64" t="s">
        <v>2797</v>
      </c>
      <c r="F577" s="197" t="s">
        <v>741</v>
      </c>
      <c r="G577" s="64" t="s">
        <v>422</v>
      </c>
      <c r="H577" s="64" t="s">
        <v>1032</v>
      </c>
      <c r="I577" s="87">
        <v>50</v>
      </c>
      <c r="J577" s="82">
        <v>1373.67</v>
      </c>
      <c r="K577" s="427">
        <f>=I577*J577</f>
        <v>68683.5</v>
      </c>
      <c r="L577" s="82">
        <v>1365</v>
      </c>
      <c r="M577" s="428">
        <f>=I577*L577</f>
        <v>68250</v>
      </c>
      <c r="N577" s="82">
        <f>=K577-M577</f>
        <v>433.5</v>
      </c>
      <c r="O577" s="64">
        <v>1</v>
      </c>
      <c r="P577" s="64">
        <f>=I577*O577*ROUNDUP((A577-B577)/30,0)</f>
        <v>50</v>
      </c>
      <c r="Q577" s="62" t="s"/>
      <c r="R577" s="62" t="s"/>
    </row>
    <row r="578" spans="1:18" ht="15.75" customHeight="true">
      <c r="A578" s="80">
        <v>46125</v>
      </c>
      <c r="B578" s="460">
        <v>46105</v>
      </c>
      <c r="C578" s="80" t="s">
        <v>186</v>
      </c>
      <c r="D578" s="64" t="s">
        <v>135</v>
      </c>
      <c r="E578" s="94" t="s">
        <v>2798</v>
      </c>
      <c r="F578" s="197" t="s">
        <v>741</v>
      </c>
      <c r="G578" s="64" t="s">
        <v>422</v>
      </c>
      <c r="H578" s="64" t="s">
        <v>1687</v>
      </c>
      <c r="I578" s="87">
        <v>50</v>
      </c>
      <c r="J578" s="82">
        <v>1373.67</v>
      </c>
      <c r="K578" s="427">
        <f>=I578*J578</f>
        <v>68683.5</v>
      </c>
      <c r="L578" s="82">
        <v>1365</v>
      </c>
      <c r="M578" s="428">
        <f>=I578*L578</f>
        <v>68250</v>
      </c>
      <c r="N578" s="82">
        <f>=K578-M578</f>
        <v>433.5</v>
      </c>
      <c r="O578" s="64">
        <v>1</v>
      </c>
      <c r="P578" s="64">
        <f>=I578*O578*ROUNDUP((A578-B578)/30,0)</f>
        <v>50</v>
      </c>
      <c r="Q578" s="62" t="s"/>
      <c r="R578" s="62" t="s"/>
    </row>
    <row r="579" spans="1:18" ht="15.75" customHeight="true">
      <c r="A579" s="80">
        <v>46125</v>
      </c>
      <c r="B579" s="460">
        <v>46105</v>
      </c>
      <c r="C579" s="80" t="s">
        <v>186</v>
      </c>
      <c r="D579" s="64" t="s">
        <v>135</v>
      </c>
      <c r="E579" s="64" t="s">
        <v>2799</v>
      </c>
      <c r="F579" s="197" t="s">
        <v>741</v>
      </c>
      <c r="G579" s="64" t="s">
        <v>422</v>
      </c>
      <c r="H579" s="64" t="s">
        <v>1689</v>
      </c>
      <c r="I579" s="87">
        <v>50</v>
      </c>
      <c r="J579" s="82">
        <v>1373.67</v>
      </c>
      <c r="K579" s="427">
        <f>=I579*J579</f>
        <v>68683.5</v>
      </c>
      <c r="L579" s="82">
        <v>1365</v>
      </c>
      <c r="M579" s="428">
        <f>=I579*L579</f>
        <v>68250</v>
      </c>
      <c r="N579" s="82">
        <f>=K579-M579</f>
        <v>433.5</v>
      </c>
      <c r="O579" s="64">
        <v>1</v>
      </c>
      <c r="P579" s="64">
        <f>=I579*O579*ROUNDUP((A579-B579)/30,0)</f>
        <v>50</v>
      </c>
      <c r="Q579" s="62" t="s"/>
      <c r="R579" s="62" t="s"/>
    </row>
    <row r="580" spans="1:18" ht="15.75" customHeight="true">
      <c r="A580" s="80">
        <v>46127</v>
      </c>
      <c r="B580" s="460">
        <v>46105</v>
      </c>
      <c r="C580" s="80" t="s">
        <v>185</v>
      </c>
      <c r="D580" s="64" t="s">
        <v>156</v>
      </c>
      <c r="E580" s="476" t="s">
        <v>2800</v>
      </c>
      <c r="F580" s="197" t="s">
        <v>421</v>
      </c>
      <c r="G580" s="87" t="s">
        <v>470</v>
      </c>
      <c r="H580" s="87" t="s">
        <v>1015</v>
      </c>
      <c r="I580" s="64">
        <v>8</v>
      </c>
      <c r="J580" s="82">
        <v>4025</v>
      </c>
      <c r="K580" s="427">
        <f>=I580*J580</f>
        <v>32200</v>
      </c>
      <c r="L580" s="82">
        <v>4000</v>
      </c>
      <c r="M580" s="428">
        <f>=I580*L580</f>
        <v>32000</v>
      </c>
      <c r="N580" s="82">
        <f>=K580-M580</f>
        <v>200</v>
      </c>
      <c r="O580" s="64">
        <v>1.5</v>
      </c>
      <c r="P580" s="64">
        <f>=I580*O580*ROUNDUP((A580-B580)/30,0)</f>
        <v>12</v>
      </c>
      <c r="Q580" s="62" t="s"/>
      <c r="R580" s="62" t="s"/>
    </row>
    <row r="581" spans="1:18" ht="15.75" customHeight="true">
      <c r="A581" s="80">
        <v>46127</v>
      </c>
      <c r="B581" s="460">
        <v>46112</v>
      </c>
      <c r="C581" s="80" t="s">
        <v>213</v>
      </c>
      <c r="D581" s="64" t="s">
        <v>156</v>
      </c>
      <c r="E581" s="141" t="s">
        <v>2801</v>
      </c>
      <c r="F581" s="197" t="s">
        <v>421</v>
      </c>
      <c r="G581" s="87" t="s">
        <v>470</v>
      </c>
      <c r="H581" s="87" t="s">
        <v>1015</v>
      </c>
      <c r="I581" s="64">
        <v>42</v>
      </c>
      <c r="J581" s="82">
        <v>3234.88</v>
      </c>
      <c r="K581" s="427">
        <f>=I581*J581</f>
        <v>135864.96</v>
      </c>
      <c r="L581" s="82">
        <v>3220</v>
      </c>
      <c r="M581" s="428">
        <f>=I581*L581</f>
        <v>135240</v>
      </c>
      <c r="N581" s="82">
        <f>=K581-M581</f>
        <v>624.959999999992</v>
      </c>
      <c r="O581" s="64">
        <v>1.5</v>
      </c>
      <c r="P581" s="64">
        <f>=I581*O581*ROUNDUP((A581-B581)/30,0)</f>
        <v>63</v>
      </c>
      <c r="Q581" s="62" t="s"/>
      <c r="R581" s="62" t="s"/>
    </row>
    <row r="582" spans="1:18" ht="15.75" customHeight="true">
      <c r="A582" s="80">
        <v>46127</v>
      </c>
      <c r="B582" s="460">
        <v>46100</v>
      </c>
      <c r="C582" s="80" t="s">
        <v>157</v>
      </c>
      <c r="D582" s="64" t="s">
        <v>156</v>
      </c>
      <c r="E582" s="476" t="s">
        <v>2802</v>
      </c>
      <c r="F582" s="197" t="s">
        <v>421</v>
      </c>
      <c r="G582" s="140" t="s">
        <v>470</v>
      </c>
      <c r="H582" s="64" t="s">
        <v>921</v>
      </c>
      <c r="I582" s="64">
        <v>10</v>
      </c>
      <c r="J582" s="82">
        <v>6849.6</v>
      </c>
      <c r="K582" s="427">
        <f>=I582*J582</f>
        <v>68496</v>
      </c>
      <c r="L582" s="82">
        <v>6800</v>
      </c>
      <c r="M582" s="428">
        <f>=I582*L582</f>
        <v>68000</v>
      </c>
      <c r="N582" s="82">
        <f>=K582-M582</f>
        <v>496</v>
      </c>
      <c r="O582" s="64">
        <v>1.5</v>
      </c>
      <c r="P582" s="64">
        <f>=I582*O582*ROUNDUP((A582-B582)/30,0)</f>
        <v>15</v>
      </c>
      <c r="Q582" s="62" t="s"/>
      <c r="R582" s="62" t="s"/>
    </row>
    <row r="583" spans="1:18" ht="15.75" customHeight="true">
      <c r="A583" s="80">
        <v>46127</v>
      </c>
      <c r="B583" s="460">
        <v>46111</v>
      </c>
      <c r="C583" s="80" t="s">
        <v>209</v>
      </c>
      <c r="D583" s="64" t="s">
        <v>135</v>
      </c>
      <c r="E583" s="94" t="s">
        <v>2803</v>
      </c>
      <c r="F583" s="197" t="s">
        <v>741</v>
      </c>
      <c r="G583" s="64" t="s">
        <v>422</v>
      </c>
      <c r="H583" s="274" t="s">
        <v>1249</v>
      </c>
      <c r="I583" s="64">
        <v>80</v>
      </c>
      <c r="J583" s="82">
        <v>711.5</v>
      </c>
      <c r="K583" s="427">
        <f>=I583*J583</f>
        <v>56920</v>
      </c>
      <c r="L583" s="470">
        <v>707</v>
      </c>
      <c r="M583" s="428">
        <f>=I583*L583</f>
        <v>56560</v>
      </c>
      <c r="N583" s="82">
        <f>=K583-M583</f>
        <v>360</v>
      </c>
      <c r="O583" s="64">
        <v>1</v>
      </c>
      <c r="P583" s="64">
        <f>=I583*O583*ROUNDUP((A583-B583)/30,0)</f>
        <v>80</v>
      </c>
      <c r="Q583" s="62" t="s"/>
      <c r="R583" s="62" t="s"/>
    </row>
    <row r="584" spans="1:18" ht="15.75" customHeight="true">
      <c r="A584" s="80">
        <v>46127</v>
      </c>
      <c r="B584" s="460">
        <v>46111</v>
      </c>
      <c r="C584" s="80" t="s">
        <v>209</v>
      </c>
      <c r="D584" s="64" t="s">
        <v>135</v>
      </c>
      <c r="E584" s="94" t="s">
        <v>2804</v>
      </c>
      <c r="F584" s="197" t="s">
        <v>741</v>
      </c>
      <c r="G584" s="64" t="s">
        <v>422</v>
      </c>
      <c r="H584" s="140" t="s">
        <v>1683</v>
      </c>
      <c r="I584" s="64">
        <v>60</v>
      </c>
      <c r="J584" s="82">
        <v>711.5</v>
      </c>
      <c r="K584" s="427">
        <f>=I584*J584</f>
        <v>42690</v>
      </c>
      <c r="L584" s="470">
        <v>707</v>
      </c>
      <c r="M584" s="428">
        <f>=I584*L584</f>
        <v>42420</v>
      </c>
      <c r="N584" s="82">
        <f>=K584-M584</f>
        <v>270</v>
      </c>
      <c r="O584" s="64">
        <v>1</v>
      </c>
      <c r="P584" s="64">
        <f>=I584*O584*ROUNDUP((A584-B584)/30,0)</f>
        <v>60</v>
      </c>
      <c r="Q584" s="62" t="s"/>
      <c r="R584" s="62" t="s"/>
    </row>
    <row r="585" spans="1:18" ht="15.75" customHeight="true">
      <c r="A585" s="80">
        <v>46127</v>
      </c>
      <c r="B585" s="460">
        <v>46111</v>
      </c>
      <c r="C585" s="80" t="s">
        <v>209</v>
      </c>
      <c r="D585" s="64" t="s">
        <v>135</v>
      </c>
      <c r="E585" s="94" t="s">
        <v>2805</v>
      </c>
      <c r="F585" s="197" t="s">
        <v>741</v>
      </c>
      <c r="G585" s="64" t="s">
        <v>422</v>
      </c>
      <c r="H585" s="140" t="s">
        <v>1685</v>
      </c>
      <c r="I585" s="64">
        <v>60</v>
      </c>
      <c r="J585" s="82">
        <v>711.5</v>
      </c>
      <c r="K585" s="427">
        <f>=I585*J585</f>
        <v>42690</v>
      </c>
      <c r="L585" s="470">
        <v>707</v>
      </c>
      <c r="M585" s="428">
        <f>=I585*L585</f>
        <v>42420</v>
      </c>
      <c r="N585" s="82">
        <f>=K585-M585</f>
        <v>270</v>
      </c>
      <c r="O585" s="64">
        <v>1</v>
      </c>
      <c r="P585" s="64">
        <f>=I585*O585*ROUNDUP((A585-B585)/30,0)</f>
        <v>60</v>
      </c>
      <c r="Q585" s="62" t="s"/>
      <c r="R585" s="62" t="s"/>
    </row>
    <row r="586" spans="1:18" ht="15.75" customHeight="true">
      <c r="A586" s="80">
        <v>46128</v>
      </c>
      <c r="B586" s="460">
        <v>46106</v>
      </c>
      <c r="C586" s="80" t="s">
        <v>190</v>
      </c>
      <c r="D586" s="64" t="s">
        <v>189</v>
      </c>
      <c r="E586" s="471" t="s">
        <v>2806</v>
      </c>
      <c r="F586" s="141" t="s">
        <v>428</v>
      </c>
      <c r="G586" s="64" t="s">
        <v>422</v>
      </c>
      <c r="H586" s="64" t="s">
        <v>1046</v>
      </c>
      <c r="I586" s="87">
        <v>200</v>
      </c>
      <c r="J586" s="82">
        <v>706.33</v>
      </c>
      <c r="K586" s="427">
        <f>=I586*J586</f>
        <v>141266</v>
      </c>
      <c r="L586" s="82">
        <v>700</v>
      </c>
      <c r="M586" s="428">
        <f>=I586*L586</f>
        <v>140000</v>
      </c>
      <c r="N586" s="82">
        <f>=K586-M586</f>
        <v>1266</v>
      </c>
      <c r="O586" s="64">
        <v>1</v>
      </c>
      <c r="P586" s="64">
        <f>=I586*O586*ROUNDUP((A586-B586)/30,0)</f>
        <v>200</v>
      </c>
      <c r="Q586" s="62" t="s"/>
      <c r="R586" s="62" t="s"/>
    </row>
    <row r="587" spans="1:18" ht="15.75" customHeight="true">
      <c r="A587" s="80">
        <v>46128</v>
      </c>
      <c r="B587" s="460">
        <v>46106</v>
      </c>
      <c r="C587" s="80" t="s">
        <v>190</v>
      </c>
      <c r="D587" s="64" t="s">
        <v>189</v>
      </c>
      <c r="E587" s="471" t="s">
        <v>2807</v>
      </c>
      <c r="F587" s="141" t="s">
        <v>428</v>
      </c>
      <c r="G587" s="64" t="s">
        <v>422</v>
      </c>
      <c r="H587" s="64" t="s">
        <v>1048</v>
      </c>
      <c r="I587" s="87">
        <v>100</v>
      </c>
      <c r="J587" s="82">
        <v>706.33</v>
      </c>
      <c r="K587" s="427">
        <f>=I587*J587</f>
        <v>70633</v>
      </c>
      <c r="L587" s="82">
        <v>700</v>
      </c>
      <c r="M587" s="428">
        <f>=I587*L587</f>
        <v>70000</v>
      </c>
      <c r="N587" s="82">
        <f>=K587-M587</f>
        <v>633</v>
      </c>
      <c r="O587" s="64">
        <v>1</v>
      </c>
      <c r="P587" s="64">
        <f>=I587*O587*ROUNDUP((A587-B587)/30,0)</f>
        <v>100</v>
      </c>
      <c r="Q587" s="62" t="s"/>
      <c r="R587" s="62" t="s"/>
    </row>
    <row r="588" spans="1:18" ht="15.75" customHeight="true">
      <c r="A588" s="80">
        <v>46128</v>
      </c>
      <c r="B588" s="460">
        <v>46106</v>
      </c>
      <c r="C588" s="80" t="s">
        <v>190</v>
      </c>
      <c r="D588" s="64" t="s">
        <v>189</v>
      </c>
      <c r="E588" s="471" t="s">
        <v>2808</v>
      </c>
      <c r="F588" s="197" t="s">
        <v>428</v>
      </c>
      <c r="G588" s="64" t="s">
        <v>422</v>
      </c>
      <c r="H588" s="64" t="s">
        <v>1054</v>
      </c>
      <c r="I588" s="87">
        <v>20</v>
      </c>
      <c r="J588" s="82">
        <v>988.26</v>
      </c>
      <c r="K588" s="427">
        <f>=I588*J588</f>
        <v>19765.2</v>
      </c>
      <c r="L588" s="82">
        <v>980</v>
      </c>
      <c r="M588" s="428">
        <f>=I588*L588</f>
        <v>19600</v>
      </c>
      <c r="N588" s="82">
        <f>=K588-M588</f>
        <v>165.200000000001</v>
      </c>
      <c r="O588" s="64">
        <v>1</v>
      </c>
      <c r="P588" s="64">
        <f>=I588*O588*ROUNDUP((A588-B588)/30,0)</f>
        <v>20</v>
      </c>
      <c r="Q588" s="62" t="s"/>
      <c r="R588" s="62" t="s"/>
    </row>
    <row r="589" spans="1:18" ht="15.75" customHeight="true">
      <c r="A589" s="80">
        <v>46128</v>
      </c>
      <c r="B589" s="460">
        <v>46107</v>
      </c>
      <c r="C589" s="80" t="s">
        <v>194</v>
      </c>
      <c r="D589" s="64" t="s">
        <v>189</v>
      </c>
      <c r="E589" s="471" t="s">
        <v>2809</v>
      </c>
      <c r="F589" s="197" t="s">
        <v>428</v>
      </c>
      <c r="G589" s="64" t="s">
        <v>422</v>
      </c>
      <c r="H589" s="64" t="s">
        <v>1056</v>
      </c>
      <c r="I589" s="87">
        <v>20</v>
      </c>
      <c r="J589" s="82">
        <v>1586.9</v>
      </c>
      <c r="K589" s="427">
        <f>=I589*J589</f>
        <v>31738</v>
      </c>
      <c r="L589" s="82">
        <v>1575</v>
      </c>
      <c r="M589" s="428">
        <f>=I589*L589</f>
        <v>31500</v>
      </c>
      <c r="N589" s="82">
        <f>=K589-M589</f>
        <v>238</v>
      </c>
      <c r="O589" s="64">
        <v>1</v>
      </c>
      <c r="P589" s="64">
        <f>=I589*O589*ROUNDUP((A589-B589)/30,0)</f>
        <v>20</v>
      </c>
      <c r="Q589" s="62" t="s"/>
      <c r="R589" s="62" t="s"/>
    </row>
    <row r="590" spans="1:18" ht="15.75" customHeight="true">
      <c r="A590" s="80">
        <v>46128</v>
      </c>
      <c r="B590" s="460">
        <v>46109</v>
      </c>
      <c r="C590" s="80" t="s">
        <v>206</v>
      </c>
      <c r="D590" s="64" t="s">
        <v>189</v>
      </c>
      <c r="E590" s="471" t="s">
        <v>2810</v>
      </c>
      <c r="F590" s="197" t="s">
        <v>428</v>
      </c>
      <c r="G590" s="64" t="s">
        <v>422</v>
      </c>
      <c r="H590" s="140" t="s">
        <v>1058</v>
      </c>
      <c r="I590" s="87">
        <v>13</v>
      </c>
      <c r="J590" s="82">
        <v>3059.74</v>
      </c>
      <c r="K590" s="427">
        <f>=I590*J590</f>
        <v>39776.62</v>
      </c>
      <c r="L590" s="472">
        <v>3040</v>
      </c>
      <c r="M590" s="428">
        <f>=I590*L590</f>
        <v>39520</v>
      </c>
      <c r="N590" s="82">
        <f>=K590-M590</f>
        <v>256.619999999995</v>
      </c>
      <c r="O590" s="64">
        <v>1</v>
      </c>
      <c r="P590" s="64">
        <f>=I590*O590*ROUNDUP((A590-B590)/30,0)</f>
        <v>13</v>
      </c>
      <c r="Q590" s="62" t="s"/>
      <c r="R590" s="62" t="s"/>
    </row>
    <row r="591" spans="1:18" ht="15.75" customHeight="true">
      <c r="A591" s="80">
        <v>46128</v>
      </c>
      <c r="B591" s="460">
        <v>46109</v>
      </c>
      <c r="C591" s="80" t="s">
        <v>206</v>
      </c>
      <c r="D591" s="64" t="s">
        <v>189</v>
      </c>
      <c r="E591" s="471" t="s">
        <v>2811</v>
      </c>
      <c r="F591" s="197" t="s">
        <v>428</v>
      </c>
      <c r="G591" s="64" t="s">
        <v>422</v>
      </c>
      <c r="H591" s="140" t="s">
        <v>1060</v>
      </c>
      <c r="I591" s="87">
        <v>11</v>
      </c>
      <c r="J591" s="82">
        <v>3059.74</v>
      </c>
      <c r="K591" s="427">
        <f>=I591*J591</f>
        <v>33657.14</v>
      </c>
      <c r="L591" s="472">
        <v>3040</v>
      </c>
      <c r="M591" s="428">
        <f>=I591*L591</f>
        <v>33440</v>
      </c>
      <c r="N591" s="82">
        <f>=K591-M591</f>
        <v>217.139999999999</v>
      </c>
      <c r="O591" s="64">
        <v>1</v>
      </c>
      <c r="P591" s="64">
        <f>=I591*O591*ROUNDUP((A591-B591)/30,0)</f>
        <v>11</v>
      </c>
      <c r="Q591" s="62" t="s"/>
      <c r="R591" s="62" t="s"/>
    </row>
    <row r="592" spans="1:18" ht="15.75" customHeight="true">
      <c r="A592" s="80">
        <v>46128</v>
      </c>
      <c r="B592" s="460">
        <v>46109</v>
      </c>
      <c r="C592" s="80" t="s">
        <v>206</v>
      </c>
      <c r="D592" s="64" t="s">
        <v>189</v>
      </c>
      <c r="E592" s="471" t="s">
        <v>2812</v>
      </c>
      <c r="F592" s="197" t="s">
        <v>428</v>
      </c>
      <c r="G592" s="64" t="s">
        <v>422</v>
      </c>
      <c r="H592" s="140" t="s">
        <v>1062</v>
      </c>
      <c r="I592" s="87">
        <v>11</v>
      </c>
      <c r="J592" s="82">
        <v>3059.74</v>
      </c>
      <c r="K592" s="427">
        <f>=I592*J592</f>
        <v>33657.14</v>
      </c>
      <c r="L592" s="472">
        <v>3040</v>
      </c>
      <c r="M592" s="428">
        <f>=I592*L592</f>
        <v>33440</v>
      </c>
      <c r="N592" s="82">
        <f>=K592-M592</f>
        <v>217.139999999999</v>
      </c>
      <c r="O592" s="64">
        <v>1</v>
      </c>
      <c r="P592" s="64">
        <f>=I592*O592*ROUNDUP((A592-B592)/30,0)</f>
        <v>11</v>
      </c>
      <c r="Q592" s="62" t="s"/>
      <c r="R592" s="62" t="s"/>
    </row>
    <row r="593" spans="1:18" ht="15.75" customHeight="true">
      <c r="A593" s="80">
        <v>46128</v>
      </c>
      <c r="B593" s="460">
        <v>46107</v>
      </c>
      <c r="C593" s="80" t="s">
        <v>194</v>
      </c>
      <c r="D593" s="64" t="s">
        <v>189</v>
      </c>
      <c r="E593" s="471" t="s">
        <v>2813</v>
      </c>
      <c r="F593" s="247" t="s">
        <v>428</v>
      </c>
      <c r="G593" s="64" t="s">
        <v>429</v>
      </c>
      <c r="H593" s="320" t="s">
        <v>1064</v>
      </c>
      <c r="I593" s="87">
        <v>10</v>
      </c>
      <c r="J593" s="82">
        <v>706.12</v>
      </c>
      <c r="K593" s="427">
        <f>=I593*J593</f>
        <v>7061.2</v>
      </c>
      <c r="L593" s="82">
        <v>700</v>
      </c>
      <c r="M593" s="428">
        <f>=I593*L593</f>
        <v>7000</v>
      </c>
      <c r="N593" s="82">
        <f>=K593-M593</f>
        <v>61.1999999999998</v>
      </c>
      <c r="O593" s="64">
        <v>0.3</v>
      </c>
      <c r="P593" s="64">
        <f>=I593*O593*ROUNDUP((A593-B593)/30,0)</f>
        <v>3</v>
      </c>
      <c r="Q593" s="62" t="s"/>
      <c r="R593" s="62" t="s"/>
    </row>
    <row r="594" spans="1:18" ht="15.75" customHeight="true">
      <c r="A594" s="80">
        <v>46128</v>
      </c>
      <c r="B594" s="460">
        <v>46107</v>
      </c>
      <c r="C594" s="80" t="s">
        <v>194</v>
      </c>
      <c r="D594" s="64" t="s">
        <v>189</v>
      </c>
      <c r="E594" s="471" t="s">
        <v>2814</v>
      </c>
      <c r="F594" s="247" t="s">
        <v>428</v>
      </c>
      <c r="G594" s="64" t="s">
        <v>429</v>
      </c>
      <c r="H594" s="87" t="s">
        <v>1066</v>
      </c>
      <c r="I594" s="87">
        <v>10</v>
      </c>
      <c r="J594" s="82">
        <v>706.12</v>
      </c>
      <c r="K594" s="427">
        <f>=I594*J594</f>
        <v>7061.2</v>
      </c>
      <c r="L594" s="82">
        <v>700</v>
      </c>
      <c r="M594" s="428">
        <f>=I594*L594</f>
        <v>7000</v>
      </c>
      <c r="N594" s="82">
        <f>=K594-M594</f>
        <v>61.1999999999998</v>
      </c>
      <c r="O594" s="64">
        <v>0.3</v>
      </c>
      <c r="P594" s="64">
        <f>=I594*O594*ROUNDUP((A594-B594)/30,0)</f>
        <v>3</v>
      </c>
      <c r="Q594" s="62" t="s"/>
      <c r="R594" s="62" t="s"/>
    </row>
    <row r="595" spans="1:18" ht="15.75" customHeight="true">
      <c r="A595" s="80">
        <v>46128</v>
      </c>
      <c r="B595" s="460">
        <v>46107</v>
      </c>
      <c r="C595" s="80" t="s">
        <v>194</v>
      </c>
      <c r="D595" s="64" t="s">
        <v>189</v>
      </c>
      <c r="E595" s="471" t="s">
        <v>2815</v>
      </c>
      <c r="F595" s="247" t="s">
        <v>428</v>
      </c>
      <c r="G595" s="64" t="s">
        <v>429</v>
      </c>
      <c r="H595" s="87" t="s">
        <v>1068</v>
      </c>
      <c r="I595" s="87">
        <v>10</v>
      </c>
      <c r="J595" s="82">
        <v>741.35</v>
      </c>
      <c r="K595" s="427">
        <f>=I595*J595</f>
        <v>7413.5</v>
      </c>
      <c r="L595" s="82">
        <v>735</v>
      </c>
      <c r="M595" s="428">
        <f>=I595*L595</f>
        <v>7350</v>
      </c>
      <c r="N595" s="82">
        <f>=K595-M595</f>
        <v>63.5</v>
      </c>
      <c r="O595" s="64">
        <v>0.3</v>
      </c>
      <c r="P595" s="64">
        <f>=I595*O595*ROUNDUP((A595-B595)/30,0)</f>
        <v>3</v>
      </c>
      <c r="Q595" s="62" t="s"/>
      <c r="R595" s="62" t="s"/>
    </row>
    <row r="596" spans="1:18" ht="15.75" customHeight="true">
      <c r="A596" s="80">
        <v>46128</v>
      </c>
      <c r="B596" s="460">
        <v>46107</v>
      </c>
      <c r="C596" s="80" t="s">
        <v>194</v>
      </c>
      <c r="D596" s="64" t="s">
        <v>189</v>
      </c>
      <c r="E596" s="471" t="s">
        <v>2816</v>
      </c>
      <c r="F596" s="197" t="s">
        <v>428</v>
      </c>
      <c r="G596" s="64" t="s">
        <v>422</v>
      </c>
      <c r="H596" s="259" t="s">
        <v>1070</v>
      </c>
      <c r="I596" s="87">
        <v>9</v>
      </c>
      <c r="J596" s="82">
        <v>3142.09</v>
      </c>
      <c r="K596" s="427">
        <f>=I596*J596</f>
        <v>28278.81</v>
      </c>
      <c r="L596" s="82">
        <v>3120</v>
      </c>
      <c r="M596" s="428">
        <f>=I596*L596</f>
        <v>28080</v>
      </c>
      <c r="N596" s="82">
        <f>=K596-M596</f>
        <v>198.810000000001</v>
      </c>
      <c r="O596" s="64">
        <v>1</v>
      </c>
      <c r="P596" s="64">
        <f>=I596*O596*ROUNDUP((A596-B596)/30,0)</f>
        <v>9</v>
      </c>
      <c r="Q596" s="62" t="s"/>
      <c r="R596" s="62" t="s"/>
    </row>
    <row r="597" spans="1:18" ht="15.75" customHeight="true">
      <c r="A597" s="80">
        <v>46128</v>
      </c>
      <c r="B597" s="460">
        <v>46106</v>
      </c>
      <c r="C597" s="80" t="s">
        <v>190</v>
      </c>
      <c r="D597" s="64" t="s">
        <v>189</v>
      </c>
      <c r="E597" s="471" t="s">
        <v>2817</v>
      </c>
      <c r="F597" s="197" t="s">
        <v>428</v>
      </c>
      <c r="G597" s="64" t="s">
        <v>422</v>
      </c>
      <c r="H597" s="64" t="s">
        <v>1111</v>
      </c>
      <c r="I597" s="87">
        <v>5</v>
      </c>
      <c r="J597" s="82">
        <v>988.26</v>
      </c>
      <c r="K597" s="427">
        <f>=I597*J597</f>
        <v>4941.3</v>
      </c>
      <c r="L597" s="82">
        <v>980</v>
      </c>
      <c r="M597" s="428">
        <f>=I597*L597</f>
        <v>4900</v>
      </c>
      <c r="N597" s="82">
        <f>=K597-M597</f>
        <v>41.3000000000002</v>
      </c>
      <c r="O597" s="64">
        <v>1</v>
      </c>
      <c r="P597" s="64">
        <f>=I597*O597*ROUNDUP((A597-B597)/30,0)</f>
        <v>5</v>
      </c>
      <c r="Q597" s="62" t="s"/>
      <c r="R597" s="62" t="s"/>
    </row>
    <row r="598" spans="1:18" ht="15.75" customHeight="true">
      <c r="A598" s="80">
        <v>46128</v>
      </c>
      <c r="B598" s="460">
        <v>46106</v>
      </c>
      <c r="C598" s="80" t="s">
        <v>190</v>
      </c>
      <c r="D598" s="64" t="s">
        <v>189</v>
      </c>
      <c r="E598" s="471" t="s">
        <v>2818</v>
      </c>
      <c r="F598" s="197" t="s">
        <v>428</v>
      </c>
      <c r="G598" s="64" t="s">
        <v>422</v>
      </c>
      <c r="H598" s="64" t="s">
        <v>1113</v>
      </c>
      <c r="I598" s="87">
        <v>5</v>
      </c>
      <c r="J598" s="82">
        <v>988.26</v>
      </c>
      <c r="K598" s="427">
        <f>=I598*J598</f>
        <v>4941.3</v>
      </c>
      <c r="L598" s="82">
        <v>980</v>
      </c>
      <c r="M598" s="428">
        <f>=I598*L598</f>
        <v>4900</v>
      </c>
      <c r="N598" s="82">
        <f>=K598-M598</f>
        <v>41.3000000000002</v>
      </c>
      <c r="O598" s="64">
        <v>1</v>
      </c>
      <c r="P598" s="64">
        <f>=I598*O598*ROUNDUP((A598-B598)/30,0)</f>
        <v>5</v>
      </c>
      <c r="Q598" s="62" t="s"/>
      <c r="R598" s="62" t="s"/>
    </row>
    <row r="599" spans="1:18" ht="15.75" customHeight="true">
      <c r="A599" s="80">
        <v>46128</v>
      </c>
      <c r="B599" s="460">
        <v>46107</v>
      </c>
      <c r="C599" s="80" t="s">
        <v>194</v>
      </c>
      <c r="D599" s="64" t="s">
        <v>189</v>
      </c>
      <c r="E599" s="471" t="s">
        <v>2819</v>
      </c>
      <c r="F599" s="197" t="s">
        <v>428</v>
      </c>
      <c r="G599" s="64" t="s">
        <v>422</v>
      </c>
      <c r="H599" s="259" t="s">
        <v>1115</v>
      </c>
      <c r="I599" s="87">
        <v>5</v>
      </c>
      <c r="J599" s="82">
        <v>1763.05</v>
      </c>
      <c r="K599" s="427">
        <f>=I599*J599</f>
        <v>8815.25</v>
      </c>
      <c r="L599" s="82">
        <v>1750</v>
      </c>
      <c r="M599" s="428">
        <f>=I599*L599</f>
        <v>8750</v>
      </c>
      <c r="N599" s="82">
        <f>=K599-M599</f>
        <v>65.25</v>
      </c>
      <c r="O599" s="64">
        <v>1</v>
      </c>
      <c r="P599" s="64">
        <f>=I599*O599*ROUNDUP((A599-B599)/30,0)</f>
        <v>5</v>
      </c>
      <c r="Q599" s="62" t="s"/>
      <c r="R599" s="62" t="s"/>
    </row>
    <row r="600" spans="1:18" ht="15.75" customHeight="true">
      <c r="A600" s="80">
        <v>46128</v>
      </c>
      <c r="B600" s="460">
        <v>46109</v>
      </c>
      <c r="C600" s="80" t="s">
        <v>206</v>
      </c>
      <c r="D600" s="64" t="s">
        <v>189</v>
      </c>
      <c r="E600" s="471" t="s">
        <v>2818</v>
      </c>
      <c r="F600" s="197" t="s">
        <v>428</v>
      </c>
      <c r="G600" s="64" t="s">
        <v>422</v>
      </c>
      <c r="H600" s="140" t="s">
        <v>1117</v>
      </c>
      <c r="I600" s="87">
        <v>5</v>
      </c>
      <c r="J600" s="82">
        <v>3542.62</v>
      </c>
      <c r="K600" s="427">
        <f>=I600*J600</f>
        <v>17713.1</v>
      </c>
      <c r="L600" s="472">
        <v>3520</v>
      </c>
      <c r="M600" s="428">
        <f>=I600*L600</f>
        <v>17600</v>
      </c>
      <c r="N600" s="82">
        <f>=K600-M600</f>
        <v>113.099999999999</v>
      </c>
      <c r="O600" s="64">
        <v>1</v>
      </c>
      <c r="P600" s="64">
        <f>=I600*O600*ROUNDUP((A600-B600)/30,0)</f>
        <v>5</v>
      </c>
      <c r="Q600" s="62" t="s"/>
      <c r="R600" s="62" t="s"/>
    </row>
    <row r="601" spans="1:18" ht="15.75" customHeight="true">
      <c r="A601" s="80">
        <v>46128</v>
      </c>
      <c r="B601" s="460">
        <v>46107</v>
      </c>
      <c r="C601" s="80" t="s">
        <v>194</v>
      </c>
      <c r="D601" s="64" t="s">
        <v>189</v>
      </c>
      <c r="E601" s="471" t="s">
        <v>2820</v>
      </c>
      <c r="F601" s="197" t="s">
        <v>428</v>
      </c>
      <c r="G601" s="64" t="s">
        <v>422</v>
      </c>
      <c r="H601" s="259" t="s">
        <v>1122</v>
      </c>
      <c r="I601" s="87">
        <v>4</v>
      </c>
      <c r="J601" s="82">
        <v>3142.09</v>
      </c>
      <c r="K601" s="427">
        <f>=I601*J601</f>
        <v>12568.36</v>
      </c>
      <c r="L601" s="82">
        <v>3120</v>
      </c>
      <c r="M601" s="428">
        <f>=I601*L601</f>
        <v>12480</v>
      </c>
      <c r="N601" s="82">
        <f>=K601-M601</f>
        <v>88.3600000000006</v>
      </c>
      <c r="O601" s="64">
        <v>1</v>
      </c>
      <c r="P601" s="64">
        <f>=I601*O601*ROUNDUP((A601-B601)/30,0)</f>
        <v>4</v>
      </c>
      <c r="Q601" s="62" t="s"/>
      <c r="R601" s="62" t="s"/>
    </row>
    <row r="602" spans="1:18" ht="15.75" customHeight="true">
      <c r="A602" s="80">
        <v>46128</v>
      </c>
      <c r="B602" s="460">
        <v>46109</v>
      </c>
      <c r="C602" s="80" t="s">
        <v>206</v>
      </c>
      <c r="D602" s="64" t="s">
        <v>189</v>
      </c>
      <c r="E602" s="471" t="s">
        <v>2821</v>
      </c>
      <c r="F602" s="197" t="s">
        <v>428</v>
      </c>
      <c r="G602" s="64" t="s">
        <v>422</v>
      </c>
      <c r="H602" s="140" t="s">
        <v>1125</v>
      </c>
      <c r="I602" s="87">
        <v>4</v>
      </c>
      <c r="J602" s="82">
        <v>2778.06</v>
      </c>
      <c r="K602" s="427">
        <f>=I602*J602</f>
        <v>11112.24</v>
      </c>
      <c r="L602" s="472">
        <v>2760</v>
      </c>
      <c r="M602" s="428">
        <f>=I602*L602</f>
        <v>11040</v>
      </c>
      <c r="N602" s="82">
        <f>=K602-M602</f>
        <v>72.2399999999998</v>
      </c>
      <c r="O602" s="64">
        <v>1</v>
      </c>
      <c r="P602" s="64">
        <f>=I602*O602*ROUNDUP((A602-B602)/30,0)</f>
        <v>4</v>
      </c>
      <c r="Q602" s="62" t="s"/>
      <c r="R602" s="62" t="s"/>
    </row>
    <row r="603" spans="1:18" ht="15.75" customHeight="true">
      <c r="A603" s="80">
        <v>46128</v>
      </c>
      <c r="B603" s="460">
        <v>46109</v>
      </c>
      <c r="C603" s="80" t="s">
        <v>206</v>
      </c>
      <c r="D603" s="64" t="s">
        <v>189</v>
      </c>
      <c r="E603" s="471" t="s">
        <v>2822</v>
      </c>
      <c r="F603" s="197" t="s">
        <v>428</v>
      </c>
      <c r="G603" s="64" t="s">
        <v>422</v>
      </c>
      <c r="H603" s="140" t="s">
        <v>1127</v>
      </c>
      <c r="I603" s="87">
        <v>4</v>
      </c>
      <c r="J603" s="82">
        <v>2778.06</v>
      </c>
      <c r="K603" s="427">
        <f>=I603*J603</f>
        <v>11112.24</v>
      </c>
      <c r="L603" s="472">
        <v>2760</v>
      </c>
      <c r="M603" s="428">
        <f>=I603*L603</f>
        <v>11040</v>
      </c>
      <c r="N603" s="82">
        <f>=K603-M603</f>
        <v>72.2399999999998</v>
      </c>
      <c r="O603" s="64">
        <v>1</v>
      </c>
      <c r="P603" s="64">
        <f>=I603*O603*ROUNDUP((A603-B603)/30,0)</f>
        <v>4</v>
      </c>
      <c r="Q603" s="62" t="s"/>
      <c r="R603" s="62" t="s"/>
    </row>
    <row r="604" spans="1:18" ht="15.75" customHeight="true">
      <c r="A604" s="80">
        <v>46128</v>
      </c>
      <c r="B604" s="460">
        <v>46111</v>
      </c>
      <c r="C604" s="80" t="s">
        <v>208</v>
      </c>
      <c r="D604" s="64" t="s">
        <v>189</v>
      </c>
      <c r="E604" s="471" t="s">
        <v>2823</v>
      </c>
      <c r="F604" s="141" t="s">
        <v>428</v>
      </c>
      <c r="G604" s="140" t="s">
        <v>470</v>
      </c>
      <c r="H604" s="140" t="s">
        <v>1137</v>
      </c>
      <c r="I604" s="87">
        <v>3</v>
      </c>
      <c r="J604" s="82">
        <v>4294.56</v>
      </c>
      <c r="K604" s="427">
        <f>=I604*J604</f>
        <v>12883.68</v>
      </c>
      <c r="L604" s="470">
        <v>4270</v>
      </c>
      <c r="M604" s="428">
        <f>=I604*L604</f>
        <v>12810</v>
      </c>
      <c r="N604" s="82">
        <f>=K604-M604</f>
        <v>73.6800000000003</v>
      </c>
      <c r="O604" s="64">
        <v>1.5</v>
      </c>
      <c r="P604" s="64">
        <f>=I604*O604*ROUNDUP((A604-B604)/30,0)</f>
        <v>4.5</v>
      </c>
      <c r="Q604" s="62" t="s"/>
      <c r="R604" s="62" t="s"/>
    </row>
    <row r="605" spans="1:18" ht="15.75" customHeight="true">
      <c r="A605" s="80">
        <v>46128</v>
      </c>
      <c r="B605" s="460">
        <v>46111</v>
      </c>
      <c r="C605" s="80" t="s">
        <v>208</v>
      </c>
      <c r="D605" s="64" t="s">
        <v>189</v>
      </c>
      <c r="E605" s="477" t="s">
        <v>2824</v>
      </c>
      <c r="F605" s="141" t="s">
        <v>428</v>
      </c>
      <c r="G605" s="140" t="s">
        <v>470</v>
      </c>
      <c r="H605" s="140" t="s">
        <v>1139</v>
      </c>
      <c r="I605" s="87">
        <v>3</v>
      </c>
      <c r="J605" s="82">
        <v>5772.5</v>
      </c>
      <c r="K605" s="427">
        <f>=I605*J605</f>
        <v>17317.5</v>
      </c>
      <c r="L605" s="470">
        <v>5740</v>
      </c>
      <c r="M605" s="428">
        <f>=I605*L605</f>
        <v>17220</v>
      </c>
      <c r="N605" s="82">
        <f>=K605-M605</f>
        <v>97.5</v>
      </c>
      <c r="O605" s="64">
        <v>1.5</v>
      </c>
      <c r="P605" s="64">
        <f>=I605*O605*ROUNDUP((A605-B605)/30,0)</f>
        <v>4.5</v>
      </c>
      <c r="Q605" s="62" t="s"/>
      <c r="R605" s="62" t="s"/>
    </row>
    <row r="606" spans="1:18" ht="15.75" customHeight="true">
      <c r="A606" s="80">
        <v>46128</v>
      </c>
      <c r="B606" s="460">
        <v>46111</v>
      </c>
      <c r="C606" s="80" t="s">
        <v>208</v>
      </c>
      <c r="D606" s="64" t="s">
        <v>189</v>
      </c>
      <c r="E606" s="471" t="s">
        <v>2825</v>
      </c>
      <c r="F606" s="197" t="s">
        <v>428</v>
      </c>
      <c r="G606" s="64" t="s">
        <v>422</v>
      </c>
      <c r="H606" s="140" t="s">
        <v>1143</v>
      </c>
      <c r="I606" s="87">
        <v>3</v>
      </c>
      <c r="J606" s="82">
        <v>4103.53</v>
      </c>
      <c r="K606" s="427">
        <f>=I606*J606</f>
        <v>12310.59</v>
      </c>
      <c r="L606" s="470">
        <v>4080</v>
      </c>
      <c r="M606" s="428">
        <f>=I606*L606</f>
        <v>12240</v>
      </c>
      <c r="N606" s="82">
        <f>=K606-M606</f>
        <v>70.5900000000002</v>
      </c>
      <c r="O606" s="64">
        <v>1</v>
      </c>
      <c r="P606" s="64">
        <f>=I606*O606*ROUNDUP((A606-B606)/30,0)</f>
        <v>3</v>
      </c>
      <c r="Q606" s="62" t="s"/>
      <c r="R606" s="62" t="s"/>
    </row>
    <row r="607" spans="1:18" ht="15.75" customHeight="true">
      <c r="A607" s="80">
        <v>46128</v>
      </c>
      <c r="B607" s="460">
        <v>46107</v>
      </c>
      <c r="C607" s="80" t="s">
        <v>194</v>
      </c>
      <c r="D607" s="64" t="s">
        <v>189</v>
      </c>
      <c r="E607" s="471" t="s">
        <v>2826</v>
      </c>
      <c r="F607" s="197" t="s">
        <v>428</v>
      </c>
      <c r="G607" s="64" t="s">
        <v>422</v>
      </c>
      <c r="H607" s="259" t="s">
        <v>1148</v>
      </c>
      <c r="I607" s="87">
        <v>2</v>
      </c>
      <c r="J607" s="82">
        <v>3544.73</v>
      </c>
      <c r="K607" s="427">
        <f>=I607*J607</f>
        <v>7089.46</v>
      </c>
      <c r="L607" s="82">
        <v>3520</v>
      </c>
      <c r="M607" s="428">
        <f>=I607*L607</f>
        <v>7040</v>
      </c>
      <c r="N607" s="82">
        <f>=K607-M607</f>
        <v>49.46</v>
      </c>
      <c r="O607" s="64">
        <v>1</v>
      </c>
      <c r="P607" s="64">
        <f>=I607*O607*ROUNDUP((A607-B607)/30,0)</f>
        <v>2</v>
      </c>
      <c r="Q607" s="62" t="s"/>
      <c r="R607" s="62" t="s"/>
    </row>
    <row r="608" spans="1:18" ht="15.75" customHeight="true">
      <c r="A608" s="80">
        <v>46128</v>
      </c>
      <c r="B608" s="460">
        <v>46107</v>
      </c>
      <c r="C608" s="80" t="s">
        <v>194</v>
      </c>
      <c r="D608" s="64" t="s">
        <v>189</v>
      </c>
      <c r="E608" s="471" t="s">
        <v>2827</v>
      </c>
      <c r="F608" s="247" t="s">
        <v>428</v>
      </c>
      <c r="G608" s="64" t="s">
        <v>449</v>
      </c>
      <c r="H608" s="320" t="s">
        <v>1155</v>
      </c>
      <c r="I608" s="87">
        <v>2</v>
      </c>
      <c r="J608" s="82">
        <v>2925.67</v>
      </c>
      <c r="K608" s="427">
        <f>=I608*J608</f>
        <v>5851.34</v>
      </c>
      <c r="L608" s="82">
        <v>2905</v>
      </c>
      <c r="M608" s="428">
        <f>=I608*L608</f>
        <v>5810</v>
      </c>
      <c r="N608" s="82">
        <f>=K608-M608</f>
        <v>41.3400000000002</v>
      </c>
      <c r="O608" s="64">
        <v>1</v>
      </c>
      <c r="P608" s="64">
        <f>=I608*O608*ROUNDUP((A608-B608)/30,0)</f>
        <v>2</v>
      </c>
      <c r="Q608" s="62" t="s"/>
      <c r="R608" s="62" t="s"/>
    </row>
    <row r="609" spans="1:18" ht="15.75" customHeight="true">
      <c r="A609" s="80">
        <v>46128</v>
      </c>
      <c r="B609" s="460">
        <v>46107</v>
      </c>
      <c r="C609" s="80" t="s">
        <v>194</v>
      </c>
      <c r="D609" s="64" t="s">
        <v>189</v>
      </c>
      <c r="E609" s="471" t="s">
        <v>2828</v>
      </c>
      <c r="F609" s="247" t="s">
        <v>428</v>
      </c>
      <c r="G609" s="64" t="s">
        <v>449</v>
      </c>
      <c r="H609" s="140" t="s">
        <v>1157</v>
      </c>
      <c r="I609" s="87">
        <v>2</v>
      </c>
      <c r="J609" s="82">
        <v>3101.83</v>
      </c>
      <c r="K609" s="427">
        <f>=I609*J609</f>
        <v>6203.66</v>
      </c>
      <c r="L609" s="82">
        <v>3080</v>
      </c>
      <c r="M609" s="428">
        <f>=I609*L609</f>
        <v>6160</v>
      </c>
      <c r="N609" s="82">
        <f>=K609-M609</f>
        <v>43.6599999999999</v>
      </c>
      <c r="O609" s="64">
        <v>1</v>
      </c>
      <c r="P609" s="64">
        <f>=I609*O609*ROUNDUP((A609-B609)/30,0)</f>
        <v>2</v>
      </c>
      <c r="Q609" s="62" t="s"/>
      <c r="R609" s="62" t="s"/>
    </row>
    <row r="610" spans="1:18" ht="15.75" customHeight="true">
      <c r="A610" s="80">
        <v>46128</v>
      </c>
      <c r="B610" s="460">
        <v>46107</v>
      </c>
      <c r="C610" s="80" t="s">
        <v>194</v>
      </c>
      <c r="D610" s="64" t="s">
        <v>189</v>
      </c>
      <c r="E610" s="471" t="s">
        <v>2829</v>
      </c>
      <c r="F610" s="247" t="s">
        <v>428</v>
      </c>
      <c r="G610" s="64" t="s">
        <v>449</v>
      </c>
      <c r="H610" s="140" t="s">
        <v>1159</v>
      </c>
      <c r="I610" s="87">
        <v>2</v>
      </c>
      <c r="J610" s="82">
        <v>3101.83</v>
      </c>
      <c r="K610" s="427">
        <f>=I610*J610</f>
        <v>6203.66</v>
      </c>
      <c r="L610" s="82">
        <v>3080</v>
      </c>
      <c r="M610" s="428">
        <f>=I610*L610</f>
        <v>6160</v>
      </c>
      <c r="N610" s="82">
        <f>=K610-M610</f>
        <v>43.6599999999999</v>
      </c>
      <c r="O610" s="64">
        <v>1</v>
      </c>
      <c r="P610" s="64">
        <f>=I610*O610*ROUNDUP((A610-B610)/30,0)</f>
        <v>2</v>
      </c>
      <c r="Q610" s="62" t="s"/>
      <c r="R610" s="62" t="s"/>
    </row>
    <row r="611" spans="1:18" ht="15.75" customHeight="true">
      <c r="A611" s="80">
        <v>46128</v>
      </c>
      <c r="B611" s="460">
        <v>46111</v>
      </c>
      <c r="C611" s="80" t="s">
        <v>208</v>
      </c>
      <c r="D611" s="64" t="s">
        <v>189</v>
      </c>
      <c r="E611" s="477" t="s">
        <v>2830</v>
      </c>
      <c r="F611" s="197" t="s">
        <v>428</v>
      </c>
      <c r="G611" s="64" t="s">
        <v>422</v>
      </c>
      <c r="H611" s="274" t="s">
        <v>651</v>
      </c>
      <c r="I611" s="87">
        <v>2</v>
      </c>
      <c r="J611" s="82">
        <v>4746.99</v>
      </c>
      <c r="K611" s="427">
        <f>=I611*J611</f>
        <v>9493.98</v>
      </c>
      <c r="L611" s="470">
        <v>4720</v>
      </c>
      <c r="M611" s="428">
        <f>=I611*L611</f>
        <v>9440</v>
      </c>
      <c r="N611" s="82">
        <f>=K611-M611</f>
        <v>53.9799999999996</v>
      </c>
      <c r="O611" s="64">
        <v>1</v>
      </c>
      <c r="P611" s="64">
        <f>=I611*O611*ROUNDUP((A611-B611)/30,0)</f>
        <v>2</v>
      </c>
      <c r="Q611" s="62" t="s"/>
      <c r="R611" s="62" t="s"/>
    </row>
    <row r="612" spans="1:18" ht="15.75" customHeight="true">
      <c r="A612" s="80">
        <v>46128</v>
      </c>
      <c r="B612" s="460">
        <v>46111</v>
      </c>
      <c r="C612" s="80" t="s">
        <v>208</v>
      </c>
      <c r="D612" s="64" t="s">
        <v>189</v>
      </c>
      <c r="E612" s="477" t="s">
        <v>2831</v>
      </c>
      <c r="F612" s="197" t="s">
        <v>428</v>
      </c>
      <c r="G612" s="64" t="s">
        <v>422</v>
      </c>
      <c r="H612" s="274" t="s">
        <v>1214</v>
      </c>
      <c r="I612" s="87">
        <v>2</v>
      </c>
      <c r="J612" s="82">
        <v>4103.53</v>
      </c>
      <c r="K612" s="427">
        <f>=I612*J612</f>
        <v>8207.06</v>
      </c>
      <c r="L612" s="470">
        <v>4080</v>
      </c>
      <c r="M612" s="428">
        <f>=I612*L612</f>
        <v>8160</v>
      </c>
      <c r="N612" s="82">
        <f>=K612-M612</f>
        <v>47.0599999999995</v>
      </c>
      <c r="O612" s="64">
        <v>1</v>
      </c>
      <c r="P612" s="64">
        <f>=I612*O612*ROUNDUP((A612-B612)/30,0)</f>
        <v>2</v>
      </c>
      <c r="Q612" s="62" t="s"/>
      <c r="R612" s="62" t="s"/>
    </row>
    <row r="613" spans="1:18" ht="15.75" customHeight="true">
      <c r="A613" s="80">
        <v>46128</v>
      </c>
      <c r="B613" s="460">
        <v>46111</v>
      </c>
      <c r="C613" s="80" t="s">
        <v>208</v>
      </c>
      <c r="D613" s="64" t="s">
        <v>189</v>
      </c>
      <c r="E613" s="477" t="s">
        <v>2832</v>
      </c>
      <c r="F613" s="197" t="s">
        <v>428</v>
      </c>
      <c r="G613" s="64" t="s">
        <v>422</v>
      </c>
      <c r="H613" s="140" t="s">
        <v>1216</v>
      </c>
      <c r="I613" s="87">
        <v>2</v>
      </c>
      <c r="J613" s="82">
        <v>4103.53</v>
      </c>
      <c r="K613" s="427">
        <f>=I613*J613</f>
        <v>8207.06</v>
      </c>
      <c r="L613" s="478">
        <v>4080</v>
      </c>
      <c r="M613" s="428">
        <f>=I613*L613</f>
        <v>8160</v>
      </c>
      <c r="N613" s="82">
        <f>=K613-M613</f>
        <v>47.0599999999995</v>
      </c>
      <c r="O613" s="64">
        <v>1</v>
      </c>
      <c r="P613" s="64">
        <f>=I613*O613*ROUNDUP((A613-B613)/30,0)</f>
        <v>2</v>
      </c>
      <c r="Q613" s="62" t="s"/>
      <c r="R613" s="62" t="s"/>
    </row>
    <row r="614" spans="1:18" ht="15.75" customHeight="true">
      <c r="A614" s="80">
        <v>46128</v>
      </c>
      <c r="B614" s="460">
        <v>46107</v>
      </c>
      <c r="C614" s="80" t="s">
        <v>194</v>
      </c>
      <c r="D614" s="64" t="s">
        <v>189</v>
      </c>
      <c r="E614" s="471" t="s">
        <v>2833</v>
      </c>
      <c r="F614" s="247" t="s">
        <v>428</v>
      </c>
      <c r="G614" s="64" t="s">
        <v>449</v>
      </c>
      <c r="H614" s="479" t="s">
        <v>1238</v>
      </c>
      <c r="I614" s="87">
        <v>1</v>
      </c>
      <c r="J614" s="82">
        <v>3172.29</v>
      </c>
      <c r="K614" s="427">
        <f>=I614*J614</f>
        <v>3172.29</v>
      </c>
      <c r="L614" s="82">
        <v>3150</v>
      </c>
      <c r="M614" s="428">
        <f>=I614*L614</f>
        <v>3150</v>
      </c>
      <c r="N614" s="82">
        <f>=K614-M614</f>
        <v>22.29</v>
      </c>
      <c r="O614" s="64">
        <v>1</v>
      </c>
      <c r="P614" s="64">
        <f>=I614*O614*ROUNDUP((A614-B614)/30,0)</f>
        <v>1</v>
      </c>
      <c r="Q614" s="62" t="s"/>
      <c r="R614" s="62" t="s"/>
    </row>
    <row r="615" spans="1:18" ht="15.75" customHeight="true">
      <c r="A615" s="80">
        <v>46128</v>
      </c>
      <c r="B615" s="460">
        <v>46109</v>
      </c>
      <c r="C615" s="80" t="s">
        <v>206</v>
      </c>
      <c r="D615" s="64" t="s">
        <v>189</v>
      </c>
      <c r="E615" s="471" t="s">
        <v>2834</v>
      </c>
      <c r="F615" s="197" t="s">
        <v>428</v>
      </c>
      <c r="G615" s="64" t="s">
        <v>422</v>
      </c>
      <c r="H615" s="140" t="s">
        <v>1300</v>
      </c>
      <c r="I615" s="87">
        <v>1</v>
      </c>
      <c r="J615" s="82">
        <v>2778.06</v>
      </c>
      <c r="K615" s="427">
        <f>=I615*J615</f>
        <v>2778.06</v>
      </c>
      <c r="L615" s="472">
        <v>2760</v>
      </c>
      <c r="M615" s="428">
        <f>=I615*L615</f>
        <v>2760</v>
      </c>
      <c r="N615" s="82">
        <f>=K615-M615</f>
        <v>18.06</v>
      </c>
      <c r="O615" s="64">
        <v>1</v>
      </c>
      <c r="P615" s="64">
        <f>=I615*O615*ROUNDUP((A615-B615)/30,0)</f>
        <v>1</v>
      </c>
      <c r="Q615" s="62" t="s"/>
      <c r="R615" s="62" t="s"/>
    </row>
    <row r="616" spans="1:18" ht="15.75" customHeight="true">
      <c r="A616" s="80">
        <v>46128</v>
      </c>
      <c r="B616" s="460">
        <v>46109</v>
      </c>
      <c r="C616" s="80" t="s">
        <v>206</v>
      </c>
      <c r="D616" s="64" t="s">
        <v>189</v>
      </c>
      <c r="E616" s="471" t="s">
        <v>2835</v>
      </c>
      <c r="F616" s="197" t="s">
        <v>428</v>
      </c>
      <c r="G616" s="64" t="s">
        <v>422</v>
      </c>
      <c r="H616" s="140" t="s">
        <v>1301</v>
      </c>
      <c r="I616" s="87">
        <v>1</v>
      </c>
      <c r="J616" s="82">
        <v>4266.94</v>
      </c>
      <c r="K616" s="427">
        <f>=I616*J616</f>
        <v>4266.94</v>
      </c>
      <c r="L616" s="472">
        <v>4240</v>
      </c>
      <c r="M616" s="428">
        <f>=I616*L616</f>
        <v>4240</v>
      </c>
      <c r="N616" s="82">
        <f>=K616-M616</f>
        <v>26.9399999999996</v>
      </c>
      <c r="O616" s="64">
        <v>1</v>
      </c>
      <c r="P616" s="64">
        <f>=I616*O616*ROUNDUP((A616-B616)/30,0)</f>
        <v>1</v>
      </c>
      <c r="Q616" s="62" t="s"/>
      <c r="R616" s="62" t="s"/>
    </row>
    <row r="617" spans="1:18" ht="15.75" customHeight="true">
      <c r="A617" s="80">
        <v>46128</v>
      </c>
      <c r="B617" s="460">
        <v>46109</v>
      </c>
      <c r="C617" s="80" t="s">
        <v>206</v>
      </c>
      <c r="D617" s="64" t="s">
        <v>189</v>
      </c>
      <c r="E617" s="471" t="s">
        <v>2836</v>
      </c>
      <c r="F617" s="197" t="s">
        <v>428</v>
      </c>
      <c r="G617" s="64" t="s">
        <v>422</v>
      </c>
      <c r="H617" s="140" t="s">
        <v>1305</v>
      </c>
      <c r="I617" s="87">
        <v>1</v>
      </c>
      <c r="J617" s="82">
        <v>3542.62</v>
      </c>
      <c r="K617" s="427">
        <f>=I617*J617</f>
        <v>3542.62</v>
      </c>
      <c r="L617" s="472">
        <v>3520</v>
      </c>
      <c r="M617" s="428">
        <f>=I617*L617</f>
        <v>3520</v>
      </c>
      <c r="N617" s="82">
        <f>=K617-M617</f>
        <v>22.6199999999999</v>
      </c>
      <c r="O617" s="64">
        <v>1</v>
      </c>
      <c r="P617" s="64">
        <f>=I617*O617*ROUNDUP((A617-B617)/30,0)</f>
        <v>1</v>
      </c>
      <c r="Q617" s="62" t="s"/>
      <c r="R617" s="62" t="s"/>
    </row>
    <row r="618" spans="1:18" ht="15.75" customHeight="true">
      <c r="A618" s="80">
        <v>46128</v>
      </c>
      <c r="B618" s="460">
        <v>46111</v>
      </c>
      <c r="C618" s="80" t="s">
        <v>208</v>
      </c>
      <c r="D618" s="64" t="s">
        <v>189</v>
      </c>
      <c r="E618" s="471" t="s">
        <v>2837</v>
      </c>
      <c r="F618" s="141" t="s">
        <v>428</v>
      </c>
      <c r="G618" s="140" t="s">
        <v>470</v>
      </c>
      <c r="H618" s="140" t="s">
        <v>1307</v>
      </c>
      <c r="I618" s="87">
        <v>1</v>
      </c>
      <c r="J618" s="82">
        <v>3731.53</v>
      </c>
      <c r="K618" s="427">
        <f>=I618*J618</f>
        <v>3731.53</v>
      </c>
      <c r="L618" s="470">
        <v>3710</v>
      </c>
      <c r="M618" s="428">
        <f>=I618*L618</f>
        <v>3710</v>
      </c>
      <c r="N618" s="82">
        <f>=K618-M618</f>
        <v>21.5300000000002</v>
      </c>
      <c r="O618" s="64">
        <v>1.5</v>
      </c>
      <c r="P618" s="64">
        <f>=I618*O618*ROUNDUP((A618-B618)/30,0)</f>
        <v>1.5</v>
      </c>
      <c r="Q618" s="62" t="s"/>
      <c r="R618" s="62" t="s"/>
    </row>
    <row r="619" spans="1:18" ht="15.75" customHeight="true">
      <c r="A619" s="80">
        <v>46128</v>
      </c>
      <c r="B619" s="460">
        <v>46111</v>
      </c>
      <c r="C619" s="80" t="s">
        <v>208</v>
      </c>
      <c r="D619" s="64" t="s">
        <v>189</v>
      </c>
      <c r="E619" s="471" t="s">
        <v>2838</v>
      </c>
      <c r="F619" s="141" t="s">
        <v>428</v>
      </c>
      <c r="G619" s="140" t="s">
        <v>470</v>
      </c>
      <c r="H619" s="140" t="s">
        <v>1309</v>
      </c>
      <c r="I619" s="87">
        <v>1</v>
      </c>
      <c r="J619" s="82">
        <v>4294.56</v>
      </c>
      <c r="K619" s="427">
        <f>=I619*J619</f>
        <v>4294.56</v>
      </c>
      <c r="L619" s="470">
        <v>4270</v>
      </c>
      <c r="M619" s="428">
        <f>=I619*L619</f>
        <v>4270</v>
      </c>
      <c r="N619" s="82">
        <f>=K619-M619</f>
        <v>24.5600000000004</v>
      </c>
      <c r="O619" s="64">
        <v>1.5</v>
      </c>
      <c r="P619" s="64">
        <f>=I619*O619*ROUNDUP((A619-B619)/30,0)</f>
        <v>1.5</v>
      </c>
      <c r="Q619" s="62" t="s"/>
      <c r="R619" s="62" t="s"/>
    </row>
    <row r="620" spans="1:18" ht="15.75" customHeight="true">
      <c r="A620" s="80">
        <v>46128</v>
      </c>
      <c r="B620" s="460">
        <v>46111</v>
      </c>
      <c r="C620" s="80" t="s">
        <v>208</v>
      </c>
      <c r="D620" s="64" t="s">
        <v>189</v>
      </c>
      <c r="E620" s="471" t="s">
        <v>2839</v>
      </c>
      <c r="F620" s="197" t="s">
        <v>428</v>
      </c>
      <c r="G620" s="64" t="s">
        <v>422</v>
      </c>
      <c r="H620" s="140" t="s">
        <v>1311</v>
      </c>
      <c r="I620" s="87">
        <v>1</v>
      </c>
      <c r="J620" s="82">
        <v>4787.2</v>
      </c>
      <c r="K620" s="427">
        <f>=I620*J620</f>
        <v>4787.2</v>
      </c>
      <c r="L620" s="470">
        <v>4760</v>
      </c>
      <c r="M620" s="428">
        <f>=I620*L620</f>
        <v>4760</v>
      </c>
      <c r="N620" s="82">
        <f>=K620-M620</f>
        <v>27.1999999999998</v>
      </c>
      <c r="O620" s="64">
        <v>1</v>
      </c>
      <c r="P620" s="64">
        <f>=I620*O620*ROUNDUP((A620-B620)/30,0)</f>
        <v>1</v>
      </c>
      <c r="Q620" s="62" t="s"/>
      <c r="R620" s="62" t="s"/>
    </row>
    <row r="621" spans="1:18" ht="15.75" customHeight="true">
      <c r="A621" s="80">
        <v>46128</v>
      </c>
      <c r="B621" s="460">
        <v>46111</v>
      </c>
      <c r="C621" s="80" t="s">
        <v>208</v>
      </c>
      <c r="D621" s="64" t="s">
        <v>189</v>
      </c>
      <c r="E621" s="471" t="s">
        <v>2840</v>
      </c>
      <c r="F621" s="197" t="s">
        <v>428</v>
      </c>
      <c r="G621" s="64" t="s">
        <v>422</v>
      </c>
      <c r="H621" s="140" t="s">
        <v>1314</v>
      </c>
      <c r="I621" s="87">
        <v>1</v>
      </c>
      <c r="J621" s="82">
        <v>2736.19</v>
      </c>
      <c r="K621" s="427">
        <f>=I621*J621</f>
        <v>2736.19</v>
      </c>
      <c r="L621" s="470">
        <v>2720</v>
      </c>
      <c r="M621" s="428">
        <f>=I621*L621</f>
        <v>2720</v>
      </c>
      <c r="N621" s="82">
        <f>=K621-M621</f>
        <v>16.1900000000001</v>
      </c>
      <c r="O621" s="64">
        <v>1</v>
      </c>
      <c r="P621" s="64">
        <f>=I621*O621*ROUNDUP((A621-B621)/30,0)</f>
        <v>1</v>
      </c>
      <c r="Q621" s="62" t="s"/>
      <c r="R621" s="62" t="s"/>
    </row>
    <row r="622" spans="1:18" ht="15.75" customHeight="true">
      <c r="A622" s="80">
        <v>46128</v>
      </c>
      <c r="B622" s="460">
        <v>46111</v>
      </c>
      <c r="C622" s="80" t="s">
        <v>208</v>
      </c>
      <c r="D622" s="64" t="s">
        <v>189</v>
      </c>
      <c r="E622" s="471" t="s">
        <v>2841</v>
      </c>
      <c r="F622" s="197" t="s">
        <v>428</v>
      </c>
      <c r="G622" s="64" t="s">
        <v>422</v>
      </c>
      <c r="H622" s="140" t="s">
        <v>1316</v>
      </c>
      <c r="I622" s="87">
        <v>1</v>
      </c>
      <c r="J622" s="82">
        <v>5068.72</v>
      </c>
      <c r="K622" s="427">
        <f>=I622*J622</f>
        <v>5068.72</v>
      </c>
      <c r="L622" s="470">
        <v>5040</v>
      </c>
      <c r="M622" s="428">
        <f>=I622*L622</f>
        <v>5040</v>
      </c>
      <c r="N622" s="82">
        <f>=K622-M622</f>
        <v>28.7200000000003</v>
      </c>
      <c r="O622" s="64">
        <v>1</v>
      </c>
      <c r="P622" s="64">
        <f>=I622*O622*ROUNDUP((A622-B622)/30,0)</f>
        <v>1</v>
      </c>
      <c r="Q622" s="62" t="s"/>
      <c r="R622" s="62" t="s"/>
    </row>
    <row r="623" spans="1:18" ht="15.75" customHeight="true">
      <c r="A623" s="80">
        <v>46128</v>
      </c>
      <c r="B623" s="460">
        <v>46111</v>
      </c>
      <c r="C623" s="80" t="s">
        <v>208</v>
      </c>
      <c r="D623" s="64" t="s">
        <v>189</v>
      </c>
      <c r="E623" s="471" t="s">
        <v>2842</v>
      </c>
      <c r="F623" s="197" t="s">
        <v>428</v>
      </c>
      <c r="G623" s="64" t="s">
        <v>422</v>
      </c>
      <c r="H623" s="140" t="s">
        <v>1325</v>
      </c>
      <c r="I623" s="87">
        <v>1</v>
      </c>
      <c r="J623" s="82">
        <v>4505.69</v>
      </c>
      <c r="K623" s="427">
        <f>=I623*J623</f>
        <v>4505.69</v>
      </c>
      <c r="L623" s="470">
        <v>4480</v>
      </c>
      <c r="M623" s="428">
        <f>=I623*L623</f>
        <v>4480</v>
      </c>
      <c r="N623" s="82">
        <f>=K623-M623</f>
        <v>25.6899999999996</v>
      </c>
      <c r="O623" s="64">
        <v>1</v>
      </c>
      <c r="P623" s="64">
        <f>=I623*O623*ROUNDUP((A623-B623)/30,0)</f>
        <v>1</v>
      </c>
      <c r="Q623" s="62" t="s"/>
      <c r="R623" s="62" t="s"/>
    </row>
    <row r="624" spans="1:18" ht="15.75" customHeight="true">
      <c r="A624" s="80">
        <v>46128</v>
      </c>
      <c r="B624" s="426">
        <v>46101</v>
      </c>
      <c r="C624" s="64" t="s">
        <v>173</v>
      </c>
      <c r="D624" s="64" t="s">
        <v>172</v>
      </c>
      <c r="E624" s="335" t="s">
        <v>2843</v>
      </c>
      <c r="F624" s="197" t="s">
        <v>864</v>
      </c>
      <c r="G624" s="259" t="s">
        <v>422</v>
      </c>
      <c r="H624" s="259" t="s">
        <v>984</v>
      </c>
      <c r="I624" s="87">
        <v>100</v>
      </c>
      <c r="J624" s="82">
        <v>1965.15</v>
      </c>
      <c r="K624" s="427">
        <f>=I624*J624</f>
        <v>196515</v>
      </c>
      <c r="L624" s="82">
        <v>1950</v>
      </c>
      <c r="M624" s="428">
        <f>=I624*L624</f>
        <v>195000</v>
      </c>
      <c r="N624" s="82">
        <f>=K624-M624</f>
        <v>1515</v>
      </c>
      <c r="O624" s="64">
        <v>1</v>
      </c>
      <c r="P624" s="64">
        <f>=I624*O624*ROUNDUP((A624-B624)/30,0)</f>
        <v>100</v>
      </c>
      <c r="Q624" s="62" t="s"/>
      <c r="R624" s="62" t="s"/>
    </row>
    <row r="625" spans="1:18" ht="15.75" customHeight="true">
      <c r="A625" s="80">
        <v>46128</v>
      </c>
      <c r="B625" s="426">
        <v>46101</v>
      </c>
      <c r="C625" s="64" t="s">
        <v>173</v>
      </c>
      <c r="D625" s="64" t="s">
        <v>172</v>
      </c>
      <c r="E625" s="155" t="s">
        <v>2844</v>
      </c>
      <c r="F625" s="197" t="s">
        <v>864</v>
      </c>
      <c r="G625" s="259" t="s">
        <v>422</v>
      </c>
      <c r="H625" s="259" t="s">
        <v>986</v>
      </c>
      <c r="I625" s="87">
        <v>100</v>
      </c>
      <c r="J625" s="82">
        <v>1965.15</v>
      </c>
      <c r="K625" s="427">
        <f>=I625*J625</f>
        <v>196515</v>
      </c>
      <c r="L625" s="82">
        <v>1950</v>
      </c>
      <c r="M625" s="428">
        <f>=I625*L625</f>
        <v>195000</v>
      </c>
      <c r="N625" s="82">
        <f>=K625-M625</f>
        <v>1515</v>
      </c>
      <c r="O625" s="64">
        <v>1</v>
      </c>
      <c r="P625" s="64">
        <f>=I625*O625*ROUNDUP((A625-B625)/30,0)</f>
        <v>100</v>
      </c>
      <c r="Q625" s="62" t="s"/>
      <c r="R625" s="62" t="s"/>
    </row>
    <row r="626" spans="1:18" ht="15.75" customHeight="true">
      <c r="A626" s="80">
        <v>46128</v>
      </c>
      <c r="B626" s="426">
        <v>46101</v>
      </c>
      <c r="C626" s="64" t="s">
        <v>173</v>
      </c>
      <c r="D626" s="64" t="s">
        <v>172</v>
      </c>
      <c r="E626" s="335" t="s">
        <v>2845</v>
      </c>
      <c r="F626" s="197" t="s">
        <v>864</v>
      </c>
      <c r="G626" s="259" t="s">
        <v>422</v>
      </c>
      <c r="H626" s="259" t="s">
        <v>988</v>
      </c>
      <c r="I626" s="87">
        <v>100</v>
      </c>
      <c r="J626" s="82">
        <v>1965.15</v>
      </c>
      <c r="K626" s="427">
        <f>=I626*J626</f>
        <v>196515</v>
      </c>
      <c r="L626" s="82">
        <v>1950</v>
      </c>
      <c r="M626" s="428">
        <f>=I626*L626</f>
        <v>195000</v>
      </c>
      <c r="N626" s="82">
        <f>=K626-M626</f>
        <v>1515</v>
      </c>
      <c r="O626" s="64">
        <v>1</v>
      </c>
      <c r="P626" s="64">
        <f>=I626*O626*ROUNDUP((A626-B626)/30,0)</f>
        <v>100</v>
      </c>
      <c r="Q626" s="62" t="s"/>
      <c r="R626" s="62" t="s"/>
    </row>
    <row r="627" spans="1:18" ht="15.75" customHeight="true">
      <c r="A627" s="80">
        <v>46128</v>
      </c>
      <c r="B627" s="460">
        <v>46090</v>
      </c>
      <c r="C627" s="80" t="s">
        <v>139</v>
      </c>
      <c r="D627" s="94" t="s">
        <v>294</v>
      </c>
      <c r="E627" s="471" t="s">
        <v>2846</v>
      </c>
      <c r="F627" s="197" t="s">
        <v>864</v>
      </c>
      <c r="G627" s="259" t="s">
        <v>422</v>
      </c>
      <c r="H627" s="259" t="s">
        <v>865</v>
      </c>
      <c r="I627" s="64">
        <v>400</v>
      </c>
      <c r="J627" s="82">
        <v>1937.37</v>
      </c>
      <c r="K627" s="427">
        <f>=I627*J627</f>
        <v>774948</v>
      </c>
      <c r="L627" s="82">
        <v>1912</v>
      </c>
      <c r="M627" s="428">
        <f>=I627*L627</f>
        <v>764800</v>
      </c>
      <c r="N627" s="82">
        <f>=K627-M627</f>
        <v>10148</v>
      </c>
      <c r="O627" s="64">
        <v>1</v>
      </c>
      <c r="P627" s="64">
        <f>=I627*O627*ROUNDUP((A627-B627)/30,0)</f>
        <v>800</v>
      </c>
      <c r="Q627" s="62" t="s"/>
      <c r="R627" s="62" t="s"/>
    </row>
    <row r="628" spans="1:18" ht="15.75" customHeight="true">
      <c r="A628" s="80">
        <v>46128</v>
      </c>
      <c r="B628" s="460">
        <v>46090</v>
      </c>
      <c r="C628" s="80" t="s">
        <v>139</v>
      </c>
      <c r="D628" s="94" t="s">
        <v>294</v>
      </c>
      <c r="E628" s="471" t="s">
        <v>2847</v>
      </c>
      <c r="F628" s="197" t="s">
        <v>864</v>
      </c>
      <c r="G628" s="259" t="s">
        <v>422</v>
      </c>
      <c r="H628" s="259" t="s">
        <v>869</v>
      </c>
      <c r="I628" s="64">
        <v>100</v>
      </c>
      <c r="J628" s="82">
        <v>1937.37</v>
      </c>
      <c r="K628" s="427">
        <f>=I628*J628</f>
        <v>193737</v>
      </c>
      <c r="L628" s="82">
        <v>1912</v>
      </c>
      <c r="M628" s="428">
        <f>=I628*L628</f>
        <v>191200</v>
      </c>
      <c r="N628" s="82">
        <f>=K628-M628</f>
        <v>2537</v>
      </c>
      <c r="O628" s="64">
        <v>1</v>
      </c>
      <c r="P628" s="64">
        <f>=I628*O628*ROUNDUP((A628-B628)/30,0)</f>
        <v>200</v>
      </c>
      <c r="Q628" s="62" t="s"/>
      <c r="R628" s="62" t="s"/>
    </row>
    <row r="629" spans="1:18" ht="15.75" customHeight="true">
      <c r="A629" s="80">
        <v>46128</v>
      </c>
      <c r="B629" s="426">
        <v>46107</v>
      </c>
      <c r="C629" s="64" t="s">
        <v>202</v>
      </c>
      <c r="D629" s="94" t="s">
        <v>201</v>
      </c>
      <c r="E629" s="87" t="s">
        <v>2848</v>
      </c>
      <c r="F629" s="197" t="s">
        <v>421</v>
      </c>
      <c r="G629" s="197" t="s">
        <v>422</v>
      </c>
      <c r="H629" s="87" t="s">
        <v>1169</v>
      </c>
      <c r="I629" s="64">
        <v>300</v>
      </c>
      <c r="J629" s="82">
        <v>7841</v>
      </c>
      <c r="K629" s="427">
        <f>=I629*J629</f>
        <v>2352300</v>
      </c>
      <c r="L629" s="480">
        <v>7800</v>
      </c>
      <c r="M629" s="428">
        <f>=I629*L629</f>
        <v>2340000</v>
      </c>
      <c r="N629" s="82">
        <f>=K629-M629</f>
        <v>12300</v>
      </c>
      <c r="O629" s="64">
        <v>1</v>
      </c>
      <c r="P629" s="64">
        <f>=I629*O629*ROUNDUP((A629-B629)/30,0)</f>
        <v>300</v>
      </c>
      <c r="Q629" s="62" t="s"/>
      <c r="R629" s="62" t="s"/>
    </row>
    <row r="630" spans="1:18" ht="15.75" customHeight="true">
      <c r="A630" s="80">
        <v>46128</v>
      </c>
      <c r="B630" s="460">
        <v>46114</v>
      </c>
      <c r="C630" s="80" t="s">
        <v>237</v>
      </c>
      <c r="D630" s="64" t="s">
        <v>135</v>
      </c>
      <c r="E630" s="471" t="s">
        <v>2849</v>
      </c>
      <c r="F630" s="197" t="s">
        <v>428</v>
      </c>
      <c r="G630" s="64" t="s">
        <v>422</v>
      </c>
      <c r="H630" s="87" t="s">
        <v>1266</v>
      </c>
      <c r="I630" s="87">
        <v>100</v>
      </c>
      <c r="J630" s="82">
        <v>527.97</v>
      </c>
      <c r="K630" s="427">
        <f>=I630*J630</f>
        <v>52797</v>
      </c>
      <c r="L630" s="470">
        <v>525</v>
      </c>
      <c r="M630" s="428">
        <f>=I630*L630</f>
        <v>52500</v>
      </c>
      <c r="N630" s="82">
        <f>=K630-M630</f>
        <v>297</v>
      </c>
      <c r="O630" s="64">
        <v>1</v>
      </c>
      <c r="P630" s="64">
        <f>=I630*O630*ROUNDUP((A630-B630)/30,0)</f>
        <v>100</v>
      </c>
      <c r="Q630" s="62" t="s"/>
      <c r="R630" s="62" t="s"/>
    </row>
    <row r="631" spans="1:18" ht="15.75" customHeight="true">
      <c r="A631" s="80">
        <v>46128</v>
      </c>
      <c r="B631" s="460">
        <v>46114</v>
      </c>
      <c r="C631" s="80" t="s">
        <v>237</v>
      </c>
      <c r="D631" s="64" t="s">
        <v>135</v>
      </c>
      <c r="E631" s="471" t="s">
        <v>2850</v>
      </c>
      <c r="F631" s="197" t="s">
        <v>428</v>
      </c>
      <c r="G631" s="64" t="s">
        <v>422</v>
      </c>
      <c r="H631" s="87" t="s">
        <v>1268</v>
      </c>
      <c r="I631" s="87">
        <v>100</v>
      </c>
      <c r="J631" s="82">
        <v>527.97</v>
      </c>
      <c r="K631" s="427">
        <f>=I631*J631</f>
        <v>52797</v>
      </c>
      <c r="L631" s="470">
        <v>525</v>
      </c>
      <c r="M631" s="428">
        <f>=I631*L631</f>
        <v>52500</v>
      </c>
      <c r="N631" s="82">
        <f>=K631-M631</f>
        <v>297</v>
      </c>
      <c r="O631" s="64">
        <v>1</v>
      </c>
      <c r="P631" s="64">
        <f>=I631*O631*ROUNDUP((A631-B631)/30,0)</f>
        <v>100</v>
      </c>
      <c r="Q631" s="62" t="s"/>
      <c r="R631" s="62" t="s"/>
    </row>
    <row r="632" spans="1:18" ht="15.75" customHeight="true">
      <c r="A632" s="80">
        <v>46128</v>
      </c>
      <c r="B632" s="460">
        <v>46114</v>
      </c>
      <c r="C632" s="80" t="s">
        <v>237</v>
      </c>
      <c r="D632" s="64" t="s">
        <v>135</v>
      </c>
      <c r="E632" s="471" t="s">
        <v>2851</v>
      </c>
      <c r="F632" s="197" t="s">
        <v>428</v>
      </c>
      <c r="G632" s="64" t="s">
        <v>422</v>
      </c>
      <c r="H632" s="87" t="s">
        <v>1262</v>
      </c>
      <c r="I632" s="87">
        <v>75</v>
      </c>
      <c r="J632" s="82">
        <v>1160.33</v>
      </c>
      <c r="K632" s="427">
        <f>=I632*J632</f>
        <v>87024.75</v>
      </c>
      <c r="L632" s="470">
        <v>1155</v>
      </c>
      <c r="M632" s="428">
        <f>=I632*L632</f>
        <v>86625</v>
      </c>
      <c r="N632" s="82">
        <f>=K632-M632</f>
        <v>399.75</v>
      </c>
      <c r="O632" s="64">
        <v>1</v>
      </c>
      <c r="P632" s="64">
        <f>=I632*O632*ROUNDUP((A632-B632)/30,0)</f>
        <v>75</v>
      </c>
      <c r="Q632" s="62" t="s"/>
      <c r="R632" s="62" t="s"/>
    </row>
    <row r="633" spans="1:18" ht="15.75" customHeight="true">
      <c r="A633" s="80">
        <v>46128</v>
      </c>
      <c r="B633" s="460">
        <v>46114</v>
      </c>
      <c r="C633" s="80" t="s">
        <v>237</v>
      </c>
      <c r="D633" s="64" t="s">
        <v>135</v>
      </c>
      <c r="E633" s="471" t="s">
        <v>2852</v>
      </c>
      <c r="F633" s="197" t="s">
        <v>428</v>
      </c>
      <c r="G633" s="64" t="s">
        <v>422</v>
      </c>
      <c r="H633" s="87" t="s">
        <v>1271</v>
      </c>
      <c r="I633" s="87">
        <v>35</v>
      </c>
      <c r="J633" s="82">
        <v>1160.33</v>
      </c>
      <c r="K633" s="427">
        <f>=I633*J633</f>
        <v>40611.55</v>
      </c>
      <c r="L633" s="470">
        <v>1155</v>
      </c>
      <c r="M633" s="428">
        <f>=I633*L633</f>
        <v>40425</v>
      </c>
      <c r="N633" s="82">
        <f>=K633-M633</f>
        <v>186.549999999996</v>
      </c>
      <c r="O633" s="64">
        <v>1</v>
      </c>
      <c r="P633" s="64">
        <f>=I633*O633*ROUNDUP((A633-B633)/30,0)</f>
        <v>35</v>
      </c>
      <c r="Q633" s="62" t="s"/>
      <c r="R633" s="62" t="s"/>
    </row>
    <row r="634" spans="1:18" ht="15.75" customHeight="true">
      <c r="A634" s="80">
        <v>46129</v>
      </c>
      <c r="B634" s="426">
        <v>45994</v>
      </c>
      <c r="C634" s="64" t="s">
        <v>92</v>
      </c>
      <c r="D634" s="348" t="s">
        <v>84</v>
      </c>
      <c r="E634" s="445" t="s">
        <v>2853</v>
      </c>
      <c r="F634" s="94" t="s">
        <v>671</v>
      </c>
      <c r="G634" s="194" t="s">
        <v>470</v>
      </c>
      <c r="H634" s="459" t="s">
        <v>735</v>
      </c>
      <c r="I634" s="64">
        <v>15</v>
      </c>
      <c r="J634" s="82">
        <v>13400.7</v>
      </c>
      <c r="K634" s="427">
        <f>=I634*J634</f>
        <v>201010.5</v>
      </c>
      <c r="L634" s="82">
        <v>12960</v>
      </c>
      <c r="M634" s="428">
        <f>=I634*L634</f>
        <v>194400</v>
      </c>
      <c r="N634" s="82">
        <f>=K634-M634</f>
        <v>6610.5</v>
      </c>
      <c r="O634" s="64">
        <v>0</v>
      </c>
      <c r="P634" s="64">
        <f>=I634*O634*ROUNDUP((A634-B634)/30,0)</f>
        <v>0</v>
      </c>
      <c r="Q634" s="62" t="s"/>
      <c r="R634" s="62" t="s"/>
    </row>
    <row r="635" spans="1:18" ht="15.75" customHeight="true">
      <c r="A635" s="80">
        <v>46129</v>
      </c>
      <c r="B635" s="426">
        <v>46122</v>
      </c>
      <c r="C635" s="64" t="s">
        <v>246</v>
      </c>
      <c r="D635" s="64" t="s">
        <v>116</v>
      </c>
      <c r="E635" s="335" t="s">
        <v>2854</v>
      </c>
      <c r="F635" s="197" t="s">
        <v>804</v>
      </c>
      <c r="G635" s="64" t="s">
        <v>429</v>
      </c>
      <c r="H635" s="64" t="s">
        <v>821</v>
      </c>
      <c r="I635" s="64">
        <v>360</v>
      </c>
      <c r="J635" s="82">
        <v>55.11</v>
      </c>
      <c r="K635" s="427">
        <f>=I635*J635</f>
        <v>19839.6</v>
      </c>
      <c r="L635" s="481">
        <v>55</v>
      </c>
      <c r="M635" s="428">
        <f>=I635*L635</f>
        <v>19800</v>
      </c>
      <c r="N635" s="82">
        <f>=K635-M635</f>
        <v>39.5999999999986</v>
      </c>
      <c r="O635" s="64">
        <v>0</v>
      </c>
      <c r="P635" s="64">
        <f>=I635*O635*ROUNDUP((A635-B635)/30,0)</f>
        <v>0</v>
      </c>
      <c r="Q635" s="62" t="s"/>
      <c r="R635" s="62" t="s"/>
    </row>
    <row r="636" spans="1:18" ht="15.75" customHeight="true">
      <c r="A636" s="80">
        <v>46129</v>
      </c>
      <c r="B636" s="426">
        <v>46121</v>
      </c>
      <c r="C636" s="64" t="s">
        <v>240</v>
      </c>
      <c r="D636" s="308" t="s">
        <v>239</v>
      </c>
      <c r="E636" s="155" t="s">
        <v>2855</v>
      </c>
      <c r="F636" s="94" t="s">
        <v>671</v>
      </c>
      <c r="G636" s="194" t="s">
        <v>470</v>
      </c>
      <c r="H636" s="308" t="s">
        <v>1758</v>
      </c>
      <c r="I636" s="64">
        <v>50</v>
      </c>
      <c r="J636" s="82">
        <v>2206.95</v>
      </c>
      <c r="K636" s="427">
        <f>=I636*J636</f>
        <v>110347.5</v>
      </c>
      <c r="L636" s="470">
        <v>2200</v>
      </c>
      <c r="M636" s="428">
        <f>=I636*L636</f>
        <v>110000</v>
      </c>
      <c r="N636" s="82">
        <f>=K636-M636</f>
        <v>347.499999999986</v>
      </c>
      <c r="O636" s="64">
        <v>1.5</v>
      </c>
      <c r="P636" s="64">
        <f>=I636*O636*ROUNDUP((A636-B636)/30,0)</f>
        <v>75</v>
      </c>
      <c r="Q636" s="62" t="s"/>
      <c r="R636" s="62" t="s"/>
    </row>
    <row r="637" spans="1:18" ht="15.75" customHeight="true">
      <c r="A637" s="80">
        <v>46129</v>
      </c>
      <c r="B637" s="460">
        <v>46098</v>
      </c>
      <c r="C637" s="80" t="s">
        <v>151</v>
      </c>
      <c r="D637" s="64" t="s">
        <v>150</v>
      </c>
      <c r="E637" s="477" t="s">
        <v>2856</v>
      </c>
      <c r="F637" s="197" t="s">
        <v>895</v>
      </c>
      <c r="G637" s="64" t="s">
        <v>422</v>
      </c>
      <c r="H637" s="248" t="s">
        <v>899</v>
      </c>
      <c r="I637" s="64">
        <v>230</v>
      </c>
      <c r="J637" s="82">
        <v>672.31</v>
      </c>
      <c r="K637" s="427">
        <f>=I637*J637</f>
        <v>154631.3</v>
      </c>
      <c r="L637" s="82">
        <v>664</v>
      </c>
      <c r="M637" s="428">
        <f>=I637*L637</f>
        <v>152720</v>
      </c>
      <c r="N637" s="82">
        <f>=K637-M637</f>
        <v>1911.29999999999</v>
      </c>
      <c r="O637" s="64">
        <v>1</v>
      </c>
      <c r="P637" s="64">
        <f>=I637*O637*ROUNDUP((A637-B637)/30,0)</f>
        <v>460</v>
      </c>
      <c r="Q637" s="62" t="s"/>
      <c r="R637" s="62" t="s"/>
    </row>
    <row r="638" spans="1:18" ht="15.75" customHeight="true">
      <c r="A638" s="80">
        <v>46131</v>
      </c>
      <c r="B638" s="426">
        <v>46096</v>
      </c>
      <c r="C638" s="64" t="s">
        <v>146</v>
      </c>
      <c r="D638" s="94" t="s">
        <v>145</v>
      </c>
      <c r="E638" s="482" t="s">
        <v>2857</v>
      </c>
      <c r="F638" s="197" t="s">
        <v>428</v>
      </c>
      <c r="G638" s="64" t="s">
        <v>422</v>
      </c>
      <c r="H638" s="94" t="s">
        <v>890</v>
      </c>
      <c r="I638" s="87">
        <v>38</v>
      </c>
      <c r="J638" s="82">
        <v>3997.65</v>
      </c>
      <c r="K638" s="427">
        <f>=I638*J638</f>
        <v>151910.7</v>
      </c>
      <c r="L638" s="82">
        <v>3960</v>
      </c>
      <c r="M638" s="428">
        <f>=I638*L638</f>
        <v>150480</v>
      </c>
      <c r="N638" s="82">
        <f>=K638-M638</f>
        <v>1430.70000000001</v>
      </c>
      <c r="O638" s="64">
        <v>1</v>
      </c>
      <c r="P638" s="64">
        <f>=I638*O638*ROUNDUP((A638-B638)/30,0)</f>
        <v>76</v>
      </c>
      <c r="Q638" s="62" t="s"/>
      <c r="R638" s="62" t="s"/>
    </row>
    <row r="639" spans="1:18" ht="15.75" customHeight="true">
      <c r="A639" s="80">
        <v>46131</v>
      </c>
      <c r="B639" s="426">
        <v>46096</v>
      </c>
      <c r="C639" s="64" t="s">
        <v>146</v>
      </c>
      <c r="D639" s="94" t="s">
        <v>145</v>
      </c>
      <c r="E639" s="471" t="s">
        <v>2858</v>
      </c>
      <c r="F639" s="197" t="s">
        <v>428</v>
      </c>
      <c r="G639" s="64" t="s">
        <v>422</v>
      </c>
      <c r="H639" s="248" t="s">
        <v>892</v>
      </c>
      <c r="I639" s="87">
        <v>50</v>
      </c>
      <c r="J639" s="82">
        <v>3684.94</v>
      </c>
      <c r="K639" s="427">
        <f>=I639*J639</f>
        <v>184247</v>
      </c>
      <c r="L639" s="82">
        <v>3650</v>
      </c>
      <c r="M639" s="428">
        <f>=I639*L639</f>
        <v>182500</v>
      </c>
      <c r="N639" s="82">
        <f>=K639-M639</f>
        <v>1747</v>
      </c>
      <c r="O639" s="64">
        <v>1</v>
      </c>
      <c r="P639" s="64">
        <f>=I639*O639*ROUNDUP((A639-B639)/30,0)</f>
        <v>100</v>
      </c>
      <c r="Q639" s="62" t="s"/>
      <c r="R639" s="62" t="s"/>
    </row>
    <row r="640" spans="1:18" ht="15.75" customHeight="true">
      <c r="A640" s="80">
        <v>46131</v>
      </c>
      <c r="B640" s="426">
        <v>46107</v>
      </c>
      <c r="C640" s="64" t="s">
        <v>198</v>
      </c>
      <c r="D640" s="94" t="s">
        <v>145</v>
      </c>
      <c r="E640" s="471" t="s">
        <v>2859</v>
      </c>
      <c r="F640" s="197" t="s">
        <v>428</v>
      </c>
      <c r="G640" s="64" t="s">
        <v>422</v>
      </c>
      <c r="H640" s="87" t="s">
        <v>1163</v>
      </c>
      <c r="I640" s="87">
        <v>10</v>
      </c>
      <c r="J640" s="82">
        <v>3507.41</v>
      </c>
      <c r="K640" s="427">
        <f>=I640*J640</f>
        <v>35074.1</v>
      </c>
      <c r="L640" s="470">
        <v>3485</v>
      </c>
      <c r="M640" s="428">
        <f>=I640*L640</f>
        <v>34850</v>
      </c>
      <c r="N640" s="82">
        <f>=K640-M640</f>
        <v>224.099999999999</v>
      </c>
      <c r="O640" s="64">
        <v>1</v>
      </c>
      <c r="P640" s="64">
        <f>=I640*O640*ROUNDUP((A640-B640)/30,0)</f>
        <v>10</v>
      </c>
      <c r="Q640" s="62" t="s"/>
      <c r="R640" s="62" t="s"/>
    </row>
    <row r="641" spans="1:18" ht="15.75" customHeight="true">
      <c r="A641" s="80">
        <v>46131</v>
      </c>
      <c r="B641" s="426">
        <v>46107</v>
      </c>
      <c r="C641" s="64" t="s">
        <v>198</v>
      </c>
      <c r="D641" s="94" t="s">
        <v>145</v>
      </c>
      <c r="E641" s="471" t="s">
        <v>2860</v>
      </c>
      <c r="F641" s="197" t="s">
        <v>428</v>
      </c>
      <c r="G641" s="64" t="s">
        <v>422</v>
      </c>
      <c r="H641" s="87" t="s">
        <v>629</v>
      </c>
      <c r="I641" s="87">
        <v>106</v>
      </c>
      <c r="J641" s="82">
        <v>3507.41</v>
      </c>
      <c r="K641" s="427">
        <f>=I641*J641</f>
        <v>371785.46</v>
      </c>
      <c r="L641" s="470">
        <v>3485</v>
      </c>
      <c r="M641" s="428">
        <f>=I641*L641</f>
        <v>369410</v>
      </c>
      <c r="N641" s="82">
        <f>=K641-M641</f>
        <v>2375.45999999996</v>
      </c>
      <c r="O641" s="64">
        <v>1</v>
      </c>
      <c r="P641" s="64">
        <f>=I641*O641*ROUNDUP((A641-B641)/30,0)</f>
        <v>106</v>
      </c>
      <c r="Q641" s="62" t="s"/>
      <c r="R641" s="62" t="s"/>
    </row>
    <row r="642" spans="1:18" ht="15.75" customHeight="true">
      <c r="A642" s="80">
        <v>46131</v>
      </c>
      <c r="B642" s="426">
        <v>46107</v>
      </c>
      <c r="C642" s="64" t="s">
        <v>198</v>
      </c>
      <c r="D642" s="94" t="s">
        <v>145</v>
      </c>
      <c r="E642" s="471" t="s">
        <v>2861</v>
      </c>
      <c r="F642" s="197" t="s">
        <v>428</v>
      </c>
      <c r="G642" s="64" t="s">
        <v>422</v>
      </c>
      <c r="H642" s="87" t="s">
        <v>499</v>
      </c>
      <c r="I642" s="87">
        <v>66</v>
      </c>
      <c r="J642" s="82">
        <v>3507.41</v>
      </c>
      <c r="K642" s="427">
        <f>=I642*J642</f>
        <v>231489.06</v>
      </c>
      <c r="L642" s="470">
        <v>3485</v>
      </c>
      <c r="M642" s="428">
        <f>=I642*L642</f>
        <v>230010</v>
      </c>
      <c r="N642" s="82">
        <f>=K642-M642</f>
        <v>1479.06</v>
      </c>
      <c r="O642" s="64">
        <v>1</v>
      </c>
      <c r="P642" s="64">
        <f>=I642*O642*ROUNDUP((A642-B642)/30,0)</f>
        <v>66</v>
      </c>
      <c r="Q642" s="62" t="s"/>
      <c r="R642" s="62" t="s"/>
    </row>
    <row r="643" spans="1:18" ht="15.75" customHeight="true">
      <c r="A643" s="80">
        <v>46131</v>
      </c>
      <c r="B643" s="426">
        <v>46107</v>
      </c>
      <c r="C643" s="64" t="s">
        <v>198</v>
      </c>
      <c r="D643" s="94" t="s">
        <v>145</v>
      </c>
      <c r="E643" s="471" t="s">
        <v>2862</v>
      </c>
      <c r="F643" s="197" t="s">
        <v>428</v>
      </c>
      <c r="G643" s="64" t="s">
        <v>422</v>
      </c>
      <c r="H643" s="87" t="s">
        <v>892</v>
      </c>
      <c r="I643" s="87">
        <v>19</v>
      </c>
      <c r="J643" s="82">
        <v>3507.41</v>
      </c>
      <c r="K643" s="427">
        <f>=I643*J643</f>
        <v>66640.79</v>
      </c>
      <c r="L643" s="470">
        <v>3485</v>
      </c>
      <c r="M643" s="428">
        <f>=I643*L643</f>
        <v>66215</v>
      </c>
      <c r="N643" s="82">
        <f>=K643-M643</f>
        <v>425.789999999994</v>
      </c>
      <c r="O643" s="64">
        <v>1</v>
      </c>
      <c r="P643" s="64">
        <f>=I643*O643*ROUNDUP((A643-B643)/30,0)</f>
        <v>19</v>
      </c>
      <c r="Q643" s="62" t="s"/>
      <c r="R643" s="62" t="s"/>
    </row>
    <row r="644" spans="1:18" ht="15.75" customHeight="true">
      <c r="A644" s="80">
        <v>46131</v>
      </c>
      <c r="B644" s="426">
        <v>46108</v>
      </c>
      <c r="C644" s="64" t="s">
        <v>203</v>
      </c>
      <c r="D644" s="94" t="s">
        <v>145</v>
      </c>
      <c r="E644" s="471" t="s">
        <v>2863</v>
      </c>
      <c r="F644" s="197" t="s">
        <v>428</v>
      </c>
      <c r="G644" s="64" t="s">
        <v>422</v>
      </c>
      <c r="H644" s="87" t="s">
        <v>890</v>
      </c>
      <c r="I644" s="87">
        <v>130</v>
      </c>
      <c r="J644" s="82">
        <v>3677.52</v>
      </c>
      <c r="K644" s="427">
        <f>=I644*J644</f>
        <v>478077.6</v>
      </c>
      <c r="L644" s="470">
        <v>3655</v>
      </c>
      <c r="M644" s="428">
        <f>=I644*L644</f>
        <v>475150</v>
      </c>
      <c r="N644" s="82">
        <f>=K644-M644</f>
        <v>2927.59999999998</v>
      </c>
      <c r="O644" s="64">
        <v>1</v>
      </c>
      <c r="P644" s="64">
        <f>=I644*O644*ROUNDUP((A644-B644)/30,0)</f>
        <v>130</v>
      </c>
      <c r="Q644" s="62" t="s"/>
      <c r="R644" s="62" t="s"/>
    </row>
    <row r="645" spans="1:18" ht="15.75" customHeight="true">
      <c r="A645" s="80">
        <v>46132</v>
      </c>
      <c r="B645" s="460">
        <v>46101</v>
      </c>
      <c r="C645" s="80" t="s">
        <v>166</v>
      </c>
      <c r="D645" s="94" t="s">
        <v>165</v>
      </c>
      <c r="E645" s="259" t="s">
        <v>2864</v>
      </c>
      <c r="F645" s="197" t="s">
        <v>428</v>
      </c>
      <c r="G645" s="64" t="s">
        <v>470</v>
      </c>
      <c r="H645" s="259" t="s">
        <v>954</v>
      </c>
      <c r="I645" s="64">
        <v>114</v>
      </c>
      <c r="J645" s="82">
        <v>2927.2</v>
      </c>
      <c r="K645" s="427">
        <f>=I645*J645</f>
        <v>333700.8</v>
      </c>
      <c r="L645" s="82">
        <v>2900</v>
      </c>
      <c r="M645" s="428">
        <f>=I645*L645</f>
        <v>330600</v>
      </c>
      <c r="N645" s="82">
        <f>=K645-M645</f>
        <v>3100.79999999999</v>
      </c>
      <c r="O645" s="64">
        <v>1.5</v>
      </c>
      <c r="P645" s="64">
        <f>=I645*O645*ROUNDUP((A645-B645)/30,0)</f>
        <v>342</v>
      </c>
      <c r="Q645" s="62" t="s"/>
      <c r="R645" s="62" t="s"/>
    </row>
    <row r="646" spans="1:18" ht="15.75" customHeight="true">
      <c r="A646" s="80">
        <v>46129</v>
      </c>
      <c r="B646" s="426">
        <v>45881</v>
      </c>
      <c r="C646" s="64" t="s">
        <v>71</v>
      </c>
      <c r="D646" s="64" t="s">
        <v>50</v>
      </c>
      <c r="E646" s="94" t="s">
        <v>2865</v>
      </c>
      <c r="F646" s="247" t="s">
        <v>428</v>
      </c>
      <c r="G646" s="64" t="s">
        <v>429</v>
      </c>
      <c r="H646" s="64" t="s">
        <v>594</v>
      </c>
      <c r="I646" s="64">
        <v>25</v>
      </c>
      <c r="J646" s="82">
        <v>645</v>
      </c>
      <c r="K646" s="427">
        <f>=I646*J646</f>
        <v>16125</v>
      </c>
      <c r="L646" s="82">
        <v>600</v>
      </c>
      <c r="M646" s="428">
        <f>=I646*L646</f>
        <v>15000</v>
      </c>
      <c r="N646" s="82">
        <f>=K646-M646</f>
        <v>1125</v>
      </c>
      <c r="O646" s="64">
        <v>0</v>
      </c>
      <c r="P646" s="64">
        <f>=I646*O646*ROUNDUP((A646-B646)/30,0)</f>
        <v>0</v>
      </c>
      <c r="Q646" s="62" t="s"/>
      <c r="R646" s="62" t="s"/>
    </row>
    <row r="647" spans="1:18" ht="15.75" customHeight="true">
      <c r="A647" s="80">
        <v>46129</v>
      </c>
      <c r="B647" s="426">
        <v>45881</v>
      </c>
      <c r="C647" s="64" t="s">
        <v>71</v>
      </c>
      <c r="D647" s="64" t="s">
        <v>50</v>
      </c>
      <c r="E647" s="94" t="s">
        <v>2866</v>
      </c>
      <c r="F647" s="197" t="s">
        <v>428</v>
      </c>
      <c r="G647" s="64" t="s">
        <v>422</v>
      </c>
      <c r="H647" s="64" t="s">
        <v>606</v>
      </c>
      <c r="I647" s="64">
        <v>8</v>
      </c>
      <c r="J647" s="82">
        <v>1290</v>
      </c>
      <c r="K647" s="427">
        <f>=I647*J647</f>
        <v>10320</v>
      </c>
      <c r="L647" s="82">
        <v>1200</v>
      </c>
      <c r="M647" s="428">
        <f>=I647*L647</f>
        <v>9600</v>
      </c>
      <c r="N647" s="82">
        <f>=K647-M647</f>
        <v>720</v>
      </c>
      <c r="O647" s="64">
        <v>0</v>
      </c>
      <c r="P647" s="64">
        <f>=I647*O647*ROUNDUP((A647-B647)/30,0)</f>
        <v>0</v>
      </c>
      <c r="Q647" s="62" t="s"/>
      <c r="R647" s="62" t="s"/>
    </row>
    <row r="648" spans="1:18" ht="15.75" customHeight="true">
      <c r="A648" s="80">
        <v>46129</v>
      </c>
      <c r="B648" s="426">
        <v>45881</v>
      </c>
      <c r="C648" s="64" t="s">
        <v>71</v>
      </c>
      <c r="D648" s="64" t="s">
        <v>50</v>
      </c>
      <c r="E648" s="94" t="s">
        <v>2867</v>
      </c>
      <c r="F648" s="197" t="s">
        <v>428</v>
      </c>
      <c r="G648" s="64" t="s">
        <v>422</v>
      </c>
      <c r="H648" s="64" t="s">
        <v>481</v>
      </c>
      <c r="I648" s="64">
        <v>6</v>
      </c>
      <c r="J648" s="82">
        <v>1419</v>
      </c>
      <c r="K648" s="427">
        <f>=I648*J648</f>
        <v>8514</v>
      </c>
      <c r="L648" s="82">
        <v>1320</v>
      </c>
      <c r="M648" s="428">
        <f>=I648*L648</f>
        <v>7920</v>
      </c>
      <c r="N648" s="82">
        <f>=K648-M648</f>
        <v>594</v>
      </c>
      <c r="O648" s="64">
        <v>0</v>
      </c>
      <c r="P648" s="64">
        <f>=I648*O648*ROUNDUP((A648-B648)/30,0)</f>
        <v>0</v>
      </c>
      <c r="Q648" s="62" t="s"/>
      <c r="R648" s="62" t="s"/>
    </row>
    <row r="649" spans="1:18" ht="15.75" customHeight="true">
      <c r="A649" s="80">
        <v>46129</v>
      </c>
      <c r="B649" s="426">
        <v>45881</v>
      </c>
      <c r="C649" s="64" t="s">
        <v>71</v>
      </c>
      <c r="D649" s="64" t="s">
        <v>50</v>
      </c>
      <c r="E649" s="94" t="s">
        <v>2868</v>
      </c>
      <c r="F649" s="197" t="s">
        <v>428</v>
      </c>
      <c r="G649" s="64" t="s">
        <v>422</v>
      </c>
      <c r="H649" s="64" t="s">
        <v>483</v>
      </c>
      <c r="I649" s="64">
        <v>6</v>
      </c>
      <c r="J649" s="82">
        <v>1419</v>
      </c>
      <c r="K649" s="427">
        <f>=I649*J649</f>
        <v>8514</v>
      </c>
      <c r="L649" s="82">
        <v>1320</v>
      </c>
      <c r="M649" s="428">
        <f>=I649*L649</f>
        <v>7920</v>
      </c>
      <c r="N649" s="82">
        <f>=K649-M649</f>
        <v>594</v>
      </c>
      <c r="O649" s="64">
        <v>0</v>
      </c>
      <c r="P649" s="64">
        <f>=I649*O649*ROUNDUP((A649-B649)/30,0)</f>
        <v>0</v>
      </c>
      <c r="Q649" s="62" t="s"/>
      <c r="R649" s="62" t="s"/>
    </row>
    <row r="650" spans="1:18" ht="15.75" customHeight="true">
      <c r="A650" s="80">
        <v>46129</v>
      </c>
      <c r="B650" s="426">
        <v>45881</v>
      </c>
      <c r="C650" s="64" t="s">
        <v>71</v>
      </c>
      <c r="D650" s="64" t="s">
        <v>50</v>
      </c>
      <c r="E650" s="94" t="s">
        <v>2869</v>
      </c>
      <c r="F650" s="197" t="s">
        <v>428</v>
      </c>
      <c r="G650" s="64" t="s">
        <v>422</v>
      </c>
      <c r="H650" s="64" t="s">
        <v>635</v>
      </c>
      <c r="I650" s="64">
        <v>7</v>
      </c>
      <c r="J650" s="82">
        <v>5674</v>
      </c>
      <c r="K650" s="427">
        <f>=I650*J650</f>
        <v>39718</v>
      </c>
      <c r="L650" s="82">
        <v>5280</v>
      </c>
      <c r="M650" s="428">
        <f>=I650*L650</f>
        <v>36960</v>
      </c>
      <c r="N650" s="82">
        <f>=K650-M650</f>
        <v>2758</v>
      </c>
      <c r="O650" s="64">
        <v>0</v>
      </c>
      <c r="P650" s="64">
        <f>=I650*O650*ROUNDUP((A650-B650)/30,0)</f>
        <v>0</v>
      </c>
      <c r="Q650" s="62" t="s"/>
      <c r="R650" s="62" t="s"/>
    </row>
    <row r="651" spans="1:18" ht="15.75" customHeight="true">
      <c r="A651" s="80">
        <v>46129</v>
      </c>
      <c r="B651" s="426">
        <v>45881</v>
      </c>
      <c r="C651" s="64" t="s">
        <v>71</v>
      </c>
      <c r="D651" s="64" t="s">
        <v>50</v>
      </c>
      <c r="E651" s="94" t="s">
        <v>2870</v>
      </c>
      <c r="F651" s="197" t="s">
        <v>428</v>
      </c>
      <c r="G651" s="64" t="s">
        <v>422</v>
      </c>
      <c r="H651" s="64" t="s">
        <v>637</v>
      </c>
      <c r="I651" s="64">
        <v>9</v>
      </c>
      <c r="J651" s="82">
        <v>5674</v>
      </c>
      <c r="K651" s="427">
        <f>=I651*J651</f>
        <v>51066</v>
      </c>
      <c r="L651" s="82">
        <v>5280</v>
      </c>
      <c r="M651" s="428">
        <f>=I651*L651</f>
        <v>47520</v>
      </c>
      <c r="N651" s="82">
        <f>=K651-M651</f>
        <v>3546</v>
      </c>
      <c r="O651" s="64">
        <v>0</v>
      </c>
      <c r="P651" s="64">
        <f>=I651*O651*ROUNDUP((A651-B651)/30,0)</f>
        <v>0</v>
      </c>
      <c r="Q651" s="62" t="s"/>
      <c r="R651" s="62" t="s"/>
    </row>
    <row r="652" spans="1:18" ht="15.75" customHeight="true">
      <c r="A652" s="80">
        <v>46129</v>
      </c>
      <c r="B652" s="426">
        <v>45881</v>
      </c>
      <c r="C652" s="64" t="s">
        <v>71</v>
      </c>
      <c r="D652" s="64" t="s">
        <v>50</v>
      </c>
      <c r="E652" s="94" t="s">
        <v>2871</v>
      </c>
      <c r="F652" s="197" t="s">
        <v>428</v>
      </c>
      <c r="G652" s="64" t="s">
        <v>422</v>
      </c>
      <c r="H652" s="64" t="s">
        <v>647</v>
      </c>
      <c r="I652" s="64">
        <v>3</v>
      </c>
      <c r="J652" s="82">
        <v>5588</v>
      </c>
      <c r="K652" s="427">
        <f>=I652*J652</f>
        <v>16764</v>
      </c>
      <c r="L652" s="82">
        <v>5200</v>
      </c>
      <c r="M652" s="428">
        <f>=I652*L652</f>
        <v>15600</v>
      </c>
      <c r="N652" s="82">
        <f>=K652-M652</f>
        <v>1164</v>
      </c>
      <c r="O652" s="64">
        <v>0</v>
      </c>
      <c r="P652" s="64">
        <f>=I652*O652*ROUNDUP((A652-B652)/30,0)</f>
        <v>0</v>
      </c>
      <c r="Q652" s="62" t="s"/>
      <c r="R652" s="62" t="s"/>
    </row>
    <row r="653" spans="1:18" ht="15.75" customHeight="true">
      <c r="A653" s="80">
        <v>46129</v>
      </c>
      <c r="B653" s="426">
        <v>45881</v>
      </c>
      <c r="C653" s="64" t="s">
        <v>71</v>
      </c>
      <c r="D653" s="64" t="s">
        <v>50</v>
      </c>
      <c r="E653" s="94" t="s">
        <v>2872</v>
      </c>
      <c r="F653" s="197" t="s">
        <v>428</v>
      </c>
      <c r="G653" s="64" t="s">
        <v>422</v>
      </c>
      <c r="H653" s="64" t="s">
        <v>649</v>
      </c>
      <c r="I653" s="64">
        <v>3</v>
      </c>
      <c r="J653" s="82">
        <v>7635</v>
      </c>
      <c r="K653" s="427">
        <f>=I653*J653</f>
        <v>22905</v>
      </c>
      <c r="L653" s="82">
        <v>7104</v>
      </c>
      <c r="M653" s="428">
        <f>=I653*L653</f>
        <v>21312</v>
      </c>
      <c r="N653" s="82">
        <f>=K653-M653</f>
        <v>1593</v>
      </c>
      <c r="O653" s="64">
        <v>0</v>
      </c>
      <c r="P653" s="64">
        <f>=I653*O653*ROUNDUP((A653-B653)/30,0)</f>
        <v>0</v>
      </c>
      <c r="Q653" s="62" t="s"/>
      <c r="R653" s="62" t="s"/>
    </row>
    <row r="654" spans="1:18" ht="15.75" customHeight="true">
      <c r="A654" s="80">
        <v>46129</v>
      </c>
      <c r="B654" s="426">
        <v>45737</v>
      </c>
      <c r="C654" s="64" t="s">
        <v>51</v>
      </c>
      <c r="D654" s="64" t="s">
        <v>50</v>
      </c>
      <c r="E654" s="94" t="s">
        <v>2873</v>
      </c>
      <c r="F654" s="247" t="s">
        <v>428</v>
      </c>
      <c r="G654" s="64" t="s">
        <v>449</v>
      </c>
      <c r="H654" s="64" t="s">
        <v>451</v>
      </c>
      <c r="I654" s="64">
        <v>30</v>
      </c>
      <c r="J654" s="82">
        <v>884</v>
      </c>
      <c r="K654" s="427">
        <f>=I654*J654</f>
        <v>26520</v>
      </c>
      <c r="L654" s="82">
        <v>791</v>
      </c>
      <c r="M654" s="428">
        <f>=I654*L654</f>
        <v>23730</v>
      </c>
      <c r="N654" s="82">
        <f>=K654-M654</f>
        <v>2790</v>
      </c>
      <c r="O654" s="64">
        <v>0</v>
      </c>
      <c r="P654" s="64">
        <f>=I654*O654*ROUNDUP((A654-B654)/30,0)</f>
        <v>0</v>
      </c>
      <c r="Q654" s="62" t="s"/>
      <c r="R654" s="62" t="s"/>
    </row>
    <row r="655" spans="1:18" ht="15.75" customHeight="true">
      <c r="A655" s="80">
        <v>46129</v>
      </c>
      <c r="B655" s="426">
        <v>45737</v>
      </c>
      <c r="C655" s="64" t="s">
        <v>51</v>
      </c>
      <c r="D655" s="64" t="s">
        <v>50</v>
      </c>
      <c r="E655" s="94" t="s">
        <v>2874</v>
      </c>
      <c r="F655" s="247" t="s">
        <v>428</v>
      </c>
      <c r="G655" s="64" t="s">
        <v>449</v>
      </c>
      <c r="H655" s="64" t="s">
        <v>452</v>
      </c>
      <c r="I655" s="64">
        <v>10</v>
      </c>
      <c r="J655" s="82">
        <v>1000</v>
      </c>
      <c r="K655" s="427">
        <f>=I655*J655</f>
        <v>10000</v>
      </c>
      <c r="L655" s="82">
        <v>894.6</v>
      </c>
      <c r="M655" s="428">
        <f>=I655*L655</f>
        <v>8946</v>
      </c>
      <c r="N655" s="82">
        <f>=K655-M655</f>
        <v>1054</v>
      </c>
      <c r="O655" s="64">
        <v>0</v>
      </c>
      <c r="P655" s="64">
        <f>=I655*O655*ROUNDUP((A655-B655)/30,0)</f>
        <v>0</v>
      </c>
      <c r="Q655" s="62" t="s"/>
      <c r="R655" s="62" t="s"/>
    </row>
    <row r="656" spans="1:18" ht="15.75" customHeight="true">
      <c r="A656" s="80">
        <v>46129</v>
      </c>
      <c r="B656" s="426">
        <v>45737</v>
      </c>
      <c r="C656" s="64" t="s">
        <v>51</v>
      </c>
      <c r="D656" s="64" t="s">
        <v>50</v>
      </c>
      <c r="E656" s="94" t="s">
        <v>2875</v>
      </c>
      <c r="F656" s="247" t="s">
        <v>428</v>
      </c>
      <c r="G656" s="64" t="s">
        <v>449</v>
      </c>
      <c r="H656" s="64" t="s">
        <v>453</v>
      </c>
      <c r="I656" s="64">
        <v>15</v>
      </c>
      <c r="J656" s="82">
        <v>986</v>
      </c>
      <c r="K656" s="427">
        <f>=I656*J656</f>
        <v>14790</v>
      </c>
      <c r="L656" s="82">
        <v>882</v>
      </c>
      <c r="M656" s="428">
        <f>=I656*L656</f>
        <v>13230</v>
      </c>
      <c r="N656" s="82">
        <f>=K656-M656</f>
        <v>1560</v>
      </c>
      <c r="O656" s="64">
        <v>0</v>
      </c>
      <c r="P656" s="64">
        <f>=I656*O656*ROUNDUP((A656-B656)/30,0)</f>
        <v>0</v>
      </c>
      <c r="Q656" s="62" t="s"/>
      <c r="R656" s="62" t="s"/>
    </row>
    <row r="657" spans="1:18" ht="15.75" customHeight="true">
      <c r="A657" s="80">
        <v>46132</v>
      </c>
      <c r="B657" s="426">
        <v>46107</v>
      </c>
      <c r="C657" s="64" t="s">
        <v>202</v>
      </c>
      <c r="D657" s="94" t="s">
        <v>201</v>
      </c>
      <c r="E657" s="308" t="s">
        <v>2876</v>
      </c>
      <c r="F657" s="197" t="s">
        <v>421</v>
      </c>
      <c r="G657" s="197" t="s">
        <v>422</v>
      </c>
      <c r="H657" s="87" t="s">
        <v>1169</v>
      </c>
      <c r="I657" s="87">
        <v>220</v>
      </c>
      <c r="J657" s="82">
        <v>7845</v>
      </c>
      <c r="K657" s="427">
        <f>=I657*J657</f>
        <v>1725900</v>
      </c>
      <c r="L657" s="480">
        <v>7800</v>
      </c>
      <c r="M657" s="428">
        <f>=I657*L657</f>
        <v>1716000</v>
      </c>
      <c r="N657" s="82">
        <f>=K657-M657</f>
        <v>9900</v>
      </c>
      <c r="O657" s="64">
        <v>1</v>
      </c>
      <c r="P657" s="64">
        <f>=I657*O657*ROUNDUP((A657-B657)/30,0)</f>
        <v>220</v>
      </c>
      <c r="Q657" s="62" t="s"/>
      <c r="R657" s="62" t="s"/>
    </row>
    <row r="658" spans="1:18" ht="15.75" customHeight="true">
      <c r="A658" s="80">
        <v>46132</v>
      </c>
      <c r="B658" s="426">
        <v>46107</v>
      </c>
      <c r="C658" s="64" t="s">
        <v>202</v>
      </c>
      <c r="D658" s="94" t="s">
        <v>201</v>
      </c>
      <c r="E658" s="308" t="s">
        <v>2877</v>
      </c>
      <c r="F658" s="197" t="s">
        <v>421</v>
      </c>
      <c r="G658" s="197" t="s">
        <v>422</v>
      </c>
      <c r="H658" s="87" t="s">
        <v>1171</v>
      </c>
      <c r="I658" s="87">
        <v>40</v>
      </c>
      <c r="J658" s="82">
        <v>7845</v>
      </c>
      <c r="K658" s="427">
        <f>=I658*J658</f>
        <v>313800</v>
      </c>
      <c r="L658" s="474">
        <v>7800</v>
      </c>
      <c r="M658" s="428">
        <f>=I658*L658</f>
        <v>312000</v>
      </c>
      <c r="N658" s="82">
        <f>=K658-M658</f>
        <v>1800</v>
      </c>
      <c r="O658" s="64">
        <v>1</v>
      </c>
      <c r="P658" s="64">
        <f>=I658*O658*ROUNDUP((A658-B658)/30,0)</f>
        <v>40</v>
      </c>
      <c r="Q658" s="62" t="s"/>
      <c r="R658" s="62" t="s"/>
    </row>
    <row r="659" spans="1:18" ht="15.75" customHeight="true">
      <c r="A659" s="80">
        <v>46133</v>
      </c>
      <c r="B659" s="460">
        <v>46105</v>
      </c>
      <c r="C659" s="80" t="s">
        <v>184</v>
      </c>
      <c r="D659" s="64" t="s">
        <v>138</v>
      </c>
      <c r="E659" s="471" t="s">
        <v>2878</v>
      </c>
      <c r="F659" s="197" t="s">
        <v>864</v>
      </c>
      <c r="G659" s="259" t="s">
        <v>422</v>
      </c>
      <c r="H659" s="64" t="s">
        <v>1020</v>
      </c>
      <c r="I659" s="64">
        <v>200</v>
      </c>
      <c r="J659" s="82">
        <v>1814.55</v>
      </c>
      <c r="K659" s="427">
        <f>=I659*J659</f>
        <v>362910</v>
      </c>
      <c r="L659" s="82">
        <v>1800</v>
      </c>
      <c r="M659" s="428">
        <f>=I659*L659</f>
        <v>360000</v>
      </c>
      <c r="N659" s="82">
        <f>=K659-M659</f>
        <v>2910</v>
      </c>
      <c r="O659" s="64">
        <v>1</v>
      </c>
      <c r="P659" s="64">
        <f>=I659*O659*ROUNDUP((A659-B659)/30,0)</f>
        <v>200</v>
      </c>
      <c r="Q659" s="62" t="s"/>
      <c r="R659" s="62" t="s"/>
    </row>
    <row r="660" spans="1:18" ht="15.75" customHeight="true">
      <c r="A660" s="80">
        <v>46133</v>
      </c>
      <c r="B660" s="460">
        <v>46107</v>
      </c>
      <c r="C660" s="80" t="s">
        <v>193</v>
      </c>
      <c r="D660" s="64" t="s">
        <v>138</v>
      </c>
      <c r="E660" s="471" t="s">
        <v>2879</v>
      </c>
      <c r="F660" s="197" t="s">
        <v>864</v>
      </c>
      <c r="G660" s="259" t="s">
        <v>422</v>
      </c>
      <c r="H660" s="64" t="s">
        <v>1107</v>
      </c>
      <c r="I660" s="64">
        <v>200</v>
      </c>
      <c r="J660" s="82">
        <v>1813.65</v>
      </c>
      <c r="K660" s="427">
        <f>=I660*J660</f>
        <v>362730</v>
      </c>
      <c r="L660" s="82">
        <v>1800</v>
      </c>
      <c r="M660" s="428">
        <f>=I660*L660</f>
        <v>360000</v>
      </c>
      <c r="N660" s="82">
        <f>=K660-M660</f>
        <v>2730</v>
      </c>
      <c r="O660" s="64">
        <v>1</v>
      </c>
      <c r="P660" s="64">
        <f>=I660*O660*ROUNDUP((A660-B660)/30,0)</f>
        <v>200</v>
      </c>
      <c r="Q660" s="62" t="s"/>
      <c r="R660" s="62" t="s"/>
    </row>
    <row r="661" spans="1:18" ht="15.75" customHeight="true">
      <c r="A661" s="80">
        <v>46133</v>
      </c>
      <c r="B661" s="460">
        <v>46107</v>
      </c>
      <c r="C661" s="80" t="s">
        <v>193</v>
      </c>
      <c r="D661" s="64" t="s">
        <v>138</v>
      </c>
      <c r="E661" s="471" t="s">
        <v>2880</v>
      </c>
      <c r="F661" s="197" t="s">
        <v>864</v>
      </c>
      <c r="G661" s="259" t="s">
        <v>422</v>
      </c>
      <c r="H661" s="64" t="s">
        <v>1109</v>
      </c>
      <c r="I661" s="64">
        <v>200</v>
      </c>
      <c r="J661" s="82">
        <v>1813.65</v>
      </c>
      <c r="K661" s="427">
        <f>=I661*J661</f>
        <v>362730</v>
      </c>
      <c r="L661" s="82">
        <v>1800</v>
      </c>
      <c r="M661" s="428">
        <f>=I661*L661</f>
        <v>360000</v>
      </c>
      <c r="N661" s="82">
        <f>=K661-M661</f>
        <v>2730</v>
      </c>
      <c r="O661" s="64">
        <v>1</v>
      </c>
      <c r="P661" s="64">
        <f>=I661*O661*ROUNDUP((A661-B661)/30,0)</f>
        <v>200</v>
      </c>
      <c r="Q661" s="62" t="s"/>
      <c r="R661" s="62" t="s"/>
    </row>
    <row r="662" spans="1:18" ht="15.75" customHeight="true">
      <c r="A662" s="80">
        <v>46133</v>
      </c>
      <c r="B662" s="426">
        <v>46107</v>
      </c>
      <c r="C662" s="64" t="s">
        <v>202</v>
      </c>
      <c r="D662" s="94" t="s">
        <v>201</v>
      </c>
      <c r="E662" s="308" t="s">
        <v>2881</v>
      </c>
      <c r="F662" s="197" t="s">
        <v>421</v>
      </c>
      <c r="G662" s="197" t="s">
        <v>422</v>
      </c>
      <c r="H662" s="87" t="s">
        <v>1169</v>
      </c>
      <c r="I662" s="64">
        <v>900</v>
      </c>
      <c r="J662" s="82">
        <v>7850</v>
      </c>
      <c r="K662" s="427">
        <f>=I662*J662</f>
        <v>7065000</v>
      </c>
      <c r="L662" s="480">
        <v>7800</v>
      </c>
      <c r="M662" s="428">
        <f>=I662*L662</f>
        <v>7020000</v>
      </c>
      <c r="N662" s="82">
        <f>=K662-M662</f>
        <v>45000</v>
      </c>
      <c r="O662" s="64">
        <v>1</v>
      </c>
      <c r="P662" s="64">
        <f>=I662*O662*ROUNDUP((A662-B662)/30,0)</f>
        <v>900</v>
      </c>
      <c r="Q662" s="62" t="s"/>
      <c r="R662" s="62" t="s"/>
    </row>
    <row r="663" spans="1:18" ht="15.75" customHeight="true">
      <c r="A663" s="80">
        <v>46133</v>
      </c>
      <c r="B663" s="426">
        <v>46107</v>
      </c>
      <c r="C663" s="64" t="s">
        <v>202</v>
      </c>
      <c r="D663" s="94" t="s">
        <v>201</v>
      </c>
      <c r="E663" s="308" t="s">
        <v>2882</v>
      </c>
      <c r="F663" s="197" t="s">
        <v>421</v>
      </c>
      <c r="G663" s="197" t="s">
        <v>422</v>
      </c>
      <c r="H663" s="87" t="s">
        <v>1171</v>
      </c>
      <c r="I663" s="64">
        <v>300</v>
      </c>
      <c r="J663" s="82">
        <v>7850</v>
      </c>
      <c r="K663" s="427">
        <f>=I663*J663</f>
        <v>2355000</v>
      </c>
      <c r="L663" s="480">
        <v>7800</v>
      </c>
      <c r="M663" s="428">
        <f>=I663*L663</f>
        <v>2340000</v>
      </c>
      <c r="N663" s="82">
        <f>=K663-M663</f>
        <v>15000</v>
      </c>
      <c r="O663" s="64">
        <v>1</v>
      </c>
      <c r="P663" s="64">
        <f>=I663*O663*ROUNDUP((A663-B663)/30,0)</f>
        <v>300</v>
      </c>
      <c r="Q663" s="62" t="s"/>
      <c r="R663" s="62" t="s"/>
    </row>
    <row r="664" spans="1:18" ht="15.75" customHeight="true">
      <c r="A664" s="80">
        <v>46133</v>
      </c>
      <c r="B664" s="426">
        <v>46107</v>
      </c>
      <c r="C664" s="64" t="s">
        <v>202</v>
      </c>
      <c r="D664" s="94" t="s">
        <v>201</v>
      </c>
      <c r="E664" s="308" t="s">
        <v>2883</v>
      </c>
      <c r="F664" s="197" t="s">
        <v>421</v>
      </c>
      <c r="G664" s="197" t="s">
        <v>422</v>
      </c>
      <c r="H664" s="87" t="s">
        <v>1173</v>
      </c>
      <c r="I664" s="64">
        <v>100</v>
      </c>
      <c r="J664" s="82">
        <v>7850</v>
      </c>
      <c r="K664" s="427">
        <f>=I664*J664</f>
        <v>785000</v>
      </c>
      <c r="L664" s="480">
        <v>7800</v>
      </c>
      <c r="M664" s="428">
        <f>=I664*L664</f>
        <v>780000</v>
      </c>
      <c r="N664" s="82">
        <f>=K664-M664</f>
        <v>5000</v>
      </c>
      <c r="O664" s="64">
        <v>1</v>
      </c>
      <c r="P664" s="64">
        <f>=I664*O664*ROUNDUP((A664-B664)/30,0)</f>
        <v>100</v>
      </c>
      <c r="Q664" s="62" t="s"/>
      <c r="R664" s="62" t="s"/>
    </row>
    <row r="665" spans="1:18" ht="15.75" customHeight="true">
      <c r="A665" s="80">
        <v>46134</v>
      </c>
      <c r="B665" s="426">
        <v>46081</v>
      </c>
      <c r="C665" s="64" t="s">
        <v>131</v>
      </c>
      <c r="D665" s="97" t="s">
        <v>130</v>
      </c>
      <c r="E665" s="308" t="s">
        <v>2884</v>
      </c>
      <c r="F665" s="197" t="s">
        <v>428</v>
      </c>
      <c r="G665" s="64" t="s">
        <v>470</v>
      </c>
      <c r="H665" s="197" t="s">
        <v>855</v>
      </c>
      <c r="I665" s="64">
        <v>15</v>
      </c>
      <c r="J665" s="82">
        <v>3091.34</v>
      </c>
      <c r="K665" s="427">
        <f>=I665*J665</f>
        <v>46370.1</v>
      </c>
      <c r="L665" s="82">
        <v>3040</v>
      </c>
      <c r="M665" s="428">
        <f>=I665*L665</f>
        <v>45600</v>
      </c>
      <c r="N665" s="82">
        <f>=K665-M665</f>
        <v>770.100000000006</v>
      </c>
      <c r="O665" s="64">
        <v>1.5</v>
      </c>
      <c r="P665" s="64">
        <f>=I665*O665*ROUNDUP((A665-B665)/30,0)</f>
        <v>45</v>
      </c>
      <c r="Q665" s="62" t="s"/>
      <c r="R665" s="62" t="s"/>
    </row>
    <row r="666" spans="1:18" ht="15.75" customHeight="true">
      <c r="A666" s="80">
        <v>46134</v>
      </c>
      <c r="B666" s="426">
        <v>46081</v>
      </c>
      <c r="C666" s="64" t="s">
        <v>131</v>
      </c>
      <c r="D666" s="97" t="s">
        <v>130</v>
      </c>
      <c r="E666" s="308" t="s">
        <v>2885</v>
      </c>
      <c r="F666" s="197" t="s">
        <v>428</v>
      </c>
      <c r="G666" s="64" t="s">
        <v>470</v>
      </c>
      <c r="H666" s="197" t="s">
        <v>855</v>
      </c>
      <c r="I666" s="64">
        <v>15</v>
      </c>
      <c r="J666" s="82">
        <v>3091.34</v>
      </c>
      <c r="K666" s="427">
        <f>=I666*J666</f>
        <v>46370.1</v>
      </c>
      <c r="L666" s="82">
        <v>3040</v>
      </c>
      <c r="M666" s="428">
        <f>=I666*L666</f>
        <v>45600</v>
      </c>
      <c r="N666" s="82">
        <f>=K666-M666</f>
        <v>770.100000000006</v>
      </c>
      <c r="O666" s="64">
        <v>1.5</v>
      </c>
      <c r="P666" s="64">
        <f>=I666*O666*ROUNDUP((A666-B666)/30,0)</f>
        <v>45</v>
      </c>
      <c r="Q666" s="62" t="s"/>
      <c r="R666" s="62" t="s"/>
    </row>
    <row r="667" spans="1:18" ht="15.75" customHeight="true">
      <c r="A667" s="80">
        <v>46134</v>
      </c>
      <c r="B667" s="426">
        <v>46081</v>
      </c>
      <c r="C667" s="64" t="s">
        <v>131</v>
      </c>
      <c r="D667" s="97" t="s">
        <v>130</v>
      </c>
      <c r="E667" s="308" t="s">
        <v>2886</v>
      </c>
      <c r="F667" s="197" t="s">
        <v>428</v>
      </c>
      <c r="G667" s="64" t="s">
        <v>470</v>
      </c>
      <c r="H667" s="197" t="s">
        <v>855</v>
      </c>
      <c r="I667" s="87">
        <v>15</v>
      </c>
      <c r="J667" s="82">
        <v>3091.34</v>
      </c>
      <c r="K667" s="427">
        <f>=I667*J667</f>
        <v>46370.1</v>
      </c>
      <c r="L667" s="82">
        <v>3040</v>
      </c>
      <c r="M667" s="428">
        <f>=I667*L667</f>
        <v>45600</v>
      </c>
      <c r="N667" s="82">
        <f>=K667-M667</f>
        <v>770.100000000006</v>
      </c>
      <c r="O667" s="64">
        <v>1.5</v>
      </c>
      <c r="P667" s="64">
        <f>=I667*O667*ROUNDUP((A667-B667)/30,0)</f>
        <v>45</v>
      </c>
      <c r="Q667" s="62" t="s"/>
      <c r="R667" s="62" t="s"/>
    </row>
    <row r="668" spans="1:18" ht="15.75" customHeight="true">
      <c r="A668" s="80">
        <v>46134</v>
      </c>
      <c r="B668" s="426">
        <v>46081</v>
      </c>
      <c r="C668" s="64" t="s">
        <v>131</v>
      </c>
      <c r="D668" s="97" t="s">
        <v>130</v>
      </c>
      <c r="E668" s="308" t="s">
        <v>2887</v>
      </c>
      <c r="F668" s="197" t="s">
        <v>428</v>
      </c>
      <c r="G668" s="64" t="s">
        <v>470</v>
      </c>
      <c r="H668" s="197" t="s">
        <v>855</v>
      </c>
      <c r="I668" s="64">
        <v>15</v>
      </c>
      <c r="J668" s="82">
        <v>3091.34</v>
      </c>
      <c r="K668" s="427">
        <f>=I668*J668</f>
        <v>46370.1</v>
      </c>
      <c r="L668" s="82">
        <v>3040</v>
      </c>
      <c r="M668" s="428">
        <f>=I668*L668</f>
        <v>45600</v>
      </c>
      <c r="N668" s="82">
        <f>=K668-M668</f>
        <v>770.100000000006</v>
      </c>
      <c r="O668" s="64">
        <v>1.5</v>
      </c>
      <c r="P668" s="64">
        <f>=I668*O668*ROUNDUP((A668-B668)/30,0)</f>
        <v>45</v>
      </c>
      <c r="Q668" s="62" t="s"/>
      <c r="R668" s="62" t="s"/>
    </row>
    <row r="669" spans="1:18" ht="15.75" customHeight="true">
      <c r="A669" s="80">
        <v>46134</v>
      </c>
      <c r="B669" s="426">
        <v>46081</v>
      </c>
      <c r="C669" s="64" t="s">
        <v>131</v>
      </c>
      <c r="D669" s="97" t="s">
        <v>130</v>
      </c>
      <c r="E669" s="308" t="s">
        <v>2888</v>
      </c>
      <c r="F669" s="197" t="s">
        <v>428</v>
      </c>
      <c r="G669" s="64" t="s">
        <v>470</v>
      </c>
      <c r="H669" s="197" t="s">
        <v>855</v>
      </c>
      <c r="I669" s="64">
        <v>15</v>
      </c>
      <c r="J669" s="82">
        <v>3091.34</v>
      </c>
      <c r="K669" s="427">
        <f>=I669*J669</f>
        <v>46370.1</v>
      </c>
      <c r="L669" s="82">
        <v>3040</v>
      </c>
      <c r="M669" s="428">
        <f>=I669*L669</f>
        <v>45600</v>
      </c>
      <c r="N669" s="82">
        <f>=K669-M669</f>
        <v>770.100000000006</v>
      </c>
      <c r="O669" s="64">
        <v>1.5</v>
      </c>
      <c r="P669" s="64">
        <f>=I669*O669*ROUNDUP((A669-B669)/30,0)</f>
        <v>45</v>
      </c>
      <c r="Q669" s="62" t="s"/>
      <c r="R669" s="62" t="s"/>
    </row>
    <row r="670" spans="1:18" ht="15.75" customHeight="true">
      <c r="A670" s="80">
        <v>46134</v>
      </c>
      <c r="B670" s="426">
        <v>46081</v>
      </c>
      <c r="C670" s="64" t="s">
        <v>131</v>
      </c>
      <c r="D670" s="97" t="s">
        <v>130</v>
      </c>
      <c r="E670" s="308" t="s">
        <v>2889</v>
      </c>
      <c r="F670" s="197" t="s">
        <v>428</v>
      </c>
      <c r="G670" s="64" t="s">
        <v>470</v>
      </c>
      <c r="H670" s="197" t="s">
        <v>855</v>
      </c>
      <c r="I670" s="64">
        <v>15</v>
      </c>
      <c r="J670" s="82">
        <v>3091.34</v>
      </c>
      <c r="K670" s="427">
        <f>=I670*J670</f>
        <v>46370.1</v>
      </c>
      <c r="L670" s="82">
        <v>3040</v>
      </c>
      <c r="M670" s="428">
        <f>=I670*L670</f>
        <v>45600</v>
      </c>
      <c r="N670" s="82">
        <f>=K670-M670</f>
        <v>770.100000000006</v>
      </c>
      <c r="O670" s="64">
        <v>1.5</v>
      </c>
      <c r="P670" s="64">
        <f>=I670*O670*ROUNDUP((A670-B670)/30,0)</f>
        <v>45</v>
      </c>
      <c r="Q670" s="62" t="s"/>
      <c r="R670" s="62" t="s"/>
    </row>
    <row r="671" spans="1:18" ht="15.75" customHeight="true">
      <c r="A671" s="80">
        <v>46134</v>
      </c>
      <c r="B671" s="426">
        <v>46081</v>
      </c>
      <c r="C671" s="64" t="s">
        <v>131</v>
      </c>
      <c r="D671" s="97" t="s">
        <v>130</v>
      </c>
      <c r="E671" s="259" t="s">
        <v>2890</v>
      </c>
      <c r="F671" s="197" t="s">
        <v>428</v>
      </c>
      <c r="G671" s="64" t="s">
        <v>470</v>
      </c>
      <c r="H671" s="197" t="s">
        <v>855</v>
      </c>
      <c r="I671" s="64">
        <v>15</v>
      </c>
      <c r="J671" s="82">
        <v>3091.34</v>
      </c>
      <c r="K671" s="427">
        <f>=I671*J671</f>
        <v>46370.1</v>
      </c>
      <c r="L671" s="82">
        <v>3040</v>
      </c>
      <c r="M671" s="428">
        <f>=I671*L671</f>
        <v>45600</v>
      </c>
      <c r="N671" s="82">
        <f>=K671-M671</f>
        <v>770.100000000006</v>
      </c>
      <c r="O671" s="64">
        <v>1.5</v>
      </c>
      <c r="P671" s="64">
        <f>=I671*O671*ROUNDUP((A671-B671)/30,0)</f>
        <v>45</v>
      </c>
      <c r="Q671" s="62" t="s"/>
      <c r="R671" s="62" t="s"/>
    </row>
    <row r="672" spans="1:18" ht="15.75" customHeight="true">
      <c r="A672" s="80">
        <v>46134</v>
      </c>
      <c r="B672" s="426">
        <v>46081</v>
      </c>
      <c r="C672" s="64" t="s">
        <v>131</v>
      </c>
      <c r="D672" s="97" t="s">
        <v>130</v>
      </c>
      <c r="E672" s="259" t="s">
        <v>2891</v>
      </c>
      <c r="F672" s="197" t="s">
        <v>428</v>
      </c>
      <c r="G672" s="64" t="s">
        <v>470</v>
      </c>
      <c r="H672" s="197" t="s">
        <v>855</v>
      </c>
      <c r="I672" s="64">
        <v>5</v>
      </c>
      <c r="J672" s="82">
        <v>3091.34</v>
      </c>
      <c r="K672" s="427">
        <f>=I672*J672</f>
        <v>15456.7</v>
      </c>
      <c r="L672" s="82">
        <v>3040</v>
      </c>
      <c r="M672" s="428">
        <f>=I672*L672</f>
        <v>15200</v>
      </c>
      <c r="N672" s="82">
        <f>=K672-M672</f>
        <v>256.700000000001</v>
      </c>
      <c r="O672" s="64">
        <v>1.5</v>
      </c>
      <c r="P672" s="64">
        <f>=I672*O672*ROUNDUP((A672-B672)/30,0)</f>
        <v>15</v>
      </c>
      <c r="Q672" s="62" t="s"/>
      <c r="R672" s="62" t="s"/>
    </row>
    <row r="673" spans="1:18" ht="15.75" customHeight="true">
      <c r="A673" s="80">
        <v>46135</v>
      </c>
      <c r="B673" s="426">
        <v>46081</v>
      </c>
      <c r="C673" s="64" t="s">
        <v>131</v>
      </c>
      <c r="D673" s="243" t="s">
        <v>130</v>
      </c>
      <c r="E673" s="259" t="s">
        <v>2892</v>
      </c>
      <c r="F673" s="197" t="s">
        <v>428</v>
      </c>
      <c r="G673" s="64" t="s">
        <v>470</v>
      </c>
      <c r="H673" s="197" t="s">
        <v>855</v>
      </c>
      <c r="I673" s="64">
        <v>15</v>
      </c>
      <c r="J673" s="82">
        <v>3093.16</v>
      </c>
      <c r="K673" s="427">
        <f>=I673*J673</f>
        <v>46397.4</v>
      </c>
      <c r="L673" s="82">
        <v>3040</v>
      </c>
      <c r="M673" s="428">
        <f>=I673*L673</f>
        <v>45600</v>
      </c>
      <c r="N673" s="82">
        <f>=K673-M673</f>
        <v>797.399999999994</v>
      </c>
      <c r="O673" s="64">
        <v>1.5</v>
      </c>
      <c r="P673" s="64">
        <f>=I673*O673*ROUNDUP((A673-B673)/30,0)</f>
        <v>45</v>
      </c>
      <c r="Q673" s="62" t="s"/>
      <c r="R673" s="62" t="s"/>
    </row>
    <row r="674" spans="1:18" ht="15.75" customHeight="true">
      <c r="A674" s="80">
        <v>46135</v>
      </c>
      <c r="B674" s="426">
        <v>46081</v>
      </c>
      <c r="C674" s="64" t="s">
        <v>131</v>
      </c>
      <c r="D674" s="97" t="s">
        <v>130</v>
      </c>
      <c r="E674" s="259" t="s">
        <v>2893</v>
      </c>
      <c r="F674" s="197" t="s">
        <v>428</v>
      </c>
      <c r="G674" s="64" t="s">
        <v>470</v>
      </c>
      <c r="H674" s="197" t="s">
        <v>855</v>
      </c>
      <c r="I674" s="64">
        <v>15</v>
      </c>
      <c r="J674" s="82">
        <v>3093.16</v>
      </c>
      <c r="K674" s="427">
        <f>=I674*J674</f>
        <v>46397.4</v>
      </c>
      <c r="L674" s="82">
        <v>3040</v>
      </c>
      <c r="M674" s="428">
        <f>=I674*L674</f>
        <v>45600</v>
      </c>
      <c r="N674" s="82">
        <f>=K674-M674</f>
        <v>797.399999999994</v>
      </c>
      <c r="O674" s="64">
        <v>1.5</v>
      </c>
      <c r="P674" s="64">
        <f>=I674*O674*ROUNDUP((A674-B674)/30,0)</f>
        <v>45</v>
      </c>
      <c r="Q674" s="62" t="s"/>
      <c r="R674" s="62" t="s"/>
    </row>
    <row r="675" spans="1:18" ht="15.75" customHeight="true">
      <c r="A675" s="80">
        <v>46135</v>
      </c>
      <c r="B675" s="426">
        <v>46081</v>
      </c>
      <c r="C675" s="64" t="s">
        <v>131</v>
      </c>
      <c r="D675" s="97" t="s">
        <v>130</v>
      </c>
      <c r="E675" s="259" t="s">
        <v>2894</v>
      </c>
      <c r="F675" s="197" t="s">
        <v>428</v>
      </c>
      <c r="G675" s="64" t="s">
        <v>470</v>
      </c>
      <c r="H675" s="197" t="s">
        <v>855</v>
      </c>
      <c r="I675" s="64">
        <v>15</v>
      </c>
      <c r="J675" s="82">
        <v>3093.16</v>
      </c>
      <c r="K675" s="427">
        <f>=I675*J675</f>
        <v>46397.4</v>
      </c>
      <c r="L675" s="82">
        <v>3040</v>
      </c>
      <c r="M675" s="428">
        <f>=I675*L675</f>
        <v>45600</v>
      </c>
      <c r="N675" s="82">
        <f>=K675-M675</f>
        <v>797.399999999994</v>
      </c>
      <c r="O675" s="64">
        <v>1.5</v>
      </c>
      <c r="P675" s="64">
        <f>=I675*O675*ROUNDUP((A675-B675)/30,0)</f>
        <v>45</v>
      </c>
      <c r="Q675" s="62" t="s"/>
      <c r="R675" s="62" t="s"/>
    </row>
    <row r="676" spans="1:18" ht="15.75" customHeight="true">
      <c r="A676" s="80">
        <v>46135</v>
      </c>
      <c r="B676" s="426">
        <v>46081</v>
      </c>
      <c r="C676" s="64" t="s">
        <v>131</v>
      </c>
      <c r="D676" s="97" t="s">
        <v>130</v>
      </c>
      <c r="E676" s="259" t="s">
        <v>2895</v>
      </c>
      <c r="F676" s="197" t="s">
        <v>428</v>
      </c>
      <c r="G676" s="64" t="s">
        <v>470</v>
      </c>
      <c r="H676" s="197" t="s">
        <v>855</v>
      </c>
      <c r="I676" s="64">
        <v>15</v>
      </c>
      <c r="J676" s="82">
        <v>3093.16</v>
      </c>
      <c r="K676" s="427">
        <f>=I676*J676</f>
        <v>46397.4</v>
      </c>
      <c r="L676" s="82">
        <v>3040</v>
      </c>
      <c r="M676" s="428">
        <f>=I676*L676</f>
        <v>45600</v>
      </c>
      <c r="N676" s="82">
        <f>=K676-M676</f>
        <v>797.399999999994</v>
      </c>
      <c r="O676" s="64">
        <v>1.5</v>
      </c>
      <c r="P676" s="64">
        <f>=I676*O676*ROUNDUP((A676-B676)/30,0)</f>
        <v>45</v>
      </c>
      <c r="Q676" s="62" t="s"/>
      <c r="R676" s="62" t="s"/>
    </row>
    <row r="677" spans="1:18" ht="15.75" customHeight="true">
      <c r="A677" s="80">
        <v>46135</v>
      </c>
      <c r="B677" s="426">
        <v>46081</v>
      </c>
      <c r="C677" s="64" t="s">
        <v>131</v>
      </c>
      <c r="D677" s="97" t="s">
        <v>130</v>
      </c>
      <c r="E677" s="259" t="s">
        <v>2896</v>
      </c>
      <c r="F677" s="197" t="s">
        <v>428</v>
      </c>
      <c r="G677" s="64" t="s">
        <v>470</v>
      </c>
      <c r="H677" s="197" t="s">
        <v>855</v>
      </c>
      <c r="I677" s="64">
        <v>15</v>
      </c>
      <c r="J677" s="82">
        <v>3093.16</v>
      </c>
      <c r="K677" s="427">
        <f>=I677*J677</f>
        <v>46397.4</v>
      </c>
      <c r="L677" s="82">
        <v>3040</v>
      </c>
      <c r="M677" s="428">
        <f>=I677*L677</f>
        <v>45600</v>
      </c>
      <c r="N677" s="82">
        <f>=K677-M677</f>
        <v>797.399999999994</v>
      </c>
      <c r="O677" s="64">
        <v>1.5</v>
      </c>
      <c r="P677" s="64">
        <f>=I677*O677*ROUNDUP((A677-B677)/30,0)</f>
        <v>45</v>
      </c>
      <c r="Q677" s="62" t="s"/>
      <c r="R677" s="62" t="s"/>
    </row>
    <row r="678" spans="1:18" ht="15.75" customHeight="true">
      <c r="A678" s="80">
        <v>46135</v>
      </c>
      <c r="B678" s="426">
        <v>46081</v>
      </c>
      <c r="C678" s="64" t="s">
        <v>131</v>
      </c>
      <c r="D678" s="97" t="s">
        <v>130</v>
      </c>
      <c r="E678" s="259" t="s">
        <v>2897</v>
      </c>
      <c r="F678" s="197" t="s">
        <v>428</v>
      </c>
      <c r="G678" s="64" t="s">
        <v>470</v>
      </c>
      <c r="H678" s="197" t="s">
        <v>855</v>
      </c>
      <c r="I678" s="64">
        <v>15</v>
      </c>
      <c r="J678" s="82">
        <v>3093.16</v>
      </c>
      <c r="K678" s="427">
        <f>=I678*J678</f>
        <v>46397.4</v>
      </c>
      <c r="L678" s="82">
        <v>3040</v>
      </c>
      <c r="M678" s="428">
        <f>=I678*L678</f>
        <v>45600</v>
      </c>
      <c r="N678" s="82">
        <f>=K678-M678</f>
        <v>797.399999999994</v>
      </c>
      <c r="O678" s="64">
        <v>1.5</v>
      </c>
      <c r="P678" s="64">
        <f>=I678*O678*ROUNDUP((A678-B678)/30,0)</f>
        <v>45</v>
      </c>
      <c r="Q678" s="62" t="s"/>
      <c r="R678" s="62" t="s"/>
    </row>
    <row r="679" spans="1:18" ht="15.75" customHeight="true">
      <c r="A679" s="80">
        <v>46135</v>
      </c>
      <c r="B679" s="426">
        <v>46107</v>
      </c>
      <c r="C679" s="64" t="s">
        <v>202</v>
      </c>
      <c r="D679" s="94" t="s">
        <v>201</v>
      </c>
      <c r="E679" s="308" t="s">
        <v>2898</v>
      </c>
      <c r="F679" s="197" t="s">
        <v>421</v>
      </c>
      <c r="G679" s="197" t="s">
        <v>422</v>
      </c>
      <c r="H679" s="87" t="s">
        <v>1169</v>
      </c>
      <c r="I679" s="87">
        <v>160</v>
      </c>
      <c r="J679" s="82">
        <v>7855</v>
      </c>
      <c r="K679" s="427">
        <f>=I679*J679</f>
        <v>1256800</v>
      </c>
      <c r="L679" s="480">
        <v>7800</v>
      </c>
      <c r="M679" s="428">
        <f>=I679*L679</f>
        <v>1248000</v>
      </c>
      <c r="N679" s="82">
        <f>=K679-M679</f>
        <v>8800</v>
      </c>
      <c r="O679" s="64">
        <v>1</v>
      </c>
      <c r="P679" s="64">
        <f>=I679*O679*ROUNDUP((A679-B679)/30,0)</f>
        <v>160</v>
      </c>
      <c r="Q679" s="62" t="s"/>
      <c r="R679" s="62" t="s"/>
    </row>
    <row r="680" spans="1:18" ht="15.75" customHeight="true">
      <c r="A680" s="80">
        <v>46135</v>
      </c>
      <c r="B680" s="426">
        <v>46107</v>
      </c>
      <c r="C680" s="64" t="s">
        <v>202</v>
      </c>
      <c r="D680" s="94" t="s">
        <v>201</v>
      </c>
      <c r="E680" s="308" t="s">
        <v>2899</v>
      </c>
      <c r="F680" s="197" t="s">
        <v>421</v>
      </c>
      <c r="G680" s="197" t="s">
        <v>422</v>
      </c>
      <c r="H680" s="87" t="s">
        <v>1171</v>
      </c>
      <c r="I680" s="87">
        <v>60</v>
      </c>
      <c r="J680" s="82">
        <v>7855</v>
      </c>
      <c r="K680" s="427">
        <f>=I680*J680</f>
        <v>471300</v>
      </c>
      <c r="L680" s="474">
        <v>7800</v>
      </c>
      <c r="M680" s="428">
        <f>=I680*L680</f>
        <v>468000</v>
      </c>
      <c r="N680" s="82">
        <f>=K680-M680</f>
        <v>3300</v>
      </c>
      <c r="O680" s="64">
        <v>1</v>
      </c>
      <c r="P680" s="64">
        <f>=I680*O680*ROUNDUP((A680-B680)/30,0)</f>
        <v>60</v>
      </c>
      <c r="Q680" s="62" t="s"/>
      <c r="R680" s="62" t="s"/>
    </row>
    <row r="681" spans="1:18" ht="15.75" customHeight="true">
      <c r="A681" s="80">
        <v>46135</v>
      </c>
      <c r="B681" s="426">
        <v>46107</v>
      </c>
      <c r="C681" s="64" t="s">
        <v>202</v>
      </c>
      <c r="D681" s="94" t="s">
        <v>201</v>
      </c>
      <c r="E681" s="308" t="s">
        <v>2900</v>
      </c>
      <c r="F681" s="197" t="s">
        <v>421</v>
      </c>
      <c r="G681" s="197" t="s">
        <v>422</v>
      </c>
      <c r="H681" s="87" t="s">
        <v>1173</v>
      </c>
      <c r="I681" s="249">
        <v>60</v>
      </c>
      <c r="J681" s="82">
        <v>7855</v>
      </c>
      <c r="K681" s="427">
        <f>=I681*J681</f>
        <v>471300</v>
      </c>
      <c r="L681" s="474">
        <v>7800</v>
      </c>
      <c r="M681" s="428">
        <f>=I681*L681</f>
        <v>468000</v>
      </c>
      <c r="N681" s="82">
        <f>=K681-M681</f>
        <v>3300</v>
      </c>
      <c r="O681" s="64">
        <v>1</v>
      </c>
      <c r="P681" s="64">
        <f>=I681*O681*ROUNDUP((A681-B681)/30,0)</f>
        <v>60</v>
      </c>
      <c r="Q681" s="62" t="s"/>
      <c r="R681" s="62" t="s"/>
    </row>
    <row r="682" spans="1:18" ht="15.75" customHeight="true">
      <c r="A682" s="80">
        <v>46135</v>
      </c>
      <c r="B682" s="426">
        <v>46111</v>
      </c>
      <c r="C682" s="64" t="s">
        <v>214</v>
      </c>
      <c r="D682" s="94" t="s">
        <v>201</v>
      </c>
      <c r="E682" s="308" t="s">
        <v>2899</v>
      </c>
      <c r="F682" s="197" t="s">
        <v>421</v>
      </c>
      <c r="G682" s="197" t="s">
        <v>422</v>
      </c>
      <c r="H682" s="87" t="s">
        <v>1171</v>
      </c>
      <c r="I682" s="64">
        <v>20</v>
      </c>
      <c r="J682" s="82">
        <v>7855</v>
      </c>
      <c r="K682" s="427">
        <f>=I682*J682</f>
        <v>157100</v>
      </c>
      <c r="L682" s="472">
        <v>7800</v>
      </c>
      <c r="M682" s="428">
        <f>=I682*L682</f>
        <v>156000</v>
      </c>
      <c r="N682" s="82">
        <f>=K682-M682</f>
        <v>1100</v>
      </c>
      <c r="O682" s="64">
        <v>1</v>
      </c>
      <c r="P682" s="64">
        <f>=I682*O682*ROUNDUP((A682-B682)/30,0)</f>
        <v>20</v>
      </c>
      <c r="Q682" s="62" t="s"/>
      <c r="R682" s="62" t="s"/>
    </row>
    <row r="683" spans="1:18" ht="15.75" customHeight="true">
      <c r="A683" s="80">
        <v>46136</v>
      </c>
      <c r="B683" s="483">
        <v>46128</v>
      </c>
      <c r="C683" s="87" t="s">
        <v>266</v>
      </c>
      <c r="D683" s="308" t="s">
        <v>265</v>
      </c>
      <c r="E683" s="141" t="s">
        <v>2901</v>
      </c>
      <c r="F683" s="197" t="s">
        <v>741</v>
      </c>
      <c r="G683" s="64" t="s">
        <v>422</v>
      </c>
      <c r="H683" s="87" t="s">
        <v>1827</v>
      </c>
      <c r="I683" s="87">
        <v>10</v>
      </c>
      <c r="J683" s="82">
        <v>1403.15</v>
      </c>
      <c r="K683" s="427">
        <f>=I683*J683</f>
        <v>14031.5</v>
      </c>
      <c r="L683" s="82">
        <v>1400</v>
      </c>
      <c r="M683" s="428">
        <f>=I683*L683</f>
        <v>14000</v>
      </c>
      <c r="N683" s="82">
        <f>=K683-M683</f>
        <v>31.5</v>
      </c>
      <c r="O683" s="64">
        <v>1</v>
      </c>
      <c r="P683" s="64">
        <f>=I683*O683*ROUNDUP((A683-B683)/30,0)</f>
        <v>10</v>
      </c>
      <c r="Q683" s="62" t="s"/>
      <c r="R683" s="62" t="s"/>
    </row>
    <row r="684" spans="1:18" ht="15.75" customHeight="true">
      <c r="A684" s="80">
        <v>46136</v>
      </c>
      <c r="B684" s="483">
        <v>46128</v>
      </c>
      <c r="C684" s="87" t="s">
        <v>266</v>
      </c>
      <c r="D684" s="308" t="s">
        <v>265</v>
      </c>
      <c r="E684" s="335" t="s">
        <v>2902</v>
      </c>
      <c r="F684" s="197" t="s">
        <v>741</v>
      </c>
      <c r="G684" s="64" t="s">
        <v>422</v>
      </c>
      <c r="H684" s="87" t="s">
        <v>1829</v>
      </c>
      <c r="I684" s="87">
        <v>10</v>
      </c>
      <c r="J684" s="82">
        <v>1227.76</v>
      </c>
      <c r="K684" s="427">
        <f>=I684*J684</f>
        <v>12277.6</v>
      </c>
      <c r="L684" s="82">
        <v>1225</v>
      </c>
      <c r="M684" s="428">
        <f>=I684*L684</f>
        <v>12250</v>
      </c>
      <c r="N684" s="82">
        <f>=K684-M684</f>
        <v>27.6000000000004</v>
      </c>
      <c r="O684" s="64">
        <v>1</v>
      </c>
      <c r="P684" s="64">
        <f>=I684*O684*ROUNDUP((A684-B684)/30,0)</f>
        <v>10</v>
      </c>
      <c r="Q684" s="62" t="s"/>
      <c r="R684" s="62" t="s"/>
    </row>
    <row r="685" spans="1:18" ht="15.75" customHeight="true">
      <c r="A685" s="80">
        <v>46136</v>
      </c>
      <c r="B685" s="483">
        <v>46128</v>
      </c>
      <c r="C685" s="87" t="s">
        <v>266</v>
      </c>
      <c r="D685" s="308" t="s">
        <v>265</v>
      </c>
      <c r="E685" s="335" t="s">
        <v>2903</v>
      </c>
      <c r="F685" s="197" t="s">
        <v>741</v>
      </c>
      <c r="G685" s="64" t="s">
        <v>422</v>
      </c>
      <c r="H685" s="87" t="s">
        <v>1831</v>
      </c>
      <c r="I685" s="87">
        <v>10</v>
      </c>
      <c r="J685" s="82">
        <v>1087.44</v>
      </c>
      <c r="K685" s="427">
        <f>=I685*J685</f>
        <v>10874.4</v>
      </c>
      <c r="L685" s="82">
        <v>1085</v>
      </c>
      <c r="M685" s="428">
        <f>=I685*L685</f>
        <v>10850</v>
      </c>
      <c r="N685" s="82">
        <f>=K685-M685</f>
        <v>24.4000000000015</v>
      </c>
      <c r="O685" s="64">
        <v>1</v>
      </c>
      <c r="P685" s="64">
        <f>=I685*O685*ROUNDUP((A685-B685)/30,0)</f>
        <v>10</v>
      </c>
      <c r="Q685" s="62" t="s"/>
      <c r="R685" s="62" t="s"/>
    </row>
    <row r="686" spans="1:18" ht="15.75" customHeight="true">
      <c r="A686" s="80">
        <v>46136</v>
      </c>
      <c r="B686" s="483">
        <v>46128</v>
      </c>
      <c r="C686" s="87" t="s">
        <v>266</v>
      </c>
      <c r="D686" s="308" t="s">
        <v>265</v>
      </c>
      <c r="E686" s="335" t="s">
        <v>2904</v>
      </c>
      <c r="F686" s="141" t="s">
        <v>895</v>
      </c>
      <c r="G686" s="64" t="s">
        <v>429</v>
      </c>
      <c r="H686" s="87" t="s">
        <v>1833</v>
      </c>
      <c r="I686" s="87">
        <v>20</v>
      </c>
      <c r="J686" s="82">
        <v>1613.62</v>
      </c>
      <c r="K686" s="427">
        <f>=I686*J686</f>
        <v>32272.4</v>
      </c>
      <c r="L686" s="82">
        <v>1610</v>
      </c>
      <c r="M686" s="428">
        <f>=I686*L686</f>
        <v>32200</v>
      </c>
      <c r="N686" s="82">
        <f>=K686-M686</f>
        <v>72.3999999999978</v>
      </c>
      <c r="O686" s="64">
        <v>0.3</v>
      </c>
      <c r="P686" s="64">
        <f>=I686*O686*ROUNDUP((A686-B686)/30,0)</f>
        <v>6</v>
      </c>
      <c r="Q686" s="62" t="s"/>
      <c r="R686" s="62" t="s"/>
    </row>
    <row r="687" spans="1:18" ht="15.75" customHeight="true">
      <c r="A687" s="80">
        <v>46136</v>
      </c>
      <c r="B687" s="483">
        <v>46128</v>
      </c>
      <c r="C687" s="87" t="s">
        <v>266</v>
      </c>
      <c r="D687" s="308" t="s">
        <v>265</v>
      </c>
      <c r="E687" s="335" t="s">
        <v>2905</v>
      </c>
      <c r="F687" s="141" t="s">
        <v>1438</v>
      </c>
      <c r="G687" s="87" t="s">
        <v>449</v>
      </c>
      <c r="H687" s="87" t="s">
        <v>1835</v>
      </c>
      <c r="I687" s="87">
        <v>20</v>
      </c>
      <c r="J687" s="82">
        <v>2174.88</v>
      </c>
      <c r="K687" s="427">
        <f>=I687*J687</f>
        <v>43497.6</v>
      </c>
      <c r="L687" s="82">
        <v>2170</v>
      </c>
      <c r="M687" s="428">
        <f>=I687*L687</f>
        <v>43400</v>
      </c>
      <c r="N687" s="82">
        <f>=K687-M687</f>
        <v>97.6000000000058</v>
      </c>
      <c r="O687" s="64">
        <v>1</v>
      </c>
      <c r="P687" s="64">
        <f>=I687*O687*ROUNDUP((A687-B687)/30,0)</f>
        <v>20</v>
      </c>
      <c r="Q687" s="62" t="s"/>
      <c r="R687" s="62" t="s"/>
    </row>
    <row r="688" spans="1:18" ht="15.75" customHeight="true">
      <c r="A688" s="80">
        <v>46136</v>
      </c>
      <c r="B688" s="483">
        <v>46128</v>
      </c>
      <c r="C688" s="87" t="s">
        <v>266</v>
      </c>
      <c r="D688" s="308" t="s">
        <v>265</v>
      </c>
      <c r="E688" s="335" t="s">
        <v>2906</v>
      </c>
      <c r="F688" s="141" t="s">
        <v>1438</v>
      </c>
      <c r="G688" s="87" t="s">
        <v>449</v>
      </c>
      <c r="H688" s="87" t="s">
        <v>1837</v>
      </c>
      <c r="I688" s="87">
        <v>20</v>
      </c>
      <c r="J688" s="82">
        <v>2174.88</v>
      </c>
      <c r="K688" s="427">
        <f>=I688*J688</f>
        <v>43497.6</v>
      </c>
      <c r="L688" s="82">
        <v>2170</v>
      </c>
      <c r="M688" s="428">
        <f>=I688*L688</f>
        <v>43400</v>
      </c>
      <c r="N688" s="82">
        <f>=K688-M688</f>
        <v>97.6000000000058</v>
      </c>
      <c r="O688" s="64">
        <v>1</v>
      </c>
      <c r="P688" s="64">
        <f>=I688*O688*ROUNDUP((A688-B688)/30,0)</f>
        <v>20</v>
      </c>
      <c r="Q688" s="62" t="s"/>
      <c r="R688" s="62" t="s"/>
    </row>
    <row r="689" spans="1:18" ht="15.75" customHeight="true">
      <c r="A689" s="80">
        <v>46136</v>
      </c>
      <c r="B689" s="483">
        <v>46128</v>
      </c>
      <c r="C689" s="87" t="s">
        <v>266</v>
      </c>
      <c r="D689" s="308" t="s">
        <v>265</v>
      </c>
      <c r="E689" s="335" t="s">
        <v>2907</v>
      </c>
      <c r="F689" s="197" t="s">
        <v>428</v>
      </c>
      <c r="G689" s="64" t="s">
        <v>422</v>
      </c>
      <c r="H689" s="87" t="s">
        <v>1839</v>
      </c>
      <c r="I689" s="87">
        <v>10</v>
      </c>
      <c r="J689" s="82">
        <v>1648.7</v>
      </c>
      <c r="K689" s="427">
        <f>=I689*J689</f>
        <v>16487</v>
      </c>
      <c r="L689" s="82">
        <v>1645</v>
      </c>
      <c r="M689" s="428">
        <f>=I689*L689</f>
        <v>16450</v>
      </c>
      <c r="N689" s="82">
        <f>=K689-M689</f>
        <v>37</v>
      </c>
      <c r="O689" s="64">
        <v>1</v>
      </c>
      <c r="P689" s="64">
        <f>=I689*O689*ROUNDUP((A689-B689)/30,0)</f>
        <v>10</v>
      </c>
      <c r="Q689" s="62" t="s"/>
      <c r="R689" s="62" t="s"/>
    </row>
    <row r="690" spans="1:18" ht="15.75" customHeight="true">
      <c r="A690" s="80">
        <v>46136</v>
      </c>
      <c r="B690" s="483">
        <v>46128</v>
      </c>
      <c r="C690" s="87" t="s">
        <v>266</v>
      </c>
      <c r="D690" s="308" t="s">
        <v>265</v>
      </c>
      <c r="E690" s="335" t="s">
        <v>2908</v>
      </c>
      <c r="F690" s="197" t="s">
        <v>428</v>
      </c>
      <c r="G690" s="64" t="s">
        <v>422</v>
      </c>
      <c r="H690" s="87" t="s">
        <v>1841</v>
      </c>
      <c r="I690" s="87">
        <v>10</v>
      </c>
      <c r="J690" s="82">
        <v>1648.7</v>
      </c>
      <c r="K690" s="427">
        <f>=I690*J690</f>
        <v>16487</v>
      </c>
      <c r="L690" s="82">
        <v>1645</v>
      </c>
      <c r="M690" s="428">
        <f>=I690*L690</f>
        <v>16450</v>
      </c>
      <c r="N690" s="82">
        <f>=K690-M690</f>
        <v>37</v>
      </c>
      <c r="O690" s="64">
        <v>1</v>
      </c>
      <c r="P690" s="64">
        <f>=I690*O690*ROUNDUP((A690-B690)/30,0)</f>
        <v>10</v>
      </c>
      <c r="Q690" s="62" t="s"/>
      <c r="R690" s="62" t="s"/>
    </row>
    <row r="691" spans="1:18" ht="15.75" customHeight="true">
      <c r="A691" s="80">
        <v>46136</v>
      </c>
      <c r="B691" s="483">
        <v>46129</v>
      </c>
      <c r="C691" s="87" t="s">
        <v>267</v>
      </c>
      <c r="D691" s="308" t="s">
        <v>265</v>
      </c>
      <c r="E691" s="335" t="s">
        <v>2909</v>
      </c>
      <c r="F691" s="197" t="s">
        <v>428</v>
      </c>
      <c r="G691" s="64" t="s">
        <v>422</v>
      </c>
      <c r="H691" s="87" t="s">
        <v>1843</v>
      </c>
      <c r="I691" s="87">
        <v>20</v>
      </c>
      <c r="J691" s="82">
        <v>1473.31</v>
      </c>
      <c r="K691" s="427">
        <f>=I691*J691</f>
        <v>29466.2</v>
      </c>
      <c r="L691" s="82">
        <v>1470</v>
      </c>
      <c r="M691" s="428">
        <f>=I691*L691</f>
        <v>29400</v>
      </c>
      <c r="N691" s="82">
        <f>=K691-M691</f>
        <v>66.1999999999971</v>
      </c>
      <c r="O691" s="64">
        <v>1</v>
      </c>
      <c r="P691" s="64">
        <f>=I691*O691*ROUNDUP((A691-B691)/30,0)</f>
        <v>20</v>
      </c>
      <c r="Q691" s="62" t="s"/>
      <c r="R691" s="62" t="s"/>
    </row>
    <row r="692" spans="1:18" ht="15.75" customHeight="true">
      <c r="A692" s="80">
        <v>46136</v>
      </c>
      <c r="B692" s="483">
        <v>46129</v>
      </c>
      <c r="C692" s="87" t="s">
        <v>267</v>
      </c>
      <c r="D692" s="308" t="s">
        <v>265</v>
      </c>
      <c r="E692" s="335" t="s">
        <v>2910</v>
      </c>
      <c r="F692" s="197" t="s">
        <v>428</v>
      </c>
      <c r="G692" s="64" t="s">
        <v>422</v>
      </c>
      <c r="H692" s="87" t="s">
        <v>1845</v>
      </c>
      <c r="I692" s="87">
        <v>40</v>
      </c>
      <c r="J692" s="82">
        <v>1472.94</v>
      </c>
      <c r="K692" s="427">
        <f>=I692*J692</f>
        <v>58917.6</v>
      </c>
      <c r="L692" s="82">
        <v>1470</v>
      </c>
      <c r="M692" s="428">
        <f>=I692*L692</f>
        <v>58800</v>
      </c>
      <c r="N692" s="82">
        <f>=K692-M692</f>
        <v>117.600000000006</v>
      </c>
      <c r="O692" s="64">
        <v>1</v>
      </c>
      <c r="P692" s="64">
        <f>=I692*O692*ROUNDUP((A692-B692)/30,0)</f>
        <v>40</v>
      </c>
      <c r="Q692" s="62" t="s"/>
      <c r="R692" s="62" t="s"/>
    </row>
    <row r="693" spans="1:18" ht="15.75" customHeight="true">
      <c r="A693" s="80">
        <v>46136</v>
      </c>
      <c r="B693" s="483">
        <v>46129</v>
      </c>
      <c r="C693" s="87" t="s">
        <v>267</v>
      </c>
      <c r="D693" s="308" t="s">
        <v>265</v>
      </c>
      <c r="E693" s="155" t="s">
        <v>2911</v>
      </c>
      <c r="F693" s="197" t="s">
        <v>428</v>
      </c>
      <c r="G693" s="64" t="s">
        <v>422</v>
      </c>
      <c r="H693" s="87" t="s">
        <v>1847</v>
      </c>
      <c r="I693" s="87">
        <v>10</v>
      </c>
      <c r="J693" s="82">
        <v>1472.94</v>
      </c>
      <c r="K693" s="427">
        <f>=I693*J693</f>
        <v>14729.4</v>
      </c>
      <c r="L693" s="82">
        <v>1470</v>
      </c>
      <c r="M693" s="428">
        <f>=I693*L693</f>
        <v>14700</v>
      </c>
      <c r="N693" s="82">
        <f>=K693-M693</f>
        <v>29.4000000000015</v>
      </c>
      <c r="O693" s="64">
        <v>1</v>
      </c>
      <c r="P693" s="64">
        <f>=I693*O693*ROUNDUP((A693-B693)/30,0)</f>
        <v>10</v>
      </c>
      <c r="Q693" s="62" t="s"/>
      <c r="R693" s="62" t="s"/>
    </row>
    <row r="694" spans="1:18" ht="15.75" customHeight="true">
      <c r="A694" s="80">
        <v>46136</v>
      </c>
      <c r="B694" s="483">
        <v>46129</v>
      </c>
      <c r="C694" s="87" t="s">
        <v>267</v>
      </c>
      <c r="D694" s="308" t="s">
        <v>265</v>
      </c>
      <c r="E694" s="335" t="s">
        <v>2912</v>
      </c>
      <c r="F694" s="197" t="s">
        <v>428</v>
      </c>
      <c r="G694" s="64" t="s">
        <v>422</v>
      </c>
      <c r="H694" s="87" t="s">
        <v>1849</v>
      </c>
      <c r="I694" s="87">
        <v>10</v>
      </c>
      <c r="J694" s="82">
        <v>1472.94</v>
      </c>
      <c r="K694" s="427">
        <f>=I694*J694</f>
        <v>14729.4</v>
      </c>
      <c r="L694" s="82">
        <v>1470</v>
      </c>
      <c r="M694" s="428">
        <f>=I694*L694</f>
        <v>14700</v>
      </c>
      <c r="N694" s="82">
        <f>=K694-M694</f>
        <v>29.4000000000015</v>
      </c>
      <c r="O694" s="64">
        <v>1</v>
      </c>
      <c r="P694" s="64">
        <f>=I694*O694*ROUNDUP((A694-B694)/30,0)</f>
        <v>10</v>
      </c>
      <c r="Q694" s="62" t="s"/>
      <c r="R694" s="62" t="s"/>
    </row>
    <row r="695" spans="1:18" ht="15.75" customHeight="true">
      <c r="A695" s="80">
        <v>46136</v>
      </c>
      <c r="B695" s="483">
        <v>46129</v>
      </c>
      <c r="C695" s="87" t="s">
        <v>267</v>
      </c>
      <c r="D695" s="308" t="s">
        <v>265</v>
      </c>
      <c r="E695" s="335" t="s">
        <v>2913</v>
      </c>
      <c r="F695" s="141" t="s">
        <v>1438</v>
      </c>
      <c r="G695" s="87" t="s">
        <v>422</v>
      </c>
      <c r="H695" s="87" t="s">
        <v>1851</v>
      </c>
      <c r="I695" s="87">
        <v>25</v>
      </c>
      <c r="J695" s="82">
        <v>876.75</v>
      </c>
      <c r="K695" s="427">
        <f>=I695*J695</f>
        <v>21918.75</v>
      </c>
      <c r="L695" s="82">
        <v>875</v>
      </c>
      <c r="M695" s="428">
        <f>=I695*L695</f>
        <v>21875</v>
      </c>
      <c r="N695" s="82">
        <f>=K695-M695</f>
        <v>43.75</v>
      </c>
      <c r="O695" s="64">
        <v>1</v>
      </c>
      <c r="P695" s="64">
        <f>=I695*O695*ROUNDUP((A695-B695)/30,0)</f>
        <v>25</v>
      </c>
      <c r="Q695" s="62" t="s"/>
      <c r="R695" s="62" t="s"/>
    </row>
    <row r="696" spans="1:18" ht="15.75" customHeight="true">
      <c r="A696" s="80">
        <v>46136</v>
      </c>
      <c r="B696" s="483">
        <v>46129</v>
      </c>
      <c r="C696" s="87" t="s">
        <v>267</v>
      </c>
      <c r="D696" s="308" t="s">
        <v>265</v>
      </c>
      <c r="E696" s="335" t="s">
        <v>2914</v>
      </c>
      <c r="F696" s="141" t="s">
        <v>2481</v>
      </c>
      <c r="G696" s="87" t="s">
        <v>422</v>
      </c>
      <c r="H696" s="87" t="s">
        <v>1853</v>
      </c>
      <c r="I696" s="87">
        <v>30</v>
      </c>
      <c r="J696" s="82">
        <v>1262.52</v>
      </c>
      <c r="K696" s="427">
        <f>=I696*J696</f>
        <v>37875.6</v>
      </c>
      <c r="L696" s="82">
        <v>1260</v>
      </c>
      <c r="M696" s="428">
        <f>=I696*L696</f>
        <v>37800</v>
      </c>
      <c r="N696" s="82">
        <f>=K696-M696</f>
        <v>75.5999999999986</v>
      </c>
      <c r="O696" s="64">
        <v>1</v>
      </c>
      <c r="P696" s="64">
        <f>=I696*O696*ROUNDUP((A696-B696)/30,0)</f>
        <v>30</v>
      </c>
      <c r="Q696" s="62" t="s"/>
      <c r="R696" s="62" t="s"/>
    </row>
    <row r="697" spans="1:18" ht="15.75" customHeight="true">
      <c r="A697" s="80">
        <v>46136</v>
      </c>
      <c r="B697" s="483">
        <v>46129</v>
      </c>
      <c r="C697" s="87" t="s">
        <v>267</v>
      </c>
      <c r="D697" s="308" t="s">
        <v>265</v>
      </c>
      <c r="E697" s="335" t="s">
        <v>2915</v>
      </c>
      <c r="F697" s="197" t="s">
        <v>895</v>
      </c>
      <c r="G697" s="64" t="s">
        <v>422</v>
      </c>
      <c r="H697" s="87" t="s">
        <v>1855</v>
      </c>
      <c r="I697" s="87">
        <v>10</v>
      </c>
      <c r="J697" s="82">
        <v>6943.86</v>
      </c>
      <c r="K697" s="427">
        <f>=I697*J697</f>
        <v>69438.6</v>
      </c>
      <c r="L697" s="82">
        <v>6930</v>
      </c>
      <c r="M697" s="428">
        <f>=I697*L697</f>
        <v>69300</v>
      </c>
      <c r="N697" s="82">
        <f>=K697-M697</f>
        <v>138.599999999991</v>
      </c>
      <c r="O697" s="64">
        <v>1</v>
      </c>
      <c r="P697" s="64">
        <f>=I697*O697*ROUNDUP((A697-B697)/30,0)</f>
        <v>10</v>
      </c>
      <c r="Q697" s="62" t="s"/>
      <c r="R697" s="62" t="s"/>
    </row>
    <row r="698" spans="1:18" ht="15.75" customHeight="true">
      <c r="A698" s="80">
        <v>46136</v>
      </c>
      <c r="B698" s="483">
        <v>46129</v>
      </c>
      <c r="C698" s="87" t="s">
        <v>267</v>
      </c>
      <c r="D698" s="308" t="s">
        <v>265</v>
      </c>
      <c r="E698" s="335" t="s">
        <v>2916</v>
      </c>
      <c r="F698" s="197" t="s">
        <v>895</v>
      </c>
      <c r="G698" s="64" t="s">
        <v>422</v>
      </c>
      <c r="H698" s="87" t="s">
        <v>1857</v>
      </c>
      <c r="I698" s="87">
        <v>40</v>
      </c>
      <c r="J698" s="82">
        <v>1472.94</v>
      </c>
      <c r="K698" s="427">
        <f>=I698*J698</f>
        <v>58917.6</v>
      </c>
      <c r="L698" s="82">
        <v>1470</v>
      </c>
      <c r="M698" s="428">
        <f>=I698*L698</f>
        <v>58800</v>
      </c>
      <c r="N698" s="82">
        <f>=K698-M698</f>
        <v>117.600000000006</v>
      </c>
      <c r="O698" s="64">
        <v>1</v>
      </c>
      <c r="P698" s="64">
        <f>=I698*O698*ROUNDUP((A698-B698)/30,0)</f>
        <v>40</v>
      </c>
      <c r="Q698" s="62" t="s"/>
      <c r="R698" s="62" t="s"/>
    </row>
    <row r="699" spans="1:18" ht="15.75" customHeight="true">
      <c r="A699" s="80">
        <v>46136</v>
      </c>
      <c r="B699" s="483">
        <v>46129</v>
      </c>
      <c r="C699" s="87" t="s">
        <v>267</v>
      </c>
      <c r="D699" s="308" t="s">
        <v>265</v>
      </c>
      <c r="E699" s="335" t="s">
        <v>2917</v>
      </c>
      <c r="F699" s="197" t="s">
        <v>741</v>
      </c>
      <c r="G699" s="64" t="s">
        <v>422</v>
      </c>
      <c r="H699" s="87" t="s">
        <v>1859</v>
      </c>
      <c r="I699" s="87">
        <v>10</v>
      </c>
      <c r="J699" s="82">
        <v>876.75</v>
      </c>
      <c r="K699" s="427">
        <f>=I699*J699</f>
        <v>8767.5</v>
      </c>
      <c r="L699" s="82">
        <v>875</v>
      </c>
      <c r="M699" s="428">
        <f>=I699*L699</f>
        <v>8750</v>
      </c>
      <c r="N699" s="82">
        <f>=K699-M699</f>
        <v>17.5</v>
      </c>
      <c r="O699" s="64">
        <v>1</v>
      </c>
      <c r="P699" s="64">
        <f>=I699*O699*ROUNDUP((A699-B699)/30,0)</f>
        <v>10</v>
      </c>
      <c r="Q699" s="62" t="s"/>
      <c r="R699" s="62" t="s"/>
    </row>
    <row r="700" spans="1:18" ht="15.75" customHeight="true">
      <c r="A700" s="80">
        <v>46136</v>
      </c>
      <c r="B700" s="483">
        <v>46129</v>
      </c>
      <c r="C700" s="87" t="s">
        <v>267</v>
      </c>
      <c r="D700" s="308" t="s">
        <v>265</v>
      </c>
      <c r="E700" s="335" t="s">
        <v>2918</v>
      </c>
      <c r="F700" s="197" t="s">
        <v>741</v>
      </c>
      <c r="G700" s="64" t="s">
        <v>422</v>
      </c>
      <c r="H700" s="87" t="s">
        <v>1861</v>
      </c>
      <c r="I700" s="87">
        <v>10</v>
      </c>
      <c r="J700" s="82">
        <v>1648.29</v>
      </c>
      <c r="K700" s="427">
        <f>=I700*J700</f>
        <v>16482.9</v>
      </c>
      <c r="L700" s="82">
        <v>1645</v>
      </c>
      <c r="M700" s="428">
        <f>=I700*L700</f>
        <v>16450</v>
      </c>
      <c r="N700" s="82">
        <f>=K700-M700</f>
        <v>32.9000000000015</v>
      </c>
      <c r="O700" s="64">
        <v>1</v>
      </c>
      <c r="P700" s="64">
        <f>=I700*O700*ROUNDUP((A700-B700)/30,0)</f>
        <v>10</v>
      </c>
      <c r="Q700" s="62" t="s"/>
      <c r="R700" s="62" t="s"/>
    </row>
    <row r="701" spans="1:18" ht="15.75" customHeight="true">
      <c r="A701" s="80">
        <v>46136</v>
      </c>
      <c r="B701" s="483">
        <v>46129</v>
      </c>
      <c r="C701" s="87" t="s">
        <v>267</v>
      </c>
      <c r="D701" s="308" t="s">
        <v>265</v>
      </c>
      <c r="E701" s="335" t="s">
        <v>2919</v>
      </c>
      <c r="F701" s="197" t="s">
        <v>428</v>
      </c>
      <c r="G701" s="64" t="s">
        <v>422</v>
      </c>
      <c r="H701" s="87" t="s">
        <v>1863</v>
      </c>
      <c r="I701" s="87">
        <v>70</v>
      </c>
      <c r="J701" s="82">
        <v>981.96</v>
      </c>
      <c r="K701" s="427">
        <f>=I701*J701</f>
        <v>68737.2</v>
      </c>
      <c r="L701" s="82">
        <v>980</v>
      </c>
      <c r="M701" s="428">
        <f>=I701*L701</f>
        <v>68600</v>
      </c>
      <c r="N701" s="82">
        <f>=K701-M701</f>
        <v>137.199999999997</v>
      </c>
      <c r="O701" s="64">
        <v>1</v>
      </c>
      <c r="P701" s="64">
        <f>=I701*O701*ROUNDUP((A701-B701)/30,0)</f>
        <v>70</v>
      </c>
      <c r="Q701" s="62" t="s"/>
      <c r="R701" s="62" t="s"/>
    </row>
    <row r="702" spans="1:18" ht="15.75" customHeight="true">
      <c r="A702" s="80">
        <v>46136</v>
      </c>
      <c r="B702" s="483">
        <v>46129</v>
      </c>
      <c r="C702" s="87" t="s">
        <v>267</v>
      </c>
      <c r="D702" s="308" t="s">
        <v>265</v>
      </c>
      <c r="E702" s="335" t="s">
        <v>2920</v>
      </c>
      <c r="F702" s="197" t="s">
        <v>428</v>
      </c>
      <c r="G702" s="64" t="s">
        <v>422</v>
      </c>
      <c r="H702" s="87" t="s">
        <v>1865</v>
      </c>
      <c r="I702" s="87">
        <v>60</v>
      </c>
      <c r="J702" s="82">
        <v>981.96</v>
      </c>
      <c r="K702" s="427">
        <f>=I702*J702</f>
        <v>58917.6</v>
      </c>
      <c r="L702" s="82">
        <v>980</v>
      </c>
      <c r="M702" s="428">
        <f>=I702*L702</f>
        <v>58800</v>
      </c>
      <c r="N702" s="82">
        <f>=K702-M702</f>
        <v>117.600000000006</v>
      </c>
      <c r="O702" s="64">
        <v>1</v>
      </c>
      <c r="P702" s="64">
        <f>=I702*O702*ROUNDUP((A702-B702)/30,0)</f>
        <v>60</v>
      </c>
      <c r="Q702" s="62" t="s"/>
      <c r="R702" s="62" t="s"/>
    </row>
    <row r="703" spans="1:18" ht="15.75" customHeight="true">
      <c r="A703" s="80">
        <v>46136</v>
      </c>
      <c r="B703" s="483">
        <v>46129</v>
      </c>
      <c r="C703" s="87" t="s">
        <v>267</v>
      </c>
      <c r="D703" s="308" t="s">
        <v>265</v>
      </c>
      <c r="E703" s="335" t="s">
        <v>2921</v>
      </c>
      <c r="F703" s="197" t="s">
        <v>428</v>
      </c>
      <c r="G703" s="64" t="s">
        <v>422</v>
      </c>
      <c r="H703" s="87" t="s">
        <v>1867</v>
      </c>
      <c r="I703" s="87">
        <v>40</v>
      </c>
      <c r="J703" s="82">
        <v>981.96</v>
      </c>
      <c r="K703" s="427">
        <f>=I703*J703</f>
        <v>39278.4</v>
      </c>
      <c r="L703" s="82">
        <v>980</v>
      </c>
      <c r="M703" s="428">
        <f>=I703*L703</f>
        <v>39200</v>
      </c>
      <c r="N703" s="82">
        <f>=K703-M703</f>
        <v>78.4000000000015</v>
      </c>
      <c r="O703" s="64">
        <v>1</v>
      </c>
      <c r="P703" s="64">
        <f>=I703*O703*ROUNDUP((A703-B703)/30,0)</f>
        <v>40</v>
      </c>
      <c r="Q703" s="62" t="s"/>
      <c r="R703" s="62" t="s"/>
    </row>
    <row r="704" spans="1:18" ht="15.75" customHeight="true">
      <c r="A704" s="80">
        <v>46136</v>
      </c>
      <c r="B704" s="426">
        <v>46100</v>
      </c>
      <c r="C704" s="64" t="s">
        <v>158</v>
      </c>
      <c r="D704" s="64" t="s">
        <v>52</v>
      </c>
      <c r="E704" s="259" t="s">
        <v>2922</v>
      </c>
      <c r="F704" s="197" t="s">
        <v>428</v>
      </c>
      <c r="G704" s="64" t="s">
        <v>422</v>
      </c>
      <c r="H704" s="140" t="s">
        <v>923</v>
      </c>
      <c r="I704" s="64">
        <v>30</v>
      </c>
      <c r="J704" s="82">
        <v>2975.63</v>
      </c>
      <c r="K704" s="427">
        <f>=I704*J704</f>
        <v>89268.9</v>
      </c>
      <c r="L704" s="82">
        <v>2940</v>
      </c>
      <c r="M704" s="428">
        <f>=I704*L704</f>
        <v>88200</v>
      </c>
      <c r="N704" s="82">
        <f>=K704-M704</f>
        <v>1068.90000000001</v>
      </c>
      <c r="O704" s="64">
        <v>0</v>
      </c>
      <c r="P704" s="64">
        <f>=I704*O704*ROUNDUP((A704-B704)/30,0)</f>
        <v>0</v>
      </c>
      <c r="Q704" s="62" t="s"/>
      <c r="R704" s="62" t="s"/>
    </row>
    <row r="705" spans="1:18" ht="15.75" customHeight="true">
      <c r="A705" s="80">
        <v>46136</v>
      </c>
      <c r="B705" s="426">
        <v>46104</v>
      </c>
      <c r="C705" s="64" t="s">
        <v>179</v>
      </c>
      <c r="D705" s="64" t="s">
        <v>52</v>
      </c>
      <c r="E705" s="308" t="s">
        <v>2923</v>
      </c>
      <c r="F705" s="197" t="s">
        <v>428</v>
      </c>
      <c r="G705" s="64" t="s">
        <v>422</v>
      </c>
      <c r="H705" s="140" t="s">
        <v>632</v>
      </c>
      <c r="I705" s="64">
        <v>18</v>
      </c>
      <c r="J705" s="82">
        <v>3113.49</v>
      </c>
      <c r="K705" s="427">
        <f>=I705*J705</f>
        <v>56042.82</v>
      </c>
      <c r="L705" s="82">
        <v>3080</v>
      </c>
      <c r="M705" s="428">
        <f>=I705*L705</f>
        <v>55440</v>
      </c>
      <c r="N705" s="82">
        <f>=K705-M705</f>
        <v>602.819999999993</v>
      </c>
      <c r="O705" s="64">
        <v>0</v>
      </c>
      <c r="P705" s="64">
        <f>=I705*O705*ROUNDUP((A705-B705)/30,0)</f>
        <v>0</v>
      </c>
      <c r="Q705" s="62" t="s"/>
      <c r="R705" s="62" t="s"/>
    </row>
    <row r="706" spans="1:18" ht="15.75" customHeight="true">
      <c r="A706" s="80">
        <v>46136</v>
      </c>
      <c r="B706" s="426">
        <v>46108</v>
      </c>
      <c r="C706" s="64" t="s">
        <v>205</v>
      </c>
      <c r="D706" s="64" t="s">
        <v>52</v>
      </c>
      <c r="E706" s="308" t="s">
        <v>2924</v>
      </c>
      <c r="F706" s="197" t="s">
        <v>428</v>
      </c>
      <c r="G706" s="64" t="s">
        <v>422</v>
      </c>
      <c r="H706" s="140" t="s">
        <v>632</v>
      </c>
      <c r="I706" s="64">
        <v>5</v>
      </c>
      <c r="J706" s="82">
        <v>3108.3</v>
      </c>
      <c r="K706" s="427">
        <f>=I706*J706</f>
        <v>15541.5</v>
      </c>
      <c r="L706" s="82">
        <v>3080</v>
      </c>
      <c r="M706" s="428">
        <f>=I706*L706</f>
        <v>15400</v>
      </c>
      <c r="N706" s="82">
        <f>=K706-M706</f>
        <v>141.5</v>
      </c>
      <c r="O706" s="64">
        <v>0</v>
      </c>
      <c r="P706" s="64">
        <f>=I706*O706*ROUNDUP((A706-B706)/30,0)</f>
        <v>0</v>
      </c>
      <c r="Q706" s="62" t="s"/>
      <c r="R706" s="62" t="s"/>
    </row>
    <row r="707" spans="1:18" ht="15.75" customHeight="true">
      <c r="A707" s="80">
        <v>46136</v>
      </c>
      <c r="B707" s="460">
        <v>46132</v>
      </c>
      <c r="C707" s="80" t="s">
        <v>275</v>
      </c>
      <c r="D707" s="87" t="s">
        <v>272</v>
      </c>
      <c r="E707" s="335" t="s">
        <v>2925</v>
      </c>
      <c r="F707" s="335" t="s">
        <v>804</v>
      </c>
      <c r="G707" s="87" t="s">
        <v>422</v>
      </c>
      <c r="H707" s="87" t="s">
        <v>1940</v>
      </c>
      <c r="I707" s="87">
        <v>50</v>
      </c>
      <c r="J707" s="64">
        <v>602.7</v>
      </c>
      <c r="K707" s="427">
        <f>=I707*J707</f>
        <v>30135</v>
      </c>
      <c r="L707" s="87">
        <v>600</v>
      </c>
      <c r="M707" s="428">
        <f>=I707*L707</f>
        <v>30000</v>
      </c>
      <c r="N707" s="82">
        <f>=K707-M707</f>
        <v>135.000000000004</v>
      </c>
      <c r="O707" s="64">
        <v>1</v>
      </c>
      <c r="P707" s="64">
        <f>=I707*O707*ROUNDUP((A707-B707)/30,0)</f>
        <v>50</v>
      </c>
      <c r="Q707" s="62" t="s"/>
      <c r="R707" s="62" t="s"/>
    </row>
    <row r="708" spans="1:18" ht="15.75" customHeight="true">
      <c r="A708" s="80">
        <v>46136</v>
      </c>
      <c r="B708" s="460">
        <v>46090</v>
      </c>
      <c r="C708" s="80" t="s">
        <v>139</v>
      </c>
      <c r="D708" s="94" t="s">
        <v>294</v>
      </c>
      <c r="E708" s="471" t="s">
        <v>2926</v>
      </c>
      <c r="F708" s="197" t="s">
        <v>864</v>
      </c>
      <c r="G708" s="259" t="s">
        <v>422</v>
      </c>
      <c r="H708" s="259" t="s">
        <v>869</v>
      </c>
      <c r="I708" s="64">
        <v>250</v>
      </c>
      <c r="J708" s="249">
        <v>1941.96</v>
      </c>
      <c r="K708" s="427">
        <f>=I708*J708</f>
        <v>485490</v>
      </c>
      <c r="L708" s="64">
        <v>1912</v>
      </c>
      <c r="M708" s="428">
        <f>=I708*L708</f>
        <v>478000</v>
      </c>
      <c r="N708" s="82">
        <f>=K708-M708</f>
        <v>7490</v>
      </c>
      <c r="O708" s="64">
        <v>1</v>
      </c>
      <c r="P708" s="64">
        <f>=I708*O708*ROUNDUP((A708-B708)/30,0)</f>
        <v>500</v>
      </c>
      <c r="Q708" s="62" t="s"/>
      <c r="R708" s="62" t="s"/>
    </row>
    <row r="709" spans="1:18" ht="15.75" customHeight="true">
      <c r="A709" s="80">
        <v>46136</v>
      </c>
      <c r="B709" s="460">
        <v>46090</v>
      </c>
      <c r="C709" s="80" t="s">
        <v>139</v>
      </c>
      <c r="D709" s="94" t="s">
        <v>294</v>
      </c>
      <c r="E709" s="471" t="s">
        <v>2927</v>
      </c>
      <c r="F709" s="197" t="s">
        <v>864</v>
      </c>
      <c r="G709" s="259" t="s">
        <v>422</v>
      </c>
      <c r="H709" s="259" t="s">
        <v>869</v>
      </c>
      <c r="I709" s="64">
        <v>250</v>
      </c>
      <c r="J709" s="249">
        <v>1941.96</v>
      </c>
      <c r="K709" s="427">
        <f>=I709*J709</f>
        <v>485490</v>
      </c>
      <c r="L709" s="64">
        <v>1912</v>
      </c>
      <c r="M709" s="428">
        <f>=I709*L709</f>
        <v>478000</v>
      </c>
      <c r="N709" s="82">
        <f>=K709-M709</f>
        <v>7490</v>
      </c>
      <c r="O709" s="64">
        <v>1</v>
      </c>
      <c r="P709" s="64">
        <f>=I709*O709*ROUNDUP((A709-B709)/30,0)</f>
        <v>500</v>
      </c>
      <c r="Q709" s="62" t="s"/>
      <c r="R709" s="62" t="s"/>
    </row>
    <row r="710" spans="1:18" ht="15.75" customHeight="true">
      <c r="A710" s="80">
        <v>46136</v>
      </c>
      <c r="B710" s="426">
        <v>45994</v>
      </c>
      <c r="C710" s="64" t="s">
        <v>92</v>
      </c>
      <c r="D710" s="348" t="s">
        <v>84</v>
      </c>
      <c r="E710" s="445" t="s">
        <v>2928</v>
      </c>
      <c r="F710" s="94" t="s">
        <v>671</v>
      </c>
      <c r="G710" s="194" t="s">
        <v>470</v>
      </c>
      <c r="H710" s="459" t="s">
        <v>672</v>
      </c>
      <c r="I710" s="64">
        <v>40</v>
      </c>
      <c r="J710" s="94">
        <v>6297.4</v>
      </c>
      <c r="K710" s="427">
        <f>=I710*J710</f>
        <v>251896</v>
      </c>
      <c r="L710" s="64">
        <v>6080</v>
      </c>
      <c r="M710" s="428">
        <f>=I710*L710</f>
        <v>243200</v>
      </c>
      <c r="N710" s="82">
        <f>=K710-M710</f>
        <v>8696</v>
      </c>
      <c r="O710" s="64">
        <v>0</v>
      </c>
      <c r="P710" s="64">
        <f>=I710*O710*ROUNDUP((A710-B710)/30,0)</f>
        <v>0</v>
      </c>
      <c r="Q710" s="62" t="s"/>
      <c r="R710" s="62" t="s"/>
    </row>
    <row r="711" spans="1:18" ht="15.75" customHeight="true">
      <c r="A711" s="80">
        <v>46140</v>
      </c>
      <c r="B711" s="460">
        <v>46133</v>
      </c>
      <c r="C711" s="80" t="s">
        <v>278</v>
      </c>
      <c r="D711" s="97" t="s">
        <v>276</v>
      </c>
      <c r="E711" s="335" t="s">
        <v>2929</v>
      </c>
      <c r="F711" s="335" t="s">
        <v>421</v>
      </c>
      <c r="G711" s="87" t="s">
        <v>449</v>
      </c>
      <c r="H711" s="87" t="s">
        <v>1943</v>
      </c>
      <c r="I711" s="87">
        <v>35</v>
      </c>
      <c r="J711" s="249">
        <v>3809.6</v>
      </c>
      <c r="K711" s="427">
        <f>=I711*J711</f>
        <v>133336</v>
      </c>
      <c r="L711" s="87">
        <v>3800</v>
      </c>
      <c r="M711" s="428">
        <f>=I711*L711</f>
        <v>133000</v>
      </c>
      <c r="N711" s="82">
        <f>=K711-M711</f>
        <v>336</v>
      </c>
      <c r="O711" s="64">
        <v>1</v>
      </c>
      <c r="P711" s="64">
        <f>=I711*O711*ROUNDUP((A711-B711)/30,0)</f>
        <v>35</v>
      </c>
      <c r="Q711" s="62" t="s"/>
      <c r="R711" s="62" t="s"/>
    </row>
    <row r="712" spans="1:18" ht="15.75" customHeight="true">
      <c r="A712" s="80">
        <v>46140</v>
      </c>
      <c r="B712" s="460">
        <v>46132</v>
      </c>
      <c r="C712" s="80" t="s">
        <v>277</v>
      </c>
      <c r="D712" s="97" t="s">
        <v>276</v>
      </c>
      <c r="E712" s="335" t="s">
        <v>2930</v>
      </c>
      <c r="F712" s="335" t="s">
        <v>421</v>
      </c>
      <c r="G712" s="87" t="s">
        <v>449</v>
      </c>
      <c r="H712" s="87" t="s">
        <v>1945</v>
      </c>
      <c r="I712" s="87">
        <v>6</v>
      </c>
      <c r="J712" s="249">
        <v>3810.55</v>
      </c>
      <c r="K712" s="427">
        <f>=I712*J712</f>
        <v>22863.3</v>
      </c>
      <c r="L712" s="87">
        <v>3800</v>
      </c>
      <c r="M712" s="428">
        <f>=I712*L712</f>
        <v>22800</v>
      </c>
      <c r="N712" s="82">
        <f>=K712-M712</f>
        <v>63.3000000000029</v>
      </c>
      <c r="O712" s="64">
        <v>1</v>
      </c>
      <c r="P712" s="64">
        <f>=I712*O712*ROUNDUP((A712-B712)/30,0)</f>
        <v>6</v>
      </c>
      <c r="Q712" s="62" t="s"/>
      <c r="R712" s="62" t="s"/>
    </row>
    <row r="713" spans="1:18" ht="15.75" customHeight="true">
      <c r="A713" s="80">
        <v>46140</v>
      </c>
      <c r="B713" s="460">
        <v>46132</v>
      </c>
      <c r="C713" s="80" t="s">
        <v>277</v>
      </c>
      <c r="D713" s="97" t="s">
        <v>276</v>
      </c>
      <c r="E713" s="335" t="s">
        <v>2931</v>
      </c>
      <c r="F713" s="335" t="s">
        <v>421</v>
      </c>
      <c r="G713" s="87" t="s">
        <v>449</v>
      </c>
      <c r="H713" s="87" t="s">
        <v>1947</v>
      </c>
      <c r="I713" s="249">
        <v>2</v>
      </c>
      <c r="J713" s="249">
        <v>3810.55</v>
      </c>
      <c r="K713" s="427">
        <f>=I713*J713</f>
        <v>7621.1</v>
      </c>
      <c r="L713" s="87">
        <v>3800</v>
      </c>
      <c r="M713" s="428">
        <f>=I713*L713</f>
        <v>7600</v>
      </c>
      <c r="N713" s="82">
        <f>=K713-M713</f>
        <v>21.1000000000004</v>
      </c>
      <c r="O713" s="64">
        <v>1</v>
      </c>
      <c r="P713" s="64">
        <f>=I713*O713*ROUNDUP((A713-B713)/30,0)</f>
        <v>2</v>
      </c>
      <c r="Q713" s="62" t="s"/>
      <c r="R713" s="62" t="s"/>
    </row>
    <row r="714" spans="1:18" ht="15.75" customHeight="true">
      <c r="A714" s="80">
        <v>46140</v>
      </c>
      <c r="B714" s="483">
        <v>46112</v>
      </c>
      <c r="C714" s="87" t="s">
        <v>228</v>
      </c>
      <c r="D714" s="87" t="s">
        <v>227</v>
      </c>
      <c r="E714" s="471" t="s">
        <v>2932</v>
      </c>
      <c r="F714" s="94" t="s">
        <v>503</v>
      </c>
      <c r="G714" s="64" t="s">
        <v>422</v>
      </c>
      <c r="H714" s="64" t="s">
        <v>1488</v>
      </c>
      <c r="I714" s="64">
        <v>181</v>
      </c>
      <c r="J714" s="87">
        <v>1361.29</v>
      </c>
      <c r="K714" s="427">
        <f>=I714*J714</f>
        <v>246393.49</v>
      </c>
      <c r="L714" s="87">
        <v>1350</v>
      </c>
      <c r="M714" s="428">
        <f>=I714*L714</f>
        <v>244350</v>
      </c>
      <c r="N714" s="82">
        <f>=K714-M714</f>
        <v>2043.48999999999</v>
      </c>
      <c r="O714" s="64">
        <v>1</v>
      </c>
      <c r="P714" s="64">
        <f>=I714*O714*ROUNDUP((A714-B714)/30,0)</f>
        <v>181</v>
      </c>
      <c r="Q714" s="62" t="s"/>
      <c r="R714" s="62" t="s"/>
    </row>
    <row r="715" spans="1:18" ht="15.75" customHeight="true">
      <c r="A715" s="80">
        <v>46140</v>
      </c>
      <c r="B715" s="483">
        <v>46112</v>
      </c>
      <c r="C715" s="87" t="s">
        <v>228</v>
      </c>
      <c r="D715" s="87" t="s">
        <v>227</v>
      </c>
      <c r="E715" s="471" t="s">
        <v>2933</v>
      </c>
      <c r="F715" s="94" t="s">
        <v>503</v>
      </c>
      <c r="G715" s="64" t="s">
        <v>422</v>
      </c>
      <c r="H715" s="64" t="s">
        <v>1552</v>
      </c>
      <c r="I715" s="64">
        <v>130</v>
      </c>
      <c r="J715" s="87">
        <v>1361.29</v>
      </c>
      <c r="K715" s="427">
        <f>=I715*J715</f>
        <v>176967.7</v>
      </c>
      <c r="L715" s="87">
        <v>1350</v>
      </c>
      <c r="M715" s="428">
        <f>=I715*L715</f>
        <v>175500</v>
      </c>
      <c r="N715" s="82">
        <f>=K715-M715</f>
        <v>1467.69999999998</v>
      </c>
      <c r="O715" s="64">
        <v>1</v>
      </c>
      <c r="P715" s="64">
        <f>=I715*O715*ROUNDUP((A715-B715)/30,0)</f>
        <v>130</v>
      </c>
      <c r="Q715" s="62" t="s"/>
      <c r="R715" s="62" t="s"/>
    </row>
    <row r="716" spans="1:18" ht="15.75" customHeight="true">
      <c r="A716" s="80">
        <v>46140</v>
      </c>
      <c r="B716" s="483">
        <v>46112</v>
      </c>
      <c r="C716" s="87" t="s">
        <v>228</v>
      </c>
      <c r="D716" s="87" t="s">
        <v>227</v>
      </c>
      <c r="E716" s="471" t="s">
        <v>2934</v>
      </c>
      <c r="F716" s="94" t="s">
        <v>503</v>
      </c>
      <c r="G716" s="64" t="s">
        <v>422</v>
      </c>
      <c r="H716" s="64" t="s">
        <v>1590</v>
      </c>
      <c r="I716" s="64">
        <v>76</v>
      </c>
      <c r="J716" s="87">
        <v>1663.46</v>
      </c>
      <c r="K716" s="427">
        <f>=I716*J716</f>
        <v>126422.96</v>
      </c>
      <c r="L716" s="87">
        <v>1650</v>
      </c>
      <c r="M716" s="428">
        <f>=I716*L716</f>
        <v>125400</v>
      </c>
      <c r="N716" s="82">
        <f>=K716-M716</f>
        <v>1022.96000000001</v>
      </c>
      <c r="O716" s="64">
        <v>1</v>
      </c>
      <c r="P716" s="64">
        <f>=I716*O716*ROUNDUP((A716-B716)/30,0)</f>
        <v>76</v>
      </c>
      <c r="Q716" s="62" t="s"/>
      <c r="R716" s="62" t="s"/>
    </row>
    <row r="717" spans="1:18" ht="15.75" customHeight="true">
      <c r="A717" s="80">
        <v>46140</v>
      </c>
      <c r="B717" s="483">
        <v>46112</v>
      </c>
      <c r="C717" s="87" t="s">
        <v>228</v>
      </c>
      <c r="D717" s="87" t="s">
        <v>227</v>
      </c>
      <c r="E717" s="471" t="s">
        <v>2935</v>
      </c>
      <c r="F717" s="94" t="s">
        <v>503</v>
      </c>
      <c r="G717" s="64" t="s">
        <v>422</v>
      </c>
      <c r="H717" s="64" t="s">
        <v>1592</v>
      </c>
      <c r="I717" s="64">
        <v>69</v>
      </c>
      <c r="J717" s="87">
        <v>1663.46</v>
      </c>
      <c r="K717" s="427">
        <f>=I717*J717</f>
        <v>114778.74</v>
      </c>
      <c r="L717" s="87">
        <v>1650</v>
      </c>
      <c r="M717" s="428">
        <f>=I717*L717</f>
        <v>113850</v>
      </c>
      <c r="N717" s="82">
        <f>=K717-M717</f>
        <v>928.740000000005</v>
      </c>
      <c r="O717" s="64">
        <v>1</v>
      </c>
      <c r="P717" s="64">
        <f>=I717*O717*ROUNDUP((A717-B717)/30,0)</f>
        <v>69</v>
      </c>
      <c r="Q717" s="62" t="s"/>
      <c r="R717" s="62" t="s"/>
    </row>
    <row r="718" spans="1:18" ht="15.75" customHeight="true">
      <c r="A718" s="80">
        <v>46140</v>
      </c>
      <c r="B718" s="483">
        <v>46112</v>
      </c>
      <c r="C718" s="87" t="s">
        <v>228</v>
      </c>
      <c r="D718" s="87" t="s">
        <v>227</v>
      </c>
      <c r="E718" s="471" t="s">
        <v>2936</v>
      </c>
      <c r="F718" s="94" t="s">
        <v>503</v>
      </c>
      <c r="G718" s="64" t="s">
        <v>422</v>
      </c>
      <c r="H718" s="64" t="s">
        <v>1594</v>
      </c>
      <c r="I718" s="64">
        <v>69</v>
      </c>
      <c r="J718" s="87">
        <v>1663.46</v>
      </c>
      <c r="K718" s="427">
        <f>=I718*J718</f>
        <v>114778.74</v>
      </c>
      <c r="L718" s="87">
        <v>1650</v>
      </c>
      <c r="M718" s="428">
        <f>=I718*L718</f>
        <v>113850</v>
      </c>
      <c r="N718" s="82">
        <f>=K718-M718</f>
        <v>928.740000000005</v>
      </c>
      <c r="O718" s="64">
        <v>1</v>
      </c>
      <c r="P718" s="64">
        <f>=I718*O718*ROUNDUP((A718-B718)/30,0)</f>
        <v>69</v>
      </c>
      <c r="Q718" s="62" t="s"/>
      <c r="R718" s="62" t="s"/>
    </row>
    <row r="719" spans="1:18" ht="15.75" customHeight="true">
      <c r="A719" s="80">
        <v>46140</v>
      </c>
      <c r="B719" s="483">
        <v>46112</v>
      </c>
      <c r="C719" s="87" t="s">
        <v>228</v>
      </c>
      <c r="D719" s="87" t="s">
        <v>227</v>
      </c>
      <c r="E719" s="471" t="s">
        <v>2937</v>
      </c>
      <c r="F719" s="94" t="s">
        <v>503</v>
      </c>
      <c r="G719" s="64" t="s">
        <v>422</v>
      </c>
      <c r="H719" s="64" t="s">
        <v>1596</v>
      </c>
      <c r="I719" s="64">
        <v>57</v>
      </c>
      <c r="J719" s="87">
        <v>1663.46</v>
      </c>
      <c r="K719" s="427">
        <f>=I719*J719</f>
        <v>94817.22</v>
      </c>
      <c r="L719" s="87">
        <v>1650</v>
      </c>
      <c r="M719" s="428">
        <f>=I719*L719</f>
        <v>94050</v>
      </c>
      <c r="N719" s="82">
        <f>=K719-M719</f>
        <v>767.220000000001</v>
      </c>
      <c r="O719" s="64">
        <v>1</v>
      </c>
      <c r="P719" s="64">
        <f>=I719*O719*ROUNDUP((A719-B719)/30,0)</f>
        <v>57</v>
      </c>
      <c r="Q719" s="62" t="s"/>
      <c r="R719" s="62" t="s"/>
    </row>
    <row r="720" spans="1:18" ht="15.75" customHeight="true">
      <c r="A720" s="80">
        <v>46140</v>
      </c>
      <c r="B720" s="483">
        <v>46112</v>
      </c>
      <c r="C720" s="87" t="s">
        <v>228</v>
      </c>
      <c r="D720" s="87" t="s">
        <v>227</v>
      </c>
      <c r="E720" s="471" t="s">
        <v>2938</v>
      </c>
      <c r="F720" s="94" t="s">
        <v>503</v>
      </c>
      <c r="G720" s="64" t="s">
        <v>422</v>
      </c>
      <c r="H720" s="64" t="s">
        <v>1598</v>
      </c>
      <c r="I720" s="64">
        <v>55</v>
      </c>
      <c r="J720" s="87">
        <v>1401.58</v>
      </c>
      <c r="K720" s="427">
        <f>=I720*J720</f>
        <v>77086.9</v>
      </c>
      <c r="L720" s="87">
        <v>1390</v>
      </c>
      <c r="M720" s="428">
        <f>=I720*L720</f>
        <v>76450</v>
      </c>
      <c r="N720" s="82">
        <f>=K720-M720</f>
        <v>636.899999999994</v>
      </c>
      <c r="O720" s="64">
        <v>1</v>
      </c>
      <c r="P720" s="64">
        <f>=I720*O720*ROUNDUP((A720-B720)/30,0)</f>
        <v>55</v>
      </c>
      <c r="Q720" s="62" t="s"/>
      <c r="R720" s="62" t="s"/>
    </row>
    <row r="721" spans="1:18" ht="15.75" customHeight="true">
      <c r="A721" s="80">
        <v>46140</v>
      </c>
      <c r="B721" s="483">
        <v>46112</v>
      </c>
      <c r="C721" s="87" t="s">
        <v>228</v>
      </c>
      <c r="D721" s="87" t="s">
        <v>227</v>
      </c>
      <c r="E721" s="471" t="s">
        <v>2939</v>
      </c>
      <c r="F721" s="94" t="s">
        <v>503</v>
      </c>
      <c r="G721" s="64" t="s">
        <v>422</v>
      </c>
      <c r="H721" s="64" t="s">
        <v>1600</v>
      </c>
      <c r="I721" s="64">
        <v>12</v>
      </c>
      <c r="J721" s="87">
        <v>1587.92</v>
      </c>
      <c r="K721" s="427">
        <f>=I721*J721</f>
        <v>19055.04</v>
      </c>
      <c r="L721" s="87">
        <v>1575</v>
      </c>
      <c r="M721" s="428">
        <f>=I721*L721</f>
        <v>18900</v>
      </c>
      <c r="N721" s="82">
        <f>=K721-M721</f>
        <v>155.040000000001</v>
      </c>
      <c r="O721" s="64">
        <v>1</v>
      </c>
      <c r="P721" s="64">
        <f>=I721*O721*ROUNDUP((A721-B721)/30,0)</f>
        <v>12</v>
      </c>
      <c r="Q721" s="62" t="s"/>
      <c r="R721" s="62" t="s"/>
    </row>
    <row r="722" spans="1:18" ht="15.75" customHeight="true">
      <c r="A722" s="80">
        <v>46140</v>
      </c>
      <c r="B722" s="483">
        <v>46112</v>
      </c>
      <c r="C722" s="87" t="s">
        <v>228</v>
      </c>
      <c r="D722" s="87" t="s">
        <v>227</v>
      </c>
      <c r="E722" s="471" t="s">
        <v>2940</v>
      </c>
      <c r="F722" s="94" t="s">
        <v>503</v>
      </c>
      <c r="G722" s="64" t="s">
        <v>422</v>
      </c>
      <c r="H722" s="64" t="s">
        <v>1602</v>
      </c>
      <c r="I722" s="64">
        <v>10</v>
      </c>
      <c r="J722" s="87">
        <v>1401.58</v>
      </c>
      <c r="K722" s="427">
        <f>=I722*J722</f>
        <v>14015.8</v>
      </c>
      <c r="L722" s="87">
        <v>1390</v>
      </c>
      <c r="M722" s="428">
        <f>=I722*L722</f>
        <v>13900</v>
      </c>
      <c r="N722" s="82">
        <f>=K722-M722</f>
        <v>115.799999999999</v>
      </c>
      <c r="O722" s="64">
        <v>1</v>
      </c>
      <c r="P722" s="64">
        <f>=I722*O722*ROUNDUP((A722-B722)/30,0)</f>
        <v>10</v>
      </c>
      <c r="Q722" s="62" t="s"/>
      <c r="R722" s="62" t="s"/>
    </row>
    <row r="723" spans="1:18" ht="15.75" customHeight="true">
      <c r="A723" s="80">
        <v>46140</v>
      </c>
      <c r="B723" s="483">
        <v>46112</v>
      </c>
      <c r="C723" s="87" t="s">
        <v>228</v>
      </c>
      <c r="D723" s="87" t="s">
        <v>227</v>
      </c>
      <c r="E723" s="471" t="s">
        <v>2941</v>
      </c>
      <c r="F723" s="94" t="s">
        <v>503</v>
      </c>
      <c r="G723" s="64" t="s">
        <v>422</v>
      </c>
      <c r="H723" s="64" t="s">
        <v>1604</v>
      </c>
      <c r="I723" s="64">
        <v>4</v>
      </c>
      <c r="J723" s="87">
        <v>1401.58</v>
      </c>
      <c r="K723" s="427">
        <f>=I723*J723</f>
        <v>5606.32</v>
      </c>
      <c r="L723" s="87">
        <v>1390</v>
      </c>
      <c r="M723" s="428">
        <f>=I723*L723</f>
        <v>5560</v>
      </c>
      <c r="N723" s="82">
        <f>=K723-M723</f>
        <v>46.3199999999997</v>
      </c>
      <c r="O723" s="64">
        <v>1</v>
      </c>
      <c r="P723" s="64">
        <f>=I723*O723*ROUNDUP((A723-B723)/30,0)</f>
        <v>4</v>
      </c>
      <c r="Q723" s="62" t="s"/>
      <c r="R723" s="62" t="s"/>
    </row>
    <row r="724" spans="1:18" ht="15.75" customHeight="true">
      <c r="A724" s="80">
        <v>46140</v>
      </c>
      <c r="B724" s="460">
        <v>46112</v>
      </c>
      <c r="C724" s="80" t="s">
        <v>224</v>
      </c>
      <c r="D724" s="87" t="s">
        <v>223</v>
      </c>
      <c r="E724" s="94" t="s">
        <v>2942</v>
      </c>
      <c r="F724" s="308" t="s">
        <v>421</v>
      </c>
      <c r="G724" s="308" t="s">
        <v>470</v>
      </c>
      <c r="H724" s="308" t="s">
        <v>1284</v>
      </c>
      <c r="I724" s="64">
        <v>200</v>
      </c>
      <c r="J724" s="87">
        <v>3363.52</v>
      </c>
      <c r="K724" s="427">
        <f>=I724*J724</f>
        <v>672704</v>
      </c>
      <c r="L724" s="87">
        <v>3337</v>
      </c>
      <c r="M724" s="428">
        <f>=I724*L724</f>
        <v>667400</v>
      </c>
      <c r="N724" s="82">
        <f>=K724-M724</f>
        <v>5304</v>
      </c>
      <c r="O724" s="64">
        <v>1.5</v>
      </c>
      <c r="P724" s="64">
        <f>=I724*O724*ROUNDUP((A724-B724)/30,0)</f>
        <v>300</v>
      </c>
      <c r="Q724" s="62" t="s"/>
      <c r="R724" s="62" t="s"/>
    </row>
    <row r="725" spans="1:18" ht="15.75" customHeight="true">
      <c r="A725" s="80">
        <v>46140</v>
      </c>
      <c r="B725" s="460">
        <v>46105</v>
      </c>
      <c r="C725" s="80" t="s">
        <v>185</v>
      </c>
      <c r="D725" s="64" t="s">
        <v>156</v>
      </c>
      <c r="E725" s="94" t="s">
        <v>2943</v>
      </c>
      <c r="F725" s="308" t="s">
        <v>421</v>
      </c>
      <c r="G725" s="308" t="s">
        <v>470</v>
      </c>
      <c r="H725" s="308" t="s">
        <v>1017</v>
      </c>
      <c r="I725" s="64">
        <v>40</v>
      </c>
      <c r="J725" s="94">
        <v>4040</v>
      </c>
      <c r="K725" s="427">
        <f>=I725*J725</f>
        <v>161600</v>
      </c>
      <c r="L725" s="64">
        <v>4000</v>
      </c>
      <c r="M725" s="428">
        <f>=I725*L725</f>
        <v>160000</v>
      </c>
      <c r="N725" s="82">
        <f>=K725-M725</f>
        <v>1600</v>
      </c>
      <c r="O725" s="64">
        <v>1.5</v>
      </c>
      <c r="P725" s="64">
        <f>=I725*O725*ROUNDUP((A725-B725)/30,0)</f>
        <v>120</v>
      </c>
      <c r="Q725" s="62" t="s"/>
      <c r="R725" s="62" t="s"/>
    </row>
    <row r="726" spans="1:18" ht="15.75" customHeight="true">
      <c r="A726" s="110">
        <v>46140</v>
      </c>
      <c r="B726" s="461">
        <v>46105</v>
      </c>
      <c r="C726" s="110" t="s">
        <v>185</v>
      </c>
      <c r="D726" s="83" t="s">
        <v>156</v>
      </c>
      <c r="E726" s="94" t="s">
        <v>2944</v>
      </c>
      <c r="F726" s="308" t="s">
        <v>421</v>
      </c>
      <c r="G726" s="308" t="s">
        <v>470</v>
      </c>
      <c r="H726" s="308" t="s">
        <v>1017</v>
      </c>
      <c r="I726" s="64">
        <v>40</v>
      </c>
      <c r="J726" s="94">
        <v>4040</v>
      </c>
      <c r="K726" s="427">
        <f>=I726*J726</f>
        <v>161600</v>
      </c>
      <c r="L726" s="64">
        <v>4000</v>
      </c>
      <c r="M726" s="428">
        <f>=I726*L726</f>
        <v>160000</v>
      </c>
      <c r="N726" s="82">
        <f>=K726-M726</f>
        <v>1600</v>
      </c>
      <c r="O726" s="64">
        <v>1.5</v>
      </c>
      <c r="P726" s="64">
        <f>=I726*O726*ROUNDUP((A726-B726)/30,0)</f>
        <v>120</v>
      </c>
      <c r="Q726" s="62" t="s"/>
      <c r="R726" s="62" t="s"/>
    </row>
    <row r="727" spans="1:18" ht="15.75" customHeight="true">
      <c r="A727" s="110">
        <v>46140</v>
      </c>
      <c r="B727" s="461">
        <v>46105</v>
      </c>
      <c r="C727" s="110" t="s">
        <v>185</v>
      </c>
      <c r="D727" s="83" t="s">
        <v>156</v>
      </c>
      <c r="E727" s="94" t="s">
        <v>2945</v>
      </c>
      <c r="F727" s="308" t="s">
        <v>421</v>
      </c>
      <c r="G727" s="308" t="s">
        <v>470</v>
      </c>
      <c r="H727" s="308" t="s">
        <v>1017</v>
      </c>
      <c r="I727" s="64">
        <v>20</v>
      </c>
      <c r="J727" s="94">
        <v>4040</v>
      </c>
      <c r="K727" s="427">
        <f>=I727*J727</f>
        <v>80800</v>
      </c>
      <c r="L727" s="64">
        <v>4000</v>
      </c>
      <c r="M727" s="428">
        <f>=I727*L727</f>
        <v>80000</v>
      </c>
      <c r="N727" s="82">
        <f>=K727-M727</f>
        <v>800</v>
      </c>
      <c r="O727" s="64">
        <v>1.5</v>
      </c>
      <c r="P727" s="64">
        <f>=I727*O727*ROUNDUP((A727-B727)/30,0)</f>
        <v>60</v>
      </c>
      <c r="Q727" s="62" t="s"/>
      <c r="R727" s="62" t="s"/>
    </row>
    <row r="728" spans="1:18" ht="15.75" customHeight="true">
      <c r="A728" s="80">
        <v>46140</v>
      </c>
      <c r="B728" s="460">
        <v>46112</v>
      </c>
      <c r="C728" s="80" t="s">
        <v>213</v>
      </c>
      <c r="D728" s="64" t="s">
        <v>156</v>
      </c>
      <c r="E728" s="94" t="s">
        <v>2946</v>
      </c>
      <c r="F728" s="308" t="s">
        <v>421</v>
      </c>
      <c r="G728" s="308" t="s">
        <v>470</v>
      </c>
      <c r="H728" s="87" t="s">
        <v>1015</v>
      </c>
      <c r="I728" s="64">
        <v>60</v>
      </c>
      <c r="J728" s="94">
        <v>3245.35</v>
      </c>
      <c r="K728" s="427">
        <f>=I728*J728</f>
        <v>194721</v>
      </c>
      <c r="L728" s="87">
        <v>3220</v>
      </c>
      <c r="M728" s="428">
        <f>=I728*L728</f>
        <v>193200</v>
      </c>
      <c r="N728" s="82">
        <f>=K728-M728</f>
        <v>1521</v>
      </c>
      <c r="O728" s="64">
        <v>1.5</v>
      </c>
      <c r="P728" s="64">
        <f>=I728*O728*ROUNDUP((A728-B728)/30,0)</f>
        <v>90</v>
      </c>
      <c r="Q728" s="62" t="s"/>
      <c r="R728" s="62" t="s"/>
    </row>
    <row r="729" spans="1:18" ht="15.75" customHeight="true">
      <c r="A729" s="80">
        <v>46140</v>
      </c>
      <c r="B729" s="460">
        <v>46112</v>
      </c>
      <c r="C729" s="80" t="s">
        <v>213</v>
      </c>
      <c r="D729" s="64" t="s">
        <v>156</v>
      </c>
      <c r="E729" s="94" t="s">
        <v>2947</v>
      </c>
      <c r="F729" s="308" t="s">
        <v>421</v>
      </c>
      <c r="G729" s="308" t="s">
        <v>470</v>
      </c>
      <c r="H729" s="87" t="s">
        <v>1015</v>
      </c>
      <c r="I729" s="64">
        <v>8</v>
      </c>
      <c r="J729" s="94">
        <v>3245.35</v>
      </c>
      <c r="K729" s="427">
        <f>=I729*J729</f>
        <v>25962.8</v>
      </c>
      <c r="L729" s="87">
        <v>3220</v>
      </c>
      <c r="M729" s="428">
        <f>=I729*L729</f>
        <v>25760</v>
      </c>
      <c r="N729" s="82">
        <f>=K729-M729</f>
        <v>202.799999999999</v>
      </c>
      <c r="O729" s="64">
        <v>1.5</v>
      </c>
      <c r="P729" s="64">
        <f>=I729*O729*ROUNDUP((A729-B729)/30,0)</f>
        <v>12</v>
      </c>
      <c r="Q729" s="62" t="s"/>
      <c r="R729" s="62" t="s"/>
    </row>
    <row r="730" spans="1:18" ht="15.75" customHeight="true">
      <c r="A730" s="80">
        <v>46140</v>
      </c>
      <c r="B730" s="460">
        <v>46105</v>
      </c>
      <c r="C730" s="80" t="s">
        <v>184</v>
      </c>
      <c r="D730" s="64" t="s">
        <v>138</v>
      </c>
      <c r="E730" s="308" t="s">
        <v>2948</v>
      </c>
      <c r="F730" s="64" t="s">
        <v>864</v>
      </c>
      <c r="G730" s="64" t="s">
        <v>422</v>
      </c>
      <c r="H730" s="64" t="s">
        <v>1020</v>
      </c>
      <c r="I730" s="64">
        <v>100</v>
      </c>
      <c r="J730" s="64">
        <v>1819.2</v>
      </c>
      <c r="K730" s="427">
        <f>=I730*J730</f>
        <v>181920</v>
      </c>
      <c r="L730" s="64">
        <v>1800</v>
      </c>
      <c r="M730" s="428">
        <f>=I730*L730</f>
        <v>180000</v>
      </c>
      <c r="N730" s="82">
        <f>=K730-M730</f>
        <v>1920</v>
      </c>
      <c r="O730" s="64">
        <v>1</v>
      </c>
      <c r="P730" s="64">
        <f>=I730*O730*ROUNDUP((A730-B730)/30,0)</f>
        <v>200</v>
      </c>
      <c r="Q730" s="62" t="s"/>
      <c r="R730" s="62" t="s"/>
    </row>
    <row r="731" spans="1:18" ht="15.75" customHeight="true">
      <c r="A731" s="80">
        <v>46140</v>
      </c>
      <c r="B731" s="460">
        <v>46107</v>
      </c>
      <c r="C731" s="80" t="s">
        <v>193</v>
      </c>
      <c r="D731" s="64" t="s">
        <v>138</v>
      </c>
      <c r="E731" s="155" t="s">
        <v>2949</v>
      </c>
      <c r="F731" s="64" t="s">
        <v>864</v>
      </c>
      <c r="G731" s="64" t="s">
        <v>422</v>
      </c>
      <c r="H731" s="64" t="s">
        <v>1107</v>
      </c>
      <c r="I731" s="64">
        <v>100</v>
      </c>
      <c r="J731" s="64">
        <v>1818.3</v>
      </c>
      <c r="K731" s="427">
        <f>=I731*J731</f>
        <v>181830</v>
      </c>
      <c r="L731" s="64">
        <v>1800</v>
      </c>
      <c r="M731" s="428">
        <f>=I731*L731</f>
        <v>180000</v>
      </c>
      <c r="N731" s="82">
        <f>=K731-M731</f>
        <v>1830</v>
      </c>
      <c r="O731" s="64">
        <v>1</v>
      </c>
      <c r="P731" s="64">
        <f>=I731*O731*ROUNDUP((A731-B731)/30,0)</f>
        <v>200</v>
      </c>
      <c r="Q731" s="62" t="s"/>
      <c r="R731" s="62" t="s"/>
    </row>
    <row r="732" spans="1:18" ht="15.75" customHeight="true">
      <c r="A732" s="80">
        <v>46140</v>
      </c>
      <c r="B732" s="460">
        <v>46107</v>
      </c>
      <c r="C732" s="80" t="s">
        <v>193</v>
      </c>
      <c r="D732" s="64" t="s">
        <v>138</v>
      </c>
      <c r="E732" s="155" t="s">
        <v>2950</v>
      </c>
      <c r="F732" s="64" t="s">
        <v>864</v>
      </c>
      <c r="G732" s="64" t="s">
        <v>422</v>
      </c>
      <c r="H732" s="64" t="s">
        <v>1109</v>
      </c>
      <c r="I732" s="64">
        <v>100</v>
      </c>
      <c r="J732" s="64">
        <v>1818.3</v>
      </c>
      <c r="K732" s="427">
        <f>=I732*J732</f>
        <v>181830</v>
      </c>
      <c r="L732" s="64">
        <v>1800</v>
      </c>
      <c r="M732" s="428">
        <f>=I732*L732</f>
        <v>180000</v>
      </c>
      <c r="N732" s="82">
        <f>=K732-M732</f>
        <v>1830</v>
      </c>
      <c r="O732" s="64">
        <v>1</v>
      </c>
      <c r="P732" s="64">
        <f>=I732*O732*ROUNDUP((A732-B732)/30,0)</f>
        <v>200</v>
      </c>
      <c r="Q732" s="62" t="s"/>
      <c r="R732" s="62" t="s"/>
    </row>
    <row r="733" spans="1:18" ht="15.75" customHeight="true">
      <c r="A733" s="80">
        <v>46140</v>
      </c>
      <c r="B733" s="460">
        <v>46114</v>
      </c>
      <c r="C733" s="80" t="s">
        <v>237</v>
      </c>
      <c r="D733" s="64" t="s">
        <v>135</v>
      </c>
      <c r="E733" s="471" t="s">
        <v>2951</v>
      </c>
      <c r="F733" s="194" t="s">
        <v>428</v>
      </c>
      <c r="G733" s="194" t="s">
        <v>422</v>
      </c>
      <c r="H733" s="87" t="s">
        <v>1271</v>
      </c>
      <c r="I733" s="87">
        <v>40</v>
      </c>
      <c r="J733" s="249">
        <v>1163.8</v>
      </c>
      <c r="K733" s="427">
        <f>=I733*J733</f>
        <v>46552</v>
      </c>
      <c r="L733" s="87">
        <v>1155</v>
      </c>
      <c r="M733" s="428">
        <f>=I733*L733</f>
        <v>46200</v>
      </c>
      <c r="N733" s="82">
        <f>=K733-M733</f>
        <v>352</v>
      </c>
      <c r="O733" s="64">
        <v>1</v>
      </c>
      <c r="P733" s="64">
        <f>=I733*O733*ROUNDUP((A733-B733)/30,0)</f>
        <v>40</v>
      </c>
      <c r="Q733" s="62" t="s"/>
      <c r="R733" s="62" t="s"/>
    </row>
    <row r="734" spans="1:18" ht="15.75" customHeight="true">
      <c r="A734" s="80">
        <v>46140</v>
      </c>
      <c r="B734" s="460">
        <v>46114</v>
      </c>
      <c r="C734" s="80" t="s">
        <v>237</v>
      </c>
      <c r="D734" s="64" t="s">
        <v>135</v>
      </c>
      <c r="E734" s="471" t="s">
        <v>2952</v>
      </c>
      <c r="F734" s="307" t="s">
        <v>428</v>
      </c>
      <c r="G734" s="64" t="s">
        <v>422</v>
      </c>
      <c r="H734" s="97" t="s">
        <v>1262</v>
      </c>
      <c r="I734" s="87">
        <v>80</v>
      </c>
      <c r="J734" s="249">
        <v>1163.8</v>
      </c>
      <c r="K734" s="427">
        <f>=I734*J734</f>
        <v>93104</v>
      </c>
      <c r="L734" s="87">
        <v>1155</v>
      </c>
      <c r="M734" s="428">
        <f>=I734*L734</f>
        <v>92400</v>
      </c>
      <c r="N734" s="82">
        <f>=K734-M734</f>
        <v>704</v>
      </c>
      <c r="O734" s="64">
        <v>1</v>
      </c>
      <c r="P734" s="64">
        <f>=I734*O734*ROUNDUP((A734-B734)/30,0)</f>
        <v>80</v>
      </c>
      <c r="Q734" s="62" t="s"/>
      <c r="R734" s="62" t="s"/>
    </row>
    <row r="735" spans="1:18" ht="15.75" customHeight="true">
      <c r="A735" s="80">
        <v>46140</v>
      </c>
      <c r="B735" s="460">
        <v>46106</v>
      </c>
      <c r="C735" s="80" t="s">
        <v>187</v>
      </c>
      <c r="D735" s="64" t="s">
        <v>135</v>
      </c>
      <c r="E735" s="471" t="s">
        <v>2953</v>
      </c>
      <c r="F735" s="194" t="s">
        <v>428</v>
      </c>
      <c r="G735" s="194" t="s">
        <v>422</v>
      </c>
      <c r="H735" s="194" t="s">
        <v>1034</v>
      </c>
      <c r="I735" s="87">
        <v>100</v>
      </c>
      <c r="J735" s="249">
        <v>602.21</v>
      </c>
      <c r="K735" s="427">
        <f>=I735*J735</f>
        <v>60221</v>
      </c>
      <c r="L735" s="64">
        <v>595</v>
      </c>
      <c r="M735" s="428">
        <f>=I735*L735</f>
        <v>59500</v>
      </c>
      <c r="N735" s="82">
        <f>=K735-M735</f>
        <v>721</v>
      </c>
      <c r="O735" s="64">
        <v>1</v>
      </c>
      <c r="P735" s="64">
        <f>=I735*O735*ROUNDUP((A735-B735)/30,0)</f>
        <v>200</v>
      </c>
      <c r="Q735" s="62" t="s"/>
      <c r="R735" s="62" t="s"/>
    </row>
    <row r="736" spans="1:18" ht="15.75" customHeight="true">
      <c r="A736" s="80">
        <v>46140</v>
      </c>
      <c r="B736" s="426">
        <v>46122</v>
      </c>
      <c r="C736" s="64" t="s">
        <v>246</v>
      </c>
      <c r="D736" s="64" t="s">
        <v>116</v>
      </c>
      <c r="E736" s="335" t="s">
        <v>2954</v>
      </c>
      <c r="F736" s="140" t="s">
        <v>804</v>
      </c>
      <c r="G736" s="140" t="s">
        <v>429</v>
      </c>
      <c r="H736" s="87" t="s">
        <v>1760</v>
      </c>
      <c r="I736" s="339">
        <v>300</v>
      </c>
      <c r="J736" s="64">
        <v>55.27</v>
      </c>
      <c r="K736" s="427">
        <f>=I736*J736</f>
        <v>16581</v>
      </c>
      <c r="L736" s="64">
        <v>55</v>
      </c>
      <c r="M736" s="428">
        <f>=I736*L736</f>
        <v>16500</v>
      </c>
      <c r="N736" s="82">
        <f>=K736-M736</f>
        <v>81</v>
      </c>
      <c r="O736" s="64">
        <v>0</v>
      </c>
      <c r="P736" s="64">
        <f>=I736*O736*ROUNDUP((A736-B736)/30,0)</f>
        <v>0</v>
      </c>
      <c r="Q736" s="62" t="s"/>
      <c r="R736" s="62" t="s"/>
    </row>
    <row r="737" spans="1:18" ht="15.75" customHeight="true">
      <c r="A737" s="80">
        <v>46140</v>
      </c>
      <c r="B737" s="426">
        <v>46122</v>
      </c>
      <c r="C737" s="64" t="s">
        <v>246</v>
      </c>
      <c r="D737" s="64" t="s">
        <v>116</v>
      </c>
      <c r="E737" s="335" t="s">
        <v>2955</v>
      </c>
      <c r="F737" s="140" t="s">
        <v>804</v>
      </c>
      <c r="G737" s="140" t="s">
        <v>429</v>
      </c>
      <c r="H737" s="64" t="s">
        <v>821</v>
      </c>
      <c r="I737" s="339">
        <v>100</v>
      </c>
      <c r="J737" s="64">
        <v>55.27</v>
      </c>
      <c r="K737" s="427">
        <f>=I737*J737</f>
        <v>5527</v>
      </c>
      <c r="L737" s="64">
        <v>55</v>
      </c>
      <c r="M737" s="428">
        <f>=I737*L737</f>
        <v>5500</v>
      </c>
      <c r="N737" s="82">
        <f>=K737-M737</f>
        <v>27</v>
      </c>
      <c r="O737" s="64">
        <v>0</v>
      </c>
      <c r="P737" s="64">
        <f>=I737*O737*ROUNDUP((A737-B737)/30,0)</f>
        <v>0</v>
      </c>
      <c r="Q737" s="62" t="s"/>
      <c r="R737" s="62" t="s"/>
    </row>
    <row r="738" spans="1:18" ht="15.75" customHeight="true">
      <c r="A738" s="110">
        <v>46141</v>
      </c>
      <c r="B738" s="461">
        <v>46130</v>
      </c>
      <c r="C738" s="110" t="s">
        <v>273</v>
      </c>
      <c r="D738" s="87" t="s">
        <v>272</v>
      </c>
      <c r="E738" s="335" t="s">
        <v>2956</v>
      </c>
      <c r="F738" s="142" t="s">
        <v>428</v>
      </c>
      <c r="G738" s="142" t="s">
        <v>422</v>
      </c>
      <c r="H738" s="258" t="s">
        <v>1924</v>
      </c>
      <c r="I738" s="331">
        <v>7</v>
      </c>
      <c r="J738" s="249">
        <v>668.5</v>
      </c>
      <c r="K738" s="427">
        <f>=I738*J738</f>
        <v>4679.5</v>
      </c>
      <c r="L738" s="87">
        <v>665</v>
      </c>
      <c r="M738" s="428">
        <f>=I738*L738</f>
        <v>4655</v>
      </c>
      <c r="N738" s="82">
        <f>=K738-M738</f>
        <v>24.5</v>
      </c>
      <c r="O738" s="64">
        <v>1</v>
      </c>
      <c r="P738" s="64">
        <f>=I738*O738*ROUNDUP((A738-B738)/30,0)</f>
        <v>7</v>
      </c>
      <c r="Q738" s="62" t="s"/>
      <c r="R738" s="62" t="s"/>
    </row>
    <row r="739" spans="1:18" ht="15.75" customHeight="true">
      <c r="A739" s="80">
        <v>46141</v>
      </c>
      <c r="B739" s="460">
        <v>46131</v>
      </c>
      <c r="C739" s="80" t="s">
        <v>274</v>
      </c>
      <c r="D739" s="87" t="s">
        <v>272</v>
      </c>
      <c r="E739" s="335" t="s">
        <v>2957</v>
      </c>
      <c r="F739" s="140" t="s">
        <v>428</v>
      </c>
      <c r="G739" s="140" t="s">
        <v>422</v>
      </c>
      <c r="H739" s="87" t="s">
        <v>1922</v>
      </c>
      <c r="I739" s="331">
        <v>10</v>
      </c>
      <c r="J739" s="249">
        <v>738.52</v>
      </c>
      <c r="K739" s="427">
        <f>=I739*J739</f>
        <v>7385.2</v>
      </c>
      <c r="L739" s="87">
        <v>735</v>
      </c>
      <c r="M739" s="428">
        <f>=I739*L739</f>
        <v>7350</v>
      </c>
      <c r="N739" s="82">
        <f>=K739-M739</f>
        <v>35.1999999999998</v>
      </c>
      <c r="O739" s="64">
        <v>1</v>
      </c>
      <c r="P739" s="64">
        <f>=I739*O739*ROUNDUP((A739-B739)/30,0)</f>
        <v>10</v>
      </c>
      <c r="Q739" s="62" t="s"/>
      <c r="R739" s="62" t="s"/>
    </row>
    <row r="740" spans="1:18" ht="15.75" customHeight="true">
      <c r="A740" s="80">
        <v>46141</v>
      </c>
      <c r="B740" s="460">
        <v>46131</v>
      </c>
      <c r="C740" s="80" t="s">
        <v>274</v>
      </c>
      <c r="D740" s="87" t="s">
        <v>272</v>
      </c>
      <c r="E740" s="335" t="s">
        <v>2958</v>
      </c>
      <c r="F740" s="140" t="s">
        <v>428</v>
      </c>
      <c r="G740" s="140" t="s">
        <v>422</v>
      </c>
      <c r="H740" s="87" t="s">
        <v>1926</v>
      </c>
      <c r="I740" s="331">
        <v>10</v>
      </c>
      <c r="J740" s="249">
        <v>1054.39</v>
      </c>
      <c r="K740" s="427">
        <f>=I740*J740</f>
        <v>10543.9</v>
      </c>
      <c r="L740" s="87">
        <v>1050</v>
      </c>
      <c r="M740" s="428">
        <f>=I740*L740</f>
        <v>10500</v>
      </c>
      <c r="N740" s="82">
        <f>=K740-M740</f>
        <v>43.9000000000015</v>
      </c>
      <c r="O740" s="64">
        <v>1</v>
      </c>
      <c r="P740" s="64">
        <f>=I740*O740*ROUNDUP((A740-B740)/30,0)</f>
        <v>10</v>
      </c>
      <c r="Q740" s="62" t="s"/>
      <c r="R740" s="62" t="s"/>
    </row>
    <row r="741" spans="1:18" ht="15.75" customHeight="true">
      <c r="A741" s="80">
        <v>46141</v>
      </c>
      <c r="B741" s="460">
        <v>46131</v>
      </c>
      <c r="C741" s="80" t="s">
        <v>274</v>
      </c>
      <c r="D741" s="87" t="s">
        <v>272</v>
      </c>
      <c r="E741" s="335" t="s">
        <v>2959</v>
      </c>
      <c r="F741" s="140" t="s">
        <v>428</v>
      </c>
      <c r="G741" s="140" t="s">
        <v>422</v>
      </c>
      <c r="H741" s="87" t="s">
        <v>1928</v>
      </c>
      <c r="I741" s="331">
        <v>10</v>
      </c>
      <c r="J741" s="249">
        <v>878.91</v>
      </c>
      <c r="K741" s="427">
        <f>=I741*J741</f>
        <v>8789.1</v>
      </c>
      <c r="L741" s="87">
        <v>875</v>
      </c>
      <c r="M741" s="428">
        <f>=I741*L741</f>
        <v>8750</v>
      </c>
      <c r="N741" s="82">
        <f>=K741-M741</f>
        <v>39.1000000000004</v>
      </c>
      <c r="O741" s="64">
        <v>1</v>
      </c>
      <c r="P741" s="64">
        <f>=I741*O741*ROUNDUP((A741-B741)/30,0)</f>
        <v>10</v>
      </c>
      <c r="Q741" s="62" t="s"/>
      <c r="R741" s="62" t="s"/>
    </row>
    <row r="742" spans="1:18" ht="15.75" customHeight="true">
      <c r="A742" s="80">
        <v>46141</v>
      </c>
      <c r="B742" s="460">
        <v>46132</v>
      </c>
      <c r="C742" s="80" t="s">
        <v>275</v>
      </c>
      <c r="D742" s="87" t="s">
        <v>272</v>
      </c>
      <c r="E742" s="335" t="s">
        <v>2960</v>
      </c>
      <c r="F742" s="140" t="s">
        <v>428</v>
      </c>
      <c r="G742" s="140" t="s">
        <v>422</v>
      </c>
      <c r="H742" s="87" t="s">
        <v>1930</v>
      </c>
      <c r="I742" s="331">
        <v>10</v>
      </c>
      <c r="J742" s="249">
        <v>878.69</v>
      </c>
      <c r="K742" s="427">
        <f>=I742*J742</f>
        <v>8786.9</v>
      </c>
      <c r="L742" s="87">
        <v>875</v>
      </c>
      <c r="M742" s="428">
        <f>=I742*L742</f>
        <v>8750</v>
      </c>
      <c r="N742" s="82">
        <f>=K742-M742</f>
        <v>36.9000000000015</v>
      </c>
      <c r="O742" s="64">
        <v>1</v>
      </c>
      <c r="P742" s="64">
        <f>=I742*O742*ROUNDUP((A742-B742)/30,0)</f>
        <v>10</v>
      </c>
      <c r="Q742" s="62" t="s"/>
      <c r="R742" s="62" t="s"/>
    </row>
    <row r="743" spans="1:18" ht="15.75" customHeight="true">
      <c r="A743" s="80">
        <v>46141</v>
      </c>
      <c r="B743" s="460">
        <v>46132</v>
      </c>
      <c r="C743" s="80" t="s">
        <v>275</v>
      </c>
      <c r="D743" s="87" t="s">
        <v>272</v>
      </c>
      <c r="E743" s="335" t="s">
        <v>2961</v>
      </c>
      <c r="F743" s="140" t="s">
        <v>428</v>
      </c>
      <c r="G743" s="140" t="s">
        <v>422</v>
      </c>
      <c r="H743" s="87" t="s">
        <v>1932</v>
      </c>
      <c r="I743" s="331">
        <v>5</v>
      </c>
      <c r="J743" s="249">
        <v>1054.13</v>
      </c>
      <c r="K743" s="427">
        <f>=I743*J743</f>
        <v>5270.65</v>
      </c>
      <c r="L743" s="87">
        <v>1050</v>
      </c>
      <c r="M743" s="428">
        <f>=I743*L743</f>
        <v>5250</v>
      </c>
      <c r="N743" s="82">
        <f>=K743-M743</f>
        <v>20.6500000000006</v>
      </c>
      <c r="O743" s="64">
        <v>1</v>
      </c>
      <c r="P743" s="64">
        <f>=I743*O743*ROUNDUP((A743-B743)/30,0)</f>
        <v>5</v>
      </c>
      <c r="Q743" s="62" t="s"/>
      <c r="R743" s="62" t="s"/>
    </row>
    <row r="744" spans="1:18" ht="15.75" customHeight="true">
      <c r="A744" s="80">
        <v>46141</v>
      </c>
      <c r="B744" s="460">
        <v>46132</v>
      </c>
      <c r="C744" s="80" t="s">
        <v>275</v>
      </c>
      <c r="D744" s="87" t="s">
        <v>272</v>
      </c>
      <c r="E744" s="335" t="s">
        <v>2962</v>
      </c>
      <c r="F744" s="140" t="s">
        <v>428</v>
      </c>
      <c r="G744" s="140" t="s">
        <v>422</v>
      </c>
      <c r="H744" s="87" t="s">
        <v>1934</v>
      </c>
      <c r="I744" s="331">
        <v>5</v>
      </c>
      <c r="J744" s="249">
        <v>1054.13</v>
      </c>
      <c r="K744" s="427">
        <f>=I744*J744</f>
        <v>5270.65</v>
      </c>
      <c r="L744" s="87">
        <v>1050</v>
      </c>
      <c r="M744" s="428">
        <f>=I744*L744</f>
        <v>5250</v>
      </c>
      <c r="N744" s="82">
        <f>=K744-M744</f>
        <v>20.6500000000006</v>
      </c>
      <c r="O744" s="64">
        <v>1</v>
      </c>
      <c r="P744" s="64">
        <f>=I744*O744*ROUNDUP((A744-B744)/30,0)</f>
        <v>5</v>
      </c>
      <c r="Q744" s="62" t="s"/>
      <c r="R744" s="62" t="s"/>
    </row>
    <row r="745" spans="1:18" ht="15.75" customHeight="true">
      <c r="A745" s="80">
        <v>46141</v>
      </c>
      <c r="B745" s="460">
        <v>46090</v>
      </c>
      <c r="C745" s="80" t="s">
        <v>139</v>
      </c>
      <c r="D745" s="94" t="s">
        <v>294</v>
      </c>
      <c r="E745" s="471" t="s">
        <v>2963</v>
      </c>
      <c r="F745" s="259" t="s">
        <v>864</v>
      </c>
      <c r="G745" s="259" t="s">
        <v>422</v>
      </c>
      <c r="H745" s="259" t="s">
        <v>867</v>
      </c>
      <c r="I745" s="64">
        <v>900</v>
      </c>
      <c r="J745" s="87">
        <v>1945.83</v>
      </c>
      <c r="K745" s="427">
        <f>=I745*J745</f>
        <v>1751247</v>
      </c>
      <c r="L745" s="64">
        <v>1912</v>
      </c>
      <c r="M745" s="428">
        <f>=I745*L745</f>
        <v>1720800</v>
      </c>
      <c r="N745" s="82">
        <f>=K745-M745</f>
        <v>30447</v>
      </c>
      <c r="O745" s="64">
        <v>1</v>
      </c>
      <c r="P745" s="64">
        <f>=I745*O745*ROUNDUP((A745-B745)/30,0)</f>
        <v>1800</v>
      </c>
      <c r="Q745" s="62" t="s"/>
      <c r="R745" s="62" t="s"/>
    </row>
    <row r="746" spans="1:18" ht="15.75" customHeight="true">
      <c r="A746" s="80">
        <v>46141</v>
      </c>
      <c r="B746" s="426">
        <v>46107</v>
      </c>
      <c r="C746" s="64" t="s">
        <v>202</v>
      </c>
      <c r="D746" s="94" t="s">
        <v>201</v>
      </c>
      <c r="E746" s="308" t="s">
        <v>2964</v>
      </c>
      <c r="F746" s="87" t="s">
        <v>421</v>
      </c>
      <c r="G746" s="87" t="s">
        <v>422</v>
      </c>
      <c r="H746" s="87" t="s">
        <v>1169</v>
      </c>
      <c r="I746" s="87">
        <v>100</v>
      </c>
      <c r="J746" s="87">
        <v>7870</v>
      </c>
      <c r="K746" s="427">
        <f>=I746*J746</f>
        <v>787000</v>
      </c>
      <c r="L746" s="484">
        <v>7800</v>
      </c>
      <c r="M746" s="428">
        <f>=I746*L746</f>
        <v>780000</v>
      </c>
      <c r="N746" s="82">
        <f>=K746-M746</f>
        <v>7000</v>
      </c>
      <c r="O746" s="64">
        <v>1</v>
      </c>
      <c r="P746" s="64">
        <f>=I746*O746*ROUNDUP((A746-B746)/30,0)</f>
        <v>200</v>
      </c>
      <c r="Q746" s="62" t="s"/>
      <c r="R746" s="62" t="s"/>
    </row>
    <row r="747" spans="1:18" ht="15.75" customHeight="true">
      <c r="A747" s="80">
        <v>46141</v>
      </c>
      <c r="B747" s="426">
        <v>46107</v>
      </c>
      <c r="C747" s="64" t="s">
        <v>202</v>
      </c>
      <c r="D747" s="94" t="s">
        <v>201</v>
      </c>
      <c r="E747" s="308" t="s">
        <v>2965</v>
      </c>
      <c r="F747" s="87" t="s">
        <v>421</v>
      </c>
      <c r="G747" s="87" t="s">
        <v>422</v>
      </c>
      <c r="H747" s="87" t="s">
        <v>1173</v>
      </c>
      <c r="I747" s="87">
        <v>40</v>
      </c>
      <c r="J747" s="249">
        <v>7870</v>
      </c>
      <c r="K747" s="427">
        <f>=I747*J747</f>
        <v>314800</v>
      </c>
      <c r="L747" s="484">
        <v>7800</v>
      </c>
      <c r="M747" s="428">
        <f>=I747*L747</f>
        <v>312000</v>
      </c>
      <c r="N747" s="82">
        <f>=K747-M747</f>
        <v>2800</v>
      </c>
      <c r="O747" s="64">
        <v>1</v>
      </c>
      <c r="P747" s="64">
        <f>=I747*O747*ROUNDUP((A747-B747)/30,0)</f>
        <v>80</v>
      </c>
      <c r="Q747" s="62" t="s"/>
      <c r="R747" s="62" t="s"/>
    </row>
    <row r="748" spans="1:18" ht="15.75" customHeight="true">
      <c r="A748" s="80">
        <v>46141</v>
      </c>
      <c r="B748" s="426">
        <v>46111</v>
      </c>
      <c r="C748" s="64" t="s">
        <v>214</v>
      </c>
      <c r="D748" s="94" t="s">
        <v>201</v>
      </c>
      <c r="E748" s="308" t="s">
        <v>2966</v>
      </c>
      <c r="F748" s="64" t="s">
        <v>421</v>
      </c>
      <c r="G748" s="64" t="s">
        <v>422</v>
      </c>
      <c r="H748" s="87" t="s">
        <v>1171</v>
      </c>
      <c r="I748" s="87">
        <v>100</v>
      </c>
      <c r="J748" s="87">
        <v>7870</v>
      </c>
      <c r="K748" s="427">
        <f>=I748*J748</f>
        <v>787000</v>
      </c>
      <c r="L748" s="484">
        <v>7800</v>
      </c>
      <c r="M748" s="428">
        <f>=I748*L748</f>
        <v>780000</v>
      </c>
      <c r="N748" s="82">
        <f>=K748-M748</f>
        <v>7000</v>
      </c>
      <c r="O748" s="64">
        <v>1</v>
      </c>
      <c r="P748" s="64">
        <f>=I748*O748*ROUNDUP((A748-B748)/30,0)</f>
        <v>100</v>
      </c>
      <c r="Q748" s="62" t="s"/>
      <c r="R748" s="62" t="s"/>
    </row>
    <row r="749" spans="1:18" ht="15.75" customHeight="true">
      <c r="A749" s="80">
        <v>46141</v>
      </c>
      <c r="B749" s="460">
        <v>46112</v>
      </c>
      <c r="C749" s="80" t="s">
        <v>219</v>
      </c>
      <c r="D749" s="87" t="s">
        <v>217</v>
      </c>
      <c r="E749" s="471" t="s">
        <v>2967</v>
      </c>
      <c r="F749" s="64" t="s">
        <v>421</v>
      </c>
      <c r="G749" s="64" t="s">
        <v>422</v>
      </c>
      <c r="H749" s="64" t="s">
        <v>1429</v>
      </c>
      <c r="I749" s="87">
        <v>42</v>
      </c>
      <c r="J749" s="249">
        <v>4676.3</v>
      </c>
      <c r="K749" s="427">
        <f>=I749*J749</f>
        <v>196404.6</v>
      </c>
      <c r="L749" s="64">
        <v>4640</v>
      </c>
      <c r="M749" s="428">
        <f>=I749*L749</f>
        <v>194880</v>
      </c>
      <c r="N749" s="82">
        <f>=K749-M749</f>
        <v>1524.60000000001</v>
      </c>
      <c r="O749" s="64">
        <v>1</v>
      </c>
      <c r="P749" s="64">
        <f>=I749*O749*ROUNDUP((A749-B749)/30,0)</f>
        <v>42</v>
      </c>
      <c r="Q749" s="62" t="s"/>
      <c r="R749" s="62" t="s"/>
    </row>
    <row r="750" spans="1:18" ht="15.75" customHeight="true">
      <c r="A750" s="80">
        <v>46141</v>
      </c>
      <c r="B750" s="426">
        <v>46107</v>
      </c>
      <c r="C750" s="64" t="s">
        <v>202</v>
      </c>
      <c r="D750" s="94" t="s">
        <v>201</v>
      </c>
      <c r="E750" s="308" t="s">
        <v>2968</v>
      </c>
      <c r="F750" s="87" t="s">
        <v>421</v>
      </c>
      <c r="G750" s="87" t="s">
        <v>422</v>
      </c>
      <c r="H750" s="87" t="s">
        <v>1169</v>
      </c>
      <c r="I750" s="87">
        <v>100</v>
      </c>
      <c r="J750" s="87">
        <v>7870</v>
      </c>
      <c r="K750" s="427">
        <f>=I750*J750</f>
        <v>787000</v>
      </c>
      <c r="L750" s="140">
        <v>7800</v>
      </c>
      <c r="M750" s="428">
        <f>=I750*L750</f>
        <v>780000</v>
      </c>
      <c r="N750" s="82">
        <f>=K750-M750</f>
        <v>7000</v>
      </c>
      <c r="O750" s="64">
        <v>1</v>
      </c>
      <c r="P750" s="64">
        <f>=I750*O750*ROUNDUP((A750-B750)/30,0)</f>
        <v>200</v>
      </c>
      <c r="Q750" s="62" t="s"/>
      <c r="R750" s="62" t="s"/>
    </row>
    <row r="751" spans="1:18" ht="15.75" customHeight="true">
      <c r="A751" s="80">
        <v>46141</v>
      </c>
      <c r="B751" s="426">
        <v>46107</v>
      </c>
      <c r="C751" s="64" t="s">
        <v>202</v>
      </c>
      <c r="D751" s="94" t="s">
        <v>201</v>
      </c>
      <c r="E751" s="308" t="s">
        <v>2969</v>
      </c>
      <c r="F751" s="87" t="s">
        <v>421</v>
      </c>
      <c r="G751" s="87" t="s">
        <v>422</v>
      </c>
      <c r="H751" s="87" t="s">
        <v>1173</v>
      </c>
      <c r="I751" s="87">
        <v>20</v>
      </c>
      <c r="J751" s="249">
        <v>7870</v>
      </c>
      <c r="K751" s="427">
        <f>=I751*J751</f>
        <v>157400</v>
      </c>
      <c r="L751" s="140">
        <v>7800</v>
      </c>
      <c r="M751" s="428">
        <f>=I751*L751</f>
        <v>156000</v>
      </c>
      <c r="N751" s="82">
        <f>=K751-M751</f>
        <v>1400</v>
      </c>
      <c r="O751" s="64">
        <v>1</v>
      </c>
      <c r="P751" s="64">
        <f>=I751*O751*ROUNDUP((A751-B751)/30,0)</f>
        <v>40</v>
      </c>
      <c r="Q751" s="62" t="s"/>
      <c r="R751" s="62" t="s"/>
    </row>
    <row r="752" spans="1:18" ht="15.75" customHeight="true">
      <c r="A752" s="80">
        <v>46141</v>
      </c>
      <c r="B752" s="426">
        <v>46111</v>
      </c>
      <c r="C752" s="64" t="s">
        <v>214</v>
      </c>
      <c r="D752" s="94" t="s">
        <v>201</v>
      </c>
      <c r="E752" s="308" t="s">
        <v>2970</v>
      </c>
      <c r="F752" s="64" t="s">
        <v>421</v>
      </c>
      <c r="G752" s="64" t="s">
        <v>422</v>
      </c>
      <c r="H752" s="87" t="s">
        <v>1171</v>
      </c>
      <c r="I752" s="87">
        <v>40</v>
      </c>
      <c r="J752" s="87">
        <v>7870</v>
      </c>
      <c r="K752" s="427">
        <f>=I752*J752</f>
        <v>314800</v>
      </c>
      <c r="L752" s="140">
        <v>7800</v>
      </c>
      <c r="M752" s="428">
        <f>=I752*L752</f>
        <v>312000</v>
      </c>
      <c r="N752" s="82">
        <f>=K752-M752</f>
        <v>2800</v>
      </c>
      <c r="O752" s="64">
        <v>1</v>
      </c>
      <c r="P752" s="64">
        <f>=I752*O752*ROUNDUP((A752-B752)/30,0)</f>
        <v>40</v>
      </c>
      <c r="Q752" s="62" t="s"/>
      <c r="R752" s="62" t="s"/>
    </row>
    <row r="753" spans="1:18" s="258" customFormat="true" ht="15.75" customHeight="true">
      <c r="A753" s="147">
        <v>46141</v>
      </c>
      <c r="B753" s="460">
        <v>46083</v>
      </c>
      <c r="C753" s="485" t="s">
        <v>132</v>
      </c>
      <c r="D753" s="486" t="s">
        <v>65</v>
      </c>
      <c r="E753" s="487" t="s"/>
      <c r="F753" s="488" t="s">
        <v>421</v>
      </c>
      <c r="G753" s="488" t="s">
        <v>422</v>
      </c>
      <c r="H753" s="489" t="s">
        <v>697</v>
      </c>
      <c r="I753" s="345">
        <v>3</v>
      </c>
      <c r="J753" s="345">
        <v>12501</v>
      </c>
      <c r="K753" s="427">
        <f>=I753*J753</f>
        <v>37503</v>
      </c>
      <c r="L753" s="345">
        <v>12501</v>
      </c>
      <c r="M753" s="428">
        <f>=I753*L753</f>
        <v>37503</v>
      </c>
      <c r="N753" s="82">
        <f>=K753-M753</f>
        <v>0</v>
      </c>
      <c r="O753" s="64">
        <v>0</v>
      </c>
      <c r="P753" s="64">
        <f>=I753*O753*ROUNDUP((A753-B753)/30,0)</f>
        <v>0</v>
      </c>
      <c r="Q753" s="487" t="s"/>
      <c r="R753" s="487" t="s"/>
    </row>
    <row r="754" spans="1:18" s="258" customFormat="true" ht="15.75" customHeight="true">
      <c r="A754" s="147">
        <v>46141</v>
      </c>
      <c r="B754" s="460">
        <v>46083</v>
      </c>
      <c r="C754" s="485" t="s">
        <v>132</v>
      </c>
      <c r="D754" s="486" t="s">
        <v>65</v>
      </c>
      <c r="E754" s="487" t="s"/>
      <c r="F754" s="488" t="s">
        <v>421</v>
      </c>
      <c r="G754" s="488" t="s">
        <v>422</v>
      </c>
      <c r="H754" s="345" t="s">
        <v>693</v>
      </c>
      <c r="I754" s="345">
        <v>30</v>
      </c>
      <c r="J754" s="345">
        <v>8802</v>
      </c>
      <c r="K754" s="427">
        <f>=I754*J754</f>
        <v>264060</v>
      </c>
      <c r="L754" s="345">
        <v>8802</v>
      </c>
      <c r="M754" s="428">
        <f>=I754*L754</f>
        <v>264060</v>
      </c>
      <c r="N754" s="82">
        <f>=K754-M754</f>
        <v>0</v>
      </c>
      <c r="O754" s="64">
        <v>0</v>
      </c>
      <c r="P754" s="64">
        <f>=I754*O754*ROUNDUP((A754-B754)/30,0)</f>
        <v>0</v>
      </c>
      <c r="Q754" s="487" t="s"/>
      <c r="R754" s="487" t="s"/>
    </row>
    <row r="755" spans="1:18" s="258" customFormat="true" ht="15.75" customHeight="true">
      <c r="A755" s="147">
        <v>46141</v>
      </c>
      <c r="B755" s="460">
        <v>46083</v>
      </c>
      <c r="C755" s="485" t="s">
        <v>132</v>
      </c>
      <c r="D755" s="486" t="s">
        <v>65</v>
      </c>
      <c r="E755" s="487" t="s"/>
      <c r="F755" s="488" t="s">
        <v>421</v>
      </c>
      <c r="G755" s="488" t="s">
        <v>422</v>
      </c>
      <c r="H755" s="489" t="s">
        <v>695</v>
      </c>
      <c r="I755" s="345">
        <v>13</v>
      </c>
      <c r="J755" s="345">
        <v>9538</v>
      </c>
      <c r="K755" s="427">
        <f>=I755*J755</f>
        <v>123994</v>
      </c>
      <c r="L755" s="345">
        <v>9538</v>
      </c>
      <c r="M755" s="428">
        <f>=I755*L755</f>
        <v>123994</v>
      </c>
      <c r="N755" s="82">
        <f>=K755-M755</f>
        <v>0</v>
      </c>
      <c r="O755" s="64">
        <v>0</v>
      </c>
      <c r="P755" s="64">
        <f>=I755*O755*ROUNDUP((A755-B755)/30,0)</f>
        <v>0</v>
      </c>
      <c r="Q755" s="487" t="s"/>
      <c r="R755" s="487" t="s"/>
    </row>
    <row r="756" spans="1:18" s="258" customFormat="true" ht="15.75" customHeight="true">
      <c r="A756" s="147">
        <v>46141</v>
      </c>
      <c r="B756" s="460">
        <v>46083</v>
      </c>
      <c r="C756" s="485" t="s">
        <v>132</v>
      </c>
      <c r="D756" s="486" t="s">
        <v>65</v>
      </c>
      <c r="E756" s="487" t="s"/>
      <c r="F756" s="488" t="s">
        <v>421</v>
      </c>
      <c r="G756" s="488" t="s">
        <v>422</v>
      </c>
      <c r="H756" s="489" t="s">
        <v>691</v>
      </c>
      <c r="I756" s="345">
        <v>23</v>
      </c>
      <c r="J756" s="345">
        <v>8910</v>
      </c>
      <c r="K756" s="427">
        <f>=I756*J756</f>
        <v>204930</v>
      </c>
      <c r="L756" s="345">
        <v>8910</v>
      </c>
      <c r="M756" s="428">
        <f>=I756*L756</f>
        <v>204930</v>
      </c>
      <c r="N756" s="82">
        <f>=K756-M756</f>
        <v>0</v>
      </c>
      <c r="O756" s="64">
        <v>0</v>
      </c>
      <c r="P756" s="64">
        <f>=I756*O756*ROUNDUP((A756-B756)/30,0)</f>
        <v>0</v>
      </c>
      <c r="Q756" s="487" t="s"/>
      <c r="R756" s="487" t="s"/>
    </row>
    <row r="757" spans="1:18" s="258" customFormat="true" ht="15.75" customHeight="true">
      <c r="A757" s="147">
        <v>46141</v>
      </c>
      <c r="B757" s="460">
        <v>46083</v>
      </c>
      <c r="C757" s="485" t="s">
        <v>132</v>
      </c>
      <c r="D757" s="486" t="s">
        <v>65</v>
      </c>
      <c r="E757" s="487" t="s"/>
      <c r="F757" s="488" t="s">
        <v>421</v>
      </c>
      <c r="G757" s="488" t="s">
        <v>422</v>
      </c>
      <c r="H757" s="489" t="s">
        <v>689</v>
      </c>
      <c r="I757" s="345">
        <v>17</v>
      </c>
      <c r="J757" s="345">
        <v>9018</v>
      </c>
      <c r="K757" s="427">
        <f>=I757*J757</f>
        <v>153306</v>
      </c>
      <c r="L757" s="345">
        <v>9018</v>
      </c>
      <c r="M757" s="428">
        <f>=I757*L757</f>
        <v>153306</v>
      </c>
      <c r="N757" s="82">
        <f>=K757-M757</f>
        <v>0</v>
      </c>
      <c r="O757" s="64">
        <v>0</v>
      </c>
      <c r="P757" s="64">
        <f>=I757*O757*ROUNDUP((A757-B757)/30,0)</f>
        <v>0</v>
      </c>
      <c r="Q757" s="487" t="s"/>
      <c r="R757" s="487" t="s"/>
    </row>
    <row r="758" spans="1:18" s="258" customFormat="true" ht="15.75" customHeight="true">
      <c r="A758" s="147">
        <v>46141</v>
      </c>
      <c r="B758" s="460">
        <v>46083</v>
      </c>
      <c r="C758" s="485" t="s">
        <v>132</v>
      </c>
      <c r="D758" s="486" t="s">
        <v>65</v>
      </c>
      <c r="E758" s="487" t="s"/>
      <c r="F758" s="488" t="s">
        <v>421</v>
      </c>
      <c r="G758" s="488" t="s">
        <v>422</v>
      </c>
      <c r="H758" s="345" t="s">
        <v>701</v>
      </c>
      <c r="I758" s="345">
        <v>35</v>
      </c>
      <c r="J758" s="345">
        <v>7956</v>
      </c>
      <c r="K758" s="427">
        <f>=I758*J758</f>
        <v>278460</v>
      </c>
      <c r="L758" s="345">
        <v>7956</v>
      </c>
      <c r="M758" s="428">
        <f>=I758*L758</f>
        <v>278460</v>
      </c>
      <c r="N758" s="82">
        <f>=K758-M758</f>
        <v>0</v>
      </c>
      <c r="O758" s="64">
        <v>0</v>
      </c>
      <c r="P758" s="64">
        <f>=I758*O758*ROUNDUP((A758-B758)/30,0)</f>
        <v>0</v>
      </c>
      <c r="Q758" s="487" t="s"/>
      <c r="R758" s="487" t="s"/>
    </row>
    <row r="759" spans="1:18" s="258" customFormat="true" ht="15.75" customHeight="true">
      <c r="A759" s="147">
        <v>46141</v>
      </c>
      <c r="B759" s="460">
        <v>46083</v>
      </c>
      <c r="C759" s="485" t="s">
        <v>132</v>
      </c>
      <c r="D759" s="486" t="s">
        <v>65</v>
      </c>
      <c r="E759" s="487" t="s"/>
      <c r="F759" s="488" t="s">
        <v>421</v>
      </c>
      <c r="G759" s="488" t="s">
        <v>422</v>
      </c>
      <c r="H759" s="489" t="s">
        <v>699</v>
      </c>
      <c r="I759" s="345">
        <v>12</v>
      </c>
      <c r="J759" s="345">
        <v>8100</v>
      </c>
      <c r="K759" s="427">
        <f>=I759*J759</f>
        <v>97200</v>
      </c>
      <c r="L759" s="345">
        <v>8100</v>
      </c>
      <c r="M759" s="428">
        <f>=I759*L759</f>
        <v>97200</v>
      </c>
      <c r="N759" s="82">
        <f>=K759-M759</f>
        <v>0</v>
      </c>
      <c r="O759" s="64">
        <v>0</v>
      </c>
      <c r="P759" s="64">
        <f>=I759*O759*ROUNDUP((A759-B759)/30,0)</f>
        <v>0</v>
      </c>
      <c r="Q759" s="487" t="s"/>
      <c r="R759" s="487" t="s"/>
    </row>
    <row r="760" spans="1:18" s="258" customFormat="true" ht="15.75" customHeight="true">
      <c r="A760" s="147">
        <v>46141</v>
      </c>
      <c r="B760" s="460">
        <v>46083</v>
      </c>
      <c r="C760" s="485" t="s">
        <v>132</v>
      </c>
      <c r="D760" s="486" t="s">
        <v>65</v>
      </c>
      <c r="E760" s="487" t="s"/>
      <c r="F760" s="488" t="s">
        <v>421</v>
      </c>
      <c r="G760" s="488" t="s">
        <v>422</v>
      </c>
      <c r="H760" s="489" t="s">
        <v>705</v>
      </c>
      <c r="I760" s="345">
        <v>38</v>
      </c>
      <c r="J760" s="345">
        <v>8181</v>
      </c>
      <c r="K760" s="427">
        <f>=I760*J760</f>
        <v>310878</v>
      </c>
      <c r="L760" s="345">
        <v>8181</v>
      </c>
      <c r="M760" s="428">
        <f>=I760*L760</f>
        <v>310878</v>
      </c>
      <c r="N760" s="82">
        <f>=K760-M760</f>
        <v>0</v>
      </c>
      <c r="O760" s="64">
        <v>0</v>
      </c>
      <c r="P760" s="64">
        <f>=I760*O760*ROUNDUP((A760-B760)/30,0)</f>
        <v>0</v>
      </c>
      <c r="Q760" s="487" t="s"/>
      <c r="R760" s="487" t="s"/>
    </row>
    <row r="761" spans="1:18" s="258" customFormat="true" ht="15.75" customHeight="true">
      <c r="A761" s="147">
        <v>46141</v>
      </c>
      <c r="B761" s="460">
        <v>46083</v>
      </c>
      <c r="C761" s="485" t="s">
        <v>132</v>
      </c>
      <c r="D761" s="486" t="s">
        <v>65</v>
      </c>
      <c r="E761" s="487" t="s"/>
      <c r="F761" s="488" t="s">
        <v>421</v>
      </c>
      <c r="G761" s="488" t="s">
        <v>422</v>
      </c>
      <c r="H761" s="489" t="s">
        <v>676</v>
      </c>
      <c r="I761" s="345">
        <v>13</v>
      </c>
      <c r="J761" s="345">
        <v>4156</v>
      </c>
      <c r="K761" s="427">
        <f>=I761*J761</f>
        <v>54028</v>
      </c>
      <c r="L761" s="345">
        <v>4156</v>
      </c>
      <c r="M761" s="428">
        <f>=I761*L761</f>
        <v>54028</v>
      </c>
      <c r="N761" s="82">
        <f>=K761-M761</f>
        <v>0</v>
      </c>
      <c r="O761" s="64">
        <v>0</v>
      </c>
      <c r="P761" s="64">
        <f>=I761*O761*ROUNDUP((A761-B761)/30,0)</f>
        <v>0</v>
      </c>
      <c r="Q761" s="487" t="s"/>
      <c r="R761" s="487" t="s"/>
    </row>
    <row r="762" spans="1:18" s="258" customFormat="true" ht="15.75" customHeight="true">
      <c r="A762" s="147">
        <v>46141</v>
      </c>
      <c r="B762" s="460">
        <v>46083</v>
      </c>
      <c r="C762" s="485" t="s">
        <v>132</v>
      </c>
      <c r="D762" s="486" t="s">
        <v>65</v>
      </c>
      <c r="E762" s="487" t="s"/>
      <c r="F762" s="488" t="s">
        <v>421</v>
      </c>
      <c r="G762" s="488" t="s">
        <v>422</v>
      </c>
      <c r="H762" s="489" t="s">
        <v>684</v>
      </c>
      <c r="I762" s="345">
        <v>3</v>
      </c>
      <c r="J762" s="345">
        <v>7092</v>
      </c>
      <c r="K762" s="427">
        <f>=I762*J762</f>
        <v>21276</v>
      </c>
      <c r="L762" s="345">
        <v>7092</v>
      </c>
      <c r="M762" s="428">
        <f>=I762*L762</f>
        <v>21276</v>
      </c>
      <c r="N762" s="82">
        <f>=K762-M762</f>
        <v>0</v>
      </c>
      <c r="O762" s="64">
        <v>0</v>
      </c>
      <c r="P762" s="64">
        <f>=I762*O762*ROUNDUP((A762-B762)/30,0)</f>
        <v>0</v>
      </c>
      <c r="Q762" s="487" t="s"/>
      <c r="R762" s="487" t="s"/>
    </row>
    <row r="763" spans="1:18" s="258" customFormat="true" ht="15.75" customHeight="true">
      <c r="A763" s="147">
        <v>46141</v>
      </c>
      <c r="B763" s="460">
        <v>46083</v>
      </c>
      <c r="C763" s="485" t="s">
        <v>132</v>
      </c>
      <c r="D763" s="486" t="s">
        <v>65</v>
      </c>
      <c r="E763" s="487" t="s"/>
      <c r="F763" s="488" t="s">
        <v>421</v>
      </c>
      <c r="G763" s="488" t="s">
        <v>422</v>
      </c>
      <c r="H763" s="489" t="s">
        <v>674</v>
      </c>
      <c r="I763" s="345">
        <v>5</v>
      </c>
      <c r="J763" s="345">
        <v>7092</v>
      </c>
      <c r="K763" s="427">
        <f>=I763*J763</f>
        <v>35460</v>
      </c>
      <c r="L763" s="345">
        <v>7092</v>
      </c>
      <c r="M763" s="428">
        <f>=I763*L763</f>
        <v>35460</v>
      </c>
      <c r="N763" s="82">
        <f>=K763-M763</f>
        <v>0</v>
      </c>
      <c r="O763" s="64">
        <v>0</v>
      </c>
      <c r="P763" s="64">
        <f>=I763*O763*ROUNDUP((A763-B763)/30,0)</f>
        <v>0</v>
      </c>
      <c r="Q763" s="487" t="s"/>
      <c r="R763" s="487" t="s"/>
    </row>
    <row r="764" spans="1:18" s="258" customFormat="true" ht="15.75" customHeight="true">
      <c r="A764" s="147">
        <v>46141</v>
      </c>
      <c r="B764" s="460">
        <v>46083</v>
      </c>
      <c r="C764" s="485" t="s">
        <v>132</v>
      </c>
      <c r="D764" s="486" t="s">
        <v>65</v>
      </c>
      <c r="E764" s="487" t="s"/>
      <c r="F764" s="488" t="s">
        <v>421</v>
      </c>
      <c r="G764" s="488" t="s">
        <v>422</v>
      </c>
      <c r="H764" s="345" t="s">
        <v>678</v>
      </c>
      <c r="I764" s="345">
        <v>40</v>
      </c>
      <c r="J764" s="345">
        <v>5292</v>
      </c>
      <c r="K764" s="427">
        <f>=I764*J764</f>
        <v>211680</v>
      </c>
      <c r="L764" s="345">
        <v>5292</v>
      </c>
      <c r="M764" s="428">
        <f>=I764*L764</f>
        <v>211680</v>
      </c>
      <c r="N764" s="82">
        <f>=K764-M764</f>
        <v>0</v>
      </c>
      <c r="O764" s="64">
        <v>0</v>
      </c>
      <c r="P764" s="64">
        <f>=I764*O764*ROUNDUP((A764-B764)/30,0)</f>
        <v>0</v>
      </c>
      <c r="Q764" s="487" t="s"/>
      <c r="R764" s="487" t="s"/>
    </row>
    <row r="765" spans="1:18" s="258" customFormat="true" ht="15.75" customHeight="true">
      <c r="A765" s="147">
        <v>46141</v>
      </c>
      <c r="B765" s="460">
        <v>46083</v>
      </c>
      <c r="C765" s="485" t="s">
        <v>132</v>
      </c>
      <c r="D765" s="486" t="s">
        <v>65</v>
      </c>
      <c r="E765" s="487" t="s"/>
      <c r="F765" s="488" t="s">
        <v>421</v>
      </c>
      <c r="G765" s="488" t="s">
        <v>422</v>
      </c>
      <c r="H765" s="345" t="s">
        <v>682</v>
      </c>
      <c r="I765" s="345">
        <v>7</v>
      </c>
      <c r="J765" s="345">
        <v>5292</v>
      </c>
      <c r="K765" s="427">
        <f>=I765*J765</f>
        <v>37044</v>
      </c>
      <c r="L765" s="345">
        <v>5292</v>
      </c>
      <c r="M765" s="428">
        <f>=I765*L765</f>
        <v>37044</v>
      </c>
      <c r="N765" s="82">
        <f>=K765-M765</f>
        <v>0</v>
      </c>
      <c r="O765" s="64">
        <v>0</v>
      </c>
      <c r="P765" s="64">
        <f>=I765*O765*ROUNDUP((A765-B765)/30,0)</f>
        <v>0</v>
      </c>
      <c r="Q765" s="487" t="s"/>
      <c r="R765" s="487" t="s"/>
    </row>
    <row r="766" spans="1:18" s="258" customFormat="true">
      <c r="A766" s="147">
        <v>46141</v>
      </c>
      <c r="B766" s="460">
        <v>46083</v>
      </c>
      <c r="C766" s="485" t="s">
        <v>132</v>
      </c>
      <c r="D766" s="486" t="s">
        <v>65</v>
      </c>
      <c r="E766" s="487" t="s"/>
      <c r="F766" s="488" t="s">
        <v>421</v>
      </c>
      <c r="G766" s="488" t="s">
        <v>422</v>
      </c>
      <c r="H766" s="345" t="s">
        <v>680</v>
      </c>
      <c r="I766" s="345">
        <v>20</v>
      </c>
      <c r="J766" s="345">
        <v>5319</v>
      </c>
      <c r="K766" s="427">
        <f>=I766*J766</f>
        <v>106380</v>
      </c>
      <c r="L766" s="345">
        <v>5319</v>
      </c>
      <c r="M766" s="428">
        <f>=I766*L766</f>
        <v>106380</v>
      </c>
      <c r="N766" s="82">
        <f>=K766-M766</f>
        <v>0</v>
      </c>
      <c r="O766" s="64">
        <v>0</v>
      </c>
      <c r="P766" s="64">
        <f>=I766*O766*ROUNDUP((A766-B766)/30,0)</f>
        <v>0</v>
      </c>
      <c r="Q766" s="487" t="s"/>
      <c r="R766" s="487" t="s"/>
    </row>
    <row r="767" spans="1:18" s="258" customFormat="true" ht="15" customHeight="true">
      <c r="A767" s="147">
        <v>46141</v>
      </c>
      <c r="B767" s="461">
        <v>46083</v>
      </c>
      <c r="C767" s="485" t="s">
        <v>132</v>
      </c>
      <c r="D767" s="486" t="s">
        <v>65</v>
      </c>
      <c r="E767" s="487" t="s"/>
      <c r="F767" s="488" t="s">
        <v>421</v>
      </c>
      <c r="G767" s="488" t="s">
        <v>422</v>
      </c>
      <c r="H767" s="345" t="s">
        <v>686</v>
      </c>
      <c r="I767" s="345">
        <v>1</v>
      </c>
      <c r="J767" s="345">
        <v>40220.75</v>
      </c>
      <c r="K767" s="427">
        <f>=I767*J767</f>
        <v>40220.75</v>
      </c>
      <c r="L767" s="345">
        <v>7115</v>
      </c>
      <c r="M767" s="428">
        <f>=I767*L767</f>
        <v>7115</v>
      </c>
      <c r="N767" s="82">
        <f>=K767-M767</f>
        <v>33105.75</v>
      </c>
      <c r="O767" s="64">
        <v>0</v>
      </c>
      <c r="P767" s="64">
        <f>=I767*O767*ROUNDUP((A767-B767)/30,0)</f>
        <v>0</v>
      </c>
      <c r="Q767" s="487" t="s"/>
      <c r="R767" s="487" t="s"/>
    </row>
    <row r="768" spans="1:18" s="258" customFormat="true" ht="15.75" customHeight="true">
      <c r="A768" s="147">
        <v>46141</v>
      </c>
      <c r="B768" s="460">
        <v>46083</v>
      </c>
      <c r="C768" s="485" t="s">
        <v>132</v>
      </c>
      <c r="D768" s="486" t="s">
        <v>65</v>
      </c>
      <c r="E768" s="487" t="s"/>
      <c r="F768" s="488" t="s">
        <v>421</v>
      </c>
      <c r="G768" s="488" t="s">
        <v>422</v>
      </c>
      <c r="H768" s="489" t="s">
        <v>691</v>
      </c>
      <c r="I768" s="345">
        <v>1</v>
      </c>
      <c r="J768" s="345">
        <v>21856.97</v>
      </c>
      <c r="K768" s="427">
        <f>=I768*J768</f>
        <v>21856.97</v>
      </c>
      <c r="L768" s="345">
        <v>8989</v>
      </c>
      <c r="M768" s="428">
        <f>=I768*L768</f>
        <v>8989</v>
      </c>
      <c r="N768" s="82">
        <f>=K768-M768</f>
        <v>12867.97</v>
      </c>
      <c r="O768" s="64">
        <v>0</v>
      </c>
      <c r="P768" s="64">
        <f>=I768*O768*ROUNDUP((A768-B768)/30,0)</f>
        <v>0</v>
      </c>
      <c r="Q768" s="487" t="s"/>
      <c r="R768" s="487" t="s"/>
    </row>
    <row r="769" spans="1:18" s="258" customFormat="true" ht="15.75" customHeight="true">
      <c r="A769" s="147">
        <v>46141</v>
      </c>
      <c r="B769" s="460">
        <v>46083</v>
      </c>
      <c r="C769" s="485" t="s">
        <v>132</v>
      </c>
      <c r="D769" s="486" t="s">
        <v>65</v>
      </c>
      <c r="E769" s="487" t="s"/>
      <c r="F769" s="488" t="s">
        <v>421</v>
      </c>
      <c r="G769" s="488" t="s">
        <v>422</v>
      </c>
      <c r="H769" s="489" t="s">
        <v>695</v>
      </c>
      <c r="I769" s="345">
        <v>2</v>
      </c>
      <c r="J769" s="345">
        <v>10635.5</v>
      </c>
      <c r="K769" s="427">
        <f>=I769*J769</f>
        <v>21271</v>
      </c>
      <c r="L769" s="345">
        <v>10635.5</v>
      </c>
      <c r="M769" s="428">
        <f>=I769*L769</f>
        <v>21271</v>
      </c>
      <c r="N769" s="82">
        <f>=K769-M769</f>
        <v>0</v>
      </c>
      <c r="O769" s="64">
        <v>0</v>
      </c>
      <c r="P769" s="64">
        <f>=I769*O769*ROUNDUP((A769-B769)/30,0)</f>
        <v>0</v>
      </c>
      <c r="Q769" s="487" t="s"/>
      <c r="R769" s="487" t="s"/>
    </row>
    <row r="770" spans="1:18" ht="15.75" customHeight="true">
      <c r="A770" s="147">
        <v>46142</v>
      </c>
      <c r="B770" s="460">
        <v>46112</v>
      </c>
      <c r="C770" s="80" t="s">
        <v>224</v>
      </c>
      <c r="D770" s="87" t="s">
        <v>223</v>
      </c>
      <c r="E770" s="335" t="s">
        <v>2972</v>
      </c>
      <c r="F770" s="155" t="s">
        <v>421</v>
      </c>
      <c r="G770" s="308" t="s">
        <v>470</v>
      </c>
      <c r="H770" s="155" t="s">
        <v>1017</v>
      </c>
      <c r="I770" s="87">
        <v>100</v>
      </c>
      <c r="J770" s="64">
        <v>3366.86</v>
      </c>
      <c r="K770" s="427">
        <f>=I770*J770</f>
        <v>336686</v>
      </c>
      <c r="L770" s="87">
        <v>3337</v>
      </c>
      <c r="M770" s="428">
        <f>=I770*L770</f>
        <v>333700</v>
      </c>
      <c r="N770" s="82">
        <f>=K770-M770</f>
        <v>2986</v>
      </c>
      <c r="O770" s="64">
        <v>1.5</v>
      </c>
      <c r="P770" s="64">
        <f>=I770*O770*ROUNDUP((A770-B770)/30,0)</f>
        <v>150</v>
      </c>
      <c r="Q770" s="62" t="s"/>
      <c r="R770" s="62" t="s"/>
    </row>
    <row r="771" spans="1:18" ht="15.75" customHeight="true">
      <c r="A771" s="147">
        <v>46142</v>
      </c>
      <c r="B771" s="460">
        <v>46112</v>
      </c>
      <c r="C771" s="80" t="s">
        <v>224</v>
      </c>
      <c r="D771" s="87" t="s">
        <v>223</v>
      </c>
      <c r="E771" s="335" t="s">
        <v>2973</v>
      </c>
      <c r="F771" s="155" t="s">
        <v>421</v>
      </c>
      <c r="G771" s="308" t="s">
        <v>470</v>
      </c>
      <c r="H771" s="155" t="s">
        <v>1284</v>
      </c>
      <c r="I771" s="87">
        <v>300</v>
      </c>
      <c r="J771" s="64">
        <v>3366.86</v>
      </c>
      <c r="K771" s="427">
        <f>=I771*J771</f>
        <v>1010058</v>
      </c>
      <c r="L771" s="87">
        <v>3337</v>
      </c>
      <c r="M771" s="428">
        <f>=I771*L771</f>
        <v>1001100</v>
      </c>
      <c r="N771" s="82">
        <f>=K771-M771</f>
        <v>8958</v>
      </c>
      <c r="O771" s="64">
        <v>1.5</v>
      </c>
      <c r="P771" s="64">
        <f>=I771*O771*ROUNDUP((A771-B771)/30,0)</f>
        <v>450</v>
      </c>
      <c r="Q771" s="62" t="s"/>
      <c r="R771" s="62" t="s"/>
    </row>
    <row r="772" spans="1:18" ht="15.75" customHeight="true">
      <c r="A772" s="147">
        <v>46142</v>
      </c>
      <c r="B772" s="483">
        <v>46135</v>
      </c>
      <c r="C772" s="87" t="s">
        <v>291</v>
      </c>
      <c r="D772" s="308" t="s">
        <v>290</v>
      </c>
      <c r="E772" s="335" t="s">
        <v>2974</v>
      </c>
      <c r="F772" s="87" t="s">
        <v>895</v>
      </c>
      <c r="G772" s="87" t="s">
        <v>422</v>
      </c>
      <c r="H772" s="155" t="s">
        <v>1994</v>
      </c>
      <c r="I772" s="87">
        <v>20</v>
      </c>
      <c r="J772" s="87">
        <v>1654.8</v>
      </c>
      <c r="K772" s="427">
        <f>=I772*J772</f>
        <v>33096</v>
      </c>
      <c r="L772" s="249">
        <v>1650</v>
      </c>
      <c r="M772" s="428">
        <f>=I772*L772</f>
        <v>33000</v>
      </c>
      <c r="N772" s="82">
        <f>=K772-M772</f>
        <v>96</v>
      </c>
      <c r="O772" s="64">
        <v>1</v>
      </c>
      <c r="P772" s="64">
        <f>=I772*O772*ROUNDUP((A772-B772)/30,0)</f>
        <v>20</v>
      </c>
      <c r="Q772" s="62" t="s"/>
      <c r="R772" s="62" t="s"/>
    </row>
    <row r="773" spans="1:18" ht="15.75" customHeight="true">
      <c r="A773" s="147">
        <v>46142</v>
      </c>
      <c r="B773" s="460">
        <v>46111</v>
      </c>
      <c r="C773" s="80" t="s">
        <v>212</v>
      </c>
      <c r="D773" s="64" t="s">
        <v>211</v>
      </c>
      <c r="E773" s="471" t="s">
        <v>2975</v>
      </c>
      <c r="F773" s="308" t="s">
        <v>421</v>
      </c>
      <c r="G773" s="308" t="s">
        <v>470</v>
      </c>
      <c r="H773" s="308" t="s">
        <v>1585</v>
      </c>
      <c r="I773" s="87">
        <v>1</v>
      </c>
      <c r="J773" s="87">
        <v>3249.76</v>
      </c>
      <c r="K773" s="427">
        <f>=I773*J773</f>
        <v>3249.76</v>
      </c>
      <c r="L773" s="64">
        <v>3220</v>
      </c>
      <c r="M773" s="428">
        <f>=I773*L773</f>
        <v>3220</v>
      </c>
      <c r="N773" s="82">
        <f>=K773-M773</f>
        <v>29.7600000000002</v>
      </c>
      <c r="O773" s="64">
        <v>1.5</v>
      </c>
      <c r="P773" s="64">
        <f>=I773*O773*ROUNDUP((A773-B773)/30,0)</f>
        <v>3</v>
      </c>
      <c r="Q773" s="62" t="s"/>
      <c r="R773" s="62" t="s"/>
    </row>
    <row r="774" spans="1:18" ht="15.75" customHeight="true">
      <c r="A774" s="147">
        <v>46142</v>
      </c>
      <c r="B774" s="460">
        <v>46129</v>
      </c>
      <c r="C774" s="80" t="s">
        <v>268</v>
      </c>
      <c r="D774" s="64" t="s">
        <v>211</v>
      </c>
      <c r="E774" s="335" t="s">
        <v>2976</v>
      </c>
      <c r="F774" s="308" t="s">
        <v>421</v>
      </c>
      <c r="G774" s="308" t="s">
        <v>470</v>
      </c>
      <c r="H774" s="308" t="s">
        <v>1875</v>
      </c>
      <c r="I774" s="87">
        <v>50</v>
      </c>
      <c r="J774" s="87">
        <v>3062.68</v>
      </c>
      <c r="K774" s="427">
        <f>=I774*J774</f>
        <v>153134</v>
      </c>
      <c r="L774" s="64">
        <v>3050</v>
      </c>
      <c r="M774" s="428">
        <f>=I774*L774</f>
        <v>152500</v>
      </c>
      <c r="N774" s="82">
        <f>=K774-M774</f>
        <v>634</v>
      </c>
      <c r="O774" s="64">
        <v>1.5</v>
      </c>
      <c r="P774" s="64">
        <f>=I774*O774*ROUNDUP((A774-B774)/30,0)</f>
        <v>75</v>
      </c>
      <c r="Q774" s="62" t="s"/>
      <c r="R774" s="62" t="s"/>
    </row>
    <row r="775" spans="1:18" ht="15.75" customHeight="true">
      <c r="A775" s="147">
        <v>46142</v>
      </c>
      <c r="B775" s="460">
        <v>46090</v>
      </c>
      <c r="C775" s="80" t="s">
        <v>139</v>
      </c>
      <c r="D775" s="94" t="s">
        <v>294</v>
      </c>
      <c r="E775" s="471" t="s">
        <v>2977</v>
      </c>
      <c r="F775" s="259" t="s">
        <v>864</v>
      </c>
      <c r="G775" s="259" t="s">
        <v>422</v>
      </c>
      <c r="H775" s="259" t="s">
        <v>865</v>
      </c>
      <c r="I775" s="64">
        <v>700</v>
      </c>
      <c r="J775" s="87">
        <v>1944</v>
      </c>
      <c r="K775" s="427">
        <f>=I775*J775</f>
        <v>1360800</v>
      </c>
      <c r="L775" s="64">
        <v>1912</v>
      </c>
      <c r="M775" s="428">
        <f>=I775*L775</f>
        <v>1338400</v>
      </c>
      <c r="N775" s="82">
        <f>=K775-M775</f>
        <v>22400</v>
      </c>
      <c r="O775" s="64">
        <v>1</v>
      </c>
      <c r="P775" s="64">
        <f>=I775*O775*ROUNDUP((A775-B775)/30,0)</f>
        <v>1400</v>
      </c>
      <c r="Q775" s="62" t="s"/>
      <c r="R775" s="62" t="s"/>
    </row>
    <row r="776" spans="1:18" ht="15.75" customHeight="true">
      <c r="A776" s="148">
        <v>46142</v>
      </c>
      <c r="B776" s="451">
        <v>46136</v>
      </c>
      <c r="C776" s="83" t="s">
        <v>292</v>
      </c>
      <c r="D776" s="308" t="s">
        <v>46</v>
      </c>
      <c r="E776" s="308" t="s">
        <v>2978</v>
      </c>
      <c r="F776" s="320" t="s">
        <v>421</v>
      </c>
      <c r="G776" s="320" t="s">
        <v>422</v>
      </c>
      <c r="H776" s="320" t="s">
        <v>1998</v>
      </c>
      <c r="I776" s="87">
        <v>100</v>
      </c>
      <c r="J776" s="87">
        <v>4809.4</v>
      </c>
      <c r="K776" s="427">
        <f>=I776*J776</f>
        <v>480940</v>
      </c>
      <c r="L776" s="87">
        <v>4800</v>
      </c>
      <c r="M776" s="428">
        <f>=I776*L776</f>
        <v>480000</v>
      </c>
      <c r="N776" s="82">
        <f>=K776-M776</f>
        <v>939.999999999942</v>
      </c>
      <c r="O776" s="64">
        <v>1</v>
      </c>
      <c r="P776" s="64">
        <f>=I776*O776*ROUNDUP((A776-B776)/30,0)</f>
        <v>100</v>
      </c>
      <c r="Q776" s="62" t="s"/>
      <c r="R776" s="62" t="s"/>
    </row>
    <row r="777" spans="1:18" ht="15.75" customHeight="true">
      <c r="A777" s="147">
        <v>46142</v>
      </c>
      <c r="B777" s="426">
        <v>46136</v>
      </c>
      <c r="C777" s="64" t="s">
        <v>292</v>
      </c>
      <c r="D777" s="308" t="s">
        <v>46</v>
      </c>
      <c r="E777" s="308" t="s">
        <v>2979</v>
      </c>
      <c r="F777" s="320" t="s">
        <v>421</v>
      </c>
      <c r="G777" s="320" t="s">
        <v>422</v>
      </c>
      <c r="H777" s="320" t="s">
        <v>1998</v>
      </c>
      <c r="I777" s="87">
        <v>100</v>
      </c>
      <c r="J777" s="87">
        <v>4809.4</v>
      </c>
      <c r="K777" s="427">
        <f>=I777*J777</f>
        <v>480940</v>
      </c>
      <c r="L777" s="87">
        <v>4800</v>
      </c>
      <c r="M777" s="428">
        <f>=I777*L777</f>
        <v>480000</v>
      </c>
      <c r="N777" s="82">
        <f>=K777-M777</f>
        <v>939.999999999942</v>
      </c>
      <c r="O777" s="64">
        <v>1</v>
      </c>
      <c r="P777" s="64">
        <f>=I777*O777*ROUNDUP((A777-B777)/30,0)</f>
        <v>100</v>
      </c>
      <c r="Q777" s="62" t="s"/>
      <c r="R777" s="62" t="s"/>
    </row>
    <row r="778" spans="1:18" ht="15.75" customHeight="true">
      <c r="A778" s="148">
        <v>46142</v>
      </c>
      <c r="B778" s="451">
        <v>46136</v>
      </c>
      <c r="C778" s="83" t="s">
        <v>292</v>
      </c>
      <c r="D778" s="308" t="s">
        <v>46</v>
      </c>
      <c r="E778" s="308" t="s">
        <v>2980</v>
      </c>
      <c r="F778" s="320" t="s">
        <v>421</v>
      </c>
      <c r="G778" s="320" t="s">
        <v>422</v>
      </c>
      <c r="H778" s="87" t="s">
        <v>2000</v>
      </c>
      <c r="I778" s="87">
        <v>100</v>
      </c>
      <c r="J778" s="87">
        <v>4809.4</v>
      </c>
      <c r="K778" s="427">
        <f>=I778*J778</f>
        <v>480940</v>
      </c>
      <c r="L778" s="87">
        <v>4800</v>
      </c>
      <c r="M778" s="428">
        <f>=I778*L778</f>
        <v>480000</v>
      </c>
      <c r="N778" s="82">
        <f>=K778-M778</f>
        <v>939.999999999942</v>
      </c>
      <c r="O778" s="64">
        <v>1</v>
      </c>
      <c r="P778" s="64">
        <f>=I778*O778*ROUNDUP((A778-B778)/30,0)</f>
        <v>100</v>
      </c>
      <c r="Q778" s="62" t="s"/>
      <c r="R778" s="62" t="s"/>
    </row>
    <row r="779" spans="1:18" ht="15.75" customHeight="true">
      <c r="A779" s="147">
        <v>46142</v>
      </c>
      <c r="B779" s="426">
        <v>46136</v>
      </c>
      <c r="C779" s="64" t="s">
        <v>292</v>
      </c>
      <c r="D779" s="308" t="s">
        <v>46</v>
      </c>
      <c r="E779" s="308" t="s">
        <v>2981</v>
      </c>
      <c r="F779" s="320" t="s">
        <v>421</v>
      </c>
      <c r="G779" s="320" t="s">
        <v>422</v>
      </c>
      <c r="H779" s="87" t="s">
        <v>2000</v>
      </c>
      <c r="I779" s="87">
        <v>100</v>
      </c>
      <c r="J779" s="87">
        <v>4809.4</v>
      </c>
      <c r="K779" s="427">
        <f>=I779*J779</f>
        <v>480940</v>
      </c>
      <c r="L779" s="87">
        <v>4800</v>
      </c>
      <c r="M779" s="428">
        <f>=I779*L779</f>
        <v>480000</v>
      </c>
      <c r="N779" s="82">
        <f>=K779-M779</f>
        <v>939.999999999942</v>
      </c>
      <c r="O779" s="64">
        <v>1</v>
      </c>
      <c r="P779" s="64">
        <f>=I779*O779*ROUNDUP((A779-B779)/30,0)</f>
        <v>100</v>
      </c>
      <c r="Q779" s="62" t="s"/>
      <c r="R779" s="62" t="s"/>
    </row>
    <row r="780" spans="1:18" ht="15.75" customHeight="true">
      <c r="A780" s="147">
        <v>46142</v>
      </c>
      <c r="B780" s="426">
        <v>46136</v>
      </c>
      <c r="C780" s="64" t="s">
        <v>292</v>
      </c>
      <c r="D780" s="308" t="s">
        <v>46</v>
      </c>
      <c r="E780" s="308" t="s">
        <v>2982</v>
      </c>
      <c r="F780" s="320" t="s">
        <v>421</v>
      </c>
      <c r="G780" s="320" t="s">
        <v>422</v>
      </c>
      <c r="H780" s="87" t="s">
        <v>990</v>
      </c>
      <c r="I780" s="339">
        <v>100</v>
      </c>
      <c r="J780" s="87">
        <v>4809.4</v>
      </c>
      <c r="K780" s="427">
        <f>=I780*J780</f>
        <v>480940</v>
      </c>
      <c r="L780" s="87">
        <v>4800</v>
      </c>
      <c r="M780" s="428">
        <f>=I780*L780</f>
        <v>480000</v>
      </c>
      <c r="N780" s="82">
        <f>=K780-M780</f>
        <v>939.999999999942</v>
      </c>
      <c r="O780" s="64">
        <v>1</v>
      </c>
      <c r="P780" s="64">
        <f>=I780*O780*ROUNDUP((A780-B780)/30,0)</f>
        <v>100</v>
      </c>
      <c r="Q780" s="62" t="s"/>
      <c r="R780" s="62" t="s"/>
    </row>
    <row r="781" spans="1:18" ht="15.75" customHeight="true">
      <c r="A781" s="148">
        <v>46142</v>
      </c>
      <c r="B781" s="451">
        <v>46136</v>
      </c>
      <c r="C781" s="83" t="s">
        <v>292</v>
      </c>
      <c r="D781" s="308" t="s">
        <v>46</v>
      </c>
      <c r="E781" s="308" t="s">
        <v>2983</v>
      </c>
      <c r="F781" s="320" t="s">
        <v>421</v>
      </c>
      <c r="G781" s="320" t="s">
        <v>422</v>
      </c>
      <c r="H781" s="87" t="s">
        <v>990</v>
      </c>
      <c r="I781" s="339">
        <v>100</v>
      </c>
      <c r="J781" s="87">
        <v>4809.4</v>
      </c>
      <c r="K781" s="427">
        <f>=I781*J781</f>
        <v>480940</v>
      </c>
      <c r="L781" s="87">
        <v>4800</v>
      </c>
      <c r="M781" s="428">
        <f>=I781*L781</f>
        <v>480000</v>
      </c>
      <c r="N781" s="82">
        <f>=K781-M781</f>
        <v>939.999999999942</v>
      </c>
      <c r="O781" s="64">
        <v>1</v>
      </c>
      <c r="P781" s="64">
        <f>=I781*O781*ROUNDUP((A781-B781)/30,0)</f>
        <v>100</v>
      </c>
      <c r="Q781" s="62" t="s"/>
      <c r="R781" s="62" t="s"/>
    </row>
    <row r="782" spans="1:18" ht="15.75" customHeight="true">
      <c r="A782" s="147">
        <v>46142</v>
      </c>
      <c r="B782" s="426">
        <v>46137</v>
      </c>
      <c r="C782" s="64" t="s">
        <v>295</v>
      </c>
      <c r="D782" s="308" t="s">
        <v>46</v>
      </c>
      <c r="E782" s="308" t="s">
        <v>2984</v>
      </c>
      <c r="F782" s="320" t="s">
        <v>421</v>
      </c>
      <c r="G782" s="320" t="s">
        <v>422</v>
      </c>
      <c r="H782" s="320" t="s">
        <v>1998</v>
      </c>
      <c r="I782" s="87">
        <v>100</v>
      </c>
      <c r="J782" s="87">
        <v>4809.4</v>
      </c>
      <c r="K782" s="427">
        <f>=I782*J782</f>
        <v>480940</v>
      </c>
      <c r="L782" s="87">
        <v>4800</v>
      </c>
      <c r="M782" s="428">
        <f>=I782*L782</f>
        <v>480000</v>
      </c>
      <c r="N782" s="82">
        <f>=K782-M782</f>
        <v>939.999999999942</v>
      </c>
      <c r="O782" s="64">
        <v>1</v>
      </c>
      <c r="P782" s="64">
        <f>=I782*O782*ROUNDUP((A782-B782)/30,0)</f>
        <v>100</v>
      </c>
      <c r="Q782" s="62" t="s"/>
      <c r="R782" s="62" t="s"/>
    </row>
    <row r="783" spans="1:18" ht="15.75" customHeight="true">
      <c r="A783" s="147">
        <v>46142</v>
      </c>
      <c r="B783" s="426">
        <v>46137</v>
      </c>
      <c r="C783" s="64" t="s">
        <v>295</v>
      </c>
      <c r="D783" s="308" t="s">
        <v>46</v>
      </c>
      <c r="E783" s="308" t="s">
        <v>2985</v>
      </c>
      <c r="F783" s="320" t="s">
        <v>421</v>
      </c>
      <c r="G783" s="320" t="s">
        <v>422</v>
      </c>
      <c r="H783" s="87" t="s">
        <v>2000</v>
      </c>
      <c r="I783" s="87">
        <v>100</v>
      </c>
      <c r="J783" s="87">
        <v>4809.4</v>
      </c>
      <c r="K783" s="427">
        <f>=I783*J783</f>
        <v>480940</v>
      </c>
      <c r="L783" s="87">
        <v>4800</v>
      </c>
      <c r="M783" s="428">
        <f>=I783*L783</f>
        <v>480000</v>
      </c>
      <c r="N783" s="82">
        <f>=K783-M783</f>
        <v>939.999999999942</v>
      </c>
      <c r="O783" s="64">
        <v>1</v>
      </c>
      <c r="P783" s="64">
        <f>=I783*O783*ROUNDUP((A783-B783)/30,0)</f>
        <v>100</v>
      </c>
      <c r="Q783" s="62" t="s"/>
      <c r="R783" s="62" t="s"/>
    </row>
    <row r="784" spans="1:18" ht="15.75" customHeight="true">
      <c r="A784" s="148">
        <v>46142</v>
      </c>
      <c r="B784" s="451">
        <v>46137</v>
      </c>
      <c r="C784" s="83" t="s">
        <v>295</v>
      </c>
      <c r="D784" s="308" t="s">
        <v>46</v>
      </c>
      <c r="E784" s="308" t="s">
        <v>2986</v>
      </c>
      <c r="F784" s="320" t="s">
        <v>421</v>
      </c>
      <c r="G784" s="320" t="s">
        <v>422</v>
      </c>
      <c r="H784" s="87" t="s">
        <v>990</v>
      </c>
      <c r="I784" s="339">
        <v>100</v>
      </c>
      <c r="J784" s="87">
        <v>4809.4</v>
      </c>
      <c r="K784" s="427">
        <f>=I784*J784</f>
        <v>480940</v>
      </c>
      <c r="L784" s="87">
        <v>4800</v>
      </c>
      <c r="M784" s="428">
        <f>=I784*L784</f>
        <v>480000</v>
      </c>
      <c r="N784" s="82">
        <f>=K784-M784</f>
        <v>939.999999999942</v>
      </c>
      <c r="O784" s="64">
        <v>1</v>
      </c>
      <c r="P784" s="64">
        <f>=I784*O784*ROUNDUP((A784-B784)/30,0)</f>
        <v>100</v>
      </c>
      <c r="Q784" s="62" t="s"/>
      <c r="R784" s="62" t="s"/>
    </row>
    <row r="785" spans="1:18" ht="15.75" customHeight="true">
      <c r="A785" s="147">
        <v>46142</v>
      </c>
      <c r="B785" s="426">
        <v>46137</v>
      </c>
      <c r="C785" s="64" t="s">
        <v>295</v>
      </c>
      <c r="D785" s="308" t="s">
        <v>46</v>
      </c>
      <c r="E785" s="308" t="s">
        <v>2987</v>
      </c>
      <c r="F785" s="320" t="s">
        <v>421</v>
      </c>
      <c r="G785" s="320" t="s">
        <v>422</v>
      </c>
      <c r="H785" s="87" t="s">
        <v>990</v>
      </c>
      <c r="I785" s="339">
        <v>100</v>
      </c>
      <c r="J785" s="87">
        <v>4809.4</v>
      </c>
      <c r="K785" s="427">
        <f>=I785*J785</f>
        <v>480940</v>
      </c>
      <c r="L785" s="87">
        <v>4800</v>
      </c>
      <c r="M785" s="428">
        <f>=I785*L785</f>
        <v>480000</v>
      </c>
      <c r="N785" s="82">
        <f>=K785-M785</f>
        <v>939.999999999942</v>
      </c>
      <c r="O785" s="64">
        <v>1</v>
      </c>
      <c r="P785" s="64">
        <f>=I785*O785*ROUNDUP((A785-B785)/30,0)</f>
        <v>100</v>
      </c>
      <c r="Q785" s="62" t="s"/>
      <c r="R785" s="62" t="s"/>
    </row>
    <row r="786" spans="1:18" ht="15.75" customHeight="true">
      <c r="A786" s="148">
        <v>46145</v>
      </c>
      <c r="B786" s="451">
        <v>46107</v>
      </c>
      <c r="C786" s="83" t="s">
        <v>202</v>
      </c>
      <c r="D786" s="121" t="s">
        <v>201</v>
      </c>
      <c r="E786" s="490" t="s">
        <v>2988</v>
      </c>
      <c r="F786" s="87" t="s">
        <v>421</v>
      </c>
      <c r="G786" s="87" t="s">
        <v>422</v>
      </c>
      <c r="H786" s="87" t="s">
        <v>1169</v>
      </c>
      <c r="I786" s="87">
        <v>100</v>
      </c>
      <c r="J786" s="87">
        <v>7874</v>
      </c>
      <c r="K786" s="427">
        <f>=I786*J786</f>
        <v>787400</v>
      </c>
      <c r="L786" s="290">
        <v>7800</v>
      </c>
      <c r="M786" s="428">
        <f>=I786*L786</f>
        <v>780000</v>
      </c>
      <c r="N786" s="82">
        <f>=K786-M786</f>
        <v>7400</v>
      </c>
      <c r="O786" s="64">
        <v>1</v>
      </c>
      <c r="P786" s="64">
        <f>=I786*O786*ROUNDUP((A786-B786)/30,0)</f>
        <v>200</v>
      </c>
      <c r="Q786" s="62" t="s"/>
      <c r="R786" s="62" t="s"/>
    </row>
    <row r="787" spans="1:18" ht="15.75" customHeight="true">
      <c r="A787" s="148">
        <v>46147</v>
      </c>
      <c r="B787" s="451">
        <v>46107</v>
      </c>
      <c r="C787" s="83" t="s">
        <v>202</v>
      </c>
      <c r="D787" s="121" t="s">
        <v>201</v>
      </c>
      <c r="E787" s="490" t="s">
        <v>2989</v>
      </c>
      <c r="F787" s="87" t="s">
        <v>421</v>
      </c>
      <c r="G787" s="87" t="s">
        <v>422</v>
      </c>
      <c r="H787" s="87" t="s">
        <v>1169</v>
      </c>
      <c r="I787" s="87">
        <v>100</v>
      </c>
      <c r="J787" s="87">
        <v>7876</v>
      </c>
      <c r="K787" s="427">
        <f>=I787*J787</f>
        <v>787600</v>
      </c>
      <c r="L787" s="290">
        <v>7800</v>
      </c>
      <c r="M787" s="428">
        <f>=I787*L787</f>
        <v>780000</v>
      </c>
      <c r="N787" s="82">
        <f>=K787-M787</f>
        <v>7600</v>
      </c>
      <c r="O787" s="64">
        <v>1</v>
      </c>
      <c r="P787" s="64">
        <f>=I787*O787*ROUNDUP((A787-B787)/30,0)</f>
        <v>200</v>
      </c>
      <c r="Q787" s="62" t="s"/>
      <c r="R787" s="62" t="s"/>
    </row>
    <row r="788" spans="1:18" ht="15.75" customHeight="true">
      <c r="A788" s="148">
        <v>46147</v>
      </c>
      <c r="B788" s="451">
        <v>46111</v>
      </c>
      <c r="C788" s="83" t="s">
        <v>214</v>
      </c>
      <c r="D788" s="121" t="s">
        <v>201</v>
      </c>
      <c r="E788" s="490" t="s">
        <v>2989</v>
      </c>
      <c r="F788" s="83" t="s">
        <v>421</v>
      </c>
      <c r="G788" s="83" t="s">
        <v>422</v>
      </c>
      <c r="H788" s="87" t="s">
        <v>1169</v>
      </c>
      <c r="I788" s="87">
        <v>40</v>
      </c>
      <c r="J788" s="87">
        <v>7876</v>
      </c>
      <c r="K788" s="427">
        <f>=I788*J788</f>
        <v>315040</v>
      </c>
      <c r="L788" s="290">
        <v>7800</v>
      </c>
      <c r="M788" s="428">
        <f>=I788*L788</f>
        <v>312000</v>
      </c>
      <c r="N788" s="82">
        <f>=K788-M788</f>
        <v>3040</v>
      </c>
      <c r="O788" s="64">
        <v>1</v>
      </c>
      <c r="P788" s="64">
        <f>=I788*O788*ROUNDUP((A788-B788)/30,0)</f>
        <v>80</v>
      </c>
      <c r="Q788" s="62" t="s"/>
      <c r="R788" s="62" t="s"/>
    </row>
    <row r="789" spans="1:18" ht="15.75" customHeight="true">
      <c r="A789" s="148">
        <v>46145</v>
      </c>
      <c r="B789" s="461">
        <v>46134</v>
      </c>
      <c r="C789" s="110" t="s">
        <v>286</v>
      </c>
      <c r="D789" s="490" t="s">
        <v>285</v>
      </c>
      <c r="E789" s="490" t="s">
        <v>2990</v>
      </c>
      <c r="F789" s="155" t="s">
        <v>421</v>
      </c>
      <c r="G789" s="490" t="s">
        <v>422</v>
      </c>
      <c r="H789" s="490" t="s">
        <v>721</v>
      </c>
      <c r="I789" s="339">
        <v>300</v>
      </c>
      <c r="J789" s="87">
        <v>8226.1</v>
      </c>
      <c r="K789" s="427">
        <f>=I789*J789</f>
        <v>2467830</v>
      </c>
      <c r="L789" s="363">
        <v>8200</v>
      </c>
      <c r="M789" s="428">
        <f>=I789*L789</f>
        <v>2460000</v>
      </c>
      <c r="N789" s="82">
        <f>=K789-M789</f>
        <v>7830</v>
      </c>
      <c r="O789" s="64">
        <v>1</v>
      </c>
      <c r="P789" s="64">
        <f>=I789*O789*ROUNDUP((A789-B789)/30,0)</f>
        <v>300</v>
      </c>
      <c r="Q789" s="62" t="s"/>
      <c r="R789" s="62" t="s"/>
    </row>
    <row r="790" spans="1:18" ht="15.75" customHeight="true">
      <c r="A790" s="147">
        <v>46148</v>
      </c>
      <c r="B790" s="426">
        <v>45854</v>
      </c>
      <c r="C790" s="92" t="s">
        <v>61</v>
      </c>
      <c r="D790" s="94" t="s">
        <v>309</v>
      </c>
      <c r="E790" s="471" t="s">
        <v>2991</v>
      </c>
      <c r="F790" s="94" t="s">
        <v>503</v>
      </c>
      <c r="G790" s="64" t="s">
        <v>422</v>
      </c>
      <c r="H790" s="64" t="s">
        <v>504</v>
      </c>
      <c r="I790" s="87">
        <v>74</v>
      </c>
      <c r="J790" s="87">
        <v>2620</v>
      </c>
      <c r="K790" s="427">
        <f>=I790*J790</f>
        <v>193880</v>
      </c>
      <c r="L790" s="64">
        <v>2394</v>
      </c>
      <c r="M790" s="428">
        <f>=I790*L790</f>
        <v>177156</v>
      </c>
      <c r="N790" s="82">
        <f>=K790-M790</f>
        <v>16724</v>
      </c>
      <c r="O790" s="64">
        <v>0</v>
      </c>
      <c r="P790" s="64">
        <f>=I790*O790*ROUNDUP((A790-B790)/30,0)</f>
        <v>0</v>
      </c>
      <c r="Q790" s="62" t="s"/>
      <c r="R790" s="62" t="s"/>
    </row>
    <row r="791" spans="1:18" ht="15.75" customHeight="true">
      <c r="A791" s="147">
        <v>46148</v>
      </c>
      <c r="B791" s="426">
        <v>45855</v>
      </c>
      <c r="C791" s="92" t="s">
        <v>62</v>
      </c>
      <c r="D791" s="94" t="s">
        <v>309</v>
      </c>
      <c r="E791" s="471" t="s">
        <v>2991</v>
      </c>
      <c r="F791" s="94" t="s">
        <v>503</v>
      </c>
      <c r="G791" s="64" t="s">
        <v>422</v>
      </c>
      <c r="H791" s="64" t="s">
        <v>504</v>
      </c>
      <c r="I791" s="87">
        <v>26</v>
      </c>
      <c r="J791" s="87">
        <v>2620</v>
      </c>
      <c r="K791" s="427">
        <f>=I791*J791</f>
        <v>68120</v>
      </c>
      <c r="L791" s="64">
        <v>2394</v>
      </c>
      <c r="M791" s="428">
        <f>=I791*L791</f>
        <v>62244</v>
      </c>
      <c r="N791" s="82">
        <f>=K791-M791</f>
        <v>5876</v>
      </c>
      <c r="O791" s="64">
        <v>0</v>
      </c>
      <c r="P791" s="64">
        <f>=I791*O791*ROUNDUP((A791-B791)/30,0)</f>
        <v>0</v>
      </c>
      <c r="Q791" s="62" t="s"/>
      <c r="R791" s="62" t="s"/>
    </row>
    <row r="792" spans="1:18" ht="15.75" customHeight="true">
      <c r="A792" s="147">
        <v>46148</v>
      </c>
      <c r="B792" s="460">
        <v>46112</v>
      </c>
      <c r="C792" s="80" t="s">
        <v>219</v>
      </c>
      <c r="D792" s="87" t="s">
        <v>217</v>
      </c>
      <c r="E792" s="471" t="s">
        <v>2992</v>
      </c>
      <c r="F792" s="64" t="s">
        <v>421</v>
      </c>
      <c r="G792" s="64" t="s">
        <v>422</v>
      </c>
      <c r="H792" s="64" t="s">
        <v>1429</v>
      </c>
      <c r="I792" s="87">
        <v>60</v>
      </c>
      <c r="J792" s="94">
        <v>4685.92</v>
      </c>
      <c r="K792" s="427">
        <f>=I792*J792</f>
        <v>281155.2</v>
      </c>
      <c r="L792" s="64">
        <v>4640</v>
      </c>
      <c r="M792" s="428">
        <f>=I792*L792</f>
        <v>278400</v>
      </c>
      <c r="N792" s="82">
        <f>=K792-M792</f>
        <v>2755.20000000001</v>
      </c>
      <c r="O792" s="64">
        <v>1</v>
      </c>
      <c r="P792" s="64">
        <f>=I792*O792*ROUNDUP((A792-B792)/30,0)</f>
        <v>120</v>
      </c>
      <c r="Q792" s="62" t="s"/>
      <c r="R792" s="62" t="s"/>
    </row>
    <row r="793" spans="1:18" ht="15.75" customHeight="true">
      <c r="A793" s="147">
        <v>46148</v>
      </c>
      <c r="B793" s="426">
        <v>46107</v>
      </c>
      <c r="C793" s="64" t="s">
        <v>202</v>
      </c>
      <c r="D793" s="94" t="s">
        <v>201</v>
      </c>
      <c r="E793" s="308" t="s">
        <v>2993</v>
      </c>
      <c r="F793" s="87" t="s">
        <v>421</v>
      </c>
      <c r="G793" s="87" t="s">
        <v>422</v>
      </c>
      <c r="H793" s="87" t="s">
        <v>1173</v>
      </c>
      <c r="I793" s="87">
        <v>100</v>
      </c>
      <c r="J793" s="87">
        <v>7878</v>
      </c>
      <c r="K793" s="427">
        <f>=I793*J793</f>
        <v>787800</v>
      </c>
      <c r="L793" s="484">
        <v>7800</v>
      </c>
      <c r="M793" s="428">
        <f>=I793*L793</f>
        <v>780000</v>
      </c>
      <c r="N793" s="82">
        <f>=K793-M793</f>
        <v>7800</v>
      </c>
      <c r="O793" s="64">
        <v>1</v>
      </c>
      <c r="P793" s="64">
        <f>=I793*O793*ROUNDUP((A793-B793)/30,0)</f>
        <v>200</v>
      </c>
      <c r="Q793" s="62" t="s"/>
      <c r="R793" s="62" t="s"/>
    </row>
    <row r="794" spans="1:18" ht="15.75" customHeight="true">
      <c r="A794" s="147">
        <v>46148</v>
      </c>
      <c r="B794" s="426">
        <v>46111</v>
      </c>
      <c r="C794" s="64" t="s">
        <v>214</v>
      </c>
      <c r="D794" s="94" t="s">
        <v>201</v>
      </c>
      <c r="E794" s="308" t="s">
        <v>2994</v>
      </c>
      <c r="F794" s="64" t="s">
        <v>421</v>
      </c>
      <c r="G794" s="64" t="s">
        <v>422</v>
      </c>
      <c r="H794" s="87" t="s">
        <v>1169</v>
      </c>
      <c r="I794" s="87">
        <v>100</v>
      </c>
      <c r="J794" s="87">
        <v>7878</v>
      </c>
      <c r="K794" s="427">
        <f>=I794*J794</f>
        <v>787800</v>
      </c>
      <c r="L794" s="484">
        <v>7800</v>
      </c>
      <c r="M794" s="428">
        <f>=I794*L794</f>
        <v>780000</v>
      </c>
      <c r="N794" s="82">
        <f>=K794-M794</f>
        <v>7800</v>
      </c>
      <c r="O794" s="64">
        <v>1</v>
      </c>
      <c r="P794" s="64">
        <f>=I794*O794*ROUNDUP((A794-B794)/30,0)</f>
        <v>200</v>
      </c>
      <c r="Q794" s="62" t="s"/>
      <c r="R794" s="62" t="s"/>
    </row>
    <row r="795" spans="1:18" ht="15.75" customHeight="true">
      <c r="A795" s="147">
        <v>46148</v>
      </c>
      <c r="B795" s="426">
        <v>46111</v>
      </c>
      <c r="C795" s="64" t="s">
        <v>214</v>
      </c>
      <c r="D795" s="94" t="s">
        <v>201</v>
      </c>
      <c r="E795" s="308" t="s">
        <v>2995</v>
      </c>
      <c r="F795" s="64" t="s">
        <v>421</v>
      </c>
      <c r="G795" s="64" t="s">
        <v>422</v>
      </c>
      <c r="H795" s="87" t="s">
        <v>1171</v>
      </c>
      <c r="I795" s="87">
        <v>100</v>
      </c>
      <c r="J795" s="87">
        <v>7878</v>
      </c>
      <c r="K795" s="427">
        <f>=I795*J795</f>
        <v>787800</v>
      </c>
      <c r="L795" s="484">
        <v>7800</v>
      </c>
      <c r="M795" s="428">
        <f>=I795*L795</f>
        <v>780000</v>
      </c>
      <c r="N795" s="82">
        <f>=K795-M795</f>
        <v>7800</v>
      </c>
      <c r="O795" s="64">
        <v>1</v>
      </c>
      <c r="P795" s="64">
        <f>=I795*O795*ROUNDUP((A795-B795)/30,0)</f>
        <v>200</v>
      </c>
      <c r="Q795" s="62" t="s"/>
      <c r="R795" s="62" t="s"/>
    </row>
    <row r="796" spans="1:18" ht="15.75" customHeight="true">
      <c r="A796" s="147">
        <v>46149</v>
      </c>
      <c r="B796" s="460">
        <v>46142</v>
      </c>
      <c r="C796" s="80" t="s">
        <v>306</v>
      </c>
      <c r="D796" s="308" t="s">
        <v>305</v>
      </c>
      <c r="E796" s="335" t="s">
        <v>2996</v>
      </c>
      <c r="F796" s="87" t="s">
        <v>2041</v>
      </c>
      <c r="G796" s="87" t="s">
        <v>470</v>
      </c>
      <c r="H796" s="64" t="s">
        <v>2042</v>
      </c>
      <c r="I796" s="87">
        <v>55</v>
      </c>
      <c r="J796" s="335">
        <v>6655.28</v>
      </c>
      <c r="K796" s="427">
        <f>=I796*J796</f>
        <v>366040.4</v>
      </c>
      <c r="L796" s="491">
        <v>6640</v>
      </c>
      <c r="M796" s="428">
        <f>=I796*L796</f>
        <v>365200</v>
      </c>
      <c r="N796" s="82">
        <f>=K796-M796</f>
        <v>840.399999999965</v>
      </c>
      <c r="O796" s="64">
        <v>1.5</v>
      </c>
      <c r="P796" s="64">
        <f>=I796*O796*ROUNDUP((A796-B796)/30,0)</f>
        <v>82.5</v>
      </c>
      <c r="Q796" s="62" t="s"/>
      <c r="R796" s="62" t="s"/>
    </row>
    <row r="797" spans="1:18" ht="15.75" customHeight="true">
      <c r="A797" s="147">
        <v>46149</v>
      </c>
      <c r="B797" s="460">
        <v>46142</v>
      </c>
      <c r="C797" s="80" t="s">
        <v>306</v>
      </c>
      <c r="D797" s="308" t="s">
        <v>305</v>
      </c>
      <c r="E797" s="335" t="s">
        <v>2997</v>
      </c>
      <c r="F797" s="87" t="s">
        <v>2041</v>
      </c>
      <c r="G797" s="87" t="s">
        <v>470</v>
      </c>
      <c r="H797" s="64" t="s">
        <v>2042</v>
      </c>
      <c r="I797" s="87">
        <v>45</v>
      </c>
      <c r="J797" s="335">
        <v>6655.28</v>
      </c>
      <c r="K797" s="427">
        <f>=I797*J797</f>
        <v>299487.6</v>
      </c>
      <c r="L797" s="491">
        <v>6640</v>
      </c>
      <c r="M797" s="428">
        <f>=I797*L797</f>
        <v>298800</v>
      </c>
      <c r="N797" s="82">
        <f>=K797-M797</f>
        <v>687.599999999977</v>
      </c>
      <c r="O797" s="64">
        <v>1.5</v>
      </c>
      <c r="P797" s="64">
        <f>=I797*O797*ROUNDUP((A797-B797)/30,0)</f>
        <v>67.5</v>
      </c>
      <c r="Q797" s="62" t="s"/>
      <c r="R797" s="62" t="s"/>
    </row>
    <row r="798" spans="1:18" ht="15.75" customHeight="true">
      <c r="A798" s="147">
        <v>46149</v>
      </c>
      <c r="B798" s="460">
        <v>46105</v>
      </c>
      <c r="C798" s="80" t="s">
        <v>184</v>
      </c>
      <c r="D798" s="64" t="s">
        <v>138</v>
      </c>
      <c r="E798" s="471" t="s">
        <v>2998</v>
      </c>
      <c r="F798" s="64" t="s">
        <v>864</v>
      </c>
      <c r="G798" s="64" t="s">
        <v>422</v>
      </c>
      <c r="H798" s="64" t="s">
        <v>1020</v>
      </c>
      <c r="I798" s="87">
        <v>60</v>
      </c>
      <c r="J798" s="87">
        <v>1823.25</v>
      </c>
      <c r="K798" s="427">
        <f>=I798*J798</f>
        <v>109395</v>
      </c>
      <c r="L798" s="64">
        <v>1800</v>
      </c>
      <c r="M798" s="428">
        <f>=I798*L798</f>
        <v>108000</v>
      </c>
      <c r="N798" s="82">
        <f>=K798-M798</f>
        <v>1395</v>
      </c>
      <c r="O798" s="64">
        <v>1</v>
      </c>
      <c r="P798" s="64">
        <f>=I798*O798*ROUNDUP((A798-B798)/30,0)</f>
        <v>120</v>
      </c>
      <c r="Q798" s="62" t="s"/>
      <c r="R798" s="62" t="s"/>
    </row>
    <row r="799" spans="1:18" ht="15.75" customHeight="true">
      <c r="A799" s="147">
        <v>46149</v>
      </c>
      <c r="B799" s="460">
        <v>46107</v>
      </c>
      <c r="C799" s="80" t="s">
        <v>193</v>
      </c>
      <c r="D799" s="64" t="s">
        <v>138</v>
      </c>
      <c r="E799" s="247" t="s">
        <v>2999</v>
      </c>
      <c r="F799" s="64" t="s">
        <v>864</v>
      </c>
      <c r="G799" s="64" t="s">
        <v>422</v>
      </c>
      <c r="H799" s="64" t="s">
        <v>1107</v>
      </c>
      <c r="I799" s="87">
        <v>20</v>
      </c>
      <c r="J799" s="87">
        <v>1822.35</v>
      </c>
      <c r="K799" s="427">
        <f>=I799*J799</f>
        <v>36447</v>
      </c>
      <c r="L799" s="64">
        <v>1800</v>
      </c>
      <c r="M799" s="428">
        <f>=I799*L799</f>
        <v>36000</v>
      </c>
      <c r="N799" s="82">
        <f>=K799-M799</f>
        <v>447</v>
      </c>
      <c r="O799" s="64">
        <v>1</v>
      </c>
      <c r="P799" s="64">
        <f>=I799*O799*ROUNDUP((A799-B799)/30,0)</f>
        <v>40</v>
      </c>
      <c r="Q799" s="62" t="s"/>
      <c r="R799" s="62" t="s"/>
    </row>
    <row r="800" spans="1:18" ht="15.75" customHeight="true">
      <c r="A800" s="147">
        <v>46149</v>
      </c>
      <c r="B800" s="483">
        <v>46129</v>
      </c>
      <c r="C800" s="87" t="s">
        <v>261</v>
      </c>
      <c r="D800" s="87" t="s">
        <v>260</v>
      </c>
      <c r="E800" s="247" t="s">
        <v>3000</v>
      </c>
      <c r="F800" s="87" t="s">
        <v>428</v>
      </c>
      <c r="G800" s="140" t="s">
        <v>429</v>
      </c>
      <c r="H800" s="140" t="s">
        <v>1822</v>
      </c>
      <c r="I800" s="87">
        <v>1000</v>
      </c>
      <c r="J800" s="249">
        <v>301.88</v>
      </c>
      <c r="K800" s="427">
        <f>=I800*J800</f>
        <v>301880</v>
      </c>
      <c r="L800" s="249">
        <v>300</v>
      </c>
      <c r="M800" s="428">
        <f>=I800*L800</f>
        <v>300000</v>
      </c>
      <c r="N800" s="82">
        <f>=K800-M800</f>
        <v>1880</v>
      </c>
      <c r="O800" s="64">
        <v>0.3</v>
      </c>
      <c r="P800" s="64">
        <f>=I800*O800*ROUNDUP((A800-B800)/30,0)</f>
        <v>300</v>
      </c>
      <c r="Q800" s="62" t="s"/>
      <c r="R800" s="62" t="s"/>
    </row>
    <row r="801" spans="1:18" ht="15.75" customHeight="true">
      <c r="A801" s="147">
        <v>46149</v>
      </c>
      <c r="B801" s="483">
        <v>46129</v>
      </c>
      <c r="C801" s="87" t="s">
        <v>261</v>
      </c>
      <c r="D801" s="87" t="s">
        <v>260</v>
      </c>
      <c r="E801" s="247" t="s">
        <v>3001</v>
      </c>
      <c r="F801" s="140" t="s">
        <v>428</v>
      </c>
      <c r="G801" s="140" t="s">
        <v>429</v>
      </c>
      <c r="H801" s="140" t="s">
        <v>1824</v>
      </c>
      <c r="I801" s="87">
        <v>1000</v>
      </c>
      <c r="J801" s="249">
        <v>301.88</v>
      </c>
      <c r="K801" s="427">
        <f>=I801*J801</f>
        <v>301880</v>
      </c>
      <c r="L801" s="249">
        <v>300</v>
      </c>
      <c r="M801" s="428">
        <f>=I801*L801</f>
        <v>300000</v>
      </c>
      <c r="N801" s="82">
        <f>=K801-M801</f>
        <v>1880</v>
      </c>
      <c r="O801" s="64">
        <v>0.3</v>
      </c>
      <c r="P801" s="64">
        <f>=I801*O801*ROUNDUP((A801-B801)/30,0)</f>
        <v>300</v>
      </c>
      <c r="Q801" s="62" t="s"/>
      <c r="R801" s="62" t="s"/>
    </row>
    <row r="802" spans="1:18" ht="15.75" customHeight="true">
      <c r="A802" s="147">
        <v>46149</v>
      </c>
      <c r="B802" s="426">
        <v>46022</v>
      </c>
      <c r="C802" s="64" t="s">
        <v>96</v>
      </c>
      <c r="D802" s="64" t="s">
        <v>74</v>
      </c>
      <c r="E802" s="247" t="s">
        <v>3002</v>
      </c>
      <c r="F802" s="64" t="s">
        <v>428</v>
      </c>
      <c r="G802" s="64" t="s">
        <v>449</v>
      </c>
      <c r="H802" s="64" t="s">
        <v>658</v>
      </c>
      <c r="I802" s="64">
        <v>200</v>
      </c>
      <c r="J802" s="87">
        <v>1090</v>
      </c>
      <c r="K802" s="427">
        <f>=I802*J802</f>
        <v>218000</v>
      </c>
      <c r="L802" s="64">
        <v>1053</v>
      </c>
      <c r="M802" s="428">
        <f>=I802*L802</f>
        <v>210600</v>
      </c>
      <c r="N802" s="82">
        <f>=K802-M802</f>
        <v>7400</v>
      </c>
      <c r="O802" s="64">
        <v>0</v>
      </c>
      <c r="P802" s="64">
        <f>=I802*O802*ROUNDUP((A802-B802)/30,0)</f>
        <v>0</v>
      </c>
      <c r="Q802" s="62" t="s"/>
      <c r="R802" s="62" t="s"/>
    </row>
    <row r="803" spans="1:18" ht="15.75" customHeight="true">
      <c r="A803" s="147">
        <v>46150</v>
      </c>
      <c r="B803" s="460">
        <v>46126</v>
      </c>
      <c r="C803" s="80" t="s">
        <v>253</v>
      </c>
      <c r="D803" s="141" t="s">
        <v>252</v>
      </c>
      <c r="E803" s="257" t="s">
        <v>3003</v>
      </c>
      <c r="F803" s="142" t="s">
        <v>428</v>
      </c>
      <c r="G803" s="140" t="s">
        <v>429</v>
      </c>
      <c r="H803" s="140" t="s">
        <v>596</v>
      </c>
      <c r="I803" s="140">
        <v>130</v>
      </c>
      <c r="J803" s="249">
        <v>555.13</v>
      </c>
      <c r="K803" s="427">
        <f>=I803*J803</f>
        <v>72166.9</v>
      </c>
      <c r="L803" s="140">
        <v>550</v>
      </c>
      <c r="M803" s="428">
        <f>=I803*L803</f>
        <v>71500</v>
      </c>
      <c r="N803" s="82">
        <f>=K803-M803</f>
        <v>666.899999999994</v>
      </c>
      <c r="O803" s="64">
        <v>0.3</v>
      </c>
      <c r="P803" s="64">
        <f>=I803*O803*ROUNDUP((A803-B803)/30,0)</f>
        <v>39</v>
      </c>
      <c r="Q803" s="62" t="s"/>
      <c r="R803" s="62" t="s"/>
    </row>
    <row r="804" spans="1:18" ht="15.75" customHeight="true">
      <c r="A804" s="147">
        <v>46150</v>
      </c>
      <c r="B804" s="460">
        <v>46104</v>
      </c>
      <c r="C804" s="80" t="s">
        <v>177</v>
      </c>
      <c r="D804" s="64" t="s">
        <v>135</v>
      </c>
      <c r="E804" s="247" t="s">
        <v>3004</v>
      </c>
      <c r="F804" s="64" t="s">
        <v>741</v>
      </c>
      <c r="G804" s="64" t="s">
        <v>422</v>
      </c>
      <c r="H804" s="64" t="s">
        <v>992</v>
      </c>
      <c r="I804" s="87">
        <v>100</v>
      </c>
      <c r="J804" s="87">
        <v>1013.75</v>
      </c>
      <c r="K804" s="427">
        <f>=I804*J804</f>
        <v>101375</v>
      </c>
      <c r="L804" s="64">
        <v>1000</v>
      </c>
      <c r="M804" s="428">
        <f>=I804*L804</f>
        <v>100000</v>
      </c>
      <c r="N804" s="82">
        <f>=K804-M804</f>
        <v>1375</v>
      </c>
      <c r="O804" s="64">
        <v>1</v>
      </c>
      <c r="P804" s="64">
        <f>=I804*O804*ROUNDUP((A804-B804)/30,0)</f>
        <v>200</v>
      </c>
      <c r="Q804" s="62" t="s"/>
      <c r="R804" s="62" t="s"/>
    </row>
    <row r="805" spans="1:18" ht="15.75" customHeight="true">
      <c r="A805" s="147">
        <v>46150</v>
      </c>
      <c r="B805" s="460">
        <v>46104</v>
      </c>
      <c r="C805" s="80" t="s">
        <v>177</v>
      </c>
      <c r="D805" s="64" t="s">
        <v>135</v>
      </c>
      <c r="E805" s="247" t="s">
        <v>3005</v>
      </c>
      <c r="F805" s="64" t="s">
        <v>741</v>
      </c>
      <c r="G805" s="64" t="s">
        <v>422</v>
      </c>
      <c r="H805" s="64" t="s">
        <v>994</v>
      </c>
      <c r="I805" s="87">
        <v>100</v>
      </c>
      <c r="J805" s="249">
        <v>1266.69</v>
      </c>
      <c r="K805" s="427">
        <f>=I805*J805</f>
        <v>126669</v>
      </c>
      <c r="L805" s="248">
        <v>1250</v>
      </c>
      <c r="M805" s="428">
        <f>=I805*L805</f>
        <v>125000</v>
      </c>
      <c r="N805" s="82">
        <f>=K805-M805</f>
        <v>1669</v>
      </c>
      <c r="O805" s="64">
        <v>1</v>
      </c>
      <c r="P805" s="64">
        <f>=I805*O805*ROUNDUP((A805-B805)/30,0)</f>
        <v>200</v>
      </c>
      <c r="Q805" s="62" t="s"/>
      <c r="R805" s="62" t="s"/>
    </row>
    <row r="806" spans="1:18" ht="15.75" customHeight="true">
      <c r="A806" s="147">
        <v>46150</v>
      </c>
      <c r="B806" s="460">
        <v>46132</v>
      </c>
      <c r="C806" s="80" t="s">
        <v>275</v>
      </c>
      <c r="D806" s="87" t="s">
        <v>272</v>
      </c>
      <c r="E806" s="335" t="s">
        <v>3006</v>
      </c>
      <c r="F806" s="140" t="s">
        <v>428</v>
      </c>
      <c r="G806" s="140" t="s">
        <v>422</v>
      </c>
      <c r="H806" s="308" t="s">
        <v>1888</v>
      </c>
      <c r="I806" s="87">
        <v>5</v>
      </c>
      <c r="J806" s="87">
        <v>3377.46</v>
      </c>
      <c r="K806" s="427">
        <f>=I806*J806</f>
        <v>16887.3</v>
      </c>
      <c r="L806" s="87">
        <v>3360</v>
      </c>
      <c r="M806" s="428">
        <f>=I806*L806</f>
        <v>16800</v>
      </c>
      <c r="N806" s="82">
        <f>=K806-M806</f>
        <v>87.2999999999993</v>
      </c>
      <c r="O806" s="64">
        <v>1</v>
      </c>
      <c r="P806" s="64">
        <f>=I806*O806*ROUNDUP((A806-B806)/30,0)</f>
        <v>5</v>
      </c>
      <c r="Q806" s="62" t="s"/>
      <c r="R806" s="62" t="s"/>
    </row>
    <row r="807" spans="1:18" ht="15.75" customHeight="true">
      <c r="A807" s="147">
        <v>46150</v>
      </c>
      <c r="B807" s="460">
        <v>46132</v>
      </c>
      <c r="C807" s="80" t="s">
        <v>275</v>
      </c>
      <c r="D807" s="87" t="s">
        <v>272</v>
      </c>
      <c r="E807" s="335" t="s">
        <v>3007</v>
      </c>
      <c r="F807" s="140" t="s">
        <v>428</v>
      </c>
      <c r="G807" s="140" t="s">
        <v>422</v>
      </c>
      <c r="H807" s="308" t="s">
        <v>1890</v>
      </c>
      <c r="I807" s="87">
        <v>2</v>
      </c>
      <c r="J807" s="87">
        <v>7004.61</v>
      </c>
      <c r="K807" s="427">
        <f>=I807*J807</f>
        <v>14009.22</v>
      </c>
      <c r="L807" s="87">
        <v>6970</v>
      </c>
      <c r="M807" s="428">
        <f>=I807*L807</f>
        <v>13940</v>
      </c>
      <c r="N807" s="82">
        <f>=K807-M807</f>
        <v>69.2199999999994</v>
      </c>
      <c r="O807" s="64">
        <v>1</v>
      </c>
      <c r="P807" s="64">
        <f>=I807*O807*ROUNDUP((A807-B807)/30,0)</f>
        <v>2</v>
      </c>
      <c r="Q807" s="62" t="s"/>
      <c r="R807" s="62" t="s"/>
    </row>
    <row r="808" spans="1:18" ht="15.75" customHeight="true">
      <c r="A808" s="147">
        <v>46150</v>
      </c>
      <c r="B808" s="460">
        <v>46132</v>
      </c>
      <c r="C808" s="80" t="s">
        <v>275</v>
      </c>
      <c r="D808" s="87" t="s">
        <v>272</v>
      </c>
      <c r="E808" s="335" t="s">
        <v>3008</v>
      </c>
      <c r="F808" s="140" t="s">
        <v>428</v>
      </c>
      <c r="G808" s="140" t="s">
        <v>422</v>
      </c>
      <c r="H808" s="64" t="s">
        <v>1892</v>
      </c>
      <c r="I808" s="87">
        <v>3</v>
      </c>
      <c r="J808" s="87">
        <v>6065.17</v>
      </c>
      <c r="K808" s="427">
        <f>=I808*J808</f>
        <v>18195.51</v>
      </c>
      <c r="L808" s="87">
        <v>6035</v>
      </c>
      <c r="M808" s="428">
        <f>=I808*L808</f>
        <v>18105</v>
      </c>
      <c r="N808" s="82">
        <f>=K808-M808</f>
        <v>90.5100000000021</v>
      </c>
      <c r="O808" s="64">
        <v>1</v>
      </c>
      <c r="P808" s="64">
        <f>=I808*O808*ROUNDUP((A808-B808)/30,0)</f>
        <v>3</v>
      </c>
      <c r="Q808" s="62" t="s"/>
      <c r="R808" s="62" t="s"/>
    </row>
    <row r="809" spans="1:18" ht="15.75" customHeight="true">
      <c r="A809" s="147">
        <v>46150</v>
      </c>
      <c r="B809" s="460">
        <v>46132</v>
      </c>
      <c r="C809" s="80" t="s">
        <v>275</v>
      </c>
      <c r="D809" s="87" t="s">
        <v>272</v>
      </c>
      <c r="E809" s="335" t="s">
        <v>3009</v>
      </c>
      <c r="F809" s="140" t="s">
        <v>428</v>
      </c>
      <c r="G809" s="140" t="s">
        <v>422</v>
      </c>
      <c r="H809" s="259" t="s">
        <v>1894</v>
      </c>
      <c r="I809" s="339">
        <v>6</v>
      </c>
      <c r="J809" s="249">
        <v>2171.76</v>
      </c>
      <c r="K809" s="427">
        <f>=I809*J809</f>
        <v>13030.56</v>
      </c>
      <c r="L809" s="87">
        <v>2160</v>
      </c>
      <c r="M809" s="428">
        <f>=I809*L809</f>
        <v>12960</v>
      </c>
      <c r="N809" s="82">
        <f>=K809-M809</f>
        <v>70.5600000000013</v>
      </c>
      <c r="O809" s="64">
        <v>1</v>
      </c>
      <c r="P809" s="64">
        <f>=I809*O809*ROUNDUP((A809-B809)/30,0)</f>
        <v>6</v>
      </c>
      <c r="Q809" s="62" t="s"/>
      <c r="R809" s="62" t="s"/>
    </row>
    <row r="810" spans="1:18" ht="15.75" customHeight="true">
      <c r="A810" s="147">
        <v>46150</v>
      </c>
      <c r="B810" s="460">
        <v>46132</v>
      </c>
      <c r="C810" s="80" t="s">
        <v>275</v>
      </c>
      <c r="D810" s="87" t="s">
        <v>272</v>
      </c>
      <c r="E810" s="335" t="s">
        <v>3010</v>
      </c>
      <c r="F810" s="140" t="s">
        <v>428</v>
      </c>
      <c r="G810" s="140" t="s">
        <v>422</v>
      </c>
      <c r="H810" s="259" t="s">
        <v>1896</v>
      </c>
      <c r="I810" s="87">
        <v>5</v>
      </c>
      <c r="J810" s="249">
        <v>2493.28</v>
      </c>
      <c r="K810" s="427">
        <f>=I810*J810</f>
        <v>12466.4</v>
      </c>
      <c r="L810" s="87">
        <v>2480</v>
      </c>
      <c r="M810" s="428">
        <f>=I810*L810</f>
        <v>12400</v>
      </c>
      <c r="N810" s="82">
        <f>=K810-M810</f>
        <v>66.4000000000015</v>
      </c>
      <c r="O810" s="64">
        <v>1</v>
      </c>
      <c r="P810" s="64">
        <f>=I810*O810*ROUNDUP((A810-B810)/30,0)</f>
        <v>5</v>
      </c>
      <c r="Q810" s="62" t="s"/>
      <c r="R810" s="62" t="s"/>
    </row>
    <row r="811" spans="1:18" ht="15.75" customHeight="true">
      <c r="A811" s="147">
        <v>46150</v>
      </c>
      <c r="B811" s="460">
        <v>46132</v>
      </c>
      <c r="C811" s="80" t="s">
        <v>275</v>
      </c>
      <c r="D811" s="87" t="s">
        <v>272</v>
      </c>
      <c r="E811" s="335" t="s">
        <v>3011</v>
      </c>
      <c r="F811" s="140" t="s">
        <v>428</v>
      </c>
      <c r="G811" s="140" t="s">
        <v>422</v>
      </c>
      <c r="H811" s="259" t="s">
        <v>1898</v>
      </c>
      <c r="I811" s="339">
        <v>5</v>
      </c>
      <c r="J811" s="249">
        <v>2493.28</v>
      </c>
      <c r="K811" s="427">
        <f>=I811*J811</f>
        <v>12466.4</v>
      </c>
      <c r="L811" s="87">
        <v>2480</v>
      </c>
      <c r="M811" s="428">
        <f>=I811*L811</f>
        <v>12400</v>
      </c>
      <c r="N811" s="82">
        <f>=K811-M811</f>
        <v>66.4000000000015</v>
      </c>
      <c r="O811" s="64">
        <v>1</v>
      </c>
      <c r="P811" s="64">
        <f>=I811*O811*ROUNDUP((A811-B811)/30,0)</f>
        <v>5</v>
      </c>
      <c r="Q811" s="62" t="s"/>
      <c r="R811" s="62" t="s"/>
    </row>
    <row r="812" spans="1:18" ht="15.75" customHeight="true">
      <c r="A812" s="147">
        <v>46150</v>
      </c>
      <c r="B812" s="460">
        <v>46132</v>
      </c>
      <c r="C812" s="80" t="s">
        <v>275</v>
      </c>
      <c r="D812" s="87" t="s">
        <v>272</v>
      </c>
      <c r="E812" s="335" t="s">
        <v>3012</v>
      </c>
      <c r="F812" s="140" t="s">
        <v>428</v>
      </c>
      <c r="G812" s="140" t="s">
        <v>422</v>
      </c>
      <c r="H812" s="259" t="s">
        <v>1900</v>
      </c>
      <c r="I812" s="87">
        <v>5</v>
      </c>
      <c r="J812" s="339">
        <v>2493.28</v>
      </c>
      <c r="K812" s="427">
        <f>=I812*J812</f>
        <v>12466.4</v>
      </c>
      <c r="L812" s="87">
        <v>2480</v>
      </c>
      <c r="M812" s="428">
        <f>=I812*L812</f>
        <v>12400</v>
      </c>
      <c r="N812" s="82">
        <f>=K812-M812</f>
        <v>66.4000000000015</v>
      </c>
      <c r="O812" s="64">
        <v>1</v>
      </c>
      <c r="P812" s="64">
        <f>=I812*O812*ROUNDUP((A812-B812)/30,0)</f>
        <v>5</v>
      </c>
      <c r="Q812" s="62" t="s"/>
      <c r="R812" s="62" t="s"/>
    </row>
    <row r="813" spans="1:18" ht="15.75" customHeight="true">
      <c r="A813" s="147">
        <v>46150</v>
      </c>
      <c r="B813" s="460">
        <v>46132</v>
      </c>
      <c r="C813" s="80" t="s">
        <v>275</v>
      </c>
      <c r="D813" s="87" t="s">
        <v>272</v>
      </c>
      <c r="E813" s="335" t="s">
        <v>3013</v>
      </c>
      <c r="F813" s="140" t="s">
        <v>428</v>
      </c>
      <c r="G813" s="140" t="s">
        <v>422</v>
      </c>
      <c r="H813" s="259" t="s">
        <v>1902</v>
      </c>
      <c r="I813" s="87">
        <v>5</v>
      </c>
      <c r="J813" s="339">
        <v>2493.28</v>
      </c>
      <c r="K813" s="427">
        <f>=I813*J813</f>
        <v>12466.4</v>
      </c>
      <c r="L813" s="87">
        <v>2480</v>
      </c>
      <c r="M813" s="428">
        <f>=I813*L813</f>
        <v>12400</v>
      </c>
      <c r="N813" s="82">
        <f>=K813-M813</f>
        <v>66.4000000000015</v>
      </c>
      <c r="O813" s="64">
        <v>1</v>
      </c>
      <c r="P813" s="64">
        <f>=I813*O813*ROUNDUP((A813-B813)/30,0)</f>
        <v>5</v>
      </c>
      <c r="Q813" s="62" t="s"/>
      <c r="R813" s="62" t="s"/>
    </row>
    <row r="814" spans="1:18" ht="15.75" customHeight="true">
      <c r="A814" s="147">
        <v>46150</v>
      </c>
      <c r="B814" s="460">
        <v>46132</v>
      </c>
      <c r="C814" s="80" t="s">
        <v>275</v>
      </c>
      <c r="D814" s="87" t="s">
        <v>272</v>
      </c>
      <c r="E814" s="335" t="s">
        <v>3014</v>
      </c>
      <c r="F814" s="140" t="s">
        <v>428</v>
      </c>
      <c r="G814" s="140" t="s">
        <v>422</v>
      </c>
      <c r="H814" s="140" t="s">
        <v>1904</v>
      </c>
      <c r="I814" s="87">
        <v>5</v>
      </c>
      <c r="J814" s="339">
        <v>1890.43</v>
      </c>
      <c r="K814" s="427">
        <f>=I814*J814</f>
        <v>9452.15</v>
      </c>
      <c r="L814" s="87">
        <v>1880</v>
      </c>
      <c r="M814" s="428">
        <f>=I814*L814</f>
        <v>9400</v>
      </c>
      <c r="N814" s="82">
        <f>=K814-M814</f>
        <v>52.1499999999996</v>
      </c>
      <c r="O814" s="64">
        <v>1</v>
      </c>
      <c r="P814" s="64">
        <f>=I814*O814*ROUNDUP((A814-B814)/30,0)</f>
        <v>5</v>
      </c>
      <c r="Q814" s="62" t="s"/>
      <c r="R814" s="62" t="s"/>
    </row>
    <row r="815" spans="1:18" ht="15.75" customHeight="true">
      <c r="A815" s="147">
        <v>46150</v>
      </c>
      <c r="B815" s="460">
        <v>46132</v>
      </c>
      <c r="C815" s="80" t="s">
        <v>275</v>
      </c>
      <c r="D815" s="87" t="s">
        <v>272</v>
      </c>
      <c r="E815" s="335" t="s">
        <v>3015</v>
      </c>
      <c r="F815" s="140" t="s">
        <v>428</v>
      </c>
      <c r="G815" s="140" t="s">
        <v>422</v>
      </c>
      <c r="H815" s="140" t="s">
        <v>1906</v>
      </c>
      <c r="I815" s="339">
        <v>5</v>
      </c>
      <c r="J815" s="339">
        <v>1890.43</v>
      </c>
      <c r="K815" s="427">
        <f>=I815*J815</f>
        <v>9452.15</v>
      </c>
      <c r="L815" s="87">
        <v>1880</v>
      </c>
      <c r="M815" s="428">
        <f>=I815*L815</f>
        <v>9400</v>
      </c>
      <c r="N815" s="82">
        <f>=K815-M815</f>
        <v>52.1499999999996</v>
      </c>
      <c r="O815" s="64">
        <v>1</v>
      </c>
      <c r="P815" s="64">
        <f>=I815*O815*ROUNDUP((A815-B815)/30,0)</f>
        <v>5</v>
      </c>
      <c r="Q815" s="62" t="s"/>
      <c r="R815" s="62" t="s"/>
    </row>
    <row r="816" spans="1:18" ht="15.75" customHeight="true">
      <c r="A816" s="147">
        <v>46150</v>
      </c>
      <c r="B816" s="460">
        <v>46132</v>
      </c>
      <c r="C816" s="80" t="s">
        <v>275</v>
      </c>
      <c r="D816" s="87" t="s">
        <v>272</v>
      </c>
      <c r="E816" s="335" t="s">
        <v>3016</v>
      </c>
      <c r="F816" s="140" t="s">
        <v>428</v>
      </c>
      <c r="G816" s="140" t="s">
        <v>422</v>
      </c>
      <c r="H816" s="140" t="s">
        <v>1908</v>
      </c>
      <c r="I816" s="339">
        <v>5</v>
      </c>
      <c r="J816" s="249">
        <v>1890.43</v>
      </c>
      <c r="K816" s="427">
        <f>=I816*J816</f>
        <v>9452.15</v>
      </c>
      <c r="L816" s="87">
        <v>1880</v>
      </c>
      <c r="M816" s="428">
        <f>=I816*L816</f>
        <v>9400</v>
      </c>
      <c r="N816" s="82">
        <f>=K816-M816</f>
        <v>52.1499999999996</v>
      </c>
      <c r="O816" s="64">
        <v>1</v>
      </c>
      <c r="P816" s="64">
        <f>=I816*O816*ROUNDUP((A816-B816)/30,0)</f>
        <v>5</v>
      </c>
      <c r="Q816" s="62" t="s"/>
      <c r="R816" s="62" t="s"/>
    </row>
    <row r="817" spans="1:18" ht="15.75" customHeight="true">
      <c r="A817" s="147">
        <v>46150</v>
      </c>
      <c r="B817" s="460">
        <v>46132</v>
      </c>
      <c r="C817" s="80" t="s">
        <v>275</v>
      </c>
      <c r="D817" s="87" t="s">
        <v>272</v>
      </c>
      <c r="E817" s="335" t="s">
        <v>3017</v>
      </c>
      <c r="F817" s="140" t="s">
        <v>428</v>
      </c>
      <c r="G817" s="140" t="s">
        <v>422</v>
      </c>
      <c r="H817" s="140" t="s">
        <v>1910</v>
      </c>
      <c r="I817" s="87">
        <v>8</v>
      </c>
      <c r="J817" s="87">
        <v>1649.29</v>
      </c>
      <c r="K817" s="427">
        <f>=I817*J817</f>
        <v>13194.32</v>
      </c>
      <c r="L817" s="87">
        <v>1640</v>
      </c>
      <c r="M817" s="428">
        <f>=I817*L817</f>
        <v>13120</v>
      </c>
      <c r="N817" s="82">
        <f>=K817-M817</f>
        <v>74.3199999999997</v>
      </c>
      <c r="O817" s="64">
        <v>1</v>
      </c>
      <c r="P817" s="64">
        <f>=I817*O817*ROUNDUP((A817-B817)/30,0)</f>
        <v>8</v>
      </c>
      <c r="Q817" s="62" t="s"/>
      <c r="R817" s="62" t="s"/>
    </row>
    <row r="818" spans="1:18" ht="15.75" customHeight="true">
      <c r="A818" s="147">
        <v>46150</v>
      </c>
      <c r="B818" s="460">
        <v>46132</v>
      </c>
      <c r="C818" s="80" t="s">
        <v>275</v>
      </c>
      <c r="D818" s="87" t="s">
        <v>272</v>
      </c>
      <c r="E818" s="335" t="s">
        <v>3018</v>
      </c>
      <c r="F818" s="140" t="s">
        <v>428</v>
      </c>
      <c r="G818" s="140" t="s">
        <v>422</v>
      </c>
      <c r="H818" s="140" t="s">
        <v>1914</v>
      </c>
      <c r="I818" s="87">
        <v>6</v>
      </c>
      <c r="J818" s="87">
        <v>1649.29</v>
      </c>
      <c r="K818" s="427">
        <f>=I818*J818</f>
        <v>9895.74</v>
      </c>
      <c r="L818" s="87">
        <v>1640</v>
      </c>
      <c r="M818" s="428">
        <f>=I818*L818</f>
        <v>9840</v>
      </c>
      <c r="N818" s="82">
        <f>=K818-M818</f>
        <v>55.7399999999998</v>
      </c>
      <c r="O818" s="64">
        <v>1</v>
      </c>
      <c r="P818" s="64">
        <f>=I818*O818*ROUNDUP((A818-B818)/30,0)</f>
        <v>6</v>
      </c>
      <c r="Q818" s="62" t="s"/>
      <c r="R818" s="62" t="s"/>
    </row>
    <row r="819" spans="1:18" ht="15.75" customHeight="true">
      <c r="A819" s="147">
        <v>46150</v>
      </c>
      <c r="B819" s="460">
        <v>46130</v>
      </c>
      <c r="C819" s="80" t="s">
        <v>273</v>
      </c>
      <c r="D819" s="87" t="s">
        <v>272</v>
      </c>
      <c r="E819" s="335" t="s">
        <v>3019</v>
      </c>
      <c r="F819" s="140" t="s">
        <v>428</v>
      </c>
      <c r="G819" s="140" t="s">
        <v>422</v>
      </c>
      <c r="H819" s="140" t="s">
        <v>1916</v>
      </c>
      <c r="I819" s="339">
        <v>5</v>
      </c>
      <c r="J819" s="249">
        <v>3163.01</v>
      </c>
      <c r="K819" s="427">
        <f>=I819*J819</f>
        <v>15815.05</v>
      </c>
      <c r="L819" s="87">
        <v>3145</v>
      </c>
      <c r="M819" s="428">
        <f>=I819*L819</f>
        <v>15725</v>
      </c>
      <c r="N819" s="82">
        <f>=K819-M819</f>
        <v>90.0500000000011</v>
      </c>
      <c r="O819" s="64">
        <v>1</v>
      </c>
      <c r="P819" s="64">
        <f>=I819*O819*ROUNDUP((A819-B819)/30,0)</f>
        <v>5</v>
      </c>
      <c r="Q819" s="62" t="s"/>
      <c r="R819" s="62" t="s"/>
    </row>
    <row r="820" spans="1:18" ht="15.75" customHeight="true">
      <c r="A820" s="147">
        <v>46150</v>
      </c>
      <c r="B820" s="460">
        <v>46130</v>
      </c>
      <c r="C820" s="80" t="s">
        <v>273</v>
      </c>
      <c r="D820" s="87" t="s">
        <v>272</v>
      </c>
      <c r="E820" s="335" t="s">
        <v>3020</v>
      </c>
      <c r="F820" s="140" t="s">
        <v>428</v>
      </c>
      <c r="G820" s="140" t="s">
        <v>422</v>
      </c>
      <c r="H820" s="140" t="s">
        <v>1918</v>
      </c>
      <c r="I820" s="64">
        <v>5</v>
      </c>
      <c r="J820" s="339">
        <v>3163.01</v>
      </c>
      <c r="K820" s="427">
        <f>=I820*J820</f>
        <v>15815.05</v>
      </c>
      <c r="L820" s="87">
        <v>3145</v>
      </c>
      <c r="M820" s="428">
        <f>=I820*L820</f>
        <v>15725</v>
      </c>
      <c r="N820" s="82">
        <f>=K820-M820</f>
        <v>90.0500000000011</v>
      </c>
      <c r="O820" s="64">
        <v>1</v>
      </c>
      <c r="P820" s="64">
        <f>=I820*O820*ROUNDUP((A820-B820)/30,0)</f>
        <v>5</v>
      </c>
      <c r="Q820" s="62" t="s"/>
      <c r="R820" s="62" t="s"/>
    </row>
    <row r="821" spans="1:18" ht="15.75" customHeight="true">
      <c r="A821" s="147">
        <v>46151</v>
      </c>
      <c r="B821" s="460">
        <v>46132</v>
      </c>
      <c r="C821" s="80" t="s">
        <v>275</v>
      </c>
      <c r="D821" s="87" t="s">
        <v>272</v>
      </c>
      <c r="E821" s="335" t="s">
        <v>3021</v>
      </c>
      <c r="F821" s="140" t="s">
        <v>428</v>
      </c>
      <c r="G821" s="140" t="s">
        <v>422</v>
      </c>
      <c r="H821" s="140" t="s">
        <v>1882</v>
      </c>
      <c r="I821" s="87">
        <v>5</v>
      </c>
      <c r="J821" s="339">
        <v>4317.98</v>
      </c>
      <c r="K821" s="427">
        <f>=I821*J821</f>
        <v>21589.9</v>
      </c>
      <c r="L821" s="87">
        <v>4295</v>
      </c>
      <c r="M821" s="428">
        <f>=I821*L821</f>
        <v>21475</v>
      </c>
      <c r="N821" s="82">
        <f>=K821-M821</f>
        <v>114.899999999998</v>
      </c>
      <c r="O821" s="64">
        <v>1</v>
      </c>
      <c r="P821" s="64">
        <f>=I821*O821*ROUNDUP((A821-B821)/30,0)</f>
        <v>5</v>
      </c>
      <c r="Q821" s="62" t="s"/>
      <c r="R821" s="62" t="s"/>
    </row>
    <row r="822" spans="1:18" ht="15.75" customHeight="true">
      <c r="A822" s="147">
        <v>46151</v>
      </c>
      <c r="B822" s="460">
        <v>46132</v>
      </c>
      <c r="C822" s="80" t="s">
        <v>275</v>
      </c>
      <c r="D822" s="87" t="s">
        <v>272</v>
      </c>
      <c r="E822" s="335" t="s">
        <v>3022</v>
      </c>
      <c r="F822" s="140" t="s">
        <v>428</v>
      </c>
      <c r="G822" s="140" t="s">
        <v>422</v>
      </c>
      <c r="H822" s="140" t="s">
        <v>1884</v>
      </c>
      <c r="I822" s="87">
        <v>7</v>
      </c>
      <c r="J822" s="339">
        <v>4317.98</v>
      </c>
      <c r="K822" s="427">
        <f>=I822*J822</f>
        <v>30225.86</v>
      </c>
      <c r="L822" s="87">
        <v>4295</v>
      </c>
      <c r="M822" s="428">
        <f>=I822*L822</f>
        <v>30065</v>
      </c>
      <c r="N822" s="82">
        <f>=K822-M822</f>
        <v>160.859999999997</v>
      </c>
      <c r="O822" s="64">
        <v>1</v>
      </c>
      <c r="P822" s="64">
        <f>=I822*O822*ROUNDUP((A822-B822)/30,0)</f>
        <v>7</v>
      </c>
      <c r="Q822" s="62" t="s"/>
      <c r="R822" s="62" t="s"/>
    </row>
    <row r="823" spans="1:18" ht="15.75" customHeight="true">
      <c r="A823" s="147">
        <v>46151</v>
      </c>
      <c r="B823" s="460">
        <v>46132</v>
      </c>
      <c r="C823" s="80" t="s">
        <v>275</v>
      </c>
      <c r="D823" s="87" t="s">
        <v>272</v>
      </c>
      <c r="E823" s="335" t="s">
        <v>3023</v>
      </c>
      <c r="F823" s="140" t="s">
        <v>428</v>
      </c>
      <c r="G823" s="140" t="s">
        <v>422</v>
      </c>
      <c r="H823" s="308" t="s">
        <v>1886</v>
      </c>
      <c r="I823" s="87">
        <v>6</v>
      </c>
      <c r="J823" s="339">
        <v>4317.98</v>
      </c>
      <c r="K823" s="427">
        <f>=I823*J823</f>
        <v>25907.88</v>
      </c>
      <c r="L823" s="87">
        <v>4295</v>
      </c>
      <c r="M823" s="428">
        <f>=I823*L823</f>
        <v>25770</v>
      </c>
      <c r="N823" s="82">
        <f>=K823-M823</f>
        <v>137.879999999997</v>
      </c>
      <c r="O823" s="64">
        <v>1</v>
      </c>
      <c r="P823" s="64">
        <f>=I823*O823*ROUNDUP((A823-B823)/30,0)</f>
        <v>6</v>
      </c>
      <c r="Q823" s="62" t="s"/>
      <c r="R823" s="62" t="s"/>
    </row>
    <row r="824" spans="1:18" ht="15.75" customHeight="true">
      <c r="A824" s="147">
        <v>46151</v>
      </c>
      <c r="B824" s="460">
        <v>46132</v>
      </c>
      <c r="C824" s="80" t="s">
        <v>275</v>
      </c>
      <c r="D824" s="87" t="s">
        <v>272</v>
      </c>
      <c r="E824" s="335" t="s">
        <v>3024</v>
      </c>
      <c r="F824" s="140" t="s">
        <v>428</v>
      </c>
      <c r="G824" s="140" t="s">
        <v>422</v>
      </c>
      <c r="H824" s="308" t="s">
        <v>1890</v>
      </c>
      <c r="I824" s="339">
        <v>1</v>
      </c>
      <c r="J824" s="87">
        <v>7006.35</v>
      </c>
      <c r="K824" s="427">
        <f>=I824*J824</f>
        <v>7006.35</v>
      </c>
      <c r="L824" s="87">
        <v>6970</v>
      </c>
      <c r="M824" s="428">
        <f>=I824*L824</f>
        <v>6970</v>
      </c>
      <c r="N824" s="82">
        <f>=K824-M824</f>
        <v>36.3500000000004</v>
      </c>
      <c r="O824" s="64">
        <v>1</v>
      </c>
      <c r="P824" s="64">
        <f>=I824*O824*ROUNDUP((A824-B824)/30,0)</f>
        <v>1</v>
      </c>
      <c r="Q824" s="62" t="s"/>
      <c r="R824" s="62" t="s"/>
    </row>
    <row r="825" spans="1:18" ht="15.75" customHeight="true">
      <c r="A825" s="147">
        <v>46151</v>
      </c>
      <c r="B825" s="460">
        <v>46132</v>
      </c>
      <c r="C825" s="80" t="s">
        <v>275</v>
      </c>
      <c r="D825" s="87" t="s">
        <v>272</v>
      </c>
      <c r="E825" s="335" t="s">
        <v>3025</v>
      </c>
      <c r="F825" s="140" t="s">
        <v>428</v>
      </c>
      <c r="G825" s="140" t="s">
        <v>422</v>
      </c>
      <c r="H825" s="64" t="s">
        <v>1892</v>
      </c>
      <c r="I825" s="339">
        <v>3</v>
      </c>
      <c r="J825" s="249">
        <v>6066.68</v>
      </c>
      <c r="K825" s="427">
        <f>=I825*J825</f>
        <v>18200.04</v>
      </c>
      <c r="L825" s="87">
        <v>6035</v>
      </c>
      <c r="M825" s="428">
        <f>=I825*L825</f>
        <v>18105</v>
      </c>
      <c r="N825" s="82">
        <f>=K825-M825</f>
        <v>95.0400000000009</v>
      </c>
      <c r="O825" s="64">
        <v>1</v>
      </c>
      <c r="P825" s="64">
        <f>=I825*O825*ROUNDUP((A825-B825)/30,0)</f>
        <v>3</v>
      </c>
      <c r="Q825" s="62" t="s"/>
      <c r="R825" s="62" t="s"/>
    </row>
    <row r="826" spans="1:18" ht="15.75" customHeight="true">
      <c r="A826" s="147">
        <v>46151</v>
      </c>
      <c r="B826" s="460">
        <v>46132</v>
      </c>
      <c r="C826" s="80" t="s">
        <v>275</v>
      </c>
      <c r="D826" s="87" t="s">
        <v>272</v>
      </c>
      <c r="E826" s="335" t="s">
        <v>3026</v>
      </c>
      <c r="F826" s="140" t="s">
        <v>428</v>
      </c>
      <c r="G826" s="140" t="s">
        <v>422</v>
      </c>
      <c r="H826" s="259" t="s">
        <v>1896</v>
      </c>
      <c r="I826" s="87">
        <v>5</v>
      </c>
      <c r="J826" s="339">
        <v>2493.9</v>
      </c>
      <c r="K826" s="427">
        <f>=I826*J826</f>
        <v>12469.5</v>
      </c>
      <c r="L826" s="87">
        <v>2480</v>
      </c>
      <c r="M826" s="428">
        <f>=I826*L826</f>
        <v>12400</v>
      </c>
      <c r="N826" s="82">
        <f>=K826-M826</f>
        <v>69.5</v>
      </c>
      <c r="O826" s="64">
        <v>1</v>
      </c>
      <c r="P826" s="64">
        <f>=I826*O826*ROUNDUP((A826-B826)/30,0)</f>
        <v>5</v>
      </c>
      <c r="Q826" s="62" t="s"/>
      <c r="R826" s="62" t="s"/>
    </row>
    <row r="827" spans="1:18" ht="15.75" customHeight="true">
      <c r="A827" s="147">
        <v>46151</v>
      </c>
      <c r="B827" s="460">
        <v>46132</v>
      </c>
      <c r="C827" s="80" t="s">
        <v>275</v>
      </c>
      <c r="D827" s="87" t="s">
        <v>272</v>
      </c>
      <c r="E827" s="335" t="s">
        <v>3027</v>
      </c>
      <c r="F827" s="140" t="s">
        <v>428</v>
      </c>
      <c r="G827" s="140" t="s">
        <v>422</v>
      </c>
      <c r="H827" s="259" t="s">
        <v>1898</v>
      </c>
      <c r="I827" s="87">
        <v>4</v>
      </c>
      <c r="J827" s="339">
        <v>2493.9</v>
      </c>
      <c r="K827" s="427">
        <f>=I827*J827</f>
        <v>9975.6</v>
      </c>
      <c r="L827" s="87">
        <v>2480</v>
      </c>
      <c r="M827" s="428">
        <f>=I827*L827</f>
        <v>9920</v>
      </c>
      <c r="N827" s="82">
        <f>=K827-M827</f>
        <v>55.6000000000004</v>
      </c>
      <c r="O827" s="64">
        <v>1</v>
      </c>
      <c r="P827" s="64">
        <f>=I827*O827*ROUNDUP((A827-B827)/30,0)</f>
        <v>4</v>
      </c>
      <c r="Q827" s="62" t="s"/>
      <c r="R827" s="62" t="s"/>
    </row>
    <row r="828" spans="1:18" ht="15.75" customHeight="true">
      <c r="A828" s="147">
        <v>46151</v>
      </c>
      <c r="B828" s="460">
        <v>46132</v>
      </c>
      <c r="C828" s="80" t="s">
        <v>275</v>
      </c>
      <c r="D828" s="87" t="s">
        <v>272</v>
      </c>
      <c r="E828" s="335" t="s">
        <v>3028</v>
      </c>
      <c r="F828" s="140" t="s">
        <v>428</v>
      </c>
      <c r="G828" s="140" t="s">
        <v>422</v>
      </c>
      <c r="H828" s="259" t="s">
        <v>1900</v>
      </c>
      <c r="I828" s="339">
        <v>5</v>
      </c>
      <c r="J828" s="249">
        <v>2493.9</v>
      </c>
      <c r="K828" s="427">
        <f>=I828*J828</f>
        <v>12469.5</v>
      </c>
      <c r="L828" s="87">
        <v>2480</v>
      </c>
      <c r="M828" s="428">
        <f>=I828*L828</f>
        <v>12400</v>
      </c>
      <c r="N828" s="82">
        <f>=K828-M828</f>
        <v>69.5</v>
      </c>
      <c r="O828" s="64">
        <v>1</v>
      </c>
      <c r="P828" s="64">
        <f>=I828*O828*ROUNDUP((A828-B828)/30,0)</f>
        <v>5</v>
      </c>
      <c r="Q828" s="62" t="s"/>
      <c r="R828" s="62" t="s"/>
    </row>
    <row r="829" spans="1:18" ht="15.75" customHeight="true">
      <c r="A829" s="147">
        <v>46151</v>
      </c>
      <c r="B829" s="460">
        <v>46132</v>
      </c>
      <c r="C829" s="80" t="s">
        <v>275</v>
      </c>
      <c r="D829" s="87" t="s">
        <v>272</v>
      </c>
      <c r="E829" s="335" t="s">
        <v>3029</v>
      </c>
      <c r="F829" s="140" t="s">
        <v>428</v>
      </c>
      <c r="G829" s="140" t="s">
        <v>422</v>
      </c>
      <c r="H829" s="140" t="s">
        <v>1912</v>
      </c>
      <c r="I829" s="64">
        <v>6</v>
      </c>
      <c r="J829" s="339">
        <v>1649.7</v>
      </c>
      <c r="K829" s="427">
        <f>=I829*J829</f>
        <v>9898.2</v>
      </c>
      <c r="L829" s="87">
        <v>1640</v>
      </c>
      <c r="M829" s="428">
        <f>=I829*L829</f>
        <v>9840</v>
      </c>
      <c r="N829" s="82">
        <f>=K829-M829</f>
        <v>58.2000000000007</v>
      </c>
      <c r="O829" s="64">
        <v>1</v>
      </c>
      <c r="P829" s="64">
        <f>=I829*O829*ROUNDUP((A829-B829)/30,0)</f>
        <v>6</v>
      </c>
      <c r="Q829" s="62" t="s"/>
      <c r="R829" s="62" t="s"/>
    </row>
    <row r="830" spans="1:18" ht="15.75" customHeight="true">
      <c r="A830" s="147">
        <v>46151</v>
      </c>
      <c r="B830" s="460">
        <v>46130</v>
      </c>
      <c r="C830" s="80" t="s">
        <v>273</v>
      </c>
      <c r="D830" s="87" t="s">
        <v>272</v>
      </c>
      <c r="E830" s="335" t="s">
        <v>3030</v>
      </c>
      <c r="F830" s="140" t="s">
        <v>428</v>
      </c>
      <c r="G830" s="140" t="s">
        <v>422</v>
      </c>
      <c r="H830" s="140" t="s">
        <v>1916</v>
      </c>
      <c r="I830" s="87">
        <v>5</v>
      </c>
      <c r="J830" s="339">
        <v>3163.8</v>
      </c>
      <c r="K830" s="427">
        <f>=I830*J830</f>
        <v>15819</v>
      </c>
      <c r="L830" s="87">
        <v>3145</v>
      </c>
      <c r="M830" s="428">
        <f>=I830*L830</f>
        <v>15725</v>
      </c>
      <c r="N830" s="82">
        <f>=K830-M830</f>
        <v>94</v>
      </c>
      <c r="O830" s="64">
        <v>1</v>
      </c>
      <c r="P830" s="64">
        <f>=I830*O830*ROUNDUP((A830-B830)/30,0)</f>
        <v>5</v>
      </c>
      <c r="Q830" s="62" t="s"/>
      <c r="R830" s="62" t="s"/>
    </row>
    <row r="831" spans="1:18" ht="15.75" customHeight="true">
      <c r="A831" s="147">
        <v>46151</v>
      </c>
      <c r="B831" s="460">
        <v>46130</v>
      </c>
      <c r="C831" s="80" t="s">
        <v>273</v>
      </c>
      <c r="D831" s="87" t="s">
        <v>272</v>
      </c>
      <c r="E831" s="335" t="s">
        <v>3031</v>
      </c>
      <c r="F831" s="140" t="s">
        <v>428</v>
      </c>
      <c r="G831" s="140" t="s">
        <v>422</v>
      </c>
      <c r="H831" s="140" t="s">
        <v>1918</v>
      </c>
      <c r="I831" s="339">
        <v>3</v>
      </c>
      <c r="J831" s="249">
        <v>3163.8</v>
      </c>
      <c r="K831" s="427">
        <f>=I831*J831</f>
        <v>9491.4</v>
      </c>
      <c r="L831" s="87">
        <v>3145</v>
      </c>
      <c r="M831" s="428">
        <f>=I831*L831</f>
        <v>9435</v>
      </c>
      <c r="N831" s="82">
        <f>=K831-M831</f>
        <v>56.4000000000015</v>
      </c>
      <c r="O831" s="64">
        <v>1</v>
      </c>
      <c r="P831" s="64">
        <f>=I831*O831*ROUNDUP((A831-B831)/30,0)</f>
        <v>3</v>
      </c>
      <c r="Q831" s="62" t="s"/>
      <c r="R831" s="62" t="s"/>
    </row>
    <row r="832" spans="1:18" ht="15.75" customHeight="true">
      <c r="A832" s="147">
        <v>46151</v>
      </c>
      <c r="B832" s="460">
        <v>46130</v>
      </c>
      <c r="C832" s="80" t="s">
        <v>273</v>
      </c>
      <c r="D832" s="87" t="s">
        <v>272</v>
      </c>
      <c r="E832" s="335" t="s">
        <v>3032</v>
      </c>
      <c r="F832" s="140" t="s">
        <v>428</v>
      </c>
      <c r="G832" s="140" t="s">
        <v>422</v>
      </c>
      <c r="H832" s="140" t="s">
        <v>1920</v>
      </c>
      <c r="I832" s="87">
        <v>5</v>
      </c>
      <c r="J832" s="339">
        <v>3676.6</v>
      </c>
      <c r="K832" s="427">
        <f>=I832*J832</f>
        <v>18383</v>
      </c>
      <c r="L832" s="87">
        <v>3655</v>
      </c>
      <c r="M832" s="428">
        <f>=I832*L832</f>
        <v>18275</v>
      </c>
      <c r="N832" s="82">
        <f>=K832-M832</f>
        <v>108</v>
      </c>
      <c r="O832" s="64">
        <v>1</v>
      </c>
      <c r="P832" s="64">
        <f>=I832*O832*ROUNDUP((A832-B832)/30,0)</f>
        <v>5</v>
      </c>
      <c r="Q832" s="62" t="s"/>
      <c r="R832" s="62" t="s"/>
    </row>
    <row r="833" spans="1:18" ht="15.75" customHeight="true">
      <c r="A833" s="147">
        <v>46151</v>
      </c>
      <c r="B833" s="460">
        <v>46131</v>
      </c>
      <c r="C833" s="80" t="s">
        <v>274</v>
      </c>
      <c r="D833" s="87" t="s">
        <v>272</v>
      </c>
      <c r="E833" s="335" t="s">
        <v>3033</v>
      </c>
      <c r="F833" s="140" t="s">
        <v>428</v>
      </c>
      <c r="G833" s="140" t="s">
        <v>422</v>
      </c>
      <c r="H833" s="140" t="s">
        <v>1922</v>
      </c>
      <c r="I833" s="87">
        <v>10</v>
      </c>
      <c r="J833" s="339">
        <v>740.36</v>
      </c>
      <c r="K833" s="427">
        <f>=I833*J833</f>
        <v>7403.6</v>
      </c>
      <c r="L833" s="87">
        <v>735</v>
      </c>
      <c r="M833" s="428">
        <f>=I833*L833</f>
        <v>7350</v>
      </c>
      <c r="N833" s="82">
        <f>=K833-M833</f>
        <v>53.6000000000004</v>
      </c>
      <c r="O833" s="64">
        <v>1</v>
      </c>
      <c r="P833" s="64">
        <f>=I833*O833*ROUNDUP((A833-B833)/30,0)</f>
        <v>10</v>
      </c>
      <c r="Q833" s="62" t="s"/>
      <c r="R833" s="62" t="s"/>
    </row>
    <row r="834" spans="1:18" ht="15.75" customHeight="true">
      <c r="A834" s="147">
        <v>46151</v>
      </c>
      <c r="B834" s="460">
        <v>46105</v>
      </c>
      <c r="C834" s="80" t="s">
        <v>184</v>
      </c>
      <c r="D834" s="64" t="s">
        <v>138</v>
      </c>
      <c r="E834" s="471" t="s">
        <v>3034</v>
      </c>
      <c r="F834" s="64" t="s">
        <v>864</v>
      </c>
      <c r="G834" s="64" t="s">
        <v>422</v>
      </c>
      <c r="H834" s="64" t="s">
        <v>1020</v>
      </c>
      <c r="I834" s="87">
        <v>39</v>
      </c>
      <c r="J834" s="87">
        <v>1824.15</v>
      </c>
      <c r="K834" s="427">
        <f>=I834*J834</f>
        <v>71141.85</v>
      </c>
      <c r="L834" s="64">
        <v>1800</v>
      </c>
      <c r="M834" s="428">
        <f>=I834*L834</f>
        <v>70200</v>
      </c>
      <c r="N834" s="82">
        <f>=K834-M834</f>
        <v>941.850000000006</v>
      </c>
      <c r="O834" s="64">
        <v>1</v>
      </c>
      <c r="P834" s="64">
        <f>=I834*O834*ROUNDUP((A834-B834)/30,0)</f>
        <v>78</v>
      </c>
      <c r="Q834" s="62" t="s"/>
      <c r="R834" s="62" t="s"/>
    </row>
    <row r="835" spans="1:18" ht="15.75" customHeight="true">
      <c r="A835" s="147">
        <v>46151</v>
      </c>
      <c r="B835" s="460">
        <v>46107</v>
      </c>
      <c r="C835" s="80" t="s">
        <v>193</v>
      </c>
      <c r="D835" s="64" t="s">
        <v>138</v>
      </c>
      <c r="E835" s="471" t="s">
        <v>3035</v>
      </c>
      <c r="F835" s="64" t="s">
        <v>864</v>
      </c>
      <c r="G835" s="64" t="s">
        <v>422</v>
      </c>
      <c r="H835" s="64" t="s">
        <v>1107</v>
      </c>
      <c r="I835" s="87">
        <v>80</v>
      </c>
      <c r="J835" s="87">
        <v>1823.25</v>
      </c>
      <c r="K835" s="427">
        <f>=I835*J835</f>
        <v>145860</v>
      </c>
      <c r="L835" s="64">
        <v>1800</v>
      </c>
      <c r="M835" s="428">
        <f>=I835*L835</f>
        <v>144000</v>
      </c>
      <c r="N835" s="82">
        <f>=K835-M835</f>
        <v>1860</v>
      </c>
      <c r="O835" s="64">
        <v>1</v>
      </c>
      <c r="P835" s="64">
        <f>=I835*O835*ROUNDUP((A835-B835)/30,0)</f>
        <v>160</v>
      </c>
      <c r="Q835" s="62" t="s"/>
      <c r="R835" s="62" t="s"/>
    </row>
    <row r="836" spans="1:18" ht="15.75" customHeight="true">
      <c r="A836" s="147">
        <v>46151</v>
      </c>
      <c r="B836" s="426">
        <v>46111</v>
      </c>
      <c r="C836" s="64" t="s">
        <v>214</v>
      </c>
      <c r="D836" s="94" t="s">
        <v>201</v>
      </c>
      <c r="E836" s="308" t="s">
        <v>3036</v>
      </c>
      <c r="F836" s="64" t="s">
        <v>421</v>
      </c>
      <c r="G836" s="64" t="s">
        <v>422</v>
      </c>
      <c r="H836" s="87" t="s">
        <v>1169</v>
      </c>
      <c r="I836" s="87">
        <v>100</v>
      </c>
      <c r="J836" s="87">
        <v>7877</v>
      </c>
      <c r="K836" s="427">
        <f>=I836*J836</f>
        <v>787700</v>
      </c>
      <c r="L836" s="140">
        <v>7800</v>
      </c>
      <c r="M836" s="428">
        <f>=I836*L836</f>
        <v>780000</v>
      </c>
      <c r="N836" s="82">
        <f>=K836-M836</f>
        <v>7700</v>
      </c>
      <c r="O836" s="64">
        <v>1</v>
      </c>
      <c r="P836" s="64">
        <f>=I836*O836*ROUNDUP((A836-B836)/30,0)</f>
        <v>200</v>
      </c>
      <c r="Q836" s="62" t="s"/>
      <c r="R836" s="62" t="s"/>
    </row>
    <row r="837" spans="1:18" ht="15.75" customHeight="true">
      <c r="A837" s="147">
        <v>46152</v>
      </c>
      <c r="B837" s="460">
        <v>46141</v>
      </c>
      <c r="C837" s="80" t="s">
        <v>303</v>
      </c>
      <c r="D837" s="94" t="s">
        <v>294</v>
      </c>
      <c r="E837" s="335" t="s">
        <v>3037</v>
      </c>
      <c r="F837" s="259" t="s">
        <v>864</v>
      </c>
      <c r="G837" s="259" t="s">
        <v>422</v>
      </c>
      <c r="H837" s="259" t="s">
        <v>867</v>
      </c>
      <c r="I837" s="64">
        <v>900</v>
      </c>
      <c r="J837" s="87">
        <v>1907.2</v>
      </c>
      <c r="K837" s="427">
        <f>=I837*J837</f>
        <v>1716480</v>
      </c>
      <c r="L837" s="64">
        <v>1900</v>
      </c>
      <c r="M837" s="428">
        <f>=I837*L837</f>
        <v>1710000</v>
      </c>
      <c r="N837" s="82">
        <f>=K837-M837</f>
        <v>6480</v>
      </c>
      <c r="O837" s="64">
        <v>1</v>
      </c>
      <c r="P837" s="64">
        <f>=I837*O837*ROUNDUP((A837-B837)/30,0)</f>
        <v>900</v>
      </c>
      <c r="Q837" s="62" t="s"/>
      <c r="R837" s="62" t="s"/>
    </row>
    <row r="838" spans="1:18" ht="15.75" customHeight="true">
      <c r="A838" s="147">
        <v>46152</v>
      </c>
      <c r="B838" s="483">
        <v>46135</v>
      </c>
      <c r="C838" s="87" t="s">
        <v>283</v>
      </c>
      <c r="D838" s="308" t="s">
        <v>281</v>
      </c>
      <c r="E838" s="335" t="s">
        <v>3038</v>
      </c>
      <c r="F838" s="87" t="s">
        <v>895</v>
      </c>
      <c r="G838" s="87" t="s">
        <v>422</v>
      </c>
      <c r="H838" s="336" t="s">
        <v>1985</v>
      </c>
      <c r="I838" s="140">
        <v>50</v>
      </c>
      <c r="J838" s="87">
        <v>1583.59</v>
      </c>
      <c r="K838" s="427">
        <f>=I838*J838</f>
        <v>79179.5</v>
      </c>
      <c r="L838" s="87">
        <v>1575</v>
      </c>
      <c r="M838" s="428">
        <f>=I838*L838</f>
        <v>78750</v>
      </c>
      <c r="N838" s="82">
        <f>=K838-M838</f>
        <v>429.5</v>
      </c>
      <c r="O838" s="64">
        <v>1</v>
      </c>
      <c r="P838" s="64">
        <f>=I838*O838*ROUNDUP((A838-B838)/30,0)</f>
        <v>50</v>
      </c>
      <c r="Q838" s="62" t="s"/>
      <c r="R838" s="62" t="s"/>
    </row>
    <row r="839" spans="1:18" ht="15.75" customHeight="true">
      <c r="A839" s="147">
        <v>46153</v>
      </c>
      <c r="B839" s="460">
        <v>46142</v>
      </c>
      <c r="C839" s="80" t="s">
        <v>306</v>
      </c>
      <c r="D839" s="308" t="s">
        <v>305</v>
      </c>
      <c r="E839" s="335" t="s">
        <v>3039</v>
      </c>
      <c r="F839" s="87" t="s">
        <v>2041</v>
      </c>
      <c r="G839" s="87" t="s">
        <v>470</v>
      </c>
      <c r="H839" s="64" t="s">
        <v>2046</v>
      </c>
      <c r="I839" s="249">
        <v>33</v>
      </c>
      <c r="J839" s="87">
        <v>6661.92</v>
      </c>
      <c r="K839" s="427">
        <f>=I839*J839</f>
        <v>219843.36</v>
      </c>
      <c r="L839" s="87">
        <v>6640</v>
      </c>
      <c r="M839" s="428">
        <f>=I839*L839</f>
        <v>219120</v>
      </c>
      <c r="N839" s="82">
        <f>=K839-M839</f>
        <v>723.360000000015</v>
      </c>
      <c r="O839" s="64">
        <v>1.5</v>
      </c>
      <c r="P839" s="64">
        <f>=I839*O839*ROUNDUP((A839-B839)/30,0)</f>
        <v>49.5</v>
      </c>
      <c r="Q839" s="62" t="s"/>
      <c r="R839" s="62" t="s"/>
    </row>
    <row r="840" spans="1:18" ht="15.75" customHeight="true">
      <c r="A840" s="147">
        <v>46153</v>
      </c>
      <c r="B840" s="460">
        <v>46143</v>
      </c>
      <c r="C840" s="80" t="s">
        <v>308</v>
      </c>
      <c r="D840" s="308" t="s">
        <v>305</v>
      </c>
      <c r="E840" s="335" t="s">
        <v>3040</v>
      </c>
      <c r="F840" s="87" t="s">
        <v>2041</v>
      </c>
      <c r="G840" s="87" t="s">
        <v>470</v>
      </c>
      <c r="H840" s="64" t="s">
        <v>2046</v>
      </c>
      <c r="I840" s="87">
        <v>17</v>
      </c>
      <c r="J840" s="87">
        <v>6660.26</v>
      </c>
      <c r="K840" s="427">
        <f>=I840*J840</f>
        <v>113224.42</v>
      </c>
      <c r="L840" s="249">
        <v>6640</v>
      </c>
      <c r="M840" s="428">
        <f>=I840*L840</f>
        <v>112880</v>
      </c>
      <c r="N840" s="82">
        <f>=K840-M840</f>
        <v>344.419999999998</v>
      </c>
      <c r="O840" s="64">
        <v>1.5</v>
      </c>
      <c r="P840" s="64">
        <f>=I840*O840*ROUNDUP((A840-B840)/30,0)</f>
        <v>25.5</v>
      </c>
      <c r="Q840" s="62" t="s"/>
      <c r="R840" s="62" t="s"/>
    </row>
    <row r="841" spans="1:18" ht="15.75" customHeight="true">
      <c r="A841" s="147">
        <v>46153</v>
      </c>
      <c r="B841" s="460">
        <v>46143</v>
      </c>
      <c r="C841" s="80" t="s">
        <v>308</v>
      </c>
      <c r="D841" s="308" t="s">
        <v>305</v>
      </c>
      <c r="E841" s="335" t="s">
        <v>3040</v>
      </c>
      <c r="F841" s="87" t="s">
        <v>2041</v>
      </c>
      <c r="G841" s="87" t="s">
        <v>470</v>
      </c>
      <c r="H841" s="64" t="s">
        <v>2046</v>
      </c>
      <c r="I841" s="87">
        <v>50</v>
      </c>
      <c r="J841" s="87">
        <v>6660.26</v>
      </c>
      <c r="K841" s="427">
        <f>=I841*J841</f>
        <v>333013</v>
      </c>
      <c r="L841" s="249">
        <v>6640</v>
      </c>
      <c r="M841" s="428">
        <f>=I841*L841</f>
        <v>332000</v>
      </c>
      <c r="N841" s="82">
        <f>=K841-M841</f>
        <v>1013</v>
      </c>
      <c r="O841" s="64">
        <v>1.5</v>
      </c>
      <c r="P841" s="64">
        <f>=I841*O841*ROUNDUP((A841-B841)/30,0)</f>
        <v>75</v>
      </c>
      <c r="Q841" s="62" t="s"/>
      <c r="R841" s="62" t="s"/>
    </row>
    <row r="842" spans="1:18" ht="15.75" customHeight="true">
      <c r="A842" s="147">
        <v>46153</v>
      </c>
      <c r="B842" s="460">
        <v>46143</v>
      </c>
      <c r="C842" s="80" t="s">
        <v>308</v>
      </c>
      <c r="D842" s="308" t="s">
        <v>305</v>
      </c>
      <c r="E842" s="335" t="s">
        <v>3041</v>
      </c>
      <c r="F842" s="87" t="s">
        <v>2041</v>
      </c>
      <c r="G842" s="87" t="s">
        <v>470</v>
      </c>
      <c r="H842" s="64" t="s">
        <v>2048</v>
      </c>
      <c r="I842" s="87">
        <v>50</v>
      </c>
      <c r="J842" s="87">
        <v>6419.6</v>
      </c>
      <c r="K842" s="427">
        <f>=I842*J842</f>
        <v>320980</v>
      </c>
      <c r="L842" s="308">
        <v>6400</v>
      </c>
      <c r="M842" s="428">
        <f>=I842*L842</f>
        <v>320000</v>
      </c>
      <c r="N842" s="82">
        <f>=K842-M842</f>
        <v>980</v>
      </c>
      <c r="O842" s="64">
        <v>1.5</v>
      </c>
      <c r="P842" s="64">
        <f>=I842*O842*ROUNDUP((A842-B842)/30,0)</f>
        <v>75</v>
      </c>
      <c r="Q842" s="62" t="s"/>
      <c r="R842" s="62" t="s"/>
    </row>
    <row r="843" spans="1:18" ht="15.75" customHeight="true">
      <c r="A843" s="147">
        <v>46154</v>
      </c>
      <c r="B843" s="460">
        <v>46132</v>
      </c>
      <c r="C843" s="80" t="s">
        <v>275</v>
      </c>
      <c r="D843" s="87" t="s">
        <v>272</v>
      </c>
      <c r="E843" s="335" t="s">
        <v>3042</v>
      </c>
      <c r="F843" s="140" t="s">
        <v>428</v>
      </c>
      <c r="G843" s="140" t="s">
        <v>422</v>
      </c>
      <c r="H843" s="140" t="s">
        <v>1882</v>
      </c>
      <c r="I843" s="87">
        <v>5</v>
      </c>
      <c r="J843" s="87">
        <v>4321.2</v>
      </c>
      <c r="K843" s="427">
        <f>=I843*J843</f>
        <v>21606</v>
      </c>
      <c r="L843" s="87">
        <v>4295</v>
      </c>
      <c r="M843" s="428">
        <f>=I843*L843</f>
        <v>21475</v>
      </c>
      <c r="N843" s="82">
        <f>=K843-M843</f>
        <v>131</v>
      </c>
      <c r="O843" s="64">
        <v>1</v>
      </c>
      <c r="P843" s="64">
        <f>=I843*O843*ROUNDUP((A843-B843)/30,0)</f>
        <v>5</v>
      </c>
      <c r="Q843" s="62" t="s"/>
      <c r="R843" s="62" t="s"/>
    </row>
    <row r="844" spans="1:18" ht="15.75" customHeight="true">
      <c r="A844" s="147">
        <v>46154</v>
      </c>
      <c r="B844" s="460">
        <v>46132</v>
      </c>
      <c r="C844" s="80" t="s">
        <v>275</v>
      </c>
      <c r="D844" s="87" t="s">
        <v>272</v>
      </c>
      <c r="E844" s="335" t="s">
        <v>3043</v>
      </c>
      <c r="F844" s="140" t="s">
        <v>428</v>
      </c>
      <c r="G844" s="140" t="s">
        <v>422</v>
      </c>
      <c r="H844" s="308" t="s">
        <v>1886</v>
      </c>
      <c r="I844" s="87">
        <v>4</v>
      </c>
      <c r="J844" s="87">
        <v>4321.2</v>
      </c>
      <c r="K844" s="427">
        <f>=I844*J844</f>
        <v>17284.8</v>
      </c>
      <c r="L844" s="87">
        <v>4295</v>
      </c>
      <c r="M844" s="428">
        <f>=I844*L844</f>
        <v>17180</v>
      </c>
      <c r="N844" s="82">
        <f>=K844-M844</f>
        <v>104.799999999999</v>
      </c>
      <c r="O844" s="64">
        <v>1</v>
      </c>
      <c r="P844" s="64">
        <f>=I844*O844*ROUNDUP((A844-B844)/30,0)</f>
        <v>4</v>
      </c>
      <c r="Q844" s="62" t="s"/>
      <c r="R844" s="62" t="s"/>
    </row>
    <row r="845" spans="1:18" ht="15.75" customHeight="true">
      <c r="A845" s="147">
        <v>46154</v>
      </c>
      <c r="B845" s="460">
        <v>46132</v>
      </c>
      <c r="C845" s="80" t="s">
        <v>275</v>
      </c>
      <c r="D845" s="87" t="s">
        <v>272</v>
      </c>
      <c r="E845" s="335" t="s">
        <v>3044</v>
      </c>
      <c r="F845" s="140" t="s">
        <v>428</v>
      </c>
      <c r="G845" s="140" t="s">
        <v>422</v>
      </c>
      <c r="H845" s="259" t="s">
        <v>1900</v>
      </c>
      <c r="I845" s="87">
        <v>8</v>
      </c>
      <c r="J845" s="87">
        <v>2495.76</v>
      </c>
      <c r="K845" s="427">
        <f>=I845*J845</f>
        <v>19966.08</v>
      </c>
      <c r="L845" s="87">
        <v>2480</v>
      </c>
      <c r="M845" s="428">
        <f>=I845*L845</f>
        <v>19840</v>
      </c>
      <c r="N845" s="82">
        <f>=K845-M845</f>
        <v>126.080000000002</v>
      </c>
      <c r="O845" s="64">
        <v>1</v>
      </c>
      <c r="P845" s="64">
        <f>=I845*O845*ROUNDUP((A845-B845)/30,0)</f>
        <v>8</v>
      </c>
      <c r="Q845" s="62" t="s"/>
      <c r="R845" s="62" t="s"/>
    </row>
    <row r="846" spans="1:18" ht="15.75" customHeight="true">
      <c r="A846" s="147">
        <v>46154</v>
      </c>
      <c r="B846" s="460">
        <v>46132</v>
      </c>
      <c r="C846" s="80" t="s">
        <v>275</v>
      </c>
      <c r="D846" s="87" t="s">
        <v>272</v>
      </c>
      <c r="E846" s="335" t="s">
        <v>3045</v>
      </c>
      <c r="F846" s="140" t="s">
        <v>428</v>
      </c>
      <c r="G846" s="140" t="s">
        <v>422</v>
      </c>
      <c r="H846" s="259" t="s">
        <v>1902</v>
      </c>
      <c r="I846" s="87">
        <v>15</v>
      </c>
      <c r="J846" s="87">
        <v>2495.76</v>
      </c>
      <c r="K846" s="427">
        <f>=I846*J846</f>
        <v>37436.4</v>
      </c>
      <c r="L846" s="87">
        <v>2480</v>
      </c>
      <c r="M846" s="428">
        <f>=I846*L846</f>
        <v>37200</v>
      </c>
      <c r="N846" s="82">
        <f>=K846-M846</f>
        <v>236.400000000001</v>
      </c>
      <c r="O846" s="64">
        <v>1</v>
      </c>
      <c r="P846" s="64">
        <f>=I846*O846*ROUNDUP((A846-B846)/30,0)</f>
        <v>15</v>
      </c>
      <c r="Q846" s="62" t="s"/>
      <c r="R846" s="62" t="s"/>
    </row>
    <row r="847" spans="1:18" ht="15.75" customHeight="true">
      <c r="A847" s="147">
        <v>46154</v>
      </c>
      <c r="B847" s="460">
        <v>46132</v>
      </c>
      <c r="C847" s="80" t="s">
        <v>275</v>
      </c>
      <c r="D847" s="87" t="s">
        <v>272</v>
      </c>
      <c r="E847" s="335" t="s">
        <v>3046</v>
      </c>
      <c r="F847" s="140" t="s">
        <v>428</v>
      </c>
      <c r="G847" s="140" t="s">
        <v>422</v>
      </c>
      <c r="H847" s="140" t="s">
        <v>1908</v>
      </c>
      <c r="I847" s="87">
        <v>11</v>
      </c>
      <c r="J847" s="87">
        <v>1892.31</v>
      </c>
      <c r="K847" s="427">
        <f>=I847*J847</f>
        <v>20815.41</v>
      </c>
      <c r="L847" s="87">
        <v>1880</v>
      </c>
      <c r="M847" s="428">
        <f>=I847*L847</f>
        <v>20680</v>
      </c>
      <c r="N847" s="82">
        <f>=K847-M847</f>
        <v>135.41</v>
      </c>
      <c r="O847" s="64">
        <v>1</v>
      </c>
      <c r="P847" s="64">
        <f>=I847*O847*ROUNDUP((A847-B847)/30,0)</f>
        <v>11</v>
      </c>
      <c r="Q847" s="62" t="s"/>
      <c r="R847" s="62" t="s"/>
    </row>
    <row r="848" spans="1:18" ht="15.75" customHeight="true">
      <c r="A848" s="147">
        <v>46154</v>
      </c>
      <c r="B848" s="460">
        <v>46132</v>
      </c>
      <c r="C848" s="80" t="s">
        <v>275</v>
      </c>
      <c r="D848" s="87" t="s">
        <v>272</v>
      </c>
      <c r="E848" s="335" t="s">
        <v>3047</v>
      </c>
      <c r="F848" s="140" t="s">
        <v>428</v>
      </c>
      <c r="G848" s="140" t="s">
        <v>422</v>
      </c>
      <c r="H848" s="140" t="s">
        <v>1912</v>
      </c>
      <c r="I848" s="87">
        <v>8</v>
      </c>
      <c r="J848" s="87">
        <v>1650.93</v>
      </c>
      <c r="K848" s="427">
        <f>=I848*J848</f>
        <v>13207.44</v>
      </c>
      <c r="L848" s="87">
        <v>1640</v>
      </c>
      <c r="M848" s="428">
        <f>=I848*L848</f>
        <v>13120</v>
      </c>
      <c r="N848" s="82">
        <f>=K848-M848</f>
        <v>87.4400000000005</v>
      </c>
      <c r="O848" s="64">
        <v>1</v>
      </c>
      <c r="P848" s="64">
        <f>=I848*O848*ROUNDUP((A848-B848)/30,0)</f>
        <v>8</v>
      </c>
      <c r="Q848" s="62" t="s"/>
      <c r="R848" s="62" t="s"/>
    </row>
    <row r="849" spans="1:18" ht="15.75" customHeight="true">
      <c r="A849" s="147">
        <v>46154</v>
      </c>
      <c r="B849" s="460">
        <v>46132</v>
      </c>
      <c r="C849" s="80" t="s">
        <v>275</v>
      </c>
      <c r="D849" s="87" t="s">
        <v>272</v>
      </c>
      <c r="E849" s="335" t="s">
        <v>3048</v>
      </c>
      <c r="F849" s="140" t="s">
        <v>428</v>
      </c>
      <c r="G849" s="140" t="s">
        <v>422</v>
      </c>
      <c r="H849" s="140" t="s">
        <v>1914</v>
      </c>
      <c r="I849" s="87">
        <v>14</v>
      </c>
      <c r="J849" s="87">
        <v>1650.93</v>
      </c>
      <c r="K849" s="427">
        <f>=I849*J849</f>
        <v>23113.02</v>
      </c>
      <c r="L849" s="87">
        <v>1640</v>
      </c>
      <c r="M849" s="428">
        <f>=I849*L849</f>
        <v>22960</v>
      </c>
      <c r="N849" s="82">
        <f>=K849-M849</f>
        <v>153.02</v>
      </c>
      <c r="O849" s="64">
        <v>1</v>
      </c>
      <c r="P849" s="64">
        <f>=I849*O849*ROUNDUP((A849-B849)/30,0)</f>
        <v>14</v>
      </c>
      <c r="Q849" s="62" t="s"/>
      <c r="R849" s="62" t="s"/>
    </row>
    <row r="850" spans="1:18" ht="15.75" customHeight="true">
      <c r="A850" s="147">
        <v>46154</v>
      </c>
      <c r="B850" s="460">
        <v>46143</v>
      </c>
      <c r="C850" s="80" t="s">
        <v>308</v>
      </c>
      <c r="D850" s="308" t="s">
        <v>305</v>
      </c>
      <c r="E850" s="335" t="s">
        <v>3049</v>
      </c>
      <c r="F850" s="87" t="s">
        <v>2041</v>
      </c>
      <c r="G850" s="87" t="s">
        <v>470</v>
      </c>
      <c r="H850" s="64" t="s">
        <v>2048</v>
      </c>
      <c r="I850" s="87">
        <v>50</v>
      </c>
      <c r="J850" s="87">
        <v>6421.2</v>
      </c>
      <c r="K850" s="427">
        <f>=I850*J850</f>
        <v>321060</v>
      </c>
      <c r="L850" s="308">
        <v>6400</v>
      </c>
      <c r="M850" s="428">
        <f>=I850*L850</f>
        <v>320000</v>
      </c>
      <c r="N850" s="82">
        <f>=K850-M850</f>
        <v>1060</v>
      </c>
      <c r="O850" s="64">
        <v>1.5</v>
      </c>
      <c r="P850" s="64">
        <f>=I850*O850*ROUNDUP((A850-B850)/30,0)</f>
        <v>75</v>
      </c>
      <c r="Q850" s="62" t="s"/>
      <c r="R850" s="62" t="s"/>
    </row>
    <row r="851" spans="1:18" ht="15.75" customHeight="true">
      <c r="A851" s="147">
        <v>46154</v>
      </c>
      <c r="B851" s="426">
        <v>46059</v>
      </c>
      <c r="C851" s="64" t="s">
        <v>122</v>
      </c>
      <c r="D851" s="64" t="s">
        <v>121</v>
      </c>
      <c r="E851" s="335" t="s">
        <v>3050</v>
      </c>
      <c r="F851" s="64" t="s">
        <v>428</v>
      </c>
      <c r="G851" s="64" t="s">
        <v>422</v>
      </c>
      <c r="H851" s="64" t="s">
        <v>839</v>
      </c>
      <c r="I851" s="64">
        <v>1400</v>
      </c>
      <c r="J851" s="87">
        <v>846.47</v>
      </c>
      <c r="K851" s="427">
        <f>=I851*J851</f>
        <v>1185058</v>
      </c>
      <c r="L851" s="64">
        <v>820</v>
      </c>
      <c r="M851" s="428">
        <f>=I851*L851</f>
        <v>1148000</v>
      </c>
      <c r="N851" s="82">
        <f>=K851-M851</f>
        <v>37058</v>
      </c>
      <c r="O851" s="64">
        <v>1</v>
      </c>
      <c r="P851" s="64">
        <f>=I851*O851*ROUNDUP((A851-B851)/30,0)</f>
        <v>5600</v>
      </c>
      <c r="Q851" s="62" t="s"/>
      <c r="R851" s="62" t="s"/>
    </row>
    <row r="852" spans="1:18" ht="15.75" customHeight="true">
      <c r="A852" s="147">
        <v>46154</v>
      </c>
      <c r="B852" s="426">
        <v>46059</v>
      </c>
      <c r="C852" s="64" t="s">
        <v>122</v>
      </c>
      <c r="D852" s="64" t="s">
        <v>121</v>
      </c>
      <c r="E852" s="335" t="s">
        <v>3051</v>
      </c>
      <c r="F852" s="64" t="s">
        <v>428</v>
      </c>
      <c r="G852" s="64" t="s">
        <v>422</v>
      </c>
      <c r="H852" s="64" t="s">
        <v>841</v>
      </c>
      <c r="I852" s="64">
        <v>300</v>
      </c>
      <c r="J852" s="249">
        <v>846.47</v>
      </c>
      <c r="K852" s="427">
        <f>=I852*J852</f>
        <v>253941</v>
      </c>
      <c r="L852" s="64">
        <v>820</v>
      </c>
      <c r="M852" s="428">
        <f>=I852*L852</f>
        <v>246000</v>
      </c>
      <c r="N852" s="82">
        <f>=K852-M852</f>
        <v>7941</v>
      </c>
      <c r="O852" s="64">
        <v>1</v>
      </c>
      <c r="P852" s="64">
        <f>=I852*O852*ROUNDUP((A852-B852)/30,0)</f>
        <v>1200</v>
      </c>
      <c r="Q852" s="62" t="s"/>
      <c r="R852" s="62" t="s"/>
    </row>
    <row r="853" spans="1:18" ht="15.75" customHeight="true">
      <c r="A853" s="147">
        <v>46154</v>
      </c>
      <c r="B853" s="483">
        <v>46135</v>
      </c>
      <c r="C853" s="87" t="s">
        <v>283</v>
      </c>
      <c r="D853" s="308" t="s">
        <v>281</v>
      </c>
      <c r="E853" s="335" t="s">
        <v>3052</v>
      </c>
      <c r="F853" s="97" t="s">
        <v>1438</v>
      </c>
      <c r="G853" s="97" t="s">
        <v>422</v>
      </c>
      <c r="H853" s="338" t="s">
        <v>1991</v>
      </c>
      <c r="I853" s="140">
        <v>13</v>
      </c>
      <c r="J853" s="339">
        <v>3378.3</v>
      </c>
      <c r="K853" s="427">
        <f>=I853*J853</f>
        <v>43917.9</v>
      </c>
      <c r="L853" s="87">
        <v>3360</v>
      </c>
      <c r="M853" s="428">
        <f>=I853*L853</f>
        <v>43680</v>
      </c>
      <c r="N853" s="82">
        <f>=K853-M853</f>
        <v>237.900000000001</v>
      </c>
      <c r="O853" s="64">
        <v>1</v>
      </c>
      <c r="P853" s="64">
        <f>=I853*O853*ROUNDUP((A853-B853)/30,0)</f>
        <v>13</v>
      </c>
      <c r="Q853" s="62" t="s"/>
      <c r="R853" s="62" t="s"/>
    </row>
    <row r="854" spans="1:18" ht="15.75" customHeight="true">
      <c r="A854" s="147">
        <v>46155</v>
      </c>
      <c r="B854" s="426">
        <v>46100</v>
      </c>
      <c r="C854" s="64" t="s">
        <v>161</v>
      </c>
      <c r="D854" s="64" t="s">
        <v>150</v>
      </c>
      <c r="E854" s="471" t="s">
        <v>3053</v>
      </c>
      <c r="F854" s="259" t="s">
        <v>895</v>
      </c>
      <c r="G854" s="259" t="s">
        <v>422</v>
      </c>
      <c r="H854" s="259" t="s">
        <v>935</v>
      </c>
      <c r="I854" s="87">
        <v>2</v>
      </c>
      <c r="J854" s="87">
        <v>2112.12</v>
      </c>
      <c r="K854" s="427">
        <f>=I854*J854</f>
        <v>4224.24</v>
      </c>
      <c r="L854" s="64">
        <v>2080</v>
      </c>
      <c r="M854" s="428">
        <f>=I854*L854</f>
        <v>4160</v>
      </c>
      <c r="N854" s="82">
        <f>=K854-M854</f>
        <v>64.2399999999998</v>
      </c>
      <c r="O854" s="64">
        <v>1</v>
      </c>
      <c r="P854" s="64">
        <f>=I854*O854*ROUNDUP((A854-B854)/30,0)</f>
        <v>4</v>
      </c>
      <c r="Q854" s="62" t="s"/>
      <c r="R854" s="62" t="s"/>
    </row>
    <row r="855" spans="1:18" ht="15.75" customHeight="true">
      <c r="A855" s="147">
        <v>46155</v>
      </c>
      <c r="B855" s="426">
        <v>46100</v>
      </c>
      <c r="C855" s="64" t="s">
        <v>161</v>
      </c>
      <c r="D855" s="64" t="s">
        <v>150</v>
      </c>
      <c r="E855" s="471" t="s">
        <v>3054</v>
      </c>
      <c r="F855" s="259" t="s">
        <v>895</v>
      </c>
      <c r="G855" s="259" t="s">
        <v>422</v>
      </c>
      <c r="H855" s="259" t="s">
        <v>937</v>
      </c>
      <c r="I855" s="87">
        <v>11</v>
      </c>
      <c r="J855" s="87">
        <v>2355.48</v>
      </c>
      <c r="K855" s="427">
        <f>=I855*J855</f>
        <v>25910.28</v>
      </c>
      <c r="L855" s="64">
        <v>2320</v>
      </c>
      <c r="M855" s="428">
        <f>=I855*L855</f>
        <v>25520</v>
      </c>
      <c r="N855" s="82">
        <f>=K855-M855</f>
        <v>390.279999999999</v>
      </c>
      <c r="O855" s="64">
        <v>1</v>
      </c>
      <c r="P855" s="64">
        <f>=I855*O855*ROUNDUP((A855-B855)/30,0)</f>
        <v>22</v>
      </c>
      <c r="Q855" s="62" t="s"/>
      <c r="R855" s="62" t="s"/>
    </row>
    <row r="856" spans="1:18" ht="15.75" customHeight="true">
      <c r="A856" s="147">
        <v>46155</v>
      </c>
      <c r="B856" s="426">
        <v>46100</v>
      </c>
      <c r="C856" s="64" t="s">
        <v>161</v>
      </c>
      <c r="D856" s="64" t="s">
        <v>150</v>
      </c>
      <c r="E856" s="471" t="s">
        <v>3055</v>
      </c>
      <c r="F856" s="259" t="s">
        <v>895</v>
      </c>
      <c r="G856" s="259" t="s">
        <v>422</v>
      </c>
      <c r="H856" s="259" t="s">
        <v>939</v>
      </c>
      <c r="I856" s="87">
        <v>20</v>
      </c>
      <c r="J856" s="87">
        <v>2355.48</v>
      </c>
      <c r="K856" s="427">
        <f>=I856*J856</f>
        <v>47109.6</v>
      </c>
      <c r="L856" s="64">
        <v>2320</v>
      </c>
      <c r="M856" s="428">
        <f>=I856*L856</f>
        <v>46400</v>
      </c>
      <c r="N856" s="82">
        <f>=K856-M856</f>
        <v>709.599999999999</v>
      </c>
      <c r="O856" s="64">
        <v>1</v>
      </c>
      <c r="P856" s="64">
        <f>=I856*O856*ROUNDUP((A856-B856)/30,0)</f>
        <v>40</v>
      </c>
      <c r="Q856" s="62" t="s"/>
      <c r="R856" s="62" t="s"/>
    </row>
    <row r="857" spans="1:18" ht="15.75" customHeight="true">
      <c r="A857" s="147">
        <v>46155</v>
      </c>
      <c r="B857" s="426">
        <v>46100</v>
      </c>
      <c r="C857" s="64" t="s">
        <v>161</v>
      </c>
      <c r="D857" s="64" t="s">
        <v>150</v>
      </c>
      <c r="E857" s="471" t="s">
        <v>3056</v>
      </c>
      <c r="F857" s="259" t="s">
        <v>895</v>
      </c>
      <c r="G857" s="259" t="s">
        <v>422</v>
      </c>
      <c r="H857" s="259" t="s">
        <v>941</v>
      </c>
      <c r="I857" s="87">
        <v>13</v>
      </c>
      <c r="J857" s="87">
        <v>2112.12</v>
      </c>
      <c r="K857" s="427">
        <f>=I857*J857</f>
        <v>27457.56</v>
      </c>
      <c r="L857" s="64">
        <v>2080</v>
      </c>
      <c r="M857" s="428">
        <f>=I857*L857</f>
        <v>27040</v>
      </c>
      <c r="N857" s="82">
        <f>=K857-M857</f>
        <v>417.559999999998</v>
      </c>
      <c r="O857" s="64">
        <v>1</v>
      </c>
      <c r="P857" s="64">
        <f>=I857*O857*ROUNDUP((A857-B857)/30,0)</f>
        <v>26</v>
      </c>
      <c r="Q857" s="62" t="s"/>
      <c r="R857" s="62" t="s"/>
    </row>
    <row r="858" spans="1:18" ht="15.75" customHeight="true">
      <c r="A858" s="147">
        <v>46155</v>
      </c>
      <c r="B858" s="426">
        <v>46100</v>
      </c>
      <c r="C858" s="64" t="s">
        <v>161</v>
      </c>
      <c r="D858" s="64" t="s">
        <v>150</v>
      </c>
      <c r="E858" s="477" t="s">
        <v>3057</v>
      </c>
      <c r="F858" s="259" t="s">
        <v>895</v>
      </c>
      <c r="G858" s="259" t="s">
        <v>422</v>
      </c>
      <c r="H858" s="259" t="s">
        <v>943</v>
      </c>
      <c r="I858" s="87">
        <v>4</v>
      </c>
      <c r="J858" s="87">
        <v>2355.48</v>
      </c>
      <c r="K858" s="427">
        <f>=I858*J858</f>
        <v>9421.92</v>
      </c>
      <c r="L858" s="64">
        <v>2320</v>
      </c>
      <c r="M858" s="428">
        <f>=I858*L858</f>
        <v>9280</v>
      </c>
      <c r="N858" s="82">
        <f>=K858-M858</f>
        <v>141.92</v>
      </c>
      <c r="O858" s="64">
        <v>1</v>
      </c>
      <c r="P858" s="64">
        <f>=I858*O858*ROUNDUP((A858-B858)/30,0)</f>
        <v>8</v>
      </c>
      <c r="Q858" s="62" t="s"/>
      <c r="R858" s="62" t="s"/>
    </row>
    <row r="859" spans="1:18" ht="15.75" customHeight="true">
      <c r="A859" s="147">
        <v>46155</v>
      </c>
      <c r="B859" s="426">
        <v>46100</v>
      </c>
      <c r="C859" s="64" t="s">
        <v>161</v>
      </c>
      <c r="D859" s="64" t="s">
        <v>150</v>
      </c>
      <c r="E859" s="471" t="s">
        <v>3058</v>
      </c>
      <c r="F859" s="259" t="s">
        <v>895</v>
      </c>
      <c r="G859" s="259" t="s">
        <v>422</v>
      </c>
      <c r="H859" s="259" t="s">
        <v>3059</v>
      </c>
      <c r="I859" s="87">
        <v>300</v>
      </c>
      <c r="J859" s="87">
        <v>1098.12</v>
      </c>
      <c r="K859" s="427">
        <f>=I859*J859</f>
        <v>329436</v>
      </c>
      <c r="L859" s="64">
        <v>1080</v>
      </c>
      <c r="M859" s="428">
        <f>=I859*L859</f>
        <v>324000</v>
      </c>
      <c r="N859" s="82">
        <f>=K859-M859</f>
        <v>5435.99999999994</v>
      </c>
      <c r="O859" s="64">
        <v>1</v>
      </c>
      <c r="P859" s="64">
        <f>=I859*O859*ROUNDUP((A859-B859)/30,0)</f>
        <v>600</v>
      </c>
      <c r="Q859" s="62" t="s"/>
      <c r="R859" s="62" t="s"/>
    </row>
    <row r="860" spans="1:18" ht="15.75" customHeight="true">
      <c r="A860" s="147">
        <v>46155</v>
      </c>
      <c r="B860" s="460">
        <v>46101</v>
      </c>
      <c r="C860" s="80" t="s">
        <v>162</v>
      </c>
      <c r="D860" s="64" t="s">
        <v>150</v>
      </c>
      <c r="E860" s="471" t="s">
        <v>3060</v>
      </c>
      <c r="F860" s="259" t="s">
        <v>895</v>
      </c>
      <c r="G860" s="259" t="s">
        <v>422</v>
      </c>
      <c r="H860" s="259" t="s">
        <v>949</v>
      </c>
      <c r="I860" s="87">
        <v>31</v>
      </c>
      <c r="J860" s="87">
        <v>1097.85</v>
      </c>
      <c r="K860" s="427">
        <f>=I860*J860</f>
        <v>34033.35</v>
      </c>
      <c r="L860" s="94">
        <v>1080</v>
      </c>
      <c r="M860" s="428">
        <f>=I860*L860</f>
        <v>33480</v>
      </c>
      <c r="N860" s="82">
        <f>=K860-M860</f>
        <v>553.349999999999</v>
      </c>
      <c r="O860" s="64">
        <v>1</v>
      </c>
      <c r="P860" s="64">
        <f>=I860*O860*ROUNDUP((A860-B860)/30,0)</f>
        <v>62</v>
      </c>
      <c r="Q860" s="62" t="s"/>
      <c r="R860" s="62" t="s"/>
    </row>
    <row r="861" spans="1:18" ht="15.75" customHeight="true">
      <c r="A861" s="147">
        <v>46155</v>
      </c>
      <c r="B861" s="460">
        <v>46101</v>
      </c>
      <c r="C861" s="80" t="s">
        <v>162</v>
      </c>
      <c r="D861" s="64" t="s">
        <v>150</v>
      </c>
      <c r="E861" s="471" t="s">
        <v>3061</v>
      </c>
      <c r="F861" s="259" t="s">
        <v>895</v>
      </c>
      <c r="G861" s="259" t="s">
        <v>422</v>
      </c>
      <c r="H861" s="259" t="s">
        <v>951</v>
      </c>
      <c r="I861" s="87">
        <v>89</v>
      </c>
      <c r="J861" s="87">
        <v>1097.85</v>
      </c>
      <c r="K861" s="427">
        <f>=I861*J861</f>
        <v>97708.65</v>
      </c>
      <c r="L861" s="94">
        <v>1080</v>
      </c>
      <c r="M861" s="428">
        <f>=I861*L861</f>
        <v>96120</v>
      </c>
      <c r="N861" s="82">
        <f>=K861-M861</f>
        <v>1588.64999999999</v>
      </c>
      <c r="O861" s="64">
        <v>1</v>
      </c>
      <c r="P861" s="64">
        <f>=I861*O861*ROUNDUP((A861-B861)/30,0)</f>
        <v>178</v>
      </c>
      <c r="Q861" s="62" t="s"/>
      <c r="R861" s="62" t="s"/>
    </row>
    <row r="862" spans="1:18" ht="15.75" customHeight="true">
      <c r="A862" s="147">
        <v>46155</v>
      </c>
      <c r="B862" s="460">
        <v>46112</v>
      </c>
      <c r="C862" s="80" t="s">
        <v>219</v>
      </c>
      <c r="D862" s="87" t="s">
        <v>217</v>
      </c>
      <c r="E862" s="450" t="s">
        <v>3062</v>
      </c>
      <c r="F862" s="64" t="s">
        <v>864</v>
      </c>
      <c r="G862" s="64" t="s">
        <v>422</v>
      </c>
      <c r="H862" s="64" t="s">
        <v>1431</v>
      </c>
      <c r="I862" s="87">
        <v>16</v>
      </c>
      <c r="J862" s="339">
        <v>1559.94</v>
      </c>
      <c r="K862" s="427">
        <f>=I862*J862</f>
        <v>24959.04</v>
      </c>
      <c r="L862" s="87">
        <v>1540</v>
      </c>
      <c r="M862" s="428">
        <f>=I862*L862</f>
        <v>24640</v>
      </c>
      <c r="N862" s="82">
        <f>=K862-M862</f>
        <v>319.040000000001</v>
      </c>
      <c r="O862" s="64">
        <v>1</v>
      </c>
      <c r="P862" s="64">
        <f>=I862*O862*ROUNDUP((A862-B862)/30,0)</f>
        <v>32</v>
      </c>
      <c r="Q862" s="62" t="s"/>
      <c r="R862" s="62" t="s"/>
    </row>
    <row r="863" spans="1:18" ht="15.75" customHeight="true">
      <c r="A863" s="147">
        <v>46155</v>
      </c>
      <c r="B863" s="460">
        <v>46112</v>
      </c>
      <c r="C863" s="80" t="s">
        <v>219</v>
      </c>
      <c r="D863" s="87" t="s">
        <v>217</v>
      </c>
      <c r="E863" s="450" t="s">
        <v>3063</v>
      </c>
      <c r="F863" s="64" t="s">
        <v>864</v>
      </c>
      <c r="G863" s="64" t="s">
        <v>422</v>
      </c>
      <c r="H863" s="64" t="s">
        <v>1436</v>
      </c>
      <c r="I863" s="140">
        <v>14</v>
      </c>
      <c r="J863" s="339">
        <v>2019.95</v>
      </c>
      <c r="K863" s="427">
        <f>=I863*J863</f>
        <v>28279.3</v>
      </c>
      <c r="L863" s="140">
        <v>1995</v>
      </c>
      <c r="M863" s="428">
        <f>=I863*L863</f>
        <v>27930</v>
      </c>
      <c r="N863" s="82">
        <f>=K863-M863</f>
        <v>349.299999999999</v>
      </c>
      <c r="O863" s="64">
        <v>1</v>
      </c>
      <c r="P863" s="64">
        <f>=I863*O863*ROUNDUP((A863-B863)/30,0)</f>
        <v>28</v>
      </c>
      <c r="Q863" s="62" t="s"/>
      <c r="R863" s="62" t="s"/>
    </row>
    <row r="864" spans="1:18" ht="15.75" customHeight="true">
      <c r="A864" s="147">
        <v>46155</v>
      </c>
      <c r="B864" s="460">
        <v>46112</v>
      </c>
      <c r="C864" s="80" t="s">
        <v>219</v>
      </c>
      <c r="D864" s="87" t="s">
        <v>217</v>
      </c>
      <c r="E864" s="196" t="s">
        <v>3064</v>
      </c>
      <c r="F864" s="64" t="s">
        <v>1438</v>
      </c>
      <c r="G864" s="64" t="s">
        <v>422</v>
      </c>
      <c r="H864" s="64" t="s">
        <v>1439</v>
      </c>
      <c r="I864" s="64">
        <v>13</v>
      </c>
      <c r="J864" s="339">
        <v>1666.1</v>
      </c>
      <c r="K864" s="427">
        <f>=I864*J864</f>
        <v>21659.3</v>
      </c>
      <c r="L864" s="64">
        <v>1645</v>
      </c>
      <c r="M864" s="428">
        <f>=I864*L864</f>
        <v>21385</v>
      </c>
      <c r="N864" s="82">
        <f>=K864-M864</f>
        <v>274.299999999999</v>
      </c>
      <c r="O864" s="64">
        <v>1</v>
      </c>
      <c r="P864" s="64">
        <f>=I864*O864*ROUNDUP((A864-B864)/30,0)</f>
        <v>26</v>
      </c>
      <c r="Q864" s="62" t="s"/>
      <c r="R864" s="62" t="s"/>
    </row>
    <row r="865" spans="1:18" ht="15.75" customHeight="true">
      <c r="A865" s="147">
        <v>46155</v>
      </c>
      <c r="B865" s="460">
        <v>46112</v>
      </c>
      <c r="C865" s="80" t="s">
        <v>219</v>
      </c>
      <c r="D865" s="87" t="s">
        <v>217</v>
      </c>
      <c r="E865" s="450" t="s">
        <v>3065</v>
      </c>
      <c r="F865" s="64" t="s">
        <v>895</v>
      </c>
      <c r="G865" s="64" t="s">
        <v>422</v>
      </c>
      <c r="H865" s="64" t="s">
        <v>1441</v>
      </c>
      <c r="I865" s="64">
        <v>10</v>
      </c>
      <c r="J865" s="339">
        <v>1170.71</v>
      </c>
      <c r="K865" s="427">
        <f>=I865*J865</f>
        <v>11707.1</v>
      </c>
      <c r="L865" s="87">
        <v>1155</v>
      </c>
      <c r="M865" s="428">
        <f>=I865*L865</f>
        <v>11550</v>
      </c>
      <c r="N865" s="82">
        <f>=K865-M865</f>
        <v>157.1</v>
      </c>
      <c r="O865" s="64">
        <v>1</v>
      </c>
      <c r="P865" s="64">
        <f>=I865*O865*ROUNDUP((A865-B865)/30,0)</f>
        <v>20</v>
      </c>
      <c r="Q865" s="62" t="s"/>
      <c r="R865" s="62" t="s"/>
    </row>
    <row r="866" spans="1:18" ht="15.75" customHeight="true">
      <c r="A866" s="147">
        <v>46155</v>
      </c>
      <c r="B866" s="460">
        <v>46112</v>
      </c>
      <c r="C866" s="80" t="s">
        <v>219</v>
      </c>
      <c r="D866" s="87" t="s">
        <v>217</v>
      </c>
      <c r="E866" s="450" t="s">
        <v>3066</v>
      </c>
      <c r="F866" s="64" t="s">
        <v>895</v>
      </c>
      <c r="G866" s="64" t="s">
        <v>422</v>
      </c>
      <c r="H866" s="87" t="s">
        <v>1443</v>
      </c>
      <c r="I866" s="87">
        <v>9</v>
      </c>
      <c r="J866" s="339">
        <v>852.24</v>
      </c>
      <c r="K866" s="427">
        <f>=I866*J866</f>
        <v>7670.16</v>
      </c>
      <c r="L866" s="87">
        <v>840</v>
      </c>
      <c r="M866" s="428">
        <f>=I866*L866</f>
        <v>7560</v>
      </c>
      <c r="N866" s="82">
        <f>=K866-M866</f>
        <v>110.16</v>
      </c>
      <c r="O866" s="64">
        <v>1</v>
      </c>
      <c r="P866" s="64">
        <f>=I866*O866*ROUNDUP((A866-B866)/30,0)</f>
        <v>18</v>
      </c>
      <c r="Q866" s="62" t="s"/>
      <c r="R866" s="62" t="s"/>
    </row>
    <row r="867" spans="1:18" ht="15.75" customHeight="true">
      <c r="A867" s="147">
        <v>46155</v>
      </c>
      <c r="B867" s="460">
        <v>46112</v>
      </c>
      <c r="C867" s="80" t="s">
        <v>219</v>
      </c>
      <c r="D867" s="87" t="s">
        <v>217</v>
      </c>
      <c r="E867" s="247" t="s">
        <v>3067</v>
      </c>
      <c r="F867" s="94" t="s">
        <v>503</v>
      </c>
      <c r="G867" s="64" t="s">
        <v>422</v>
      </c>
      <c r="H867" s="64" t="s">
        <v>1355</v>
      </c>
      <c r="I867" s="64">
        <v>8</v>
      </c>
      <c r="J867" s="87">
        <v>1984.56</v>
      </c>
      <c r="K867" s="427">
        <f>=I867*J867</f>
        <v>15876.48</v>
      </c>
      <c r="L867" s="64">
        <v>1960</v>
      </c>
      <c r="M867" s="428">
        <f>=I867*L867</f>
        <v>15680</v>
      </c>
      <c r="N867" s="82">
        <f>=K867-M867</f>
        <v>196.48</v>
      </c>
      <c r="O867" s="64">
        <v>1</v>
      </c>
      <c r="P867" s="64">
        <f>=I867*O867*ROUNDUP((A867-B867)/30,0)</f>
        <v>16</v>
      </c>
      <c r="Q867" s="62" t="s"/>
      <c r="R867" s="62" t="s"/>
    </row>
    <row r="868" spans="1:18" ht="15.75" customHeight="true">
      <c r="A868" s="147">
        <v>46155</v>
      </c>
      <c r="B868" s="460">
        <v>46112</v>
      </c>
      <c r="C868" s="80" t="s">
        <v>219</v>
      </c>
      <c r="D868" s="87" t="s">
        <v>217</v>
      </c>
      <c r="E868" s="450" t="s">
        <v>3068</v>
      </c>
      <c r="F868" s="64" t="s">
        <v>864</v>
      </c>
      <c r="G868" s="64" t="s">
        <v>422</v>
      </c>
      <c r="H868" s="87" t="s">
        <v>1446</v>
      </c>
      <c r="I868" s="87">
        <v>7</v>
      </c>
      <c r="J868" s="87">
        <v>2550.72</v>
      </c>
      <c r="K868" s="427">
        <f>=I868*J868</f>
        <v>17855.04</v>
      </c>
      <c r="L868" s="87">
        <v>2520</v>
      </c>
      <c r="M868" s="428">
        <f>=I868*L868</f>
        <v>17640</v>
      </c>
      <c r="N868" s="82">
        <f>=K868-M868</f>
        <v>215.039999999997</v>
      </c>
      <c r="O868" s="64">
        <v>1</v>
      </c>
      <c r="P868" s="64">
        <f>=I868*O868*ROUNDUP((A868-B868)/30,0)</f>
        <v>14</v>
      </c>
      <c r="Q868" s="62" t="s"/>
      <c r="R868" s="62" t="s"/>
    </row>
    <row r="869" spans="1:18" ht="15.75" customHeight="true">
      <c r="A869" s="147">
        <v>46155</v>
      </c>
      <c r="B869" s="460">
        <v>46112</v>
      </c>
      <c r="C869" s="80" t="s">
        <v>219</v>
      </c>
      <c r="D869" s="87" t="s">
        <v>217</v>
      </c>
      <c r="E869" s="450" t="s">
        <v>3069</v>
      </c>
      <c r="F869" s="94" t="s">
        <v>503</v>
      </c>
      <c r="G869" s="64" t="s">
        <v>422</v>
      </c>
      <c r="H869" s="64" t="s">
        <v>1448</v>
      </c>
      <c r="I869" s="64">
        <v>7</v>
      </c>
      <c r="J869" s="87">
        <v>3187.65</v>
      </c>
      <c r="K869" s="427">
        <f>=I869*J869</f>
        <v>22313.55</v>
      </c>
      <c r="L869" s="64">
        <v>3150</v>
      </c>
      <c r="M869" s="428">
        <f>=I869*L869</f>
        <v>22050</v>
      </c>
      <c r="N869" s="82">
        <f>=K869-M869</f>
        <v>263.549999999999</v>
      </c>
      <c r="O869" s="64">
        <v>1</v>
      </c>
      <c r="P869" s="64">
        <f>=I869*O869*ROUNDUP((A869-B869)/30,0)</f>
        <v>14</v>
      </c>
      <c r="Q869" s="62" t="s"/>
      <c r="R869" s="62" t="s"/>
    </row>
    <row r="870" spans="1:18" ht="15.75" customHeight="true">
      <c r="A870" s="147">
        <v>46155</v>
      </c>
      <c r="B870" s="460">
        <v>46112</v>
      </c>
      <c r="C870" s="80" t="s">
        <v>219</v>
      </c>
      <c r="D870" s="87" t="s">
        <v>217</v>
      </c>
      <c r="E870" s="450" t="s">
        <v>3070</v>
      </c>
      <c r="F870" s="94" t="s">
        <v>503</v>
      </c>
      <c r="G870" s="64" t="s">
        <v>422</v>
      </c>
      <c r="H870" s="64" t="s">
        <v>1450</v>
      </c>
      <c r="I870" s="64">
        <v>7</v>
      </c>
      <c r="J870" s="87">
        <v>1383.02</v>
      </c>
      <c r="K870" s="427">
        <f>=I870*J870</f>
        <v>9681.14</v>
      </c>
      <c r="L870" s="64">
        <v>1365</v>
      </c>
      <c r="M870" s="428">
        <f>=I870*L870</f>
        <v>9555</v>
      </c>
      <c r="N870" s="82">
        <f>=K870-M870</f>
        <v>126.139999999999</v>
      </c>
      <c r="O870" s="64">
        <v>1</v>
      </c>
      <c r="P870" s="64">
        <f>=I870*O870*ROUNDUP((A870-B870)/30,0)</f>
        <v>14</v>
      </c>
      <c r="Q870" s="62" t="s"/>
      <c r="R870" s="62" t="s"/>
    </row>
    <row r="871" spans="1:18" ht="15.75" customHeight="true">
      <c r="A871" s="147">
        <v>46155</v>
      </c>
      <c r="B871" s="460">
        <v>46112</v>
      </c>
      <c r="C871" s="80" t="s">
        <v>219</v>
      </c>
      <c r="D871" s="87" t="s">
        <v>217</v>
      </c>
      <c r="E871" s="450" t="s">
        <v>3071</v>
      </c>
      <c r="F871" s="94" t="s">
        <v>503</v>
      </c>
      <c r="G871" s="64" t="s">
        <v>422</v>
      </c>
      <c r="H871" s="64" t="s">
        <v>1452</v>
      </c>
      <c r="I871" s="64">
        <v>7</v>
      </c>
      <c r="J871" s="339">
        <v>1559.94</v>
      </c>
      <c r="K871" s="427">
        <f>=I871*J871</f>
        <v>10919.58</v>
      </c>
      <c r="L871" s="64">
        <v>1540</v>
      </c>
      <c r="M871" s="428">
        <f>=I871*L871</f>
        <v>10780</v>
      </c>
      <c r="N871" s="82">
        <f>=K871-M871</f>
        <v>139.58</v>
      </c>
      <c r="O871" s="64">
        <v>1</v>
      </c>
      <c r="P871" s="64">
        <f>=I871*O871*ROUNDUP((A871-B871)/30,0)</f>
        <v>14</v>
      </c>
      <c r="Q871" s="62" t="s"/>
      <c r="R871" s="62" t="s"/>
    </row>
    <row r="872" spans="1:18" ht="15.75" customHeight="true">
      <c r="A872" s="147">
        <v>46155</v>
      </c>
      <c r="B872" s="460">
        <v>46112</v>
      </c>
      <c r="C872" s="80" t="s">
        <v>219</v>
      </c>
      <c r="D872" s="87" t="s">
        <v>217</v>
      </c>
      <c r="E872" s="450" t="s">
        <v>3072</v>
      </c>
      <c r="F872" s="94" t="s">
        <v>503</v>
      </c>
      <c r="G872" s="64" t="s">
        <v>422</v>
      </c>
      <c r="H872" s="64" t="s">
        <v>1454</v>
      </c>
      <c r="I872" s="64">
        <v>6</v>
      </c>
      <c r="J872" s="339">
        <v>3187.65</v>
      </c>
      <c r="K872" s="427">
        <f>=I872*J872</f>
        <v>19125.9</v>
      </c>
      <c r="L872" s="64">
        <v>3150</v>
      </c>
      <c r="M872" s="428">
        <f>=I872*L872</f>
        <v>18900</v>
      </c>
      <c r="N872" s="82">
        <f>=K872-M872</f>
        <v>225.900000000001</v>
      </c>
      <c r="O872" s="64">
        <v>1</v>
      </c>
      <c r="P872" s="64">
        <f>=I872*O872*ROUNDUP((A872-B872)/30,0)</f>
        <v>12</v>
      </c>
      <c r="Q872" s="62" t="s"/>
      <c r="R872" s="62" t="s"/>
    </row>
    <row r="873" spans="1:18" ht="15.75" customHeight="true">
      <c r="A873" s="147">
        <v>46155</v>
      </c>
      <c r="B873" s="460">
        <v>46112</v>
      </c>
      <c r="C873" s="80" t="s">
        <v>219</v>
      </c>
      <c r="D873" s="87" t="s">
        <v>217</v>
      </c>
      <c r="E873" s="450" t="s">
        <v>3073</v>
      </c>
      <c r="F873" s="94" t="s">
        <v>503</v>
      </c>
      <c r="G873" s="64" t="s">
        <v>422</v>
      </c>
      <c r="H873" s="64" t="s">
        <v>1456</v>
      </c>
      <c r="I873" s="64">
        <v>6</v>
      </c>
      <c r="J873" s="87">
        <v>1701.48</v>
      </c>
      <c r="K873" s="427">
        <f>=I873*J873</f>
        <v>10208.88</v>
      </c>
      <c r="L873" s="64">
        <v>1680</v>
      </c>
      <c r="M873" s="428">
        <f>=I873*L873</f>
        <v>10080</v>
      </c>
      <c r="N873" s="82">
        <f>=K873-M873</f>
        <v>128.880000000001</v>
      </c>
      <c r="O873" s="64">
        <v>1</v>
      </c>
      <c r="P873" s="64">
        <f>=I873*O873*ROUNDUP((A873-B873)/30,0)</f>
        <v>12</v>
      </c>
      <c r="Q873" s="62" t="s"/>
      <c r="R873" s="62" t="s"/>
    </row>
    <row r="874" spans="1:18" ht="15.75" customHeight="true">
      <c r="A874" s="147">
        <v>46155</v>
      </c>
      <c r="B874" s="460">
        <v>46112</v>
      </c>
      <c r="C874" s="80" t="s">
        <v>219</v>
      </c>
      <c r="D874" s="87" t="s">
        <v>217</v>
      </c>
      <c r="E874" s="450" t="s">
        <v>3074</v>
      </c>
      <c r="F874" s="64" t="s">
        <v>864</v>
      </c>
      <c r="G874" s="64" t="s">
        <v>422</v>
      </c>
      <c r="H874" s="64" t="s">
        <v>1458</v>
      </c>
      <c r="I874" s="87">
        <v>5</v>
      </c>
      <c r="J874" s="87">
        <v>1312.25</v>
      </c>
      <c r="K874" s="427">
        <f>=I874*J874</f>
        <v>6561.25</v>
      </c>
      <c r="L874" s="87">
        <v>1295</v>
      </c>
      <c r="M874" s="428">
        <f>=I874*L874</f>
        <v>6475</v>
      </c>
      <c r="N874" s="82">
        <f>=K874-M874</f>
        <v>86.25</v>
      </c>
      <c r="O874" s="64">
        <v>1</v>
      </c>
      <c r="P874" s="64">
        <f>=I874*O874*ROUNDUP((A874-B874)/30,0)</f>
        <v>10</v>
      </c>
      <c r="Q874" s="62" t="s"/>
      <c r="R874" s="62" t="s"/>
    </row>
    <row r="875" spans="1:18" ht="15.75" customHeight="true">
      <c r="A875" s="147">
        <v>46155</v>
      </c>
      <c r="B875" s="460">
        <v>46112</v>
      </c>
      <c r="C875" s="80" t="s">
        <v>219</v>
      </c>
      <c r="D875" s="87" t="s">
        <v>217</v>
      </c>
      <c r="E875" s="450" t="s">
        <v>3075</v>
      </c>
      <c r="F875" s="94" t="s">
        <v>503</v>
      </c>
      <c r="G875" s="64" t="s">
        <v>422</v>
      </c>
      <c r="H875" s="64" t="s">
        <v>1460</v>
      </c>
      <c r="I875" s="64">
        <v>5</v>
      </c>
      <c r="J875" s="87">
        <v>2656.88</v>
      </c>
      <c r="K875" s="427">
        <f>=I875*J875</f>
        <v>13284.4</v>
      </c>
      <c r="L875" s="64">
        <v>2625</v>
      </c>
      <c r="M875" s="428">
        <f>=I875*L875</f>
        <v>13125</v>
      </c>
      <c r="N875" s="82">
        <f>=K875-M875</f>
        <v>159.400000000001</v>
      </c>
      <c r="O875" s="64">
        <v>1</v>
      </c>
      <c r="P875" s="64">
        <f>=I875*O875*ROUNDUP((A875-B875)/30,0)</f>
        <v>10</v>
      </c>
      <c r="Q875" s="62" t="s"/>
      <c r="R875" s="62" t="s"/>
    </row>
    <row r="876" spans="1:18" ht="15.75" customHeight="true">
      <c r="A876" s="147">
        <v>46155</v>
      </c>
      <c r="B876" s="460">
        <v>46112</v>
      </c>
      <c r="C876" s="80" t="s">
        <v>219</v>
      </c>
      <c r="D876" s="87" t="s">
        <v>217</v>
      </c>
      <c r="E876" s="450" t="s">
        <v>3076</v>
      </c>
      <c r="F876" s="64" t="s">
        <v>864</v>
      </c>
      <c r="G876" s="64" t="s">
        <v>422</v>
      </c>
      <c r="H876" s="64" t="s">
        <v>1462</v>
      </c>
      <c r="I876" s="140">
        <v>4</v>
      </c>
      <c r="J876" s="87">
        <v>1807.64</v>
      </c>
      <c r="K876" s="427">
        <f>=I876*J876</f>
        <v>7230.56</v>
      </c>
      <c r="L876" s="140">
        <v>1785</v>
      </c>
      <c r="M876" s="428">
        <f>=I876*L876</f>
        <v>7140</v>
      </c>
      <c r="N876" s="82">
        <f>=K876-M876</f>
        <v>90.5600000000004</v>
      </c>
      <c r="O876" s="64">
        <v>1</v>
      </c>
      <c r="P876" s="64">
        <f>=I876*O876*ROUNDUP((A876-B876)/30,0)</f>
        <v>8</v>
      </c>
      <c r="Q876" s="62" t="s"/>
      <c r="R876" s="62" t="s"/>
    </row>
    <row r="877" spans="1:18" ht="15.75" customHeight="true">
      <c r="A877" s="147">
        <v>46155</v>
      </c>
      <c r="B877" s="460">
        <v>46112</v>
      </c>
      <c r="C877" s="80" t="s">
        <v>219</v>
      </c>
      <c r="D877" s="87" t="s">
        <v>217</v>
      </c>
      <c r="E877" s="450" t="s">
        <v>3077</v>
      </c>
      <c r="F877" s="94" t="s">
        <v>503</v>
      </c>
      <c r="G877" s="64" t="s">
        <v>422</v>
      </c>
      <c r="H877" s="64" t="s">
        <v>1464</v>
      </c>
      <c r="I877" s="64">
        <v>4</v>
      </c>
      <c r="J877" s="87">
        <v>1843.02</v>
      </c>
      <c r="K877" s="427">
        <f>=I877*J877</f>
        <v>7372.08</v>
      </c>
      <c r="L877" s="64">
        <v>1820</v>
      </c>
      <c r="M877" s="428">
        <f>=I877*L877</f>
        <v>7280</v>
      </c>
      <c r="N877" s="82">
        <f>=K877-M877</f>
        <v>92.0799999999999</v>
      </c>
      <c r="O877" s="64">
        <v>1</v>
      </c>
      <c r="P877" s="64">
        <f>=I877*O877*ROUNDUP((A877-B877)/30,0)</f>
        <v>8</v>
      </c>
      <c r="Q877" s="62" t="s"/>
      <c r="R877" s="62" t="s"/>
    </row>
    <row r="878" spans="1:18" ht="15.75" customHeight="true">
      <c r="A878" s="147">
        <v>46155</v>
      </c>
      <c r="B878" s="460">
        <v>46111</v>
      </c>
      <c r="C878" s="80" t="s">
        <v>218</v>
      </c>
      <c r="D878" s="87" t="s">
        <v>217</v>
      </c>
      <c r="E878" s="450" t="s">
        <v>3078</v>
      </c>
      <c r="F878" s="64" t="s">
        <v>895</v>
      </c>
      <c r="G878" s="64" t="s">
        <v>422</v>
      </c>
      <c r="H878" s="87" t="s">
        <v>1466</v>
      </c>
      <c r="I878" s="87">
        <v>3</v>
      </c>
      <c r="J878" s="87">
        <v>1170.99</v>
      </c>
      <c r="K878" s="427">
        <f>=I878*J878</f>
        <v>3512.97</v>
      </c>
      <c r="L878" s="87">
        <v>1155</v>
      </c>
      <c r="M878" s="428">
        <f>=I878*L878</f>
        <v>3465</v>
      </c>
      <c r="N878" s="82">
        <f>=K878-M878</f>
        <v>47.9700000000003</v>
      </c>
      <c r="O878" s="64">
        <v>1</v>
      </c>
      <c r="P878" s="64">
        <f>=I878*O878*ROUNDUP((A878-B878)/30,0)</f>
        <v>6</v>
      </c>
      <c r="Q878" s="62" t="s"/>
      <c r="R878" s="62" t="s"/>
    </row>
    <row r="879" spans="1:18" ht="15.75" customHeight="true">
      <c r="A879" s="147">
        <v>46155</v>
      </c>
      <c r="B879" s="460">
        <v>46112</v>
      </c>
      <c r="C879" s="80" t="s">
        <v>219</v>
      </c>
      <c r="D879" s="87" t="s">
        <v>217</v>
      </c>
      <c r="E879" s="450" t="s">
        <v>3079</v>
      </c>
      <c r="F879" s="64" t="s">
        <v>895</v>
      </c>
      <c r="G879" s="64" t="s">
        <v>422</v>
      </c>
      <c r="H879" s="87" t="s">
        <v>1468</v>
      </c>
      <c r="I879" s="87">
        <v>3</v>
      </c>
      <c r="J879" s="87">
        <v>1949.18</v>
      </c>
      <c r="K879" s="427">
        <f>=I879*J879</f>
        <v>5847.54</v>
      </c>
      <c r="L879" s="87">
        <v>1925</v>
      </c>
      <c r="M879" s="428">
        <f>=I879*L879</f>
        <v>5775</v>
      </c>
      <c r="N879" s="82">
        <f>=K879-M879</f>
        <v>72.54</v>
      </c>
      <c r="O879" s="64">
        <v>1</v>
      </c>
      <c r="P879" s="64">
        <f>=I879*O879*ROUNDUP((A879-B879)/30,0)</f>
        <v>6</v>
      </c>
      <c r="Q879" s="62" t="s"/>
      <c r="R879" s="62" t="s"/>
    </row>
    <row r="880" spans="1:18" ht="15.75" customHeight="true">
      <c r="A880" s="147">
        <v>46155</v>
      </c>
      <c r="B880" s="460">
        <v>46112</v>
      </c>
      <c r="C880" s="80" t="s">
        <v>219</v>
      </c>
      <c r="D880" s="87" t="s">
        <v>217</v>
      </c>
      <c r="E880" s="450" t="s">
        <v>3080</v>
      </c>
      <c r="F880" s="64" t="s">
        <v>895</v>
      </c>
      <c r="G880" s="64" t="s">
        <v>422</v>
      </c>
      <c r="H880" s="87" t="s">
        <v>943</v>
      </c>
      <c r="I880" s="87">
        <v>3</v>
      </c>
      <c r="J880" s="87">
        <v>1984.56</v>
      </c>
      <c r="K880" s="427">
        <f>=I880*J880</f>
        <v>5953.68</v>
      </c>
      <c r="L880" s="87">
        <v>1960</v>
      </c>
      <c r="M880" s="428">
        <f>=I880*L880</f>
        <v>5880</v>
      </c>
      <c r="N880" s="82">
        <f>=K880-M880</f>
        <v>73.6800000000003</v>
      </c>
      <c r="O880" s="64">
        <v>1</v>
      </c>
      <c r="P880" s="64">
        <f>=I880*O880*ROUNDUP((A880-B880)/30,0)</f>
        <v>6</v>
      </c>
      <c r="Q880" s="62" t="s"/>
      <c r="R880" s="62" t="s"/>
    </row>
    <row r="881" spans="1:18" ht="15.75" customHeight="true">
      <c r="A881" s="147">
        <v>46155</v>
      </c>
      <c r="B881" s="460">
        <v>46112</v>
      </c>
      <c r="C881" s="80" t="s">
        <v>219</v>
      </c>
      <c r="D881" s="87" t="s">
        <v>217</v>
      </c>
      <c r="E881" s="450" t="s">
        <v>3081</v>
      </c>
      <c r="F881" s="64" t="s">
        <v>895</v>
      </c>
      <c r="G881" s="64" t="s">
        <v>422</v>
      </c>
      <c r="H881" s="87" t="s">
        <v>937</v>
      </c>
      <c r="I881" s="87">
        <v>3</v>
      </c>
      <c r="J881" s="87">
        <v>1984.56</v>
      </c>
      <c r="K881" s="427">
        <f>=I881*J881</f>
        <v>5953.68</v>
      </c>
      <c r="L881" s="87">
        <v>1960</v>
      </c>
      <c r="M881" s="428">
        <f>=I881*L881</f>
        <v>5880</v>
      </c>
      <c r="N881" s="82">
        <f>=K881-M881</f>
        <v>73.6800000000003</v>
      </c>
      <c r="O881" s="64">
        <v>1</v>
      </c>
      <c r="P881" s="64">
        <f>=I881*O881*ROUNDUP((A881-B881)/30,0)</f>
        <v>6</v>
      </c>
      <c r="Q881" s="62" t="s"/>
      <c r="R881" s="62" t="s"/>
    </row>
    <row r="882" spans="1:18" ht="15.75" customHeight="true">
      <c r="A882" s="147">
        <v>46155</v>
      </c>
      <c r="B882" s="460">
        <v>46112</v>
      </c>
      <c r="C882" s="80" t="s">
        <v>219</v>
      </c>
      <c r="D882" s="87" t="s">
        <v>217</v>
      </c>
      <c r="E882" s="450" t="s">
        <v>3082</v>
      </c>
      <c r="F882" s="64" t="s">
        <v>864</v>
      </c>
      <c r="G882" s="64" t="s">
        <v>422</v>
      </c>
      <c r="H882" s="64" t="s">
        <v>1472</v>
      </c>
      <c r="I882" s="87">
        <v>3</v>
      </c>
      <c r="J882" s="87">
        <v>1312.25</v>
      </c>
      <c r="K882" s="427">
        <f>=I882*J882</f>
        <v>3936.75</v>
      </c>
      <c r="L882" s="87">
        <v>1295</v>
      </c>
      <c r="M882" s="428">
        <f>=I882*L882</f>
        <v>3885</v>
      </c>
      <c r="N882" s="82">
        <f>=K882-M882</f>
        <v>51.75</v>
      </c>
      <c r="O882" s="64">
        <v>1</v>
      </c>
      <c r="P882" s="64">
        <f>=I882*O882*ROUNDUP((A882-B882)/30,0)</f>
        <v>6</v>
      </c>
      <c r="Q882" s="62" t="s"/>
      <c r="R882" s="62" t="s"/>
    </row>
    <row r="883" spans="1:18" ht="15.75" customHeight="true">
      <c r="A883" s="147">
        <v>46155</v>
      </c>
      <c r="B883" s="460">
        <v>46112</v>
      </c>
      <c r="C883" s="80" t="s">
        <v>219</v>
      </c>
      <c r="D883" s="87" t="s">
        <v>217</v>
      </c>
      <c r="E883" s="450" t="s">
        <v>3083</v>
      </c>
      <c r="F883" s="64" t="s">
        <v>864</v>
      </c>
      <c r="G883" s="64" t="s">
        <v>422</v>
      </c>
      <c r="H883" s="64" t="s">
        <v>1474</v>
      </c>
      <c r="I883" s="140">
        <v>3</v>
      </c>
      <c r="J883" s="87">
        <v>2055.33</v>
      </c>
      <c r="K883" s="427">
        <f>=I883*J883</f>
        <v>6165.99</v>
      </c>
      <c r="L883" s="140">
        <v>2030</v>
      </c>
      <c r="M883" s="428">
        <f>=I883*L883</f>
        <v>6090</v>
      </c>
      <c r="N883" s="82">
        <f>=K883-M883</f>
        <v>75.9899999999998</v>
      </c>
      <c r="O883" s="64">
        <v>1</v>
      </c>
      <c r="P883" s="64">
        <f>=I883*O883*ROUNDUP((A883-B883)/30,0)</f>
        <v>6</v>
      </c>
      <c r="Q883" s="62" t="s"/>
      <c r="R883" s="62" t="s"/>
    </row>
    <row r="884" spans="1:18" ht="15.75" customHeight="true">
      <c r="A884" s="147">
        <v>46155</v>
      </c>
      <c r="B884" s="460">
        <v>46112</v>
      </c>
      <c r="C884" s="80" t="s">
        <v>219</v>
      </c>
      <c r="D884" s="87" t="s">
        <v>217</v>
      </c>
      <c r="E884" s="450" t="s">
        <v>3084</v>
      </c>
      <c r="F884" s="64" t="s">
        <v>864</v>
      </c>
      <c r="G884" s="64" t="s">
        <v>422</v>
      </c>
      <c r="H884" s="64" t="s">
        <v>1476</v>
      </c>
      <c r="I884" s="87">
        <v>3</v>
      </c>
      <c r="J884" s="87">
        <v>1489.17</v>
      </c>
      <c r="K884" s="427">
        <f>=I884*J884</f>
        <v>4467.51</v>
      </c>
      <c r="L884" s="87">
        <v>1470</v>
      </c>
      <c r="M884" s="428">
        <f>=I884*L884</f>
        <v>4410</v>
      </c>
      <c r="N884" s="82">
        <f>=K884-M884</f>
        <v>57.5100000000002</v>
      </c>
      <c r="O884" s="64">
        <v>1</v>
      </c>
      <c r="P884" s="64">
        <f>=I884*O884*ROUNDUP((A884-B884)/30,0)</f>
        <v>6</v>
      </c>
      <c r="Q884" s="62" t="s"/>
      <c r="R884" s="62" t="s"/>
    </row>
    <row r="885" spans="1:18" ht="15.75" customHeight="true">
      <c r="A885" s="147">
        <v>46155</v>
      </c>
      <c r="B885" s="460">
        <v>46112</v>
      </c>
      <c r="C885" s="80" t="s">
        <v>219</v>
      </c>
      <c r="D885" s="87" t="s">
        <v>217</v>
      </c>
      <c r="E885" s="450" t="s">
        <v>3085</v>
      </c>
      <c r="F885" s="94" t="s">
        <v>503</v>
      </c>
      <c r="G885" s="64" t="s">
        <v>422</v>
      </c>
      <c r="H885" s="64" t="s">
        <v>1478</v>
      </c>
      <c r="I885" s="64">
        <v>3</v>
      </c>
      <c r="J885" s="492">
        <v>2656.88</v>
      </c>
      <c r="K885" s="427">
        <f>=I885*J885</f>
        <v>7970.64</v>
      </c>
      <c r="L885" s="64">
        <v>2625</v>
      </c>
      <c r="M885" s="428">
        <f>=I885*L885</f>
        <v>7875</v>
      </c>
      <c r="N885" s="82">
        <f>=K885-M885</f>
        <v>95.6400000000003</v>
      </c>
      <c r="O885" s="64">
        <v>1</v>
      </c>
      <c r="P885" s="64">
        <f>=I885*O885*ROUNDUP((A885-B885)/30,0)</f>
        <v>6</v>
      </c>
      <c r="Q885" s="62" t="s"/>
      <c r="R885" s="62" t="s"/>
    </row>
    <row r="886" spans="1:18" ht="15.75" customHeight="true">
      <c r="A886" s="147">
        <v>46155</v>
      </c>
      <c r="B886" s="460">
        <v>46112</v>
      </c>
      <c r="C886" s="80" t="s">
        <v>219</v>
      </c>
      <c r="D886" s="87" t="s">
        <v>217</v>
      </c>
      <c r="E886" s="450" t="s">
        <v>3086</v>
      </c>
      <c r="F886" s="94" t="s">
        <v>503</v>
      </c>
      <c r="G886" s="64" t="s">
        <v>422</v>
      </c>
      <c r="H886" s="64" t="s">
        <v>1480</v>
      </c>
      <c r="I886" s="64">
        <v>3</v>
      </c>
      <c r="J886" s="87">
        <v>2798.42</v>
      </c>
      <c r="K886" s="427">
        <f>=I886*J886</f>
        <v>8395.26</v>
      </c>
      <c r="L886" s="64">
        <v>2765</v>
      </c>
      <c r="M886" s="428">
        <f>=I886*L886</f>
        <v>8295</v>
      </c>
      <c r="N886" s="82">
        <f>=K886-M886</f>
        <v>100.26</v>
      </c>
      <c r="O886" s="64">
        <v>1</v>
      </c>
      <c r="P886" s="64">
        <f>=I886*O886*ROUNDUP((A886-B886)/30,0)</f>
        <v>6</v>
      </c>
      <c r="Q886" s="62" t="s"/>
      <c r="R886" s="62" t="s"/>
    </row>
    <row r="887" spans="1:18" ht="15.75" customHeight="true">
      <c r="A887" s="147">
        <v>46155</v>
      </c>
      <c r="B887" s="460">
        <v>46112</v>
      </c>
      <c r="C887" s="80" t="s">
        <v>219</v>
      </c>
      <c r="D887" s="87" t="s">
        <v>217</v>
      </c>
      <c r="E887" s="450" t="s">
        <v>3087</v>
      </c>
      <c r="F887" s="94" t="s">
        <v>503</v>
      </c>
      <c r="G887" s="64" t="s">
        <v>422</v>
      </c>
      <c r="H887" s="64" t="s">
        <v>1482</v>
      </c>
      <c r="I887" s="64">
        <v>3</v>
      </c>
      <c r="J887" s="87">
        <v>3187.65</v>
      </c>
      <c r="K887" s="427">
        <f>=I887*J887</f>
        <v>9562.95</v>
      </c>
      <c r="L887" s="64">
        <v>3150</v>
      </c>
      <c r="M887" s="428">
        <f>=I887*L887</f>
        <v>9450</v>
      </c>
      <c r="N887" s="82">
        <f>=K887-M887</f>
        <v>112.950000000001</v>
      </c>
      <c r="O887" s="64">
        <v>1</v>
      </c>
      <c r="P887" s="64">
        <f>=I887*O887*ROUNDUP((A887-B887)/30,0)</f>
        <v>6</v>
      </c>
      <c r="Q887" s="62" t="s"/>
      <c r="R887" s="62" t="s"/>
    </row>
    <row r="888" spans="1:18" ht="15.75" customHeight="true">
      <c r="A888" s="147">
        <v>46155</v>
      </c>
      <c r="B888" s="460">
        <v>46112</v>
      </c>
      <c r="C888" s="80" t="s">
        <v>219</v>
      </c>
      <c r="D888" s="87" t="s">
        <v>217</v>
      </c>
      <c r="E888" s="450" t="s">
        <v>3088</v>
      </c>
      <c r="F888" s="94" t="s">
        <v>503</v>
      </c>
      <c r="G888" s="64" t="s">
        <v>422</v>
      </c>
      <c r="H888" s="64" t="s">
        <v>1484</v>
      </c>
      <c r="I888" s="64">
        <v>3</v>
      </c>
      <c r="J888" s="87">
        <v>1984.56</v>
      </c>
      <c r="K888" s="427">
        <f>=I888*J888</f>
        <v>5953.68</v>
      </c>
      <c r="L888" s="64">
        <v>1960</v>
      </c>
      <c r="M888" s="428">
        <f>=I888*L888</f>
        <v>5880</v>
      </c>
      <c r="N888" s="82">
        <f>=K888-M888</f>
        <v>73.6800000000003</v>
      </c>
      <c r="O888" s="64">
        <v>1</v>
      </c>
      <c r="P888" s="64">
        <f>=I888*O888*ROUNDUP((A888-B888)/30,0)</f>
        <v>6</v>
      </c>
      <c r="Q888" s="62" t="s"/>
      <c r="R888" s="62" t="s"/>
    </row>
    <row r="889" spans="1:18" ht="15.75" customHeight="true">
      <c r="A889" s="147">
        <v>46155</v>
      </c>
      <c r="B889" s="460">
        <v>46112</v>
      </c>
      <c r="C889" s="80" t="s">
        <v>219</v>
      </c>
      <c r="D889" s="87" t="s">
        <v>217</v>
      </c>
      <c r="E889" s="450" t="s">
        <v>3089</v>
      </c>
      <c r="F889" s="94" t="s">
        <v>503</v>
      </c>
      <c r="G889" s="64" t="s">
        <v>422</v>
      </c>
      <c r="H889" s="87" t="s">
        <v>1486</v>
      </c>
      <c r="I889" s="87">
        <v>3</v>
      </c>
      <c r="J889" s="87">
        <v>1170.71</v>
      </c>
      <c r="K889" s="427">
        <f>=I889*J889</f>
        <v>3512.13</v>
      </c>
      <c r="L889" s="87">
        <v>1155</v>
      </c>
      <c r="M889" s="428">
        <f>=I889*L889</f>
        <v>3465</v>
      </c>
      <c r="N889" s="82">
        <f>=K889-M889</f>
        <v>47.1300000000001</v>
      </c>
      <c r="O889" s="64">
        <v>1</v>
      </c>
      <c r="P889" s="64">
        <f>=I889*O889*ROUNDUP((A889-B889)/30,0)</f>
        <v>6</v>
      </c>
      <c r="Q889" s="62" t="s"/>
      <c r="R889" s="62" t="s"/>
    </row>
    <row r="890" spans="1:18" ht="15.75" customHeight="true">
      <c r="A890" s="147">
        <v>46155</v>
      </c>
      <c r="B890" s="460">
        <v>46112</v>
      </c>
      <c r="C890" s="80" t="s">
        <v>219</v>
      </c>
      <c r="D890" s="87" t="s">
        <v>217</v>
      </c>
      <c r="E890" s="450" t="s">
        <v>3090</v>
      </c>
      <c r="F890" s="94" t="s">
        <v>503</v>
      </c>
      <c r="G890" s="64" t="s">
        <v>422</v>
      </c>
      <c r="H890" s="87" t="s">
        <v>1488</v>
      </c>
      <c r="I890" s="87">
        <v>3</v>
      </c>
      <c r="J890" s="87">
        <v>1241.48</v>
      </c>
      <c r="K890" s="427">
        <f>=I890*J890</f>
        <v>3724.44</v>
      </c>
      <c r="L890" s="87">
        <v>1225</v>
      </c>
      <c r="M890" s="428">
        <f>=I890*L890</f>
        <v>3675</v>
      </c>
      <c r="N890" s="82">
        <f>=K890-M890</f>
        <v>49.4400000000001</v>
      </c>
      <c r="O890" s="64">
        <v>1</v>
      </c>
      <c r="P890" s="64">
        <f>=I890*O890*ROUNDUP((A890-B890)/30,0)</f>
        <v>6</v>
      </c>
      <c r="Q890" s="62" t="s"/>
      <c r="R890" s="62" t="s"/>
    </row>
    <row r="891" spans="1:18" ht="15.75" customHeight="true">
      <c r="A891" s="147">
        <v>46155</v>
      </c>
      <c r="B891" s="460">
        <v>46112</v>
      </c>
      <c r="C891" s="80" t="s">
        <v>219</v>
      </c>
      <c r="D891" s="87" t="s">
        <v>217</v>
      </c>
      <c r="E891" s="450" t="s">
        <v>3091</v>
      </c>
      <c r="F891" s="94" t="s">
        <v>503</v>
      </c>
      <c r="G891" s="64" t="s">
        <v>422</v>
      </c>
      <c r="H891" s="64" t="s">
        <v>1490</v>
      </c>
      <c r="I891" s="64">
        <v>3</v>
      </c>
      <c r="J891" s="87">
        <v>1843.02</v>
      </c>
      <c r="K891" s="427">
        <f>=I891*J891</f>
        <v>5529.06</v>
      </c>
      <c r="L891" s="64">
        <v>1820</v>
      </c>
      <c r="M891" s="428">
        <f>=I891*L891</f>
        <v>5460</v>
      </c>
      <c r="N891" s="82">
        <f>=K891-M891</f>
        <v>69.0599999999995</v>
      </c>
      <c r="O891" s="64">
        <v>1</v>
      </c>
      <c r="P891" s="64">
        <f>=I891*O891*ROUNDUP((A891-B891)/30,0)</f>
        <v>6</v>
      </c>
      <c r="Q891" s="62" t="s"/>
      <c r="R891" s="62" t="s"/>
    </row>
    <row r="892" spans="1:18" ht="15.75" customHeight="true">
      <c r="A892" s="147">
        <v>46155</v>
      </c>
      <c r="B892" s="460">
        <v>46112</v>
      </c>
      <c r="C892" s="80" t="s">
        <v>219</v>
      </c>
      <c r="D892" s="87" t="s">
        <v>217</v>
      </c>
      <c r="E892" s="450" t="s">
        <v>3092</v>
      </c>
      <c r="F892" s="64" t="s">
        <v>1438</v>
      </c>
      <c r="G892" s="64" t="s">
        <v>422</v>
      </c>
      <c r="H892" s="64" t="s">
        <v>1492</v>
      </c>
      <c r="I892" s="64">
        <v>3</v>
      </c>
      <c r="J892" s="87">
        <v>1595.33</v>
      </c>
      <c r="K892" s="427">
        <f>=I892*J892</f>
        <v>4785.99</v>
      </c>
      <c r="L892" s="64">
        <v>1575</v>
      </c>
      <c r="M892" s="428">
        <f>=I892*L892</f>
        <v>4725</v>
      </c>
      <c r="N892" s="82">
        <f>=K892-M892</f>
        <v>60.9899999999998</v>
      </c>
      <c r="O892" s="64">
        <v>1</v>
      </c>
      <c r="P892" s="64">
        <f>=I892*O892*ROUNDUP((A892-B892)/30,0)</f>
        <v>6</v>
      </c>
      <c r="Q892" s="62" t="s"/>
      <c r="R892" s="62" t="s"/>
    </row>
    <row r="893" spans="1:18" ht="15.75" customHeight="true">
      <c r="A893" s="147">
        <v>46155</v>
      </c>
      <c r="B893" s="460">
        <v>46112</v>
      </c>
      <c r="C893" s="80" t="s">
        <v>219</v>
      </c>
      <c r="D893" s="87" t="s">
        <v>217</v>
      </c>
      <c r="E893" s="450" t="s">
        <v>3093</v>
      </c>
      <c r="F893" s="64" t="s">
        <v>1438</v>
      </c>
      <c r="G893" s="64" t="s">
        <v>422</v>
      </c>
      <c r="H893" s="64" t="s">
        <v>1494</v>
      </c>
      <c r="I893" s="64">
        <v>3</v>
      </c>
      <c r="J893" s="87">
        <v>1878.41</v>
      </c>
      <c r="K893" s="427">
        <f>=I893*J893</f>
        <v>5635.23</v>
      </c>
      <c r="L893" s="64">
        <v>1855</v>
      </c>
      <c r="M893" s="428">
        <f>=I893*L893</f>
        <v>5565</v>
      </c>
      <c r="N893" s="82">
        <f>=K893-M893</f>
        <v>70.2300000000005</v>
      </c>
      <c r="O893" s="64">
        <v>1</v>
      </c>
      <c r="P893" s="64">
        <f>=I893*O893*ROUNDUP((A893-B893)/30,0)</f>
        <v>6</v>
      </c>
      <c r="Q893" s="62" t="s"/>
      <c r="R893" s="62" t="s"/>
    </row>
    <row r="894" spans="1:18" ht="15.75" customHeight="true">
      <c r="A894" s="147">
        <v>46155</v>
      </c>
      <c r="B894" s="460">
        <v>46112</v>
      </c>
      <c r="C894" s="80" t="s">
        <v>219</v>
      </c>
      <c r="D894" s="87" t="s">
        <v>217</v>
      </c>
      <c r="E894" s="450" t="s">
        <v>3094</v>
      </c>
      <c r="F894" s="64" t="s">
        <v>895</v>
      </c>
      <c r="G894" s="64" t="s">
        <v>422</v>
      </c>
      <c r="H894" s="64" t="s">
        <v>1496</v>
      </c>
      <c r="I894" s="64">
        <v>3</v>
      </c>
      <c r="J894" s="87">
        <v>1170.71</v>
      </c>
      <c r="K894" s="427">
        <f>=I894*J894</f>
        <v>3512.13</v>
      </c>
      <c r="L894" s="87">
        <v>1155</v>
      </c>
      <c r="M894" s="428">
        <f>=I894*L894</f>
        <v>3465</v>
      </c>
      <c r="N894" s="82">
        <f>=K894-M894</f>
        <v>47.1300000000001</v>
      </c>
      <c r="O894" s="64">
        <v>1</v>
      </c>
      <c r="P894" s="64">
        <f>=I894*O894*ROUNDUP((A894-B894)/30,0)</f>
        <v>6</v>
      </c>
      <c r="Q894" s="62" t="s"/>
      <c r="R894" s="62" t="s"/>
    </row>
    <row r="895" spans="1:18" ht="15.75" customHeight="true">
      <c r="A895" s="147">
        <v>46155</v>
      </c>
      <c r="B895" s="460">
        <v>46112</v>
      </c>
      <c r="C895" s="80" t="s">
        <v>219</v>
      </c>
      <c r="D895" s="87" t="s">
        <v>217</v>
      </c>
      <c r="E895" s="450" t="s">
        <v>3095</v>
      </c>
      <c r="F895" s="64" t="s">
        <v>895</v>
      </c>
      <c r="G895" s="64" t="s">
        <v>422</v>
      </c>
      <c r="H895" s="87" t="s">
        <v>1498</v>
      </c>
      <c r="I895" s="87">
        <v>2</v>
      </c>
      <c r="J895" s="87">
        <v>1949.18</v>
      </c>
      <c r="K895" s="427">
        <f>=I895*J895</f>
        <v>3898.36</v>
      </c>
      <c r="L895" s="87">
        <v>1925</v>
      </c>
      <c r="M895" s="428">
        <f>=I895*L895</f>
        <v>3850</v>
      </c>
      <c r="N895" s="82">
        <f>=K895-M895</f>
        <v>48.3600000000001</v>
      </c>
      <c r="O895" s="64">
        <v>1</v>
      </c>
      <c r="P895" s="64">
        <f>=I895*O895*ROUNDUP((A895-B895)/30,0)</f>
        <v>4</v>
      </c>
      <c r="Q895" s="62" t="s"/>
      <c r="R895" s="62" t="s"/>
    </row>
    <row r="896" spans="1:18" ht="15.75" customHeight="true">
      <c r="A896" s="147">
        <v>46155</v>
      </c>
      <c r="B896" s="460">
        <v>46112</v>
      </c>
      <c r="C896" s="80" t="s">
        <v>219</v>
      </c>
      <c r="D896" s="87" t="s">
        <v>217</v>
      </c>
      <c r="E896" s="450" t="s">
        <v>3096</v>
      </c>
      <c r="F896" s="87" t="s">
        <v>864</v>
      </c>
      <c r="G896" s="87" t="s">
        <v>422</v>
      </c>
      <c r="H896" s="87" t="s">
        <v>1500</v>
      </c>
      <c r="I896" s="87">
        <v>2</v>
      </c>
      <c r="J896" s="87">
        <v>3152.27</v>
      </c>
      <c r="K896" s="427">
        <f>=I896*J896</f>
        <v>6304.54</v>
      </c>
      <c r="L896" s="87">
        <v>3115</v>
      </c>
      <c r="M896" s="428">
        <f>=I896*L896</f>
        <v>6230</v>
      </c>
      <c r="N896" s="82">
        <f>=K896-M896</f>
        <v>74.54</v>
      </c>
      <c r="O896" s="64">
        <v>1</v>
      </c>
      <c r="P896" s="64">
        <f>=I896*O896*ROUNDUP((A896-B896)/30,0)</f>
        <v>4</v>
      </c>
      <c r="Q896" s="62" t="s"/>
      <c r="R896" s="62" t="s"/>
    </row>
    <row r="897" spans="1:18" ht="15.75" customHeight="true">
      <c r="A897" s="147">
        <v>46155</v>
      </c>
      <c r="B897" s="460">
        <v>46112</v>
      </c>
      <c r="C897" s="80" t="s">
        <v>219</v>
      </c>
      <c r="D897" s="87" t="s">
        <v>217</v>
      </c>
      <c r="E897" s="450" t="s">
        <v>3097</v>
      </c>
      <c r="F897" s="87" t="s">
        <v>864</v>
      </c>
      <c r="G897" s="140" t="s">
        <v>422</v>
      </c>
      <c r="H897" s="64" t="s">
        <v>1502</v>
      </c>
      <c r="I897" s="87">
        <v>2</v>
      </c>
      <c r="J897" s="87">
        <v>1559.94</v>
      </c>
      <c r="K897" s="427">
        <f>=I897*J897</f>
        <v>3119.88</v>
      </c>
      <c r="L897" s="87">
        <v>1540</v>
      </c>
      <c r="M897" s="428">
        <f>=I897*L897</f>
        <v>3080</v>
      </c>
      <c r="N897" s="82">
        <f>=K897-M897</f>
        <v>39.8800000000001</v>
      </c>
      <c r="O897" s="64">
        <v>1</v>
      </c>
      <c r="P897" s="64">
        <f>=I897*O897*ROUNDUP((A897-B897)/30,0)</f>
        <v>4</v>
      </c>
      <c r="Q897" s="62" t="s"/>
      <c r="R897" s="62" t="s"/>
    </row>
    <row r="898" spans="1:18" ht="15.75" customHeight="true">
      <c r="A898" s="147">
        <v>46155</v>
      </c>
      <c r="B898" s="460">
        <v>46112</v>
      </c>
      <c r="C898" s="80" t="s">
        <v>219</v>
      </c>
      <c r="D898" s="87" t="s">
        <v>217</v>
      </c>
      <c r="E898" s="450" t="s">
        <v>3098</v>
      </c>
      <c r="F898" s="94" t="s">
        <v>503</v>
      </c>
      <c r="G898" s="64" t="s">
        <v>422</v>
      </c>
      <c r="H898" s="64" t="s">
        <v>1504</v>
      </c>
      <c r="I898" s="64">
        <v>2</v>
      </c>
      <c r="J898" s="87">
        <v>1843.02</v>
      </c>
      <c r="K898" s="427">
        <f>=I898*J898</f>
        <v>3686.04</v>
      </c>
      <c r="L898" s="64">
        <v>1820</v>
      </c>
      <c r="M898" s="428">
        <f>=I898*L898</f>
        <v>3640</v>
      </c>
      <c r="N898" s="82">
        <f>=K898-M898</f>
        <v>46.04</v>
      </c>
      <c r="O898" s="64">
        <v>1</v>
      </c>
      <c r="P898" s="64">
        <f>=I898*O898*ROUNDUP((A898-B898)/30,0)</f>
        <v>4</v>
      </c>
      <c r="Q898" s="62" t="s"/>
      <c r="R898" s="62" t="s"/>
    </row>
    <row r="899" spans="1:18" ht="15.75" customHeight="true">
      <c r="A899" s="147">
        <v>46155</v>
      </c>
      <c r="B899" s="460">
        <v>46112</v>
      </c>
      <c r="C899" s="80" t="s">
        <v>219</v>
      </c>
      <c r="D899" s="87" t="s">
        <v>217</v>
      </c>
      <c r="E899" s="450" t="s">
        <v>3099</v>
      </c>
      <c r="F899" s="94" t="s">
        <v>503</v>
      </c>
      <c r="G899" s="64" t="s">
        <v>422</v>
      </c>
      <c r="H899" s="64" t="s">
        <v>1363</v>
      </c>
      <c r="I899" s="64">
        <v>2</v>
      </c>
      <c r="J899" s="87">
        <v>2090.72</v>
      </c>
      <c r="K899" s="427">
        <f>=I899*J899</f>
        <v>4181.44</v>
      </c>
      <c r="L899" s="64">
        <v>2065</v>
      </c>
      <c r="M899" s="428">
        <f>=I899*L899</f>
        <v>4130</v>
      </c>
      <c r="N899" s="82">
        <f>=K899-M899</f>
        <v>51.4399999999996</v>
      </c>
      <c r="O899" s="64">
        <v>1</v>
      </c>
      <c r="P899" s="64">
        <f>=I899*O899*ROUNDUP((A899-B899)/30,0)</f>
        <v>4</v>
      </c>
      <c r="Q899" s="62" t="s"/>
      <c r="R899" s="62" t="s"/>
    </row>
    <row r="900" spans="1:18" ht="15.75" customHeight="true">
      <c r="A900" s="147">
        <v>46155</v>
      </c>
      <c r="B900" s="460">
        <v>46112</v>
      </c>
      <c r="C900" s="80" t="s">
        <v>219</v>
      </c>
      <c r="D900" s="87" t="s">
        <v>217</v>
      </c>
      <c r="E900" s="450" t="s">
        <v>3100</v>
      </c>
      <c r="F900" s="94" t="s">
        <v>503</v>
      </c>
      <c r="G900" s="64" t="s">
        <v>422</v>
      </c>
      <c r="H900" s="64" t="s">
        <v>1507</v>
      </c>
      <c r="I900" s="64">
        <v>2</v>
      </c>
      <c r="J900" s="87">
        <v>1559.94</v>
      </c>
      <c r="K900" s="427">
        <f>=I900*J900</f>
        <v>3119.88</v>
      </c>
      <c r="L900" s="64">
        <v>1540</v>
      </c>
      <c r="M900" s="428">
        <f>=I900*L900</f>
        <v>3080</v>
      </c>
      <c r="N900" s="82">
        <f>=K900-M900</f>
        <v>39.8800000000001</v>
      </c>
      <c r="O900" s="64">
        <v>1</v>
      </c>
      <c r="P900" s="64">
        <f>=I900*O900*ROUNDUP((A900-B900)/30,0)</f>
        <v>4</v>
      </c>
      <c r="Q900" s="62" t="s"/>
      <c r="R900" s="62" t="s"/>
    </row>
    <row r="901" spans="1:18" ht="15.75" customHeight="true">
      <c r="A901" s="147">
        <v>46155</v>
      </c>
      <c r="B901" s="460">
        <v>46112</v>
      </c>
      <c r="C901" s="80" t="s">
        <v>219</v>
      </c>
      <c r="D901" s="87" t="s">
        <v>217</v>
      </c>
      <c r="E901" s="450" t="s">
        <v>3101</v>
      </c>
      <c r="F901" s="94" t="s">
        <v>503</v>
      </c>
      <c r="G901" s="64" t="s">
        <v>422</v>
      </c>
      <c r="H901" s="64" t="s">
        <v>1509</v>
      </c>
      <c r="I901" s="64">
        <v>2</v>
      </c>
      <c r="J901" s="87">
        <v>1559.94</v>
      </c>
      <c r="K901" s="427">
        <f>=I901*J901</f>
        <v>3119.88</v>
      </c>
      <c r="L901" s="64">
        <v>1540</v>
      </c>
      <c r="M901" s="428">
        <f>=I901*L901</f>
        <v>3080</v>
      </c>
      <c r="N901" s="82">
        <f>=K901-M901</f>
        <v>39.8800000000001</v>
      </c>
      <c r="O901" s="64">
        <v>1</v>
      </c>
      <c r="P901" s="64">
        <f>=I901*O901*ROUNDUP((A901-B901)/30,0)</f>
        <v>4</v>
      </c>
      <c r="Q901" s="62" t="s"/>
      <c r="R901" s="62" t="s"/>
    </row>
    <row r="902" spans="1:18" ht="15.75" customHeight="true">
      <c r="A902" s="147">
        <v>46155</v>
      </c>
      <c r="B902" s="460">
        <v>46112</v>
      </c>
      <c r="C902" s="80" t="s">
        <v>219</v>
      </c>
      <c r="D902" s="87" t="s">
        <v>217</v>
      </c>
      <c r="E902" s="450" t="s">
        <v>3102</v>
      </c>
      <c r="F902" s="64" t="s">
        <v>1438</v>
      </c>
      <c r="G902" s="64" t="s">
        <v>422</v>
      </c>
      <c r="H902" s="64" t="s">
        <v>1511</v>
      </c>
      <c r="I902" s="64">
        <v>2</v>
      </c>
      <c r="J902" s="87">
        <v>1666.1</v>
      </c>
      <c r="K902" s="427">
        <f>=I902*J902</f>
        <v>3332.2</v>
      </c>
      <c r="L902" s="64">
        <v>1645</v>
      </c>
      <c r="M902" s="428">
        <f>=I902*L902</f>
        <v>3290</v>
      </c>
      <c r="N902" s="82">
        <f>=K902-M902</f>
        <v>42.1999999999998</v>
      </c>
      <c r="O902" s="64">
        <v>1</v>
      </c>
      <c r="P902" s="64">
        <f>=I902*O902*ROUNDUP((A902-B902)/30,0)</f>
        <v>4</v>
      </c>
      <c r="Q902" s="62" t="s"/>
      <c r="R902" s="62" t="s"/>
    </row>
    <row r="903" spans="1:18" ht="15.75" customHeight="true">
      <c r="A903" s="147">
        <v>46155</v>
      </c>
      <c r="B903" s="460">
        <v>46111</v>
      </c>
      <c r="C903" s="80" t="s">
        <v>218</v>
      </c>
      <c r="D903" s="87" t="s">
        <v>217</v>
      </c>
      <c r="E903" s="450" t="s">
        <v>3103</v>
      </c>
      <c r="F903" s="64" t="s">
        <v>895</v>
      </c>
      <c r="G903" s="64" t="s">
        <v>422</v>
      </c>
      <c r="H903" s="87" t="s">
        <v>1513</v>
      </c>
      <c r="I903" s="87">
        <v>1</v>
      </c>
      <c r="J903" s="87">
        <v>1277.18</v>
      </c>
      <c r="K903" s="427">
        <f>=I903*J903</f>
        <v>1277.18</v>
      </c>
      <c r="L903" s="87">
        <v>1260</v>
      </c>
      <c r="M903" s="428">
        <f>=I903*L903</f>
        <v>1260</v>
      </c>
      <c r="N903" s="82">
        <f>=K903-M903</f>
        <v>17.1800000000001</v>
      </c>
      <c r="O903" s="64">
        <v>1</v>
      </c>
      <c r="P903" s="64">
        <f>=I903*O903*ROUNDUP((A903-B903)/30,0)</f>
        <v>2</v>
      </c>
      <c r="Q903" s="62" t="s"/>
      <c r="R903" s="62" t="s"/>
    </row>
    <row r="904" spans="1:18" ht="15.75" customHeight="true">
      <c r="A904" s="147">
        <v>46155</v>
      </c>
      <c r="B904" s="460">
        <v>46112</v>
      </c>
      <c r="C904" s="80" t="s">
        <v>219</v>
      </c>
      <c r="D904" s="87" t="s">
        <v>217</v>
      </c>
      <c r="E904" s="450" t="s">
        <v>3104</v>
      </c>
      <c r="F904" s="64" t="s">
        <v>895</v>
      </c>
      <c r="G904" s="64" t="s">
        <v>422</v>
      </c>
      <c r="H904" s="87" t="s">
        <v>1515</v>
      </c>
      <c r="I904" s="87">
        <v>1</v>
      </c>
      <c r="J904" s="87">
        <v>1241.48</v>
      </c>
      <c r="K904" s="427">
        <f>=I904*J904</f>
        <v>1241.48</v>
      </c>
      <c r="L904" s="87">
        <v>1225</v>
      </c>
      <c r="M904" s="428">
        <f>=I904*L904</f>
        <v>1225</v>
      </c>
      <c r="N904" s="82">
        <f>=K904-M904</f>
        <v>16.48</v>
      </c>
      <c r="O904" s="64">
        <v>1</v>
      </c>
      <c r="P904" s="64">
        <f>=I904*O904*ROUNDUP((A904-B904)/30,0)</f>
        <v>2</v>
      </c>
      <c r="Q904" s="62" t="s"/>
      <c r="R904" s="62" t="s"/>
    </row>
    <row r="905" spans="1:18" ht="15.75" customHeight="true">
      <c r="A905" s="147">
        <v>46155</v>
      </c>
      <c r="B905" s="460">
        <v>46112</v>
      </c>
      <c r="C905" s="80" t="s">
        <v>219</v>
      </c>
      <c r="D905" s="87" t="s">
        <v>217</v>
      </c>
      <c r="E905" s="450" t="s">
        <v>3105</v>
      </c>
      <c r="F905" s="64" t="s">
        <v>895</v>
      </c>
      <c r="G905" s="64" t="s">
        <v>422</v>
      </c>
      <c r="H905" s="87" t="s">
        <v>1517</v>
      </c>
      <c r="I905" s="87">
        <v>1</v>
      </c>
      <c r="J905" s="87">
        <v>1241.48</v>
      </c>
      <c r="K905" s="427">
        <f>=I905*J905</f>
        <v>1241.48</v>
      </c>
      <c r="L905" s="87">
        <v>1225</v>
      </c>
      <c r="M905" s="428">
        <f>=I905*L905</f>
        <v>1225</v>
      </c>
      <c r="N905" s="82">
        <f>=K905-M905</f>
        <v>16.48</v>
      </c>
      <c r="O905" s="64">
        <v>1</v>
      </c>
      <c r="P905" s="64">
        <f>=I905*O905*ROUNDUP((A905-B905)/30,0)</f>
        <v>2</v>
      </c>
      <c r="Q905" s="62" t="s"/>
      <c r="R905" s="62" t="s"/>
    </row>
    <row r="906" spans="1:18" ht="15.75" customHeight="true">
      <c r="A906" s="147">
        <v>46155</v>
      </c>
      <c r="B906" s="460">
        <v>46112</v>
      </c>
      <c r="C906" s="80" t="s">
        <v>219</v>
      </c>
      <c r="D906" s="87" t="s">
        <v>217</v>
      </c>
      <c r="E906" s="450" t="s">
        <v>3106</v>
      </c>
      <c r="F906" s="64" t="s">
        <v>895</v>
      </c>
      <c r="G906" s="64" t="s">
        <v>422</v>
      </c>
      <c r="H906" s="87" t="s">
        <v>1519</v>
      </c>
      <c r="I906" s="87">
        <v>1</v>
      </c>
      <c r="J906" s="87">
        <v>1666.1</v>
      </c>
      <c r="K906" s="427">
        <f>=I906*J906</f>
        <v>1666.1</v>
      </c>
      <c r="L906" s="87">
        <v>1645</v>
      </c>
      <c r="M906" s="428">
        <f>=I906*L906</f>
        <v>1645</v>
      </c>
      <c r="N906" s="82">
        <f>=K906-M906</f>
        <v>21.0999999999999</v>
      </c>
      <c r="O906" s="64">
        <v>1</v>
      </c>
      <c r="P906" s="64">
        <f>=I906*O906*ROUNDUP((A906-B906)/30,0)</f>
        <v>2</v>
      </c>
      <c r="Q906" s="62" t="s"/>
      <c r="R906" s="62" t="s"/>
    </row>
    <row r="907" spans="1:18" ht="15.75" customHeight="true">
      <c r="A907" s="147">
        <v>46155</v>
      </c>
      <c r="B907" s="460">
        <v>46112</v>
      </c>
      <c r="C907" s="80" t="s">
        <v>219</v>
      </c>
      <c r="D907" s="87" t="s">
        <v>217</v>
      </c>
      <c r="E907" s="450" t="s">
        <v>3107</v>
      </c>
      <c r="F907" s="64" t="s">
        <v>895</v>
      </c>
      <c r="G907" s="64" t="s">
        <v>422</v>
      </c>
      <c r="H907" s="87" t="s">
        <v>1521</v>
      </c>
      <c r="I907" s="87">
        <v>1</v>
      </c>
      <c r="J907" s="87">
        <v>852.24</v>
      </c>
      <c r="K907" s="427">
        <f>=I907*J907</f>
        <v>852.24</v>
      </c>
      <c r="L907" s="87">
        <v>840</v>
      </c>
      <c r="M907" s="428">
        <f>=I907*L907</f>
        <v>840</v>
      </c>
      <c r="N907" s="82">
        <f>=K907-M907</f>
        <v>12.24</v>
      </c>
      <c r="O907" s="64">
        <v>1</v>
      </c>
      <c r="P907" s="64">
        <f>=I907*O907*ROUNDUP((A907-B907)/30,0)</f>
        <v>2</v>
      </c>
      <c r="Q907" s="62" t="s"/>
      <c r="R907" s="62" t="s"/>
    </row>
    <row r="908" spans="1:18" ht="15.75" customHeight="true">
      <c r="A908" s="147">
        <v>46155</v>
      </c>
      <c r="B908" s="460">
        <v>46112</v>
      </c>
      <c r="C908" s="80" t="s">
        <v>219</v>
      </c>
      <c r="D908" s="87" t="s">
        <v>217</v>
      </c>
      <c r="E908" s="450" t="s">
        <v>3108</v>
      </c>
      <c r="F908" s="64" t="s">
        <v>895</v>
      </c>
      <c r="G908" s="64" t="s">
        <v>422</v>
      </c>
      <c r="H908" s="87" t="s">
        <v>1523</v>
      </c>
      <c r="I908" s="87">
        <v>1</v>
      </c>
      <c r="J908" s="87">
        <v>1772.25</v>
      </c>
      <c r="K908" s="427">
        <f>=I908*J908</f>
        <v>1772.25</v>
      </c>
      <c r="L908" s="87">
        <v>1750</v>
      </c>
      <c r="M908" s="428">
        <f>=I908*L908</f>
        <v>1750</v>
      </c>
      <c r="N908" s="82">
        <f>=K908-M908</f>
        <v>22.25</v>
      </c>
      <c r="O908" s="64">
        <v>1</v>
      </c>
      <c r="P908" s="64">
        <f>=I908*O908*ROUNDUP((A908-B908)/30,0)</f>
        <v>2</v>
      </c>
      <c r="Q908" s="62" t="s"/>
      <c r="R908" s="62" t="s"/>
    </row>
    <row r="909" spans="1:18" ht="15.75" customHeight="true">
      <c r="A909" s="147">
        <v>46155</v>
      </c>
      <c r="B909" s="460">
        <v>46112</v>
      </c>
      <c r="C909" s="80" t="s">
        <v>219</v>
      </c>
      <c r="D909" s="87" t="s">
        <v>217</v>
      </c>
      <c r="E909" s="450" t="s">
        <v>3109</v>
      </c>
      <c r="F909" s="64" t="s">
        <v>895</v>
      </c>
      <c r="G909" s="64" t="s">
        <v>422</v>
      </c>
      <c r="H909" s="87" t="s">
        <v>1525</v>
      </c>
      <c r="I909" s="87">
        <v>1</v>
      </c>
      <c r="J909" s="87">
        <v>1949.18</v>
      </c>
      <c r="K909" s="427">
        <f>=I909*J909</f>
        <v>1949.18</v>
      </c>
      <c r="L909" s="87">
        <v>1925</v>
      </c>
      <c r="M909" s="428">
        <f>=I909*L909</f>
        <v>1925</v>
      </c>
      <c r="N909" s="82">
        <f>=K909-M909</f>
        <v>24.1800000000001</v>
      </c>
      <c r="O909" s="64">
        <v>1</v>
      </c>
      <c r="P909" s="64">
        <f>=I909*O909*ROUNDUP((A909-B909)/30,0)</f>
        <v>2</v>
      </c>
      <c r="Q909" s="62" t="s"/>
      <c r="R909" s="62" t="s"/>
    </row>
    <row r="910" spans="1:18" ht="15.75" customHeight="true">
      <c r="A910" s="147">
        <v>46155</v>
      </c>
      <c r="B910" s="460">
        <v>46112</v>
      </c>
      <c r="C910" s="80" t="s">
        <v>219</v>
      </c>
      <c r="D910" s="87" t="s">
        <v>217</v>
      </c>
      <c r="E910" s="450" t="s">
        <v>3110</v>
      </c>
      <c r="F910" s="87" t="s">
        <v>864</v>
      </c>
      <c r="G910" s="140" t="s">
        <v>422</v>
      </c>
      <c r="H910" s="87" t="s">
        <v>1527</v>
      </c>
      <c r="I910" s="87">
        <v>1</v>
      </c>
      <c r="J910" s="87">
        <v>2550.72</v>
      </c>
      <c r="K910" s="427">
        <f>=I910*J910</f>
        <v>2550.72</v>
      </c>
      <c r="L910" s="87">
        <v>2520</v>
      </c>
      <c r="M910" s="428">
        <f>=I910*L910</f>
        <v>2520</v>
      </c>
      <c r="N910" s="82">
        <f>=K910-M910</f>
        <v>30.7199999999998</v>
      </c>
      <c r="O910" s="64">
        <v>1</v>
      </c>
      <c r="P910" s="64">
        <f>=I910*O910*ROUNDUP((A910-B910)/30,0)</f>
        <v>2</v>
      </c>
      <c r="Q910" s="62" t="s"/>
      <c r="R910" s="62" t="s"/>
    </row>
    <row r="911" spans="1:18" ht="15.75" customHeight="true">
      <c r="A911" s="147">
        <v>46155</v>
      </c>
      <c r="B911" s="460">
        <v>46112</v>
      </c>
      <c r="C911" s="80" t="s">
        <v>219</v>
      </c>
      <c r="D911" s="87" t="s">
        <v>217</v>
      </c>
      <c r="E911" s="450" t="s">
        <v>3111</v>
      </c>
      <c r="F911" s="87" t="s">
        <v>864</v>
      </c>
      <c r="G911" s="140" t="s">
        <v>422</v>
      </c>
      <c r="H911" s="64" t="s">
        <v>1529</v>
      </c>
      <c r="I911" s="87">
        <v>1</v>
      </c>
      <c r="J911" s="87">
        <v>1347.63</v>
      </c>
      <c r="K911" s="427">
        <f>=I911*J911</f>
        <v>1347.63</v>
      </c>
      <c r="L911" s="87">
        <v>1330</v>
      </c>
      <c r="M911" s="428">
        <f>=I911*L911</f>
        <v>1330</v>
      </c>
      <c r="N911" s="82">
        <f>=K911-M911</f>
        <v>17.6300000000001</v>
      </c>
      <c r="O911" s="64">
        <v>1</v>
      </c>
      <c r="P911" s="64">
        <f>=I911*O911*ROUNDUP((A911-B911)/30,0)</f>
        <v>2</v>
      </c>
      <c r="Q911" s="62" t="s"/>
      <c r="R911" s="62" t="s"/>
    </row>
    <row r="912" spans="1:18" ht="15.75" customHeight="true">
      <c r="A912" s="147">
        <v>46155</v>
      </c>
      <c r="B912" s="460">
        <v>46112</v>
      </c>
      <c r="C912" s="80" t="s">
        <v>219</v>
      </c>
      <c r="D912" s="87" t="s">
        <v>217</v>
      </c>
      <c r="E912" s="450" t="s">
        <v>3112</v>
      </c>
      <c r="F912" s="140" t="s">
        <v>864</v>
      </c>
      <c r="G912" s="140" t="s">
        <v>422</v>
      </c>
      <c r="H912" s="64" t="s">
        <v>1531</v>
      </c>
      <c r="I912" s="140">
        <v>1</v>
      </c>
      <c r="J912" s="87">
        <v>1807.64</v>
      </c>
      <c r="K912" s="427">
        <f>=I912*J912</f>
        <v>1807.64</v>
      </c>
      <c r="L912" s="140">
        <v>1785</v>
      </c>
      <c r="M912" s="428">
        <f>=I912*L912</f>
        <v>1785</v>
      </c>
      <c r="N912" s="82">
        <f>=K912-M912</f>
        <v>22.6400000000001</v>
      </c>
      <c r="O912" s="64">
        <v>1</v>
      </c>
      <c r="P912" s="64">
        <f>=I912*O912*ROUNDUP((A912-B912)/30,0)</f>
        <v>2</v>
      </c>
      <c r="Q912" s="62" t="s"/>
      <c r="R912" s="62" t="s"/>
    </row>
    <row r="913" spans="1:18" ht="15.75" customHeight="true">
      <c r="A913" s="147">
        <v>46155</v>
      </c>
      <c r="B913" s="460">
        <v>46112</v>
      </c>
      <c r="C913" s="80" t="s">
        <v>219</v>
      </c>
      <c r="D913" s="87" t="s">
        <v>217</v>
      </c>
      <c r="E913" s="450" t="s">
        <v>3113</v>
      </c>
      <c r="F913" s="140" t="s">
        <v>864</v>
      </c>
      <c r="G913" s="140" t="s">
        <v>422</v>
      </c>
      <c r="H913" s="64" t="s">
        <v>1533</v>
      </c>
      <c r="I913" s="140">
        <v>1</v>
      </c>
      <c r="J913" s="87">
        <v>2055.33</v>
      </c>
      <c r="K913" s="427">
        <f>=I913*J913</f>
        <v>2055.33</v>
      </c>
      <c r="L913" s="140">
        <v>2030</v>
      </c>
      <c r="M913" s="428">
        <f>=I913*L913</f>
        <v>2030</v>
      </c>
      <c r="N913" s="82">
        <f>=K913-M913</f>
        <v>25.3299999999999</v>
      </c>
      <c r="O913" s="64">
        <v>1</v>
      </c>
      <c r="P913" s="64">
        <f>=I913*O913*ROUNDUP((A913-B913)/30,0)</f>
        <v>2</v>
      </c>
      <c r="Q913" s="62" t="s"/>
      <c r="R913" s="62" t="s"/>
    </row>
    <row r="914" spans="1:18" ht="15.75" customHeight="true">
      <c r="A914" s="147">
        <v>46155</v>
      </c>
      <c r="B914" s="460">
        <v>46112</v>
      </c>
      <c r="C914" s="80" t="s">
        <v>219</v>
      </c>
      <c r="D914" s="87" t="s">
        <v>217</v>
      </c>
      <c r="E914" s="450" t="s">
        <v>3114</v>
      </c>
      <c r="F914" s="140" t="s">
        <v>864</v>
      </c>
      <c r="G914" s="140" t="s">
        <v>422</v>
      </c>
      <c r="H914" s="64" t="s">
        <v>1535</v>
      </c>
      <c r="I914" s="140">
        <v>1</v>
      </c>
      <c r="J914" s="87">
        <v>2019.95</v>
      </c>
      <c r="K914" s="427">
        <f>=I914*J914</f>
        <v>2019.95</v>
      </c>
      <c r="L914" s="140">
        <v>1995</v>
      </c>
      <c r="M914" s="428">
        <f>=I914*L914</f>
        <v>1995</v>
      </c>
      <c r="N914" s="82">
        <f>=K914-M914</f>
        <v>24.9500000000001</v>
      </c>
      <c r="O914" s="64">
        <v>1</v>
      </c>
      <c r="P914" s="64">
        <f>=I914*O914*ROUNDUP((A914-B914)/30,0)</f>
        <v>2</v>
      </c>
      <c r="Q914" s="62" t="s"/>
      <c r="R914" s="62" t="s"/>
    </row>
    <row r="915" spans="1:18" ht="15.75" customHeight="true">
      <c r="A915" s="147">
        <v>46155</v>
      </c>
      <c r="B915" s="460">
        <v>46112</v>
      </c>
      <c r="C915" s="80" t="s">
        <v>219</v>
      </c>
      <c r="D915" s="87" t="s">
        <v>217</v>
      </c>
      <c r="E915" s="450" t="s">
        <v>3115</v>
      </c>
      <c r="F915" s="140" t="s">
        <v>864</v>
      </c>
      <c r="G915" s="140" t="s">
        <v>422</v>
      </c>
      <c r="H915" s="64" t="s">
        <v>1537</v>
      </c>
      <c r="I915" s="140">
        <v>1</v>
      </c>
      <c r="J915" s="87">
        <v>2267.64</v>
      </c>
      <c r="K915" s="427">
        <f>=I915*J915</f>
        <v>2267.64</v>
      </c>
      <c r="L915" s="140">
        <v>2240</v>
      </c>
      <c r="M915" s="428">
        <f>=I915*L915</f>
        <v>2240</v>
      </c>
      <c r="N915" s="82">
        <f>=K915-M915</f>
        <v>27.6399999999999</v>
      </c>
      <c r="O915" s="64">
        <v>1</v>
      </c>
      <c r="P915" s="64">
        <f>=I915*O915*ROUNDUP((A915-B915)/30,0)</f>
        <v>2</v>
      </c>
      <c r="Q915" s="62" t="s"/>
      <c r="R915" s="62" t="s"/>
    </row>
    <row r="916" spans="1:18" ht="15.75" customHeight="true">
      <c r="A916" s="147">
        <v>46155</v>
      </c>
      <c r="B916" s="460">
        <v>46112</v>
      </c>
      <c r="C916" s="80" t="s">
        <v>219</v>
      </c>
      <c r="D916" s="87" t="s">
        <v>217</v>
      </c>
      <c r="E916" s="450" t="s">
        <v>3116</v>
      </c>
      <c r="F916" s="140" t="s">
        <v>864</v>
      </c>
      <c r="G916" s="140" t="s">
        <v>422</v>
      </c>
      <c r="H916" s="64" t="s">
        <v>1539</v>
      </c>
      <c r="I916" s="140">
        <v>1</v>
      </c>
      <c r="J916" s="87">
        <v>1559.94</v>
      </c>
      <c r="K916" s="427">
        <f>=I916*J916</f>
        <v>1559.94</v>
      </c>
      <c r="L916" s="140">
        <v>1540</v>
      </c>
      <c r="M916" s="428">
        <f>=I916*L916</f>
        <v>1540</v>
      </c>
      <c r="N916" s="82">
        <f>=K916-M916</f>
        <v>19.9400000000001</v>
      </c>
      <c r="O916" s="64">
        <v>1</v>
      </c>
      <c r="P916" s="64">
        <f>=I916*O916*ROUNDUP((A916-B916)/30,0)</f>
        <v>2</v>
      </c>
      <c r="Q916" s="62" t="s"/>
      <c r="R916" s="62" t="s"/>
    </row>
    <row r="917" spans="1:18" ht="15.75" customHeight="true">
      <c r="A917" s="147">
        <v>46155</v>
      </c>
      <c r="B917" s="460">
        <v>46112</v>
      </c>
      <c r="C917" s="80" t="s">
        <v>219</v>
      </c>
      <c r="D917" s="87" t="s">
        <v>217</v>
      </c>
      <c r="E917" s="450" t="s">
        <v>3117</v>
      </c>
      <c r="F917" s="87" t="s">
        <v>864</v>
      </c>
      <c r="G917" s="140" t="s">
        <v>422</v>
      </c>
      <c r="H917" s="64" t="s">
        <v>1541</v>
      </c>
      <c r="I917" s="87">
        <v>1</v>
      </c>
      <c r="J917" s="87">
        <v>1489.17</v>
      </c>
      <c r="K917" s="427">
        <f>=I917*J917</f>
        <v>1489.17</v>
      </c>
      <c r="L917" s="87">
        <v>1470</v>
      </c>
      <c r="M917" s="428">
        <f>=I917*L917</f>
        <v>1470</v>
      </c>
      <c r="N917" s="82">
        <f>=K917-M917</f>
        <v>19.1700000000001</v>
      </c>
      <c r="O917" s="64">
        <v>1</v>
      </c>
      <c r="P917" s="64">
        <f>=I917*O917*ROUNDUP((A917-B917)/30,0)</f>
        <v>2</v>
      </c>
      <c r="Q917" s="62" t="s"/>
      <c r="R917" s="62" t="s"/>
    </row>
    <row r="918" spans="1:18" ht="15.75" customHeight="true">
      <c r="A918" s="147">
        <v>46155</v>
      </c>
      <c r="B918" s="460">
        <v>46112</v>
      </c>
      <c r="C918" s="80" t="s">
        <v>219</v>
      </c>
      <c r="D918" s="87" t="s">
        <v>217</v>
      </c>
      <c r="E918" s="450" t="s">
        <v>3118</v>
      </c>
      <c r="F918" s="87" t="s">
        <v>864</v>
      </c>
      <c r="G918" s="140" t="s">
        <v>422</v>
      </c>
      <c r="H918" s="64" t="s">
        <v>1543</v>
      </c>
      <c r="I918" s="87">
        <v>1</v>
      </c>
      <c r="J918" s="87">
        <v>1489.17</v>
      </c>
      <c r="K918" s="427">
        <f>=I918*J918</f>
        <v>1489.17</v>
      </c>
      <c r="L918" s="87">
        <v>1470</v>
      </c>
      <c r="M918" s="428">
        <f>=I918*L918</f>
        <v>1470</v>
      </c>
      <c r="N918" s="82">
        <f>=K918-M918</f>
        <v>19.1700000000001</v>
      </c>
      <c r="O918" s="64">
        <v>1</v>
      </c>
      <c r="P918" s="64">
        <f>=I918*O918*ROUNDUP((A918-B918)/30,0)</f>
        <v>2</v>
      </c>
      <c r="Q918" s="62" t="s"/>
      <c r="R918" s="62" t="s"/>
    </row>
    <row r="919" spans="1:18" ht="15.75" customHeight="true">
      <c r="A919" s="147">
        <v>46155</v>
      </c>
      <c r="B919" s="460">
        <v>46112</v>
      </c>
      <c r="C919" s="80" t="s">
        <v>219</v>
      </c>
      <c r="D919" s="87" t="s">
        <v>217</v>
      </c>
      <c r="E919" s="450" t="s">
        <v>3119</v>
      </c>
      <c r="F919" s="94" t="s">
        <v>503</v>
      </c>
      <c r="G919" s="64" t="s">
        <v>422</v>
      </c>
      <c r="H919" s="87" t="s">
        <v>1545</v>
      </c>
      <c r="I919" s="87">
        <v>1</v>
      </c>
      <c r="J919" s="87">
        <v>1736.87</v>
      </c>
      <c r="K919" s="427">
        <f>=I919*J919</f>
        <v>1736.87</v>
      </c>
      <c r="L919" s="87">
        <v>1715</v>
      </c>
      <c r="M919" s="428">
        <f>=I919*L919</f>
        <v>1715</v>
      </c>
      <c r="N919" s="82">
        <f>=K919-M919</f>
        <v>21.8699999999999</v>
      </c>
      <c r="O919" s="64">
        <v>1</v>
      </c>
      <c r="P919" s="64">
        <f>=I919*O919*ROUNDUP((A919-B919)/30,0)</f>
        <v>2</v>
      </c>
      <c r="Q919" s="62" t="s"/>
      <c r="R919" s="62" t="s"/>
    </row>
    <row r="920" spans="1:18" ht="15.75" customHeight="true">
      <c r="A920" s="147">
        <v>46155</v>
      </c>
      <c r="B920" s="460">
        <v>46112</v>
      </c>
      <c r="C920" s="80" t="s">
        <v>219</v>
      </c>
      <c r="D920" s="87" t="s">
        <v>217</v>
      </c>
      <c r="E920" s="450" t="s">
        <v>3120</v>
      </c>
      <c r="F920" s="94" t="s">
        <v>503</v>
      </c>
      <c r="G920" s="64" t="s">
        <v>422</v>
      </c>
      <c r="H920" s="87" t="s">
        <v>1547</v>
      </c>
      <c r="I920" s="87">
        <v>1</v>
      </c>
      <c r="J920" s="87">
        <v>1736.87</v>
      </c>
      <c r="K920" s="427">
        <f>=I920*J920</f>
        <v>1736.87</v>
      </c>
      <c r="L920" s="87">
        <v>1715</v>
      </c>
      <c r="M920" s="428">
        <f>=I920*L920</f>
        <v>1715</v>
      </c>
      <c r="N920" s="82">
        <f>=K920-M920</f>
        <v>21.8699999999999</v>
      </c>
      <c r="O920" s="64">
        <v>1</v>
      </c>
      <c r="P920" s="64">
        <f>=I920*O920*ROUNDUP((A920-B920)/30,0)</f>
        <v>2</v>
      </c>
      <c r="Q920" s="62" t="s"/>
      <c r="R920" s="62" t="s"/>
    </row>
    <row r="921" spans="1:18" ht="15.75" customHeight="true">
      <c r="A921" s="147">
        <v>46155</v>
      </c>
      <c r="B921" s="460">
        <v>46112</v>
      </c>
      <c r="C921" s="80" t="s">
        <v>219</v>
      </c>
      <c r="D921" s="87" t="s">
        <v>217</v>
      </c>
      <c r="E921" s="450" t="s">
        <v>3121</v>
      </c>
      <c r="F921" s="94" t="s">
        <v>503</v>
      </c>
      <c r="G921" s="64" t="s">
        <v>422</v>
      </c>
      <c r="H921" s="87" t="s">
        <v>1392</v>
      </c>
      <c r="I921" s="87">
        <v>1</v>
      </c>
      <c r="J921" s="87">
        <v>1736.87</v>
      </c>
      <c r="K921" s="427">
        <f>=I921*J921</f>
        <v>1736.87</v>
      </c>
      <c r="L921" s="87">
        <v>1715</v>
      </c>
      <c r="M921" s="428">
        <f>=I921*L921</f>
        <v>1715</v>
      </c>
      <c r="N921" s="82">
        <f>=K921-M921</f>
        <v>21.8699999999999</v>
      </c>
      <c r="O921" s="64">
        <v>1</v>
      </c>
      <c r="P921" s="64">
        <f>=I921*O921*ROUNDUP((A921-B921)/30,0)</f>
        <v>2</v>
      </c>
      <c r="Q921" s="62" t="s"/>
      <c r="R921" s="62" t="s"/>
    </row>
    <row r="922" spans="1:18" ht="15.75" customHeight="true">
      <c r="A922" s="147">
        <v>46155</v>
      </c>
      <c r="B922" s="460">
        <v>46112</v>
      </c>
      <c r="C922" s="80" t="s">
        <v>219</v>
      </c>
      <c r="D922" s="87" t="s">
        <v>217</v>
      </c>
      <c r="E922" s="450" t="s">
        <v>3122</v>
      </c>
      <c r="F922" s="94" t="s">
        <v>503</v>
      </c>
      <c r="G922" s="64" t="s">
        <v>422</v>
      </c>
      <c r="H922" s="64" t="s">
        <v>1550</v>
      </c>
      <c r="I922" s="64">
        <v>1</v>
      </c>
      <c r="J922" s="87">
        <v>2090.72</v>
      </c>
      <c r="K922" s="427">
        <f>=I922*J922</f>
        <v>2090.72</v>
      </c>
      <c r="L922" s="64">
        <v>2065</v>
      </c>
      <c r="M922" s="428">
        <f>=I922*L922</f>
        <v>2065</v>
      </c>
      <c r="N922" s="82">
        <f>=K922-M922</f>
        <v>25.7199999999998</v>
      </c>
      <c r="O922" s="64">
        <v>1</v>
      </c>
      <c r="P922" s="64">
        <f>=I922*O922*ROUNDUP((A922-B922)/30,0)</f>
        <v>2</v>
      </c>
      <c r="Q922" s="62" t="s"/>
      <c r="R922" s="62" t="s"/>
    </row>
    <row r="923" spans="1:18" ht="15.75" customHeight="true">
      <c r="A923" s="147">
        <v>46155</v>
      </c>
      <c r="B923" s="460">
        <v>46112</v>
      </c>
      <c r="C923" s="80" t="s">
        <v>219</v>
      </c>
      <c r="D923" s="87" t="s">
        <v>217</v>
      </c>
      <c r="E923" s="450" t="s">
        <v>3123</v>
      </c>
      <c r="F923" s="94" t="s">
        <v>503</v>
      </c>
      <c r="G923" s="64" t="s">
        <v>422</v>
      </c>
      <c r="H923" s="87" t="s">
        <v>1552</v>
      </c>
      <c r="I923" s="87">
        <v>1</v>
      </c>
      <c r="J923" s="87">
        <v>1241.48</v>
      </c>
      <c r="K923" s="427">
        <f>=I923*J923</f>
        <v>1241.48</v>
      </c>
      <c r="L923" s="87">
        <v>1225</v>
      </c>
      <c r="M923" s="428">
        <f>=I923*L923</f>
        <v>1225</v>
      </c>
      <c r="N923" s="82">
        <f>=K923-M923</f>
        <v>16.48</v>
      </c>
      <c r="O923" s="64">
        <v>1</v>
      </c>
      <c r="P923" s="64">
        <f>=I923*O923*ROUNDUP((A923-B923)/30,0)</f>
        <v>2</v>
      </c>
      <c r="Q923" s="62" t="s"/>
      <c r="R923" s="62" t="s"/>
    </row>
    <row r="924" spans="1:18" ht="15.75" customHeight="true">
      <c r="A924" s="147">
        <v>46155</v>
      </c>
      <c r="B924" s="460">
        <v>46112</v>
      </c>
      <c r="C924" s="80" t="s">
        <v>219</v>
      </c>
      <c r="D924" s="87" t="s">
        <v>217</v>
      </c>
      <c r="E924" s="450" t="s">
        <v>3124</v>
      </c>
      <c r="F924" s="94" t="s">
        <v>503</v>
      </c>
      <c r="G924" s="64" t="s">
        <v>422</v>
      </c>
      <c r="H924" s="64" t="s">
        <v>1554</v>
      </c>
      <c r="I924" s="64">
        <v>1</v>
      </c>
      <c r="J924" s="87">
        <v>1383.02</v>
      </c>
      <c r="K924" s="427">
        <f>=I924*J924</f>
        <v>1383.02</v>
      </c>
      <c r="L924" s="64">
        <v>1365</v>
      </c>
      <c r="M924" s="428">
        <f>=I924*L924</f>
        <v>1365</v>
      </c>
      <c r="N924" s="82">
        <f>=K924-M924</f>
        <v>18.02</v>
      </c>
      <c r="O924" s="64">
        <v>1</v>
      </c>
      <c r="P924" s="64">
        <f>=I924*O924*ROUNDUP((A924-B924)/30,0)</f>
        <v>2</v>
      </c>
      <c r="Q924" s="62" t="s"/>
      <c r="R924" s="62" t="s"/>
    </row>
    <row r="925" spans="1:18" ht="15.75" customHeight="true">
      <c r="A925" s="147">
        <v>46155</v>
      </c>
      <c r="B925" s="460">
        <v>46112</v>
      </c>
      <c r="C925" s="80" t="s">
        <v>219</v>
      </c>
      <c r="D925" s="87" t="s">
        <v>217</v>
      </c>
      <c r="E925" s="450" t="s">
        <v>3125</v>
      </c>
      <c r="F925" s="94" t="s">
        <v>503</v>
      </c>
      <c r="G925" s="64" t="s">
        <v>422</v>
      </c>
      <c r="H925" s="64" t="s">
        <v>1556</v>
      </c>
      <c r="I925" s="64">
        <v>1</v>
      </c>
      <c r="J925" s="87">
        <v>2019.95</v>
      </c>
      <c r="K925" s="427">
        <f>=I925*J925</f>
        <v>2019.95</v>
      </c>
      <c r="L925" s="64">
        <v>1995</v>
      </c>
      <c r="M925" s="428">
        <f>=I925*L925</f>
        <v>1995</v>
      </c>
      <c r="N925" s="82">
        <f>=K925-M925</f>
        <v>24.9500000000001</v>
      </c>
      <c r="O925" s="64">
        <v>1</v>
      </c>
      <c r="P925" s="64">
        <f>=I925*O925*ROUNDUP((A925-B925)/30,0)</f>
        <v>2</v>
      </c>
      <c r="Q925" s="62" t="s"/>
      <c r="R925" s="62" t="s"/>
    </row>
    <row r="926" spans="1:18" ht="15.75" customHeight="true">
      <c r="A926" s="147">
        <v>46155</v>
      </c>
      <c r="B926" s="460">
        <v>46112</v>
      </c>
      <c r="C926" s="80" t="s">
        <v>219</v>
      </c>
      <c r="D926" s="87" t="s">
        <v>217</v>
      </c>
      <c r="E926" s="450" t="s">
        <v>3126</v>
      </c>
      <c r="F926" s="64" t="s">
        <v>1438</v>
      </c>
      <c r="G926" s="64" t="s">
        <v>422</v>
      </c>
      <c r="H926" s="64" t="s">
        <v>1558</v>
      </c>
      <c r="I926" s="64">
        <v>1</v>
      </c>
      <c r="J926" s="87">
        <v>1666.1</v>
      </c>
      <c r="K926" s="427">
        <f>=I926*J926</f>
        <v>1666.1</v>
      </c>
      <c r="L926" s="64">
        <v>1645</v>
      </c>
      <c r="M926" s="428">
        <f>=I926*L926</f>
        <v>1645</v>
      </c>
      <c r="N926" s="82">
        <f>=K926-M926</f>
        <v>21.0999999999999</v>
      </c>
      <c r="O926" s="64">
        <v>1</v>
      </c>
      <c r="P926" s="64">
        <f>=I926*O926*ROUNDUP((A926-B926)/30,0)</f>
        <v>2</v>
      </c>
      <c r="Q926" s="62" t="s"/>
      <c r="R926" s="62" t="s"/>
    </row>
    <row r="927" spans="1:18" ht="15.75" customHeight="true">
      <c r="A927" s="147">
        <v>46155</v>
      </c>
      <c r="B927" s="460">
        <v>46112</v>
      </c>
      <c r="C927" s="80" t="s">
        <v>219</v>
      </c>
      <c r="D927" s="87" t="s">
        <v>217</v>
      </c>
      <c r="E927" s="450" t="s">
        <v>3127</v>
      </c>
      <c r="F927" s="64" t="s">
        <v>1438</v>
      </c>
      <c r="G927" s="64" t="s">
        <v>422</v>
      </c>
      <c r="H927" s="64" t="s">
        <v>1560</v>
      </c>
      <c r="I927" s="64">
        <v>1</v>
      </c>
      <c r="J927" s="87">
        <v>1878.41</v>
      </c>
      <c r="K927" s="427">
        <f>=I927*J927</f>
        <v>1878.41</v>
      </c>
      <c r="L927" s="64">
        <v>1855</v>
      </c>
      <c r="M927" s="428">
        <f>=I927*L927</f>
        <v>1855</v>
      </c>
      <c r="N927" s="82">
        <f>=K927-M927</f>
        <v>23.4100000000001</v>
      </c>
      <c r="O927" s="64">
        <v>1</v>
      </c>
      <c r="P927" s="64">
        <f>=I927*O927*ROUNDUP((A927-B927)/30,0)</f>
        <v>2</v>
      </c>
      <c r="Q927" s="62" t="s"/>
      <c r="R927" s="62" t="s"/>
    </row>
    <row r="928" spans="1:18" ht="15.75" customHeight="true">
      <c r="A928" s="147">
        <v>46155</v>
      </c>
      <c r="B928" s="460">
        <v>46112</v>
      </c>
      <c r="C928" s="80" t="s">
        <v>219</v>
      </c>
      <c r="D928" s="87" t="s">
        <v>217</v>
      </c>
      <c r="E928" s="450" t="s">
        <v>3128</v>
      </c>
      <c r="F928" s="64" t="s">
        <v>1438</v>
      </c>
      <c r="G928" s="64" t="s">
        <v>422</v>
      </c>
      <c r="H928" s="64" t="s">
        <v>1562</v>
      </c>
      <c r="I928" s="64">
        <v>1</v>
      </c>
      <c r="J928" s="87">
        <v>1878.41</v>
      </c>
      <c r="K928" s="427">
        <f>=I928*J928</f>
        <v>1878.41</v>
      </c>
      <c r="L928" s="64">
        <v>1855</v>
      </c>
      <c r="M928" s="428">
        <f>=I928*L928</f>
        <v>1855</v>
      </c>
      <c r="N928" s="82">
        <f>=K928-M928</f>
        <v>23.4100000000001</v>
      </c>
      <c r="O928" s="64">
        <v>1</v>
      </c>
      <c r="P928" s="64">
        <f>=I928*O928*ROUNDUP((A928-B928)/30,0)</f>
        <v>2</v>
      </c>
      <c r="Q928" s="62" t="s"/>
      <c r="R928" s="62" t="s"/>
    </row>
    <row r="929" spans="1:18" ht="15.75" customHeight="true">
      <c r="A929" s="147">
        <v>46155</v>
      </c>
      <c r="B929" s="460">
        <v>46112</v>
      </c>
      <c r="C929" s="80" t="s">
        <v>219</v>
      </c>
      <c r="D929" s="87" t="s">
        <v>217</v>
      </c>
      <c r="E929" s="450" t="s">
        <v>3129</v>
      </c>
      <c r="F929" s="64" t="s">
        <v>1438</v>
      </c>
      <c r="G929" s="64" t="s">
        <v>422</v>
      </c>
      <c r="H929" s="64" t="s">
        <v>1564</v>
      </c>
      <c r="I929" s="64">
        <v>1</v>
      </c>
      <c r="J929" s="87">
        <v>1878.41</v>
      </c>
      <c r="K929" s="427">
        <f>=I929*J929</f>
        <v>1878.41</v>
      </c>
      <c r="L929" s="64">
        <v>1855</v>
      </c>
      <c r="M929" s="428">
        <f>=I929*L929</f>
        <v>1855</v>
      </c>
      <c r="N929" s="82">
        <f>=K929-M929</f>
        <v>23.4100000000001</v>
      </c>
      <c r="O929" s="64">
        <v>1</v>
      </c>
      <c r="P929" s="64">
        <f>=I929*O929*ROUNDUP((A929-B929)/30,0)</f>
        <v>2</v>
      </c>
      <c r="Q929" s="62" t="s"/>
      <c r="R929" s="62" t="s"/>
    </row>
    <row r="930" spans="1:18" ht="15.75" customHeight="true">
      <c r="A930" s="147">
        <v>46155</v>
      </c>
      <c r="B930" s="460">
        <v>46112</v>
      </c>
      <c r="C930" s="80" t="s">
        <v>219</v>
      </c>
      <c r="D930" s="87" t="s">
        <v>217</v>
      </c>
      <c r="E930" s="450" t="s">
        <v>3130</v>
      </c>
      <c r="F930" s="64" t="s">
        <v>1438</v>
      </c>
      <c r="G930" s="64" t="s">
        <v>422</v>
      </c>
      <c r="H930" s="64" t="s">
        <v>1566</v>
      </c>
      <c r="I930" s="64">
        <v>1</v>
      </c>
      <c r="J930" s="87">
        <v>2161.49</v>
      </c>
      <c r="K930" s="427">
        <f>=I930*J930</f>
        <v>2161.49</v>
      </c>
      <c r="L930" s="64">
        <v>2135</v>
      </c>
      <c r="M930" s="428">
        <f>=I930*L930</f>
        <v>2135</v>
      </c>
      <c r="N930" s="82">
        <f>=K930-M930</f>
        <v>26.4899999999998</v>
      </c>
      <c r="O930" s="64">
        <v>1</v>
      </c>
      <c r="P930" s="64">
        <f>=I930*O930*ROUNDUP((A930-B930)/30,0)</f>
        <v>2</v>
      </c>
      <c r="Q930" s="62" t="s"/>
      <c r="R930" s="62" t="s"/>
    </row>
    <row r="931" spans="1:18" ht="15.75" customHeight="true">
      <c r="A931" s="147">
        <v>46155</v>
      </c>
      <c r="B931" s="460">
        <v>46112</v>
      </c>
      <c r="C931" s="80" t="s">
        <v>219</v>
      </c>
      <c r="D931" s="87" t="s">
        <v>217</v>
      </c>
      <c r="E931" s="450" t="s">
        <v>3131</v>
      </c>
      <c r="F931" s="64" t="s">
        <v>1438</v>
      </c>
      <c r="G931" s="64" t="s">
        <v>422</v>
      </c>
      <c r="H931" s="64" t="s">
        <v>1568</v>
      </c>
      <c r="I931" s="64">
        <v>1</v>
      </c>
      <c r="J931" s="87">
        <v>2939.96</v>
      </c>
      <c r="K931" s="427">
        <f>=I931*J931</f>
        <v>2939.96</v>
      </c>
      <c r="L931" s="64">
        <v>2905</v>
      </c>
      <c r="M931" s="428">
        <f>=I931*L931</f>
        <v>2905</v>
      </c>
      <c r="N931" s="82">
        <f>=K931-M931</f>
        <v>34.96</v>
      </c>
      <c r="O931" s="64">
        <v>1</v>
      </c>
      <c r="P931" s="64">
        <f>=I931*O931*ROUNDUP((A931-B931)/30,0)</f>
        <v>2</v>
      </c>
      <c r="Q931" s="62" t="s"/>
      <c r="R931" s="62" t="s"/>
    </row>
    <row r="932" spans="1:18" ht="15.75" customHeight="true">
      <c r="A932" s="147">
        <v>46155</v>
      </c>
      <c r="B932" s="460">
        <v>46112</v>
      </c>
      <c r="C932" s="80" t="s">
        <v>219</v>
      </c>
      <c r="D932" s="87" t="s">
        <v>217</v>
      </c>
      <c r="E932" s="450" t="s">
        <v>3132</v>
      </c>
      <c r="F932" s="64" t="s">
        <v>895</v>
      </c>
      <c r="G932" s="64" t="s">
        <v>422</v>
      </c>
      <c r="H932" s="64" t="s">
        <v>1570</v>
      </c>
      <c r="I932" s="64">
        <v>1</v>
      </c>
      <c r="J932" s="87">
        <v>1276.86</v>
      </c>
      <c r="K932" s="427">
        <f>=I932*J932</f>
        <v>1276.86</v>
      </c>
      <c r="L932" s="87">
        <v>1260</v>
      </c>
      <c r="M932" s="428">
        <f>=I932*L932</f>
        <v>1260</v>
      </c>
      <c r="N932" s="82">
        <f>=K932-M932</f>
        <v>16.8599999999999</v>
      </c>
      <c r="O932" s="64">
        <v>1</v>
      </c>
      <c r="P932" s="64">
        <f>=I932*O932*ROUNDUP((A932-B932)/30,0)</f>
        <v>2</v>
      </c>
      <c r="Q932" s="62" t="s"/>
      <c r="R932" s="62" t="s"/>
    </row>
    <row r="933" spans="1:18" ht="15.75" customHeight="true">
      <c r="A933" s="147">
        <v>46156</v>
      </c>
      <c r="B933" s="460">
        <v>46143</v>
      </c>
      <c r="C933" s="80" t="s">
        <v>308</v>
      </c>
      <c r="D933" s="308" t="s">
        <v>305</v>
      </c>
      <c r="E933" s="493" t="s">
        <v>3133</v>
      </c>
      <c r="F933" s="87" t="s">
        <v>2041</v>
      </c>
      <c r="G933" s="87" t="s">
        <v>470</v>
      </c>
      <c r="H933" s="64" t="s">
        <v>2048</v>
      </c>
      <c r="I933" s="87">
        <v>50</v>
      </c>
      <c r="J933" s="249">
        <v>6422.8</v>
      </c>
      <c r="K933" s="427">
        <f>=I933*J933</f>
        <v>321140</v>
      </c>
      <c r="L933" s="308">
        <v>6400</v>
      </c>
      <c r="M933" s="428">
        <f>=I933*L933</f>
        <v>320000</v>
      </c>
      <c r="N933" s="82">
        <f>=K933-M933</f>
        <v>1140</v>
      </c>
      <c r="O933" s="64">
        <v>1.5</v>
      </c>
      <c r="P933" s="64">
        <f>=I933*O933*ROUNDUP((A933-B933)/30,0)</f>
        <v>75</v>
      </c>
      <c r="Q933" s="62" t="s"/>
      <c r="R933" s="62" t="s"/>
    </row>
    <row r="934" spans="1:18" ht="15.75" customHeight="true">
      <c r="A934" s="147">
        <v>46156</v>
      </c>
      <c r="B934" s="460">
        <v>46106</v>
      </c>
      <c r="C934" s="80" t="s">
        <v>187</v>
      </c>
      <c r="D934" s="64" t="s">
        <v>135</v>
      </c>
      <c r="E934" s="471" t="s">
        <v>3134</v>
      </c>
      <c r="F934" s="64" t="s">
        <v>428</v>
      </c>
      <c r="G934" s="64" t="s">
        <v>422</v>
      </c>
      <c r="H934" s="64" t="s">
        <v>1036</v>
      </c>
      <c r="I934" s="64">
        <v>400</v>
      </c>
      <c r="J934" s="353">
        <v>604.44</v>
      </c>
      <c r="K934" s="427">
        <f>=I934*J934</f>
        <v>241776</v>
      </c>
      <c r="L934" s="64">
        <v>595</v>
      </c>
      <c r="M934" s="428">
        <f>=I934*L934</f>
        <v>238000</v>
      </c>
      <c r="N934" s="82">
        <f>=K934-M934</f>
        <v>3776.00000000003</v>
      </c>
      <c r="O934" s="64">
        <v>1</v>
      </c>
      <c r="P934" s="64">
        <f>=I934*O934*ROUNDUP((A934-B934)/30,0)</f>
        <v>800</v>
      </c>
      <c r="Q934" s="62" t="s"/>
      <c r="R934" s="62" t="s"/>
    </row>
    <row r="935" spans="1:18" ht="15.75" customHeight="true">
      <c r="A935" s="147">
        <v>46156</v>
      </c>
      <c r="B935" s="460">
        <v>46089</v>
      </c>
      <c r="C935" s="80" t="s">
        <v>136</v>
      </c>
      <c r="D935" s="64" t="s">
        <v>135</v>
      </c>
      <c r="E935" s="471" t="s">
        <v>3135</v>
      </c>
      <c r="F935" s="64" t="s">
        <v>428</v>
      </c>
      <c r="G935" s="64" t="s">
        <v>422</v>
      </c>
      <c r="H935" s="64" t="s">
        <v>2773</v>
      </c>
      <c r="I935" s="87">
        <v>180</v>
      </c>
      <c r="J935" s="353">
        <v>1179.88</v>
      </c>
      <c r="K935" s="427">
        <f>=I935*J935</f>
        <v>212378.4</v>
      </c>
      <c r="L935" s="64">
        <v>1160</v>
      </c>
      <c r="M935" s="428">
        <f>=I935*L935</f>
        <v>208800</v>
      </c>
      <c r="N935" s="82">
        <f>=K935-M935</f>
        <v>3578.40000000002</v>
      </c>
      <c r="O935" s="64">
        <v>1</v>
      </c>
      <c r="P935" s="64">
        <f>=I935*O935*ROUNDUP((A935-B935)/30,0)</f>
        <v>540</v>
      </c>
      <c r="Q935" s="62" t="s"/>
      <c r="R935" s="62" t="s"/>
    </row>
    <row r="936" spans="1:18" ht="15.75" customHeight="true">
      <c r="A936" s="147">
        <v>46156</v>
      </c>
      <c r="B936" s="460">
        <v>46089</v>
      </c>
      <c r="C936" s="80" t="s">
        <v>136</v>
      </c>
      <c r="D936" s="64" t="s">
        <v>135</v>
      </c>
      <c r="E936" s="471" t="s">
        <v>3136</v>
      </c>
      <c r="F936" s="64" t="s">
        <v>428</v>
      </c>
      <c r="G936" s="64" t="s">
        <v>422</v>
      </c>
      <c r="H936" s="64" t="s">
        <v>2770</v>
      </c>
      <c r="I936" s="87">
        <v>120</v>
      </c>
      <c r="J936" s="353">
        <v>1179.88</v>
      </c>
      <c r="K936" s="427">
        <f>=I936*J936</f>
        <v>141585.6</v>
      </c>
      <c r="L936" s="64">
        <v>1160</v>
      </c>
      <c r="M936" s="428">
        <f>=I936*L936</f>
        <v>139200</v>
      </c>
      <c r="N936" s="82">
        <f>=K936-M936</f>
        <v>2385.60000000001</v>
      </c>
      <c r="O936" s="64">
        <v>1</v>
      </c>
      <c r="P936" s="64">
        <f>=I936*O936*ROUNDUP((A936-B936)/30,0)</f>
        <v>360</v>
      </c>
      <c r="Q936" s="62" t="s"/>
      <c r="R936" s="62" t="s"/>
    </row>
    <row r="937" spans="1:18" ht="15.75" customHeight="true">
      <c r="A937" s="147">
        <v>46156</v>
      </c>
      <c r="B937" s="460">
        <v>46112</v>
      </c>
      <c r="C937" s="80" t="s">
        <v>224</v>
      </c>
      <c r="D937" s="87" t="s">
        <v>223</v>
      </c>
      <c r="E937" s="335" t="s">
        <v>3137</v>
      </c>
      <c r="F937" s="155" t="s">
        <v>421</v>
      </c>
      <c r="G937" s="308" t="s">
        <v>470</v>
      </c>
      <c r="H937" s="308" t="s">
        <v>1017</v>
      </c>
      <c r="I937" s="87">
        <v>50</v>
      </c>
      <c r="J937" s="249">
        <v>3378.54</v>
      </c>
      <c r="K937" s="427">
        <f>=I937*J937</f>
        <v>168927</v>
      </c>
      <c r="L937" s="87">
        <v>3337</v>
      </c>
      <c r="M937" s="428">
        <f>=I937*L937</f>
        <v>166850</v>
      </c>
      <c r="N937" s="82">
        <f>=K937-M937</f>
        <v>2077</v>
      </c>
      <c r="O937" s="64">
        <v>1.5</v>
      </c>
      <c r="P937" s="64">
        <f>=I937*O937*ROUNDUP((A937-B937)/30,0)</f>
        <v>150</v>
      </c>
      <c r="Q937" s="62" t="s"/>
      <c r="R937" s="62" t="s"/>
    </row>
    <row r="938" spans="1:18" ht="15.75" customHeight="true">
      <c r="A938" s="147">
        <v>46156</v>
      </c>
      <c r="B938" s="460">
        <v>46112</v>
      </c>
      <c r="C938" s="80" t="s">
        <v>224</v>
      </c>
      <c r="D938" s="87" t="s">
        <v>223</v>
      </c>
      <c r="E938" s="335" t="s">
        <v>3138</v>
      </c>
      <c r="F938" s="155" t="s">
        <v>421</v>
      </c>
      <c r="G938" s="308" t="s">
        <v>470</v>
      </c>
      <c r="H938" s="308" t="s">
        <v>1284</v>
      </c>
      <c r="I938" s="87">
        <v>50</v>
      </c>
      <c r="J938" s="249">
        <v>3378.54</v>
      </c>
      <c r="K938" s="427">
        <f>=I938*J938</f>
        <v>168927</v>
      </c>
      <c r="L938" s="87">
        <v>3337</v>
      </c>
      <c r="M938" s="428">
        <f>=I938*L938</f>
        <v>166850</v>
      </c>
      <c r="N938" s="82">
        <f>=K938-M938</f>
        <v>2077</v>
      </c>
      <c r="O938" s="64">
        <v>1.5</v>
      </c>
      <c r="P938" s="64">
        <f>=I938*O938*ROUNDUP((A938-B938)/30,0)</f>
        <v>150</v>
      </c>
      <c r="Q938" s="62" t="s"/>
      <c r="R938" s="62" t="s"/>
    </row>
    <row r="939" spans="1:18" ht="15.75" customHeight="true">
      <c r="A939" s="147">
        <v>46156</v>
      </c>
      <c r="B939" s="483">
        <v>46129</v>
      </c>
      <c r="C939" s="87" t="s">
        <v>261</v>
      </c>
      <c r="D939" s="87" t="s">
        <v>260</v>
      </c>
      <c r="E939" s="308" t="s">
        <v>3139</v>
      </c>
      <c r="F939" s="87" t="s">
        <v>428</v>
      </c>
      <c r="G939" s="140" t="s">
        <v>3140</v>
      </c>
      <c r="H939" s="140" t="s">
        <v>1822</v>
      </c>
      <c r="I939" s="331">
        <v>1000</v>
      </c>
      <c r="J939" s="249">
        <v>302.4</v>
      </c>
      <c r="K939" s="427">
        <f>=I939*J939</f>
        <v>302400</v>
      </c>
      <c r="L939" s="64">
        <v>300</v>
      </c>
      <c r="M939" s="428">
        <f>=I939*L939</f>
        <v>300000</v>
      </c>
      <c r="N939" s="82">
        <f>=K939-M939</f>
        <v>2400</v>
      </c>
      <c r="O939" s="64">
        <v>0.3</v>
      </c>
      <c r="P939" s="64">
        <f>=I939*O939*ROUNDUP((A939-B939)/30,0)</f>
        <v>300</v>
      </c>
      <c r="Q939" s="62" t="s"/>
      <c r="R939" s="62" t="s"/>
    </row>
    <row r="940" spans="1:18" ht="15.75" customHeight="true">
      <c r="A940" s="147">
        <v>46156</v>
      </c>
      <c r="B940" s="483">
        <v>46129</v>
      </c>
      <c r="C940" s="87" t="s">
        <v>261</v>
      </c>
      <c r="D940" s="87" t="s">
        <v>260</v>
      </c>
      <c r="E940" s="308" t="s">
        <v>3141</v>
      </c>
      <c r="F940" s="140" t="s">
        <v>428</v>
      </c>
      <c r="G940" s="140" t="s">
        <v>3140</v>
      </c>
      <c r="H940" s="140" t="s">
        <v>1824</v>
      </c>
      <c r="I940" s="339">
        <v>2000</v>
      </c>
      <c r="J940" s="249">
        <v>302.4</v>
      </c>
      <c r="K940" s="427">
        <f>=I940*J940</f>
        <v>604800</v>
      </c>
      <c r="L940" s="64">
        <v>300</v>
      </c>
      <c r="M940" s="428">
        <f>=I940*L940</f>
        <v>600000</v>
      </c>
      <c r="N940" s="82">
        <f>=K940-M940</f>
        <v>4800</v>
      </c>
      <c r="O940" s="64">
        <v>0.3</v>
      </c>
      <c r="P940" s="64">
        <f>=I940*O940*ROUNDUP((A940-B940)/30,0)</f>
        <v>600</v>
      </c>
      <c r="Q940" s="62" t="s"/>
      <c r="R940" s="62" t="s"/>
    </row>
    <row r="941" spans="1:18" ht="15.75" customHeight="true">
      <c r="A941" s="147">
        <v>46156</v>
      </c>
      <c r="B941" s="460">
        <v>46143</v>
      </c>
      <c r="C941" s="80" t="s">
        <v>308</v>
      </c>
      <c r="D941" s="308" t="s">
        <v>305</v>
      </c>
      <c r="E941" s="493" t="s">
        <v>3142</v>
      </c>
      <c r="F941" s="87" t="s">
        <v>2041</v>
      </c>
      <c r="G941" s="87" t="s">
        <v>470</v>
      </c>
      <c r="H941" s="64" t="s">
        <v>2048</v>
      </c>
      <c r="I941" s="87">
        <v>47</v>
      </c>
      <c r="J941" s="94">
        <v>6424.4</v>
      </c>
      <c r="K941" s="427">
        <f>=I941*J941</f>
        <v>301946.8</v>
      </c>
      <c r="L941" s="308">
        <v>6400</v>
      </c>
      <c r="M941" s="428">
        <f>=I941*L941</f>
        <v>300800</v>
      </c>
      <c r="N941" s="82">
        <f>=K941-M941</f>
        <v>1146.79999999999</v>
      </c>
      <c r="O941" s="64">
        <v>1.5</v>
      </c>
      <c r="P941" s="64">
        <f>=I941*O941*ROUNDUP((A941-B941)/30,0)</f>
        <v>70.5</v>
      </c>
      <c r="Q941" s="62" t="s"/>
      <c r="R941" s="62" t="s"/>
    </row>
    <row r="942" spans="1:18" ht="15.75" customHeight="true">
      <c r="A942" s="147">
        <v>46157</v>
      </c>
      <c r="B942" s="460">
        <v>46132</v>
      </c>
      <c r="C942" s="80" t="s">
        <v>275</v>
      </c>
      <c r="D942" s="87" t="s">
        <v>272</v>
      </c>
      <c r="E942" s="335" t="s">
        <v>3143</v>
      </c>
      <c r="F942" s="140" t="s">
        <v>428</v>
      </c>
      <c r="G942" s="140" t="s">
        <v>422</v>
      </c>
      <c r="H942" s="140" t="s">
        <v>1884</v>
      </c>
      <c r="I942" s="87">
        <v>6</v>
      </c>
      <c r="J942" s="64">
        <v>4324.42</v>
      </c>
      <c r="K942" s="427">
        <f>=I942*J942</f>
        <v>25946.52</v>
      </c>
      <c r="L942" s="64">
        <v>4295</v>
      </c>
      <c r="M942" s="428">
        <f>=I942*L942</f>
        <v>25770</v>
      </c>
      <c r="N942" s="82">
        <f>=K942-M942</f>
        <v>176.52</v>
      </c>
      <c r="O942" s="64">
        <v>1</v>
      </c>
      <c r="P942" s="64">
        <f>=I942*O942*ROUNDUP((A942-B942)/30,0)</f>
        <v>6</v>
      </c>
      <c r="Q942" s="62" t="s"/>
      <c r="R942" s="62" t="s"/>
    </row>
    <row r="943" spans="1:18" ht="15.75" customHeight="true">
      <c r="A943" s="147">
        <v>46157</v>
      </c>
      <c r="B943" s="460">
        <v>46132</v>
      </c>
      <c r="C943" s="80" t="s">
        <v>275</v>
      </c>
      <c r="D943" s="87" t="s">
        <v>272</v>
      </c>
      <c r="E943" s="335" t="s">
        <v>3144</v>
      </c>
      <c r="F943" s="140" t="s">
        <v>428</v>
      </c>
      <c r="G943" s="140" t="s">
        <v>422</v>
      </c>
      <c r="H943" s="308" t="s">
        <v>1888</v>
      </c>
      <c r="I943" s="87">
        <v>15</v>
      </c>
      <c r="J943" s="64">
        <v>3383.34</v>
      </c>
      <c r="K943" s="427">
        <f>=I943*J943</f>
        <v>50750.1</v>
      </c>
      <c r="L943" s="64">
        <v>3360</v>
      </c>
      <c r="M943" s="428">
        <f>=I943*L943</f>
        <v>50400</v>
      </c>
      <c r="N943" s="82">
        <f>=K943-M943</f>
        <v>350.100000000006</v>
      </c>
      <c r="O943" s="64">
        <v>1</v>
      </c>
      <c r="P943" s="64">
        <f>=I943*O943*ROUNDUP((A943-B943)/30,0)</f>
        <v>15</v>
      </c>
      <c r="Q943" s="62" t="s"/>
      <c r="R943" s="62" t="s"/>
    </row>
    <row r="944" spans="1:18" ht="15.75" customHeight="true">
      <c r="A944" s="147">
        <v>46157</v>
      </c>
      <c r="B944" s="460">
        <v>46132</v>
      </c>
      <c r="C944" s="80" t="s">
        <v>275</v>
      </c>
      <c r="D944" s="87" t="s">
        <v>272</v>
      </c>
      <c r="E944" s="335" t="s">
        <v>3145</v>
      </c>
      <c r="F944" s="140" t="s">
        <v>428</v>
      </c>
      <c r="G944" s="140" t="s">
        <v>422</v>
      </c>
      <c r="H944" s="308" t="s">
        <v>1890</v>
      </c>
      <c r="I944" s="87">
        <v>7</v>
      </c>
      <c r="J944" s="64">
        <v>7016.81</v>
      </c>
      <c r="K944" s="427">
        <f>=I944*J944</f>
        <v>49117.67</v>
      </c>
      <c r="L944" s="64">
        <v>6970</v>
      </c>
      <c r="M944" s="428">
        <f>=I944*L944</f>
        <v>48790</v>
      </c>
      <c r="N944" s="82">
        <f>=K944-M944</f>
        <v>327.670000000006</v>
      </c>
      <c r="O944" s="64">
        <v>1</v>
      </c>
      <c r="P944" s="64">
        <f>=I944*O944*ROUNDUP((A944-B944)/30,0)</f>
        <v>7</v>
      </c>
      <c r="Q944" s="62" t="s"/>
      <c r="R944" s="62" t="s"/>
    </row>
    <row r="945" spans="1:18" ht="15.75" customHeight="true">
      <c r="A945" s="147">
        <v>46157</v>
      </c>
      <c r="B945" s="460">
        <v>46132</v>
      </c>
      <c r="C945" s="80" t="s">
        <v>275</v>
      </c>
      <c r="D945" s="87" t="s">
        <v>272</v>
      </c>
      <c r="E945" s="335" t="s">
        <v>3146</v>
      </c>
      <c r="F945" s="140" t="s">
        <v>428</v>
      </c>
      <c r="G945" s="140" t="s">
        <v>422</v>
      </c>
      <c r="H945" s="64" t="s">
        <v>1892</v>
      </c>
      <c r="I945" s="87">
        <v>3</v>
      </c>
      <c r="J945" s="64">
        <v>6075.73</v>
      </c>
      <c r="K945" s="427">
        <f>=I945*J945</f>
        <v>18227.19</v>
      </c>
      <c r="L945" s="64">
        <v>6035</v>
      </c>
      <c r="M945" s="428">
        <f>=I945*L945</f>
        <v>18105</v>
      </c>
      <c r="N945" s="82">
        <f>=K945-M945</f>
        <v>122.189999999999</v>
      </c>
      <c r="O945" s="64">
        <v>1</v>
      </c>
      <c r="P945" s="64">
        <f>=I945*O945*ROUNDUP((A945-B945)/30,0)</f>
        <v>3</v>
      </c>
      <c r="Q945" s="62" t="s"/>
      <c r="R945" s="62" t="s"/>
    </row>
    <row r="946" spans="1:18" ht="15.75" customHeight="true">
      <c r="A946" s="147">
        <v>46157</v>
      </c>
      <c r="B946" s="460">
        <v>46131</v>
      </c>
      <c r="C946" s="80" t="s">
        <v>274</v>
      </c>
      <c r="D946" s="87" t="s">
        <v>272</v>
      </c>
      <c r="E946" s="335" t="s">
        <v>3147</v>
      </c>
      <c r="F946" s="140" t="s">
        <v>428</v>
      </c>
      <c r="G946" s="140" t="s">
        <v>422</v>
      </c>
      <c r="H946" s="140" t="s">
        <v>1926</v>
      </c>
      <c r="I946" s="87">
        <v>5</v>
      </c>
      <c r="J946" s="64">
        <v>1058.59</v>
      </c>
      <c r="K946" s="427">
        <f>=I946*J946</f>
        <v>5292.95</v>
      </c>
      <c r="L946" s="64">
        <v>1050</v>
      </c>
      <c r="M946" s="428">
        <f>=I946*L946</f>
        <v>5250</v>
      </c>
      <c r="N946" s="82">
        <f>=K946-M946</f>
        <v>42.9499999999998</v>
      </c>
      <c r="O946" s="64">
        <v>1</v>
      </c>
      <c r="P946" s="64">
        <f>=I946*O946*ROUNDUP((A946-B946)/30,0)</f>
        <v>5</v>
      </c>
      <c r="Q946" s="62" t="s"/>
      <c r="R946" s="62" t="s"/>
    </row>
    <row r="947" spans="1:18" ht="15.75" customHeight="true">
      <c r="A947" s="147">
        <v>46157</v>
      </c>
      <c r="B947" s="426">
        <v>46111</v>
      </c>
      <c r="C947" s="64" t="s">
        <v>214</v>
      </c>
      <c r="D947" s="94" t="s">
        <v>201</v>
      </c>
      <c r="E947" s="308" t="s">
        <v>3148</v>
      </c>
      <c r="F947" s="64" t="s">
        <v>421</v>
      </c>
      <c r="G947" s="64" t="s">
        <v>422</v>
      </c>
      <c r="H947" s="87" t="s">
        <v>1169</v>
      </c>
      <c r="I947" s="87">
        <v>100</v>
      </c>
      <c r="J947" s="140">
        <v>7888</v>
      </c>
      <c r="K947" s="427">
        <f>=I947*J947</f>
        <v>788800</v>
      </c>
      <c r="L947" s="140">
        <v>7800</v>
      </c>
      <c r="M947" s="428">
        <f>=I947*L947</f>
        <v>780000</v>
      </c>
      <c r="N947" s="82">
        <f>=K947-M947</f>
        <v>8800</v>
      </c>
      <c r="O947" s="64">
        <v>1</v>
      </c>
      <c r="P947" s="64">
        <f>=I947*O947*ROUNDUP((A947-B947)/30,0)</f>
        <v>200</v>
      </c>
      <c r="Q947" s="62" t="s"/>
      <c r="R947" s="62" t="s"/>
    </row>
    <row r="948" spans="1:18" ht="15.75" customHeight="true">
      <c r="A948" s="147">
        <v>46158</v>
      </c>
      <c r="B948" s="461">
        <v>46157</v>
      </c>
      <c r="C948" s="110" t="s">
        <v>334</v>
      </c>
      <c r="D948" s="308" t="s">
        <v>333</v>
      </c>
      <c r="E948" s="308" t="s">
        <v>3149</v>
      </c>
      <c r="F948" s="87" t="s">
        <v>804</v>
      </c>
      <c r="G948" s="87" t="s">
        <v>429</v>
      </c>
      <c r="H948" s="87" t="s">
        <v>2129</v>
      </c>
      <c r="I948" s="87">
        <v>50</v>
      </c>
      <c r="J948" s="87">
        <v>429.86</v>
      </c>
      <c r="K948" s="427">
        <f>=I948*J948</f>
        <v>21493</v>
      </c>
      <c r="L948" s="249">
        <v>429</v>
      </c>
      <c r="M948" s="428">
        <f>=I948*L948</f>
        <v>21450</v>
      </c>
      <c r="N948" s="82">
        <f>=K948-M948</f>
        <v>43</v>
      </c>
      <c r="O948" s="64">
        <v>0</v>
      </c>
      <c r="P948" s="64">
        <f>=I948*O948*ROUNDUP((A948-B948)/30,0)</f>
        <v>0</v>
      </c>
      <c r="Q948" s="62" t="s"/>
      <c r="R948" s="62" t="s"/>
    </row>
    <row r="949" spans="1:18" ht="15.75" customHeight="true">
      <c r="A949" s="147">
        <v>46158</v>
      </c>
      <c r="B949" s="461">
        <v>46157</v>
      </c>
      <c r="C949" s="110" t="s">
        <v>334</v>
      </c>
      <c r="D949" s="308" t="s">
        <v>333</v>
      </c>
      <c r="E949" s="308" t="s">
        <v>3150</v>
      </c>
      <c r="F949" s="87" t="s">
        <v>804</v>
      </c>
      <c r="G949" s="87" t="s">
        <v>429</v>
      </c>
      <c r="H949" s="87" t="s">
        <v>2141</v>
      </c>
      <c r="I949" s="87">
        <v>180</v>
      </c>
      <c r="J949" s="87">
        <v>370.74</v>
      </c>
      <c r="K949" s="427">
        <f>=I949*J949</f>
        <v>66733.2</v>
      </c>
      <c r="L949" s="140">
        <v>370</v>
      </c>
      <c r="M949" s="428">
        <f>=I949*L949</f>
        <v>66600</v>
      </c>
      <c r="N949" s="82">
        <f>=K949-M949</f>
        <v>133.199999999997</v>
      </c>
      <c r="O949" s="64">
        <v>0</v>
      </c>
      <c r="P949" s="64">
        <f>=I949*O949*ROUNDUP((A949-B949)/30,0)</f>
        <v>0</v>
      </c>
      <c r="Q949" s="62" t="s"/>
      <c r="R949" s="62" t="s"/>
    </row>
    <row r="950" spans="1:18" ht="15.75" customHeight="true">
      <c r="A950" s="147">
        <v>46158</v>
      </c>
      <c r="B950" s="483">
        <v>46156</v>
      </c>
      <c r="C950" s="87" t="s">
        <v>331</v>
      </c>
      <c r="D950" s="494" t="s">
        <v>3151</v>
      </c>
      <c r="E950" s="495" t="s">
        <v>3152</v>
      </c>
      <c r="F950" s="87" t="s">
        <v>2104</v>
      </c>
      <c r="G950" s="87" t="s">
        <v>2105</v>
      </c>
      <c r="H950" s="87" t="s">
        <v>2106</v>
      </c>
      <c r="I950" s="78">
        <v>5</v>
      </c>
      <c r="J950" s="78">
        <v>1666</v>
      </c>
      <c r="K950" s="427">
        <f>=I950*J950</f>
        <v>8330</v>
      </c>
      <c r="L950" s="203">
        <v>1546.66</v>
      </c>
      <c r="M950" s="428">
        <f>=I950*L950</f>
        <v>7733.3</v>
      </c>
      <c r="N950" s="82">
        <f>=K950-M950</f>
        <v>596.7</v>
      </c>
      <c r="O950" s="64">
        <v>0</v>
      </c>
      <c r="P950" s="64">
        <f>=I950*O950*ROUNDUP((A950-B950)/30,0)</f>
        <v>0</v>
      </c>
      <c r="Q950" s="62" t="s"/>
      <c r="R950" s="62" t="s"/>
    </row>
    <row r="951" spans="1:18" ht="15.75" customHeight="true">
      <c r="A951" s="148">
        <v>46158</v>
      </c>
      <c r="B951" s="483">
        <v>46156</v>
      </c>
      <c r="C951" s="87" t="s">
        <v>331</v>
      </c>
      <c r="D951" s="494" t="s">
        <v>3151</v>
      </c>
      <c r="E951" s="495" t="s">
        <v>3153</v>
      </c>
      <c r="F951" s="87" t="s">
        <v>2104</v>
      </c>
      <c r="G951" s="87" t="s">
        <v>2105</v>
      </c>
      <c r="H951" s="87" t="s">
        <v>2106</v>
      </c>
      <c r="I951" s="78">
        <v>1</v>
      </c>
      <c r="J951" s="78">
        <v>1670</v>
      </c>
      <c r="K951" s="427">
        <f>=I951*J951</f>
        <v>1670</v>
      </c>
      <c r="L951" s="363">
        <v>1556.92</v>
      </c>
      <c r="M951" s="428">
        <f>=I951*L951</f>
        <v>1556.92</v>
      </c>
      <c r="N951" s="82">
        <f>=K951-M951</f>
        <v>113.08</v>
      </c>
      <c r="O951" s="64">
        <v>0</v>
      </c>
      <c r="P951" s="64">
        <f>=I951*O951*ROUNDUP((A951-B951)/30,0)</f>
        <v>0</v>
      </c>
      <c r="Q951" s="62" t="s"/>
      <c r="R951" s="62" t="s"/>
    </row>
    <row r="952" spans="1:18" ht="15.75" customHeight="true">
      <c r="A952" s="147">
        <v>46159</v>
      </c>
      <c r="B952" s="460">
        <v>46157</v>
      </c>
      <c r="C952" s="80" t="s">
        <v>334</v>
      </c>
      <c r="D952" s="308" t="s">
        <v>333</v>
      </c>
      <c r="E952" s="308" t="s">
        <v>3154</v>
      </c>
      <c r="F952" s="87" t="s">
        <v>804</v>
      </c>
      <c r="G952" s="87" t="s">
        <v>429</v>
      </c>
      <c r="H952" s="87" t="s">
        <v>2109</v>
      </c>
      <c r="I952" s="339">
        <v>2</v>
      </c>
      <c r="J952" s="87">
        <v>689.38</v>
      </c>
      <c r="K952" s="427">
        <f>=I952*J952</f>
        <v>1378.76</v>
      </c>
      <c r="L952" s="64">
        <v>688</v>
      </c>
      <c r="M952" s="428">
        <f>=I952*L952</f>
        <v>1376</v>
      </c>
      <c r="N952" s="82">
        <f>=K952-M952</f>
        <v>2.75999999999999</v>
      </c>
      <c r="O952" s="64">
        <v>0</v>
      </c>
      <c r="P952" s="64">
        <f>=I952*O952*ROUNDUP((A952-B952)/30,0)</f>
        <v>0</v>
      </c>
      <c r="Q952" s="62" t="s"/>
      <c r="R952" s="62" t="s"/>
    </row>
    <row r="953" spans="1:18" ht="15.75" customHeight="true">
      <c r="A953" s="147">
        <v>46159</v>
      </c>
      <c r="B953" s="460">
        <v>46157</v>
      </c>
      <c r="C953" s="80" t="s">
        <v>334</v>
      </c>
      <c r="D953" s="308" t="s">
        <v>333</v>
      </c>
      <c r="E953" s="308" t="s">
        <v>3155</v>
      </c>
      <c r="F953" s="87" t="s">
        <v>804</v>
      </c>
      <c r="G953" s="87" t="s">
        <v>3140</v>
      </c>
      <c r="H953" s="87" t="s">
        <v>2111</v>
      </c>
      <c r="I953" s="339">
        <v>80</v>
      </c>
      <c r="J953" s="87">
        <v>289.58</v>
      </c>
      <c r="K953" s="427">
        <f>=I953*J953</f>
        <v>23166.4</v>
      </c>
      <c r="L953" s="64">
        <v>289</v>
      </c>
      <c r="M953" s="428">
        <f>=I953*L953</f>
        <v>23120</v>
      </c>
      <c r="N953" s="82">
        <f>=K953-M953</f>
        <v>46.3999999999978</v>
      </c>
      <c r="O953" s="64">
        <v>0</v>
      </c>
      <c r="P953" s="64">
        <f>=I953*O953*ROUNDUP((A953-B953)/30,0)</f>
        <v>0</v>
      </c>
      <c r="Q953" s="62" t="s"/>
      <c r="R953" s="62" t="s"/>
    </row>
    <row r="954" spans="1:18" ht="15.75" customHeight="true">
      <c r="A954" s="147">
        <v>46159</v>
      </c>
      <c r="B954" s="460">
        <v>46157</v>
      </c>
      <c r="C954" s="80" t="s">
        <v>334</v>
      </c>
      <c r="D954" s="308" t="s">
        <v>333</v>
      </c>
      <c r="E954" s="308" t="s">
        <v>3156</v>
      </c>
      <c r="F954" s="87" t="s">
        <v>804</v>
      </c>
      <c r="G954" s="87" t="s">
        <v>3140</v>
      </c>
      <c r="H954" s="87" t="s">
        <v>2113</v>
      </c>
      <c r="I954" s="339">
        <v>15</v>
      </c>
      <c r="J954" s="87">
        <v>289.58</v>
      </c>
      <c r="K954" s="427">
        <f>=I954*J954</f>
        <v>4343.7</v>
      </c>
      <c r="L954" s="64">
        <v>289</v>
      </c>
      <c r="M954" s="428">
        <f>=I954*L954</f>
        <v>4335</v>
      </c>
      <c r="N954" s="82">
        <f>=K954-M954</f>
        <v>8.69999999999982</v>
      </c>
      <c r="O954" s="64">
        <v>0</v>
      </c>
      <c r="P954" s="64">
        <f>=I954*O954*ROUNDUP((A954-B954)/30,0)</f>
        <v>0</v>
      </c>
      <c r="Q954" s="62" t="s"/>
      <c r="R954" s="62" t="s"/>
    </row>
    <row r="955" spans="1:18" ht="15.75" customHeight="true">
      <c r="A955" s="147">
        <v>46159</v>
      </c>
      <c r="B955" s="460">
        <v>46157</v>
      </c>
      <c r="C955" s="80" t="s">
        <v>334</v>
      </c>
      <c r="D955" s="308" t="s">
        <v>333</v>
      </c>
      <c r="E955" s="308" t="s">
        <v>3157</v>
      </c>
      <c r="F955" s="87" t="s">
        <v>804</v>
      </c>
      <c r="G955" s="87" t="s">
        <v>429</v>
      </c>
      <c r="H955" s="87" t="s">
        <v>2115</v>
      </c>
      <c r="I955" s="339">
        <v>2</v>
      </c>
      <c r="J955" s="87">
        <v>153.31</v>
      </c>
      <c r="K955" s="427">
        <f>=I955*J955</f>
        <v>306.62</v>
      </c>
      <c r="L955" s="64">
        <v>153</v>
      </c>
      <c r="M955" s="428">
        <f>=I955*L955</f>
        <v>306</v>
      </c>
      <c r="N955" s="82">
        <f>=K955-M955</f>
        <v>0.620000000000005</v>
      </c>
      <c r="O955" s="64">
        <v>0</v>
      </c>
      <c r="P955" s="64">
        <f>=I955*O955*ROUNDUP((A955-B955)/30,0)</f>
        <v>0</v>
      </c>
      <c r="Q955" s="62" t="s"/>
      <c r="R955" s="62" t="s"/>
    </row>
    <row r="956" spans="1:18" ht="15.75" customHeight="true">
      <c r="A956" s="147">
        <v>46159</v>
      </c>
      <c r="B956" s="460">
        <v>46157</v>
      </c>
      <c r="C956" s="80" t="s">
        <v>334</v>
      </c>
      <c r="D956" s="308" t="s">
        <v>333</v>
      </c>
      <c r="E956" s="308" t="s">
        <v>3158</v>
      </c>
      <c r="F956" s="87" t="s">
        <v>804</v>
      </c>
      <c r="G956" s="87" t="s">
        <v>3140</v>
      </c>
      <c r="H956" s="197" t="s">
        <v>2117</v>
      </c>
      <c r="I956" s="248">
        <v>4</v>
      </c>
      <c r="J956" s="87">
        <v>536.07</v>
      </c>
      <c r="K956" s="427">
        <f>=I956*J956</f>
        <v>2144.28</v>
      </c>
      <c r="L956" s="64">
        <v>535</v>
      </c>
      <c r="M956" s="428">
        <f>=I956*L956</f>
        <v>2140</v>
      </c>
      <c r="N956" s="82">
        <f>=K956-M956</f>
        <v>4.2800000000002</v>
      </c>
      <c r="O956" s="64">
        <v>0</v>
      </c>
      <c r="P956" s="64">
        <f>=I956*O956*ROUNDUP((A956-B956)/30,0)</f>
        <v>0</v>
      </c>
      <c r="Q956" s="62" t="s"/>
      <c r="R956" s="62" t="s"/>
    </row>
    <row r="957" spans="1:18" ht="15.75" customHeight="true">
      <c r="A957" s="147">
        <v>46159</v>
      </c>
      <c r="B957" s="460">
        <v>46157</v>
      </c>
      <c r="C957" s="80" t="s">
        <v>334</v>
      </c>
      <c r="D957" s="308" t="s">
        <v>333</v>
      </c>
      <c r="E957" s="308" t="s">
        <v>3159</v>
      </c>
      <c r="F957" s="87" t="s">
        <v>804</v>
      </c>
      <c r="G957" s="87" t="s">
        <v>3140</v>
      </c>
      <c r="H957" s="197" t="s">
        <v>2119</v>
      </c>
      <c r="I957" s="64">
        <v>1</v>
      </c>
      <c r="J957" s="87">
        <v>583.16</v>
      </c>
      <c r="K957" s="427">
        <f>=I957*J957</f>
        <v>583.16</v>
      </c>
      <c r="L957" s="64">
        <v>582</v>
      </c>
      <c r="M957" s="428">
        <f>=I957*L957</f>
        <v>582</v>
      </c>
      <c r="N957" s="82">
        <f>=K957-M957</f>
        <v>1.15999999999997</v>
      </c>
      <c r="O957" s="64">
        <v>0</v>
      </c>
      <c r="P957" s="64">
        <f>=I957*O957*ROUNDUP((A957-B957)/30,0)</f>
        <v>0</v>
      </c>
      <c r="Q957" s="62" t="s"/>
      <c r="R957" s="62" t="s"/>
    </row>
    <row r="958" spans="1:18" ht="15.75" customHeight="true">
      <c r="A958" s="147">
        <v>46159</v>
      </c>
      <c r="B958" s="426">
        <v>46157</v>
      </c>
      <c r="C958" s="64" t="s">
        <v>334</v>
      </c>
      <c r="D958" s="247" t="s">
        <v>333</v>
      </c>
      <c r="E958" s="94" t="s">
        <v>3160</v>
      </c>
      <c r="F958" s="247" t="s">
        <v>804</v>
      </c>
      <c r="G958" s="247" t="s">
        <v>429</v>
      </c>
      <c r="H958" s="64" t="s">
        <v>2123</v>
      </c>
      <c r="I958" s="64">
        <v>5</v>
      </c>
      <c r="J958" s="87">
        <v>766.53</v>
      </c>
      <c r="K958" s="427">
        <f>=I958*J958</f>
        <v>3832.65</v>
      </c>
      <c r="L958" s="249">
        <v>765</v>
      </c>
      <c r="M958" s="428">
        <f>=I958*L958</f>
        <v>3825</v>
      </c>
      <c r="N958" s="82">
        <f>=K958-M958</f>
        <v>7.64999999999964</v>
      </c>
      <c r="O958" s="64">
        <v>0</v>
      </c>
      <c r="P958" s="64">
        <f>=I958*O958*ROUNDUP((A958-B958)/30,0)</f>
        <v>0</v>
      </c>
      <c r="Q958" s="62" t="s"/>
      <c r="R958" s="62" t="s"/>
    </row>
    <row r="959" spans="1:18" ht="15.75" customHeight="true">
      <c r="A959" s="147">
        <v>46159</v>
      </c>
      <c r="B959" s="426">
        <v>46157</v>
      </c>
      <c r="C959" s="64" t="s">
        <v>334</v>
      </c>
      <c r="D959" s="247" t="s">
        <v>333</v>
      </c>
      <c r="E959" s="94" t="s">
        <v>3161</v>
      </c>
      <c r="F959" s="247" t="s">
        <v>804</v>
      </c>
      <c r="G959" s="247" t="s">
        <v>429</v>
      </c>
      <c r="H959" s="64" t="s">
        <v>2127</v>
      </c>
      <c r="I959" s="64">
        <v>9</v>
      </c>
      <c r="J959" s="87">
        <v>1110.22</v>
      </c>
      <c r="K959" s="427">
        <f>=I959*J959</f>
        <v>9991.98</v>
      </c>
      <c r="L959" s="249">
        <v>1108</v>
      </c>
      <c r="M959" s="428">
        <f>=I959*L959</f>
        <v>9972</v>
      </c>
      <c r="N959" s="82">
        <f>=K959-M959</f>
        <v>19.9799999999996</v>
      </c>
      <c r="O959" s="64">
        <v>0</v>
      </c>
      <c r="P959" s="64">
        <f>=I959*O959*ROUNDUP((A959-B959)/30,0)</f>
        <v>0</v>
      </c>
      <c r="Q959" s="62" t="s"/>
      <c r="R959" s="62" t="s"/>
    </row>
    <row r="960" spans="1:18" ht="15.75" customHeight="true">
      <c r="A960" s="147">
        <v>46159</v>
      </c>
      <c r="B960" s="460">
        <v>46157</v>
      </c>
      <c r="C960" s="80" t="s">
        <v>334</v>
      </c>
      <c r="D960" s="308" t="s">
        <v>333</v>
      </c>
      <c r="E960" s="308" t="s">
        <v>3159</v>
      </c>
      <c r="F960" s="87" t="s">
        <v>804</v>
      </c>
      <c r="G960" s="87" t="s">
        <v>429</v>
      </c>
      <c r="H960" s="140" t="s">
        <v>2135</v>
      </c>
      <c r="I960" s="496">
        <v>84</v>
      </c>
      <c r="J960" s="87">
        <v>494.99</v>
      </c>
      <c r="K960" s="427">
        <f>=I960*J960</f>
        <v>41579.16</v>
      </c>
      <c r="L960" s="249">
        <v>494</v>
      </c>
      <c r="M960" s="428">
        <f>=I960*L960</f>
        <v>41496</v>
      </c>
      <c r="N960" s="82">
        <f>=K960-M960</f>
        <v>83.1600000000035</v>
      </c>
      <c r="O960" s="64">
        <v>0</v>
      </c>
      <c r="P960" s="64">
        <f>=I960*O960*ROUNDUP((A960-B960)/30,0)</f>
        <v>0</v>
      </c>
      <c r="Q960" s="62" t="s"/>
      <c r="R960" s="62" t="s"/>
    </row>
    <row r="961" spans="1:18" ht="15.75" customHeight="true">
      <c r="A961" s="147">
        <v>46159</v>
      </c>
      <c r="B961" s="483">
        <v>46129</v>
      </c>
      <c r="C961" s="87" t="s">
        <v>261</v>
      </c>
      <c r="D961" s="87" t="s">
        <v>260</v>
      </c>
      <c r="E961" s="308" t="s">
        <v>3162</v>
      </c>
      <c r="F961" s="87" t="s">
        <v>428</v>
      </c>
      <c r="G961" s="140" t="s">
        <v>3140</v>
      </c>
      <c r="H961" s="140" t="s">
        <v>1822</v>
      </c>
      <c r="I961" s="87">
        <v>500</v>
      </c>
      <c r="J961" s="140">
        <v>302.93</v>
      </c>
      <c r="K961" s="427">
        <f>=I961*J961</f>
        <v>151465</v>
      </c>
      <c r="L961" s="249">
        <v>300</v>
      </c>
      <c r="M961" s="428">
        <f>=I961*L961</f>
        <v>150000</v>
      </c>
      <c r="N961" s="82">
        <f>=K961-M961</f>
        <v>1465</v>
      </c>
      <c r="O961" s="64">
        <v>0.3</v>
      </c>
      <c r="P961" s="64">
        <f>=I961*O961*ROUNDUP((A961-B961)/30,0)</f>
        <v>150</v>
      </c>
      <c r="Q961" s="62" t="s"/>
      <c r="R961" s="62" t="s"/>
    </row>
    <row r="962" spans="1:18" ht="15.75" customHeight="true">
      <c r="A962" s="147">
        <v>46159</v>
      </c>
      <c r="B962" s="483">
        <v>46129</v>
      </c>
      <c r="C962" s="87" t="s">
        <v>261</v>
      </c>
      <c r="D962" s="87" t="s">
        <v>260</v>
      </c>
      <c r="E962" s="308" t="s">
        <v>3163</v>
      </c>
      <c r="F962" s="140" t="s">
        <v>428</v>
      </c>
      <c r="G962" s="140" t="s">
        <v>3140</v>
      </c>
      <c r="H962" s="140" t="s">
        <v>1824</v>
      </c>
      <c r="I962" s="339">
        <v>2100</v>
      </c>
      <c r="J962" s="140">
        <v>302.93</v>
      </c>
      <c r="K962" s="427">
        <f>=I962*J962</f>
        <v>636153</v>
      </c>
      <c r="L962" s="249">
        <v>300</v>
      </c>
      <c r="M962" s="428">
        <f>=I962*L962</f>
        <v>630000</v>
      </c>
      <c r="N962" s="82">
        <f>=K962-M962</f>
        <v>6153</v>
      </c>
      <c r="O962" s="64">
        <v>0.3</v>
      </c>
      <c r="P962" s="64">
        <f>=I962*O962*ROUNDUP((A962-B962)/30,0)</f>
        <v>630</v>
      </c>
      <c r="Q962" s="62" t="s"/>
      <c r="R962" s="62" t="s"/>
    </row>
    <row r="963" spans="1:18" ht="15.75" customHeight="true">
      <c r="A963" s="147">
        <v>46159</v>
      </c>
      <c r="B963" s="483">
        <v>46134</v>
      </c>
      <c r="C963" s="87" t="s">
        <v>262</v>
      </c>
      <c r="D963" s="87" t="s">
        <v>260</v>
      </c>
      <c r="E963" s="308" t="s">
        <v>3164</v>
      </c>
      <c r="F963" s="140" t="s">
        <v>428</v>
      </c>
      <c r="G963" s="140" t="s">
        <v>3140</v>
      </c>
      <c r="H963" s="140" t="s">
        <v>1824</v>
      </c>
      <c r="I963" s="339">
        <v>400</v>
      </c>
      <c r="J963" s="249">
        <v>302.25</v>
      </c>
      <c r="K963" s="427">
        <f>=I963*J963</f>
        <v>120900</v>
      </c>
      <c r="L963" s="249">
        <v>300</v>
      </c>
      <c r="M963" s="428">
        <f>=I963*L963</f>
        <v>120000</v>
      </c>
      <c r="N963" s="82">
        <f>=K963-M963</f>
        <v>900</v>
      </c>
      <c r="O963" s="64">
        <v>0.3</v>
      </c>
      <c r="P963" s="64">
        <f>=I963*O963*ROUNDUP((A963-B963)/30,0)</f>
        <v>120</v>
      </c>
      <c r="Q963" s="62" t="s"/>
      <c r="R963" s="62" t="s"/>
    </row>
    <row r="964" spans="1:18" ht="15.75" customHeight="true">
      <c r="A964" s="147">
        <v>46159</v>
      </c>
      <c r="B964" s="483">
        <v>46135</v>
      </c>
      <c r="C964" s="87" t="s">
        <v>283</v>
      </c>
      <c r="D964" s="308" t="s">
        <v>281</v>
      </c>
      <c r="E964" s="335" t="s">
        <v>3165</v>
      </c>
      <c r="F964" s="97" t="s">
        <v>1438</v>
      </c>
      <c r="G964" s="97" t="s">
        <v>422</v>
      </c>
      <c r="H964" s="338" t="s">
        <v>1987</v>
      </c>
      <c r="I964" s="87">
        <v>5</v>
      </c>
      <c r="J964" s="249">
        <v>3382.5</v>
      </c>
      <c r="K964" s="427">
        <f>=I964*J964</f>
        <v>16912.5</v>
      </c>
      <c r="L964" s="87">
        <v>3360</v>
      </c>
      <c r="M964" s="428">
        <f>=I964*L964</f>
        <v>16800</v>
      </c>
      <c r="N964" s="82">
        <f>=K964-M964</f>
        <v>112.5</v>
      </c>
      <c r="O964" s="64">
        <v>1</v>
      </c>
      <c r="P964" s="64">
        <f>=I964*O964*ROUNDUP((A964-B964)/30,0)</f>
        <v>5</v>
      </c>
      <c r="Q964" s="62" t="s"/>
      <c r="R964" s="62" t="s"/>
    </row>
    <row r="965" spans="1:18" ht="15.75" customHeight="true">
      <c r="A965" s="147">
        <v>46159</v>
      </c>
      <c r="B965" s="426">
        <v>46111</v>
      </c>
      <c r="C965" s="64" t="s">
        <v>214</v>
      </c>
      <c r="D965" s="94" t="s">
        <v>201</v>
      </c>
      <c r="E965" s="308" t="s">
        <v>3166</v>
      </c>
      <c r="F965" s="64" t="s">
        <v>421</v>
      </c>
      <c r="G965" s="64" t="s">
        <v>422</v>
      </c>
      <c r="H965" s="87" t="s">
        <v>1169</v>
      </c>
      <c r="I965" s="87">
        <v>100</v>
      </c>
      <c r="J965" s="249">
        <v>7891</v>
      </c>
      <c r="K965" s="427">
        <f>=I965*J965</f>
        <v>789100</v>
      </c>
      <c r="L965" s="140">
        <v>7800</v>
      </c>
      <c r="M965" s="428">
        <f>=I965*L965</f>
        <v>780000</v>
      </c>
      <c r="N965" s="82">
        <f>=K965-M965</f>
        <v>9100</v>
      </c>
      <c r="O965" s="64">
        <v>1</v>
      </c>
      <c r="P965" s="64">
        <f>=I965*O965*ROUNDUP((A965-B965)/30,0)</f>
        <v>200</v>
      </c>
      <c r="Q965" s="62" t="s"/>
      <c r="R965" s="62" t="s"/>
    </row>
    <row r="966" spans="1:18" ht="15.75" customHeight="true">
      <c r="A966" s="147">
        <v>46160</v>
      </c>
      <c r="B966" s="460">
        <v>46157</v>
      </c>
      <c r="C966" s="80" t="s">
        <v>334</v>
      </c>
      <c r="D966" s="308" t="s">
        <v>333</v>
      </c>
      <c r="E966" s="308" t="s">
        <v>3167</v>
      </c>
      <c r="F966" s="87" t="s">
        <v>804</v>
      </c>
      <c r="G966" s="87" t="s">
        <v>429</v>
      </c>
      <c r="H966" s="64" t="s">
        <v>2133</v>
      </c>
      <c r="I966" s="497">
        <v>26</v>
      </c>
      <c r="J966" s="87">
        <v>589.18</v>
      </c>
      <c r="K966" s="427">
        <f>=I966*J966</f>
        <v>15318.68</v>
      </c>
      <c r="L966" s="249">
        <v>588</v>
      </c>
      <c r="M966" s="428">
        <f>=I966*L966</f>
        <v>15288</v>
      </c>
      <c r="N966" s="82">
        <f>=K966-M966</f>
        <v>30.6799999999985</v>
      </c>
      <c r="O966" s="64">
        <v>0</v>
      </c>
      <c r="P966" s="64">
        <f>=I966*O966*ROUNDUP((A966-B966)/30,0)</f>
        <v>0</v>
      </c>
      <c r="Q966" s="62" t="s"/>
      <c r="R966" s="62" t="s"/>
    </row>
    <row r="967" spans="1:18" ht="15.75" customHeight="true">
      <c r="A967" s="147">
        <v>46160</v>
      </c>
      <c r="B967" s="460">
        <v>46157</v>
      </c>
      <c r="C967" s="80" t="s">
        <v>334</v>
      </c>
      <c r="D967" s="308" t="s">
        <v>333</v>
      </c>
      <c r="E967" s="308" t="s">
        <v>3168</v>
      </c>
      <c r="F967" s="87" t="s">
        <v>804</v>
      </c>
      <c r="G967" s="87" t="s">
        <v>429</v>
      </c>
      <c r="H967" s="308" t="s">
        <v>2137</v>
      </c>
      <c r="I967" s="140">
        <v>15</v>
      </c>
      <c r="J967" s="87">
        <v>469.94</v>
      </c>
      <c r="K967" s="427">
        <f>=I967*J967</f>
        <v>7049.1</v>
      </c>
      <c r="L967" s="249">
        <v>469</v>
      </c>
      <c r="M967" s="428">
        <f>=I967*L967</f>
        <v>7035</v>
      </c>
      <c r="N967" s="82">
        <f>=K967-M967</f>
        <v>14.1000000000004</v>
      </c>
      <c r="O967" s="64">
        <v>0</v>
      </c>
      <c r="P967" s="64">
        <f>=I967*O967*ROUNDUP((A967-B967)/30,0)</f>
        <v>0</v>
      </c>
      <c r="Q967" s="62" t="s"/>
      <c r="R967" s="62" t="s"/>
    </row>
    <row r="968" spans="1:18" ht="15.75" customHeight="true">
      <c r="A968" s="147">
        <v>46160</v>
      </c>
      <c r="B968" s="460">
        <v>46157</v>
      </c>
      <c r="C968" s="80" t="s">
        <v>334</v>
      </c>
      <c r="D968" s="308" t="s">
        <v>333</v>
      </c>
      <c r="E968" s="308" t="s">
        <v>3169</v>
      </c>
      <c r="F968" s="87" t="s">
        <v>804</v>
      </c>
      <c r="G968" s="87" t="s">
        <v>429</v>
      </c>
      <c r="H968" s="64" t="s">
        <v>2139</v>
      </c>
      <c r="I968" s="274">
        <v>200</v>
      </c>
      <c r="J968" s="87">
        <v>315.63</v>
      </c>
      <c r="K968" s="427">
        <f>=I968*J968</f>
        <v>63126</v>
      </c>
      <c r="L968" s="140">
        <v>315</v>
      </c>
      <c r="M968" s="428">
        <f>=I968*L968</f>
        <v>63000</v>
      </c>
      <c r="N968" s="82">
        <f>=K968-M968</f>
        <v>126</v>
      </c>
      <c r="O968" s="64">
        <v>0</v>
      </c>
      <c r="P968" s="64">
        <f>=I968*O968*ROUNDUP((A968-B968)/30,0)</f>
        <v>0</v>
      </c>
      <c r="Q968" s="62" t="s"/>
      <c r="R968" s="62" t="s"/>
    </row>
    <row r="969" spans="1:18" ht="15.75" customHeight="true">
      <c r="A969" s="147">
        <v>46160</v>
      </c>
      <c r="B969" s="426">
        <v>46121</v>
      </c>
      <c r="C969" s="64" t="s">
        <v>240</v>
      </c>
      <c r="D969" s="155" t="s">
        <v>239</v>
      </c>
      <c r="E969" s="155" t="s">
        <v>3170</v>
      </c>
      <c r="F969" s="155" t="s">
        <v>671</v>
      </c>
      <c r="G969" s="155" t="s">
        <v>470</v>
      </c>
      <c r="H969" s="155" t="s">
        <v>1758</v>
      </c>
      <c r="I969" s="64">
        <v>50</v>
      </c>
      <c r="J969" s="87">
        <v>2226</v>
      </c>
      <c r="K969" s="427">
        <f>=I969*J969</f>
        <v>111300</v>
      </c>
      <c r="L969" s="87">
        <v>2200</v>
      </c>
      <c r="M969" s="428">
        <f>=I969*L969</f>
        <v>110000</v>
      </c>
      <c r="N969" s="82">
        <f>=K969-M969</f>
        <v>1300</v>
      </c>
      <c r="O969" s="64">
        <v>1.5</v>
      </c>
      <c r="P969" s="64">
        <f>=I969*O969*ROUNDUP((A969-B969)/30,0)</f>
        <v>150</v>
      </c>
      <c r="Q969" s="62" t="s"/>
      <c r="R969" s="62" t="s"/>
    </row>
    <row r="970" spans="1:18" ht="15.75" customHeight="true">
      <c r="A970" s="147">
        <v>46160</v>
      </c>
      <c r="B970" s="460">
        <v>46106</v>
      </c>
      <c r="C970" s="80" t="s">
        <v>187</v>
      </c>
      <c r="D970" s="64" t="s">
        <v>135</v>
      </c>
      <c r="E970" s="471" t="s">
        <v>3171</v>
      </c>
      <c r="F970" s="64" t="s">
        <v>428</v>
      </c>
      <c r="G970" s="64" t="s">
        <v>422</v>
      </c>
      <c r="H970" s="64" t="s">
        <v>1038</v>
      </c>
      <c r="I970" s="87">
        <v>300</v>
      </c>
      <c r="J970" s="140">
        <v>605.18</v>
      </c>
      <c r="K970" s="427">
        <f>=I970*J970</f>
        <v>181554</v>
      </c>
      <c r="L970" s="64">
        <v>595</v>
      </c>
      <c r="M970" s="428">
        <f>=I970*L970</f>
        <v>178500</v>
      </c>
      <c r="N970" s="82">
        <f>=K970-M970</f>
        <v>3053.99999999997</v>
      </c>
      <c r="O970" s="64">
        <v>1</v>
      </c>
      <c r="P970" s="64">
        <f>=I970*O970*ROUNDUP((A970-B970)/30,0)</f>
        <v>600</v>
      </c>
      <c r="Q970" s="62" t="s"/>
      <c r="R970" s="62" t="s"/>
    </row>
    <row r="971" spans="1:18" ht="15.75" customHeight="true">
      <c r="A971" s="147">
        <v>46160</v>
      </c>
      <c r="B971" s="460">
        <v>46105</v>
      </c>
      <c r="C971" s="80" t="s">
        <v>183</v>
      </c>
      <c r="D971" s="64" t="s">
        <v>154</v>
      </c>
      <c r="E971" s="471" t="s">
        <v>3172</v>
      </c>
      <c r="F971" s="94" t="s">
        <v>421</v>
      </c>
      <c r="G971" s="94" t="s">
        <v>470</v>
      </c>
      <c r="H971" s="94" t="s">
        <v>1011</v>
      </c>
      <c r="I971" s="64">
        <v>70</v>
      </c>
      <c r="J971" s="87">
        <v>3553</v>
      </c>
      <c r="K971" s="427">
        <f>=I971*J971</f>
        <v>248710</v>
      </c>
      <c r="L971" s="64">
        <v>3500</v>
      </c>
      <c r="M971" s="428">
        <f>=I971*L971</f>
        <v>245000</v>
      </c>
      <c r="N971" s="82">
        <f>=K971-M971</f>
        <v>3710</v>
      </c>
      <c r="O971" s="64">
        <v>1.5</v>
      </c>
      <c r="P971" s="64">
        <f>=I971*O971*ROUNDUP((A971-B971)/30,0)</f>
        <v>210</v>
      </c>
      <c r="Q971" s="62" t="s"/>
      <c r="R971" s="62" t="s"/>
    </row>
    <row r="972" spans="1:18" ht="15.75" customHeight="true">
      <c r="A972" s="147">
        <v>46160</v>
      </c>
      <c r="B972" s="460">
        <v>46105</v>
      </c>
      <c r="C972" s="80" t="s">
        <v>183</v>
      </c>
      <c r="D972" s="64" t="s">
        <v>154</v>
      </c>
      <c r="E972" s="471" t="s">
        <v>3173</v>
      </c>
      <c r="F972" s="94" t="s">
        <v>421</v>
      </c>
      <c r="G972" s="94" t="s">
        <v>470</v>
      </c>
      <c r="H972" s="94" t="s">
        <v>1013</v>
      </c>
      <c r="I972" s="64">
        <v>30</v>
      </c>
      <c r="J972" s="87">
        <v>3553</v>
      </c>
      <c r="K972" s="427">
        <f>=I972*J972</f>
        <v>106590</v>
      </c>
      <c r="L972" s="64">
        <v>3500</v>
      </c>
      <c r="M972" s="428">
        <f>=I972*L972</f>
        <v>105000</v>
      </c>
      <c r="N972" s="82">
        <f>=K972-M972</f>
        <v>1590</v>
      </c>
      <c r="O972" s="64">
        <v>1.5</v>
      </c>
      <c r="P972" s="64">
        <f>=I972*O972*ROUNDUP((A972-B972)/30,0)</f>
        <v>90</v>
      </c>
      <c r="Q972" s="62" t="s"/>
      <c r="R972" s="62" t="s"/>
    </row>
    <row r="973" spans="1:18" ht="15.75" customHeight="true">
      <c r="A973" s="147">
        <v>46160</v>
      </c>
      <c r="B973" s="460">
        <v>46142</v>
      </c>
      <c r="C973" s="80" t="s">
        <v>306</v>
      </c>
      <c r="D973" s="308" t="s">
        <v>305</v>
      </c>
      <c r="E973" s="335" t="s">
        <v>3174</v>
      </c>
      <c r="F973" s="87" t="s">
        <v>2041</v>
      </c>
      <c r="G973" s="87" t="s">
        <v>470</v>
      </c>
      <c r="H973" s="64" t="s">
        <v>2042</v>
      </c>
      <c r="I973" s="339">
        <v>140</v>
      </c>
      <c r="J973" s="140">
        <v>6673.54</v>
      </c>
      <c r="K973" s="427">
        <f>=I973*J973</f>
        <v>934295.6</v>
      </c>
      <c r="L973" s="491">
        <v>6640</v>
      </c>
      <c r="M973" s="428">
        <f>=I973*L973</f>
        <v>929600</v>
      </c>
      <c r="N973" s="82">
        <f>=K973-M973</f>
        <v>4695.59999999998</v>
      </c>
      <c r="O973" s="64">
        <v>1.5</v>
      </c>
      <c r="P973" s="64">
        <f>=I973*O973*ROUNDUP((A973-B973)/30,0)</f>
        <v>210</v>
      </c>
      <c r="Q973" s="62" t="s"/>
      <c r="R973" s="62" t="s"/>
    </row>
    <row r="974" spans="1:18" ht="15.75" customHeight="true">
      <c r="A974" s="147">
        <v>46160</v>
      </c>
      <c r="B974" s="460">
        <v>46142</v>
      </c>
      <c r="C974" s="80" t="s">
        <v>306</v>
      </c>
      <c r="D974" s="308" t="s">
        <v>305</v>
      </c>
      <c r="E974" s="335" t="s">
        <v>3175</v>
      </c>
      <c r="F974" s="87" t="s">
        <v>2041</v>
      </c>
      <c r="G974" s="87" t="s">
        <v>470</v>
      </c>
      <c r="H974" s="64" t="s">
        <v>2042</v>
      </c>
      <c r="I974" s="339">
        <v>140</v>
      </c>
      <c r="J974" s="140">
        <v>6673.54</v>
      </c>
      <c r="K974" s="427">
        <f>=I974*J974</f>
        <v>934295.6</v>
      </c>
      <c r="L974" s="491">
        <v>6640</v>
      </c>
      <c r="M974" s="428">
        <f>=I974*L974</f>
        <v>929600</v>
      </c>
      <c r="N974" s="82">
        <f>=K974-M974</f>
        <v>4695.59999999998</v>
      </c>
      <c r="O974" s="64">
        <v>1.5</v>
      </c>
      <c r="P974" s="64">
        <f>=I974*O974*ROUNDUP((A974-B974)/30,0)</f>
        <v>210</v>
      </c>
      <c r="Q974" s="62" t="s"/>
      <c r="R974" s="62" t="s"/>
    </row>
    <row r="975" spans="1:18" ht="15.75" customHeight="true">
      <c r="A975" s="147">
        <v>46160</v>
      </c>
      <c r="B975" s="460">
        <v>46142</v>
      </c>
      <c r="C975" s="80" t="s">
        <v>306</v>
      </c>
      <c r="D975" s="308" t="s">
        <v>305</v>
      </c>
      <c r="E975" s="335" t="s">
        <v>3176</v>
      </c>
      <c r="F975" s="87" t="s">
        <v>2041</v>
      </c>
      <c r="G975" s="87" t="s">
        <v>470</v>
      </c>
      <c r="H975" s="64" t="s">
        <v>2042</v>
      </c>
      <c r="I975" s="339">
        <v>140</v>
      </c>
      <c r="J975" s="140">
        <v>6673.54</v>
      </c>
      <c r="K975" s="427">
        <f>=I975*J975</f>
        <v>934295.6</v>
      </c>
      <c r="L975" s="491">
        <v>6640</v>
      </c>
      <c r="M975" s="428">
        <f>=I975*L975</f>
        <v>929600</v>
      </c>
      <c r="N975" s="82">
        <f>=K975-M975</f>
        <v>4695.59999999998</v>
      </c>
      <c r="O975" s="64">
        <v>1.5</v>
      </c>
      <c r="P975" s="64">
        <f>=I975*O975*ROUNDUP((A975-B975)/30,0)</f>
        <v>210</v>
      </c>
      <c r="Q975" s="62" t="s"/>
      <c r="R975" s="62" t="s"/>
    </row>
    <row r="976" spans="1:18" ht="15.75" customHeight="true">
      <c r="A976" s="147">
        <v>46160</v>
      </c>
      <c r="B976" s="460">
        <v>46142</v>
      </c>
      <c r="C976" s="80" t="s">
        <v>306</v>
      </c>
      <c r="D976" s="308" t="s">
        <v>305</v>
      </c>
      <c r="E976" s="335" t="s">
        <v>3177</v>
      </c>
      <c r="F976" s="87" t="s">
        <v>2041</v>
      </c>
      <c r="G976" s="87" t="s">
        <v>470</v>
      </c>
      <c r="H976" s="64" t="s">
        <v>2042</v>
      </c>
      <c r="I976" s="339">
        <v>67</v>
      </c>
      <c r="J976" s="140">
        <v>6673.54</v>
      </c>
      <c r="K976" s="427">
        <f>=I976*J976</f>
        <v>447127.18</v>
      </c>
      <c r="L976" s="491">
        <v>6640</v>
      </c>
      <c r="M976" s="428">
        <f>=I976*L976</f>
        <v>444880</v>
      </c>
      <c r="N976" s="82">
        <f>=K976-M976</f>
        <v>2247.17999999999</v>
      </c>
      <c r="O976" s="64">
        <v>1.5</v>
      </c>
      <c r="P976" s="64">
        <f>=I976*O976*ROUNDUP((A976-B976)/30,0)</f>
        <v>100.5</v>
      </c>
      <c r="Q976" s="62" t="s"/>
      <c r="R976" s="62" t="s"/>
    </row>
    <row r="977" spans="1:18" ht="15.75" customHeight="true">
      <c r="A977" s="147">
        <v>46160</v>
      </c>
      <c r="B977" s="426">
        <v>46093</v>
      </c>
      <c r="C977" s="64" t="s">
        <v>143</v>
      </c>
      <c r="D977" s="64" t="s">
        <v>142</v>
      </c>
      <c r="E977" s="471" t="s">
        <v>3178</v>
      </c>
      <c r="F977" s="94" t="s">
        <v>503</v>
      </c>
      <c r="G977" s="197" t="s">
        <v>422</v>
      </c>
      <c r="H977" s="197" t="s">
        <v>876</v>
      </c>
      <c r="I977" s="64">
        <v>10</v>
      </c>
      <c r="J977" s="155">
        <v>1987.65</v>
      </c>
      <c r="K977" s="427">
        <f>=I977*J977</f>
        <v>19876.5</v>
      </c>
      <c r="L977" s="64">
        <v>1950</v>
      </c>
      <c r="M977" s="428">
        <f>=I977*L977</f>
        <v>19500</v>
      </c>
      <c r="N977" s="82">
        <f>=K977-M977</f>
        <v>376.5</v>
      </c>
      <c r="O977" s="64">
        <v>1</v>
      </c>
      <c r="P977" s="64">
        <f>=I977*O977*ROUNDUP((A977-B977)/30,0)</f>
        <v>30</v>
      </c>
      <c r="Q977" s="62" t="s"/>
      <c r="R977" s="62" t="s"/>
    </row>
    <row r="978" spans="1:18" ht="15.75" customHeight="true">
      <c r="A978" s="147">
        <v>46160</v>
      </c>
      <c r="B978" s="426">
        <v>46093</v>
      </c>
      <c r="C978" s="64" t="s">
        <v>143</v>
      </c>
      <c r="D978" s="64" t="s">
        <v>142</v>
      </c>
      <c r="E978" s="471" t="s">
        <v>3179</v>
      </c>
      <c r="F978" s="94" t="s">
        <v>503</v>
      </c>
      <c r="G978" s="197" t="s">
        <v>422</v>
      </c>
      <c r="H978" s="197" t="s">
        <v>878</v>
      </c>
      <c r="I978" s="64">
        <v>30</v>
      </c>
      <c r="J978" s="155">
        <v>1987.65</v>
      </c>
      <c r="K978" s="427">
        <f>=I978*J978</f>
        <v>59629.5</v>
      </c>
      <c r="L978" s="64">
        <v>1950</v>
      </c>
      <c r="M978" s="428">
        <f>=I978*L978</f>
        <v>58500</v>
      </c>
      <c r="N978" s="82">
        <f>=K978-M978</f>
        <v>1129.5</v>
      </c>
      <c r="O978" s="64">
        <v>1</v>
      </c>
      <c r="P978" s="64">
        <f>=I978*O978*ROUNDUP((A978-B978)/30,0)</f>
        <v>90</v>
      </c>
      <c r="Q978" s="62" t="s"/>
      <c r="R978" s="62" t="s"/>
    </row>
    <row r="979" spans="1:18" ht="15.75" customHeight="true">
      <c r="A979" s="147">
        <v>46160</v>
      </c>
      <c r="B979" s="426">
        <v>46093</v>
      </c>
      <c r="C979" s="64" t="s">
        <v>143</v>
      </c>
      <c r="D979" s="64" t="s">
        <v>142</v>
      </c>
      <c r="E979" s="471" t="s">
        <v>3180</v>
      </c>
      <c r="F979" s="94" t="s">
        <v>503</v>
      </c>
      <c r="G979" s="197" t="s">
        <v>422</v>
      </c>
      <c r="H979" s="197" t="s">
        <v>880</v>
      </c>
      <c r="I979" s="64">
        <v>30</v>
      </c>
      <c r="J979" s="155">
        <v>1987.65</v>
      </c>
      <c r="K979" s="427">
        <f>=I979*J979</f>
        <v>59629.5</v>
      </c>
      <c r="L979" s="64">
        <v>1950</v>
      </c>
      <c r="M979" s="428">
        <f>=I979*L979</f>
        <v>58500</v>
      </c>
      <c r="N979" s="82">
        <f>=K979-M979</f>
        <v>1129.5</v>
      </c>
      <c r="O979" s="64">
        <v>1</v>
      </c>
      <c r="P979" s="64">
        <f>=I979*O979*ROUNDUP((A979-B979)/30,0)</f>
        <v>90</v>
      </c>
      <c r="Q979" s="62" t="s"/>
      <c r="R979" s="62" t="s"/>
    </row>
    <row r="980" spans="1:18" ht="15.75" customHeight="true">
      <c r="A980" s="147">
        <v>46160</v>
      </c>
      <c r="B980" s="426">
        <v>46093</v>
      </c>
      <c r="C980" s="64" t="s">
        <v>143</v>
      </c>
      <c r="D980" s="64" t="s">
        <v>142</v>
      </c>
      <c r="E980" s="471" t="s">
        <v>3181</v>
      </c>
      <c r="F980" s="94" t="s">
        <v>503</v>
      </c>
      <c r="G980" s="197" t="s">
        <v>422</v>
      </c>
      <c r="H980" s="197" t="s">
        <v>882</v>
      </c>
      <c r="I980" s="64">
        <v>30</v>
      </c>
      <c r="J980" s="155">
        <v>1987.65</v>
      </c>
      <c r="K980" s="427">
        <f>=I980*J980</f>
        <v>59629.5</v>
      </c>
      <c r="L980" s="64">
        <v>1950</v>
      </c>
      <c r="M980" s="428">
        <f>=I980*L980</f>
        <v>58500</v>
      </c>
      <c r="N980" s="82">
        <f>=K980-M980</f>
        <v>1129.5</v>
      </c>
      <c r="O980" s="64">
        <v>1</v>
      </c>
      <c r="P980" s="64">
        <f>=I980*O980*ROUNDUP((A980-B980)/30,0)</f>
        <v>90</v>
      </c>
      <c r="Q980" s="62" t="s"/>
      <c r="R980" s="62" t="s"/>
    </row>
    <row r="981" spans="1:18" ht="15.75" customHeight="true">
      <c r="A981" s="147">
        <v>46161</v>
      </c>
      <c r="B981" s="460">
        <v>46157</v>
      </c>
      <c r="C981" s="80" t="s">
        <v>334</v>
      </c>
      <c r="D981" s="308" t="s">
        <v>333</v>
      </c>
      <c r="E981" s="308" t="s">
        <v>3182</v>
      </c>
      <c r="F981" s="87" t="s">
        <v>804</v>
      </c>
      <c r="G981" s="87" t="s">
        <v>429</v>
      </c>
      <c r="H981" s="140" t="s">
        <v>2125</v>
      </c>
      <c r="I981" s="249">
        <v>92</v>
      </c>
      <c r="J981" s="339">
        <v>1165.33</v>
      </c>
      <c r="K981" s="427">
        <f>=I981*J981</f>
        <v>107210.36</v>
      </c>
      <c r="L981" s="249">
        <v>1163</v>
      </c>
      <c r="M981" s="428">
        <f>=I981*L981</f>
        <v>106996</v>
      </c>
      <c r="N981" s="82">
        <f>=K981-M981</f>
        <v>214.359999999986</v>
      </c>
      <c r="O981" s="64">
        <v>0</v>
      </c>
      <c r="P981" s="64">
        <f>=I981*O981*ROUNDUP((A981-B981)/30,0)</f>
        <v>0</v>
      </c>
      <c r="Q981" s="62" t="s"/>
      <c r="R981" s="62" t="s"/>
    </row>
    <row r="982" spans="1:18" ht="15.75" customHeight="true">
      <c r="A982" s="147">
        <v>46161</v>
      </c>
      <c r="B982" s="426">
        <v>46059</v>
      </c>
      <c r="C982" s="64" t="s">
        <v>122</v>
      </c>
      <c r="D982" s="64" t="s">
        <v>121</v>
      </c>
      <c r="E982" s="94" t="s">
        <v>3183</v>
      </c>
      <c r="F982" s="64" t="s">
        <v>428</v>
      </c>
      <c r="G982" s="64" t="s">
        <v>422</v>
      </c>
      <c r="H982" s="64" t="s">
        <v>831</v>
      </c>
      <c r="I982" s="64">
        <v>800</v>
      </c>
      <c r="J982" s="87">
        <v>1016.35</v>
      </c>
      <c r="K982" s="427">
        <f>=I982*J982</f>
        <v>813080</v>
      </c>
      <c r="L982" s="64">
        <v>984</v>
      </c>
      <c r="M982" s="428">
        <f>=I982*L982</f>
        <v>787200</v>
      </c>
      <c r="N982" s="82">
        <f>=K982-M982</f>
        <v>25880</v>
      </c>
      <c r="O982" s="64">
        <v>1</v>
      </c>
      <c r="P982" s="64">
        <f>=I982*O982*ROUNDUP((A982-B982)/30,0)</f>
        <v>3200</v>
      </c>
      <c r="Q982" s="62" t="s"/>
      <c r="R982" s="62" t="s"/>
    </row>
    <row r="983" spans="1:18" ht="15.75" customHeight="true">
      <c r="A983" s="147">
        <v>46161</v>
      </c>
      <c r="B983" s="426">
        <v>46059</v>
      </c>
      <c r="C983" s="64" t="s">
        <v>122</v>
      </c>
      <c r="D983" s="64" t="s">
        <v>121</v>
      </c>
      <c r="E983" s="94" t="s">
        <v>3184</v>
      </c>
      <c r="F983" s="64" t="s">
        <v>428</v>
      </c>
      <c r="G983" s="64" t="s">
        <v>422</v>
      </c>
      <c r="H983" s="64" t="s">
        <v>835</v>
      </c>
      <c r="I983" s="64">
        <v>400</v>
      </c>
      <c r="J983" s="87">
        <v>1016.35</v>
      </c>
      <c r="K983" s="427">
        <f>=I983*J983</f>
        <v>406540</v>
      </c>
      <c r="L983" s="64">
        <v>984</v>
      </c>
      <c r="M983" s="428">
        <f>=I983*L983</f>
        <v>393600</v>
      </c>
      <c r="N983" s="82">
        <f>=K983-M983</f>
        <v>12940</v>
      </c>
      <c r="O983" s="64">
        <v>1</v>
      </c>
      <c r="P983" s="64">
        <f>=I983*O983*ROUNDUP((A983-B983)/30,0)</f>
        <v>1600</v>
      </c>
      <c r="Q983" s="62" t="s"/>
      <c r="R983" s="62" t="s"/>
    </row>
    <row r="984" spans="1:18" ht="15.75" customHeight="true">
      <c r="A984" s="147">
        <v>46161</v>
      </c>
      <c r="B984" s="460">
        <v>46098</v>
      </c>
      <c r="C984" s="80" t="s">
        <v>151</v>
      </c>
      <c r="D984" s="64" t="s">
        <v>150</v>
      </c>
      <c r="E984" s="477" t="s">
        <v>3185</v>
      </c>
      <c r="F984" s="64" t="s">
        <v>895</v>
      </c>
      <c r="G984" s="64" t="s">
        <v>422</v>
      </c>
      <c r="H984" s="64" t="s">
        <v>901</v>
      </c>
      <c r="I984" s="248">
        <v>470</v>
      </c>
      <c r="J984" s="87">
        <v>679.12</v>
      </c>
      <c r="K984" s="427">
        <f>=I984*J984</f>
        <v>319186.4</v>
      </c>
      <c r="L984" s="64">
        <v>664</v>
      </c>
      <c r="M984" s="428">
        <f>=I984*L984</f>
        <v>312080</v>
      </c>
      <c r="N984" s="82">
        <f>=K984-M984</f>
        <v>7106.40000000002</v>
      </c>
      <c r="O984" s="64">
        <v>1</v>
      </c>
      <c r="P984" s="64">
        <f>=I984*O984*ROUNDUP((A984-B984)/30,0)</f>
        <v>1410</v>
      </c>
      <c r="Q984" s="62" t="s"/>
      <c r="R984" s="62" t="s"/>
    </row>
    <row r="985" spans="1:18" ht="15.75" customHeight="true">
      <c r="A985" s="147">
        <v>46161</v>
      </c>
      <c r="B985" s="460">
        <v>46098</v>
      </c>
      <c r="C985" s="80" t="s">
        <v>151</v>
      </c>
      <c r="D985" s="64" t="s">
        <v>150</v>
      </c>
      <c r="E985" s="471" t="s">
        <v>3186</v>
      </c>
      <c r="F985" s="64" t="s">
        <v>895</v>
      </c>
      <c r="G985" s="64" t="s">
        <v>422</v>
      </c>
      <c r="H985" s="64" t="s">
        <v>896</v>
      </c>
      <c r="I985" s="248">
        <v>200</v>
      </c>
      <c r="J985" s="87">
        <v>1101.78</v>
      </c>
      <c r="K985" s="427">
        <f>=I985*J985</f>
        <v>220356</v>
      </c>
      <c r="L985" s="64">
        <v>1080</v>
      </c>
      <c r="M985" s="428">
        <f>=I985*L985</f>
        <v>216000</v>
      </c>
      <c r="N985" s="82">
        <f>=K985-M985</f>
        <v>4356</v>
      </c>
      <c r="O985" s="64">
        <v>1</v>
      </c>
      <c r="P985" s="64">
        <f>=I985*O985*ROUNDUP((A985-B985)/30,0)</f>
        <v>600</v>
      </c>
      <c r="Q985" s="62" t="s"/>
      <c r="R985" s="62" t="s"/>
    </row>
    <row r="986" spans="1:18" ht="15.75" customHeight="true">
      <c r="A986" s="147">
        <v>46162</v>
      </c>
      <c r="B986" s="426">
        <v>46059</v>
      </c>
      <c r="C986" s="64" t="s">
        <v>122</v>
      </c>
      <c r="D986" s="64" t="s">
        <v>121</v>
      </c>
      <c r="E986" s="471" t="s">
        <v>3187</v>
      </c>
      <c r="F986" s="64" t="s">
        <v>428</v>
      </c>
      <c r="G986" s="64" t="s">
        <v>422</v>
      </c>
      <c r="H986" s="64" t="s">
        <v>837</v>
      </c>
      <c r="I986" s="140">
        <v>1200</v>
      </c>
      <c r="J986" s="155">
        <v>846.67</v>
      </c>
      <c r="K986" s="427">
        <f>=I986*J986</f>
        <v>1016004</v>
      </c>
      <c r="L986" s="64">
        <v>820</v>
      </c>
      <c r="M986" s="428">
        <f>=I986*L986</f>
        <v>984000</v>
      </c>
      <c r="N986" s="82">
        <f>=K986-M986</f>
        <v>32004</v>
      </c>
      <c r="O986" s="64">
        <v>1</v>
      </c>
      <c r="P986" s="64">
        <f>=I986*O986*ROUNDUP((A986-B986)/30,0)</f>
        <v>4800</v>
      </c>
      <c r="Q986" s="62" t="s"/>
      <c r="R986" s="62" t="s"/>
    </row>
    <row r="987" spans="1:18" ht="15.75" customHeight="true">
      <c r="A987" s="147">
        <v>46162</v>
      </c>
      <c r="B987" s="460">
        <v>46157</v>
      </c>
      <c r="C987" s="80" t="s">
        <v>334</v>
      </c>
      <c r="D987" s="308" t="s">
        <v>333</v>
      </c>
      <c r="E987" s="308" t="s">
        <v>3188</v>
      </c>
      <c r="F987" s="140" t="s">
        <v>804</v>
      </c>
      <c r="G987" s="140" t="s">
        <v>429</v>
      </c>
      <c r="H987" s="64" t="s">
        <v>2131</v>
      </c>
      <c r="I987" s="249">
        <v>56</v>
      </c>
      <c r="J987" s="87">
        <v>1055.11</v>
      </c>
      <c r="K987" s="427">
        <f>=I987*J987</f>
        <v>59086.16</v>
      </c>
      <c r="L987" s="249">
        <v>1053</v>
      </c>
      <c r="M987" s="428">
        <f>=I987*L987</f>
        <v>58968</v>
      </c>
      <c r="N987" s="82">
        <f>=K987-M987</f>
        <v>118.159999999996</v>
      </c>
      <c r="O987" s="64">
        <v>0</v>
      </c>
      <c r="P987" s="64">
        <f>=I987*O987*ROUNDUP((A987-B987)/30,0)</f>
        <v>0</v>
      </c>
      <c r="Q987" s="62" t="s"/>
      <c r="R987" s="62" t="s"/>
    </row>
    <row r="988" spans="1:18" ht="15.75" customHeight="true">
      <c r="A988" s="147">
        <v>46162</v>
      </c>
      <c r="B988" s="460">
        <v>46133</v>
      </c>
      <c r="C988" s="80" t="s">
        <v>279</v>
      </c>
      <c r="D988" s="94" t="s">
        <v>165</v>
      </c>
      <c r="E988" s="94" t="s">
        <v>3189</v>
      </c>
      <c r="F988" s="259" t="s">
        <v>428</v>
      </c>
      <c r="G988" s="259" t="s">
        <v>470</v>
      </c>
      <c r="H988" s="259" t="s">
        <v>954</v>
      </c>
      <c r="I988" s="64">
        <v>114</v>
      </c>
      <c r="J988" s="94">
        <v>2625.4</v>
      </c>
      <c r="K988" s="427">
        <f>=I988*J988</f>
        <v>299295.6</v>
      </c>
      <c r="L988" s="140">
        <v>2600</v>
      </c>
      <c r="M988" s="428">
        <f>=I988*L988</f>
        <v>296400</v>
      </c>
      <c r="N988" s="82">
        <f>=K988-M988</f>
        <v>2895.60000000004</v>
      </c>
      <c r="O988" s="64">
        <v>1.5</v>
      </c>
      <c r="P988" s="64">
        <f>=I988*O988*ROUNDUP((A988-B988)/30,0)</f>
        <v>171</v>
      </c>
      <c r="Q988" s="62" t="s"/>
      <c r="R988" s="62" t="s"/>
    </row>
    <row r="989" spans="1:18" ht="15.75" customHeight="true">
      <c r="A989" s="147">
        <v>46162</v>
      </c>
      <c r="B989" s="426">
        <v>46122</v>
      </c>
      <c r="C989" s="64" t="s">
        <v>246</v>
      </c>
      <c r="D989" s="64" t="s">
        <v>116</v>
      </c>
      <c r="E989" s="335" t="s">
        <v>3190</v>
      </c>
      <c r="F989" s="140" t="s">
        <v>804</v>
      </c>
      <c r="G989" s="140" t="s">
        <v>429</v>
      </c>
      <c r="H989" s="64" t="s">
        <v>821</v>
      </c>
      <c r="I989" s="87">
        <v>100</v>
      </c>
      <c r="J989" s="64">
        <v>55.59</v>
      </c>
      <c r="K989" s="427">
        <f>=I989*J989</f>
        <v>5559</v>
      </c>
      <c r="L989" s="64">
        <v>55</v>
      </c>
      <c r="M989" s="428">
        <f>=I989*L989</f>
        <v>5500</v>
      </c>
      <c r="N989" s="82">
        <f>=K989-M989</f>
        <v>59</v>
      </c>
      <c r="O989" s="64">
        <v>0</v>
      </c>
      <c r="P989" s="64">
        <f>=I989*O989*ROUNDUP((A989-B989)/30,0)</f>
        <v>0</v>
      </c>
      <c r="Q989" s="62" t="s"/>
      <c r="R989" s="62" t="s"/>
    </row>
    <row r="990" spans="1:18" ht="15.75" customHeight="true">
      <c r="A990" s="147">
        <v>46162</v>
      </c>
      <c r="B990" s="460">
        <v>46111</v>
      </c>
      <c r="C990" s="80" t="s">
        <v>209</v>
      </c>
      <c r="D990" s="64" t="s">
        <v>135</v>
      </c>
      <c r="E990" s="471" t="s">
        <v>3191</v>
      </c>
      <c r="F990" s="498" t="s">
        <v>741</v>
      </c>
      <c r="G990" s="140" t="s">
        <v>422</v>
      </c>
      <c r="H990" s="140" t="s">
        <v>1249</v>
      </c>
      <c r="I990" s="87">
        <v>200</v>
      </c>
      <c r="J990" s="249">
        <v>718.19</v>
      </c>
      <c r="K990" s="427">
        <f>=I990*J990</f>
        <v>143638</v>
      </c>
      <c r="L990" s="243">
        <v>707</v>
      </c>
      <c r="M990" s="428">
        <f>=I990*L990</f>
        <v>141400</v>
      </c>
      <c r="N990" s="82">
        <f>=K990-M990</f>
        <v>2238</v>
      </c>
      <c r="O990" s="64">
        <v>1</v>
      </c>
      <c r="P990" s="64">
        <f>=I990*O990*ROUNDUP((A990-B990)/30,0)</f>
        <v>400</v>
      </c>
      <c r="Q990" s="62" t="s"/>
      <c r="R990" s="62" t="s"/>
    </row>
    <row r="991" spans="1:18" ht="15.75" customHeight="true">
      <c r="A991" s="147">
        <v>46162</v>
      </c>
      <c r="B991" s="460">
        <v>46106</v>
      </c>
      <c r="C991" s="80" t="s">
        <v>187</v>
      </c>
      <c r="D991" s="64" t="s">
        <v>135</v>
      </c>
      <c r="E991" s="471" t="s">
        <v>3192</v>
      </c>
      <c r="F991" s="64" t="s">
        <v>428</v>
      </c>
      <c r="G991" s="64" t="s">
        <v>422</v>
      </c>
      <c r="H991" s="64" t="s">
        <v>1038</v>
      </c>
      <c r="I991" s="64">
        <v>200</v>
      </c>
      <c r="J991" s="87">
        <v>605.48</v>
      </c>
      <c r="K991" s="427">
        <f>=I991*J991</f>
        <v>121096</v>
      </c>
      <c r="L991" s="64">
        <v>595</v>
      </c>
      <c r="M991" s="428">
        <f>=I991*L991</f>
        <v>119000</v>
      </c>
      <c r="N991" s="82">
        <f>=K991-M991</f>
        <v>2096</v>
      </c>
      <c r="O991" s="64">
        <v>1</v>
      </c>
      <c r="P991" s="64">
        <f>=I991*O991*ROUNDUP((A991-B991)/30,0)</f>
        <v>400</v>
      </c>
      <c r="Q991" s="62" t="s"/>
      <c r="R991" s="62" t="s"/>
    </row>
    <row r="992" spans="1:18" ht="15.75" customHeight="true">
      <c r="A992" s="147">
        <v>46162</v>
      </c>
      <c r="B992" s="460">
        <v>46121</v>
      </c>
      <c r="C992" s="80" t="s">
        <v>247</v>
      </c>
      <c r="D992" s="64" t="s">
        <v>135</v>
      </c>
      <c r="E992" s="335" t="s">
        <v>3193</v>
      </c>
      <c r="F992" s="87" t="s">
        <v>428</v>
      </c>
      <c r="G992" s="87" t="s">
        <v>422</v>
      </c>
      <c r="H992" s="87" t="s">
        <v>612</v>
      </c>
      <c r="I992" s="87">
        <v>90</v>
      </c>
      <c r="J992" s="64">
        <v>759.88</v>
      </c>
      <c r="K992" s="427">
        <f>=I992*J992</f>
        <v>68389.2</v>
      </c>
      <c r="L992" s="87">
        <v>750</v>
      </c>
      <c r="M992" s="428">
        <f>=I992*L992</f>
        <v>67500</v>
      </c>
      <c r="N992" s="82">
        <f>=K992-M992</f>
        <v>889.199999999997</v>
      </c>
      <c r="O992" s="64">
        <v>1</v>
      </c>
      <c r="P992" s="64">
        <f>=I992*O992*ROUNDUP((A992-B992)/30,0)</f>
        <v>180</v>
      </c>
      <c r="Q992" s="62" t="s"/>
      <c r="R992" s="62" t="s"/>
    </row>
    <row r="993" spans="1:18" ht="15.75" customHeight="true">
      <c r="A993" s="147">
        <v>46162</v>
      </c>
      <c r="B993" s="460">
        <v>46121</v>
      </c>
      <c r="C993" s="80" t="s">
        <v>247</v>
      </c>
      <c r="D993" s="64" t="s">
        <v>135</v>
      </c>
      <c r="E993" s="335" t="s">
        <v>3194</v>
      </c>
      <c r="F993" s="87" t="s">
        <v>428</v>
      </c>
      <c r="G993" s="87" t="s">
        <v>422</v>
      </c>
      <c r="H993" s="87" t="s">
        <v>886</v>
      </c>
      <c r="I993" s="87">
        <v>60</v>
      </c>
      <c r="J993" s="64">
        <v>759.88</v>
      </c>
      <c r="K993" s="427">
        <f>=I993*J993</f>
        <v>45592.8</v>
      </c>
      <c r="L993" s="87">
        <v>750</v>
      </c>
      <c r="M993" s="428">
        <f>=I993*L993</f>
        <v>45000</v>
      </c>
      <c r="N993" s="82">
        <f>=K993-M993</f>
        <v>592.800000000003</v>
      </c>
      <c r="O993" s="64">
        <v>1</v>
      </c>
      <c r="P993" s="64">
        <f>=I993*O993*ROUNDUP((A993-B993)/30,0)</f>
        <v>120</v>
      </c>
      <c r="Q993" s="62" t="s"/>
      <c r="R993" s="62" t="s"/>
    </row>
    <row r="994" spans="1:18" ht="15.75" customHeight="true">
      <c r="A994" s="147">
        <v>46162</v>
      </c>
      <c r="B994" s="426">
        <v>46022</v>
      </c>
      <c r="C994" s="64" t="s">
        <v>96</v>
      </c>
      <c r="D994" s="64" t="s">
        <v>74</v>
      </c>
      <c r="E994" s="335" t="s">
        <v>3195</v>
      </c>
      <c r="F994" s="307" t="s">
        <v>428</v>
      </c>
      <c r="G994" s="64" t="s">
        <v>449</v>
      </c>
      <c r="H994" s="64" t="s">
        <v>658</v>
      </c>
      <c r="I994" s="87">
        <v>300</v>
      </c>
      <c r="J994" s="94">
        <v>1094.57</v>
      </c>
      <c r="K994" s="427">
        <f>=I994*J994</f>
        <v>328371</v>
      </c>
      <c r="L994" s="64">
        <v>1053</v>
      </c>
      <c r="M994" s="428">
        <f>=I994*L994</f>
        <v>315900</v>
      </c>
      <c r="N994" s="82">
        <f>=K994-M994</f>
        <v>12471</v>
      </c>
      <c r="O994" s="64">
        <v>0</v>
      </c>
      <c r="P994" s="64">
        <f>=I994*O994*ROUNDUP((A994-B994)/30,0)</f>
        <v>0</v>
      </c>
      <c r="Q994" s="62" t="s"/>
      <c r="R994" s="62" t="s"/>
    </row>
    <row r="995" spans="1:18" ht="15.75" customHeight="true">
      <c r="A995" s="148">
        <v>46162</v>
      </c>
      <c r="B995" s="461">
        <v>46131</v>
      </c>
      <c r="C995" s="110" t="s">
        <v>257</v>
      </c>
      <c r="D995" s="64" t="s">
        <v>150</v>
      </c>
      <c r="E995" s="335" t="s">
        <v>3196</v>
      </c>
      <c r="F995" s="87" t="s">
        <v>895</v>
      </c>
      <c r="G995" s="87" t="s">
        <v>422</v>
      </c>
      <c r="H995" s="87" t="s">
        <v>1816</v>
      </c>
      <c r="I995" s="155">
        <v>100</v>
      </c>
      <c r="J995" s="94">
        <v>960.6</v>
      </c>
      <c r="K995" s="427">
        <f>=I995*J995</f>
        <v>96060</v>
      </c>
      <c r="L995" s="87">
        <v>950</v>
      </c>
      <c r="M995" s="428">
        <f>=I995*L995</f>
        <v>95000</v>
      </c>
      <c r="N995" s="82">
        <f>=K995-M995</f>
        <v>1060</v>
      </c>
      <c r="O995" s="64">
        <v>1</v>
      </c>
      <c r="P995" s="64">
        <f>=I995*O995*ROUNDUP((A995-B995)/30,0)</f>
        <v>200</v>
      </c>
      <c r="Q995" s="62" t="s"/>
      <c r="R995" s="62" t="s"/>
    </row>
    <row r="996" spans="1:18" ht="15.75" customHeight="true">
      <c r="A996" s="148">
        <v>46162</v>
      </c>
      <c r="B996" s="461">
        <v>46098</v>
      </c>
      <c r="C996" s="110" t="s">
        <v>151</v>
      </c>
      <c r="D996" s="64" t="s">
        <v>150</v>
      </c>
      <c r="E996" s="308" t="s">
        <v>3197</v>
      </c>
      <c r="F996" s="87" t="s">
        <v>895</v>
      </c>
      <c r="G996" s="258" t="s">
        <v>422</v>
      </c>
      <c r="H996" s="83" t="s">
        <v>896</v>
      </c>
      <c r="I996" s="83">
        <v>200</v>
      </c>
      <c r="J996" s="155">
        <v>1102.05</v>
      </c>
      <c r="K996" s="427">
        <f>=I996*J996</f>
        <v>220410</v>
      </c>
      <c r="L996" s="64">
        <v>1080</v>
      </c>
      <c r="M996" s="428">
        <f>=I996*L996</f>
        <v>216000</v>
      </c>
      <c r="N996" s="82">
        <f>=K996-M996</f>
        <v>4410</v>
      </c>
      <c r="O996" s="64">
        <v>1</v>
      </c>
      <c r="P996" s="64">
        <f>=I996*O996*ROUNDUP((A996-B996)/30,0)</f>
        <v>600</v>
      </c>
      <c r="Q996" s="62" t="s"/>
      <c r="R996" s="62" t="s"/>
    </row>
    <row r="997" spans="1:18" ht="15.75" customHeight="true">
      <c r="A997" s="148">
        <v>46162</v>
      </c>
      <c r="B997" s="461">
        <v>46098</v>
      </c>
      <c r="C997" s="110" t="s">
        <v>151</v>
      </c>
      <c r="D997" s="64" t="s">
        <v>150</v>
      </c>
      <c r="E997" s="308" t="s">
        <v>3198</v>
      </c>
      <c r="F997" s="87" t="s">
        <v>895</v>
      </c>
      <c r="G997" s="258" t="s">
        <v>422</v>
      </c>
      <c r="H997" s="83" t="s">
        <v>896</v>
      </c>
      <c r="I997" s="83">
        <v>200</v>
      </c>
      <c r="J997" s="155">
        <v>1102.05</v>
      </c>
      <c r="K997" s="427">
        <f>=I997*J997</f>
        <v>220410</v>
      </c>
      <c r="L997" s="64">
        <v>1080</v>
      </c>
      <c r="M997" s="428">
        <f>=I997*L997</f>
        <v>216000</v>
      </c>
      <c r="N997" s="82">
        <f>=K997-M997</f>
        <v>4410</v>
      </c>
      <c r="O997" s="64">
        <v>1</v>
      </c>
      <c r="P997" s="64">
        <f>=I997*O997*ROUNDUP((A997-B997)/30,0)</f>
        <v>600</v>
      </c>
      <c r="Q997" s="62" t="s"/>
      <c r="R997" s="62" t="s"/>
    </row>
    <row r="998" spans="1:18" ht="15.75" customHeight="true">
      <c r="A998" s="148">
        <v>46162</v>
      </c>
      <c r="B998" s="461">
        <v>46098</v>
      </c>
      <c r="C998" s="110" t="s">
        <v>151</v>
      </c>
      <c r="D998" s="64" t="s">
        <v>150</v>
      </c>
      <c r="E998" s="308" t="s">
        <v>3199</v>
      </c>
      <c r="F998" s="87" t="s">
        <v>895</v>
      </c>
      <c r="G998" s="258" t="s">
        <v>422</v>
      </c>
      <c r="H998" s="83" t="s">
        <v>896</v>
      </c>
      <c r="I998" s="83">
        <v>300</v>
      </c>
      <c r="J998" s="155">
        <v>1102.05</v>
      </c>
      <c r="K998" s="427">
        <f>=I998*J998</f>
        <v>330615</v>
      </c>
      <c r="L998" s="64">
        <v>1080</v>
      </c>
      <c r="M998" s="428">
        <f>=I998*L998</f>
        <v>324000</v>
      </c>
      <c r="N998" s="82">
        <f>=K998-M998</f>
        <v>6615</v>
      </c>
      <c r="O998" s="64">
        <v>1</v>
      </c>
      <c r="P998" s="64">
        <f>=I998*O998*ROUNDUP((A998-B998)/30,0)</f>
        <v>900</v>
      </c>
      <c r="Q998" s="62" t="s"/>
      <c r="R998" s="62" t="s"/>
    </row>
    <row r="999" spans="1:18" ht="15.75" customHeight="true">
      <c r="A999" s="148">
        <v>46162</v>
      </c>
      <c r="B999" s="461">
        <v>46128</v>
      </c>
      <c r="C999" s="102" t="s">
        <v>255</v>
      </c>
      <c r="D999" s="64" t="s">
        <v>215</v>
      </c>
      <c r="E999" s="308" t="s">
        <v>3200</v>
      </c>
      <c r="F999" s="197" t="s">
        <v>421</v>
      </c>
      <c r="G999" s="258" t="s">
        <v>470</v>
      </c>
      <c r="H999" s="142" t="s">
        <v>1015</v>
      </c>
      <c r="I999" s="83">
        <v>50</v>
      </c>
      <c r="J999" s="356">
        <v>3080.69</v>
      </c>
      <c r="K999" s="427">
        <f>=I999*J999</f>
        <v>154034.5</v>
      </c>
      <c r="L999">
        <v>3050</v>
      </c>
      <c r="M999" s="428">
        <f>=I999*L999</f>
        <v>152500</v>
      </c>
      <c r="N999" s="82">
        <f>=K999-M999</f>
        <v>1534.5</v>
      </c>
      <c r="O999" s="64">
        <v>1.5</v>
      </c>
      <c r="P999" s="64">
        <f>=I999*O999*ROUNDUP((A999-B999)/30,0)</f>
        <v>150</v>
      </c>
      <c r="Q999" s="62" t="s"/>
      <c r="R999" s="62" t="s"/>
    </row>
    <row r="1000" spans="1:18" ht="15.75" customHeight="true">
      <c r="A1000" s="148">
        <v>46162</v>
      </c>
      <c r="B1000" s="461">
        <v>46111</v>
      </c>
      <c r="C1000" s="135" t="s">
        <v>216</v>
      </c>
      <c r="D1000" s="93" t="s">
        <v>215</v>
      </c>
      <c r="E1000" s="490" t="s">
        <v>3201</v>
      </c>
      <c r="F1000" s="228" t="s">
        <v>421</v>
      </c>
      <c r="G1000" s="258" t="s">
        <v>470</v>
      </c>
      <c r="H1000" s="142" t="s">
        <v>1015</v>
      </c>
      <c r="I1000" s="83">
        <v>100</v>
      </c>
      <c r="J1000" s="362">
        <v>3265.86</v>
      </c>
      <c r="K1000" s="439">
        <f>=I1000*J1000</f>
        <v>326586</v>
      </c>
      <c r="L1000" s="142">
        <v>3220</v>
      </c>
      <c r="M1000" s="454">
        <f>=I1000*L1000</f>
        <v>322000</v>
      </c>
      <c r="N1000" s="84">
        <f>=K1000-M1000</f>
        <v>4586</v>
      </c>
      <c r="O1000" s="83">
        <v>1.5</v>
      </c>
      <c r="P1000" s="83">
        <f>=I1000*O1000*ROUNDUP((A1000-B1000)/30,0)</f>
        <v>300</v>
      </c>
      <c r="Q1000" s="62" t="s"/>
      <c r="R1000" s="62" t="s"/>
    </row>
    <row r="1001" spans="1:18" ht="15.75" customHeight="true">
      <c r="A1001" s="148">
        <v>46163</v>
      </c>
      <c r="B1001" s="461">
        <v>46155</v>
      </c>
      <c r="C1001" s="110" t="s">
        <v>326</v>
      </c>
      <c r="D1001" s="64" t="s">
        <v>150</v>
      </c>
      <c r="E1001" s="308" t="s">
        <v>3202</v>
      </c>
      <c r="F1001" s="259" t="s">
        <v>895</v>
      </c>
      <c r="G1001" s="251" t="s">
        <v>422</v>
      </c>
      <c r="H1001" s="251" t="s">
        <v>937</v>
      </c>
      <c r="I1001" s="490">
        <v>3</v>
      </c>
      <c r="J1001" s="155">
        <v>2361.62</v>
      </c>
      <c r="K1001" s="427">
        <f>=I1001*J1001</f>
        <v>7084.86</v>
      </c>
      <c r="L1001" s="87">
        <v>2300</v>
      </c>
      <c r="M1001" s="428">
        <f>=I1001*L1001</f>
        <v>6900</v>
      </c>
      <c r="N1001" s="82">
        <f>=K1001-M1001</f>
        <v>184.86</v>
      </c>
      <c r="O1001" s="64">
        <v>1</v>
      </c>
      <c r="P1001" s="64">
        <f>=I1001*O1001*ROUNDUP((A1001-B1001)/30,0)</f>
        <v>3</v>
      </c>
      <c r="Q1001" s="62" t="s"/>
      <c r="R1001" s="62" t="s"/>
    </row>
    <row r="1002" spans="1:18" ht="15.75" customHeight="true">
      <c r="A1002" s="148">
        <v>46162</v>
      </c>
      <c r="B1002" s="451">
        <v>46059</v>
      </c>
      <c r="C1002" s="83" t="s">
        <v>122</v>
      </c>
      <c r="D1002" s="64" t="s">
        <v>121</v>
      </c>
      <c r="E1002" s="94" t="s">
        <v>3203</v>
      </c>
      <c r="F1002" s="64" t="s">
        <v>428</v>
      </c>
      <c r="G1002" s="83" t="s">
        <v>422</v>
      </c>
      <c r="H1002" s="83" t="s">
        <v>837</v>
      </c>
      <c r="I1002" s="142">
        <v>1000</v>
      </c>
      <c r="J1002" s="155">
        <v>848.39</v>
      </c>
      <c r="K1002" s="427">
        <f>=I1002*J1002</f>
        <v>848390</v>
      </c>
      <c r="L1002" s="64">
        <v>820</v>
      </c>
      <c r="M1002" s="428">
        <f>=I1002*L1002</f>
        <v>820000</v>
      </c>
      <c r="N1002" s="82">
        <f>=K1002-M1002</f>
        <v>28390</v>
      </c>
      <c r="O1002" s="64">
        <v>1</v>
      </c>
      <c r="P1002" s="64">
        <f>=I1002*O1002*ROUNDUP((A1002-B1002)/30,0)</f>
        <v>4000</v>
      </c>
      <c r="Q1002" s="62" t="s"/>
      <c r="R1002" s="62" t="s"/>
    </row>
    <row r="1003" spans="1:18" ht="15.75" customHeight="true">
      <c r="A1003" s="147">
        <v>46163</v>
      </c>
      <c r="B1003" s="460">
        <v>46157</v>
      </c>
      <c r="C1003" s="80" t="s">
        <v>334</v>
      </c>
      <c r="D1003" s="308" t="s">
        <v>333</v>
      </c>
      <c r="E1003" s="308" t="s">
        <v>3204</v>
      </c>
      <c r="F1003" s="87" t="s">
        <v>804</v>
      </c>
      <c r="G1003" s="87" t="s">
        <v>429</v>
      </c>
      <c r="H1003" s="197" t="s">
        <v>2121</v>
      </c>
      <c r="I1003" s="64">
        <v>123</v>
      </c>
      <c r="J1003" s="155">
        <v>1235.47</v>
      </c>
      <c r="K1003" s="427">
        <f>=I1003*J1003</f>
        <v>151962.81</v>
      </c>
      <c r="L1003" s="249">
        <v>1233</v>
      </c>
      <c r="M1003" s="428">
        <f>=I1003*L1003</f>
        <v>151659</v>
      </c>
      <c r="N1003" s="82">
        <f>=K1003-M1003</f>
        <v>303.809999999998</v>
      </c>
      <c r="O1003" s="64">
        <v>0</v>
      </c>
      <c r="P1003" s="64">
        <f>=I1003*O1003*ROUNDUP((A1003-B1003)/30,0)</f>
        <v>0</v>
      </c>
      <c r="Q1003" s="62" t="s"/>
      <c r="R1003" s="62" t="s"/>
    </row>
    <row r="1004" spans="1:18" ht="15.75" customHeight="true">
      <c r="A1004" s="147">
        <v>46163</v>
      </c>
      <c r="B1004" s="460">
        <v>46153</v>
      </c>
      <c r="C1004" s="80" t="s">
        <v>321</v>
      </c>
      <c r="D1004" s="308" t="s">
        <v>320</v>
      </c>
      <c r="E1004" s="308" t="s">
        <v>3205</v>
      </c>
      <c r="F1004" s="64" t="s">
        <v>421</v>
      </c>
      <c r="G1004" s="64" t="s">
        <v>422</v>
      </c>
      <c r="H1004" s="335" t="s">
        <v>2087</v>
      </c>
      <c r="I1004" s="249">
        <v>100</v>
      </c>
      <c r="J1004" s="155">
        <v>4413.6</v>
      </c>
      <c r="K1004" s="427">
        <f>=I1004*J1004</f>
        <v>441360</v>
      </c>
      <c r="L1004" s="249">
        <v>4400</v>
      </c>
      <c r="M1004" s="428">
        <f>=I1004*L1004</f>
        <v>440000</v>
      </c>
      <c r="N1004" s="82">
        <f>=K1004-M1004</f>
        <v>1360.00000000006</v>
      </c>
      <c r="O1004" s="64">
        <v>1</v>
      </c>
      <c r="P1004" s="64">
        <f>=I1004*O1004*ROUNDUP((A1004-B1004)/30,0)</f>
        <v>100</v>
      </c>
      <c r="Q1004" s="62" t="s"/>
      <c r="R1004" s="62" t="s"/>
    </row>
    <row r="1005" spans="1:18" ht="15.75" customHeight="true">
      <c r="A1005" s="147">
        <v>46163</v>
      </c>
      <c r="B1005" s="426">
        <v>46101</v>
      </c>
      <c r="C1005" s="64" t="s">
        <v>170</v>
      </c>
      <c r="D1005" s="64" t="s">
        <v>169</v>
      </c>
      <c r="E1005" s="471" t="s">
        <v>3206</v>
      </c>
      <c r="F1005" s="259" t="s">
        <v>421</v>
      </c>
      <c r="G1005" s="259" t="s">
        <v>422</v>
      </c>
      <c r="H1005" s="259" t="s">
        <v>957</v>
      </c>
      <c r="I1005" s="87">
        <v>2</v>
      </c>
      <c r="J1005" s="94">
        <v>7974.07</v>
      </c>
      <c r="K1005" s="427">
        <f>=I1005*J1005</f>
        <v>15948.14</v>
      </c>
      <c r="L1005" s="64">
        <v>7846</v>
      </c>
      <c r="M1005" s="428">
        <f>=I1005*L1005</f>
        <v>15692</v>
      </c>
      <c r="N1005" s="82">
        <f>=K1005-M1005</f>
        <v>256.139999999999</v>
      </c>
      <c r="O1005" s="64">
        <v>1</v>
      </c>
      <c r="P1005" s="64">
        <f>=I1005*O1005*ROUNDUP((A1005-B1005)/30,0)</f>
        <v>6</v>
      </c>
      <c r="Q1005" s="62" t="s"/>
      <c r="R1005" s="62" t="s"/>
    </row>
    <row r="1006" spans="1:18" ht="15.75" customHeight="true">
      <c r="A1006" s="147">
        <v>46163</v>
      </c>
      <c r="B1006" s="426">
        <v>46101</v>
      </c>
      <c r="C1006" s="64" t="s">
        <v>170</v>
      </c>
      <c r="D1006" s="64" t="s">
        <v>169</v>
      </c>
      <c r="E1006" s="471" t="s">
        <v>3207</v>
      </c>
      <c r="F1006" s="259" t="s">
        <v>421</v>
      </c>
      <c r="G1006" s="259" t="s">
        <v>422</v>
      </c>
      <c r="H1006" s="259" t="s">
        <v>959</v>
      </c>
      <c r="I1006" s="87">
        <v>16</v>
      </c>
      <c r="J1006" s="94">
        <v>7974.07</v>
      </c>
      <c r="K1006" s="427">
        <f>=I1006*J1006</f>
        <v>127585.12</v>
      </c>
      <c r="L1006" s="64">
        <v>7846</v>
      </c>
      <c r="M1006" s="428">
        <f>=I1006*L1006</f>
        <v>125536</v>
      </c>
      <c r="N1006" s="82">
        <f>=K1006-M1006</f>
        <v>2049.12</v>
      </c>
      <c r="O1006" s="64">
        <v>1</v>
      </c>
      <c r="P1006" s="64">
        <f>=I1006*O1006*ROUNDUP((A1006-B1006)/30,0)</f>
        <v>48</v>
      </c>
      <c r="Q1006" s="62" t="s"/>
      <c r="R1006" s="62" t="s"/>
    </row>
    <row r="1007" spans="1:18" ht="15.75" customHeight="true">
      <c r="A1007" s="147">
        <v>46163</v>
      </c>
      <c r="B1007" s="426">
        <v>46101</v>
      </c>
      <c r="C1007" s="64" t="s">
        <v>170</v>
      </c>
      <c r="D1007" s="64" t="s">
        <v>169</v>
      </c>
      <c r="E1007" s="471" t="s">
        <v>3208</v>
      </c>
      <c r="F1007" s="259" t="s">
        <v>421</v>
      </c>
      <c r="G1007" s="259" t="s">
        <v>422</v>
      </c>
      <c r="H1007" s="259" t="s">
        <v>961</v>
      </c>
      <c r="I1007" s="87">
        <v>20</v>
      </c>
      <c r="J1007" s="94">
        <v>7974.07</v>
      </c>
      <c r="K1007" s="427">
        <f>=I1007*J1007</f>
        <v>159481.4</v>
      </c>
      <c r="L1007" s="64">
        <v>7846</v>
      </c>
      <c r="M1007" s="428">
        <f>=I1007*L1007</f>
        <v>156920</v>
      </c>
      <c r="N1007" s="82">
        <f>=K1007-M1007</f>
        <v>2561.39999999999</v>
      </c>
      <c r="O1007" s="64">
        <v>1</v>
      </c>
      <c r="P1007" s="64">
        <f>=I1007*O1007*ROUNDUP((A1007-B1007)/30,0)</f>
        <v>60</v>
      </c>
      <c r="Q1007" s="62" t="s"/>
      <c r="R1007" s="62" t="s"/>
    </row>
    <row r="1008" spans="1:18" ht="15.75" customHeight="true">
      <c r="A1008" s="147">
        <v>46163</v>
      </c>
      <c r="B1008" s="426">
        <v>46101</v>
      </c>
      <c r="C1008" s="64" t="s">
        <v>170</v>
      </c>
      <c r="D1008" s="64" t="s">
        <v>169</v>
      </c>
      <c r="E1008" s="471" t="s">
        <v>3209</v>
      </c>
      <c r="F1008" s="259" t="s">
        <v>421</v>
      </c>
      <c r="G1008" s="259" t="s">
        <v>422</v>
      </c>
      <c r="H1008" s="259" t="s">
        <v>963</v>
      </c>
      <c r="I1008" s="87">
        <v>3</v>
      </c>
      <c r="J1008" s="94">
        <v>9628.73</v>
      </c>
      <c r="K1008" s="427">
        <f>=I1008*J1008</f>
        <v>28886.19</v>
      </c>
      <c r="L1008" s="64">
        <v>9475</v>
      </c>
      <c r="M1008" s="428">
        <f>=I1008*L1008</f>
        <v>28425</v>
      </c>
      <c r="N1008" s="82">
        <f>=K1008-M1008</f>
        <v>461.189999999999</v>
      </c>
      <c r="O1008" s="64">
        <v>1</v>
      </c>
      <c r="P1008" s="64">
        <f>=I1008*O1008*ROUNDUP((A1008-B1008)/30,0)</f>
        <v>9</v>
      </c>
      <c r="Q1008" s="62" t="s"/>
      <c r="R1008" s="62" t="s"/>
    </row>
    <row r="1009" spans="1:18" ht="15.75" customHeight="true">
      <c r="A1009" s="147">
        <v>46163</v>
      </c>
      <c r="B1009" s="426">
        <v>46101</v>
      </c>
      <c r="C1009" s="64" t="s">
        <v>170</v>
      </c>
      <c r="D1009" s="64" t="s">
        <v>169</v>
      </c>
      <c r="E1009" s="471" t="s">
        <v>3210</v>
      </c>
      <c r="F1009" s="259" t="s">
        <v>421</v>
      </c>
      <c r="G1009" s="259" t="s">
        <v>422</v>
      </c>
      <c r="H1009" s="259" t="s">
        <v>981</v>
      </c>
      <c r="I1009" s="64">
        <v>1</v>
      </c>
      <c r="J1009" s="94">
        <v>6419.98</v>
      </c>
      <c r="K1009" s="427">
        <f>=I1009*J1009</f>
        <v>6419.98</v>
      </c>
      <c r="L1009" s="64">
        <v>6316</v>
      </c>
      <c r="M1009" s="428">
        <f>=I1009*L1009</f>
        <v>6316</v>
      </c>
      <c r="N1009" s="82">
        <f>=K1009-M1009</f>
        <v>103.98</v>
      </c>
      <c r="O1009" s="64">
        <v>1</v>
      </c>
      <c r="P1009" s="64">
        <f>=I1009*O1009*ROUNDUP((A1009-B1009)/30,0)</f>
        <v>3</v>
      </c>
      <c r="Q1009" s="62" t="s"/>
      <c r="R1009" s="62" t="s"/>
    </row>
    <row r="1010" spans="1:18" ht="15.75" customHeight="true">
      <c r="A1010" s="147">
        <v>46163</v>
      </c>
      <c r="B1010" s="460">
        <v>46153</v>
      </c>
      <c r="C1010" s="80" t="s">
        <v>318</v>
      </c>
      <c r="D1010" s="87" t="s">
        <v>223</v>
      </c>
      <c r="E1010" s="308" t="s">
        <v>3211</v>
      </c>
      <c r="F1010" s="308" t="s">
        <v>421</v>
      </c>
      <c r="G1010" s="87" t="s">
        <v>449</v>
      </c>
      <c r="H1010" s="64" t="s">
        <v>2081</v>
      </c>
      <c r="I1010" s="140">
        <v>30</v>
      </c>
      <c r="J1010" s="155">
        <v>2157.71</v>
      </c>
      <c r="K1010" s="427">
        <f>=I1010*J1010</f>
        <v>64731.3</v>
      </c>
      <c r="L1010" s="249">
        <v>2150</v>
      </c>
      <c r="M1010" s="428">
        <f>=I1010*L1010</f>
        <v>64500</v>
      </c>
      <c r="N1010" s="82">
        <f>=K1010-M1010</f>
        <v>231.300000000003</v>
      </c>
      <c r="O1010" s="64">
        <v>1</v>
      </c>
      <c r="P1010" s="64">
        <f>=I1010*O1010*ROUNDUP((A1010-B1010)/30,0)</f>
        <v>30</v>
      </c>
      <c r="Q1010" s="62" t="s"/>
      <c r="R1010" s="62" t="s"/>
    </row>
    <row r="1011" spans="1:18" ht="15.75" customHeight="true">
      <c r="A1011" s="147">
        <v>46163</v>
      </c>
      <c r="B1011" s="426">
        <v>46022</v>
      </c>
      <c r="C1011" s="64" t="s">
        <v>96</v>
      </c>
      <c r="D1011" s="64" t="s">
        <v>74</v>
      </c>
      <c r="E1011" s="471" t="s">
        <v>3212</v>
      </c>
      <c r="F1011" s="307" t="s">
        <v>428</v>
      </c>
      <c r="G1011" s="64" t="s">
        <v>449</v>
      </c>
      <c r="H1011" s="64" t="s">
        <v>658</v>
      </c>
      <c r="I1011" s="87">
        <v>300</v>
      </c>
      <c r="J1011" s="94">
        <v>1094.87</v>
      </c>
      <c r="K1011" s="427">
        <f>=I1011*J1011</f>
        <v>328461</v>
      </c>
      <c r="L1011" s="64">
        <v>1053</v>
      </c>
      <c r="M1011" s="428">
        <f>=I1011*L1011</f>
        <v>315900</v>
      </c>
      <c r="N1011" s="82">
        <f>=K1011-M1011</f>
        <v>12560.9999999999</v>
      </c>
      <c r="O1011" s="64">
        <v>0</v>
      </c>
      <c r="P1011" s="64">
        <f>=I1011*O1011*ROUNDUP((A1011-B1011)/30,0)</f>
        <v>0</v>
      </c>
      <c r="Q1011" s="62" t="s"/>
      <c r="R1011" s="62" t="s"/>
    </row>
    <row r="1012" spans="1:18" ht="15.75" customHeight="true">
      <c r="A1012" s="147">
        <v>46163</v>
      </c>
      <c r="B1012" s="426">
        <v>46111</v>
      </c>
      <c r="C1012" s="64" t="s">
        <v>214</v>
      </c>
      <c r="D1012" s="94" t="s">
        <v>201</v>
      </c>
      <c r="E1012" s="308" t="s">
        <v>3213</v>
      </c>
      <c r="F1012" s="64" t="s">
        <v>421</v>
      </c>
      <c r="G1012" s="64" t="s">
        <v>422</v>
      </c>
      <c r="H1012" s="87" t="s">
        <v>1169</v>
      </c>
      <c r="I1012" s="64">
        <v>100</v>
      </c>
      <c r="J1012" s="87">
        <v>7899</v>
      </c>
      <c r="K1012" s="427">
        <f>=I1012*J1012</f>
        <v>789900</v>
      </c>
      <c r="L1012" s="140">
        <v>7800</v>
      </c>
      <c r="M1012" s="428">
        <f>=I1012*L1012</f>
        <v>780000</v>
      </c>
      <c r="N1012" s="82">
        <f>=K1012-M1012</f>
        <v>9900</v>
      </c>
      <c r="O1012" s="64">
        <v>1</v>
      </c>
      <c r="P1012" s="64">
        <f>=I1012*O1012*ROUNDUP((A1012-B1012)/30,0)</f>
        <v>200</v>
      </c>
      <c r="Q1012" s="62" t="s"/>
      <c r="R1012" s="62" t="s"/>
    </row>
    <row r="1013" spans="1:18" ht="15.75" customHeight="true">
      <c r="A1013" s="147">
        <v>46163</v>
      </c>
      <c r="B1013" s="426">
        <v>46101</v>
      </c>
      <c r="C1013" s="64" t="s">
        <v>170</v>
      </c>
      <c r="D1013" s="64" t="s">
        <v>169</v>
      </c>
      <c r="E1013" s="471" t="s">
        <v>3214</v>
      </c>
      <c r="F1013" s="259" t="s">
        <v>421</v>
      </c>
      <c r="G1013" s="259" t="s">
        <v>422</v>
      </c>
      <c r="H1013" s="259" t="s">
        <v>971</v>
      </c>
      <c r="I1013" s="64">
        <v>16</v>
      </c>
      <c r="J1013" s="87">
        <v>4816.11</v>
      </c>
      <c r="K1013" s="427">
        <f>=I1013*J1013</f>
        <v>77057.76</v>
      </c>
      <c r="L1013" s="64">
        <v>4737</v>
      </c>
      <c r="M1013" s="428">
        <f>=I1013*L1013</f>
        <v>75792</v>
      </c>
      <c r="N1013" s="82">
        <f>=K1013-M1013</f>
        <v>1265.76</v>
      </c>
      <c r="O1013" s="64">
        <v>1</v>
      </c>
      <c r="P1013" s="64">
        <f>=I1013*O1013*ROUNDUP((A1013-B1013)/30,0)</f>
        <v>48</v>
      </c>
      <c r="Q1013" s="62" t="s"/>
      <c r="R1013" s="62" t="s"/>
    </row>
    <row r="1014" spans="1:18" ht="15.75" customHeight="true">
      <c r="A1014" s="147">
        <v>46163</v>
      </c>
      <c r="B1014" s="426">
        <v>46101</v>
      </c>
      <c r="C1014" s="64" t="s">
        <v>170</v>
      </c>
      <c r="D1014" s="64" t="s">
        <v>169</v>
      </c>
      <c r="E1014" s="471" t="s">
        <v>3215</v>
      </c>
      <c r="F1014" s="259" t="s">
        <v>421</v>
      </c>
      <c r="G1014" s="259" t="s">
        <v>422</v>
      </c>
      <c r="H1014" s="259" t="s">
        <v>979</v>
      </c>
      <c r="I1014" s="94">
        <v>15</v>
      </c>
      <c r="J1014" s="87">
        <v>4816.11</v>
      </c>
      <c r="K1014" s="427">
        <f>=I1014*J1014</f>
        <v>72241.65</v>
      </c>
      <c r="L1014" s="64">
        <v>4737</v>
      </c>
      <c r="M1014" s="428">
        <f>=I1014*L1014</f>
        <v>71055</v>
      </c>
      <c r="N1014" s="82">
        <f>=K1014-M1014</f>
        <v>1186.64999999999</v>
      </c>
      <c r="O1014" s="64">
        <v>1</v>
      </c>
      <c r="P1014" s="64">
        <f>=I1014*O1014*ROUNDUP((A1014-B1014)/30,0)</f>
        <v>45</v>
      </c>
      <c r="Q1014" s="62" t="s"/>
      <c r="R1014" s="62" t="s"/>
    </row>
    <row r="1015" spans="1:18" ht="15.75" customHeight="true">
      <c r="A1015" s="147">
        <v>46164</v>
      </c>
      <c r="B1015" s="426">
        <v>46101</v>
      </c>
      <c r="C1015" s="64" t="s">
        <v>170</v>
      </c>
      <c r="D1015" s="64" t="s">
        <v>169</v>
      </c>
      <c r="E1015" s="94" t="s">
        <v>3216</v>
      </c>
      <c r="F1015" s="259" t="s">
        <v>421</v>
      </c>
      <c r="G1015" s="259" t="s">
        <v>422</v>
      </c>
      <c r="H1015" s="259" t="s">
        <v>965</v>
      </c>
      <c r="I1015" s="87">
        <v>8</v>
      </c>
      <c r="J1015" s="87">
        <v>7224.2</v>
      </c>
      <c r="K1015" s="427">
        <f>=I1015*J1015</f>
        <v>57793.6</v>
      </c>
      <c r="L1015" s="64">
        <v>7106</v>
      </c>
      <c r="M1015" s="428">
        <f>=I1015*L1015</f>
        <v>56848</v>
      </c>
      <c r="N1015" s="82">
        <f>=K1015-M1015</f>
        <v>945.599999999999</v>
      </c>
      <c r="O1015" s="64">
        <v>1</v>
      </c>
      <c r="P1015" s="64">
        <f>=I1015*O1015*ROUNDUP((A1015-B1015)/30,0)</f>
        <v>24</v>
      </c>
      <c r="Q1015" s="62" t="s"/>
      <c r="R1015" s="62" t="s"/>
    </row>
    <row r="1016" spans="1:18" ht="15.75" customHeight="true">
      <c r="A1016" s="147">
        <v>46164</v>
      </c>
      <c r="B1016" s="426">
        <v>46101</v>
      </c>
      <c r="C1016" s="64" t="s">
        <v>170</v>
      </c>
      <c r="D1016" s="64" t="s">
        <v>169</v>
      </c>
      <c r="E1016" s="94" t="s">
        <v>3217</v>
      </c>
      <c r="F1016" s="259" t="s">
        <v>421</v>
      </c>
      <c r="G1016" s="259" t="s">
        <v>422</v>
      </c>
      <c r="H1016" s="259" t="s">
        <v>967</v>
      </c>
      <c r="I1016" s="87">
        <v>8</v>
      </c>
      <c r="J1016" s="87">
        <v>7224.2</v>
      </c>
      <c r="K1016" s="427">
        <f>=I1016*J1016</f>
        <v>57793.6</v>
      </c>
      <c r="L1016" s="64">
        <v>7106</v>
      </c>
      <c r="M1016" s="428">
        <f>=I1016*L1016</f>
        <v>56848</v>
      </c>
      <c r="N1016" s="82">
        <f>=K1016-M1016</f>
        <v>945.599999999999</v>
      </c>
      <c r="O1016" s="64">
        <v>1</v>
      </c>
      <c r="P1016" s="64">
        <f>=I1016*O1016*ROUNDUP((A1016-B1016)/30,0)</f>
        <v>24</v>
      </c>
      <c r="Q1016" s="62" t="s"/>
      <c r="R1016" s="62" t="s"/>
    </row>
    <row r="1017" spans="1:18" ht="15.75" customHeight="true">
      <c r="A1017" s="147">
        <v>46164</v>
      </c>
      <c r="B1017" s="426">
        <v>46101</v>
      </c>
      <c r="C1017" s="64" t="s">
        <v>170</v>
      </c>
      <c r="D1017" s="64" t="s">
        <v>169</v>
      </c>
      <c r="E1017" s="94" t="s">
        <v>3218</v>
      </c>
      <c r="F1017" s="259" t="s">
        <v>421</v>
      </c>
      <c r="G1017" s="259" t="s">
        <v>422</v>
      </c>
      <c r="H1017" s="259" t="s">
        <v>969</v>
      </c>
      <c r="I1017" s="87">
        <v>24</v>
      </c>
      <c r="J1017" s="87">
        <v>7224.2</v>
      </c>
      <c r="K1017" s="427">
        <f>=I1017*J1017</f>
        <v>173380.8</v>
      </c>
      <c r="L1017" s="64">
        <v>7106</v>
      </c>
      <c r="M1017" s="428">
        <f>=I1017*L1017</f>
        <v>170544</v>
      </c>
      <c r="N1017" s="82">
        <f>=K1017-M1017</f>
        <v>2836.79999999999</v>
      </c>
      <c r="O1017" s="64">
        <v>1</v>
      </c>
      <c r="P1017" s="64">
        <f>=I1017*O1017*ROUNDUP((A1017-B1017)/30,0)</f>
        <v>72</v>
      </c>
      <c r="Q1017" s="62" t="s"/>
      <c r="R1017" s="62" t="s"/>
    </row>
    <row r="1018" spans="1:18" ht="15.75" customHeight="true">
      <c r="A1018" s="147">
        <v>46164</v>
      </c>
      <c r="B1018" s="426">
        <v>46101</v>
      </c>
      <c r="C1018" s="64" t="s">
        <v>170</v>
      </c>
      <c r="D1018" s="64" t="s">
        <v>169</v>
      </c>
      <c r="E1018" s="94" t="s">
        <v>3219</v>
      </c>
      <c r="F1018" s="259" t="s">
        <v>421</v>
      </c>
      <c r="G1018" s="259" t="s">
        <v>422</v>
      </c>
      <c r="H1018" s="259" t="s">
        <v>973</v>
      </c>
      <c r="I1018" s="249">
        <v>4</v>
      </c>
      <c r="J1018" s="249">
        <v>4817.29</v>
      </c>
      <c r="K1018" s="427">
        <f>=I1018*J1018</f>
        <v>19269.16</v>
      </c>
      <c r="L1018" s="64">
        <v>4737</v>
      </c>
      <c r="M1018" s="428">
        <f>=I1018*L1018</f>
        <v>18948</v>
      </c>
      <c r="N1018" s="82">
        <f>=K1018-M1018</f>
        <v>321.16</v>
      </c>
      <c r="O1018" s="64">
        <v>1</v>
      </c>
      <c r="P1018" s="64">
        <f>=I1018*O1018*ROUNDUP((A1018-B1018)/30,0)</f>
        <v>12</v>
      </c>
      <c r="Q1018" s="62" t="s"/>
      <c r="R1018" s="62" t="s"/>
    </row>
    <row r="1019" spans="1:18" ht="15.75" customHeight="true">
      <c r="A1019" s="147">
        <v>46164</v>
      </c>
      <c r="B1019" s="426">
        <v>46101</v>
      </c>
      <c r="C1019" s="64" t="s">
        <v>170</v>
      </c>
      <c r="D1019" s="64" t="s">
        <v>169</v>
      </c>
      <c r="E1019" s="94" t="s">
        <v>3220</v>
      </c>
      <c r="F1019" s="259" t="s">
        <v>421</v>
      </c>
      <c r="G1019" s="259" t="s">
        <v>422</v>
      </c>
      <c r="H1019" s="259" t="s">
        <v>975</v>
      </c>
      <c r="I1019" s="331">
        <v>4</v>
      </c>
      <c r="J1019" s="249">
        <v>4817.29</v>
      </c>
      <c r="K1019" s="427">
        <f>=I1019*J1019</f>
        <v>19269.16</v>
      </c>
      <c r="L1019" s="64">
        <v>4737</v>
      </c>
      <c r="M1019" s="428">
        <f>=I1019*L1019</f>
        <v>18948</v>
      </c>
      <c r="N1019" s="82">
        <f>=K1019-M1019</f>
        <v>321.16</v>
      </c>
      <c r="O1019" s="64">
        <v>1</v>
      </c>
      <c r="P1019" s="64">
        <f>=I1019*O1019*ROUNDUP((A1019-B1019)/30,0)</f>
        <v>12</v>
      </c>
      <c r="Q1019" s="62" t="s"/>
      <c r="R1019" s="62" t="s"/>
    </row>
    <row r="1020" spans="1:18" ht="15.75" customHeight="true">
      <c r="A1020" s="147">
        <v>46164</v>
      </c>
      <c r="B1020" s="426">
        <v>46101</v>
      </c>
      <c r="C1020" s="64" t="s">
        <v>170</v>
      </c>
      <c r="D1020" s="64" t="s">
        <v>169</v>
      </c>
      <c r="E1020" s="94" t="s">
        <v>3221</v>
      </c>
      <c r="F1020" s="259" t="s">
        <v>421</v>
      </c>
      <c r="G1020" s="259" t="s">
        <v>422</v>
      </c>
      <c r="H1020" s="259" t="s">
        <v>977</v>
      </c>
      <c r="I1020" s="87">
        <v>1</v>
      </c>
      <c r="J1020" s="87">
        <v>4817.29</v>
      </c>
      <c r="K1020" s="427">
        <f>=I1020*J1020</f>
        <v>4817.29</v>
      </c>
      <c r="L1020" s="64">
        <v>4737</v>
      </c>
      <c r="M1020" s="428">
        <f>=I1020*L1020</f>
        <v>4737</v>
      </c>
      <c r="N1020" s="82">
        <f>=K1020-M1020</f>
        <v>80.29</v>
      </c>
      <c r="O1020" s="64">
        <v>1</v>
      </c>
      <c r="P1020" s="64">
        <f>=I1020*O1020*ROUNDUP((A1020-B1020)/30,0)</f>
        <v>3</v>
      </c>
      <c r="Q1020" s="62" t="s"/>
      <c r="R1020" s="62" t="s"/>
    </row>
    <row r="1021" spans="1:18" ht="15.75" customHeight="true">
      <c r="A1021" s="147">
        <v>46162</v>
      </c>
      <c r="B1021" s="483">
        <v>46135</v>
      </c>
      <c r="C1021" t="s">
        <v>283</v>
      </c>
      <c r="D1021" s="146" t="s">
        <v>281</v>
      </c>
      <c r="E1021" s="335" t="s">
        <v>3222</v>
      </c>
      <c r="F1021" s="97" t="s">
        <v>1438</v>
      </c>
      <c r="G1021" s="97" t="s">
        <v>422</v>
      </c>
      <c r="H1021" s="499" t="s">
        <v>1987</v>
      </c>
      <c r="I1021">
        <v>9</v>
      </c>
      <c r="J1021" s="356">
        <v>3385.02</v>
      </c>
      <c r="K1021" s="427">
        <f>=I1021*J1021</f>
        <v>30465.18</v>
      </c>
      <c r="L1021">
        <v>3360</v>
      </c>
      <c r="M1021" s="428">
        <f>=I1021*L1021</f>
        <v>30240</v>
      </c>
      <c r="N1021" s="82">
        <f>=K1021-M1021</f>
        <v>225.18</v>
      </c>
      <c r="O1021" s="64">
        <v>1</v>
      </c>
      <c r="P1021" s="64">
        <f>=I1021*O1021*ROUNDUP((A1021-B1021)/30,0)</f>
        <v>9</v>
      </c>
      <c r="Q1021" s="62" t="s"/>
      <c r="R1021" s="62" t="s"/>
    </row>
    <row r="1022" spans="1:18" ht="15.75" customHeight="true">
      <c r="A1022" s="148">
        <v>46162</v>
      </c>
      <c r="B1022" s="500">
        <v>46135</v>
      </c>
      <c r="C1022" t="s">
        <v>283</v>
      </c>
      <c r="D1022" s="149" t="s">
        <v>281</v>
      </c>
      <c r="E1022" s="349" t="s">
        <v>3223</v>
      </c>
      <c r="F1022" s="152" t="s">
        <v>1438</v>
      </c>
      <c r="G1022" s="152" t="s">
        <v>422</v>
      </c>
      <c r="H1022" s="501" t="s">
        <v>1989</v>
      </c>
      <c r="I1022">
        <v>5</v>
      </c>
      <c r="J1022" s="362">
        <v>3385.02</v>
      </c>
      <c r="K1022" s="439">
        <f>=I1022*J1022</f>
        <v>16925.1</v>
      </c>
      <c r="L1022">
        <v>3360</v>
      </c>
      <c r="M1022" s="454">
        <f>=I1022*L1022</f>
        <v>16800</v>
      </c>
      <c r="N1022" s="84">
        <f>=K1022-M1022</f>
        <v>125.099999999999</v>
      </c>
      <c r="O1022" s="83">
        <v>1</v>
      </c>
      <c r="P1022" s="83">
        <f>=I1022*O1022*ROUNDUP((A1022-B1022)/30,0)</f>
        <v>5</v>
      </c>
      <c r="Q1022" s="62" t="s"/>
      <c r="R1022" s="62" t="s"/>
    </row>
    <row r="1023" spans="1:18" ht="15.75" customHeight="true">
      <c r="A1023" s="147">
        <v>46164</v>
      </c>
      <c r="B1023" s="483">
        <v>46135</v>
      </c>
      <c r="C1023" s="87" t="s">
        <v>283</v>
      </c>
      <c r="D1023" s="308" t="s">
        <v>281</v>
      </c>
      <c r="E1023" s="335" t="s">
        <v>3224</v>
      </c>
      <c r="F1023" s="94" t="s">
        <v>503</v>
      </c>
      <c r="G1023" s="64" t="s">
        <v>422</v>
      </c>
      <c r="H1023" s="338" t="s">
        <v>1977</v>
      </c>
      <c r="I1023" s="249">
        <v>18</v>
      </c>
      <c r="J1023" s="87">
        <v>4268.26</v>
      </c>
      <c r="K1023" s="427">
        <f>=I1023*J1023</f>
        <v>76828.68</v>
      </c>
      <c r="L1023" s="249">
        <v>4235</v>
      </c>
      <c r="M1023" s="428">
        <f>=I1023*L1023</f>
        <v>76230</v>
      </c>
      <c r="N1023" s="82">
        <f>=K1023-M1023</f>
        <v>598.680000000008</v>
      </c>
      <c r="O1023" s="64">
        <v>1</v>
      </c>
      <c r="P1023" s="64">
        <f>=I1023*O1023*ROUNDUP((A1023-B1023)/30,0)</f>
        <v>18</v>
      </c>
      <c r="Q1023" s="62" t="s"/>
      <c r="R1023" s="62" t="s"/>
    </row>
    <row r="1024" spans="1:18" ht="15.75" customHeight="true">
      <c r="A1024" s="147">
        <v>46164</v>
      </c>
      <c r="B1024" s="483">
        <v>46135</v>
      </c>
      <c r="C1024" s="87" t="s">
        <v>283</v>
      </c>
      <c r="D1024" s="308" t="s">
        <v>281</v>
      </c>
      <c r="E1024" s="335" t="s">
        <v>3225</v>
      </c>
      <c r="F1024" s="94" t="s">
        <v>503</v>
      </c>
      <c r="G1024" s="64" t="s">
        <v>422</v>
      </c>
      <c r="H1024" s="338" t="s">
        <v>1979</v>
      </c>
      <c r="I1024" s="249">
        <v>16</v>
      </c>
      <c r="J1024" s="87">
        <v>4268.26</v>
      </c>
      <c r="K1024" s="427">
        <f>=I1024*J1024</f>
        <v>68292.16</v>
      </c>
      <c r="L1024" s="249">
        <v>4235</v>
      </c>
      <c r="M1024" s="428">
        <f>=I1024*L1024</f>
        <v>67760</v>
      </c>
      <c r="N1024" s="82">
        <f>=K1024-M1024</f>
        <v>532.160000000004</v>
      </c>
      <c r="O1024" s="64">
        <v>1</v>
      </c>
      <c r="P1024" s="64">
        <f>=I1024*O1024*ROUNDUP((A1024-B1024)/30,0)</f>
        <v>16</v>
      </c>
      <c r="Q1024" s="62" t="s"/>
      <c r="R1024" s="62" t="s"/>
    </row>
    <row r="1025" spans="1:18" ht="15.75" customHeight="true">
      <c r="A1025" s="147">
        <v>46164</v>
      </c>
      <c r="B1025" s="483">
        <v>46135</v>
      </c>
      <c r="C1025" s="87" t="s">
        <v>283</v>
      </c>
      <c r="D1025" s="308" t="s">
        <v>281</v>
      </c>
      <c r="E1025" s="335" t="s">
        <v>3226</v>
      </c>
      <c r="F1025" s="94" t="s">
        <v>503</v>
      </c>
      <c r="G1025" s="64" t="s">
        <v>422</v>
      </c>
      <c r="H1025" s="338" t="s">
        <v>1975</v>
      </c>
      <c r="I1025" s="64">
        <v>20</v>
      </c>
      <c r="J1025" s="87">
        <v>2787.24</v>
      </c>
      <c r="K1025" s="427">
        <f>=I1025*J1025</f>
        <v>55744.8</v>
      </c>
      <c r="L1025" s="249">
        <v>2765</v>
      </c>
      <c r="M1025" s="428">
        <f>=I1025*L1025</f>
        <v>55300</v>
      </c>
      <c r="N1025" s="82">
        <f>=K1025-M1025</f>
        <v>444.799999999996</v>
      </c>
      <c r="O1025" s="64">
        <v>1</v>
      </c>
      <c r="P1025" s="64">
        <f>=I1025*O1025*ROUNDUP((A1025-B1025)/30,0)</f>
        <v>20</v>
      </c>
      <c r="Q1025" s="62" t="s"/>
      <c r="R1025" s="62" t="s"/>
    </row>
    <row r="1026" spans="1:18" ht="15.75" customHeight="true">
      <c r="A1026" s="147">
        <v>46164</v>
      </c>
      <c r="B1026" s="426">
        <v>46059</v>
      </c>
      <c r="C1026" s="64" t="s">
        <v>122</v>
      </c>
      <c r="D1026" s="64" t="s">
        <v>121</v>
      </c>
      <c r="E1026" s="335" t="s">
        <v>3227</v>
      </c>
      <c r="F1026" s="64" t="s">
        <v>428</v>
      </c>
      <c r="G1026" s="64" t="s">
        <v>422</v>
      </c>
      <c r="H1026" s="247" t="s">
        <v>833</v>
      </c>
      <c r="I1026" s="64">
        <v>2450</v>
      </c>
      <c r="J1026" s="427">
        <v>1017.12</v>
      </c>
      <c r="K1026" s="427">
        <f>=I1026*J1026</f>
        <v>2491944</v>
      </c>
      <c r="L1026" s="64">
        <v>984</v>
      </c>
      <c r="M1026" s="428">
        <f>=I1026*L1026</f>
        <v>2410800</v>
      </c>
      <c r="N1026" s="82">
        <f>=K1026-M1026</f>
        <v>81144</v>
      </c>
      <c r="O1026" s="64">
        <v>1</v>
      </c>
      <c r="P1026" s="64">
        <f>=I1026*O1026*ROUNDUP((A1026-B1026)/30,0)</f>
        <v>9800</v>
      </c>
      <c r="Q1026" s="62" t="s"/>
      <c r="R1026" s="62" t="s"/>
    </row>
    <row r="1027" spans="1:18" ht="15.75" customHeight="true">
      <c r="A1027" s="147">
        <v>46164</v>
      </c>
      <c r="B1027" s="426">
        <v>46059</v>
      </c>
      <c r="C1027" s="64" t="s">
        <v>122</v>
      </c>
      <c r="D1027" s="64" t="s">
        <v>121</v>
      </c>
      <c r="E1027" s="335" t="s">
        <v>3228</v>
      </c>
      <c r="F1027" s="64" t="s">
        <v>428</v>
      </c>
      <c r="G1027" s="64" t="s">
        <v>422</v>
      </c>
      <c r="H1027" s="247" t="s">
        <v>837</v>
      </c>
      <c r="I1027" s="64">
        <v>450</v>
      </c>
      <c r="J1027" s="427">
        <v>848.6</v>
      </c>
      <c r="K1027" s="427">
        <f>=I1027*J1027</f>
        <v>381870</v>
      </c>
      <c r="L1027" s="64">
        <v>820</v>
      </c>
      <c r="M1027" s="428">
        <f>=I1027*L1027</f>
        <v>369000</v>
      </c>
      <c r="N1027" s="82">
        <f>=K1027-M1027</f>
        <v>12870</v>
      </c>
      <c r="O1027" s="64">
        <v>1</v>
      </c>
      <c r="P1027" s="64">
        <f>=I1027*O1027*ROUNDUP((A1027-B1027)/30,0)</f>
        <v>1800</v>
      </c>
      <c r="Q1027" s="62" t="s"/>
      <c r="R1027" s="62" t="s"/>
    </row>
    <row r="1028" spans="1:18" ht="15.75" customHeight="true">
      <c r="A1028" s="147">
        <v>46164</v>
      </c>
      <c r="B1028" s="460">
        <v>46106</v>
      </c>
      <c r="C1028" s="80" t="s">
        <v>192</v>
      </c>
      <c r="D1028" s="64" t="s">
        <v>191</v>
      </c>
      <c r="E1028" s="471" t="s">
        <v>3229</v>
      </c>
      <c r="F1028" s="140" t="s">
        <v>741</v>
      </c>
      <c r="G1028" s="140" t="s">
        <v>422</v>
      </c>
      <c r="H1028" s="64" t="s">
        <v>1087</v>
      </c>
      <c r="I1028" s="64">
        <v>50</v>
      </c>
      <c r="J1028" s="339">
        <v>1139.52</v>
      </c>
      <c r="K1028" s="427">
        <f>=I1028*J1028</f>
        <v>56976</v>
      </c>
      <c r="L1028" s="64">
        <v>1120</v>
      </c>
      <c r="M1028" s="428">
        <f>=I1028*L1028</f>
        <v>56000</v>
      </c>
      <c r="N1028" s="82">
        <f>=K1028-M1028</f>
        <v>976</v>
      </c>
      <c r="O1028" s="64">
        <v>1</v>
      </c>
      <c r="P1028" s="64">
        <f>=I1028*O1028*ROUNDUP((A1028-B1028)/30,0)</f>
        <v>100</v>
      </c>
      <c r="Q1028" s="62" t="s"/>
      <c r="R1028" s="62" t="s"/>
    </row>
    <row r="1029" spans="1:18" ht="15.75" customHeight="true">
      <c r="A1029" s="147">
        <v>46164</v>
      </c>
      <c r="B1029" s="460">
        <v>46106</v>
      </c>
      <c r="C1029" s="502" t="s">
        <v>192</v>
      </c>
      <c r="D1029" s="503" t="s">
        <v>191</v>
      </c>
      <c r="E1029" s="471" t="s">
        <v>3230</v>
      </c>
      <c r="F1029" s="64" t="s">
        <v>741</v>
      </c>
      <c r="G1029" s="64" t="s">
        <v>422</v>
      </c>
      <c r="H1029" s="64" t="s">
        <v>1161</v>
      </c>
      <c r="I1029" s="64">
        <v>141</v>
      </c>
      <c r="J1029" s="339">
        <v>1246.07</v>
      </c>
      <c r="K1029" s="427">
        <f>=I1029*J1029</f>
        <v>175695.87</v>
      </c>
      <c r="L1029" s="64">
        <v>1225</v>
      </c>
      <c r="M1029" s="428">
        <f>=I1029*L1029</f>
        <v>172725</v>
      </c>
      <c r="N1029" s="82">
        <f>=K1029-M1029</f>
        <v>2970.87</v>
      </c>
      <c r="O1029" s="64">
        <v>1</v>
      </c>
      <c r="P1029" s="64">
        <f>=I1029*O1029*ROUNDUP((A1029-B1029)/30,0)</f>
        <v>282</v>
      </c>
      <c r="Q1029" s="62" t="s"/>
      <c r="R1029" s="62" t="s"/>
    </row>
    <row r="1030" spans="1:18" ht="15.75" customHeight="true">
      <c r="A1030" s="147">
        <v>46164</v>
      </c>
      <c r="B1030" s="460">
        <v>46106</v>
      </c>
      <c r="C1030" s="80" t="s">
        <v>192</v>
      </c>
      <c r="D1030" s="64" t="s">
        <v>191</v>
      </c>
      <c r="E1030" s="471" t="s">
        <v>3231</v>
      </c>
      <c r="F1030" s="140" t="s">
        <v>741</v>
      </c>
      <c r="G1030" s="140" t="s">
        <v>422</v>
      </c>
      <c r="H1030" s="64" t="s">
        <v>1179</v>
      </c>
      <c r="I1030" s="64">
        <v>112</v>
      </c>
      <c r="J1030" s="87">
        <v>1246.07</v>
      </c>
      <c r="K1030" s="427">
        <f>=I1030*J1030</f>
        <v>139559.84</v>
      </c>
      <c r="L1030" s="64">
        <v>1225</v>
      </c>
      <c r="M1030" s="428">
        <f>=I1030*L1030</f>
        <v>137200</v>
      </c>
      <c r="N1030" s="82">
        <f>=K1030-M1030</f>
        <v>2359.84</v>
      </c>
      <c r="O1030" s="64">
        <v>1</v>
      </c>
      <c r="P1030" s="64">
        <f>=I1030*O1030*ROUNDUP((A1030-B1030)/30,0)</f>
        <v>224</v>
      </c>
      <c r="Q1030" s="62" t="s"/>
      <c r="R1030" s="62" t="s"/>
    </row>
    <row r="1031" spans="1:18" ht="15.75" customHeight="true">
      <c r="A1031" s="147">
        <v>46164</v>
      </c>
      <c r="B1031" s="460">
        <v>46106</v>
      </c>
      <c r="C1031" s="502" t="s">
        <v>192</v>
      </c>
      <c r="D1031" s="503" t="s">
        <v>191</v>
      </c>
      <c r="E1031" s="471" t="s">
        <v>3232</v>
      </c>
      <c r="F1031" s="64" t="s">
        <v>741</v>
      </c>
      <c r="G1031" s="64" t="s">
        <v>422</v>
      </c>
      <c r="H1031" s="64" t="s">
        <v>1650</v>
      </c>
      <c r="I1031" s="64">
        <v>97</v>
      </c>
      <c r="J1031" s="87">
        <v>1246.07</v>
      </c>
      <c r="K1031" s="427">
        <f>=I1031*J1031</f>
        <v>120868.79</v>
      </c>
      <c r="L1031" s="64">
        <v>1225</v>
      </c>
      <c r="M1031" s="428">
        <f>=I1031*L1031</f>
        <v>118825</v>
      </c>
      <c r="N1031" s="82">
        <f>=K1031-M1031</f>
        <v>2043.78999999999</v>
      </c>
      <c r="O1031" s="64">
        <v>1</v>
      </c>
      <c r="P1031" s="64">
        <f>=I1031*O1031*ROUNDUP((A1031-B1031)/30,0)</f>
        <v>194</v>
      </c>
      <c r="Q1031" s="62" t="s"/>
      <c r="R1031" s="62" t="s"/>
    </row>
    <row r="1032" spans="1:18" ht="15.75" customHeight="true">
      <c r="A1032" s="147">
        <v>46164</v>
      </c>
      <c r="B1032" s="460">
        <v>46105</v>
      </c>
      <c r="C1032" s="80" t="s">
        <v>185</v>
      </c>
      <c r="D1032" s="64" t="s">
        <v>156</v>
      </c>
      <c r="E1032" s="335" t="s">
        <v>3233</v>
      </c>
      <c r="F1032" s="94" t="s">
        <v>421</v>
      </c>
      <c r="G1032" s="94" t="s">
        <v>470</v>
      </c>
      <c r="H1032" s="308" t="s">
        <v>1017</v>
      </c>
      <c r="I1032" s="87">
        <v>40</v>
      </c>
      <c r="J1032" s="87">
        <v>4064</v>
      </c>
      <c r="K1032" s="427">
        <f>=I1032*J1032</f>
        <v>162560</v>
      </c>
      <c r="L1032" s="64">
        <v>4000</v>
      </c>
      <c r="M1032" s="428">
        <f>=I1032*L1032</f>
        <v>160000</v>
      </c>
      <c r="N1032" s="82">
        <f>=K1032-M1032</f>
        <v>2560</v>
      </c>
      <c r="O1032" s="64">
        <v>1.5</v>
      </c>
      <c r="P1032" s="64">
        <f>=I1032*O1032*ROUNDUP((A1032-B1032)/30,0)</f>
        <v>120</v>
      </c>
      <c r="Q1032" s="62" t="s"/>
      <c r="R1032" s="62" t="s"/>
    </row>
    <row r="1033" spans="1:18" ht="15.75" customHeight="true">
      <c r="A1033" s="147">
        <v>46164</v>
      </c>
      <c r="B1033" s="460">
        <v>46105</v>
      </c>
      <c r="C1033" s="80" t="s">
        <v>185</v>
      </c>
      <c r="D1033" s="64" t="s">
        <v>156</v>
      </c>
      <c r="E1033" s="335" t="s">
        <v>3234</v>
      </c>
      <c r="F1033" s="94" t="s">
        <v>421</v>
      </c>
      <c r="G1033" s="94" t="s">
        <v>470</v>
      </c>
      <c r="H1033" s="308" t="s">
        <v>1017</v>
      </c>
      <c r="I1033" s="87">
        <v>10</v>
      </c>
      <c r="J1033" s="87">
        <v>4064</v>
      </c>
      <c r="K1033" s="427">
        <f>=I1033*J1033</f>
        <v>40640</v>
      </c>
      <c r="L1033" s="64">
        <v>4000</v>
      </c>
      <c r="M1033" s="428">
        <f>=I1033*L1033</f>
        <v>40000</v>
      </c>
      <c r="N1033" s="82">
        <f>=K1033-M1033</f>
        <v>640</v>
      </c>
      <c r="O1033" s="64">
        <v>1.5</v>
      </c>
      <c r="P1033" s="64">
        <f>=I1033*O1033*ROUNDUP((A1033-B1033)/30,0)</f>
        <v>30</v>
      </c>
      <c r="Q1033" s="62" t="s"/>
      <c r="R1033" s="62" t="s"/>
    </row>
    <row r="1034" spans="1:18" ht="15.75" customHeight="true">
      <c r="A1034" s="147">
        <v>46164</v>
      </c>
      <c r="B1034" s="460">
        <v>46131</v>
      </c>
      <c r="C1034" s="80" t="s">
        <v>274</v>
      </c>
      <c r="D1034" s="87" t="s">
        <v>272</v>
      </c>
      <c r="E1034" s="335" t="s">
        <v>3235</v>
      </c>
      <c r="F1034" s="140" t="s">
        <v>428</v>
      </c>
      <c r="G1034" s="140" t="s">
        <v>422</v>
      </c>
      <c r="H1034" s="140" t="s">
        <v>1926</v>
      </c>
      <c r="I1034" s="87">
        <v>5</v>
      </c>
      <c r="J1034" s="87">
        <v>1061.93</v>
      </c>
      <c r="K1034" s="427">
        <f>=I1034*J1034</f>
        <v>5309.65</v>
      </c>
      <c r="L1034" s="87">
        <v>1050</v>
      </c>
      <c r="M1034" s="428">
        <f>=I1034*L1034</f>
        <v>5250</v>
      </c>
      <c r="N1034" s="82">
        <f>=K1034-M1034</f>
        <v>59.6500000000006</v>
      </c>
      <c r="O1034" s="64">
        <v>1</v>
      </c>
      <c r="P1034" s="64">
        <f>=I1034*O1034*ROUNDUP((A1034-B1034)/30,0)</f>
        <v>10</v>
      </c>
      <c r="Q1034" s="62" t="s"/>
      <c r="R1034" s="62" t="s"/>
    </row>
    <row r="1035" spans="1:18" ht="15.75" customHeight="true">
      <c r="A1035" s="147">
        <v>46164</v>
      </c>
      <c r="B1035" s="460">
        <v>46131</v>
      </c>
      <c r="C1035" s="80" t="s">
        <v>274</v>
      </c>
      <c r="D1035" s="87" t="s">
        <v>272</v>
      </c>
      <c r="E1035" s="335" t="s">
        <v>3236</v>
      </c>
      <c r="F1035" s="140" t="s">
        <v>428</v>
      </c>
      <c r="G1035" s="140" t="s">
        <v>422</v>
      </c>
      <c r="H1035" s="140" t="s">
        <v>1928</v>
      </c>
      <c r="I1035" s="363">
        <v>10</v>
      </c>
      <c r="J1035" s="87">
        <v>885.44</v>
      </c>
      <c r="K1035" s="427">
        <f>=I1035*J1035</f>
        <v>8854.4</v>
      </c>
      <c r="L1035" s="87">
        <v>875</v>
      </c>
      <c r="M1035" s="428">
        <f>=I1035*L1035</f>
        <v>8750</v>
      </c>
      <c r="N1035" s="82">
        <f>=K1035-M1035</f>
        <v>104.400000000001</v>
      </c>
      <c r="O1035" s="64">
        <v>1</v>
      </c>
      <c r="P1035" s="64">
        <f>=I1035*O1035*ROUNDUP((A1035-B1035)/30,0)</f>
        <v>20</v>
      </c>
      <c r="Q1035" s="62" t="s"/>
      <c r="R1035" s="62" t="s"/>
    </row>
    <row r="1036" spans="1:18" ht="15.75" customHeight="true">
      <c r="A1036" s="147">
        <v>46164</v>
      </c>
      <c r="B1036" s="460">
        <v>46132</v>
      </c>
      <c r="C1036" s="80" t="s">
        <v>275</v>
      </c>
      <c r="D1036" s="87" t="s">
        <v>272</v>
      </c>
      <c r="E1036" s="335" t="s">
        <v>3237</v>
      </c>
      <c r="F1036" s="140" t="s">
        <v>428</v>
      </c>
      <c r="G1036" s="140" t="s">
        <v>422</v>
      </c>
      <c r="H1036" s="140" t="s">
        <v>1932</v>
      </c>
      <c r="I1036" s="363">
        <v>15</v>
      </c>
      <c r="J1036" s="87">
        <v>1061.66</v>
      </c>
      <c r="K1036" s="427">
        <f>=I1036*J1036</f>
        <v>15924.9</v>
      </c>
      <c r="L1036" s="87">
        <v>1050</v>
      </c>
      <c r="M1036" s="428">
        <f>=I1036*L1036</f>
        <v>15750</v>
      </c>
      <c r="N1036" s="82">
        <f>=K1036-M1036</f>
        <v>174.900000000001</v>
      </c>
      <c r="O1036" s="64">
        <v>1</v>
      </c>
      <c r="P1036" s="64">
        <f>=I1036*O1036*ROUNDUP((A1036-B1036)/30,0)</f>
        <v>30</v>
      </c>
      <c r="Q1036" s="62" t="s"/>
      <c r="R1036" s="62" t="s"/>
    </row>
    <row r="1037" spans="1:18" ht="15.75" customHeight="true">
      <c r="A1037" s="147">
        <v>46164</v>
      </c>
      <c r="B1037" s="460">
        <v>46132</v>
      </c>
      <c r="C1037" s="80" t="s">
        <v>275</v>
      </c>
      <c r="D1037" s="87" t="s">
        <v>272</v>
      </c>
      <c r="E1037" s="335" t="s">
        <v>3238</v>
      </c>
      <c r="F1037" s="140" t="s">
        <v>428</v>
      </c>
      <c r="G1037" s="140" t="s">
        <v>422</v>
      </c>
      <c r="H1037" s="140" t="s">
        <v>1934</v>
      </c>
      <c r="I1037" s="363">
        <v>10</v>
      </c>
      <c r="J1037" s="87">
        <v>1061.66</v>
      </c>
      <c r="K1037" s="427">
        <f>=I1037*J1037</f>
        <v>10616.6</v>
      </c>
      <c r="L1037" s="87">
        <v>1050</v>
      </c>
      <c r="M1037" s="428">
        <f>=I1037*L1037</f>
        <v>10500</v>
      </c>
      <c r="N1037" s="82">
        <f>=K1037-M1037</f>
        <v>116.6</v>
      </c>
      <c r="O1037" s="64">
        <v>1</v>
      </c>
      <c r="P1037" s="64">
        <f>=I1037*O1037*ROUNDUP((A1037-B1037)/30,0)</f>
        <v>20</v>
      </c>
      <c r="Q1037" s="62" t="s"/>
      <c r="R1037" s="62" t="s"/>
    </row>
    <row r="1038" spans="1:18" ht="15.75" customHeight="true">
      <c r="A1038" s="147">
        <v>46164</v>
      </c>
      <c r="B1038" s="460">
        <v>46132</v>
      </c>
      <c r="C1038" s="80" t="s">
        <v>275</v>
      </c>
      <c r="D1038" s="87" t="s">
        <v>272</v>
      </c>
      <c r="E1038" s="335" t="s">
        <v>3239</v>
      </c>
      <c r="F1038" s="140" t="s">
        <v>428</v>
      </c>
      <c r="G1038" s="140" t="s">
        <v>422</v>
      </c>
      <c r="H1038" s="140" t="s">
        <v>1936</v>
      </c>
      <c r="I1038" s="87">
        <v>10</v>
      </c>
      <c r="J1038" s="339">
        <v>744.06</v>
      </c>
      <c r="K1038" s="427">
        <f>=I1038*J1038</f>
        <v>7440.6</v>
      </c>
      <c r="L1038" s="87">
        <v>735</v>
      </c>
      <c r="M1038" s="428">
        <f>=I1038*L1038</f>
        <v>7350</v>
      </c>
      <c r="N1038" s="82">
        <f>=K1038-M1038</f>
        <v>90.5999999999995</v>
      </c>
      <c r="O1038" s="64">
        <v>1</v>
      </c>
      <c r="P1038" s="64">
        <f>=I1038*O1038*ROUNDUP((A1038-B1038)/30,0)</f>
        <v>20</v>
      </c>
      <c r="Q1038" s="62" t="s"/>
      <c r="R1038" s="62" t="s"/>
    </row>
    <row r="1039" spans="1:18" ht="15.75" customHeight="true">
      <c r="A1039" s="147">
        <v>46164</v>
      </c>
      <c r="B1039" s="460">
        <v>46132</v>
      </c>
      <c r="C1039" s="80" t="s">
        <v>275</v>
      </c>
      <c r="D1039" s="87" t="s">
        <v>272</v>
      </c>
      <c r="E1039" s="335" t="s">
        <v>3240</v>
      </c>
      <c r="F1039" s="140" t="s">
        <v>428</v>
      </c>
      <c r="G1039" s="140" t="s">
        <v>422</v>
      </c>
      <c r="H1039" s="140" t="s">
        <v>1938</v>
      </c>
      <c r="I1039" s="87">
        <v>10</v>
      </c>
      <c r="J1039" s="339">
        <v>744.06</v>
      </c>
      <c r="K1039" s="427">
        <f>=I1039*J1039</f>
        <v>7440.6</v>
      </c>
      <c r="L1039" s="87">
        <v>735</v>
      </c>
      <c r="M1039" s="428">
        <f>=I1039*L1039</f>
        <v>7350</v>
      </c>
      <c r="N1039" s="82">
        <f>=K1039-M1039</f>
        <v>90.5999999999995</v>
      </c>
      <c r="O1039" s="64">
        <v>1</v>
      </c>
      <c r="P1039" s="64">
        <f>=I1039*O1039*ROUNDUP((A1039-B1039)/30,0)</f>
        <v>20</v>
      </c>
      <c r="Q1039" s="62" t="s"/>
      <c r="R1039" s="62" t="s"/>
    </row>
    <row r="1040" spans="1:18" ht="15.75" customHeight="true">
      <c r="A1040" s="147">
        <v>46164</v>
      </c>
      <c r="B1040" s="460">
        <v>46150</v>
      </c>
      <c r="C1040" s="80" t="s">
        <v>314</v>
      </c>
      <c r="D1040" s="64" t="s">
        <v>150</v>
      </c>
      <c r="E1040" s="335" t="s">
        <v>3241</v>
      </c>
      <c r="F1040" s="259" t="s">
        <v>895</v>
      </c>
      <c r="G1040" s="259" t="s">
        <v>422</v>
      </c>
      <c r="H1040" s="140" t="s">
        <v>2069</v>
      </c>
      <c r="I1040" s="87">
        <v>20</v>
      </c>
      <c r="J1040" s="249">
        <v>945.03</v>
      </c>
      <c r="K1040" s="427">
        <f>=I1040*J1040</f>
        <v>18900.6</v>
      </c>
      <c r="L1040" s="87">
        <v>940</v>
      </c>
      <c r="M1040" s="428">
        <f>=I1040*L1040</f>
        <v>18800</v>
      </c>
      <c r="N1040" s="82">
        <f>=K1040-M1040</f>
        <v>100.599999999999</v>
      </c>
      <c r="O1040" s="64">
        <v>1</v>
      </c>
      <c r="P1040" s="64">
        <f>=I1040*O1040*ROUNDUP((A1040-B1040)/30,0)</f>
        <v>20</v>
      </c>
      <c r="Q1040" s="62" t="s"/>
      <c r="R1040" s="62" t="s"/>
    </row>
    <row r="1041" spans="1:18" ht="15.75" customHeight="true">
      <c r="A1041" s="147">
        <v>46158</v>
      </c>
      <c r="B1041" s="483">
        <v>46156</v>
      </c>
      <c r="C1041" s="87" t="s">
        <v>331</v>
      </c>
      <c r="D1041" s="494" t="s">
        <v>3242</v>
      </c>
      <c r="E1041" s="504" t="s">
        <v>3243</v>
      </c>
      <c r="F1041" s="87" t="s">
        <v>2104</v>
      </c>
      <c r="G1041" s="87" t="s">
        <v>2105</v>
      </c>
      <c r="H1041" s="87" t="s">
        <v>2106</v>
      </c>
      <c r="I1041" s="111">
        <v>1093</v>
      </c>
      <c r="J1041" s="78">
        <v>1548.43</v>
      </c>
      <c r="K1041" s="427">
        <f>=I1041*J1041</f>
        <v>1692433.99</v>
      </c>
      <c r="L1041" s="203">
        <v>1546.66</v>
      </c>
      <c r="M1041" s="428">
        <f>=I1041*L1041</f>
        <v>1690499.38</v>
      </c>
      <c r="N1041" s="82">
        <f>=K1041-M1041</f>
        <v>1934.60999999987</v>
      </c>
      <c r="O1041" s="64">
        <v>0</v>
      </c>
      <c r="P1041" s="64">
        <f>=I1041*O1041*ROUNDUP((A1041-B1041)/30,0)</f>
        <v>0</v>
      </c>
      <c r="Q1041" s="62" t="s"/>
      <c r="R1041" s="62" t="s"/>
    </row>
    <row r="1042" spans="1:18" ht="15.75" customHeight="true">
      <c r="A1042" s="147">
        <v>46164</v>
      </c>
      <c r="B1042" s="426">
        <v>46105</v>
      </c>
      <c r="C1042" s="64" t="s">
        <v>182</v>
      </c>
      <c r="D1042" s="64" t="s">
        <v>181</v>
      </c>
      <c r="E1042" s="335" t="s">
        <v>3244</v>
      </c>
      <c r="F1042" s="64" t="s">
        <v>428</v>
      </c>
      <c r="G1042" s="64" t="s">
        <v>449</v>
      </c>
      <c r="H1042" s="64" t="s">
        <v>658</v>
      </c>
      <c r="I1042" s="87">
        <v>200</v>
      </c>
      <c r="J1042" s="64">
        <v>1068.8</v>
      </c>
      <c r="K1042" s="427">
        <f>=I1042*J1042</f>
        <v>213760</v>
      </c>
      <c r="L1042" s="64">
        <v>1053</v>
      </c>
      <c r="M1042" s="428">
        <f>=I1042*L1042</f>
        <v>210600</v>
      </c>
      <c r="N1042" s="82">
        <f>=K1042-M1042</f>
        <v>3160</v>
      </c>
      <c r="O1042" s="64">
        <v>0</v>
      </c>
      <c r="P1042" s="64">
        <f>=I1042*O1042*ROUNDUP((A1042-B1042)/30,0)</f>
        <v>0</v>
      </c>
      <c r="Q1042" s="62" t="s"/>
      <c r="R1042" s="62" t="s"/>
    </row>
    <row r="1043" spans="1:18" ht="15.75" customHeight="true">
      <c r="A1043" s="147">
        <v>46165</v>
      </c>
      <c r="B1043" s="483">
        <v>46135</v>
      </c>
      <c r="C1043" s="87" t="s">
        <v>283</v>
      </c>
      <c r="D1043" s="490" t="s">
        <v>281</v>
      </c>
      <c r="E1043" s="335" t="s">
        <v>3245</v>
      </c>
      <c r="F1043" s="94" t="s">
        <v>503</v>
      </c>
      <c r="G1043" s="83" t="s">
        <v>422</v>
      </c>
      <c r="H1043" s="505" t="s">
        <v>1981</v>
      </c>
      <c r="I1043" s="87">
        <v>49</v>
      </c>
      <c r="J1043" s="87">
        <v>3600.67</v>
      </c>
      <c r="K1043" s="427">
        <f>=I1043*J1043</f>
        <v>176432.83</v>
      </c>
      <c r="L1043" s="87">
        <v>3570</v>
      </c>
      <c r="M1043" s="428">
        <f>=I1043*L1043</f>
        <v>174930</v>
      </c>
      <c r="N1043" s="82">
        <f>=K1043-M1043</f>
        <v>1502.83000000002</v>
      </c>
      <c r="O1043" s="64">
        <v>1</v>
      </c>
      <c r="P1043" s="64">
        <f>=I1043*O1043*ROUNDUP((A1043-B1043)/30,0)</f>
        <v>49</v>
      </c>
      <c r="Q1043" s="62" t="s"/>
      <c r="R1043" s="62" t="s"/>
    </row>
    <row r="1044" spans="1:18" ht="15.75" customHeight="true">
      <c r="A1044" s="147">
        <v>46165</v>
      </c>
      <c r="B1044" s="483">
        <v>46135</v>
      </c>
      <c r="C1044" s="87" t="s">
        <v>283</v>
      </c>
      <c r="D1044" s="490" t="s">
        <v>281</v>
      </c>
      <c r="E1044" s="335" t="s">
        <v>3246</v>
      </c>
      <c r="F1044" s="87" t="s">
        <v>895</v>
      </c>
      <c r="G1044" s="87" t="s">
        <v>422</v>
      </c>
      <c r="H1044" s="336" t="s">
        <v>1983</v>
      </c>
      <c r="I1044" s="142">
        <v>50</v>
      </c>
      <c r="J1044" s="87">
        <v>1590.21</v>
      </c>
      <c r="K1044" s="427">
        <f>=I1044*J1044</f>
        <v>79510.5</v>
      </c>
      <c r="L1044" s="87">
        <v>1575</v>
      </c>
      <c r="M1044" s="428">
        <f>=I1044*L1044</f>
        <v>78750</v>
      </c>
      <c r="N1044" s="82">
        <f>=K1044-M1044</f>
        <v>760.5</v>
      </c>
      <c r="O1044" s="64">
        <v>1</v>
      </c>
      <c r="P1044" s="64">
        <f>=I1044*O1044*ROUNDUP((A1044-B1044)/30,0)</f>
        <v>50</v>
      </c>
      <c r="Q1044" s="62" t="s"/>
      <c r="R1044" s="62" t="s"/>
    </row>
    <row r="1045" spans="1:18" ht="15.75" customHeight="true">
      <c r="A1045" s="80">
        <v>46167</v>
      </c>
      <c r="B1045" s="426">
        <v>46104</v>
      </c>
      <c r="C1045" s="64" t="s">
        <v>179</v>
      </c>
      <c r="D1045" s="64" t="s">
        <v>52</v>
      </c>
      <c r="E1045" s="335" t="s">
        <v>3247</v>
      </c>
      <c r="F1045" s="64" t="s">
        <v>428</v>
      </c>
      <c r="G1045" s="64" t="s">
        <v>422</v>
      </c>
      <c r="H1045" s="140" t="s">
        <v>1004</v>
      </c>
      <c r="I1045" s="64">
        <v>70</v>
      </c>
      <c r="J1045" s="87">
        <v>1716.76</v>
      </c>
      <c r="K1045" s="427">
        <f>=I1045*J1045</f>
        <v>120173.2</v>
      </c>
      <c r="L1045" s="64">
        <v>1680</v>
      </c>
      <c r="M1045" s="428">
        <f>=I1045*L1045</f>
        <v>117600</v>
      </c>
      <c r="N1045" s="82">
        <f>=K1045-M1045</f>
        <v>2573.2</v>
      </c>
      <c r="O1045" s="64">
        <v>0</v>
      </c>
      <c r="P1045" s="64">
        <f>=I1045*O1045*ROUNDUP((A1045-B1045)/30,0)</f>
        <v>0</v>
      </c>
      <c r="Q1045" s="62" t="s"/>
      <c r="R1045" s="62" t="s"/>
    </row>
    <row r="1046" spans="1:18" ht="15.75" customHeight="true">
      <c r="A1046" s="80">
        <v>46167</v>
      </c>
      <c r="B1046" s="426">
        <v>46115</v>
      </c>
      <c r="C1046" s="64" t="s">
        <v>232</v>
      </c>
      <c r="D1046" s="64" t="s">
        <v>52</v>
      </c>
      <c r="E1046" s="335" t="s">
        <v>3248</v>
      </c>
      <c r="F1046" s="269" t="s">
        <v>428</v>
      </c>
      <c r="G1046" s="140" t="s">
        <v>3140</v>
      </c>
      <c r="H1046" s="320" t="s">
        <v>1667</v>
      </c>
      <c r="I1046" s="87">
        <v>10</v>
      </c>
      <c r="J1046" s="87">
        <v>784.24</v>
      </c>
      <c r="K1046" s="427">
        <f>=I1046*J1046</f>
        <v>7842.4</v>
      </c>
      <c r="L1046" s="322">
        <v>770</v>
      </c>
      <c r="M1046" s="428">
        <f>=I1046*L1046</f>
        <v>7700</v>
      </c>
      <c r="N1046" s="82">
        <f>=K1046-M1046</f>
        <v>142.4</v>
      </c>
      <c r="O1046" s="64">
        <v>0</v>
      </c>
      <c r="P1046" s="64">
        <f>=I1046*O1046*ROUNDUP((A1046-B1046)/30,0)</f>
        <v>0</v>
      </c>
      <c r="Q1046" s="62" t="s"/>
      <c r="R1046" s="62" t="s"/>
    </row>
    <row r="1047" spans="1:18" ht="15.75" customHeight="true">
      <c r="A1047" s="80">
        <v>46167</v>
      </c>
      <c r="B1047" s="426">
        <v>46115</v>
      </c>
      <c r="C1047" s="71" t="s">
        <v>233</v>
      </c>
      <c r="D1047" s="64" t="s">
        <v>52</v>
      </c>
      <c r="E1047" s="335" t="s">
        <v>3249</v>
      </c>
      <c r="F1047" s="320" t="s">
        <v>428</v>
      </c>
      <c r="G1047" s="140" t="s">
        <v>3140</v>
      </c>
      <c r="H1047" s="320" t="s">
        <v>1669</v>
      </c>
      <c r="I1047" s="87">
        <v>9</v>
      </c>
      <c r="J1047" s="87">
        <v>712.08</v>
      </c>
      <c r="K1047" s="427">
        <f>=I1047*J1047</f>
        <v>6408.72</v>
      </c>
      <c r="L1047" s="322">
        <v>700</v>
      </c>
      <c r="M1047" s="428">
        <f>=I1047*L1047</f>
        <v>6300</v>
      </c>
      <c r="N1047" s="82">
        <f>=K1047-M1047</f>
        <v>108.72</v>
      </c>
      <c r="O1047" s="64">
        <v>0</v>
      </c>
      <c r="P1047" s="64">
        <f>=I1047*O1047*ROUNDUP((A1047-B1047)/30,0)</f>
        <v>0</v>
      </c>
      <c r="Q1047" s="62" t="s"/>
      <c r="R1047" s="62" t="s"/>
    </row>
    <row r="1048" spans="1:18" ht="15.75" customHeight="true">
      <c r="A1048" s="80">
        <v>46167</v>
      </c>
      <c r="B1048" s="460">
        <v>46129</v>
      </c>
      <c r="C1048" s="80" t="s">
        <v>268</v>
      </c>
      <c r="D1048" s="64" t="s">
        <v>211</v>
      </c>
      <c r="E1048" s="94" t="s">
        <v>3250</v>
      </c>
      <c r="F1048" s="308" t="s">
        <v>421</v>
      </c>
      <c r="G1048" s="308" t="s">
        <v>470</v>
      </c>
      <c r="H1048" s="308" t="s">
        <v>1873</v>
      </c>
      <c r="I1048" s="64">
        <v>30</v>
      </c>
      <c r="J1048" s="87">
        <v>2679.84</v>
      </c>
      <c r="K1048" s="427">
        <f>=I1048*J1048</f>
        <v>80395.2</v>
      </c>
      <c r="L1048" s="87">
        <v>2650</v>
      </c>
      <c r="M1048" s="428">
        <f>=I1048*L1048</f>
        <v>79500</v>
      </c>
      <c r="N1048" s="82">
        <f>=K1048-M1048</f>
        <v>895.200000000012</v>
      </c>
      <c r="O1048" s="64">
        <v>1.5</v>
      </c>
      <c r="P1048" s="64">
        <f>=I1048*O1048*ROUNDUP((A1048-B1048)/30,0)</f>
        <v>90</v>
      </c>
      <c r="Q1048" s="62" t="s"/>
      <c r="R1048" s="62" t="s"/>
    </row>
    <row r="1049" spans="1:18" ht="15.75" customHeight="true">
      <c r="A1049" s="80">
        <v>46167</v>
      </c>
      <c r="B1049" s="460">
        <v>46159</v>
      </c>
      <c r="C1049" s="80" t="s">
        <v>336</v>
      </c>
      <c r="D1049" s="308" t="s">
        <v>335</v>
      </c>
      <c r="E1049" s="308" t="s">
        <v>3251</v>
      </c>
      <c r="F1049" s="94" t="s">
        <v>503</v>
      </c>
      <c r="G1049" s="64" t="s">
        <v>422</v>
      </c>
      <c r="H1049" s="64" t="s">
        <v>1592</v>
      </c>
      <c r="I1049" s="331">
        <v>50</v>
      </c>
      <c r="J1049" s="506">
        <v>1544.97</v>
      </c>
      <c r="K1049" s="427">
        <f>=I1049*J1049</f>
        <v>77248.5</v>
      </c>
      <c r="L1049" s="140">
        <v>1540</v>
      </c>
      <c r="M1049" s="428">
        <f>=I1049*L1049</f>
        <v>77000</v>
      </c>
      <c r="N1049" s="82">
        <f>=K1049-M1049</f>
        <v>248.5</v>
      </c>
      <c r="O1049" s="64">
        <v>1</v>
      </c>
      <c r="P1049" s="64">
        <f>=I1049*O1049*ROUNDUP((A1049-B1049)/30,0)</f>
        <v>50</v>
      </c>
      <c r="Q1049" s="62" t="s"/>
      <c r="R1049" s="62" t="s"/>
    </row>
    <row r="1050" spans="1:18" ht="15.75" customHeight="true">
      <c r="A1050" s="80">
        <v>46167</v>
      </c>
      <c r="B1050" s="460">
        <v>46105</v>
      </c>
      <c r="C1050" s="80" t="s">
        <v>185</v>
      </c>
      <c r="D1050" s="64" t="s">
        <v>156</v>
      </c>
      <c r="E1050" s="335" t="s">
        <v>3252</v>
      </c>
      <c r="F1050" s="94" t="s">
        <v>421</v>
      </c>
      <c r="G1050" s="94" t="s">
        <v>470</v>
      </c>
      <c r="H1050" s="308" t="s">
        <v>1017</v>
      </c>
      <c r="I1050" s="87">
        <v>40</v>
      </c>
      <c r="J1050" s="491">
        <v>4069</v>
      </c>
      <c r="K1050" s="427">
        <f>=I1050*J1050</f>
        <v>162760</v>
      </c>
      <c r="L1050" s="64">
        <v>4000</v>
      </c>
      <c r="M1050" s="428">
        <f>=I1050*L1050</f>
        <v>160000</v>
      </c>
      <c r="N1050" s="82">
        <f>=K1050-M1050</f>
        <v>2760</v>
      </c>
      <c r="O1050" s="64">
        <v>1.5</v>
      </c>
      <c r="P1050" s="64">
        <f>=I1050*O1050*ROUNDUP((A1050-B1050)/30,0)</f>
        <v>180</v>
      </c>
      <c r="Q1050" s="62" t="s"/>
      <c r="R1050" s="62" t="s"/>
    </row>
    <row r="1051" spans="1:18" ht="15.75" customHeight="true">
      <c r="A1051" s="80">
        <v>46167</v>
      </c>
      <c r="B1051" s="460">
        <v>46105</v>
      </c>
      <c r="C1051" s="80" t="s">
        <v>185</v>
      </c>
      <c r="D1051" s="64" t="s">
        <v>156</v>
      </c>
      <c r="E1051" s="335" t="s">
        <v>3253</v>
      </c>
      <c r="F1051" s="94" t="s">
        <v>421</v>
      </c>
      <c r="G1051" s="94" t="s">
        <v>470</v>
      </c>
      <c r="H1051" s="308" t="s">
        <v>1017</v>
      </c>
      <c r="I1051" s="64">
        <v>10</v>
      </c>
      <c r="J1051" s="491">
        <v>4069</v>
      </c>
      <c r="K1051" s="427">
        <f>=I1051*J1051</f>
        <v>40690</v>
      </c>
      <c r="L1051" s="64">
        <v>4000</v>
      </c>
      <c r="M1051" s="428">
        <f>=I1051*L1051</f>
        <v>40000</v>
      </c>
      <c r="N1051" s="82">
        <f>=K1051-M1051</f>
        <v>690</v>
      </c>
      <c r="O1051" s="64">
        <v>1.5</v>
      </c>
      <c r="P1051" s="64">
        <f>=I1051*O1051*ROUNDUP((A1051-B1051)/30,0)</f>
        <v>45</v>
      </c>
      <c r="Q1051" s="62" t="s"/>
      <c r="R1051" s="62" t="s"/>
    </row>
    <row r="1052" spans="1:18" ht="15.75" customHeight="true">
      <c r="A1052" s="147">
        <v>46158</v>
      </c>
      <c r="B1052" s="483">
        <v>46156</v>
      </c>
      <c r="C1052" s="87" t="s">
        <v>331</v>
      </c>
      <c r="D1052" s="494" t="s">
        <v>3242</v>
      </c>
      <c r="E1052" s="495" t="s">
        <v>3254</v>
      </c>
      <c r="F1052" s="140" t="s">
        <v>2104</v>
      </c>
      <c r="G1052" s="140" t="s">
        <v>2105</v>
      </c>
      <c r="H1052" s="140" t="s">
        <v>2106</v>
      </c>
      <c r="I1052" s="78">
        <v>1</v>
      </c>
      <c r="J1052" s="78">
        <v>1552.55000000005</v>
      </c>
      <c r="K1052" s="427">
        <f>=I1052*J1052</f>
        <v>1552.55000000005</v>
      </c>
      <c r="L1052" s="203">
        <v>1546.66</v>
      </c>
      <c r="M1052" s="428">
        <f>=I1052*L1052</f>
        <v>1546.66</v>
      </c>
      <c r="N1052" s="82">
        <f>=K1052-M1052</f>
        <v>5.89000000004649</v>
      </c>
      <c r="O1052" s="64">
        <v>0</v>
      </c>
      <c r="P1052" s="64">
        <f>=I1052*O1052*ROUNDUP((A1052-B1052)/30,0)</f>
        <v>0</v>
      </c>
      <c r="Q1052" s="62" t="s"/>
      <c r="R1052" s="62" t="s"/>
    </row>
    <row r="1053" spans="1:18" ht="15.75" customHeight="true">
      <c r="A1053" s="147">
        <v>46167</v>
      </c>
      <c r="B1053" s="426">
        <v>46111</v>
      </c>
      <c r="C1053" s="64" t="s">
        <v>214</v>
      </c>
      <c r="D1053" s="94" t="s">
        <v>201</v>
      </c>
      <c r="E1053" s="308" t="s">
        <v>3255</v>
      </c>
      <c r="F1053" s="64" t="s">
        <v>421</v>
      </c>
      <c r="G1053" s="64" t="s">
        <v>422</v>
      </c>
      <c r="H1053" s="87" t="s">
        <v>1169</v>
      </c>
      <c r="I1053" s="64">
        <v>100</v>
      </c>
      <c r="J1053" s="506">
        <v>7906</v>
      </c>
      <c r="K1053" s="427">
        <f>=I1053*J1053</f>
        <v>790600</v>
      </c>
      <c r="L1053" s="140">
        <v>7800</v>
      </c>
      <c r="M1053" s="428">
        <f>=I1053*L1053</f>
        <v>780000</v>
      </c>
      <c r="N1053" s="82">
        <f>=K1053-M1053</f>
        <v>10600</v>
      </c>
      <c r="O1053" s="64">
        <v>1</v>
      </c>
      <c r="P1053" s="64">
        <f>=I1053*O1053*ROUNDUP((A1053-B1053)/30,0)</f>
        <v>200</v>
      </c>
      <c r="Q1053" s="62" t="s"/>
      <c r="R1053" s="62" t="s"/>
    </row>
    <row r="1054" spans="1:18" ht="15.75" customHeight="true">
      <c r="A1054" s="80">
        <v>46167</v>
      </c>
      <c r="B1054" s="426">
        <v>46161</v>
      </c>
      <c r="C1054" s="71" t="s">
        <v>341</v>
      </c>
      <c r="D1054" s="94" t="s">
        <v>145</v>
      </c>
      <c r="E1054" s="263" t="s">
        <v>3256</v>
      </c>
      <c r="F1054" s="71" t="s">
        <v>428</v>
      </c>
      <c r="G1054" s="71" t="s">
        <v>422</v>
      </c>
      <c r="H1054" s="64" t="s">
        <v>2158</v>
      </c>
      <c r="I1054">
        <v>300</v>
      </c>
      <c r="J1054" s="249">
        <v>1855.2</v>
      </c>
      <c r="K1054" s="427">
        <f>=I1054*J1054</f>
        <v>556560</v>
      </c>
      <c r="L1054" s="62">
        <v>1850</v>
      </c>
      <c r="M1054" s="428">
        <f>=I1054*L1054</f>
        <v>555000</v>
      </c>
      <c r="N1054" s="82">
        <f>=K1054-M1054</f>
        <v>1560</v>
      </c>
      <c r="O1054" s="62">
        <v>1</v>
      </c>
      <c r="P1054" s="64">
        <f>=I1054*O1054*ROUNDUP((A1054-B1054)/30,0)</f>
        <v>300</v>
      </c>
      <c r="Q1054" s="62" t="s"/>
      <c r="R1054" s="62" t="s"/>
    </row>
    <row r="1055" spans="1:18" ht="15.75" customHeight="true">
      <c r="A1055" s="80">
        <v>46169</v>
      </c>
      <c r="B1055" s="426">
        <v>46112</v>
      </c>
      <c r="C1055" s="98" t="s">
        <v>224</v>
      </c>
      <c r="D1055" t="s">
        <v>223</v>
      </c>
      <c r="E1055" s="145" t="s">
        <v>3257</v>
      </c>
      <c r="F1055" s="136" t="s">
        <v>421</v>
      </c>
      <c r="G1055" s="263" t="s">
        <v>470</v>
      </c>
      <c r="H1055" s="263" t="s">
        <v>1284</v>
      </c>
      <c r="I1055" s="62">
        <v>150</v>
      </c>
      <c r="J1055" s="339">
        <v>3389.39</v>
      </c>
      <c r="K1055" s="427">
        <f>=I1055*J1055</f>
        <v>508408.5</v>
      </c>
      <c r="L1055">
        <v>3337</v>
      </c>
      <c r="M1055" s="428">
        <f>=I1055*L1055</f>
        <v>500550</v>
      </c>
      <c r="N1055" s="82">
        <f>=K1055-M1055</f>
        <v>7858.5</v>
      </c>
      <c r="O1055" s="62">
        <v>1.5</v>
      </c>
      <c r="P1055" s="64">
        <f>=I1055*O1055*ROUNDUP((A1055-B1055)/30,0)</f>
        <v>450</v>
      </c>
      <c r="Q1055" s="62" t="s"/>
      <c r="R1055" s="62" t="s"/>
    </row>
    <row r="1056" spans="1:18" ht="15.75" customHeight="true">
      <c r="A1056" s="80">
        <v>46169</v>
      </c>
      <c r="B1056" s="426">
        <v>46111</v>
      </c>
      <c r="C1056" s="71" t="s">
        <v>214</v>
      </c>
      <c r="D1056" s="94" t="s">
        <v>201</v>
      </c>
      <c r="E1056" s="263" t="s">
        <v>3258</v>
      </c>
      <c r="F1056" s="62" t="s">
        <v>421</v>
      </c>
      <c r="G1056" s="62" t="s">
        <v>422</v>
      </c>
      <c r="H1056" t="s">
        <v>1169</v>
      </c>
      <c r="I1056">
        <v>100</v>
      </c>
      <c r="J1056" s="62">
        <v>7910</v>
      </c>
      <c r="K1056" s="427">
        <f>=I1056*J1056</f>
        <v>791000</v>
      </c>
      <c r="L1056" s="140">
        <v>7800</v>
      </c>
      <c r="M1056" s="428">
        <f>=I1056*L1056</f>
        <v>780000</v>
      </c>
      <c r="N1056" s="82">
        <f>=K1056-M1056</f>
        <v>11000</v>
      </c>
      <c r="O1056" s="64">
        <v>1</v>
      </c>
      <c r="P1056" s="64">
        <f>=I1056*O1056*ROUNDUP((A1056-B1056)/30,0)</f>
        <v>200</v>
      </c>
      <c r="Q1056" s="62" t="s"/>
      <c r="R1056" s="62" t="s"/>
    </row>
    <row r="1057" spans="1:18" ht="15.75" customHeight="true">
      <c r="A1057" s="147">
        <v>46162</v>
      </c>
      <c r="B1057" s="460">
        <v>46143</v>
      </c>
      <c r="C1057" s="98" t="s">
        <v>308</v>
      </c>
      <c r="D1057" s="263" t="s">
        <v>305</v>
      </c>
      <c r="E1057" s="145" t="s">
        <v>3259</v>
      </c>
      <c r="F1057" t="s">
        <v>2041</v>
      </c>
      <c r="G1057" t="s">
        <v>470</v>
      </c>
      <c r="H1057" s="71" t="s">
        <v>2046</v>
      </c>
      <c r="I1057">
        <v>100</v>
      </c>
      <c r="J1057" s="323">
        <v>6675.2</v>
      </c>
      <c r="K1057" s="427">
        <f>=I1057*J1057</f>
        <v>667520</v>
      </c>
      <c r="L1057" s="402">
        <v>6640</v>
      </c>
      <c r="M1057" s="428">
        <f>=I1057*L1057</f>
        <v>664000</v>
      </c>
      <c r="N1057" s="82">
        <f>=K1057-M1057</f>
        <v>3520</v>
      </c>
      <c r="O1057" s="64">
        <v>1.5</v>
      </c>
      <c r="P1057" s="64">
        <f>=I1057*O1057*ROUNDUP((A1057-B1057)/30,0)</f>
        <v>150</v>
      </c>
      <c r="Q1057" s="62" t="s"/>
      <c r="R1057" s="62" t="s"/>
    </row>
    <row r="1058" spans="1:18" ht="15.75" customHeight="true">
      <c r="A1058" s="147">
        <v>46162</v>
      </c>
      <c r="B1058" s="460">
        <v>46142</v>
      </c>
      <c r="C1058" s="98" t="s">
        <v>306</v>
      </c>
      <c r="D1058" s="263" t="s">
        <v>305</v>
      </c>
      <c r="E1058" s="507" t="s">
        <v>3260</v>
      </c>
      <c r="F1058" s="95" t="s">
        <v>2041</v>
      </c>
      <c r="G1058" s="95" t="s">
        <v>470</v>
      </c>
      <c r="H1058" s="71" t="s">
        <v>2044</v>
      </c>
      <c r="I1058" s="62">
        <v>100</v>
      </c>
      <c r="J1058" s="323">
        <v>7159.38</v>
      </c>
      <c r="K1058" s="427">
        <f>=I1058*J1058</f>
        <v>715938</v>
      </c>
      <c r="L1058" s="508">
        <v>7120</v>
      </c>
      <c r="M1058" s="428">
        <f>=I1058*L1058</f>
        <v>712000</v>
      </c>
      <c r="N1058" s="82">
        <f>=K1058-M1058</f>
        <v>3938</v>
      </c>
      <c r="O1058" s="64">
        <v>1.5</v>
      </c>
      <c r="P1058" s="64">
        <f>=I1058*O1058*ROUNDUP((A1058-B1058)/30,0)</f>
        <v>150</v>
      </c>
      <c r="Q1058" s="62" t="s"/>
      <c r="R1058" s="62" t="s"/>
    </row>
    <row r="1059" spans="1:18" ht="15.75" customHeight="true">
      <c r="A1059" s="147">
        <v>46162</v>
      </c>
      <c r="B1059" s="460">
        <v>46142</v>
      </c>
      <c r="C1059" s="98" t="s">
        <v>306</v>
      </c>
      <c r="D1059" s="263" t="s">
        <v>305</v>
      </c>
      <c r="E1059" s="507" t="s">
        <v>3261</v>
      </c>
      <c r="F1059" s="95" t="s">
        <v>2041</v>
      </c>
      <c r="G1059" s="95" t="s">
        <v>470</v>
      </c>
      <c r="H1059" s="71" t="s">
        <v>2044</v>
      </c>
      <c r="I1059" s="62">
        <v>52</v>
      </c>
      <c r="J1059" s="323">
        <v>7159.38</v>
      </c>
      <c r="K1059" s="427">
        <f>=I1059*J1059</f>
        <v>372287.76</v>
      </c>
      <c r="L1059" s="508">
        <v>7120</v>
      </c>
      <c r="M1059" s="428">
        <f>=I1059*L1059</f>
        <v>370240</v>
      </c>
      <c r="N1059" s="82">
        <f>=K1059-M1059</f>
        <v>2047.76000000001</v>
      </c>
      <c r="O1059" s="64">
        <v>1.5</v>
      </c>
      <c r="P1059" s="64">
        <f>=I1059*O1059*ROUNDUP((A1059-B1059)/30,0)</f>
        <v>78</v>
      </c>
      <c r="Q1059" s="62" t="s"/>
      <c r="R1059" s="62" t="s"/>
    </row>
    <row r="1060" spans="1:18" ht="15.75" customHeight="true">
      <c r="A1060" s="147">
        <v>46169</v>
      </c>
      <c r="B1060" s="460">
        <v>46142</v>
      </c>
      <c r="C1060" s="98" t="s">
        <v>304</v>
      </c>
      <c r="D1060" s="71" t="s">
        <v>65</v>
      </c>
      <c r="E1060" s="108" t="s">
        <v>361</v>
      </c>
      <c r="F1060" s="64" t="s">
        <v>421</v>
      </c>
      <c r="G1060" s="64" t="s">
        <v>422</v>
      </c>
      <c r="H1060" s="345" t="s">
        <v>693</v>
      </c>
      <c r="I1060">
        <v>5</v>
      </c>
      <c r="J1060" s="136">
        <v>8415</v>
      </c>
      <c r="K1060" s="427">
        <f>=I1060*J1060</f>
        <v>42075</v>
      </c>
      <c r="L1060" s="263">
        <v>8415</v>
      </c>
      <c r="M1060" s="428">
        <f>=I1060*L1060</f>
        <v>42075</v>
      </c>
      <c r="N1060" s="82">
        <f>=K1060-M1060</f>
        <v>0</v>
      </c>
      <c r="O1060" s="64">
        <v>0</v>
      </c>
      <c r="P1060" s="64">
        <f>=I1060*O1060*ROUNDUP((A1060-B1060)/30,0)</f>
        <v>0</v>
      </c>
      <c r="Q1060" s="62" t="s"/>
      <c r="R1060" s="62" t="s"/>
    </row>
    <row r="1061" spans="1:18" ht="15.75" customHeight="true">
      <c r="A1061" s="147">
        <v>46169</v>
      </c>
      <c r="B1061" s="460">
        <v>46142</v>
      </c>
      <c r="C1061" s="98" t="s">
        <v>304</v>
      </c>
      <c r="D1061" s="71" t="s">
        <v>65</v>
      </c>
      <c r="E1061" s="108" t="s">
        <v>361</v>
      </c>
      <c r="F1061" s="64" t="s">
        <v>421</v>
      </c>
      <c r="G1061" s="64" t="s">
        <v>422</v>
      </c>
      <c r="H1061" s="345" t="s">
        <v>701</v>
      </c>
      <c r="I1061">
        <v>3</v>
      </c>
      <c r="J1061" s="507">
        <v>7560</v>
      </c>
      <c r="K1061" s="427">
        <f>=I1061*J1061</f>
        <v>22680</v>
      </c>
      <c r="L1061" s="507">
        <v>7560</v>
      </c>
      <c r="M1061" s="428">
        <f>=I1061*L1061</f>
        <v>22680</v>
      </c>
      <c r="N1061" s="82">
        <f>=K1061-M1061</f>
        <v>0</v>
      </c>
      <c r="O1061" s="64">
        <v>0</v>
      </c>
      <c r="P1061" s="64">
        <f>=I1061*O1061*ROUNDUP((A1061-B1061)/30,0)</f>
        <v>0</v>
      </c>
      <c r="Q1061" s="62" t="s"/>
      <c r="R1061" s="62" t="s"/>
    </row>
    <row r="1062" spans="1:18" ht="15.75" customHeight="true">
      <c r="A1062" s="147">
        <v>46169</v>
      </c>
      <c r="B1062" s="460">
        <v>46142</v>
      </c>
      <c r="C1062" s="98" t="s">
        <v>304</v>
      </c>
      <c r="D1062" s="71" t="s">
        <v>65</v>
      </c>
      <c r="E1062" s="108" t="s">
        <v>361</v>
      </c>
      <c r="F1062" s="64" t="s">
        <v>421</v>
      </c>
      <c r="G1062" s="64" t="s">
        <v>422</v>
      </c>
      <c r="H1062" s="345" t="s">
        <v>705</v>
      </c>
      <c r="I1062">
        <v>3</v>
      </c>
      <c r="J1062" s="507">
        <v>7560</v>
      </c>
      <c r="K1062" s="427">
        <f>=I1062*J1062</f>
        <v>22680</v>
      </c>
      <c r="L1062" s="507">
        <v>7560</v>
      </c>
      <c r="M1062" s="428">
        <f>=I1062*L1062</f>
        <v>22680</v>
      </c>
      <c r="N1062" s="82">
        <f>=K1062-M1062</f>
        <v>0</v>
      </c>
      <c r="O1062" s="64">
        <v>0</v>
      </c>
      <c r="P1062" s="64">
        <f>=I1062*O1062*ROUNDUP((A1062-B1062)/30,0)</f>
        <v>0</v>
      </c>
      <c r="Q1062" s="62" t="s"/>
      <c r="R1062" s="62" t="s"/>
    </row>
    <row r="1063" spans="1:18" ht="15.75" customHeight="true">
      <c r="A1063" s="147">
        <v>46169</v>
      </c>
      <c r="B1063" s="460">
        <v>46142</v>
      </c>
      <c r="C1063" s="98" t="s">
        <v>304</v>
      </c>
      <c r="D1063" s="71" t="s">
        <v>65</v>
      </c>
      <c r="E1063" s="108" t="s">
        <v>361</v>
      </c>
      <c r="F1063" s="64" t="s">
        <v>421</v>
      </c>
      <c r="G1063" s="64" t="s">
        <v>422</v>
      </c>
      <c r="H1063" s="345" t="s">
        <v>676</v>
      </c>
      <c r="I1063">
        <v>2</v>
      </c>
      <c r="J1063" s="507">
        <v>4995</v>
      </c>
      <c r="K1063" s="427">
        <f>=I1063*J1063</f>
        <v>9990</v>
      </c>
      <c r="L1063" s="507">
        <v>4995</v>
      </c>
      <c r="M1063" s="428">
        <f>=I1063*L1063</f>
        <v>9990</v>
      </c>
      <c r="N1063" s="82">
        <f>=K1063-M1063</f>
        <v>0</v>
      </c>
      <c r="O1063" s="64">
        <v>0</v>
      </c>
      <c r="P1063" s="64">
        <f>=I1063*O1063*ROUNDUP((A1063-B1063)/30,0)</f>
        <v>0</v>
      </c>
      <c r="Q1063" s="62" t="s"/>
      <c r="R1063" s="62" t="s"/>
    </row>
    <row r="1064" spans="1:18" ht="15.75" customHeight="true">
      <c r="A1064" s="147">
        <v>46169</v>
      </c>
      <c r="B1064" s="460">
        <v>46142</v>
      </c>
      <c r="C1064" s="98" t="s">
        <v>304</v>
      </c>
      <c r="D1064" s="71" t="s">
        <v>65</v>
      </c>
      <c r="E1064" s="108" t="s">
        <v>361</v>
      </c>
      <c r="F1064" s="64" t="s">
        <v>421</v>
      </c>
      <c r="G1064" s="64" t="s">
        <v>422</v>
      </c>
      <c r="H1064" s="345" t="s">
        <v>678</v>
      </c>
      <c r="I1064">
        <v>4</v>
      </c>
      <c r="J1064" s="507">
        <v>4995</v>
      </c>
      <c r="K1064" s="427">
        <f>=I1064*J1064</f>
        <v>19980</v>
      </c>
      <c r="L1064" s="507">
        <v>4995</v>
      </c>
      <c r="M1064" s="428">
        <f>=I1064*L1064</f>
        <v>19980</v>
      </c>
      <c r="N1064" s="82">
        <f>=K1064-M1064</f>
        <v>0</v>
      </c>
      <c r="O1064" s="64">
        <v>0</v>
      </c>
      <c r="P1064" s="64">
        <f>=I1064*O1064*ROUNDUP((A1064-B1064)/30,0)</f>
        <v>0</v>
      </c>
      <c r="Q1064" s="62" t="s"/>
      <c r="R1064" s="62" t="s"/>
    </row>
    <row r="1065" spans="1:18" ht="15.75" customHeight="true">
      <c r="A1065" s="147">
        <v>46169</v>
      </c>
      <c r="B1065" s="460">
        <v>46142</v>
      </c>
      <c r="C1065" s="98" t="s">
        <v>304</v>
      </c>
      <c r="D1065" s="71" t="s">
        <v>65</v>
      </c>
      <c r="E1065" s="108" t="s">
        <v>361</v>
      </c>
      <c r="F1065" s="64" t="s">
        <v>421</v>
      </c>
      <c r="G1065" s="64" t="s">
        <v>422</v>
      </c>
      <c r="H1065" s="345" t="s">
        <v>680</v>
      </c>
      <c r="I1065">
        <v>1</v>
      </c>
      <c r="J1065" s="507">
        <v>4995</v>
      </c>
      <c r="K1065" s="427">
        <f>=I1065*J1065</f>
        <v>4995</v>
      </c>
      <c r="L1065" s="507">
        <v>4995</v>
      </c>
      <c r="M1065" s="428">
        <f>=I1065*L1065</f>
        <v>4995</v>
      </c>
      <c r="N1065" s="82">
        <f>=K1065-M1065</f>
        <v>0</v>
      </c>
      <c r="O1065" s="64">
        <v>0</v>
      </c>
      <c r="P1065" s="64">
        <f>=I1065*O1065*ROUNDUP((A1065-B1065)/30,0)</f>
        <v>0</v>
      </c>
      <c r="Q1065" s="62" t="s"/>
      <c r="R1065" s="62" t="s"/>
    </row>
    <row r="1066" spans="1:18" ht="15.75" customHeight="true">
      <c r="A1066" s="147">
        <v>46169</v>
      </c>
      <c r="B1066" s="460">
        <v>46142</v>
      </c>
      <c r="C1066" s="98" t="s">
        <v>304</v>
      </c>
      <c r="D1066" s="71" t="s">
        <v>65</v>
      </c>
      <c r="E1066" s="108" t="s">
        <v>361</v>
      </c>
      <c r="F1066" s="64" t="s">
        <v>421</v>
      </c>
      <c r="G1066" s="64" t="s">
        <v>422</v>
      </c>
      <c r="H1066" s="345" t="s">
        <v>695</v>
      </c>
      <c r="I1066">
        <v>2</v>
      </c>
      <c r="J1066" s="507">
        <v>10035</v>
      </c>
      <c r="K1066" s="427">
        <f>=I1066*J1066</f>
        <v>20070</v>
      </c>
      <c r="L1066" s="507">
        <v>10035</v>
      </c>
      <c r="M1066" s="428">
        <f>=I1066*L1066</f>
        <v>20070</v>
      </c>
      <c r="N1066" s="82">
        <f>=K1066-M1066</f>
        <v>0</v>
      </c>
      <c r="O1066" s="64">
        <v>0</v>
      </c>
      <c r="P1066" s="64">
        <f>=I1066*O1066*ROUNDUP((A1066-B1066)/30,0)</f>
        <v>0</v>
      </c>
      <c r="Q1066" s="62" t="s"/>
      <c r="R1066" s="62" t="s"/>
    </row>
    <row r="1067" spans="1:18" ht="15.75" customHeight="true">
      <c r="A1067" s="147">
        <v>46170</v>
      </c>
      <c r="B1067" s="426">
        <v>46111</v>
      </c>
      <c r="C1067" s="71" t="s">
        <v>214</v>
      </c>
      <c r="D1067" s="94" t="s">
        <v>201</v>
      </c>
      <c r="E1067" s="263" t="s">
        <v>3262</v>
      </c>
      <c r="F1067" s="62" t="s">
        <v>421</v>
      </c>
      <c r="G1067" s="62" t="s">
        <v>422</v>
      </c>
      <c r="H1067" t="s">
        <v>1169</v>
      </c>
      <c r="I1067">
        <v>200</v>
      </c>
      <c r="J1067" s="62">
        <v>7912</v>
      </c>
      <c r="K1067" s="427">
        <f>=I1067*J1067</f>
        <v>1582400</v>
      </c>
      <c r="L1067" s="140">
        <v>7800</v>
      </c>
      <c r="M1067" s="428">
        <f>=I1067*L1067</f>
        <v>1560000</v>
      </c>
      <c r="N1067" s="82">
        <f>=K1067-M1067</f>
        <v>22400</v>
      </c>
      <c r="O1067" s="64">
        <v>1</v>
      </c>
      <c r="P1067" s="64">
        <f>=I1067*O1067*ROUNDUP((A1067-B1067)/30,0)</f>
        <v>400</v>
      </c>
      <c r="Q1067" s="62" t="s"/>
      <c r="R1067" s="62" t="s"/>
    </row>
    <row r="1068" spans="1:18" ht="15.75" customHeight="true">
      <c r="A1068" s="509">
        <v>46170</v>
      </c>
      <c r="B1068" s="426">
        <v>46105</v>
      </c>
      <c r="C1068" s="64" t="s">
        <v>182</v>
      </c>
      <c r="D1068" s="64" t="s">
        <v>181</v>
      </c>
      <c r="E1068" s="308" t="s">
        <v>3263</v>
      </c>
      <c r="F1068" s="64" t="s">
        <v>428</v>
      </c>
      <c r="G1068" s="64" t="s">
        <v>449</v>
      </c>
      <c r="H1068" s="64" t="s">
        <v>658</v>
      </c>
      <c r="I1068">
        <v>200</v>
      </c>
      <c r="J1068" s="62">
        <v>1070.37</v>
      </c>
      <c r="K1068" s="427">
        <f>=I1068*J1068</f>
        <v>214074</v>
      </c>
      <c r="L1068" s="64">
        <v>1053</v>
      </c>
      <c r="M1068" s="428">
        <f>=I1068*L1068</f>
        <v>210600</v>
      </c>
      <c r="N1068" s="82">
        <f>=K1068-M1068</f>
        <v>3473.99999999997</v>
      </c>
      <c r="O1068" s="64">
        <v>0</v>
      </c>
      <c r="P1068" s="64">
        <f>=I1068*O1068*ROUNDUP((A1068-B1068)/30,0)</f>
        <v>0</v>
      </c>
      <c r="Q1068" s="62" t="s"/>
      <c r="R1068" s="62" t="s"/>
    </row>
    <row r="1069" spans="1:18" ht="15.75" customHeight="true">
      <c r="A1069" s="147">
        <v>46170</v>
      </c>
      <c r="B1069" s="460">
        <v>46111</v>
      </c>
      <c r="C1069" s="98" t="s">
        <v>216</v>
      </c>
      <c r="D1069" s="71" t="s">
        <v>215</v>
      </c>
      <c r="E1069" s="510" t="s">
        <v>3264</v>
      </c>
      <c r="F1069" s="140" t="s">
        <v>421</v>
      </c>
      <c r="G1069" s="140" t="s">
        <v>470</v>
      </c>
      <c r="H1069" s="140" t="s">
        <v>1290</v>
      </c>
      <c r="I1069" s="78">
        <v>30</v>
      </c>
      <c r="J1069" s="339">
        <v>2846</v>
      </c>
      <c r="K1069" s="427">
        <f>=I1069*J1069</f>
        <v>85380</v>
      </c>
      <c r="L1069" s="140">
        <v>2800</v>
      </c>
      <c r="M1069" s="428">
        <f>=I1069*L1069</f>
        <v>84000</v>
      </c>
      <c r="N1069" s="82">
        <f>=K1069-M1069</f>
        <v>1380</v>
      </c>
      <c r="O1069" s="64">
        <v>1.5</v>
      </c>
      <c r="P1069" s="64">
        <f>=I1069*O1069*ROUNDUP((A1069-B1069)/30,0)</f>
        <v>90</v>
      </c>
      <c r="Q1069" s="62" t="s"/>
      <c r="R1069" s="62" t="s"/>
    </row>
    <row r="1070" spans="1:18" ht="15.75" customHeight="true">
      <c r="A1070" s="147">
        <v>46170</v>
      </c>
      <c r="B1070" s="460">
        <v>46106</v>
      </c>
      <c r="C1070" s="98" t="s">
        <v>187</v>
      </c>
      <c r="D1070" s="71" t="s">
        <v>135</v>
      </c>
      <c r="E1070" s="511" t="s">
        <v>3265</v>
      </c>
      <c r="F1070" s="71" t="s">
        <v>428</v>
      </c>
      <c r="G1070" s="71" t="s">
        <v>422</v>
      </c>
      <c r="H1070" s="71" t="s">
        <v>1040</v>
      </c>
      <c r="I1070">
        <v>50</v>
      </c>
      <c r="J1070" s="203">
        <v>732.5</v>
      </c>
      <c r="K1070" s="427">
        <f>=I1070*J1070</f>
        <v>36625</v>
      </c>
      <c r="L1070" s="71">
        <v>728</v>
      </c>
      <c r="M1070" s="428">
        <f>=I1070*L1070</f>
        <v>36400</v>
      </c>
      <c r="N1070" s="82">
        <f>=K1070-M1070</f>
        <v>225</v>
      </c>
      <c r="O1070" s="64">
        <v>1</v>
      </c>
      <c r="P1070" s="64">
        <f>=I1070*O1070*ROUNDUP((A1070-B1070)/30,0)</f>
        <v>150</v>
      </c>
      <c r="Q1070" s="62" t="s"/>
      <c r="R1070" s="62" t="s"/>
    </row>
    <row r="1071" spans="1:18" ht="15.75" customHeight="true">
      <c r="A1071" s="147">
        <v>46170</v>
      </c>
      <c r="B1071" s="460">
        <v>46106</v>
      </c>
      <c r="C1071" s="98" t="s">
        <v>187</v>
      </c>
      <c r="D1071" s="71" t="s">
        <v>135</v>
      </c>
      <c r="E1071" s="511" t="s">
        <v>3266</v>
      </c>
      <c r="F1071" s="71" t="s">
        <v>428</v>
      </c>
      <c r="G1071" s="71" t="s">
        <v>422</v>
      </c>
      <c r="H1071" s="71" t="s">
        <v>1042</v>
      </c>
      <c r="I1071">
        <v>50</v>
      </c>
      <c r="J1071" s="402">
        <v>732.5</v>
      </c>
      <c r="K1071" s="427">
        <f>=I1071*J1071</f>
        <v>36625</v>
      </c>
      <c r="L1071" s="71">
        <v>728</v>
      </c>
      <c r="M1071" s="428">
        <f>=I1071*L1071</f>
        <v>36400</v>
      </c>
      <c r="N1071" s="82">
        <f>=K1071-M1071</f>
        <v>225</v>
      </c>
      <c r="O1071" s="64">
        <v>1</v>
      </c>
      <c r="P1071" s="64">
        <f>=I1071*O1071*ROUNDUP((A1071-B1071)/30,0)</f>
        <v>150</v>
      </c>
      <c r="Q1071" s="62" t="s"/>
      <c r="R1071" s="62" t="s"/>
    </row>
    <row r="1072" spans="1:18" ht="15.75" customHeight="true">
      <c r="A1072" s="148">
        <v>46170</v>
      </c>
      <c r="B1072" s="460">
        <v>46121</v>
      </c>
      <c r="C1072" s="102" t="s">
        <v>247</v>
      </c>
      <c r="D1072" s="93" t="s">
        <v>135</v>
      </c>
      <c r="E1072" s="145" t="s">
        <v>3267</v>
      </c>
      <c r="F1072" t="s">
        <v>428</v>
      </c>
      <c r="G1072" t="s">
        <v>422</v>
      </c>
      <c r="H1072" t="s">
        <v>612</v>
      </c>
      <c r="I1072" s="402">
        <v>70</v>
      </c>
      <c r="J1072" s="394">
        <v>761.38</v>
      </c>
      <c r="K1072" s="427">
        <f>=I1072*J1072</f>
        <v>53296.6</v>
      </c>
      <c r="L1072">
        <v>750</v>
      </c>
      <c r="M1072" s="428">
        <f>=I1072*L1072</f>
        <v>52500</v>
      </c>
      <c r="N1072" s="82">
        <f>=K1072-M1072</f>
        <v>796.599999999999</v>
      </c>
      <c r="O1072" s="64">
        <v>1</v>
      </c>
      <c r="P1072" s="64">
        <f>=I1072*O1072*ROUNDUP((A1072-B1072)/30,0)</f>
        <v>140</v>
      </c>
      <c r="Q1072" s="62" t="s"/>
      <c r="R1072" s="62" t="s"/>
    </row>
    <row r="1073" spans="1:18" ht="15.75" customHeight="true">
      <c r="A1073" s="148">
        <v>46170</v>
      </c>
      <c r="B1073" s="460">
        <v>46121</v>
      </c>
      <c r="C1073" s="102" t="s">
        <v>247</v>
      </c>
      <c r="D1073" s="93" t="s">
        <v>135</v>
      </c>
      <c r="E1073" s="145" t="s">
        <v>3268</v>
      </c>
      <c r="F1073" t="s">
        <v>428</v>
      </c>
      <c r="G1073" t="s">
        <v>422</v>
      </c>
      <c r="H1073" t="s">
        <v>886</v>
      </c>
      <c r="I1073" s="402">
        <v>30</v>
      </c>
      <c r="J1073" s="327">
        <v>761.38</v>
      </c>
      <c r="K1073" s="427">
        <f>=I1073*J1073</f>
        <v>22841.4</v>
      </c>
      <c r="L1073">
        <v>750</v>
      </c>
      <c r="M1073" s="428">
        <f>=I1073*L1073</f>
        <v>22500</v>
      </c>
      <c r="N1073" s="82">
        <f>=K1073-M1073</f>
        <v>341.400000000002</v>
      </c>
      <c r="O1073" s="64">
        <v>1</v>
      </c>
      <c r="P1073" s="64">
        <f>=I1073*O1073*ROUNDUP((A1073-B1073)/30,0)</f>
        <v>60</v>
      </c>
      <c r="Q1073" s="62" t="s"/>
      <c r="R1073" s="62" t="s"/>
    </row>
    <row r="1074" spans="1:18" ht="15.75" customHeight="true">
      <c r="A1074" s="148">
        <v>46171</v>
      </c>
      <c r="B1074" s="460">
        <v>46143</v>
      </c>
      <c r="C1074" s="102" t="s">
        <v>308</v>
      </c>
      <c r="D1074" s="149" t="s">
        <v>305</v>
      </c>
      <c r="E1074" s="145" t="s">
        <v>3269</v>
      </c>
      <c r="F1074" t="s">
        <v>2041</v>
      </c>
      <c r="G1074" t="s">
        <v>470</v>
      </c>
      <c r="H1074" s="71" t="s">
        <v>2042</v>
      </c>
      <c r="I1074">
        <v>100</v>
      </c>
      <c r="J1074" s="339">
        <v>6690.14</v>
      </c>
      <c r="K1074" s="427">
        <f>=I1074*J1074</f>
        <v>669014</v>
      </c>
      <c r="L1074" s="154">
        <v>6640</v>
      </c>
      <c r="M1074" s="428">
        <f>=I1074*L1074</f>
        <v>664000</v>
      </c>
      <c r="N1074" s="82">
        <f>=K1074-M1074</f>
        <v>5014</v>
      </c>
      <c r="O1074" s="64">
        <v>1.5</v>
      </c>
      <c r="P1074" s="64">
        <f>=I1074*O1074*ROUNDUP((A1074-B1074)/30,0)</f>
        <v>150</v>
      </c>
      <c r="Q1074" s="62" t="s"/>
      <c r="R1074" s="62" t="s"/>
    </row>
    <row r="1075" spans="1:18" ht="15.75" customHeight="true">
      <c r="A1075" s="148">
        <v>46171</v>
      </c>
      <c r="B1075" s="461">
        <v>46143</v>
      </c>
      <c r="C1075" s="102" t="s">
        <v>308</v>
      </c>
      <c r="D1075" s="149" t="s">
        <v>305</v>
      </c>
      <c r="E1075" s="145" t="s">
        <v>3270</v>
      </c>
      <c r="F1075" t="s">
        <v>2041</v>
      </c>
      <c r="G1075" t="s">
        <v>470</v>
      </c>
      <c r="H1075" s="93" t="s">
        <v>2042</v>
      </c>
      <c r="I1075">
        <v>100</v>
      </c>
      <c r="J1075" s="357">
        <v>6690.14</v>
      </c>
      <c r="K1075" s="439">
        <f>=I1075*J1075</f>
        <v>669014</v>
      </c>
      <c r="L1075" s="154">
        <v>6640</v>
      </c>
      <c r="M1075" s="454">
        <f>=I1075*L1075</f>
        <v>664000</v>
      </c>
      <c r="N1075" s="84">
        <f>=K1075-M1075</f>
        <v>5014</v>
      </c>
      <c r="O1075" s="83">
        <v>1.5</v>
      </c>
      <c r="P1075" s="83">
        <f>=I1075*O1075*ROUNDUP((A1075-B1075)/30,0)</f>
        <v>150</v>
      </c>
      <c r="Q1075" s="62" t="s"/>
      <c r="R1075" s="62" t="s"/>
    </row>
    <row r="1076" spans="1:18" ht="15.75" customHeight="true">
      <c r="A1076" s="148">
        <v>46171</v>
      </c>
      <c r="B1076" s="460">
        <v>46148</v>
      </c>
      <c r="C1076" s="102" t="s">
        <v>310</v>
      </c>
      <c r="D1076" s="149" t="s">
        <v>305</v>
      </c>
      <c r="E1076" s="145" t="s">
        <v>3271</v>
      </c>
      <c r="F1076" t="s">
        <v>2041</v>
      </c>
      <c r="G1076" t="s">
        <v>470</v>
      </c>
      <c r="H1076" s="71" t="s">
        <v>2053</v>
      </c>
      <c r="I1076" s="203">
        <v>100</v>
      </c>
      <c r="J1076" s="327">
        <v>5072.24</v>
      </c>
      <c r="K1076" s="427">
        <f>=I1076*J1076</f>
        <v>507224</v>
      </c>
      <c r="L1076" s="154">
        <v>5040</v>
      </c>
      <c r="M1076" s="428">
        <f>=I1076*L1076</f>
        <v>504000</v>
      </c>
      <c r="N1076" s="82">
        <f>=K1076-M1076</f>
        <v>3224</v>
      </c>
      <c r="O1076" s="64">
        <v>1.5</v>
      </c>
      <c r="P1076" s="64">
        <f>=I1076*O1076*ROUNDUP((A1076-B1076)/30,0)</f>
        <v>150</v>
      </c>
      <c r="Q1076" s="62" t="s"/>
      <c r="R1076" s="62" t="s"/>
    </row>
    <row r="1077" spans="1:18" ht="15.75" customHeight="true">
      <c r="A1077" s="148">
        <v>46171</v>
      </c>
      <c r="B1077" s="460">
        <v>46148</v>
      </c>
      <c r="C1077" s="102" t="s">
        <v>310</v>
      </c>
      <c r="D1077" s="149" t="s">
        <v>305</v>
      </c>
      <c r="E1077" s="145" t="s">
        <v>3272</v>
      </c>
      <c r="F1077" t="s">
        <v>2041</v>
      </c>
      <c r="G1077" t="s">
        <v>470</v>
      </c>
      <c r="H1077" s="71" t="s">
        <v>2053</v>
      </c>
      <c r="I1077" s="402">
        <v>100</v>
      </c>
      <c r="J1077" s="327">
        <v>5072.24</v>
      </c>
      <c r="K1077" s="427">
        <f>=I1077*J1077</f>
        <v>507224</v>
      </c>
      <c r="L1077" s="154">
        <v>5040</v>
      </c>
      <c r="M1077" s="428">
        <f>=I1077*L1077</f>
        <v>504000</v>
      </c>
      <c r="N1077" s="82">
        <f>=K1077-M1077</f>
        <v>3224</v>
      </c>
      <c r="O1077" s="64">
        <v>1.5</v>
      </c>
      <c r="P1077" s="64">
        <f>=I1077*O1077*ROUNDUP((A1077-B1077)/30,0)</f>
        <v>150</v>
      </c>
      <c r="Q1077" s="62" t="s"/>
      <c r="R1077" s="62" t="s"/>
    </row>
    <row r="1078" spans="1:18" ht="15.75" customHeight="true">
      <c r="A1078" s="148">
        <v>46171</v>
      </c>
      <c r="B1078" s="426">
        <v>46105</v>
      </c>
      <c r="C1078" s="83" t="s">
        <v>182</v>
      </c>
      <c r="D1078" s="83" t="s">
        <v>181</v>
      </c>
      <c r="E1078" s="153" t="s">
        <v>3273</v>
      </c>
      <c r="F1078" s="64" t="s">
        <v>428</v>
      </c>
      <c r="G1078" s="64" t="s">
        <v>449</v>
      </c>
      <c r="H1078" s="64" t="s">
        <v>658</v>
      </c>
      <c r="I1078">
        <v>200</v>
      </c>
      <c r="J1078" s="327">
        <v>1070.64</v>
      </c>
      <c r="K1078" s="427">
        <f>=I1078*J1078</f>
        <v>214128</v>
      </c>
      <c r="L1078" s="64">
        <v>1053</v>
      </c>
      <c r="M1078" s="428">
        <f>=I1078*L1078</f>
        <v>210600</v>
      </c>
      <c r="N1078" s="82">
        <f>=K1078-M1078</f>
        <v>3528.00000000003</v>
      </c>
      <c r="O1078" s="64">
        <v>0</v>
      </c>
      <c r="P1078" s="64">
        <f>=I1078*O1078*ROUNDUP((A1078-B1078)/30,0)</f>
        <v>0</v>
      </c>
      <c r="Q1078" s="62" t="s"/>
      <c r="R1078" s="62" t="s"/>
    </row>
    <row r="1079" spans="1:18" ht="15.75" customHeight="true">
      <c r="A1079" s="148">
        <v>46171</v>
      </c>
      <c r="B1079" s="460">
        <v>46111</v>
      </c>
      <c r="C1079" s="110" t="s">
        <v>221</v>
      </c>
      <c r="D1079" s="142" t="s">
        <v>220</v>
      </c>
      <c r="E1079" s="494" t="s">
        <v>3274</v>
      </c>
      <c r="F1079" s="108" t="s">
        <v>503</v>
      </c>
      <c r="G1079" s="64" t="s">
        <v>422</v>
      </c>
      <c r="H1079" s="64" t="s">
        <v>1334</v>
      </c>
      <c r="I1079" s="78">
        <v>33</v>
      </c>
      <c r="J1079">
        <v>1394.48</v>
      </c>
      <c r="K1079" s="427">
        <f>=I1079*J1079</f>
        <v>46017.84</v>
      </c>
      <c r="L1079" s="62">
        <v>1365</v>
      </c>
      <c r="M1079" s="428">
        <f>=I1079*L1079</f>
        <v>45045</v>
      </c>
      <c r="N1079" s="82">
        <f>=K1079-M1079</f>
        <v>972.840000000004</v>
      </c>
      <c r="O1079" s="64">
        <v>1</v>
      </c>
      <c r="P1079" s="64">
        <f>=I1079*O1079*ROUNDUP((A1079-B1079)/30,0)</f>
        <v>66</v>
      </c>
      <c r="Q1079" s="62" t="s"/>
      <c r="R1079" s="62" t="s"/>
    </row>
    <row r="1080" spans="1:18" ht="15.75" customHeight="true">
      <c r="A1080" s="148">
        <v>46171</v>
      </c>
      <c r="B1080" s="460">
        <v>46111</v>
      </c>
      <c r="C1080" s="110" t="s">
        <v>221</v>
      </c>
      <c r="D1080" s="142" t="s">
        <v>220</v>
      </c>
      <c r="E1080" s="494" t="s">
        <v>3275</v>
      </c>
      <c r="F1080" s="64" t="s">
        <v>864</v>
      </c>
      <c r="G1080" s="64" t="s">
        <v>422</v>
      </c>
      <c r="H1080" s="64" t="s">
        <v>1336</v>
      </c>
      <c r="I1080" s="78">
        <v>20</v>
      </c>
      <c r="J1080">
        <v>2641.9</v>
      </c>
      <c r="K1080" s="427">
        <f>=I1080*J1080</f>
        <v>52838</v>
      </c>
      <c r="L1080" s="62">
        <v>2590</v>
      </c>
      <c r="M1080" s="428">
        <f>=I1080*L1080</f>
        <v>51800</v>
      </c>
      <c r="N1080" s="82">
        <f>=K1080-M1080</f>
        <v>1038</v>
      </c>
      <c r="O1080" s="64">
        <v>1</v>
      </c>
      <c r="P1080" s="64">
        <f>=I1080*O1080*ROUNDUP((A1080-B1080)/30,0)</f>
        <v>40</v>
      </c>
      <c r="Q1080" s="62" t="s"/>
      <c r="R1080" s="62" t="s"/>
    </row>
    <row r="1081" spans="1:18" ht="15.75" customHeight="true">
      <c r="A1081" s="148">
        <v>46171</v>
      </c>
      <c r="B1081" s="460">
        <v>46111</v>
      </c>
      <c r="C1081" s="110" t="s">
        <v>221</v>
      </c>
      <c r="D1081" s="142" t="s">
        <v>220</v>
      </c>
      <c r="E1081" s="494" t="s">
        <v>3276</v>
      </c>
      <c r="F1081" s="64" t="s">
        <v>864</v>
      </c>
      <c r="G1081" s="64" t="s">
        <v>422</v>
      </c>
      <c r="H1081" s="64" t="s">
        <v>1338</v>
      </c>
      <c r="I1081" s="78">
        <v>19</v>
      </c>
      <c r="J1081">
        <v>2641.9</v>
      </c>
      <c r="K1081" s="427">
        <f>=I1081*J1081</f>
        <v>50196.1</v>
      </c>
      <c r="L1081" s="62">
        <v>2590</v>
      </c>
      <c r="M1081" s="428">
        <f>=I1081*L1081</f>
        <v>49210</v>
      </c>
      <c r="N1081" s="82">
        <f>=K1081-M1081</f>
        <v>986.099999999999</v>
      </c>
      <c r="O1081" s="64">
        <v>1</v>
      </c>
      <c r="P1081" s="64">
        <f>=I1081*O1081*ROUNDUP((A1081-B1081)/30,0)</f>
        <v>38</v>
      </c>
      <c r="Q1081" s="62" t="s"/>
      <c r="R1081" s="62" t="s"/>
    </row>
    <row r="1082" spans="1:18" ht="15.75" customHeight="true">
      <c r="A1082" s="148">
        <v>46171</v>
      </c>
      <c r="B1082" s="426">
        <v>46105</v>
      </c>
      <c r="C1082" s="102" t="s">
        <v>185</v>
      </c>
      <c r="D1082" s="93" t="s">
        <v>156</v>
      </c>
      <c r="E1082" s="145" t="s">
        <v>3277</v>
      </c>
      <c r="F1082" s="108" t="s">
        <v>421</v>
      </c>
      <c r="G1082" s="108" t="s">
        <v>470</v>
      </c>
      <c r="H1082" s="146" t="s">
        <v>1017</v>
      </c>
      <c r="I1082">
        <v>29</v>
      </c>
      <c r="J1082">
        <v>4073</v>
      </c>
      <c r="K1082" s="427">
        <f>=I1082*J1082</f>
        <v>118117</v>
      </c>
      <c r="L1082" s="71">
        <v>4000</v>
      </c>
      <c r="M1082" s="428">
        <f>=I1082*L1082</f>
        <v>116000</v>
      </c>
      <c r="N1082" s="82">
        <f>=K1082-M1082</f>
        <v>2117</v>
      </c>
      <c r="O1082" s="64">
        <v>1.5</v>
      </c>
      <c r="P1082" s="64">
        <f>=I1082*O1082*ROUNDUP((A1082-B1082)/30,0)</f>
        <v>130.5</v>
      </c>
      <c r="Q1082" s="62" t="s"/>
      <c r="R1082" s="62" t="s"/>
    </row>
    <row r="1083" spans="1:18" ht="15.75" customHeight="true">
      <c r="A1083" s="148">
        <v>46171</v>
      </c>
      <c r="B1083" s="460">
        <v>46112</v>
      </c>
      <c r="C1083" s="222" t="s">
        <v>213</v>
      </c>
      <c r="D1083" s="101" t="s">
        <v>156</v>
      </c>
      <c r="E1083" s="145" t="s">
        <v>3278</v>
      </c>
      <c r="F1083" s="263" t="s">
        <v>421</v>
      </c>
      <c r="G1083" s="136" t="s">
        <v>470</v>
      </c>
      <c r="H1083" s="136" t="s">
        <v>1017</v>
      </c>
      <c r="I1083" s="154">
        <v>21</v>
      </c>
      <c r="J1083" s="154">
        <v>3272.3</v>
      </c>
      <c r="K1083" s="427">
        <f>=I1083*J1083</f>
        <v>68718.3</v>
      </c>
      <c r="L1083">
        <v>3220</v>
      </c>
      <c r="M1083" s="428">
        <f>=I1083*L1083</f>
        <v>67620</v>
      </c>
      <c r="N1083" s="82">
        <f>=K1083-M1083</f>
        <v>1098.3</v>
      </c>
      <c r="O1083" s="64">
        <v>1.5</v>
      </c>
      <c r="P1083" s="64">
        <f>=I1083*O1083*ROUNDUP((A1083-B1083)/30,0)</f>
        <v>63</v>
      </c>
      <c r="Q1083" s="62" t="s"/>
      <c r="R1083" s="62" t="s"/>
    </row>
    <row r="1084" spans="1:18" ht="15.75" customHeight="true">
      <c r="A1084" s="148">
        <v>46171</v>
      </c>
      <c r="B1084" s="460">
        <v>46163</v>
      </c>
      <c r="C1084" s="102" t="s">
        <v>353</v>
      </c>
      <c r="D1084" s="220" t="s">
        <v>352</v>
      </c>
      <c r="E1084" s="136" t="s">
        <v>3279</v>
      </c>
      <c r="F1084" t="s">
        <v>428</v>
      </c>
      <c r="G1084" t="s">
        <v>422</v>
      </c>
      <c r="H1084" s="156" t="s">
        <v>859</v>
      </c>
      <c r="I1084">
        <v>150</v>
      </c>
      <c r="J1084" s="327">
        <v>1002.25</v>
      </c>
      <c r="K1084" s="427">
        <f>=I1084*J1084</f>
        <v>150337.5</v>
      </c>
      <c r="L1084" s="339">
        <v>1000</v>
      </c>
      <c r="M1084" s="428">
        <f>=I1084*L1084</f>
        <v>150000</v>
      </c>
      <c r="N1084" s="82">
        <f>=K1084-M1084</f>
        <v>337.5</v>
      </c>
      <c r="O1084" s="64">
        <v>0</v>
      </c>
      <c r="P1084" s="64">
        <f>=I1084*O1084*ROUNDUP((A1084-B1084)/30,0)</f>
        <v>0</v>
      </c>
      <c r="Q1084" s="62" t="s"/>
      <c r="R1084" s="62" t="s"/>
    </row>
    <row r="1085" spans="1:18" ht="15.75" customHeight="true">
      <c r="A1085" s="148">
        <v>46171</v>
      </c>
      <c r="B1085" s="461">
        <v>46163</v>
      </c>
      <c r="C1085" s="102" t="s">
        <v>353</v>
      </c>
      <c r="D1085" s="220" t="s">
        <v>352</v>
      </c>
      <c r="E1085" s="136" t="s">
        <v>3280</v>
      </c>
      <c r="F1085" t="s">
        <v>428</v>
      </c>
      <c r="G1085" t="s">
        <v>422</v>
      </c>
      <c r="H1085" s="156" t="s">
        <v>857</v>
      </c>
      <c r="I1085">
        <v>150</v>
      </c>
      <c r="J1085" s="327">
        <v>1002.25</v>
      </c>
      <c r="K1085" s="439">
        <f>=I1085*J1085</f>
        <v>150337.5</v>
      </c>
      <c r="L1085" s="339">
        <v>1000</v>
      </c>
      <c r="M1085" s="454">
        <f>=I1085*L1085</f>
        <v>150000</v>
      </c>
      <c r="N1085" s="84">
        <f>=K1085-M1085</f>
        <v>337.5</v>
      </c>
      <c r="O1085" s="83">
        <v>0</v>
      </c>
      <c r="P1085" s="83">
        <f>=I1085*O1085*ROUNDUP((A1085-B1085)/30,0)</f>
        <v>0</v>
      </c>
      <c r="Q1085" s="62" t="s"/>
      <c r="R1085" s="62" t="s"/>
    </row>
    <row r="1086" spans="1:18" ht="15.75" customHeight="true">
      <c r="A1086" s="148">
        <v>46173</v>
      </c>
      <c r="B1086" s="461">
        <v>46111</v>
      </c>
      <c r="C1086" s="93" t="s">
        <v>214</v>
      </c>
      <c r="D1086" s="121" t="s">
        <v>201</v>
      </c>
      <c r="E1086" s="263" t="s">
        <v>3281</v>
      </c>
      <c r="F1086" s="62" t="s">
        <v>421</v>
      </c>
      <c r="G1086" s="62" t="s">
        <v>422</v>
      </c>
      <c r="H1086" t="s">
        <v>1169</v>
      </c>
      <c r="I1086">
        <v>100</v>
      </c>
      <c r="J1086" s="327">
        <v>7920</v>
      </c>
      <c r="K1086" s="439">
        <f>=I1086*J1086</f>
        <v>792000</v>
      </c>
      <c r="L1086" s="87">
        <v>7800</v>
      </c>
      <c r="M1086" s="454">
        <f>=I1086*L1086</f>
        <v>780000</v>
      </c>
      <c r="N1086" s="84">
        <f>=K1086-M1086</f>
        <v>12000</v>
      </c>
      <c r="O1086" s="83">
        <v>1</v>
      </c>
      <c r="P1086" s="83">
        <f>=I1086*O1086*ROUNDUP((A1086-B1086)/30,0)</f>
        <v>300</v>
      </c>
      <c r="Q1086" s="62" t="s"/>
      <c r="R1086" s="62" t="s"/>
    </row>
    <row r="1087" spans="1:18" ht="15.75" customHeight="true">
      <c r="A1087" s="148">
        <v>46174</v>
      </c>
      <c r="B1087" s="461">
        <v>46111</v>
      </c>
      <c r="C1087" s="93" t="s">
        <v>214</v>
      </c>
      <c r="D1087" s="121" t="s">
        <v>201</v>
      </c>
      <c r="E1087" s="263" t="s">
        <v>3282</v>
      </c>
      <c r="F1087" s="62" t="s">
        <v>421</v>
      </c>
      <c r="G1087" s="62" t="s">
        <v>422</v>
      </c>
      <c r="H1087" t="s">
        <v>1169</v>
      </c>
      <c r="I1087" s="327">
        <v>100</v>
      </c>
      <c r="J1087">
        <v>7922</v>
      </c>
      <c r="K1087" s="439">
        <f>=I1087*J1087</f>
        <v>792200</v>
      </c>
      <c r="L1087">
        <v>7800</v>
      </c>
      <c r="M1087" s="454">
        <f>=I1087*L1087</f>
        <v>780000</v>
      </c>
      <c r="N1087" s="84">
        <f>=K1087-M1087</f>
        <v>12200</v>
      </c>
      <c r="O1087" s="83">
        <v>1</v>
      </c>
      <c r="P1087" s="83">
        <f>=I1087*O1087*ROUNDUP((A1087-B1087)/30,0)</f>
        <v>300</v>
      </c>
      <c r="Q1087" s="62" t="s"/>
      <c r="R1087" s="62" t="s"/>
    </row>
    <row r="1088" spans="1:18" ht="15.75" customHeight="true">
      <c r="A1088" s="148">
        <v>46174</v>
      </c>
      <c r="B1088" s="461">
        <v>46155</v>
      </c>
      <c r="C1088" s="93" t="s">
        <v>325</v>
      </c>
      <c r="D1088" s="121" t="s">
        <v>324</v>
      </c>
      <c r="E1088" s="263" t="s">
        <v>3283</v>
      </c>
      <c r="F1088" s="62" t="s">
        <v>804</v>
      </c>
      <c r="G1088" t="s">
        <v>422</v>
      </c>
      <c r="H1088" t="s">
        <v>2090</v>
      </c>
      <c r="I1088" s="327">
        <v>40</v>
      </c>
      <c r="J1088" s="323">
        <v>588.51</v>
      </c>
      <c r="K1088" s="439">
        <f>=I1088*J1088</f>
        <v>23540.4</v>
      </c>
      <c r="L1088">
        <v>585</v>
      </c>
      <c r="M1088" s="454">
        <f>=I1088*L1088</f>
        <v>23400</v>
      </c>
      <c r="N1088" s="84">
        <f>=K1088-M1088</f>
        <v>140.400000000001</v>
      </c>
      <c r="O1088" s="83">
        <v>0</v>
      </c>
      <c r="P1088" s="83">
        <f>=I1088*O1088*ROUNDUP((A1088-B1088)/30,0)</f>
        <v>0</v>
      </c>
      <c r="Q1088" s="62" t="s"/>
      <c r="R1088" s="62" t="s"/>
    </row>
    <row r="1089" spans="1:18" ht="15.75" customHeight="true">
      <c r="A1089" s="148">
        <v>46174</v>
      </c>
      <c r="B1089" s="461">
        <v>46155</v>
      </c>
      <c r="C1089" s="93" t="s">
        <v>325</v>
      </c>
      <c r="D1089" s="121" t="s">
        <v>324</v>
      </c>
      <c r="E1089" s="263" t="s">
        <v>3284</v>
      </c>
      <c r="F1089" s="62" t="s">
        <v>804</v>
      </c>
      <c r="G1089" t="s">
        <v>422</v>
      </c>
      <c r="H1089" t="s">
        <v>2092</v>
      </c>
      <c r="I1089" s="327">
        <v>40</v>
      </c>
      <c r="J1089" s="323">
        <v>588.51</v>
      </c>
      <c r="K1089" s="439">
        <f>=I1089*J1089</f>
        <v>23540.4</v>
      </c>
      <c r="L1089">
        <v>585</v>
      </c>
      <c r="M1089" s="454">
        <f>=I1089*L1089</f>
        <v>23400</v>
      </c>
      <c r="N1089" s="84">
        <f>=K1089-M1089</f>
        <v>140.400000000001</v>
      </c>
      <c r="O1089" s="83">
        <v>0</v>
      </c>
      <c r="P1089" s="83">
        <f>=I1089*O1089*ROUNDUP((A1089-B1089)/30,0)</f>
        <v>0</v>
      </c>
      <c r="Q1089" s="62" t="s"/>
      <c r="R1089" s="62" t="s"/>
    </row>
    <row r="1090" spans="1:18" ht="15.75" customHeight="true">
      <c r="A1090" s="148">
        <v>46174</v>
      </c>
      <c r="B1090" s="461">
        <v>46155</v>
      </c>
      <c r="C1090" s="93" t="s">
        <v>325</v>
      </c>
      <c r="D1090" s="121" t="s">
        <v>324</v>
      </c>
      <c r="E1090" s="263" t="s">
        <v>3285</v>
      </c>
      <c r="F1090" s="62" t="s">
        <v>804</v>
      </c>
      <c r="G1090" t="s">
        <v>422</v>
      </c>
      <c r="H1090" t="s">
        <v>2094</v>
      </c>
      <c r="I1090" s="327">
        <v>20</v>
      </c>
      <c r="J1090" s="323">
        <v>588.51</v>
      </c>
      <c r="K1090" s="439">
        <f>=I1090*J1090</f>
        <v>11770.2</v>
      </c>
      <c r="L1090">
        <v>585</v>
      </c>
      <c r="M1090" s="454">
        <f>=I1090*L1090</f>
        <v>11700</v>
      </c>
      <c r="N1090" s="84">
        <f>=K1090-M1090</f>
        <v>70.2000000000007</v>
      </c>
      <c r="O1090" s="83">
        <v>0</v>
      </c>
      <c r="P1090" s="83">
        <f>=I1090*O1090*ROUNDUP((A1090-B1090)/30,0)</f>
        <v>0</v>
      </c>
      <c r="Q1090" s="62" t="s"/>
      <c r="R1090" s="62" t="s"/>
    </row>
    <row r="1091" spans="1:18" ht="15.75" customHeight="true">
      <c r="A1091" s="148">
        <v>46175</v>
      </c>
      <c r="B1091" s="461">
        <v>46109</v>
      </c>
      <c r="C1091" s="102" t="s">
        <v>207</v>
      </c>
      <c r="D1091" s="93" t="s">
        <v>135</v>
      </c>
      <c r="E1091" s="511" t="s">
        <v>3286</v>
      </c>
      <c r="F1091" s="354" t="s">
        <v>428</v>
      </c>
      <c r="G1091" s="71" t="s">
        <v>422</v>
      </c>
      <c r="H1091" s="64" t="s">
        <v>1246</v>
      </c>
      <c r="I1091">
        <v>100</v>
      </c>
      <c r="J1091" s="327">
        <v>706.99</v>
      </c>
      <c r="K1091" s="439">
        <f>=I1091*J1091</f>
        <v>70699</v>
      </c>
      <c r="L1091" s="512">
        <v>686</v>
      </c>
      <c r="M1091" s="454">
        <f>=I1091*L1091</f>
        <v>68600</v>
      </c>
      <c r="N1091" s="84">
        <f>=K1091-M1091</f>
        <v>2099</v>
      </c>
      <c r="O1091" s="83">
        <v>1</v>
      </c>
      <c r="P1091" s="83">
        <f>=I1091*O1091*ROUNDUP((A1091-B1091)/30,0)</f>
        <v>300</v>
      </c>
      <c r="Q1091" s="62" t="s"/>
      <c r="R1091" s="62" t="s"/>
    </row>
    <row r="1092" spans="1:18" ht="15.75" customHeight="true">
      <c r="A1092" s="148">
        <v>46175</v>
      </c>
      <c r="B1092" s="461">
        <v>46111</v>
      </c>
      <c r="C1092" s="102" t="s">
        <v>209</v>
      </c>
      <c r="D1092" s="93" t="s">
        <v>135</v>
      </c>
      <c r="E1092" s="494" t="s">
        <v>3287</v>
      </c>
      <c r="F1092" s="354" t="s">
        <v>428</v>
      </c>
      <c r="G1092" s="71" t="s">
        <v>422</v>
      </c>
      <c r="H1092" s="64" t="s">
        <v>1046</v>
      </c>
      <c r="I1092">
        <v>100</v>
      </c>
      <c r="J1092" s="327">
        <v>706.99</v>
      </c>
      <c r="K1092" s="439">
        <f>=I1092*J1092</f>
        <v>70699</v>
      </c>
      <c r="L1092" s="144">
        <v>686</v>
      </c>
      <c r="M1092" s="454">
        <f>=I1092*L1092</f>
        <v>68600</v>
      </c>
      <c r="N1092" s="84">
        <f>=K1092-M1092</f>
        <v>2099</v>
      </c>
      <c r="O1092" s="83">
        <v>1</v>
      </c>
      <c r="P1092" s="83">
        <f>=I1092*O1092*ROUNDUP((A1092-B1092)/30,0)</f>
        <v>300</v>
      </c>
      <c r="Q1092" s="62" t="s"/>
      <c r="R1092" s="62" t="s"/>
    </row>
    <row r="1093" spans="1:18" ht="15.75" customHeight="true">
      <c r="A1093" s="148">
        <v>46175</v>
      </c>
      <c r="B1093" s="461">
        <v>46122</v>
      </c>
      <c r="C1093" s="93" t="s">
        <v>246</v>
      </c>
      <c r="D1093" s="83" t="s">
        <v>116</v>
      </c>
      <c r="E1093" s="145" t="s">
        <v>3288</v>
      </c>
      <c r="F1093" s="262" t="s">
        <v>804</v>
      </c>
      <c r="G1093" t="s">
        <v>429</v>
      </c>
      <c r="H1093" t="s">
        <v>1760</v>
      </c>
      <c r="I1093">
        <v>200</v>
      </c>
      <c r="J1093" s="394">
        <v>55.77</v>
      </c>
      <c r="K1093" s="439">
        <f>=I1093*J1093</f>
        <v>11154</v>
      </c>
      <c r="L1093">
        <v>55</v>
      </c>
      <c r="M1093" s="454">
        <f>=I1093*L1093</f>
        <v>11000</v>
      </c>
      <c r="N1093" s="84">
        <f>=K1093-M1093</f>
        <v>154</v>
      </c>
      <c r="O1093" s="83">
        <v>0</v>
      </c>
      <c r="P1093" s="83">
        <f>=I1093*O1093*ROUNDUP((A1093-B1093)/30,0)</f>
        <v>0</v>
      </c>
      <c r="Q1093" s="62" t="s"/>
      <c r="R1093" s="62" t="s"/>
    </row>
    <row r="1094" spans="1:18" ht="15.75" customHeight="true">
      <c r="A1094" s="148">
        <v>46175</v>
      </c>
      <c r="B1094" s="461">
        <v>46122</v>
      </c>
      <c r="C1094" s="93" t="s">
        <v>246</v>
      </c>
      <c r="D1094" s="83" t="s">
        <v>116</v>
      </c>
      <c r="E1094" s="145" t="s">
        <v>3289</v>
      </c>
      <c r="F1094" s="95" t="s">
        <v>804</v>
      </c>
      <c r="G1094" s="267" t="s">
        <v>429</v>
      </c>
      <c r="H1094" s="71" t="s">
        <v>824</v>
      </c>
      <c r="I1094">
        <v>200</v>
      </c>
      <c r="J1094" s="394">
        <v>116.61</v>
      </c>
      <c r="K1094" s="439">
        <f>=I1094*J1094</f>
        <v>23322</v>
      </c>
      <c r="L1094">
        <v>115</v>
      </c>
      <c r="M1094" s="454">
        <f>=I1094*L1094</f>
        <v>23000</v>
      </c>
      <c r="N1094" s="84">
        <f>=K1094-M1094</f>
        <v>322</v>
      </c>
      <c r="O1094" s="83">
        <v>0</v>
      </c>
      <c r="P1094" s="83">
        <f>=I1094*O1094*ROUNDUP((A1094-B1094)/30,0)</f>
        <v>0</v>
      </c>
      <c r="Q1094" s="62" t="s"/>
      <c r="R1094" s="62" t="s"/>
    </row>
    <row r="1095" spans="1:18" ht="15.75" customHeight="true">
      <c r="A1095" s="148">
        <v>46175</v>
      </c>
      <c r="B1095" s="461">
        <v>46112</v>
      </c>
      <c r="C1095" s="222" t="s">
        <v>213</v>
      </c>
      <c r="D1095" s="101" t="s">
        <v>156</v>
      </c>
      <c r="E1095" s="145" t="s">
        <v>3290</v>
      </c>
      <c r="F1095" s="263" t="s">
        <v>421</v>
      </c>
      <c r="G1095" s="136" t="s">
        <v>470</v>
      </c>
      <c r="H1095" s="136" t="s">
        <v>1017</v>
      </c>
      <c r="I1095" s="508">
        <v>60</v>
      </c>
      <c r="J1095" s="332">
        <v>3277.52</v>
      </c>
      <c r="K1095" s="439">
        <f>=I1095*J1095</f>
        <v>196651.2</v>
      </c>
      <c r="L1095">
        <v>3220</v>
      </c>
      <c r="M1095" s="454">
        <f>=I1095*L1095</f>
        <v>193200</v>
      </c>
      <c r="N1095" s="84">
        <f>=K1095-M1095</f>
        <v>3451.20000000001</v>
      </c>
      <c r="O1095" s="83">
        <v>1.5</v>
      </c>
      <c r="P1095" s="83">
        <f>=I1095*O1095*ROUNDUP((A1095-B1095)/30,0)</f>
        <v>270</v>
      </c>
      <c r="Q1095" s="62" t="s"/>
      <c r="R1095" s="62" t="s"/>
    </row>
    <row r="1096" spans="1:18" ht="15.75" customHeight="true">
      <c r="A1096" s="148">
        <v>46175</v>
      </c>
      <c r="B1096" s="461">
        <v>46112</v>
      </c>
      <c r="C1096" s="102" t="s">
        <v>213</v>
      </c>
      <c r="D1096" s="93" t="s">
        <v>156</v>
      </c>
      <c r="E1096" s="145" t="s">
        <v>3291</v>
      </c>
      <c r="F1096" s="136" t="s">
        <v>421</v>
      </c>
      <c r="G1096" s="136" t="s">
        <v>470</v>
      </c>
      <c r="H1096" s="136" t="s">
        <v>1017</v>
      </c>
      <c r="I1096" s="508">
        <v>19</v>
      </c>
      <c r="J1096" s="154">
        <v>3277.52</v>
      </c>
      <c r="K1096" s="439">
        <f>=I1096*J1096</f>
        <v>62272.88</v>
      </c>
      <c r="L1096">
        <v>3220</v>
      </c>
      <c r="M1096" s="454">
        <f>=I1096*L1096</f>
        <v>61180</v>
      </c>
      <c r="N1096" s="84">
        <f>=K1096-M1096</f>
        <v>1092.88</v>
      </c>
      <c r="O1096" s="83">
        <v>1.5</v>
      </c>
      <c r="P1096" s="83">
        <f>=I1096*O1096*ROUNDUP((A1096-B1096)/30,0)</f>
        <v>85.5</v>
      </c>
      <c r="Q1096" s="62" t="s"/>
      <c r="R1096" s="62" t="s"/>
    </row>
    <row r="1097" spans="1:18" ht="15.75" customHeight="true">
      <c r="A1097" s="147">
        <v>46175</v>
      </c>
      <c r="B1097" s="426">
        <v>46104</v>
      </c>
      <c r="C1097" s="71" t="s">
        <v>160</v>
      </c>
      <c r="D1097" s="78" t="s">
        <v>159</v>
      </c>
      <c r="E1097" s="156" t="s">
        <v>3292</v>
      </c>
      <c r="F1097" s="156" t="s">
        <v>741</v>
      </c>
      <c r="G1097" s="156" t="s">
        <v>422</v>
      </c>
      <c r="H1097" s="259" t="s">
        <v>998</v>
      </c>
      <c r="I1097">
        <v>400</v>
      </c>
      <c r="J1097" s="508">
        <v>1221.6</v>
      </c>
      <c r="K1097" s="427">
        <f>=I1097*J1097</f>
        <v>488640</v>
      </c>
      <c r="L1097" s="82">
        <v>1200</v>
      </c>
      <c r="M1097" s="428">
        <f>=I1097*L1097</f>
        <v>480000</v>
      </c>
      <c r="N1097" s="82">
        <f>=K1097-M1097</f>
        <v>8639.99999999994</v>
      </c>
      <c r="O1097" s="64">
        <v>0</v>
      </c>
      <c r="P1097" s="64">
        <f>=I1097*O1097*ROUNDUP((A1097-B1097)/30,0)</f>
        <v>0</v>
      </c>
      <c r="Q1097" s="62" t="s"/>
      <c r="R1097" s="62" t="s"/>
    </row>
    <row r="1098" spans="1:18" ht="15.75" customHeight="true">
      <c r="A1098" s="147">
        <v>46175</v>
      </c>
      <c r="B1098" s="460">
        <v>46164</v>
      </c>
      <c r="C1098" s="71" t="s">
        <v>354</v>
      </c>
      <c r="D1098" s="71" t="s">
        <v>169</v>
      </c>
      <c r="E1098" s="365" t="s">
        <v>3293</v>
      </c>
      <c r="F1098" s="156" t="s">
        <v>421</v>
      </c>
      <c r="G1098" s="156" t="s">
        <v>422</v>
      </c>
      <c r="H1098" s="156" t="s">
        <v>971</v>
      </c>
      <c r="I1098">
        <v>1</v>
      </c>
      <c r="J1098" s="249">
        <v>4745.69</v>
      </c>
      <c r="K1098" s="427">
        <f>=I1098*J1098</f>
        <v>4745.69</v>
      </c>
      <c r="L1098">
        <v>4730</v>
      </c>
      <c r="M1098" s="428">
        <f>=I1098*L1098</f>
        <v>4730</v>
      </c>
      <c r="N1098" s="82">
        <f>=K1098-M1098</f>
        <v>15.6899999999996</v>
      </c>
      <c r="O1098" s="64">
        <v>1</v>
      </c>
      <c r="P1098" s="64">
        <f>=I1098*O1098*ROUNDUP((A1098-B1098)/30,0)</f>
        <v>1</v>
      </c>
      <c r="Q1098" s="62" t="s"/>
      <c r="R1098" s="62" t="s"/>
    </row>
    <row r="1099" spans="1:18" ht="15.75" customHeight="true">
      <c r="A1099" s="147">
        <v>46176</v>
      </c>
      <c r="B1099" s="460">
        <v>46163</v>
      </c>
      <c r="C1099" s="98" t="s">
        <v>353</v>
      </c>
      <c r="D1099" s="156" t="s">
        <v>352</v>
      </c>
      <c r="E1099" s="365" t="s">
        <v>3294</v>
      </c>
      <c r="F1099" t="s">
        <v>428</v>
      </c>
      <c r="G1099" t="s">
        <v>422</v>
      </c>
      <c r="H1099" s="156" t="s">
        <v>857</v>
      </c>
      <c r="I1099">
        <v>150</v>
      </c>
      <c r="J1099" s="508">
        <v>1003.25</v>
      </c>
      <c r="K1099" s="427">
        <f>=I1099*J1099</f>
        <v>150487.5</v>
      </c>
      <c r="L1099" s="249">
        <v>1000</v>
      </c>
      <c r="M1099" s="428">
        <f>=I1099*L1099</f>
        <v>150000</v>
      </c>
      <c r="N1099" s="82">
        <f>=K1099-M1099</f>
        <v>487.5</v>
      </c>
      <c r="O1099" s="64">
        <v>0</v>
      </c>
      <c r="P1099" s="64">
        <f>=I1099*O1099*ROUNDUP((A1099-B1099)/30,0)</f>
        <v>0</v>
      </c>
      <c r="Q1099" s="62" t="s"/>
      <c r="R1099" s="62" t="s"/>
    </row>
    <row r="1100" spans="1:18" ht="15.75" customHeight="true">
      <c r="A1100" s="147">
        <v>46176</v>
      </c>
      <c r="B1100" s="460">
        <v>46095</v>
      </c>
      <c r="C1100" s="98" t="s">
        <v>144</v>
      </c>
      <c r="D1100" s="71" t="s">
        <v>135</v>
      </c>
      <c r="E1100" s="511" t="s">
        <v>3295</v>
      </c>
      <c r="F1100" s="112" t="s">
        <v>428</v>
      </c>
      <c r="G1100" s="112" t="s">
        <v>422</v>
      </c>
      <c r="H1100" s="64" t="s">
        <v>831</v>
      </c>
      <c r="I1100">
        <v>20</v>
      </c>
      <c r="J1100" s="249">
        <v>952.07</v>
      </c>
      <c r="K1100" s="427">
        <f>=I1100*J1100</f>
        <v>19041.4</v>
      </c>
      <c r="L1100" s="71">
        <v>930</v>
      </c>
      <c r="M1100" s="428">
        <f>=I1100*L1100</f>
        <v>18600</v>
      </c>
      <c r="N1100" s="82">
        <f>=K1100-M1100</f>
        <v>441.400000000002</v>
      </c>
      <c r="O1100" s="64">
        <v>1</v>
      </c>
      <c r="P1100" s="64">
        <f>=I1100*O1100*ROUNDUP((A1100-B1100)/30,0)</f>
        <v>60</v>
      </c>
      <c r="Q1100" s="62" t="s"/>
      <c r="R1100" s="62" t="s"/>
    </row>
    <row r="1101" spans="1:18" ht="15.75" customHeight="true">
      <c r="A1101" s="147">
        <v>46176</v>
      </c>
      <c r="B1101" s="460">
        <v>46121</v>
      </c>
      <c r="C1101" s="98" t="s">
        <v>247</v>
      </c>
      <c r="D1101" s="71" t="s">
        <v>135</v>
      </c>
      <c r="E1101" s="145" t="s">
        <v>3296</v>
      </c>
      <c r="F1101" t="s">
        <v>428</v>
      </c>
      <c r="G1101" t="s">
        <v>422</v>
      </c>
      <c r="H1101" t="s">
        <v>612</v>
      </c>
      <c r="I1101">
        <v>80</v>
      </c>
      <c r="J1101" s="513">
        <v>762.5</v>
      </c>
      <c r="K1101" s="427">
        <f>=I1101*J1101</f>
        <v>61000</v>
      </c>
      <c r="L1101">
        <v>750</v>
      </c>
      <c r="M1101" s="428">
        <f>=I1101*L1101</f>
        <v>60000</v>
      </c>
      <c r="N1101" s="82">
        <f>=K1101-M1101</f>
        <v>1000</v>
      </c>
      <c r="O1101" s="64">
        <v>1</v>
      </c>
      <c r="P1101" s="64">
        <f>=I1101*O1101*ROUNDUP((A1101-B1101)/30,0)</f>
        <v>160</v>
      </c>
      <c r="Q1101" s="62" t="s"/>
      <c r="R1101" s="62" t="s"/>
    </row>
    <row r="1102" spans="1:18" ht="15.75" customHeight="true">
      <c r="A1102" s="147">
        <v>46176</v>
      </c>
      <c r="B1102" s="460">
        <v>46106</v>
      </c>
      <c r="C1102" s="98" t="s">
        <v>187</v>
      </c>
      <c r="D1102" s="71" t="s">
        <v>135</v>
      </c>
      <c r="E1102" s="511" t="s">
        <v>3297</v>
      </c>
      <c r="F1102" s="71" t="s">
        <v>428</v>
      </c>
      <c r="G1102" s="71" t="s">
        <v>422</v>
      </c>
      <c r="H1102" s="71" t="s">
        <v>1040</v>
      </c>
      <c r="I1102">
        <v>50</v>
      </c>
      <c r="J1102" s="62">
        <v>743.92</v>
      </c>
      <c r="K1102" s="427">
        <f>=I1102*J1102</f>
        <v>37196</v>
      </c>
      <c r="L1102" s="71">
        <v>728</v>
      </c>
      <c r="M1102" s="428">
        <f>=I1102*L1102</f>
        <v>36400</v>
      </c>
      <c r="N1102" s="82">
        <f>=K1102-M1102</f>
        <v>796</v>
      </c>
      <c r="O1102" s="64">
        <v>1</v>
      </c>
      <c r="P1102" s="64">
        <f>=I1102*O1102*ROUNDUP((A1102-B1102)/30,0)</f>
        <v>150</v>
      </c>
      <c r="Q1102" s="62" t="s"/>
      <c r="R1102" s="62" t="s"/>
    </row>
    <row r="1103" spans="1:18" ht="15.75" customHeight="true">
      <c r="A1103" s="147">
        <v>46176</v>
      </c>
      <c r="B1103" s="460">
        <v>46106</v>
      </c>
      <c r="C1103" s="98" t="s">
        <v>187</v>
      </c>
      <c r="D1103" s="71" t="s">
        <v>135</v>
      </c>
      <c r="E1103" s="511" t="s">
        <v>3298</v>
      </c>
      <c r="F1103" s="71" t="s">
        <v>428</v>
      </c>
      <c r="G1103" s="71" t="s">
        <v>422</v>
      </c>
      <c r="H1103" s="71" t="s">
        <v>1042</v>
      </c>
      <c r="I1103">
        <v>50</v>
      </c>
      <c r="J1103" s="62">
        <v>743.92</v>
      </c>
      <c r="K1103" s="427">
        <f>=I1103*J1103</f>
        <v>37196</v>
      </c>
      <c r="L1103" s="71">
        <v>728</v>
      </c>
      <c r="M1103" s="428">
        <f>=I1103*L1103</f>
        <v>36400</v>
      </c>
      <c r="N1103" s="82">
        <f>=K1103-M1103</f>
        <v>796</v>
      </c>
      <c r="O1103" s="64">
        <v>1</v>
      </c>
      <c r="P1103" s="64">
        <f>=I1103*O1103*ROUNDUP((A1103-B1103)/30,0)</f>
        <v>150</v>
      </c>
      <c r="Q1103" s="62" t="s"/>
      <c r="R1103" s="62" t="s"/>
    </row>
    <row r="1104" spans="1:18" ht="15.75" customHeight="true">
      <c r="A1104" s="147">
        <v>46176</v>
      </c>
      <c r="B1104" s="460">
        <v>46155</v>
      </c>
      <c r="C1104" s="98" t="s">
        <v>326</v>
      </c>
      <c r="D1104" s="71" t="s">
        <v>150</v>
      </c>
      <c r="E1104" s="323" t="s">
        <v>3299</v>
      </c>
      <c r="F1104" s="156" t="s">
        <v>895</v>
      </c>
      <c r="G1104" s="156" t="s">
        <v>422</v>
      </c>
      <c r="H1104" s="156" t="s">
        <v>896</v>
      </c>
      <c r="I1104" s="514">
        <v>200</v>
      </c>
      <c r="J1104" s="62">
        <v>1057.28</v>
      </c>
      <c r="K1104" s="427">
        <f>=I1104*J1104</f>
        <v>211456</v>
      </c>
      <c r="L1104" s="402">
        <v>1050</v>
      </c>
      <c r="M1104" s="428">
        <f>=I1104*L1104</f>
        <v>210000</v>
      </c>
      <c r="N1104" s="82">
        <f>=K1104-M1104</f>
        <v>1456</v>
      </c>
      <c r="O1104" s="64">
        <v>1</v>
      </c>
      <c r="P1104" s="64">
        <f>=I1104*O1104*ROUNDUP((A1104-B1104)/30,0)</f>
        <v>200</v>
      </c>
      <c r="Q1104" s="62" t="s"/>
      <c r="R1104" s="62" t="s"/>
    </row>
    <row r="1105" spans="1:18" ht="15.75" customHeight="true">
      <c r="A1105" s="147">
        <v>46177</v>
      </c>
      <c r="B1105" s="460">
        <v>46167</v>
      </c>
      <c r="C1105" s="80" t="s">
        <v>360</v>
      </c>
      <c r="D1105" s="141" t="s">
        <v>252</v>
      </c>
      <c r="E1105" s="263" t="s">
        <v>3300</v>
      </c>
      <c r="F1105" s="87" t="s">
        <v>428</v>
      </c>
      <c r="G1105" s="140" t="s">
        <v>3140</v>
      </c>
      <c r="H1105" s="140" t="s">
        <v>596</v>
      </c>
      <c r="I1105" s="203">
        <v>10</v>
      </c>
      <c r="J1105" s="339">
        <v>562.85</v>
      </c>
      <c r="K1105" s="427">
        <f>=I1105*J1105</f>
        <v>5628.5</v>
      </c>
      <c r="L1105" s="203">
        <v>560</v>
      </c>
      <c r="M1105" s="428">
        <f>=I1105*L1105</f>
        <v>5600</v>
      </c>
      <c r="N1105" s="82">
        <f>=K1105-M1105</f>
        <v>28.5</v>
      </c>
      <c r="O1105" s="64">
        <v>0.3</v>
      </c>
      <c r="P1105" s="64">
        <f>=I1105*O1105*ROUNDUP((A1105-B1105)/30,0)</f>
        <v>3</v>
      </c>
      <c r="Q1105" s="62" t="s"/>
      <c r="R1105" s="62" t="s"/>
    </row>
    <row r="1106" spans="1:18" ht="15.75" customHeight="true">
      <c r="A1106" s="147">
        <v>46177</v>
      </c>
      <c r="B1106" s="460">
        <v>46104</v>
      </c>
      <c r="C1106" s="71" t="s">
        <v>160</v>
      </c>
      <c r="D1106" s="78" t="s">
        <v>159</v>
      </c>
      <c r="E1106" s="156" t="s">
        <v>3301</v>
      </c>
      <c r="F1106" s="156" t="s">
        <v>741</v>
      </c>
      <c r="G1106" s="156" t="s">
        <v>422</v>
      </c>
      <c r="H1106" s="156" t="s">
        <v>996</v>
      </c>
      <c r="I1106" s="339">
        <v>270</v>
      </c>
      <c r="J1106" s="513">
        <v>1222.2</v>
      </c>
      <c r="K1106" s="427">
        <f>=I1106*J1106</f>
        <v>329994</v>
      </c>
      <c r="L1106" s="71">
        <v>1200</v>
      </c>
      <c r="M1106" s="428">
        <f>=I1106*L1106</f>
        <v>324000</v>
      </c>
      <c r="N1106" s="82">
        <f>=K1106-M1106</f>
        <v>5994</v>
      </c>
      <c r="O1106" s="64">
        <v>0</v>
      </c>
      <c r="P1106" s="64">
        <f>=I1106*O1106*ROUNDUP((A1106-B1106)/30,0)</f>
        <v>0</v>
      </c>
      <c r="Q1106" s="62" t="s"/>
      <c r="R1106" s="62" t="s"/>
    </row>
    <row r="1107" spans="1:18" ht="15.75" customHeight="true">
      <c r="A1107" s="147">
        <v>46177</v>
      </c>
      <c r="B1107" s="460">
        <v>46104</v>
      </c>
      <c r="C1107" s="71" t="s">
        <v>160</v>
      </c>
      <c r="D1107" s="78" t="s">
        <v>159</v>
      </c>
      <c r="E1107" s="156" t="s">
        <v>3302</v>
      </c>
      <c r="F1107" s="156" t="s">
        <v>741</v>
      </c>
      <c r="G1107" s="156" t="s">
        <v>422</v>
      </c>
      <c r="H1107" s="259" t="s">
        <v>998</v>
      </c>
      <c r="I1107" s="154">
        <v>130</v>
      </c>
      <c r="J1107" s="508">
        <v>1222.2</v>
      </c>
      <c r="K1107" s="427">
        <f>=I1107*J1107</f>
        <v>158886</v>
      </c>
      <c r="L1107" s="71">
        <v>1200</v>
      </c>
      <c r="M1107" s="428">
        <f>=I1107*L1107</f>
        <v>156000</v>
      </c>
      <c r="N1107" s="82">
        <f>=K1107-M1107</f>
        <v>2886</v>
      </c>
      <c r="O1107" s="64">
        <v>0</v>
      </c>
      <c r="P1107" s="64">
        <f>=I1107*O1107*ROUNDUP((A1107-B1107)/30,0)</f>
        <v>0</v>
      </c>
      <c r="Q1107" s="62" t="s"/>
      <c r="R1107" s="62" t="s"/>
    </row>
    <row r="1108" spans="1:18" ht="15.75" customHeight="true">
      <c r="A1108" s="147">
        <v>46177</v>
      </c>
      <c r="B1108" s="460">
        <v>46135</v>
      </c>
      <c r="C1108" t="s">
        <v>283</v>
      </c>
      <c r="D1108" s="263" t="s">
        <v>281</v>
      </c>
      <c r="E1108" s="335" t="s">
        <v>3303</v>
      </c>
      <c r="F1108" s="108" t="s">
        <v>503</v>
      </c>
      <c r="G1108" s="64" t="s">
        <v>422</v>
      </c>
      <c r="H1108" s="499" t="s">
        <v>1975</v>
      </c>
      <c r="I1108">
        <v>40</v>
      </c>
      <c r="J1108" s="508">
        <v>2797.72</v>
      </c>
      <c r="K1108" s="427">
        <f>=I1108*J1108</f>
        <v>111908.8</v>
      </c>
      <c r="L1108" s="402">
        <v>2765</v>
      </c>
      <c r="M1108" s="428">
        <f>=I1108*L1108</f>
        <v>110600</v>
      </c>
      <c r="N1108" s="82">
        <f>=K1108-M1108</f>
        <v>1308.79999999999</v>
      </c>
      <c r="O1108" s="64">
        <v>1</v>
      </c>
      <c r="P1108" s="64">
        <f>=I1108*O1108*ROUNDUP((A1108-B1108)/30,0)</f>
        <v>80</v>
      </c>
      <c r="Q1108" s="62" t="s"/>
      <c r="R1108" s="62" t="s"/>
    </row>
    <row r="1109" spans="1:18" ht="15.75" customHeight="true">
      <c r="A1109" s="147">
        <v>46177</v>
      </c>
      <c r="B1109" s="460">
        <v>46111</v>
      </c>
      <c r="C1109" s="71" t="s">
        <v>214</v>
      </c>
      <c r="D1109" s="94" t="s">
        <v>201</v>
      </c>
      <c r="E1109" s="263" t="s">
        <v>3304</v>
      </c>
      <c r="F1109" s="62" t="s">
        <v>421</v>
      </c>
      <c r="G1109" s="62" t="s">
        <v>422</v>
      </c>
      <c r="H1109" t="s">
        <v>1169</v>
      </c>
      <c r="I1109">
        <v>100</v>
      </c>
      <c r="J1109" s="402">
        <v>7925</v>
      </c>
      <c r="K1109" s="427">
        <f>=I1109*J1109</f>
        <v>792500</v>
      </c>
      <c r="L1109" s="95">
        <v>7800</v>
      </c>
      <c r="M1109" s="428">
        <f>=I1109*L1109</f>
        <v>780000</v>
      </c>
      <c r="N1109" s="82">
        <f>=K1109-M1109</f>
        <v>12500</v>
      </c>
      <c r="O1109" s="64">
        <v>1</v>
      </c>
      <c r="P1109" s="64">
        <f>=I1109*O1109*ROUNDUP((A1109-B1109)/30,0)</f>
        <v>300</v>
      </c>
      <c r="Q1109" s="62" t="s"/>
      <c r="R1109" s="62" t="s"/>
    </row>
    <row r="1110" spans="1:18" ht="15.75" customHeight="true">
      <c r="A1110" s="147">
        <v>46178</v>
      </c>
      <c r="B1110" s="460">
        <v>46163</v>
      </c>
      <c r="C1110" s="62" t="s">
        <v>348</v>
      </c>
      <c r="D1110" s="160" t="s">
        <v>165</v>
      </c>
      <c r="E1110" s="507" t="s">
        <v>3305</v>
      </c>
      <c r="F1110" s="160" t="s">
        <v>428</v>
      </c>
      <c r="G1110" s="160" t="s">
        <v>470</v>
      </c>
      <c r="H1110" s="62" t="s">
        <v>954</v>
      </c>
      <c r="I1110">
        <v>38</v>
      </c>
      <c r="J1110" s="249">
        <v>2363.28</v>
      </c>
      <c r="K1110" s="427">
        <f>=I1110*J1110</f>
        <v>89804.64</v>
      </c>
      <c r="L1110" s="323">
        <v>2350</v>
      </c>
      <c r="M1110" s="428">
        <f>=I1110*L1110</f>
        <v>89300</v>
      </c>
      <c r="N1110" s="82">
        <f>=K1110-M1110</f>
        <v>504.640000000014</v>
      </c>
      <c r="O1110" s="62">
        <v>1.5</v>
      </c>
      <c r="P1110" s="64">
        <f>=I1110*O1110*ROUNDUP((A1110-B1110)/30,0)</f>
        <v>57</v>
      </c>
      <c r="Q1110" s="62" t="s"/>
      <c r="R1110" s="62" t="s"/>
    </row>
    <row r="1111" spans="1:18" ht="15.75" customHeight="true">
      <c r="A1111" s="147">
        <v>46178</v>
      </c>
      <c r="B1111" s="460">
        <v>46129</v>
      </c>
      <c r="C1111" s="98" t="s">
        <v>268</v>
      </c>
      <c r="D1111" s="71" t="s">
        <v>211</v>
      </c>
      <c r="E1111" s="145" t="s">
        <v>3306</v>
      </c>
      <c r="F1111" s="308" t="s">
        <v>421</v>
      </c>
      <c r="G1111" s="308" t="s">
        <v>470</v>
      </c>
      <c r="H1111" s="308" t="s">
        <v>1873</v>
      </c>
      <c r="I1111">
        <v>100</v>
      </c>
      <c r="J1111" s="508">
        <v>2687.13</v>
      </c>
      <c r="K1111" s="427">
        <f>=I1111*J1111</f>
        <v>268713</v>
      </c>
      <c r="L1111">
        <v>2650</v>
      </c>
      <c r="M1111" s="428">
        <f>=I1111*L1111</f>
        <v>265000</v>
      </c>
      <c r="N1111" s="82">
        <f>=K1111-M1111</f>
        <v>3713</v>
      </c>
      <c r="O1111" s="62">
        <v>1.5</v>
      </c>
      <c r="P1111" s="64">
        <f>=I1111*O1111*ROUNDUP((A1111-B1111)/30,0)</f>
        <v>300</v>
      </c>
      <c r="Q1111" s="62" t="s"/>
      <c r="R1111" s="62" t="s"/>
    </row>
    <row r="1112" spans="1:18" ht="15.75" customHeight="true">
      <c r="A1112" s="147">
        <v>46178</v>
      </c>
      <c r="B1112" s="460">
        <v>46120</v>
      </c>
      <c r="C1112" s="71" t="s">
        <v>242</v>
      </c>
      <c r="D1112" s="64" t="s">
        <v>116</v>
      </c>
      <c r="E1112" s="153" t="s">
        <v>3307</v>
      </c>
      <c r="F1112" t="s">
        <v>804</v>
      </c>
      <c r="G1112" t="s">
        <v>429</v>
      </c>
      <c r="H1112" s="71" t="s">
        <v>822</v>
      </c>
      <c r="I1112">
        <v>100</v>
      </c>
      <c r="J1112" s="62">
        <v>85.29</v>
      </c>
      <c r="K1112" s="427">
        <f>=I1112*J1112</f>
        <v>8529</v>
      </c>
      <c r="L1112">
        <v>84</v>
      </c>
      <c r="M1112" s="428">
        <f>=I1112*L1112</f>
        <v>8400</v>
      </c>
      <c r="N1112" s="82">
        <f>=K1112-M1112</f>
        <v>129</v>
      </c>
      <c r="O1112" s="62">
        <v>0</v>
      </c>
      <c r="P1112" s="64">
        <f>=I1112*O1112*ROUNDUP((A1112-B1112)/30,0)</f>
        <v>0</v>
      </c>
      <c r="Q1112" s="62" t="s"/>
      <c r="R1112" s="62" t="s"/>
    </row>
    <row r="1113" spans="1:18" ht="15.75" customHeight="true">
      <c r="A1113" s="147">
        <v>46178</v>
      </c>
      <c r="B1113" s="460">
        <v>46122</v>
      </c>
      <c r="C1113" s="71" t="s">
        <v>246</v>
      </c>
      <c r="D1113" s="64" t="s">
        <v>116</v>
      </c>
      <c r="E1113" s="145" t="s">
        <v>3308</v>
      </c>
      <c r="F1113" s="95" t="s">
        <v>804</v>
      </c>
      <c r="G1113" s="262" t="s">
        <v>429</v>
      </c>
      <c r="H1113" s="71" t="s">
        <v>821</v>
      </c>
      <c r="I1113">
        <v>50</v>
      </c>
      <c r="J1113">
        <v>55.82</v>
      </c>
      <c r="K1113" s="427">
        <f>=I1113*J1113</f>
        <v>2791</v>
      </c>
      <c r="L1113">
        <v>55</v>
      </c>
      <c r="M1113" s="428">
        <f>=I1113*L1113</f>
        <v>2750</v>
      </c>
      <c r="N1113" s="82">
        <f>=K1113-M1113</f>
        <v>41</v>
      </c>
      <c r="O1113" s="62">
        <v>0</v>
      </c>
      <c r="P1113" s="64">
        <f>=I1113*O1113*ROUNDUP((A1113-B1113)/30,0)</f>
        <v>0</v>
      </c>
      <c r="Q1113" s="62" t="s"/>
      <c r="R1113" s="62" t="s"/>
    </row>
    <row r="1114" spans="1:18" ht="15.75" customHeight="true">
      <c r="A1114" s="147">
        <v>46178</v>
      </c>
      <c r="B1114" s="460">
        <v>46122</v>
      </c>
      <c r="C1114" s="71" t="s">
        <v>246</v>
      </c>
      <c r="D1114" s="64" t="s">
        <v>116</v>
      </c>
      <c r="E1114" s="145" t="s">
        <v>3309</v>
      </c>
      <c r="F1114" s="262" t="s">
        <v>804</v>
      </c>
      <c r="G1114" t="s">
        <v>429</v>
      </c>
      <c r="H1114" t="s">
        <v>1760</v>
      </c>
      <c r="I1114">
        <v>200</v>
      </c>
      <c r="J1114" s="508">
        <v>55.82</v>
      </c>
      <c r="K1114" s="427">
        <f>=I1114*J1114</f>
        <v>11164</v>
      </c>
      <c r="L1114">
        <v>55</v>
      </c>
      <c r="M1114" s="428">
        <f>=I1114*L1114</f>
        <v>11000</v>
      </c>
      <c r="N1114" s="82">
        <f>=K1114-M1114</f>
        <v>164</v>
      </c>
      <c r="O1114" s="64">
        <v>0</v>
      </c>
      <c r="P1114" s="64">
        <f>=I1114*O1114*ROUNDUP((A1114-B1114)/30,0)</f>
        <v>0</v>
      </c>
      <c r="Q1114" s="62" t="s"/>
      <c r="R1114" s="62" t="s"/>
    </row>
    <row r="1115" spans="1:18" ht="15.75" customHeight="true">
      <c r="A1115" s="147">
        <v>46178</v>
      </c>
      <c r="B1115" s="460">
        <v>46100</v>
      </c>
      <c r="C1115" s="64" t="s">
        <v>158</v>
      </c>
      <c r="D1115" s="64" t="s">
        <v>52</v>
      </c>
      <c r="E1115" s="495" t="s">
        <v>3310</v>
      </c>
      <c r="F1115" s="140" t="s">
        <v>428</v>
      </c>
      <c r="G1115" s="87" t="s">
        <v>422</v>
      </c>
      <c r="H1115" s="87" t="s">
        <v>923</v>
      </c>
      <c r="I1115" s="514">
        <v>30</v>
      </c>
      <c r="J1115" s="508">
        <v>3009.68</v>
      </c>
      <c r="K1115" s="427">
        <f>=I1115*J1115</f>
        <v>90290.4</v>
      </c>
      <c r="L1115" s="71">
        <v>2940</v>
      </c>
      <c r="M1115" s="428">
        <f>=I1115*L1115</f>
        <v>88200</v>
      </c>
      <c r="N1115" s="82">
        <f>=K1115-M1115</f>
        <v>2090.39999999999</v>
      </c>
      <c r="O1115" s="64">
        <v>0</v>
      </c>
      <c r="P1115" s="64">
        <f>=I1115*O1115*ROUNDUP((A1115-B1115)/30,0)</f>
        <v>0</v>
      </c>
      <c r="Q1115" s="62" t="s"/>
      <c r="R1115" s="62" t="s"/>
    </row>
    <row r="1116" spans="1:18" ht="15.75" customHeight="true">
      <c r="A1116" s="148">
        <v>46178</v>
      </c>
      <c r="B1116" s="461">
        <v>46100</v>
      </c>
      <c r="C1116" s="83" t="s">
        <v>158</v>
      </c>
      <c r="D1116" s="83" t="s">
        <v>52</v>
      </c>
      <c r="E1116" s="495" t="s">
        <v>3311</v>
      </c>
      <c r="F1116" s="140" t="s">
        <v>428</v>
      </c>
      <c r="G1116" s="87" t="s">
        <v>422</v>
      </c>
      <c r="H1116" s="267" t="s">
        <v>890</v>
      </c>
      <c r="I1116" s="514">
        <v>10</v>
      </c>
      <c r="J1116" s="508">
        <v>3009.68</v>
      </c>
      <c r="K1116" s="427">
        <f>=I1116*J1116</f>
        <v>30096.8</v>
      </c>
      <c r="L1116" s="71">
        <v>2940</v>
      </c>
      <c r="M1116" s="454">
        <f>=I1116*L1116</f>
        <v>29400</v>
      </c>
      <c r="N1116" s="84">
        <f>=K1116-M1116</f>
        <v>696.799999999999</v>
      </c>
      <c r="O1116" s="83">
        <v>0</v>
      </c>
      <c r="P1116" s="83">
        <f>=I1116*O1116*ROUNDUP((A1116-B1116)/30,0)</f>
        <v>0</v>
      </c>
      <c r="Q1116" s="62" t="s"/>
      <c r="R1116" s="62" t="s"/>
    </row>
    <row r="1117" spans="1:18" ht="15.75" customHeight="true">
      <c r="A1117" s="148">
        <v>46178</v>
      </c>
      <c r="B1117" s="461">
        <v>46100</v>
      </c>
      <c r="C1117" s="83" t="s">
        <v>158</v>
      </c>
      <c r="D1117" s="83" t="s">
        <v>52</v>
      </c>
      <c r="E1117" s="495" t="s">
        <v>3312</v>
      </c>
      <c r="F1117" s="140" t="s">
        <v>428</v>
      </c>
      <c r="G1117" s="87" t="s">
        <v>422</v>
      </c>
      <c r="H1117" s="267" t="s">
        <v>892</v>
      </c>
      <c r="I1117" s="154">
        <v>7</v>
      </c>
      <c r="J1117">
        <v>2723.04</v>
      </c>
      <c r="K1117" s="427">
        <f>=I1117*J1117</f>
        <v>19061.28</v>
      </c>
      <c r="L1117" s="71">
        <v>2660</v>
      </c>
      <c r="M1117" s="454">
        <f>=I1117*L1117</f>
        <v>18620</v>
      </c>
      <c r="N1117" s="84">
        <f>=K1117-M1117</f>
        <v>441.279999999999</v>
      </c>
      <c r="O1117" s="83">
        <v>0</v>
      </c>
      <c r="P1117" s="83">
        <f>=I1117*O1117*ROUNDUP((A1117-B1117)/30,0)</f>
        <v>0</v>
      </c>
      <c r="Q1117" s="62" t="s"/>
      <c r="R1117" s="62" t="s"/>
    </row>
    <row r="1118" spans="1:18" ht="15.75" customHeight="true">
      <c r="A1118" s="148">
        <v>46178</v>
      </c>
      <c r="B1118" s="461">
        <v>46104</v>
      </c>
      <c r="C1118" s="83" t="s">
        <v>179</v>
      </c>
      <c r="D1118" s="83" t="s">
        <v>52</v>
      </c>
      <c r="E1118" s="515" t="s">
        <v>3313</v>
      </c>
      <c r="F1118" s="71" t="s">
        <v>428</v>
      </c>
      <c r="G1118" s="71" t="s">
        <v>422</v>
      </c>
      <c r="H1118" s="262" t="s">
        <v>923</v>
      </c>
      <c r="I1118" s="339">
        <v>15</v>
      </c>
      <c r="J1118" s="513">
        <v>3149.3</v>
      </c>
      <c r="K1118" s="427">
        <f>=I1118*J1118</f>
        <v>47239.5</v>
      </c>
      <c r="L1118" s="71">
        <v>3080</v>
      </c>
      <c r="M1118" s="454">
        <f>=I1118*L1118</f>
        <v>46200</v>
      </c>
      <c r="N1118" s="84">
        <f>=K1118-M1118</f>
        <v>1039.5</v>
      </c>
      <c r="O1118" s="83">
        <v>0</v>
      </c>
      <c r="P1118" s="83">
        <f>=I1118*O1118*ROUNDUP((A1118-B1118)/30,0)</f>
        <v>0</v>
      </c>
      <c r="Q1118" s="62" t="s"/>
      <c r="R1118" s="62" t="s"/>
    </row>
    <row r="1119" spans="1:18" ht="15.75" customHeight="true">
      <c r="A1119" s="148">
        <v>46178</v>
      </c>
      <c r="B1119" s="461">
        <v>46108</v>
      </c>
      <c r="C1119" s="83" t="s">
        <v>205</v>
      </c>
      <c r="D1119" s="83" t="s">
        <v>52</v>
      </c>
      <c r="E1119" s="495" t="s">
        <v>3314</v>
      </c>
      <c r="F1119" t="s">
        <v>428</v>
      </c>
      <c r="G1119" t="s">
        <v>422</v>
      </c>
      <c r="H1119" t="s">
        <v>629</v>
      </c>
      <c r="I1119" s="339">
        <v>5</v>
      </c>
      <c r="J1119" s="513">
        <v>2931.13</v>
      </c>
      <c r="K1119" s="427">
        <f>=I1119*J1119</f>
        <v>14655.65</v>
      </c>
      <c r="L1119">
        <v>2870</v>
      </c>
      <c r="M1119" s="454">
        <f>=I1119*L1119</f>
        <v>14350</v>
      </c>
      <c r="N1119" s="84">
        <f>=K1119-M1119</f>
        <v>305.650000000002</v>
      </c>
      <c r="O1119" s="83">
        <v>0</v>
      </c>
      <c r="P1119" s="83">
        <f>=I1119*O1119*ROUNDUP((A1119-B1119)/30,0)</f>
        <v>0</v>
      </c>
      <c r="Q1119" s="62" t="s"/>
      <c r="R1119" s="62" t="s"/>
    </row>
    <row r="1120" spans="1:18" ht="15.75" customHeight="true">
      <c r="A1120" s="148">
        <v>46178</v>
      </c>
      <c r="B1120" s="461">
        <v>46108</v>
      </c>
      <c r="C1120" s="83" t="s">
        <v>205</v>
      </c>
      <c r="D1120" s="83" t="s">
        <v>52</v>
      </c>
      <c r="E1120" s="495" t="s">
        <v>3315</v>
      </c>
      <c r="F1120" t="s">
        <v>428</v>
      </c>
      <c r="G1120" t="s">
        <v>422</v>
      </c>
      <c r="H1120" t="s">
        <v>499</v>
      </c>
      <c r="I1120" s="154">
        <v>7</v>
      </c>
      <c r="J1120" s="508">
        <v>2931.13</v>
      </c>
      <c r="K1120" s="427">
        <f>=I1120*J1120</f>
        <v>20517.91</v>
      </c>
      <c r="L1120">
        <v>2870</v>
      </c>
      <c r="M1120" s="454">
        <f>=I1120*L1120</f>
        <v>20090</v>
      </c>
      <c r="N1120" s="84">
        <f>=K1120-M1120</f>
        <v>427.91</v>
      </c>
      <c r="O1120" s="83">
        <v>0</v>
      </c>
      <c r="P1120" s="83">
        <f>=I1120*O1120*ROUNDUP((A1120-B1120)/30,0)</f>
        <v>0</v>
      </c>
      <c r="Q1120" s="62" t="s"/>
      <c r="R1120" s="62" t="s"/>
    </row>
    <row r="1121" spans="1:18" ht="15.75" customHeight="true">
      <c r="A1121" s="148">
        <v>46178</v>
      </c>
      <c r="B1121" s="461">
        <v>46108</v>
      </c>
      <c r="C1121" s="83" t="s">
        <v>205</v>
      </c>
      <c r="D1121" s="83" t="s">
        <v>52</v>
      </c>
      <c r="E1121" s="515" t="s">
        <v>3316</v>
      </c>
      <c r="F1121" t="s">
        <v>428</v>
      </c>
      <c r="G1121" t="s">
        <v>422</v>
      </c>
      <c r="H1121" t="s">
        <v>890</v>
      </c>
      <c r="I1121" s="378">
        <v>8</v>
      </c>
      <c r="J1121" s="249">
        <v>3145.6</v>
      </c>
      <c r="K1121" s="427">
        <f>=I1121*J1121</f>
        <v>25164.8</v>
      </c>
      <c r="L1121">
        <v>3080</v>
      </c>
      <c r="M1121" s="454">
        <f>=I1121*L1121</f>
        <v>24640</v>
      </c>
      <c r="N1121" s="84">
        <f>=K1121-M1121</f>
        <v>524.799999999999</v>
      </c>
      <c r="O1121" s="83">
        <v>0</v>
      </c>
      <c r="P1121" s="83">
        <f>=I1121*O1121*ROUNDUP((A1121-B1121)/30,0)</f>
        <v>0</v>
      </c>
      <c r="Q1121" s="62" t="s"/>
      <c r="R1121" s="62" t="s"/>
    </row>
    <row r="1122" spans="1:18" ht="15.75" customHeight="true">
      <c r="A1122" s="148">
        <v>46178</v>
      </c>
      <c r="B1122" s="461">
        <v>46108</v>
      </c>
      <c r="C1122" s="83" t="s">
        <v>205</v>
      </c>
      <c r="D1122" s="83" t="s">
        <v>52</v>
      </c>
      <c r="E1122" s="515" t="s">
        <v>3317</v>
      </c>
      <c r="F1122" t="s">
        <v>428</v>
      </c>
      <c r="G1122" t="s">
        <v>422</v>
      </c>
      <c r="H1122" t="s">
        <v>892</v>
      </c>
      <c r="I1122" s="514">
        <v>8</v>
      </c>
      <c r="J1122" s="513">
        <v>2931.13</v>
      </c>
      <c r="K1122" s="427">
        <f>=I1122*J1122</f>
        <v>23449.04</v>
      </c>
      <c r="L1122">
        <v>2870</v>
      </c>
      <c r="M1122" s="454">
        <f>=I1122*L1122</f>
        <v>22960</v>
      </c>
      <c r="N1122" s="84">
        <f>=K1122-M1122</f>
        <v>489.040000000001</v>
      </c>
      <c r="O1122" s="83">
        <v>0</v>
      </c>
      <c r="P1122" s="83">
        <f>=I1122*O1122*ROUNDUP((A1122-B1122)/30,0)</f>
        <v>0</v>
      </c>
      <c r="Q1122" s="62" t="s"/>
      <c r="R1122" s="62" t="s"/>
    </row>
    <row r="1123" spans="1:18" ht="15.75" customHeight="true">
      <c r="A1123" s="148">
        <v>46178</v>
      </c>
      <c r="B1123" s="461">
        <v>46115</v>
      </c>
      <c r="C1123" s="83" t="s">
        <v>232</v>
      </c>
      <c r="D1123" s="83" t="s">
        <v>52</v>
      </c>
      <c r="E1123" s="515" t="s">
        <v>3318</v>
      </c>
      <c r="F1123" s="269" t="s">
        <v>428</v>
      </c>
      <c r="G1123" s="269" t="s">
        <v>422</v>
      </c>
      <c r="H1123" s="267" t="s">
        <v>890</v>
      </c>
      <c r="I1123" s="78">
        <v>6</v>
      </c>
      <c r="J1123" s="249">
        <v>3067.79</v>
      </c>
      <c r="K1123" s="427">
        <f>=I1123*J1123</f>
        <v>18406.74</v>
      </c>
      <c r="L1123" s="321">
        <v>3010</v>
      </c>
      <c r="M1123" s="454">
        <f>=I1123*L1123</f>
        <v>18060</v>
      </c>
      <c r="N1123" s="84">
        <f>=K1123-M1123</f>
        <v>346.739999999998</v>
      </c>
      <c r="O1123" s="83">
        <v>0</v>
      </c>
      <c r="P1123" s="83">
        <f>=I1123*O1123*ROUNDUP((A1123-B1123)/30,0)</f>
        <v>0</v>
      </c>
      <c r="Q1123" s="62" t="s"/>
      <c r="R1123" s="62" t="s"/>
    </row>
    <row r="1124" spans="1:18" ht="15.75" customHeight="true">
      <c r="A1124" s="148">
        <v>46178</v>
      </c>
      <c r="B1124" s="461">
        <v>46115</v>
      </c>
      <c r="C1124" s="93" t="s">
        <v>232</v>
      </c>
      <c r="D1124" s="83" t="s">
        <v>52</v>
      </c>
      <c r="E1124" s="515" t="s">
        <v>3319</v>
      </c>
      <c r="F1124" s="269" t="s">
        <v>428</v>
      </c>
      <c r="G1124" s="269" t="s">
        <v>422</v>
      </c>
      <c r="H1124" s="269" t="s">
        <v>1663</v>
      </c>
      <c r="I1124" s="62">
        <v>10</v>
      </c>
      <c r="J1124" s="249">
        <v>4244.97</v>
      </c>
      <c r="K1124" s="427">
        <f>=I1124*J1124</f>
        <v>42449.7</v>
      </c>
      <c r="L1124" s="321">
        <v>4165</v>
      </c>
      <c r="M1124" s="454">
        <f>=I1124*L1124</f>
        <v>41650</v>
      </c>
      <c r="N1124" s="84">
        <f>=K1124-M1124</f>
        <v>799.700000000005</v>
      </c>
      <c r="O1124" s="83">
        <v>0</v>
      </c>
      <c r="P1124" s="83">
        <f>=I1124*O1124*ROUNDUP((A1124-B1124)/30,0)</f>
        <v>0</v>
      </c>
      <c r="Q1124" s="62" t="s"/>
      <c r="R1124" s="62" t="s"/>
    </row>
    <row r="1125" spans="1:18" ht="15.75" customHeight="true">
      <c r="A1125" s="147">
        <v>46179</v>
      </c>
      <c r="B1125" s="460">
        <v>46164</v>
      </c>
      <c r="C1125" s="71" t="s">
        <v>354</v>
      </c>
      <c r="D1125" s="71" t="s">
        <v>169</v>
      </c>
      <c r="E1125" s="365" t="s">
        <v>3320</v>
      </c>
      <c r="F1125" s="156" t="s">
        <v>421</v>
      </c>
      <c r="G1125" s="156" t="s">
        <v>422</v>
      </c>
      <c r="H1125" s="156" t="s">
        <v>977</v>
      </c>
      <c r="I1125">
        <v>1</v>
      </c>
      <c r="J1125">
        <v>4750.42</v>
      </c>
      <c r="K1125" s="427">
        <f>=I1125*J1125</f>
        <v>4750.42</v>
      </c>
      <c r="L1125" s="87">
        <v>4730</v>
      </c>
      <c r="M1125" s="428">
        <f>=I1125*L1125</f>
        <v>4730</v>
      </c>
      <c r="N1125" s="82">
        <f>=K1125-M1125</f>
        <v>20.4200000000001</v>
      </c>
      <c r="O1125" s="64">
        <v>1</v>
      </c>
      <c r="P1125" s="64">
        <f>=I1125*O1125*ROUNDUP((A1125-B1125)/30,0)</f>
        <v>1</v>
      </c>
      <c r="Q1125" s="62" t="s"/>
      <c r="R1125" s="62" t="s"/>
    </row>
    <row r="1126" spans="1:18" ht="15.75" customHeight="true">
      <c r="A1126" s="147">
        <v>46181</v>
      </c>
      <c r="B1126" s="460">
        <v>46095</v>
      </c>
      <c r="C1126" s="98" t="s">
        <v>144</v>
      </c>
      <c r="D1126" s="71" t="s">
        <v>135</v>
      </c>
      <c r="E1126" s="145" t="s">
        <v>3321</v>
      </c>
      <c r="F1126" t="s">
        <v>428</v>
      </c>
      <c r="G1126" t="s">
        <v>422</v>
      </c>
      <c r="H1126" s="269" t="s">
        <v>612</v>
      </c>
      <c r="I1126" s="339">
        <v>100</v>
      </c>
      <c r="J1126" s="491">
        <v>953.23</v>
      </c>
      <c r="K1126" s="427">
        <f>=I1126*J1126</f>
        <v>95323</v>
      </c>
      <c r="L1126" s="71">
        <v>930</v>
      </c>
      <c r="M1126" s="428">
        <f>=I1126*L1126</f>
        <v>93000</v>
      </c>
      <c r="N1126" s="82">
        <f>=K1126-M1126</f>
        <v>2323</v>
      </c>
      <c r="O1126" s="64">
        <v>1</v>
      </c>
      <c r="P1126" s="64">
        <f>=I1126*O1126*ROUNDUP((A1126-B1126)/30,0)</f>
        <v>300</v>
      </c>
      <c r="Q1126" s="62" t="s"/>
      <c r="R1126" s="62" t="s"/>
    </row>
    <row r="1127" spans="1:18" ht="15.75" customHeight="true">
      <c r="A1127" s="147">
        <v>46181</v>
      </c>
      <c r="B1127" s="460">
        <v>46098</v>
      </c>
      <c r="C1127" s="98" t="s">
        <v>147</v>
      </c>
      <c r="D1127" s="71" t="s">
        <v>135</v>
      </c>
      <c r="E1127" s="145" t="s">
        <v>3322</v>
      </c>
      <c r="F1127" t="s">
        <v>428</v>
      </c>
      <c r="G1127" t="s">
        <v>422</v>
      </c>
      <c r="H1127" s="269" t="s">
        <v>485</v>
      </c>
      <c r="I1127" s="331">
        <v>70</v>
      </c>
      <c r="J1127" s="491">
        <v>1024</v>
      </c>
      <c r="K1127" s="427">
        <f>=I1127*J1127</f>
        <v>71680</v>
      </c>
      <c r="L1127" s="71">
        <v>1000</v>
      </c>
      <c r="M1127" s="428">
        <f>=I1127*L1127</f>
        <v>70000</v>
      </c>
      <c r="N1127" s="82">
        <f>=K1127-M1127</f>
        <v>1680</v>
      </c>
      <c r="O1127" s="64">
        <v>1</v>
      </c>
      <c r="P1127" s="64">
        <f>=I1127*O1127*ROUNDUP((A1127-B1127)/30,0)</f>
        <v>210</v>
      </c>
      <c r="Q1127" s="62" t="s"/>
      <c r="R1127" s="62" t="s"/>
    </row>
    <row r="1128" spans="1:18" ht="15.75" customHeight="true">
      <c r="A1128" s="147">
        <v>46181</v>
      </c>
      <c r="B1128" s="460">
        <v>46098</v>
      </c>
      <c r="C1128" s="98" t="s">
        <v>237</v>
      </c>
      <c r="D1128" s="71" t="s">
        <v>135</v>
      </c>
      <c r="E1128" s="511" t="s">
        <v>3323</v>
      </c>
      <c r="F1128" s="156" t="s">
        <v>428</v>
      </c>
      <c r="G1128" s="262" t="s">
        <v>422</v>
      </c>
      <c r="H1128" s="71" t="s">
        <v>1692</v>
      </c>
      <c r="I1128" s="331">
        <v>50</v>
      </c>
      <c r="J1128" s="491">
        <v>750.5</v>
      </c>
      <c r="K1128" s="427">
        <f>=I1128*J1128</f>
        <v>37525</v>
      </c>
      <c r="L1128">
        <v>735</v>
      </c>
      <c r="M1128" s="428">
        <f>=I1128*L1128</f>
        <v>36750</v>
      </c>
      <c r="N1128" s="82">
        <f>=K1128-M1128</f>
        <v>775</v>
      </c>
      <c r="O1128" s="64">
        <v>1</v>
      </c>
      <c r="P1128" s="64">
        <f>=I1128*O1128*ROUNDUP((A1128-B1128)/30,0)</f>
        <v>150</v>
      </c>
      <c r="Q1128" s="62" t="s"/>
      <c r="R1128" s="62" t="s"/>
    </row>
    <row r="1129" spans="1:18" ht="15.75" customHeight="true">
      <c r="A1129" s="147">
        <v>46181</v>
      </c>
      <c r="B1129" s="460">
        <v>46160</v>
      </c>
      <c r="C1129" s="98" t="s">
        <v>336</v>
      </c>
      <c r="D1129" s="146" t="s">
        <v>335</v>
      </c>
      <c r="E1129" s="263" t="s">
        <v>3324</v>
      </c>
      <c r="F1129" s="108" t="s">
        <v>503</v>
      </c>
      <c r="G1129" s="64" t="s">
        <v>422</v>
      </c>
      <c r="H1129" s="64" t="s">
        <v>1099</v>
      </c>
      <c r="I1129">
        <v>7</v>
      </c>
      <c r="J1129" s="508">
        <v>3028.81</v>
      </c>
      <c r="K1129" s="427">
        <f>=I1129*J1129</f>
        <v>21201.67</v>
      </c>
      <c r="L1129" s="87">
        <v>3010</v>
      </c>
      <c r="M1129" s="428">
        <f>=I1129*L1129</f>
        <v>21070</v>
      </c>
      <c r="N1129" s="82">
        <f>=K1129-M1129</f>
        <v>131.669999999998</v>
      </c>
      <c r="O1129" s="64">
        <v>1</v>
      </c>
      <c r="P1129" s="64">
        <f>=I1129*O1129*ROUNDUP((A1129-B1129)/30,0)</f>
        <v>7</v>
      </c>
      <c r="Q1129" s="62" t="s"/>
      <c r="R1129" s="62" t="s"/>
    </row>
    <row r="1130" spans="1:18" ht="15.75" customHeight="true">
      <c r="A1130" s="147">
        <v>46181</v>
      </c>
      <c r="B1130" s="460">
        <v>46160</v>
      </c>
      <c r="C1130" s="98" t="s">
        <v>337</v>
      </c>
      <c r="D1130" s="146" t="s">
        <v>335</v>
      </c>
      <c r="E1130" s="263" t="s">
        <v>3325</v>
      </c>
      <c r="F1130" s="108" t="s">
        <v>503</v>
      </c>
      <c r="G1130" s="64" t="s">
        <v>422</v>
      </c>
      <c r="H1130" s="64" t="s">
        <v>1105</v>
      </c>
      <c r="I1130">
        <v>7</v>
      </c>
      <c r="J1130" s="508">
        <v>3028.06</v>
      </c>
      <c r="K1130" s="427">
        <f>=I1130*J1130</f>
        <v>21196.42</v>
      </c>
      <c r="L1130" s="87">
        <v>3010</v>
      </c>
      <c r="M1130" s="428">
        <f>=I1130*L1130</f>
        <v>21070</v>
      </c>
      <c r="N1130" s="82">
        <f>=K1130-M1130</f>
        <v>126.419999999998</v>
      </c>
      <c r="O1130" s="64">
        <v>1</v>
      </c>
      <c r="P1130" s="64">
        <f>=I1130*O1130*ROUNDUP((A1130-B1130)/30,0)</f>
        <v>7</v>
      </c>
      <c r="Q1130" s="62" t="s"/>
      <c r="R1130" s="62" t="s"/>
    </row>
    <row r="1131" spans="1:18" ht="15.75" customHeight="true">
      <c r="A1131" s="147">
        <v>46181</v>
      </c>
      <c r="B1131" s="460">
        <v>46160</v>
      </c>
      <c r="C1131" s="98" t="s">
        <v>337</v>
      </c>
      <c r="D1131" s="146" t="s">
        <v>335</v>
      </c>
      <c r="E1131" s="263" t="s">
        <v>3326</v>
      </c>
      <c r="F1131" s="108" t="s">
        <v>503</v>
      </c>
      <c r="G1131" s="64" t="s">
        <v>422</v>
      </c>
      <c r="H1131" s="64" t="s">
        <v>1103</v>
      </c>
      <c r="I1131">
        <v>2</v>
      </c>
      <c r="J1131" s="508">
        <v>3028.06</v>
      </c>
      <c r="K1131" s="427">
        <f>=I1131*J1131</f>
        <v>6056.12</v>
      </c>
      <c r="L1131" s="87">
        <v>3010</v>
      </c>
      <c r="M1131" s="428">
        <f>=I1131*L1131</f>
        <v>6020</v>
      </c>
      <c r="N1131" s="82">
        <f>=K1131-M1131</f>
        <v>36.1199999999999</v>
      </c>
      <c r="O1131" s="64">
        <v>1</v>
      </c>
      <c r="P1131" s="64">
        <f>=I1131*O1131*ROUNDUP((A1131-B1131)/30,0)</f>
        <v>2</v>
      </c>
      <c r="Q1131" s="62" t="s"/>
      <c r="R1131" s="62" t="s"/>
    </row>
    <row r="1132" spans="1:18" ht="15.75" customHeight="true">
      <c r="A1132" s="147">
        <v>46181</v>
      </c>
      <c r="B1132" s="460">
        <v>46107</v>
      </c>
      <c r="C1132" s="71" t="s">
        <v>202</v>
      </c>
      <c r="D1132" s="94" t="s">
        <v>201</v>
      </c>
      <c r="E1132" s="263" t="s">
        <v>3327</v>
      </c>
      <c r="F1132" t="s">
        <v>421</v>
      </c>
      <c r="G1132" t="s">
        <v>422</v>
      </c>
      <c r="H1132" t="s">
        <v>1173</v>
      </c>
      <c r="I1132">
        <v>180</v>
      </c>
      <c r="J1132" s="508">
        <v>7861</v>
      </c>
      <c r="K1132" s="427">
        <f>=I1132*J1132</f>
        <v>1414980</v>
      </c>
      <c r="L1132" s="516">
        <v>7800</v>
      </c>
      <c r="M1132" s="428">
        <f>=I1132*L1132</f>
        <v>1404000</v>
      </c>
      <c r="N1132" s="82">
        <f>=K1132-M1132</f>
        <v>10980</v>
      </c>
      <c r="O1132" s="64">
        <v>1</v>
      </c>
      <c r="P1132" s="64">
        <f>=I1132*O1132*ROUNDUP((A1132-B1132)/30,0)</f>
        <v>540</v>
      </c>
      <c r="Q1132" s="62" t="s"/>
      <c r="R1132" s="62" t="s"/>
    </row>
    <row r="1133" spans="1:18" ht="15.75" customHeight="true">
      <c r="A1133" s="147">
        <v>46181</v>
      </c>
      <c r="B1133" s="460">
        <v>46111</v>
      </c>
      <c r="C1133" s="71" t="s">
        <v>214</v>
      </c>
      <c r="D1133" s="94" t="s">
        <v>201</v>
      </c>
      <c r="E1133" s="263" t="s">
        <v>3328</v>
      </c>
      <c r="F1133" s="62" t="s">
        <v>421</v>
      </c>
      <c r="G1133" s="62" t="s">
        <v>422</v>
      </c>
      <c r="H1133" t="s">
        <v>1169</v>
      </c>
      <c r="I1133">
        <v>360</v>
      </c>
      <c r="J1133" s="508">
        <v>7861</v>
      </c>
      <c r="K1133" s="427">
        <f>=I1133*J1133</f>
        <v>2829960</v>
      </c>
      <c r="L1133">
        <v>7800</v>
      </c>
      <c r="M1133" s="428">
        <f>=I1133*L1133</f>
        <v>2808000</v>
      </c>
      <c r="N1133" s="82">
        <f>=K1133-M1133</f>
        <v>21960</v>
      </c>
      <c r="O1133" s="64">
        <v>1</v>
      </c>
      <c r="P1133" s="64">
        <f>=I1133*O1133*ROUNDUP((A1133-B1133)/30,0)</f>
        <v>1080</v>
      </c>
      <c r="Q1133" s="62" t="s"/>
      <c r="R1133" s="62" t="s"/>
    </row>
    <row r="1134" spans="1:18" ht="15.75" customHeight="true">
      <c r="A1134" s="147">
        <v>46181</v>
      </c>
      <c r="B1134" s="460">
        <v>46111</v>
      </c>
      <c r="C1134" s="71" t="s">
        <v>214</v>
      </c>
      <c r="D1134" s="94" t="s">
        <v>201</v>
      </c>
      <c r="E1134" s="263" t="s">
        <v>3329</v>
      </c>
      <c r="F1134" s="62" t="s">
        <v>421</v>
      </c>
      <c r="G1134" s="62" t="s">
        <v>422</v>
      </c>
      <c r="H1134" t="s">
        <v>1171</v>
      </c>
      <c r="I1134">
        <v>540</v>
      </c>
      <c r="J1134" s="508">
        <v>7861</v>
      </c>
      <c r="K1134" s="427">
        <f>=I1134*J1134</f>
        <v>4244940</v>
      </c>
      <c r="L1134">
        <v>7800</v>
      </c>
      <c r="M1134" s="428">
        <f>=I1134*L1134</f>
        <v>4212000</v>
      </c>
      <c r="N1134" s="82">
        <f>=K1134-M1134</f>
        <v>32940</v>
      </c>
      <c r="O1134" s="64">
        <v>1</v>
      </c>
      <c r="P1134" s="64">
        <f>=I1134*O1134*ROUNDUP((A1134-B1134)/30,0)</f>
        <v>1620</v>
      </c>
      <c r="Q1134" s="62" t="s"/>
      <c r="R1134" s="62" t="s"/>
    </row>
    <row r="1135" spans="1:18" ht="15.75" customHeight="true">
      <c r="A1135" s="147">
        <v>46181</v>
      </c>
      <c r="B1135" s="460">
        <v>46111</v>
      </c>
      <c r="C1135" s="71" t="s">
        <v>214</v>
      </c>
      <c r="D1135" s="94" t="s">
        <v>201</v>
      </c>
      <c r="E1135" s="263" t="s">
        <v>3327</v>
      </c>
      <c r="F1135" s="62" t="s">
        <v>421</v>
      </c>
      <c r="G1135" s="62" t="s">
        <v>422</v>
      </c>
      <c r="H1135" t="s">
        <v>1173</v>
      </c>
      <c r="I1135">
        <v>300</v>
      </c>
      <c r="J1135" s="508">
        <v>7861</v>
      </c>
      <c r="K1135" s="427">
        <f>=I1135*J1135</f>
        <v>2358300</v>
      </c>
      <c r="L1135">
        <v>7800</v>
      </c>
      <c r="M1135" s="428">
        <f>=I1135*L1135</f>
        <v>2340000</v>
      </c>
      <c r="N1135" s="82">
        <f>=K1135-M1135</f>
        <v>18300</v>
      </c>
      <c r="O1135" s="64">
        <v>1</v>
      </c>
      <c r="P1135" s="64">
        <f>=I1135*O1135*ROUNDUP((A1135-B1135)/30,0)</f>
        <v>900</v>
      </c>
      <c r="Q1135" s="62" t="s"/>
      <c r="R1135" s="62" t="s"/>
    </row>
    <row r="1136" spans="1:18" ht="15.75" customHeight="true">
      <c r="A1136" s="147">
        <v>46181</v>
      </c>
      <c r="B1136" s="460">
        <v>46100</v>
      </c>
      <c r="C1136" s="71" t="s">
        <v>158</v>
      </c>
      <c r="D1136" s="71" t="s">
        <v>52</v>
      </c>
      <c r="E1136" s="156" t="s">
        <v>3330</v>
      </c>
      <c r="F1136" s="140" t="s">
        <v>428</v>
      </c>
      <c r="G1136" s="87" t="s">
        <v>422</v>
      </c>
      <c r="H1136" s="267" t="s">
        <v>926</v>
      </c>
      <c r="I1136" s="517">
        <v>20</v>
      </c>
      <c r="J1136" s="136">
        <v>2947.77</v>
      </c>
      <c r="K1136" s="427">
        <f>=I1136*J1136</f>
        <v>58955.4</v>
      </c>
      <c r="L1136" s="71">
        <v>2877</v>
      </c>
      <c r="M1136" s="428">
        <f>=I1136*L1136</f>
        <v>57540</v>
      </c>
      <c r="N1136" s="82">
        <f>=K1136-M1136</f>
        <v>1415.4</v>
      </c>
      <c r="O1136" s="64">
        <v>0</v>
      </c>
      <c r="P1136" s="64">
        <f>=I1136*O1136*ROUNDUP((A1136-B1136)/30,0)</f>
        <v>0</v>
      </c>
      <c r="Q1136" s="62" t="s"/>
      <c r="R1136" s="62" t="s"/>
    </row>
    <row r="1137" spans="1:18" ht="15.75" customHeight="true">
      <c r="A1137" s="147">
        <v>46181</v>
      </c>
      <c r="B1137" s="460">
        <v>46155</v>
      </c>
      <c r="C1137" s="98" t="s">
        <v>326</v>
      </c>
      <c r="D1137" s="71" t="s">
        <v>150</v>
      </c>
      <c r="E1137" s="323" t="s">
        <v>3331</v>
      </c>
      <c r="F1137" s="156" t="s">
        <v>895</v>
      </c>
      <c r="G1137" s="156" t="s">
        <v>422</v>
      </c>
      <c r="H1137" s="156" t="s">
        <v>896</v>
      </c>
      <c r="I1137">
        <v>100</v>
      </c>
      <c r="J1137" s="508">
        <v>1058.59</v>
      </c>
      <c r="K1137" s="427">
        <f>=I1137*J1137</f>
        <v>105859</v>
      </c>
      <c r="L1137" s="154">
        <v>1050</v>
      </c>
      <c r="M1137" s="428">
        <f>=I1137*L1137</f>
        <v>105000</v>
      </c>
      <c r="N1137" s="82">
        <f>=K1137-M1137</f>
        <v>858.999999999986</v>
      </c>
      <c r="O1137" s="64">
        <v>1</v>
      </c>
      <c r="P1137" s="64">
        <f>=I1137*O1137*ROUNDUP((A1137-B1137)/30,0)</f>
        <v>100</v>
      </c>
      <c r="Q1137" s="62" t="s"/>
      <c r="R1137" s="62" t="s"/>
    </row>
    <row r="1138" spans="1:18" ht="15.75" customHeight="true">
      <c r="A1138" s="147">
        <v>46181</v>
      </c>
      <c r="B1138" s="460">
        <v>46123</v>
      </c>
      <c r="C1138" s="71" t="s">
        <v>248</v>
      </c>
      <c r="D1138" t="s">
        <v>130</v>
      </c>
      <c r="E1138" s="145" t="s">
        <v>3332</v>
      </c>
      <c r="F1138" s="330" t="s">
        <v>428</v>
      </c>
      <c r="G1138" s="330" t="s">
        <v>470</v>
      </c>
      <c r="H1138" s="160" t="s">
        <v>1793</v>
      </c>
      <c r="I1138" s="62">
        <v>10</v>
      </c>
      <c r="J1138">
        <v>3779.67</v>
      </c>
      <c r="K1138" s="427">
        <f>=I1138*J1138</f>
        <v>37796.7</v>
      </c>
      <c r="L1138" s="62">
        <v>3710</v>
      </c>
      <c r="M1138" s="428">
        <f>=I1138*L1138</f>
        <v>37100</v>
      </c>
      <c r="N1138" s="82">
        <f>=K1138-M1138</f>
        <v>696.699999999997</v>
      </c>
      <c r="O1138" s="64">
        <v>1.5</v>
      </c>
      <c r="P1138" s="64">
        <f>=I1138*O1138*ROUNDUP((A1138-B1138)/30,0)</f>
        <v>30</v>
      </c>
      <c r="Q1138" s="62" t="s"/>
      <c r="R1138" s="62" t="s"/>
    </row>
    <row r="1139" spans="1:18" ht="15.75" customHeight="true">
      <c r="A1139" s="147">
        <v>46181</v>
      </c>
      <c r="B1139" s="460">
        <v>46123</v>
      </c>
      <c r="C1139" s="71" t="s">
        <v>248</v>
      </c>
      <c r="D1139" t="s">
        <v>130</v>
      </c>
      <c r="E1139" s="145" t="s">
        <v>3333</v>
      </c>
      <c r="F1139" s="330" t="s">
        <v>428</v>
      </c>
      <c r="G1139" s="330" t="s">
        <v>470</v>
      </c>
      <c r="H1139" s="160" t="s">
        <v>1793</v>
      </c>
      <c r="I1139" s="62">
        <v>10</v>
      </c>
      <c r="J1139">
        <v>3779.67</v>
      </c>
      <c r="K1139" s="427">
        <f>=I1139*J1139</f>
        <v>37796.7</v>
      </c>
      <c r="L1139" s="62">
        <v>3710</v>
      </c>
      <c r="M1139" s="428">
        <f>=I1139*L1139</f>
        <v>37100</v>
      </c>
      <c r="N1139" s="82">
        <f>=K1139-M1139</f>
        <v>696.699999999997</v>
      </c>
      <c r="O1139" s="64">
        <v>1.5</v>
      </c>
      <c r="P1139" s="64">
        <f>=I1139*O1139*ROUNDUP((A1139-B1139)/30,0)</f>
        <v>30</v>
      </c>
      <c r="Q1139" s="62" t="s"/>
      <c r="R1139" s="62" t="s"/>
    </row>
    <row r="1140" spans="1:18" ht="15.75" customHeight="true">
      <c r="A1140" s="147">
        <v>46181</v>
      </c>
      <c r="B1140" s="460">
        <v>46123</v>
      </c>
      <c r="C1140" s="71" t="s">
        <v>248</v>
      </c>
      <c r="D1140" t="s">
        <v>130</v>
      </c>
      <c r="E1140" s="145" t="s">
        <v>3334</v>
      </c>
      <c r="F1140" s="330" t="s">
        <v>428</v>
      </c>
      <c r="G1140" s="330" t="s">
        <v>470</v>
      </c>
      <c r="H1140" s="160" t="s">
        <v>1793</v>
      </c>
      <c r="I1140" s="62">
        <v>10</v>
      </c>
      <c r="J1140">
        <v>3779.67</v>
      </c>
      <c r="K1140" s="427">
        <f>=I1140*J1140</f>
        <v>37796.7</v>
      </c>
      <c r="L1140" s="62">
        <v>3710</v>
      </c>
      <c r="M1140" s="428">
        <f>=I1140*L1140</f>
        <v>37100</v>
      </c>
      <c r="N1140" s="82">
        <f>=K1140-M1140</f>
        <v>696.699999999997</v>
      </c>
      <c r="O1140" s="64">
        <v>1.5</v>
      </c>
      <c r="P1140" s="64">
        <f>=I1140*O1140*ROUNDUP((A1140-B1140)/30,0)</f>
        <v>30</v>
      </c>
      <c r="Q1140" s="62" t="s"/>
      <c r="R1140" s="62" t="s"/>
    </row>
    <row r="1141" spans="1:18" ht="15.75" customHeight="true">
      <c r="A1141" s="147">
        <v>46181</v>
      </c>
      <c r="B1141" s="460">
        <v>46123</v>
      </c>
      <c r="C1141" s="71" t="s">
        <v>248</v>
      </c>
      <c r="D1141" t="s">
        <v>130</v>
      </c>
      <c r="E1141" s="145" t="s">
        <v>3335</v>
      </c>
      <c r="F1141" s="330" t="s">
        <v>428</v>
      </c>
      <c r="G1141" s="330" t="s">
        <v>470</v>
      </c>
      <c r="H1141" s="160" t="s">
        <v>1793</v>
      </c>
      <c r="I1141" s="62">
        <v>10</v>
      </c>
      <c r="J1141">
        <v>3779.67</v>
      </c>
      <c r="K1141" s="427">
        <f>=I1141*J1141</f>
        <v>37796.7</v>
      </c>
      <c r="L1141" s="62">
        <v>3710</v>
      </c>
      <c r="M1141" s="428">
        <f>=I1141*L1141</f>
        <v>37100</v>
      </c>
      <c r="N1141" s="82">
        <f>=K1141-M1141</f>
        <v>696.699999999997</v>
      </c>
      <c r="O1141" s="64">
        <v>1.5</v>
      </c>
      <c r="P1141" s="64">
        <f>=I1141*O1141*ROUNDUP((A1141-B1141)/30,0)</f>
        <v>30</v>
      </c>
      <c r="Q1141" s="62" t="s"/>
      <c r="R1141" s="62" t="s"/>
    </row>
    <row r="1142" spans="1:18" ht="15.75" customHeight="true">
      <c r="A1142" s="147">
        <v>46181</v>
      </c>
      <c r="B1142" s="460">
        <v>46123</v>
      </c>
      <c r="C1142" s="71" t="s">
        <v>248</v>
      </c>
      <c r="D1142" t="s">
        <v>130</v>
      </c>
      <c r="E1142" s="145" t="s">
        <v>3336</v>
      </c>
      <c r="F1142" s="330" t="s">
        <v>428</v>
      </c>
      <c r="G1142" s="330" t="s">
        <v>470</v>
      </c>
      <c r="H1142" s="160" t="s">
        <v>1793</v>
      </c>
      <c r="I1142" s="62">
        <v>10</v>
      </c>
      <c r="J1142">
        <v>3779.67</v>
      </c>
      <c r="K1142" s="427">
        <f>=I1142*J1142</f>
        <v>37796.7</v>
      </c>
      <c r="L1142" s="62">
        <v>3710</v>
      </c>
      <c r="M1142" s="428">
        <f>=I1142*L1142</f>
        <v>37100</v>
      </c>
      <c r="N1142" s="82">
        <f>=K1142-M1142</f>
        <v>696.699999999997</v>
      </c>
      <c r="O1142" s="64">
        <v>1.5</v>
      </c>
      <c r="P1142" s="64">
        <f>=I1142*O1142*ROUNDUP((A1142-B1142)/30,0)</f>
        <v>30</v>
      </c>
      <c r="Q1142" s="62" t="s"/>
      <c r="R1142" s="62" t="s"/>
    </row>
    <row r="1143" spans="1:18" ht="15.75" customHeight="true">
      <c r="A1143" s="147">
        <v>46181</v>
      </c>
      <c r="B1143" s="460">
        <v>46123</v>
      </c>
      <c r="C1143" s="71" t="s">
        <v>248</v>
      </c>
      <c r="D1143" t="s">
        <v>130</v>
      </c>
      <c r="E1143" s="145" t="s">
        <v>3337</v>
      </c>
      <c r="F1143" s="330" t="s">
        <v>428</v>
      </c>
      <c r="G1143" s="330" t="s">
        <v>470</v>
      </c>
      <c r="H1143" s="160" t="s">
        <v>1793</v>
      </c>
      <c r="I1143" s="62">
        <v>10</v>
      </c>
      <c r="J1143">
        <v>3779.67</v>
      </c>
      <c r="K1143" s="427">
        <f>=I1143*J1143</f>
        <v>37796.7</v>
      </c>
      <c r="L1143" s="62">
        <v>3710</v>
      </c>
      <c r="M1143" s="428">
        <f>=I1143*L1143</f>
        <v>37100</v>
      </c>
      <c r="N1143" s="82">
        <f>=K1143-M1143</f>
        <v>696.699999999997</v>
      </c>
      <c r="O1143" s="64">
        <v>1.5</v>
      </c>
      <c r="P1143" s="64">
        <f>=I1143*O1143*ROUNDUP((A1143-B1143)/30,0)</f>
        <v>30</v>
      </c>
      <c r="Q1143" s="62" t="s"/>
      <c r="R1143" s="62" t="s"/>
    </row>
    <row r="1144" spans="1:18" ht="15.75" customHeight="true">
      <c r="A1144" s="147">
        <v>46181</v>
      </c>
      <c r="B1144" s="460">
        <v>46123</v>
      </c>
      <c r="C1144" s="71" t="s">
        <v>248</v>
      </c>
      <c r="D1144" t="s">
        <v>130</v>
      </c>
      <c r="E1144" s="145" t="s">
        <v>3338</v>
      </c>
      <c r="F1144" s="330" t="s">
        <v>428</v>
      </c>
      <c r="G1144" s="330" t="s">
        <v>470</v>
      </c>
      <c r="H1144" s="160" t="s">
        <v>1793</v>
      </c>
      <c r="I1144" s="62">
        <v>10</v>
      </c>
      <c r="J1144">
        <v>3779.67</v>
      </c>
      <c r="K1144" s="427">
        <f>=I1144*J1144</f>
        <v>37796.7</v>
      </c>
      <c r="L1144" s="62">
        <v>3710</v>
      </c>
      <c r="M1144" s="428">
        <f>=I1144*L1144</f>
        <v>37100</v>
      </c>
      <c r="N1144" s="82">
        <f>=K1144-M1144</f>
        <v>696.699999999997</v>
      </c>
      <c r="O1144" s="64">
        <v>1.5</v>
      </c>
      <c r="P1144" s="64">
        <f>=I1144*O1144*ROUNDUP((A1144-B1144)/30,0)</f>
        <v>30</v>
      </c>
      <c r="Q1144" s="62" t="s"/>
      <c r="R1144" s="62" t="s"/>
    </row>
    <row r="1145" spans="1:18" ht="15.75" customHeight="true">
      <c r="A1145" s="147">
        <v>46181</v>
      </c>
      <c r="B1145" s="460">
        <v>46123</v>
      </c>
      <c r="C1145" s="71" t="s">
        <v>248</v>
      </c>
      <c r="D1145" t="s">
        <v>130</v>
      </c>
      <c r="E1145" s="145" t="s">
        <v>3339</v>
      </c>
      <c r="F1145" s="330" t="s">
        <v>428</v>
      </c>
      <c r="G1145" s="330" t="s">
        <v>470</v>
      </c>
      <c r="H1145" s="160" t="s">
        <v>1793</v>
      </c>
      <c r="I1145" s="62">
        <v>10</v>
      </c>
      <c r="J1145">
        <v>3779.67</v>
      </c>
      <c r="K1145" s="427">
        <f>=I1145*J1145</f>
        <v>37796.7</v>
      </c>
      <c r="L1145" s="62">
        <v>3710</v>
      </c>
      <c r="M1145" s="428">
        <f>=I1145*L1145</f>
        <v>37100</v>
      </c>
      <c r="N1145" s="82">
        <f>=K1145-M1145</f>
        <v>696.699999999997</v>
      </c>
      <c r="O1145" s="64">
        <v>1.5</v>
      </c>
      <c r="P1145" s="64">
        <f>=I1145*O1145*ROUNDUP((A1145-B1145)/30,0)</f>
        <v>30</v>
      </c>
      <c r="Q1145" s="62" t="s"/>
      <c r="R1145" s="62" t="s"/>
    </row>
    <row r="1146" spans="1:18" ht="15.75" customHeight="true">
      <c r="A1146" s="147">
        <v>46181</v>
      </c>
      <c r="B1146" s="460">
        <v>46123</v>
      </c>
      <c r="C1146" s="71" t="s">
        <v>248</v>
      </c>
      <c r="D1146" t="s">
        <v>130</v>
      </c>
      <c r="E1146" s="145" t="s">
        <v>3340</v>
      </c>
      <c r="F1146" s="330" t="s">
        <v>428</v>
      </c>
      <c r="G1146" s="330" t="s">
        <v>470</v>
      </c>
      <c r="H1146" s="160" t="s">
        <v>1793</v>
      </c>
      <c r="I1146" s="62">
        <v>10</v>
      </c>
      <c r="J1146">
        <v>3779.67</v>
      </c>
      <c r="K1146" s="427">
        <f>=I1146*J1146</f>
        <v>37796.7</v>
      </c>
      <c r="L1146" s="62">
        <v>3710</v>
      </c>
      <c r="M1146" s="428">
        <f>=I1146*L1146</f>
        <v>37100</v>
      </c>
      <c r="N1146" s="82">
        <f>=K1146-M1146</f>
        <v>696.699999999997</v>
      </c>
      <c r="O1146" s="64">
        <v>1.5</v>
      </c>
      <c r="P1146" s="64">
        <f>=I1146*O1146*ROUNDUP((A1146-B1146)/30,0)</f>
        <v>30</v>
      </c>
      <c r="Q1146" s="62" t="s"/>
      <c r="R1146" s="62" t="s"/>
    </row>
    <row r="1147" spans="1:18" ht="15.75" customHeight="true">
      <c r="A1147" s="147">
        <v>46181</v>
      </c>
      <c r="B1147" s="460">
        <v>46123</v>
      </c>
      <c r="C1147" s="71" t="s">
        <v>248</v>
      </c>
      <c r="D1147" t="s">
        <v>130</v>
      </c>
      <c r="E1147" s="145" t="s">
        <v>3341</v>
      </c>
      <c r="F1147" s="330" t="s">
        <v>428</v>
      </c>
      <c r="G1147" s="330" t="s">
        <v>470</v>
      </c>
      <c r="H1147" s="160" t="s">
        <v>1793</v>
      </c>
      <c r="I1147" s="62">
        <v>10</v>
      </c>
      <c r="J1147">
        <v>3779.67</v>
      </c>
      <c r="K1147" s="427">
        <f>=I1147*J1147</f>
        <v>37796.7</v>
      </c>
      <c r="L1147" s="62">
        <v>3710</v>
      </c>
      <c r="M1147" s="428">
        <f>=I1147*L1147</f>
        <v>37100</v>
      </c>
      <c r="N1147" s="85">
        <f>=K1147-M1147</f>
        <v>696.699999999997</v>
      </c>
      <c r="O1147" s="64">
        <v>1.5</v>
      </c>
      <c r="P1147" s="64">
        <f>=I1147*O1147*ROUNDUP((A1147-B1147)/30,0)</f>
        <v>30</v>
      </c>
      <c r="Q1147" s="62" t="s"/>
      <c r="R1147" s="62" t="s"/>
    </row>
    <row r="1148" spans="1:18" ht="15.75" customHeight="true">
      <c r="A1148" s="147">
        <v>46182</v>
      </c>
      <c r="B1148" s="460">
        <v>46114</v>
      </c>
      <c r="C1148" s="98" t="s">
        <v>234</v>
      </c>
      <c r="D1148" s="71" t="s">
        <v>215</v>
      </c>
      <c r="E1148" s="136" t="s">
        <v>3342</v>
      </c>
      <c r="F1148" s="87" t="s">
        <v>421</v>
      </c>
      <c r="G1148" s="87" t="s">
        <v>470</v>
      </c>
      <c r="H1148" s="325" t="s">
        <v>1751</v>
      </c>
      <c r="I1148">
        <v>50</v>
      </c>
      <c r="J1148">
        <v>5753.46</v>
      </c>
      <c r="K1148" s="427">
        <f>=I1148*J1148</f>
        <v>287673</v>
      </c>
      <c r="L1148">
        <v>5650</v>
      </c>
      <c r="M1148" s="428">
        <f>=I1148*L1148</f>
        <v>282500</v>
      </c>
      <c r="N1148" s="82">
        <f>=K1148-M1148</f>
        <v>5173</v>
      </c>
      <c r="O1148" s="64">
        <v>1.5</v>
      </c>
      <c r="P1148" s="64">
        <f>=I1148*O1148*ROUNDUP((A1148-B1148)/30,0)</f>
        <v>225</v>
      </c>
      <c r="Q1148" s="62" t="s"/>
      <c r="R1148" s="62" t="s"/>
    </row>
    <row r="1149" spans="1:18" ht="15.75" customHeight="true">
      <c r="A1149" s="147">
        <v>46182</v>
      </c>
      <c r="B1149" s="460">
        <v>46111</v>
      </c>
      <c r="C1149" s="80" t="s">
        <v>221</v>
      </c>
      <c r="D1149" s="140" t="s">
        <v>220</v>
      </c>
      <c r="E1149" s="196" t="s">
        <v>3343</v>
      </c>
      <c r="F1149" s="64" t="s">
        <v>895</v>
      </c>
      <c r="G1149" s="64" t="s">
        <v>422</v>
      </c>
      <c r="H1149" s="64" t="s">
        <v>1340</v>
      </c>
      <c r="I1149" s="78">
        <v>13</v>
      </c>
      <c r="J1149" s="161">
        <v>1255.96</v>
      </c>
      <c r="K1149" s="427">
        <f>=I1149*J1149</f>
        <v>16327.48</v>
      </c>
      <c r="L1149" s="62">
        <v>1225</v>
      </c>
      <c r="M1149" s="428">
        <f>=I1149*L1149</f>
        <v>15925</v>
      </c>
      <c r="N1149" s="82">
        <f>=K1149-M1149</f>
        <v>402.48</v>
      </c>
      <c r="O1149" s="64">
        <v>1</v>
      </c>
      <c r="P1149" s="64">
        <f>=I1149*O1149*ROUNDUP((A1149-B1149)/30,0)</f>
        <v>39</v>
      </c>
      <c r="Q1149" s="62" t="s"/>
      <c r="R1149" s="62" t="s"/>
    </row>
    <row r="1150" spans="1:18" ht="15.75" customHeight="true">
      <c r="A1150" s="147">
        <v>46182</v>
      </c>
      <c r="B1150" s="460">
        <v>46111</v>
      </c>
      <c r="C1150" s="80" t="s">
        <v>221</v>
      </c>
      <c r="D1150" s="140" t="s">
        <v>220</v>
      </c>
      <c r="E1150" s="450" t="s">
        <v>3344</v>
      </c>
      <c r="F1150" s="108" t="s">
        <v>503</v>
      </c>
      <c r="G1150" s="140" t="s">
        <v>422</v>
      </c>
      <c r="H1150" s="87" t="s">
        <v>1103</v>
      </c>
      <c r="I1150" s="140">
        <v>10</v>
      </c>
      <c r="J1150" s="161">
        <v>3222.54</v>
      </c>
      <c r="K1150" s="427">
        <f>=I1150*J1150</f>
        <v>32225.4</v>
      </c>
      <c r="L1150" s="87">
        <v>3150</v>
      </c>
      <c r="M1150" s="428">
        <f>=I1150*L1150</f>
        <v>31500</v>
      </c>
      <c r="N1150" s="82">
        <f>=K1150-M1150</f>
        <v>725.400000000002</v>
      </c>
      <c r="O1150" s="64">
        <v>1</v>
      </c>
      <c r="P1150" s="64">
        <f>=I1150*O1150*ROUNDUP((A1150-B1150)/30,0)</f>
        <v>30</v>
      </c>
      <c r="Q1150" s="62" t="s"/>
      <c r="R1150" s="62" t="s"/>
    </row>
    <row r="1151" spans="1:18" ht="15.75" customHeight="true">
      <c r="A1151" s="147">
        <v>46182</v>
      </c>
      <c r="B1151" s="460">
        <v>46111</v>
      </c>
      <c r="C1151" s="80" t="s">
        <v>221</v>
      </c>
      <c r="D1151" s="140" t="s">
        <v>220</v>
      </c>
      <c r="E1151" s="471" t="s">
        <v>3345</v>
      </c>
      <c r="F1151" s="64" t="s">
        <v>864</v>
      </c>
      <c r="G1151" s="64" t="s">
        <v>422</v>
      </c>
      <c r="H1151" s="64" t="s">
        <v>1343</v>
      </c>
      <c r="I1151" s="78">
        <v>10</v>
      </c>
      <c r="J1151" s="161">
        <v>1577.76</v>
      </c>
      <c r="K1151" s="427">
        <f>=I1151*J1151</f>
        <v>15777.6</v>
      </c>
      <c r="L1151" s="62">
        <v>1540</v>
      </c>
      <c r="M1151" s="428">
        <f>=I1151*L1151</f>
        <v>15400</v>
      </c>
      <c r="N1151" s="82">
        <f>=K1151-M1151</f>
        <v>377.6</v>
      </c>
      <c r="O1151" s="64">
        <v>1</v>
      </c>
      <c r="P1151" s="64">
        <f>=I1151*O1151*ROUNDUP((A1151-B1151)/30,0)</f>
        <v>30</v>
      </c>
      <c r="Q1151" s="62" t="s"/>
      <c r="R1151" s="62" t="s"/>
    </row>
    <row r="1152" spans="1:18" ht="15.75" customHeight="true">
      <c r="A1152" s="147">
        <v>46182</v>
      </c>
      <c r="B1152" s="460">
        <v>46111</v>
      </c>
      <c r="C1152" s="80" t="s">
        <v>221</v>
      </c>
      <c r="D1152" s="140" t="s">
        <v>220</v>
      </c>
      <c r="E1152" s="450" t="s">
        <v>3346</v>
      </c>
      <c r="F1152" s="64" t="s">
        <v>895</v>
      </c>
      <c r="G1152" s="64" t="s">
        <v>422</v>
      </c>
      <c r="H1152" s="64" t="s">
        <v>1345</v>
      </c>
      <c r="I1152" s="78">
        <v>8</v>
      </c>
      <c r="J1152" s="161">
        <v>1184.45</v>
      </c>
      <c r="K1152" s="427">
        <f>=I1152*J1152</f>
        <v>9475.6</v>
      </c>
      <c r="L1152" s="62">
        <v>1155</v>
      </c>
      <c r="M1152" s="428">
        <f>=I1152*L1152</f>
        <v>9240</v>
      </c>
      <c r="N1152" s="82">
        <f>=K1152-M1152</f>
        <v>235.6</v>
      </c>
      <c r="O1152" s="64">
        <v>1</v>
      </c>
      <c r="P1152" s="64">
        <f>=I1152*O1152*ROUNDUP((A1152-B1152)/30,0)</f>
        <v>24</v>
      </c>
      <c r="Q1152" s="62" t="s"/>
      <c r="R1152" s="62" t="s"/>
    </row>
    <row r="1153" spans="1:18" ht="15.75" customHeight="true">
      <c r="A1153" s="147">
        <v>46182</v>
      </c>
      <c r="B1153" s="460">
        <v>46111</v>
      </c>
      <c r="C1153" s="80" t="s">
        <v>221</v>
      </c>
      <c r="D1153" s="140" t="s">
        <v>220</v>
      </c>
      <c r="E1153" s="450" t="s">
        <v>3347</v>
      </c>
      <c r="F1153" s="64" t="s">
        <v>895</v>
      </c>
      <c r="G1153" s="64" t="s">
        <v>422</v>
      </c>
      <c r="H1153" s="64" t="s">
        <v>1347</v>
      </c>
      <c r="I1153" s="78">
        <v>7</v>
      </c>
      <c r="J1153" s="161">
        <v>1363.23</v>
      </c>
      <c r="K1153" s="427">
        <f>=I1153*J1153</f>
        <v>9542.61</v>
      </c>
      <c r="L1153" s="62">
        <v>1330</v>
      </c>
      <c r="M1153" s="428">
        <f>=I1153*L1153</f>
        <v>9310</v>
      </c>
      <c r="N1153" s="82">
        <f>=K1153-M1153</f>
        <v>232.610000000001</v>
      </c>
      <c r="O1153" s="64">
        <v>1</v>
      </c>
      <c r="P1153" s="64">
        <f>=I1153*O1153*ROUNDUP((A1153-B1153)/30,0)</f>
        <v>21</v>
      </c>
      <c r="Q1153" s="62" t="s"/>
      <c r="R1153" s="62" t="s"/>
    </row>
    <row r="1154" spans="1:18" ht="15.75" customHeight="true">
      <c r="A1154" s="147">
        <v>46182</v>
      </c>
      <c r="B1154" s="460">
        <v>46111</v>
      </c>
      <c r="C1154" s="80" t="s">
        <v>221</v>
      </c>
      <c r="D1154" s="140" t="s">
        <v>220</v>
      </c>
      <c r="E1154" s="450" t="s">
        <v>3348</v>
      </c>
      <c r="F1154" s="108" t="s">
        <v>503</v>
      </c>
      <c r="G1154" s="140" t="s">
        <v>422</v>
      </c>
      <c r="H1154" s="64" t="s">
        <v>1349</v>
      </c>
      <c r="I1154" s="78">
        <v>6</v>
      </c>
      <c r="J1154" s="161">
        <v>1792.3</v>
      </c>
      <c r="K1154" s="427">
        <f>=I1154*J1154</f>
        <v>10753.8</v>
      </c>
      <c r="L1154" s="62">
        <v>1750</v>
      </c>
      <c r="M1154" s="428">
        <f>=I1154*L1154</f>
        <v>10500</v>
      </c>
      <c r="N1154" s="82">
        <f>=K1154-M1154</f>
        <v>253.799999999999</v>
      </c>
      <c r="O1154" s="64">
        <v>1</v>
      </c>
      <c r="P1154" s="64">
        <f>=I1154*O1154*ROUNDUP((A1154-B1154)/30,0)</f>
        <v>18</v>
      </c>
      <c r="Q1154" s="62" t="s"/>
      <c r="R1154" s="62" t="s"/>
    </row>
    <row r="1155" spans="1:18" ht="15.75" customHeight="true">
      <c r="A1155" s="147">
        <v>46182</v>
      </c>
      <c r="B1155" s="460">
        <v>46111</v>
      </c>
      <c r="C1155" s="80" t="s">
        <v>221</v>
      </c>
      <c r="D1155" s="140" t="s">
        <v>220</v>
      </c>
      <c r="E1155" s="450" t="s">
        <v>3349</v>
      </c>
      <c r="F1155" s="108" t="s">
        <v>503</v>
      </c>
      <c r="G1155" s="140" t="s">
        <v>422</v>
      </c>
      <c r="H1155" s="87" t="s">
        <v>1351</v>
      </c>
      <c r="I1155" s="140">
        <v>5</v>
      </c>
      <c r="J1155" s="161">
        <v>2185.62</v>
      </c>
      <c r="K1155" s="427">
        <f>=I1155*J1155</f>
        <v>10928.1</v>
      </c>
      <c r="L1155" s="87">
        <v>2135</v>
      </c>
      <c r="M1155" s="428">
        <f>=I1155*L1155</f>
        <v>10675</v>
      </c>
      <c r="N1155" s="82">
        <f>=K1155-M1155</f>
        <v>253.099999999999</v>
      </c>
      <c r="O1155" s="64">
        <v>1</v>
      </c>
      <c r="P1155" s="64">
        <f>=I1155*O1155*ROUNDUP((A1155-B1155)/30,0)</f>
        <v>15</v>
      </c>
      <c r="Q1155" s="62" t="s"/>
      <c r="R1155" s="62" t="s"/>
    </row>
    <row r="1156" spans="1:18" ht="15.75" customHeight="true">
      <c r="A1156" s="147">
        <v>46182</v>
      </c>
      <c r="B1156" s="460">
        <v>46111</v>
      </c>
      <c r="C1156" s="80" t="s">
        <v>221</v>
      </c>
      <c r="D1156" s="140" t="s">
        <v>220</v>
      </c>
      <c r="E1156" s="450" t="s">
        <v>3350</v>
      </c>
      <c r="F1156" s="108" t="s">
        <v>503</v>
      </c>
      <c r="G1156" s="140" t="s">
        <v>422</v>
      </c>
      <c r="H1156" s="64" t="s">
        <v>1353</v>
      </c>
      <c r="I1156" s="78">
        <v>5</v>
      </c>
      <c r="J1156" s="161">
        <v>1398.98</v>
      </c>
      <c r="K1156" s="427">
        <f>=I1156*J1156</f>
        <v>6994.9</v>
      </c>
      <c r="L1156" s="62">
        <v>1365</v>
      </c>
      <c r="M1156" s="428">
        <f>=I1156*L1156</f>
        <v>6825</v>
      </c>
      <c r="N1156" s="82">
        <f>=K1156-M1156</f>
        <v>169.9</v>
      </c>
      <c r="O1156" s="64">
        <v>1</v>
      </c>
      <c r="P1156" s="64">
        <f>=I1156*O1156*ROUNDUP((A1156-B1156)/30,0)</f>
        <v>15</v>
      </c>
      <c r="Q1156" s="62" t="s"/>
      <c r="R1156" s="62" t="s"/>
    </row>
    <row r="1157" spans="1:18" ht="15.75" customHeight="true">
      <c r="A1157" s="147">
        <v>46182</v>
      </c>
      <c r="B1157" s="460">
        <v>46111</v>
      </c>
      <c r="C1157" s="80" t="s">
        <v>221</v>
      </c>
      <c r="D1157" s="140" t="s">
        <v>220</v>
      </c>
      <c r="E1157" s="450" t="s">
        <v>3351</v>
      </c>
      <c r="F1157" s="108" t="s">
        <v>503</v>
      </c>
      <c r="G1157" s="140" t="s">
        <v>422</v>
      </c>
      <c r="H1157" s="87" t="s">
        <v>1355</v>
      </c>
      <c r="I1157" s="140">
        <v>4</v>
      </c>
      <c r="J1157" s="161">
        <v>2006.84</v>
      </c>
      <c r="K1157" s="427">
        <f>=I1157*J1157</f>
        <v>8027.36</v>
      </c>
      <c r="L1157" s="87">
        <v>1960</v>
      </c>
      <c r="M1157" s="428">
        <f>=I1157*L1157</f>
        <v>7840</v>
      </c>
      <c r="N1157" s="82">
        <f>=K1157-M1157</f>
        <v>187.36</v>
      </c>
      <c r="O1157" s="64">
        <v>1</v>
      </c>
      <c r="P1157" s="64">
        <f>=I1157*O1157*ROUNDUP((A1157-B1157)/30,0)</f>
        <v>12</v>
      </c>
      <c r="Q1157" s="62" t="s"/>
      <c r="R1157" s="62" t="s"/>
    </row>
    <row r="1158" spans="1:18" ht="15.75" customHeight="true">
      <c r="A1158" s="147">
        <v>46182</v>
      </c>
      <c r="B1158" s="460">
        <v>46111</v>
      </c>
      <c r="C1158" s="80" t="s">
        <v>221</v>
      </c>
      <c r="D1158" s="140" t="s">
        <v>220</v>
      </c>
      <c r="E1158" s="450" t="s">
        <v>3352</v>
      </c>
      <c r="F1158" s="64" t="s">
        <v>895</v>
      </c>
      <c r="G1158" s="64" t="s">
        <v>422</v>
      </c>
      <c r="H1158" s="64" t="s">
        <v>1357</v>
      </c>
      <c r="I1158" s="78">
        <v>4</v>
      </c>
      <c r="J1158" s="161">
        <v>1255.96</v>
      </c>
      <c r="K1158" s="427">
        <f>=I1158*J1158</f>
        <v>5023.84</v>
      </c>
      <c r="L1158" s="62">
        <v>1225</v>
      </c>
      <c r="M1158" s="428">
        <f>=I1158*L1158</f>
        <v>4900</v>
      </c>
      <c r="N1158" s="82">
        <f>=K1158-M1158</f>
        <v>123.84</v>
      </c>
      <c r="O1158" s="64">
        <v>1</v>
      </c>
      <c r="P1158" s="64">
        <f>=I1158*O1158*ROUNDUP((A1158-B1158)/30,0)</f>
        <v>12</v>
      </c>
      <c r="Q1158" s="62" t="s"/>
      <c r="R1158" s="62" t="s"/>
    </row>
    <row r="1159" spans="1:18" ht="15.75" customHeight="true">
      <c r="A1159" s="147">
        <v>46182</v>
      </c>
      <c r="B1159" s="460">
        <v>46111</v>
      </c>
      <c r="C1159" s="80" t="s">
        <v>221</v>
      </c>
      <c r="D1159" s="140" t="s">
        <v>220</v>
      </c>
      <c r="E1159" s="450" t="s">
        <v>3353</v>
      </c>
      <c r="F1159" s="108" t="s">
        <v>503</v>
      </c>
      <c r="G1159" s="140" t="s">
        <v>422</v>
      </c>
      <c r="H1159" s="64" t="s">
        <v>1359</v>
      </c>
      <c r="I1159" s="78">
        <v>4</v>
      </c>
      <c r="J1159" s="161">
        <v>1720.79</v>
      </c>
      <c r="K1159" s="427">
        <f>=I1159*J1159</f>
        <v>6883.16</v>
      </c>
      <c r="L1159" s="62">
        <v>1680</v>
      </c>
      <c r="M1159" s="428">
        <f>=I1159*L1159</f>
        <v>6720</v>
      </c>
      <c r="N1159" s="82">
        <f>=K1159-M1159</f>
        <v>163.16</v>
      </c>
      <c r="O1159" s="64">
        <v>1</v>
      </c>
      <c r="P1159" s="64">
        <f>=I1159*O1159*ROUNDUP((A1159-B1159)/30,0)</f>
        <v>12</v>
      </c>
      <c r="Q1159" s="62" t="s"/>
      <c r="R1159" s="62" t="s"/>
    </row>
    <row r="1160" spans="1:18" ht="15.75" customHeight="true">
      <c r="A1160" s="147">
        <v>46182</v>
      </c>
      <c r="B1160" s="460">
        <v>46111</v>
      </c>
      <c r="C1160" s="80" t="s">
        <v>221</v>
      </c>
      <c r="D1160" s="140" t="s">
        <v>220</v>
      </c>
      <c r="E1160" s="450" t="s">
        <v>3354</v>
      </c>
      <c r="F1160" s="64" t="s">
        <v>864</v>
      </c>
      <c r="G1160" s="64" t="s">
        <v>422</v>
      </c>
      <c r="H1160" s="64" t="s">
        <v>1361</v>
      </c>
      <c r="I1160" s="78">
        <v>4</v>
      </c>
      <c r="J1160" s="161">
        <v>1828.06</v>
      </c>
      <c r="K1160" s="427">
        <f>=I1160*J1160</f>
        <v>7312.24</v>
      </c>
      <c r="L1160" s="62">
        <v>1785</v>
      </c>
      <c r="M1160" s="428">
        <f>=I1160*L1160</f>
        <v>7140</v>
      </c>
      <c r="N1160" s="82">
        <f>=K1160-M1160</f>
        <v>172.24</v>
      </c>
      <c r="O1160" s="64">
        <v>1</v>
      </c>
      <c r="P1160" s="64">
        <f>=I1160*O1160*ROUNDUP((A1160-B1160)/30,0)</f>
        <v>12</v>
      </c>
      <c r="Q1160" s="62" t="s"/>
      <c r="R1160" s="62" t="s"/>
    </row>
    <row r="1161" spans="1:18" ht="15.75" customHeight="true">
      <c r="A1161" s="147">
        <v>46182</v>
      </c>
      <c r="B1161" s="460">
        <v>46111</v>
      </c>
      <c r="C1161" s="80" t="s">
        <v>221</v>
      </c>
      <c r="D1161" s="140" t="s">
        <v>220</v>
      </c>
      <c r="E1161" s="450" t="s">
        <v>3355</v>
      </c>
      <c r="F1161" s="108" t="s">
        <v>503</v>
      </c>
      <c r="G1161" s="140" t="s">
        <v>422</v>
      </c>
      <c r="H1161" s="87" t="s">
        <v>1363</v>
      </c>
      <c r="I1161" s="140">
        <v>3</v>
      </c>
      <c r="J1161" s="161">
        <v>2185.62</v>
      </c>
      <c r="K1161" s="427">
        <f>=I1161*J1161</f>
        <v>6556.86</v>
      </c>
      <c r="L1161" s="87">
        <v>2135</v>
      </c>
      <c r="M1161" s="428">
        <f>=I1161*L1161</f>
        <v>6405</v>
      </c>
      <c r="N1161" s="82">
        <f>=K1161-M1161</f>
        <v>151.86</v>
      </c>
      <c r="O1161" s="64">
        <v>1</v>
      </c>
      <c r="P1161" s="64">
        <f>=I1161*O1161*ROUNDUP((A1161-B1161)/30,0)</f>
        <v>9</v>
      </c>
      <c r="Q1161" s="62" t="s"/>
      <c r="R1161" s="62" t="s"/>
    </row>
    <row r="1162" spans="1:18" ht="15.75" customHeight="true">
      <c r="A1162" s="147">
        <v>46182</v>
      </c>
      <c r="B1162" s="460">
        <v>46111</v>
      </c>
      <c r="C1162" s="80" t="s">
        <v>221</v>
      </c>
      <c r="D1162" s="140" t="s">
        <v>220</v>
      </c>
      <c r="E1162" s="450" t="s">
        <v>3356</v>
      </c>
      <c r="F1162" s="64" t="s">
        <v>864</v>
      </c>
      <c r="G1162" s="64" t="s">
        <v>422</v>
      </c>
      <c r="H1162" s="140" t="s">
        <v>1020</v>
      </c>
      <c r="I1162" s="140">
        <v>3</v>
      </c>
      <c r="J1162" s="161">
        <v>1577.76</v>
      </c>
      <c r="K1162" s="427">
        <f>=I1162*J1162</f>
        <v>4733.28</v>
      </c>
      <c r="L1162" s="87">
        <v>1540</v>
      </c>
      <c r="M1162" s="428">
        <f>=I1162*L1162</f>
        <v>4620</v>
      </c>
      <c r="N1162" s="82">
        <f>=K1162-M1162</f>
        <v>113.28</v>
      </c>
      <c r="O1162" s="64">
        <v>1</v>
      </c>
      <c r="P1162" s="64">
        <f>=I1162*O1162*ROUNDUP((A1162-B1162)/30,0)</f>
        <v>9</v>
      </c>
      <c r="Q1162" s="62" t="s"/>
      <c r="R1162" s="62" t="s"/>
    </row>
    <row r="1163" spans="1:18" ht="15.75" customHeight="true">
      <c r="A1163" s="147">
        <v>46182</v>
      </c>
      <c r="B1163" s="460">
        <v>46111</v>
      </c>
      <c r="C1163" s="80" t="s">
        <v>221</v>
      </c>
      <c r="D1163" s="140" t="s">
        <v>220</v>
      </c>
      <c r="E1163" s="518" t="s">
        <v>3357</v>
      </c>
      <c r="F1163" s="64" t="s">
        <v>864</v>
      </c>
      <c r="G1163" s="64" t="s">
        <v>422</v>
      </c>
      <c r="H1163" s="140" t="s">
        <v>1366</v>
      </c>
      <c r="I1163" s="140">
        <v>3</v>
      </c>
      <c r="J1163" s="161">
        <v>1756.54</v>
      </c>
      <c r="K1163" s="427">
        <f>=I1163*J1163</f>
        <v>5269.62</v>
      </c>
      <c r="L1163" s="87">
        <v>1715</v>
      </c>
      <c r="M1163" s="428">
        <f>=I1163*L1163</f>
        <v>5145</v>
      </c>
      <c r="N1163" s="82">
        <f>=K1163-M1163</f>
        <v>124.62</v>
      </c>
      <c r="O1163" s="64">
        <v>1</v>
      </c>
      <c r="P1163" s="64">
        <f>=I1163*O1163*ROUNDUP((A1163-B1163)/30,0)</f>
        <v>9</v>
      </c>
      <c r="Q1163" s="62" t="s"/>
      <c r="R1163" s="62" t="s"/>
    </row>
    <row r="1164" spans="1:18" ht="15.75" customHeight="true">
      <c r="A1164" s="147">
        <v>46182</v>
      </c>
      <c r="B1164" s="460">
        <v>46111</v>
      </c>
      <c r="C1164" s="80" t="s">
        <v>221</v>
      </c>
      <c r="D1164" s="140" t="s">
        <v>220</v>
      </c>
      <c r="E1164" s="450" t="s">
        <v>3358</v>
      </c>
      <c r="F1164" s="64" t="s">
        <v>895</v>
      </c>
      <c r="G1164" s="64" t="s">
        <v>422</v>
      </c>
      <c r="H1164" s="64" t="s">
        <v>1368</v>
      </c>
      <c r="I1164" s="78">
        <v>3</v>
      </c>
      <c r="J1164" s="161">
        <v>1184.45</v>
      </c>
      <c r="K1164" s="427">
        <f>=I1164*J1164</f>
        <v>3553.35</v>
      </c>
      <c r="L1164" s="62">
        <v>1155</v>
      </c>
      <c r="M1164" s="428">
        <f>=I1164*L1164</f>
        <v>3465</v>
      </c>
      <c r="N1164" s="82">
        <f>=K1164-M1164</f>
        <v>88.3500000000004</v>
      </c>
      <c r="O1164" s="64">
        <v>1</v>
      </c>
      <c r="P1164" s="64">
        <f>=I1164*O1164*ROUNDUP((A1164-B1164)/30,0)</f>
        <v>9</v>
      </c>
      <c r="Q1164" s="62" t="s"/>
      <c r="R1164" s="62" t="s"/>
    </row>
    <row r="1165" spans="1:18" ht="15.75" customHeight="true">
      <c r="A1165" s="147">
        <v>46182</v>
      </c>
      <c r="B1165" s="460">
        <v>46111</v>
      </c>
      <c r="C1165" s="80" t="s">
        <v>221</v>
      </c>
      <c r="D1165" s="140" t="s">
        <v>220</v>
      </c>
      <c r="E1165" s="450" t="s">
        <v>3359</v>
      </c>
      <c r="F1165" s="64" t="s">
        <v>895</v>
      </c>
      <c r="G1165" s="64" t="s">
        <v>422</v>
      </c>
      <c r="H1165" s="64" t="s">
        <v>1370</v>
      </c>
      <c r="I1165" s="78">
        <v>3</v>
      </c>
      <c r="J1165" s="161">
        <v>1184.45</v>
      </c>
      <c r="K1165" s="427">
        <f>=I1165*J1165</f>
        <v>3553.35</v>
      </c>
      <c r="L1165" s="62">
        <v>1155</v>
      </c>
      <c r="M1165" s="428">
        <f>=I1165*L1165</f>
        <v>3465</v>
      </c>
      <c r="N1165" s="82">
        <f>=K1165-M1165</f>
        <v>88.3500000000004</v>
      </c>
      <c r="O1165" s="64">
        <v>1</v>
      </c>
      <c r="P1165" s="64">
        <f>=I1165*O1165*ROUNDUP((A1165-B1165)/30,0)</f>
        <v>9</v>
      </c>
      <c r="Q1165" s="62" t="s"/>
      <c r="R1165" s="62" t="s"/>
    </row>
    <row r="1166" spans="1:18" ht="15.75" customHeight="true">
      <c r="A1166" s="147">
        <v>46182</v>
      </c>
      <c r="B1166" s="460">
        <v>46111</v>
      </c>
      <c r="C1166" s="80" t="s">
        <v>221</v>
      </c>
      <c r="D1166" s="140" t="s">
        <v>220</v>
      </c>
      <c r="E1166" s="450" t="s">
        <v>3360</v>
      </c>
      <c r="F1166" s="64" t="s">
        <v>895</v>
      </c>
      <c r="G1166" s="64" t="s">
        <v>422</v>
      </c>
      <c r="H1166" s="64" t="s">
        <v>1372</v>
      </c>
      <c r="I1166" s="78">
        <v>3</v>
      </c>
      <c r="J1166" s="161">
        <v>1255.96</v>
      </c>
      <c r="K1166" s="427">
        <f>=I1166*J1166</f>
        <v>3767.88</v>
      </c>
      <c r="L1166" s="62">
        <v>1225</v>
      </c>
      <c r="M1166" s="428">
        <f>=I1166*L1166</f>
        <v>3675</v>
      </c>
      <c r="N1166" s="82">
        <f>=K1166-M1166</f>
        <v>92.8800000000001</v>
      </c>
      <c r="O1166" s="64">
        <v>1</v>
      </c>
      <c r="P1166" s="64">
        <f>=I1166*O1166*ROUNDUP((A1166-B1166)/30,0)</f>
        <v>9</v>
      </c>
      <c r="Q1166" s="62" t="s"/>
      <c r="R1166" s="62" t="s"/>
    </row>
    <row r="1167" spans="1:18" ht="15.75" customHeight="true">
      <c r="A1167" s="147">
        <v>46182</v>
      </c>
      <c r="B1167" s="460">
        <v>46111</v>
      </c>
      <c r="C1167" s="80" t="s">
        <v>221</v>
      </c>
      <c r="D1167" s="140" t="s">
        <v>220</v>
      </c>
      <c r="E1167" s="450" t="s">
        <v>3361</v>
      </c>
      <c r="F1167" s="108" t="s">
        <v>503</v>
      </c>
      <c r="G1167" s="140" t="s">
        <v>422</v>
      </c>
      <c r="H1167" s="64" t="s">
        <v>1374</v>
      </c>
      <c r="I1167" s="78">
        <v>3</v>
      </c>
      <c r="J1167" s="161">
        <v>2006.84</v>
      </c>
      <c r="K1167" s="427">
        <f>=I1167*J1167</f>
        <v>6020.52</v>
      </c>
      <c r="L1167" s="62">
        <v>1960</v>
      </c>
      <c r="M1167" s="428">
        <f>=I1167*L1167</f>
        <v>5880</v>
      </c>
      <c r="N1167" s="82">
        <f>=K1167-M1167</f>
        <v>140.52</v>
      </c>
      <c r="O1167" s="64">
        <v>1</v>
      </c>
      <c r="P1167" s="64">
        <f>=I1167*O1167*ROUNDUP((A1167-B1167)/30,0)</f>
        <v>9</v>
      </c>
      <c r="Q1167" s="62" t="s"/>
      <c r="R1167" s="62" t="s"/>
    </row>
    <row r="1168" spans="1:18" ht="15.75" customHeight="true">
      <c r="A1168" s="147">
        <v>46182</v>
      </c>
      <c r="B1168" s="460">
        <v>46111</v>
      </c>
      <c r="C1168" s="80" t="s">
        <v>221</v>
      </c>
      <c r="D1168" s="140" t="s">
        <v>220</v>
      </c>
      <c r="E1168" s="450" t="s">
        <v>3362</v>
      </c>
      <c r="F1168" s="108" t="s">
        <v>503</v>
      </c>
      <c r="G1168" s="140" t="s">
        <v>422</v>
      </c>
      <c r="H1168" s="64" t="s">
        <v>1376</v>
      </c>
      <c r="I1168" s="78">
        <v>3</v>
      </c>
      <c r="J1168" s="161">
        <v>1184.45</v>
      </c>
      <c r="K1168" s="427">
        <f>=I1168*J1168</f>
        <v>3553.35</v>
      </c>
      <c r="L1168" s="62">
        <v>1155</v>
      </c>
      <c r="M1168" s="428">
        <f>=I1168*L1168</f>
        <v>3465</v>
      </c>
      <c r="N1168" s="82">
        <f>=K1168-M1168</f>
        <v>88.3500000000004</v>
      </c>
      <c r="O1168" s="64">
        <v>1</v>
      </c>
      <c r="P1168" s="64">
        <f>=I1168*O1168*ROUNDUP((A1168-B1168)/30,0)</f>
        <v>9</v>
      </c>
      <c r="Q1168" s="62" t="s"/>
      <c r="R1168" s="62" t="s"/>
    </row>
    <row r="1169" spans="1:18" ht="15.75" customHeight="true">
      <c r="A1169" s="147">
        <v>46182</v>
      </c>
      <c r="B1169" s="460">
        <v>46111</v>
      </c>
      <c r="C1169" s="80" t="s">
        <v>221</v>
      </c>
      <c r="D1169" s="140" t="s">
        <v>220</v>
      </c>
      <c r="E1169" s="450" t="s">
        <v>3363</v>
      </c>
      <c r="F1169" s="108" t="s">
        <v>503</v>
      </c>
      <c r="G1169" s="140" t="s">
        <v>422</v>
      </c>
      <c r="H1169" s="64" t="s">
        <v>1378</v>
      </c>
      <c r="I1169" s="78">
        <v>3</v>
      </c>
      <c r="J1169" s="161">
        <v>1577.76</v>
      </c>
      <c r="K1169" s="427">
        <f>=I1169*J1169</f>
        <v>4733.28</v>
      </c>
      <c r="L1169" s="62">
        <v>1540</v>
      </c>
      <c r="M1169" s="428">
        <f>=I1169*L1169</f>
        <v>4620</v>
      </c>
      <c r="N1169" s="82">
        <f>=K1169-M1169</f>
        <v>113.28</v>
      </c>
      <c r="O1169" s="64">
        <v>1</v>
      </c>
      <c r="P1169" s="64">
        <f>=I1169*O1169*ROUNDUP((A1169-B1169)/30,0)</f>
        <v>9</v>
      </c>
      <c r="Q1169" s="62" t="s"/>
      <c r="R1169" s="62" t="s"/>
    </row>
    <row r="1170" spans="1:18" ht="15.75" customHeight="true">
      <c r="A1170" s="147">
        <v>46182</v>
      </c>
      <c r="B1170" s="460">
        <v>46111</v>
      </c>
      <c r="C1170" s="80" t="s">
        <v>221</v>
      </c>
      <c r="D1170" s="140" t="s">
        <v>220</v>
      </c>
      <c r="E1170" s="450" t="s">
        <v>3364</v>
      </c>
      <c r="F1170" s="108" t="s">
        <v>503</v>
      </c>
      <c r="G1170" s="140" t="s">
        <v>422</v>
      </c>
      <c r="H1170" s="87" t="s">
        <v>1380</v>
      </c>
      <c r="I1170" s="140">
        <v>2</v>
      </c>
      <c r="J1170" s="161">
        <v>1863.81</v>
      </c>
      <c r="K1170" s="427">
        <f>=I1170*J1170</f>
        <v>3727.62</v>
      </c>
      <c r="L1170" s="87">
        <v>1820</v>
      </c>
      <c r="M1170" s="428">
        <f>=I1170*L1170</f>
        <v>3640</v>
      </c>
      <c r="N1170" s="82">
        <f>=K1170-M1170</f>
        <v>87.6199999999999</v>
      </c>
      <c r="O1170" s="64">
        <v>1</v>
      </c>
      <c r="P1170" s="64">
        <f>=I1170*O1170*ROUNDUP((A1170-B1170)/30,0)</f>
        <v>6</v>
      </c>
      <c r="Q1170" s="62" t="s"/>
      <c r="R1170" s="62" t="s"/>
    </row>
    <row r="1171" spans="1:18" ht="15.75" customHeight="true">
      <c r="A1171" s="147">
        <v>46182</v>
      </c>
      <c r="B1171" s="460">
        <v>46111</v>
      </c>
      <c r="C1171" s="80" t="s">
        <v>221</v>
      </c>
      <c r="D1171" s="140" t="s">
        <v>220</v>
      </c>
      <c r="E1171" s="450" t="s">
        <v>3365</v>
      </c>
      <c r="F1171" s="64" t="s">
        <v>864</v>
      </c>
      <c r="G1171" s="64" t="s">
        <v>422</v>
      </c>
      <c r="H1171" s="140" t="s">
        <v>1382</v>
      </c>
      <c r="I1171" s="140">
        <v>2</v>
      </c>
      <c r="J1171" s="161">
        <v>2042.59</v>
      </c>
      <c r="K1171" s="427">
        <f>=I1171*J1171</f>
        <v>4085.18</v>
      </c>
      <c r="L1171" s="87">
        <v>1995</v>
      </c>
      <c r="M1171" s="428">
        <f>=I1171*L1171</f>
        <v>3990</v>
      </c>
      <c r="N1171" s="82">
        <f>=K1171-M1171</f>
        <v>95.1799999999999</v>
      </c>
      <c r="O1171" s="64">
        <v>1</v>
      </c>
      <c r="P1171" s="64">
        <f>=I1171*O1171*ROUNDUP((A1171-B1171)/30,0)</f>
        <v>6</v>
      </c>
      <c r="Q1171" s="62" t="s"/>
      <c r="R1171" s="62" t="s"/>
    </row>
    <row r="1172" spans="1:18" ht="15.75" customHeight="true">
      <c r="A1172" s="147">
        <v>46182</v>
      </c>
      <c r="B1172" s="460">
        <v>46111</v>
      </c>
      <c r="C1172" s="80" t="s">
        <v>221</v>
      </c>
      <c r="D1172" s="140" t="s">
        <v>220</v>
      </c>
      <c r="E1172" s="450" t="s">
        <v>3366</v>
      </c>
      <c r="F1172" s="108" t="s">
        <v>503</v>
      </c>
      <c r="G1172" s="140" t="s">
        <v>422</v>
      </c>
      <c r="H1172" s="64" t="s">
        <v>1384</v>
      </c>
      <c r="I1172" s="78">
        <v>2</v>
      </c>
      <c r="J1172" s="161">
        <v>1649.28</v>
      </c>
      <c r="K1172" s="427">
        <f>=I1172*J1172</f>
        <v>3298.56</v>
      </c>
      <c r="L1172" s="62">
        <v>1610</v>
      </c>
      <c r="M1172" s="428">
        <f>=I1172*L1172</f>
        <v>3220</v>
      </c>
      <c r="N1172" s="82">
        <f>=K1172-M1172</f>
        <v>78.56</v>
      </c>
      <c r="O1172" s="64">
        <v>1</v>
      </c>
      <c r="P1172" s="64">
        <f>=I1172*O1172*ROUNDUP((A1172-B1172)/30,0)</f>
        <v>6</v>
      </c>
      <c r="Q1172" s="62" t="s"/>
      <c r="R1172" s="62" t="s"/>
    </row>
    <row r="1173" spans="1:18" ht="15.75" customHeight="true">
      <c r="A1173" s="147">
        <v>46182</v>
      </c>
      <c r="B1173" s="460">
        <v>46111</v>
      </c>
      <c r="C1173" s="80" t="s">
        <v>221</v>
      </c>
      <c r="D1173" s="140" t="s">
        <v>220</v>
      </c>
      <c r="E1173" s="450" t="s">
        <v>3367</v>
      </c>
      <c r="F1173" s="64" t="s">
        <v>864</v>
      </c>
      <c r="G1173" s="64" t="s">
        <v>422</v>
      </c>
      <c r="H1173" s="64" t="s">
        <v>1386</v>
      </c>
      <c r="I1173" s="78">
        <v>2</v>
      </c>
      <c r="J1173" s="161">
        <v>1828.06</v>
      </c>
      <c r="K1173" s="427">
        <f>=I1173*J1173</f>
        <v>3656.12</v>
      </c>
      <c r="L1173" s="62">
        <v>1785</v>
      </c>
      <c r="M1173" s="428">
        <f>=I1173*L1173</f>
        <v>3570</v>
      </c>
      <c r="N1173" s="82">
        <f>=K1173-M1173</f>
        <v>86.1199999999999</v>
      </c>
      <c r="O1173" s="64">
        <v>1</v>
      </c>
      <c r="P1173" s="64">
        <f>=I1173*O1173*ROUNDUP((A1173-B1173)/30,0)</f>
        <v>6</v>
      </c>
      <c r="Q1173" s="62" t="s"/>
      <c r="R1173" s="62" t="s"/>
    </row>
    <row r="1174" spans="1:18" ht="15.75" customHeight="true">
      <c r="A1174" s="147">
        <v>46182</v>
      </c>
      <c r="B1174" s="460">
        <v>46111</v>
      </c>
      <c r="C1174" s="80" t="s">
        <v>221</v>
      </c>
      <c r="D1174" s="140" t="s">
        <v>220</v>
      </c>
      <c r="E1174" s="450" t="s">
        <v>3368</v>
      </c>
      <c r="F1174" s="64" t="s">
        <v>864</v>
      </c>
      <c r="G1174" s="64" t="s">
        <v>422</v>
      </c>
      <c r="H1174" s="64" t="s">
        <v>1388</v>
      </c>
      <c r="I1174" s="78">
        <v>2</v>
      </c>
      <c r="J1174" s="161">
        <v>1577.76</v>
      </c>
      <c r="K1174" s="427">
        <f>=I1174*J1174</f>
        <v>3155.52</v>
      </c>
      <c r="L1174" s="62">
        <v>1540</v>
      </c>
      <c r="M1174" s="428">
        <f>=I1174*L1174</f>
        <v>3080</v>
      </c>
      <c r="N1174" s="82">
        <f>=K1174-M1174</f>
        <v>75.52</v>
      </c>
      <c r="O1174" s="64">
        <v>1</v>
      </c>
      <c r="P1174" s="64">
        <f>=I1174*O1174*ROUNDUP((A1174-B1174)/30,0)</f>
        <v>6</v>
      </c>
      <c r="Q1174" s="62" t="s"/>
      <c r="R1174" s="62" t="s"/>
    </row>
    <row r="1175" spans="1:18" ht="15.75" customHeight="true">
      <c r="A1175" s="147">
        <v>46182</v>
      </c>
      <c r="B1175" s="460">
        <v>46111</v>
      </c>
      <c r="C1175" s="80" t="s">
        <v>221</v>
      </c>
      <c r="D1175" s="140" t="s">
        <v>220</v>
      </c>
      <c r="E1175" s="450" t="s">
        <v>3369</v>
      </c>
      <c r="F1175" s="108" t="s">
        <v>503</v>
      </c>
      <c r="G1175" s="140" t="s">
        <v>422</v>
      </c>
      <c r="H1175" s="87" t="s">
        <v>1390</v>
      </c>
      <c r="I1175" s="140">
        <v>1</v>
      </c>
      <c r="J1175" s="161">
        <v>2721.96</v>
      </c>
      <c r="K1175" s="427">
        <f>=I1175*J1175</f>
        <v>2721.96</v>
      </c>
      <c r="L1175" s="87">
        <v>2660</v>
      </c>
      <c r="M1175" s="428">
        <f>=I1175*L1175</f>
        <v>2660</v>
      </c>
      <c r="N1175" s="82">
        <f>=K1175-M1175</f>
        <v>61.96</v>
      </c>
      <c r="O1175" s="64">
        <v>1</v>
      </c>
      <c r="P1175" s="64">
        <f>=I1175*O1175*ROUNDUP((A1175-B1175)/30,0)</f>
        <v>3</v>
      </c>
      <c r="Q1175" s="62" t="s"/>
      <c r="R1175" s="62" t="s"/>
    </row>
    <row r="1176" spans="1:18" ht="15.75" customHeight="true">
      <c r="A1176" s="147">
        <v>46182</v>
      </c>
      <c r="B1176" s="460">
        <v>46111</v>
      </c>
      <c r="C1176" s="80" t="s">
        <v>221</v>
      </c>
      <c r="D1176" s="140" t="s">
        <v>220</v>
      </c>
      <c r="E1176" s="450" t="s">
        <v>3370</v>
      </c>
      <c r="F1176" s="108" t="s">
        <v>503</v>
      </c>
      <c r="G1176" s="140" t="s">
        <v>422</v>
      </c>
      <c r="H1176" s="87" t="s">
        <v>1392</v>
      </c>
      <c r="I1176" s="140">
        <v>1</v>
      </c>
      <c r="J1176" s="161">
        <v>1756.54</v>
      </c>
      <c r="K1176" s="427">
        <f>=I1176*J1176</f>
        <v>1756.54</v>
      </c>
      <c r="L1176" s="87">
        <v>1715</v>
      </c>
      <c r="M1176" s="428">
        <f>=I1176*L1176</f>
        <v>1715</v>
      </c>
      <c r="N1176" s="82">
        <f>=K1176-M1176</f>
        <v>41.54</v>
      </c>
      <c r="O1176" s="64">
        <v>1</v>
      </c>
      <c r="P1176" s="64">
        <f>=I1176*O1176*ROUNDUP((A1176-B1176)/30,0)</f>
        <v>3</v>
      </c>
      <c r="Q1176" s="62" t="s"/>
      <c r="R1176" s="62" t="s"/>
    </row>
    <row r="1177" spans="1:18" ht="15.75" customHeight="true">
      <c r="A1177" s="147">
        <v>46182</v>
      </c>
      <c r="B1177" s="460">
        <v>46111</v>
      </c>
      <c r="C1177" s="80" t="s">
        <v>221</v>
      </c>
      <c r="D1177" s="140" t="s">
        <v>220</v>
      </c>
      <c r="E1177" s="450" t="s">
        <v>3371</v>
      </c>
      <c r="F1177" s="64" t="s">
        <v>864</v>
      </c>
      <c r="G1177" s="64" t="s">
        <v>422</v>
      </c>
      <c r="H1177" s="140" t="s">
        <v>1394</v>
      </c>
      <c r="I1177" s="140">
        <v>1</v>
      </c>
      <c r="J1177" s="161">
        <v>1756.54</v>
      </c>
      <c r="K1177" s="427">
        <f>=I1177*J1177</f>
        <v>1756.54</v>
      </c>
      <c r="L1177" s="87">
        <v>1715</v>
      </c>
      <c r="M1177" s="428">
        <f>=I1177*L1177</f>
        <v>1715</v>
      </c>
      <c r="N1177" s="82">
        <f>=K1177-M1177</f>
        <v>41.54</v>
      </c>
      <c r="O1177" s="64">
        <v>1</v>
      </c>
      <c r="P1177" s="64">
        <f>=I1177*O1177*ROUNDUP((A1177-B1177)/30,0)</f>
        <v>3</v>
      </c>
      <c r="Q1177" s="62" t="s"/>
      <c r="R1177" s="62" t="s"/>
    </row>
    <row r="1178" spans="1:18" ht="15.75" customHeight="true">
      <c r="A1178" s="147">
        <v>46182</v>
      </c>
      <c r="B1178" s="460">
        <v>46111</v>
      </c>
      <c r="C1178" s="80" t="s">
        <v>221</v>
      </c>
      <c r="D1178" s="140" t="s">
        <v>220</v>
      </c>
      <c r="E1178" s="450" t="s">
        <v>3372</v>
      </c>
      <c r="F1178" s="64" t="s">
        <v>895</v>
      </c>
      <c r="G1178" s="64" t="s">
        <v>422</v>
      </c>
      <c r="H1178" s="64" t="s">
        <v>1396</v>
      </c>
      <c r="I1178" s="78">
        <v>1</v>
      </c>
      <c r="J1178" s="161">
        <v>1470.5</v>
      </c>
      <c r="K1178" s="427">
        <f>=I1178*J1178</f>
        <v>1470.5</v>
      </c>
      <c r="L1178" s="62">
        <v>1435</v>
      </c>
      <c r="M1178" s="428">
        <f>=I1178*L1178</f>
        <v>1435</v>
      </c>
      <c r="N1178" s="82">
        <f>=K1178-M1178</f>
        <v>35.5</v>
      </c>
      <c r="O1178" s="64">
        <v>1</v>
      </c>
      <c r="P1178" s="64">
        <f>=I1178*O1178*ROUNDUP((A1178-B1178)/30,0)</f>
        <v>3</v>
      </c>
      <c r="Q1178" s="62" t="s"/>
      <c r="R1178" s="62" t="s"/>
    </row>
    <row r="1179" spans="1:18" ht="15.75" customHeight="true">
      <c r="A1179" s="147">
        <v>46182</v>
      </c>
      <c r="B1179" s="460">
        <v>46111</v>
      </c>
      <c r="C1179" s="80" t="s">
        <v>221</v>
      </c>
      <c r="D1179" s="140" t="s">
        <v>220</v>
      </c>
      <c r="E1179" s="450" t="s">
        <v>3373</v>
      </c>
      <c r="F1179" s="108" t="s">
        <v>503</v>
      </c>
      <c r="G1179" s="64" t="s">
        <v>422</v>
      </c>
      <c r="H1179" s="64" t="s">
        <v>1398</v>
      </c>
      <c r="I1179" s="78">
        <v>1</v>
      </c>
      <c r="J1179" s="519">
        <v>1398.98</v>
      </c>
      <c r="K1179" s="427">
        <f>=I1179*J1179</f>
        <v>1398.98</v>
      </c>
      <c r="L1179" s="62">
        <v>1365</v>
      </c>
      <c r="M1179" s="428">
        <f>=I1179*L1179</f>
        <v>1365</v>
      </c>
      <c r="N1179" s="82">
        <f>=K1179-M1179</f>
        <v>33.98</v>
      </c>
      <c r="O1179" s="64">
        <v>1</v>
      </c>
      <c r="P1179" s="64">
        <f>=I1179*O1179*ROUNDUP((A1179-B1179)/30,0)</f>
        <v>3</v>
      </c>
      <c r="Q1179" s="62" t="s"/>
      <c r="R1179" s="62" t="s"/>
    </row>
    <row r="1180" spans="1:18" ht="15.75" customHeight="true">
      <c r="A1180" s="147">
        <v>46182</v>
      </c>
      <c r="B1180" s="460">
        <v>46111</v>
      </c>
      <c r="C1180" s="80" t="s">
        <v>221</v>
      </c>
      <c r="D1180" s="140" t="s">
        <v>220</v>
      </c>
      <c r="E1180" s="450" t="s">
        <v>3374</v>
      </c>
      <c r="F1180" s="108" t="s">
        <v>503</v>
      </c>
      <c r="G1180" s="64" t="s">
        <v>422</v>
      </c>
      <c r="H1180" s="64" t="s">
        <v>1400</v>
      </c>
      <c r="I1180" s="78">
        <v>1</v>
      </c>
      <c r="J1180" s="161">
        <v>1398.98</v>
      </c>
      <c r="K1180" s="427">
        <f>=I1180*J1180</f>
        <v>1398.98</v>
      </c>
      <c r="L1180" s="62">
        <v>1365</v>
      </c>
      <c r="M1180" s="428">
        <f>=I1180*L1180</f>
        <v>1365</v>
      </c>
      <c r="N1180" s="82">
        <f>=K1180-M1180</f>
        <v>33.98</v>
      </c>
      <c r="O1180" s="64">
        <v>1</v>
      </c>
      <c r="P1180" s="64">
        <f>=I1180*O1180*ROUNDUP((A1180-B1180)/30,0)</f>
        <v>3</v>
      </c>
      <c r="Q1180" s="62" t="s"/>
      <c r="R1180" s="62" t="s"/>
    </row>
    <row r="1181" spans="1:18" ht="15.75" customHeight="true">
      <c r="A1181" s="147">
        <v>46182</v>
      </c>
      <c r="B1181" s="460">
        <v>46111</v>
      </c>
      <c r="C1181" s="80" t="s">
        <v>221</v>
      </c>
      <c r="D1181" s="140" t="s">
        <v>220</v>
      </c>
      <c r="E1181" s="450" t="s">
        <v>3375</v>
      </c>
      <c r="F1181" s="108" t="s">
        <v>503</v>
      </c>
      <c r="G1181" s="64" t="s">
        <v>422</v>
      </c>
      <c r="H1181" s="64" t="s">
        <v>1402</v>
      </c>
      <c r="I1181" s="78">
        <v>1</v>
      </c>
      <c r="J1181" s="161">
        <v>1398.98</v>
      </c>
      <c r="K1181" s="427">
        <f>=I1181*J1181</f>
        <v>1398.98</v>
      </c>
      <c r="L1181" s="62">
        <v>1365</v>
      </c>
      <c r="M1181" s="428">
        <f>=I1181*L1181</f>
        <v>1365</v>
      </c>
      <c r="N1181" s="82">
        <f>=K1181-M1181</f>
        <v>33.98</v>
      </c>
      <c r="O1181" s="64">
        <v>1</v>
      </c>
      <c r="P1181" s="64">
        <f>=I1181*O1181*ROUNDUP((A1181-B1181)/30,0)</f>
        <v>3</v>
      </c>
      <c r="Q1181" s="62" t="s"/>
      <c r="R1181" s="62" t="s"/>
    </row>
    <row r="1182" spans="1:18" ht="15.75" customHeight="true">
      <c r="A1182" s="147">
        <v>46182</v>
      </c>
      <c r="B1182" s="460">
        <v>46111</v>
      </c>
      <c r="C1182" s="80" t="s">
        <v>221</v>
      </c>
      <c r="D1182" s="140" t="s">
        <v>220</v>
      </c>
      <c r="E1182" s="196" t="s">
        <v>3376</v>
      </c>
      <c r="F1182" s="108" t="s">
        <v>503</v>
      </c>
      <c r="G1182" s="64" t="s">
        <v>422</v>
      </c>
      <c r="H1182" s="64" t="s">
        <v>1404</v>
      </c>
      <c r="I1182" s="78">
        <v>1</v>
      </c>
      <c r="J1182" s="161">
        <v>1828.06</v>
      </c>
      <c r="K1182" s="427">
        <f>=I1182*J1182</f>
        <v>1828.06</v>
      </c>
      <c r="L1182" s="62">
        <v>1785</v>
      </c>
      <c r="M1182" s="428">
        <f>=I1182*L1182</f>
        <v>1785</v>
      </c>
      <c r="N1182" s="82">
        <f>=K1182-M1182</f>
        <v>43.06</v>
      </c>
      <c r="O1182" s="64">
        <v>1</v>
      </c>
      <c r="P1182" s="64">
        <f>=I1182*O1182*ROUNDUP((A1182-B1182)/30,0)</f>
        <v>3</v>
      </c>
      <c r="Q1182" s="62" t="s"/>
      <c r="R1182" s="62" t="s"/>
    </row>
    <row r="1183" spans="1:18" ht="15.75" customHeight="true">
      <c r="A1183" s="147">
        <v>46182</v>
      </c>
      <c r="B1183" s="460">
        <v>46111</v>
      </c>
      <c r="C1183" s="80" t="s">
        <v>221</v>
      </c>
      <c r="D1183" s="140" t="s">
        <v>220</v>
      </c>
      <c r="E1183" s="450" t="s">
        <v>3377</v>
      </c>
      <c r="F1183" s="108" t="s">
        <v>503</v>
      </c>
      <c r="G1183" s="64" t="s">
        <v>422</v>
      </c>
      <c r="H1183" s="64" t="s">
        <v>1406</v>
      </c>
      <c r="I1183" s="78">
        <v>1</v>
      </c>
      <c r="J1183" s="161">
        <v>1577.76</v>
      </c>
      <c r="K1183" s="427">
        <f>=I1183*J1183</f>
        <v>1577.76</v>
      </c>
      <c r="L1183" s="62">
        <v>1540</v>
      </c>
      <c r="M1183" s="428">
        <f>=I1183*L1183</f>
        <v>1540</v>
      </c>
      <c r="N1183" s="82">
        <f>=K1183-M1183</f>
        <v>37.76</v>
      </c>
      <c r="O1183" s="64">
        <v>1</v>
      </c>
      <c r="P1183" s="64">
        <f>=I1183*O1183*ROUNDUP((A1183-B1183)/30,0)</f>
        <v>3</v>
      </c>
      <c r="Q1183" s="62" t="s"/>
      <c r="R1183" s="62" t="s"/>
    </row>
    <row r="1184" spans="1:18" ht="15.75" customHeight="true">
      <c r="A1184" s="147">
        <v>46182</v>
      </c>
      <c r="B1184" s="460">
        <v>46111</v>
      </c>
      <c r="C1184" s="80" t="s">
        <v>221</v>
      </c>
      <c r="D1184" s="140" t="s">
        <v>220</v>
      </c>
      <c r="E1184" s="450" t="s">
        <v>3378</v>
      </c>
      <c r="F1184" s="108" t="s">
        <v>503</v>
      </c>
      <c r="G1184" s="64" t="s">
        <v>422</v>
      </c>
      <c r="H1184" s="64" t="s">
        <v>1408</v>
      </c>
      <c r="I1184" s="78">
        <v>1</v>
      </c>
      <c r="J1184" s="161">
        <v>1863.81</v>
      </c>
      <c r="K1184" s="427">
        <f>=I1184*J1184</f>
        <v>1863.81</v>
      </c>
      <c r="L1184" s="62">
        <v>1820</v>
      </c>
      <c r="M1184" s="428">
        <f>=I1184*L1184</f>
        <v>1820</v>
      </c>
      <c r="N1184" s="82">
        <f>=K1184-M1184</f>
        <v>43.81</v>
      </c>
      <c r="O1184" s="64">
        <v>1</v>
      </c>
      <c r="P1184" s="64">
        <f>=I1184*O1184*ROUNDUP((A1184-B1184)/30,0)</f>
        <v>3</v>
      </c>
      <c r="Q1184" s="62" t="s"/>
      <c r="R1184" s="62" t="s"/>
    </row>
    <row r="1185" spans="1:18" ht="15.75" customHeight="true">
      <c r="A1185" s="147">
        <v>46182</v>
      </c>
      <c r="B1185" s="460">
        <v>46111</v>
      </c>
      <c r="C1185" s="80" t="s">
        <v>221</v>
      </c>
      <c r="D1185" s="140" t="s">
        <v>220</v>
      </c>
      <c r="E1185" s="450" t="s">
        <v>3379</v>
      </c>
      <c r="F1185" s="108" t="s">
        <v>503</v>
      </c>
      <c r="G1185" s="64" t="s">
        <v>422</v>
      </c>
      <c r="H1185" s="64" t="s">
        <v>1410</v>
      </c>
      <c r="I1185" s="78">
        <v>1</v>
      </c>
      <c r="J1185" s="161">
        <v>1720.79</v>
      </c>
      <c r="K1185" s="427">
        <f>=I1185*J1185</f>
        <v>1720.79</v>
      </c>
      <c r="L1185" s="62">
        <v>1680</v>
      </c>
      <c r="M1185" s="428">
        <f>=I1185*L1185</f>
        <v>1680</v>
      </c>
      <c r="N1185" s="82">
        <f>=K1185-M1185</f>
        <v>40.79</v>
      </c>
      <c r="O1185" s="64">
        <v>1</v>
      </c>
      <c r="P1185" s="64">
        <f>=I1185*O1185*ROUNDUP((A1185-B1185)/30,0)</f>
        <v>3</v>
      </c>
      <c r="Q1185" s="62" t="s"/>
      <c r="R1185" s="62" t="s"/>
    </row>
    <row r="1186" spans="1:18" ht="15.75" customHeight="true">
      <c r="A1186" s="147">
        <v>46182</v>
      </c>
      <c r="B1186" s="460">
        <v>46111</v>
      </c>
      <c r="C1186" s="80" t="s">
        <v>221</v>
      </c>
      <c r="D1186" s="140" t="s">
        <v>220</v>
      </c>
      <c r="E1186" s="450" t="s">
        <v>3380</v>
      </c>
      <c r="F1186" s="108" t="s">
        <v>503</v>
      </c>
      <c r="G1186" s="64" t="s">
        <v>422</v>
      </c>
      <c r="H1186" s="64" t="s">
        <v>1412</v>
      </c>
      <c r="I1186" s="78">
        <v>1</v>
      </c>
      <c r="J1186" s="161">
        <v>2042.59</v>
      </c>
      <c r="K1186" s="427">
        <f>=I1186*J1186</f>
        <v>2042.59</v>
      </c>
      <c r="L1186" s="62">
        <v>1995</v>
      </c>
      <c r="M1186" s="428">
        <f>=I1186*L1186</f>
        <v>1995</v>
      </c>
      <c r="N1186" s="82">
        <f>=K1186-M1186</f>
        <v>47.5899999999999</v>
      </c>
      <c r="O1186" s="64">
        <v>1</v>
      </c>
      <c r="P1186" s="64">
        <f>=I1186*O1186*ROUNDUP((A1186-B1186)/30,0)</f>
        <v>3</v>
      </c>
      <c r="Q1186" s="62" t="s"/>
      <c r="R1186" s="62" t="s"/>
    </row>
    <row r="1187" spans="1:18" ht="15.75" customHeight="true">
      <c r="A1187" s="147">
        <v>46182</v>
      </c>
      <c r="B1187" s="460">
        <v>46111</v>
      </c>
      <c r="C1187" s="80" t="s">
        <v>221</v>
      </c>
      <c r="D1187" s="140" t="s">
        <v>220</v>
      </c>
      <c r="E1187" s="450" t="s">
        <v>3381</v>
      </c>
      <c r="F1187" s="108" t="s">
        <v>503</v>
      </c>
      <c r="G1187" s="64" t="s">
        <v>422</v>
      </c>
      <c r="H1187" s="64" t="s">
        <v>1414</v>
      </c>
      <c r="I1187" s="78">
        <v>1</v>
      </c>
      <c r="J1187" s="161">
        <v>2042.59</v>
      </c>
      <c r="K1187" s="427">
        <f>=I1187*J1187</f>
        <v>2042.59</v>
      </c>
      <c r="L1187" s="62">
        <v>1995</v>
      </c>
      <c r="M1187" s="428">
        <f>=I1187*L1187</f>
        <v>1995</v>
      </c>
      <c r="N1187" s="82">
        <f>=K1187-M1187</f>
        <v>47.5899999999999</v>
      </c>
      <c r="O1187" s="64">
        <v>1</v>
      </c>
      <c r="P1187" s="64">
        <f>=I1187*O1187*ROUNDUP((A1187-B1187)/30,0)</f>
        <v>3</v>
      </c>
      <c r="Q1187" s="62" t="s"/>
      <c r="R1187" s="62" t="s"/>
    </row>
    <row r="1188" spans="1:18" ht="15.75" customHeight="true">
      <c r="A1188" s="147">
        <v>46182</v>
      </c>
      <c r="B1188" s="460">
        <v>46111</v>
      </c>
      <c r="C1188" s="80" t="s">
        <v>221</v>
      </c>
      <c r="D1188" s="140" t="s">
        <v>220</v>
      </c>
      <c r="E1188" s="450" t="s">
        <v>3382</v>
      </c>
      <c r="F1188" s="108" t="s">
        <v>503</v>
      </c>
      <c r="G1188" s="64" t="s">
        <v>422</v>
      </c>
      <c r="H1188" s="64" t="s">
        <v>1416</v>
      </c>
      <c r="I1188" s="78">
        <v>1</v>
      </c>
      <c r="J1188" s="161">
        <v>2042.59</v>
      </c>
      <c r="K1188" s="427">
        <f>=I1188*J1188</f>
        <v>2042.59</v>
      </c>
      <c r="L1188" s="62">
        <v>1995</v>
      </c>
      <c r="M1188" s="428">
        <f>=I1188*L1188</f>
        <v>1995</v>
      </c>
      <c r="N1188" s="82">
        <f>=K1188-M1188</f>
        <v>47.5899999999999</v>
      </c>
      <c r="O1188" s="64">
        <v>1</v>
      </c>
      <c r="P1188" s="64">
        <f>=I1188*O1188*ROUNDUP((A1188-B1188)/30,0)</f>
        <v>3</v>
      </c>
      <c r="Q1188" s="62" t="s"/>
      <c r="R1188" s="62" t="s"/>
    </row>
    <row r="1189" spans="1:18" ht="15.75" customHeight="true">
      <c r="A1189" s="147">
        <v>46182</v>
      </c>
      <c r="B1189" s="460">
        <v>46111</v>
      </c>
      <c r="C1189" s="80" t="s">
        <v>221</v>
      </c>
      <c r="D1189" s="140" t="s">
        <v>220</v>
      </c>
      <c r="E1189" s="450" t="s">
        <v>3383</v>
      </c>
      <c r="F1189" s="64" t="s">
        <v>864</v>
      </c>
      <c r="G1189" s="64" t="s">
        <v>422</v>
      </c>
      <c r="H1189" s="64" t="s">
        <v>1418</v>
      </c>
      <c r="I1189" s="78">
        <v>1</v>
      </c>
      <c r="J1189" s="161">
        <v>2972.25</v>
      </c>
      <c r="K1189" s="427">
        <f>=I1189*J1189</f>
        <v>2972.25</v>
      </c>
      <c r="L1189" s="62">
        <v>2905</v>
      </c>
      <c r="M1189" s="428">
        <f>=I1189*L1189</f>
        <v>2905</v>
      </c>
      <c r="N1189" s="82">
        <f>=K1189-M1189</f>
        <v>67.25</v>
      </c>
      <c r="O1189" s="64">
        <v>1</v>
      </c>
      <c r="P1189" s="64">
        <f>=I1189*O1189*ROUNDUP((A1189-B1189)/30,0)</f>
        <v>3</v>
      </c>
      <c r="Q1189" s="62" t="s"/>
      <c r="R1189" s="62" t="s"/>
    </row>
    <row r="1190" spans="1:18" ht="15.75" customHeight="true">
      <c r="A1190" s="147">
        <v>46182</v>
      </c>
      <c r="B1190" s="460">
        <v>46111</v>
      </c>
      <c r="C1190" s="80" t="s">
        <v>221</v>
      </c>
      <c r="D1190" s="140" t="s">
        <v>220</v>
      </c>
      <c r="E1190" s="450" t="s">
        <v>3384</v>
      </c>
      <c r="F1190" s="64" t="s">
        <v>864</v>
      </c>
      <c r="G1190" s="64" t="s">
        <v>422</v>
      </c>
      <c r="H1190" s="64" t="s">
        <v>1420</v>
      </c>
      <c r="I1190" s="78">
        <v>1</v>
      </c>
      <c r="J1190" s="161">
        <v>1828.06</v>
      </c>
      <c r="K1190" s="427">
        <f>=I1190*J1190</f>
        <v>1828.06</v>
      </c>
      <c r="L1190" s="62">
        <v>1785</v>
      </c>
      <c r="M1190" s="428">
        <f>=I1190*L1190</f>
        <v>1785</v>
      </c>
      <c r="N1190" s="82">
        <f>=K1190-M1190</f>
        <v>43.06</v>
      </c>
      <c r="O1190" s="64">
        <v>1</v>
      </c>
      <c r="P1190" s="64">
        <f>=I1190*O1190*ROUNDUP((A1190-B1190)/30,0)</f>
        <v>3</v>
      </c>
      <c r="Q1190" s="62" t="s"/>
      <c r="R1190" s="62" t="s"/>
    </row>
    <row r="1191" spans="1:18" ht="15.75" customHeight="true">
      <c r="A1191" s="147">
        <v>46182</v>
      </c>
      <c r="B1191" s="460">
        <v>46104</v>
      </c>
      <c r="C1191" s="71" t="s">
        <v>160</v>
      </c>
      <c r="D1191" s="78" t="s">
        <v>159</v>
      </c>
      <c r="E1191" s="156" t="s">
        <v>3385</v>
      </c>
      <c r="F1191" s="156" t="s">
        <v>741</v>
      </c>
      <c r="G1191" s="156" t="s">
        <v>422</v>
      </c>
      <c r="H1191" s="156" t="s">
        <v>996</v>
      </c>
      <c r="I1191">
        <v>260</v>
      </c>
      <c r="J1191" s="508">
        <v>1223.7</v>
      </c>
      <c r="K1191" s="427">
        <f>=I1191*J1191</f>
        <v>318162</v>
      </c>
      <c r="L1191" s="71">
        <v>1200</v>
      </c>
      <c r="M1191" s="428">
        <f>=I1191*L1191</f>
        <v>312000</v>
      </c>
      <c r="N1191" s="82">
        <f>=K1191-M1191</f>
        <v>6162</v>
      </c>
      <c r="O1191" s="64">
        <v>0</v>
      </c>
      <c r="P1191" s="64">
        <f>=I1191*O1191*ROUNDUP((A1191-B1191)/30,0)</f>
        <v>0</v>
      </c>
      <c r="Q1191" s="62" t="s"/>
      <c r="R1191" s="62" t="s"/>
    </row>
    <row r="1192" spans="1:18" ht="15.75" customHeight="true">
      <c r="A1192" s="147">
        <v>46182</v>
      </c>
      <c r="B1192" s="460">
        <v>46095</v>
      </c>
      <c r="C1192" s="98" t="s">
        <v>144</v>
      </c>
      <c r="D1192" s="71" t="s">
        <v>135</v>
      </c>
      <c r="E1192" s="511" t="s">
        <v>3386</v>
      </c>
      <c r="F1192" s="71" t="s">
        <v>428</v>
      </c>
      <c r="G1192" s="71" t="s">
        <v>422</v>
      </c>
      <c r="H1192" s="97" t="s">
        <v>884</v>
      </c>
      <c r="I1192" s="339">
        <v>100</v>
      </c>
      <c r="J1192" s="491">
        <v>953.46</v>
      </c>
      <c r="K1192" s="427">
        <f>=I1192*J1192</f>
        <v>95346</v>
      </c>
      <c r="L1192" s="71">
        <v>930</v>
      </c>
      <c r="M1192" s="428">
        <f>=I1192*L1192</f>
        <v>93000</v>
      </c>
      <c r="N1192" s="82">
        <f>=K1192-M1192</f>
        <v>2346</v>
      </c>
      <c r="O1192" s="64">
        <v>1</v>
      </c>
      <c r="P1192" s="64">
        <f>=I1192*O1192*ROUNDUP((A1192-B1192)/30,0)</f>
        <v>300</v>
      </c>
      <c r="Q1192" s="62" t="s"/>
      <c r="R1192" s="62" t="s"/>
    </row>
    <row r="1193" spans="1:18" ht="15.75" customHeight="true">
      <c r="A1193" s="147">
        <v>46182</v>
      </c>
      <c r="B1193" s="460">
        <v>46095</v>
      </c>
      <c r="C1193" s="98" t="s">
        <v>144</v>
      </c>
      <c r="D1193" s="71" t="s">
        <v>135</v>
      </c>
      <c r="E1193" s="511" t="s">
        <v>3387</v>
      </c>
      <c r="F1193" s="112" t="s">
        <v>428</v>
      </c>
      <c r="G1193" s="112" t="s">
        <v>422</v>
      </c>
      <c r="H1193" s="97" t="s">
        <v>886</v>
      </c>
      <c r="I1193" s="339">
        <v>50</v>
      </c>
      <c r="J1193" s="491">
        <v>953.46</v>
      </c>
      <c r="K1193" s="427">
        <f>=I1193*J1193</f>
        <v>47673</v>
      </c>
      <c r="L1193" s="71">
        <v>930</v>
      </c>
      <c r="M1193" s="428">
        <f>=I1193*L1193</f>
        <v>46500</v>
      </c>
      <c r="N1193" s="82">
        <f>=K1193-M1193</f>
        <v>1173</v>
      </c>
      <c r="O1193" s="64">
        <v>1</v>
      </c>
      <c r="P1193" s="64">
        <f>=I1193*O1193*ROUNDUP((A1193-B1193)/30,0)</f>
        <v>150</v>
      </c>
      <c r="Q1193" s="62" t="s"/>
      <c r="R1193" s="62" t="s"/>
    </row>
    <row r="1194" spans="1:18" ht="15.75" customHeight="true">
      <c r="A1194" s="147">
        <v>46182</v>
      </c>
      <c r="B1194" s="460">
        <v>46114</v>
      </c>
      <c r="C1194" s="98" t="s">
        <v>237</v>
      </c>
      <c r="D1194" s="71" t="s">
        <v>135</v>
      </c>
      <c r="E1194" s="511" t="s">
        <v>3388</v>
      </c>
      <c r="F1194" s="156" t="s">
        <v>428</v>
      </c>
      <c r="G1194" s="262" t="s">
        <v>422</v>
      </c>
      <c r="H1194" s="64" t="s">
        <v>1697</v>
      </c>
      <c r="I1194" s="154">
        <v>50</v>
      </c>
      <c r="J1194" s="508">
        <v>679.47</v>
      </c>
      <c r="K1194" s="427">
        <f>=I1194*J1194</f>
        <v>33973.5</v>
      </c>
      <c r="L1194">
        <v>665</v>
      </c>
      <c r="M1194" s="428">
        <f>=I1194*L1194</f>
        <v>33250</v>
      </c>
      <c r="N1194" s="82">
        <f>=K1194-M1194</f>
        <v>723.5</v>
      </c>
      <c r="O1194" s="64">
        <v>1</v>
      </c>
      <c r="P1194" s="64">
        <f>=I1194*O1194*ROUNDUP((A1194-B1194)/30,0)</f>
        <v>150</v>
      </c>
      <c r="Q1194" s="62" t="s"/>
      <c r="R1194" s="62" t="s"/>
    </row>
    <row r="1195" spans="1:18" ht="15.75" customHeight="true">
      <c r="A1195" s="147">
        <v>46182</v>
      </c>
      <c r="B1195" s="460">
        <v>46123</v>
      </c>
      <c r="C1195" s="71" t="s">
        <v>248</v>
      </c>
      <c r="D1195" t="s">
        <v>130</v>
      </c>
      <c r="E1195" s="145" t="s">
        <v>3389</v>
      </c>
      <c r="F1195" s="330" t="s">
        <v>428</v>
      </c>
      <c r="G1195" s="329" t="s">
        <v>470</v>
      </c>
      <c r="H1195" s="213" t="s">
        <v>1311</v>
      </c>
      <c r="I1195" s="249">
        <v>10</v>
      </c>
      <c r="J1195" s="339">
        <v>4849.68</v>
      </c>
      <c r="K1195" s="427">
        <f>=I1195*J1195</f>
        <v>48496.8</v>
      </c>
      <c r="L1195" s="62">
        <v>4760</v>
      </c>
      <c r="M1195" s="428">
        <f>=I1195*L1195</f>
        <v>47600</v>
      </c>
      <c r="N1195" s="82">
        <f>=K1195-M1195</f>
        <v>896.800000000003</v>
      </c>
      <c r="O1195" s="64">
        <v>1.5</v>
      </c>
      <c r="P1195" s="64">
        <f>=I1195*O1195*ROUNDUP((A1195-B1195)/30,0)</f>
        <v>30</v>
      </c>
      <c r="Q1195" s="62" t="s"/>
      <c r="R1195" s="62" t="s"/>
    </row>
    <row r="1196" spans="1:18" ht="15.75" customHeight="true">
      <c r="A1196" s="147">
        <v>46182</v>
      </c>
      <c r="B1196" s="460">
        <v>46123</v>
      </c>
      <c r="C1196" s="71" t="s">
        <v>248</v>
      </c>
      <c r="D1196" t="s">
        <v>130</v>
      </c>
      <c r="E1196" s="145" t="s">
        <v>3390</v>
      </c>
      <c r="F1196" s="330" t="s">
        <v>428</v>
      </c>
      <c r="G1196" s="329" t="s">
        <v>470</v>
      </c>
      <c r="H1196" s="329" t="s">
        <v>1790</v>
      </c>
      <c r="I1196" s="249">
        <v>10</v>
      </c>
      <c r="J1196" s="339">
        <v>4849.68</v>
      </c>
      <c r="K1196" s="427">
        <f>=I1196*J1196</f>
        <v>48496.8</v>
      </c>
      <c r="L1196" s="62">
        <v>4760</v>
      </c>
      <c r="M1196" s="428">
        <f>=I1196*L1196</f>
        <v>47600</v>
      </c>
      <c r="N1196" s="82">
        <f>=K1196-M1196</f>
        <v>896.800000000003</v>
      </c>
      <c r="O1196" s="64">
        <v>1.5</v>
      </c>
      <c r="P1196" s="64">
        <f>=I1196*O1196*ROUNDUP((A1196-B1196)/30,0)</f>
        <v>30</v>
      </c>
      <c r="Q1196" s="62" t="s"/>
      <c r="R1196" s="62" t="s"/>
    </row>
    <row r="1197" spans="1:18" ht="15.75" customHeight="true">
      <c r="A1197" s="147">
        <v>46182</v>
      </c>
      <c r="B1197" s="460">
        <v>46123</v>
      </c>
      <c r="C1197" s="71" t="s">
        <v>248</v>
      </c>
      <c r="D1197" s="262" t="s">
        <v>130</v>
      </c>
      <c r="E1197" s="145" t="s">
        <v>3391</v>
      </c>
      <c r="F1197" s="330" t="s">
        <v>428</v>
      </c>
      <c r="G1197" s="330" t="s">
        <v>470</v>
      </c>
      <c r="H1197" s="520" t="s">
        <v>1790</v>
      </c>
      <c r="I1197" s="249">
        <v>10</v>
      </c>
      <c r="J1197" s="249">
        <v>4849.68</v>
      </c>
      <c r="K1197" s="427">
        <f>=I1197*J1197</f>
        <v>48496.8</v>
      </c>
      <c r="L1197" s="62">
        <v>4760</v>
      </c>
      <c r="M1197" s="428">
        <f>=I1197*L1197</f>
        <v>47600</v>
      </c>
      <c r="N1197" s="82">
        <f>=K1197-M1197</f>
        <v>896.800000000003</v>
      </c>
      <c r="O1197" s="64">
        <v>1.5</v>
      </c>
      <c r="P1197" s="64">
        <f>=I1197*O1197*ROUNDUP((A1197-B1197)/30,0)</f>
        <v>30</v>
      </c>
      <c r="Q1197" s="62" t="s"/>
      <c r="R1197" s="62" t="s"/>
    </row>
    <row r="1198" spans="1:18" ht="15.75" customHeight="true">
      <c r="A1198" s="147">
        <v>46182</v>
      </c>
      <c r="B1198" s="460">
        <v>46123</v>
      </c>
      <c r="C1198" s="71" t="s">
        <v>248</v>
      </c>
      <c r="D1198" s="262" t="s">
        <v>130</v>
      </c>
      <c r="E1198" s="145" t="s">
        <v>3392</v>
      </c>
      <c r="F1198" s="330" t="s">
        <v>428</v>
      </c>
      <c r="G1198" s="330" t="s">
        <v>470</v>
      </c>
      <c r="H1198" s="521" t="s">
        <v>1790</v>
      </c>
      <c r="I1198" s="249">
        <v>10</v>
      </c>
      <c r="J1198" s="249">
        <v>4849.68</v>
      </c>
      <c r="K1198" s="427">
        <f>=I1198*J1198</f>
        <v>48496.8</v>
      </c>
      <c r="L1198" s="62">
        <v>4760</v>
      </c>
      <c r="M1198" s="428">
        <f>=I1198*L1198</f>
        <v>47600</v>
      </c>
      <c r="N1198" s="82">
        <f>=K1198-M1198</f>
        <v>896.800000000003</v>
      </c>
      <c r="O1198" s="64">
        <v>1.5</v>
      </c>
      <c r="P1198" s="64">
        <f>=I1198*O1198*ROUNDUP((A1198-B1198)/30,0)</f>
        <v>30</v>
      </c>
      <c r="Q1198" s="62" t="s"/>
      <c r="R1198" s="62" t="s"/>
    </row>
    <row r="1199" spans="1:18" ht="15.75" customHeight="true">
      <c r="A1199" s="147">
        <v>46182</v>
      </c>
      <c r="B1199" s="460">
        <v>46123</v>
      </c>
      <c r="C1199" s="71" t="s">
        <v>248</v>
      </c>
      <c r="D1199" s="262" t="s">
        <v>130</v>
      </c>
      <c r="E1199" s="145" t="s">
        <v>3393</v>
      </c>
      <c r="F1199" s="330" t="s">
        <v>428</v>
      </c>
      <c r="G1199" s="330" t="s">
        <v>470</v>
      </c>
      <c r="H1199" s="213" t="s">
        <v>1311</v>
      </c>
      <c r="I1199" s="249">
        <v>10</v>
      </c>
      <c r="J1199" s="249">
        <v>4849.68</v>
      </c>
      <c r="K1199" s="427">
        <f>=I1199*J1199</f>
        <v>48496.8</v>
      </c>
      <c r="L1199" s="62">
        <v>4760</v>
      </c>
      <c r="M1199" s="428">
        <f>=I1199*L1199</f>
        <v>47600</v>
      </c>
      <c r="N1199" s="82">
        <f>=K1199-M1199</f>
        <v>896.800000000003</v>
      </c>
      <c r="O1199" s="64">
        <v>1.5</v>
      </c>
      <c r="P1199" s="64">
        <f>=I1199*O1199*ROUNDUP((A1199-B1199)/30,0)</f>
        <v>30</v>
      </c>
      <c r="Q1199" s="62" t="s"/>
      <c r="R1199" s="62" t="s"/>
    </row>
    <row r="1200" spans="1:18" ht="15.75" customHeight="true">
      <c r="A1200" s="147">
        <v>46182</v>
      </c>
      <c r="B1200" s="460">
        <v>46123</v>
      </c>
      <c r="C1200" s="71" t="s">
        <v>248</v>
      </c>
      <c r="D1200" s="262" t="s">
        <v>130</v>
      </c>
      <c r="E1200" s="145" t="s">
        <v>3394</v>
      </c>
      <c r="F1200" s="330" t="s">
        <v>428</v>
      </c>
      <c r="G1200" s="330" t="s">
        <v>470</v>
      </c>
      <c r="H1200" s="271" t="s">
        <v>1311</v>
      </c>
      <c r="I1200" s="249">
        <v>10</v>
      </c>
      <c r="J1200" s="249">
        <v>4849.68</v>
      </c>
      <c r="K1200" s="427">
        <f>=I1200*J1200</f>
        <v>48496.8</v>
      </c>
      <c r="L1200" s="62">
        <v>4760</v>
      </c>
      <c r="M1200" s="428">
        <f>=I1200*L1200</f>
        <v>47600</v>
      </c>
      <c r="N1200" s="82">
        <f>=K1200-M1200</f>
        <v>896.800000000003</v>
      </c>
      <c r="O1200" s="64">
        <v>1.5</v>
      </c>
      <c r="P1200" s="64">
        <f>=I1200*O1200*ROUNDUP((A1200-B1200)/30,0)</f>
        <v>30</v>
      </c>
      <c r="Q1200" s="62" t="s"/>
      <c r="R1200" s="62" t="s"/>
    </row>
    <row r="1201" spans="1:18" ht="15.75" customHeight="true">
      <c r="A1201" s="147">
        <v>46182</v>
      </c>
      <c r="B1201" s="460">
        <v>46123</v>
      </c>
      <c r="C1201" s="71" t="s">
        <v>248</v>
      </c>
      <c r="D1201" s="262" t="s">
        <v>130</v>
      </c>
      <c r="E1201" s="145" t="s">
        <v>3395</v>
      </c>
      <c r="F1201" s="330" t="s">
        <v>428</v>
      </c>
      <c r="G1201" s="330" t="s">
        <v>470</v>
      </c>
      <c r="H1201" s="160" t="s">
        <v>1311</v>
      </c>
      <c r="I1201" s="249">
        <v>10</v>
      </c>
      <c r="J1201" s="249">
        <v>4849.68</v>
      </c>
      <c r="K1201" s="427">
        <f>=I1201*J1201</f>
        <v>48496.8</v>
      </c>
      <c r="L1201" s="62">
        <v>4760</v>
      </c>
      <c r="M1201" s="428">
        <f>=I1201*L1201</f>
        <v>47600</v>
      </c>
      <c r="N1201" s="82">
        <f>=K1201-M1201</f>
        <v>896.800000000003</v>
      </c>
      <c r="O1201" s="64">
        <v>1.5</v>
      </c>
      <c r="P1201" s="64">
        <f>=I1201*O1201*ROUNDUP((A1201-B1201)/30,0)</f>
        <v>30</v>
      </c>
      <c r="Q1201" s="62" t="s"/>
      <c r="R1201" s="62" t="s"/>
    </row>
    <row r="1202" spans="1:18" ht="15.75" customHeight="true">
      <c r="A1202" s="147">
        <v>46183</v>
      </c>
      <c r="B1202" s="460">
        <v>46095</v>
      </c>
      <c r="C1202" s="98" t="s">
        <v>144</v>
      </c>
      <c r="D1202" s="71" t="s">
        <v>135</v>
      </c>
      <c r="E1202" s="511" t="s">
        <v>3396</v>
      </c>
      <c r="F1202" s="112" t="s">
        <v>428</v>
      </c>
      <c r="G1202" s="112" t="s">
        <v>422</v>
      </c>
      <c r="H1202" s="97" t="s">
        <v>612</v>
      </c>
      <c r="I1202">
        <v>50</v>
      </c>
      <c r="J1202" s="508">
        <v>953.69</v>
      </c>
      <c r="K1202" s="427">
        <f>=I1202*J1202</f>
        <v>47684.5</v>
      </c>
      <c r="L1202" s="71">
        <v>930</v>
      </c>
      <c r="M1202" s="428">
        <f>=I1202*L1202</f>
        <v>46500</v>
      </c>
      <c r="N1202" s="82">
        <f>=K1202-M1202</f>
        <v>1184.5</v>
      </c>
      <c r="O1202" s="64">
        <v>1</v>
      </c>
      <c r="P1202" s="64">
        <f>=I1202*O1202*ROUNDUP((A1202-B1202)/30,0)</f>
        <v>150</v>
      </c>
      <c r="Q1202" s="62" t="s"/>
      <c r="R1202" s="62" t="s"/>
    </row>
    <row r="1203" spans="1:18" ht="15.75" customHeight="true">
      <c r="A1203" s="147">
        <v>46183</v>
      </c>
      <c r="B1203" s="460">
        <v>46114</v>
      </c>
      <c r="C1203" s="98" t="s">
        <v>237</v>
      </c>
      <c r="D1203" s="71" t="s">
        <v>135</v>
      </c>
      <c r="E1203" s="511" t="s">
        <v>3397</v>
      </c>
      <c r="F1203" s="354" t="s">
        <v>428</v>
      </c>
      <c r="G1203" s="71" t="s">
        <v>422</v>
      </c>
      <c r="H1203" s="64" t="s">
        <v>1260</v>
      </c>
      <c r="I1203">
        <v>200</v>
      </c>
      <c r="J1203" s="508">
        <v>537.19</v>
      </c>
      <c r="K1203" s="427">
        <f>=I1203*J1203</f>
        <v>107438</v>
      </c>
      <c r="L1203" s="144">
        <v>525</v>
      </c>
      <c r="M1203" s="428">
        <f>=I1203*L1203</f>
        <v>105000</v>
      </c>
      <c r="N1203" s="82">
        <f>=K1203-M1203</f>
        <v>2438.00000000002</v>
      </c>
      <c r="O1203" s="64">
        <v>1</v>
      </c>
      <c r="P1203" s="64">
        <f>=I1203*O1203*ROUNDUP((A1203-B1203)/30,0)</f>
        <v>600</v>
      </c>
      <c r="Q1203" s="62" t="s"/>
      <c r="R1203" s="62" t="s"/>
    </row>
    <row r="1204" spans="1:18" ht="15.75" customHeight="true">
      <c r="A1204" s="147">
        <v>46183</v>
      </c>
      <c r="B1204" s="460">
        <v>46162</v>
      </c>
      <c r="C1204" s="98" t="s">
        <v>350</v>
      </c>
      <c r="D1204" s="71" t="s">
        <v>150</v>
      </c>
      <c r="E1204" s="359" t="s">
        <v>3398</v>
      </c>
      <c r="F1204" s="71" t="s">
        <v>895</v>
      </c>
      <c r="G1204" s="71" t="s">
        <v>422</v>
      </c>
      <c r="H1204" s="71" t="s">
        <v>896</v>
      </c>
      <c r="I1204" s="522">
        <v>200</v>
      </c>
      <c r="J1204" s="136">
        <v>1027.11</v>
      </c>
      <c r="K1204" s="427">
        <f>=I1204*J1204</f>
        <v>205422</v>
      </c>
      <c r="L1204" s="323">
        <v>1020</v>
      </c>
      <c r="M1204" s="428">
        <f>=I1204*L1204</f>
        <v>204000</v>
      </c>
      <c r="N1204" s="82">
        <f>=K1204-M1204</f>
        <v>1421.99999999997</v>
      </c>
      <c r="O1204" s="64">
        <v>1</v>
      </c>
      <c r="P1204" s="64">
        <f>=I1204*O1204*ROUNDUP((A1204-B1204)/30,0)</f>
        <v>200</v>
      </c>
      <c r="Q1204" s="62" t="s"/>
      <c r="R1204" s="62" t="s"/>
    </row>
    <row r="1205" spans="1:18" ht="15.75" customHeight="true">
      <c r="A1205" s="147">
        <v>46183</v>
      </c>
      <c r="B1205" s="460">
        <v>46114</v>
      </c>
      <c r="C1205" s="135" t="s">
        <v>238</v>
      </c>
      <c r="D1205" s="100" t="s">
        <v>211</v>
      </c>
      <c r="E1205" s="511" t="s">
        <v>3399</v>
      </c>
      <c r="F1205" s="136" t="s">
        <v>421</v>
      </c>
      <c r="G1205" s="136" t="s">
        <v>470</v>
      </c>
      <c r="H1205" s="136" t="s">
        <v>1286</v>
      </c>
      <c r="I1205">
        <v>100</v>
      </c>
      <c r="J1205" s="508">
        <v>2855</v>
      </c>
      <c r="K1205" s="427">
        <f>=I1205*J1205</f>
        <v>285500</v>
      </c>
      <c r="L1205">
        <v>2800</v>
      </c>
      <c r="M1205" s="428">
        <f>=I1205*L1205</f>
        <v>280000</v>
      </c>
      <c r="N1205" s="82">
        <f>=K1205-M1205</f>
        <v>5500</v>
      </c>
      <c r="O1205" s="64">
        <v>1.5</v>
      </c>
      <c r="P1205" s="64">
        <f>=I1205*O1205*ROUNDUP((A1205-B1205)/30,0)</f>
        <v>450</v>
      </c>
      <c r="Q1205" s="62" t="s"/>
      <c r="R1205" s="62" t="s"/>
    </row>
    <row r="1206" spans="1:18" ht="15.75" customHeight="true">
      <c r="A1206" s="147">
        <v>46183</v>
      </c>
      <c r="B1206" s="460">
        <v>46150</v>
      </c>
      <c r="C1206" s="98" t="s">
        <v>314</v>
      </c>
      <c r="D1206" s="71" t="s">
        <v>150</v>
      </c>
      <c r="E1206" s="145" t="s">
        <v>3400</v>
      </c>
      <c r="F1206" s="156" t="s">
        <v>895</v>
      </c>
      <c r="G1206" s="220" t="s">
        <v>422</v>
      </c>
      <c r="H1206" s="140" t="s">
        <v>2069</v>
      </c>
      <c r="I1206">
        <v>30</v>
      </c>
      <c r="J1206" s="508">
        <v>950.99</v>
      </c>
      <c r="K1206" s="427">
        <f>=I1206*J1206</f>
        <v>28529.7</v>
      </c>
      <c r="L1206">
        <v>940</v>
      </c>
      <c r="M1206" s="428">
        <f>=I1206*L1206</f>
        <v>28200</v>
      </c>
      <c r="N1206" s="82">
        <f>=K1206-M1206</f>
        <v>329.700000000001</v>
      </c>
      <c r="O1206" s="64">
        <v>1</v>
      </c>
      <c r="P1206" s="64">
        <f>=I1206*O1206*ROUNDUP((A1206-B1206)/30,0)</f>
        <v>60</v>
      </c>
      <c r="Q1206" s="62" t="s"/>
      <c r="R1206" s="62" t="s"/>
    </row>
    <row r="1207" spans="1:18" ht="15.75" customHeight="true">
      <c r="A1207" s="147">
        <v>46183</v>
      </c>
      <c r="B1207" s="460">
        <v>46120</v>
      </c>
      <c r="C1207" s="71" t="s">
        <v>242</v>
      </c>
      <c r="D1207" s="64" t="s">
        <v>116</v>
      </c>
      <c r="E1207" s="153" t="s">
        <v>3401</v>
      </c>
      <c r="F1207" t="s">
        <v>804</v>
      </c>
      <c r="G1207" t="s">
        <v>429</v>
      </c>
      <c r="H1207" s="71" t="s">
        <v>822</v>
      </c>
      <c r="I1207">
        <v>100</v>
      </c>
      <c r="J1207" s="249">
        <v>85.4</v>
      </c>
      <c r="K1207" s="427">
        <f>=I1207*J1207</f>
        <v>8540</v>
      </c>
      <c r="L1207">
        <v>84</v>
      </c>
      <c r="M1207" s="428">
        <f>=I1207*L1207</f>
        <v>8400</v>
      </c>
      <c r="N1207" s="82">
        <f>=K1207-M1207</f>
        <v>140</v>
      </c>
      <c r="O1207" s="64">
        <v>0</v>
      </c>
      <c r="P1207" s="64">
        <f>=I1207*O1207*ROUNDUP((A1207-B1207)/30,0)</f>
        <v>0</v>
      </c>
      <c r="Q1207" s="62" t="s"/>
      <c r="R1207" s="62" t="s"/>
    </row>
    <row r="1208" spans="1:18" ht="15.75" customHeight="true">
      <c r="A1208" s="147">
        <v>46183</v>
      </c>
      <c r="B1208" s="460">
        <v>46107</v>
      </c>
      <c r="C1208" s="98" t="s">
        <v>193</v>
      </c>
      <c r="D1208" s="71" t="s">
        <v>138</v>
      </c>
      <c r="E1208" s="511" t="s">
        <v>3402</v>
      </c>
      <c r="F1208" s="71" t="s">
        <v>864</v>
      </c>
      <c r="G1208" s="71" t="s">
        <v>422</v>
      </c>
      <c r="H1208" s="71" t="s">
        <v>1109</v>
      </c>
      <c r="I1208">
        <v>40</v>
      </c>
      <c r="J1208" s="491">
        <v>1839.15</v>
      </c>
      <c r="K1208" s="427">
        <f>=I1208*J1208</f>
        <v>73566</v>
      </c>
      <c r="L1208" s="71">
        <v>1800</v>
      </c>
      <c r="M1208" s="428">
        <f>=I1208*L1208</f>
        <v>72000</v>
      </c>
      <c r="N1208" s="82">
        <f>=K1208-M1208</f>
        <v>1566</v>
      </c>
      <c r="O1208" s="64">
        <v>1</v>
      </c>
      <c r="P1208" s="64">
        <f>=I1208*O1208*ROUNDUP((A1208-B1208)/30,0)</f>
        <v>120</v>
      </c>
      <c r="Q1208" s="62" t="s"/>
      <c r="R1208" s="62" t="s"/>
    </row>
    <row r="1209" spans="1:18" ht="15.75" customHeight="true">
      <c r="A1209" s="147">
        <v>46183</v>
      </c>
      <c r="B1209" s="460">
        <v>46164</v>
      </c>
      <c r="C1209" s="71" t="s">
        <v>354</v>
      </c>
      <c r="D1209" s="71" t="s">
        <v>169</v>
      </c>
      <c r="E1209" s="365" t="s">
        <v>3403</v>
      </c>
      <c r="F1209" s="156" t="s">
        <v>421</v>
      </c>
      <c r="G1209" s="156" t="s">
        <v>422</v>
      </c>
      <c r="H1209" s="156" t="s">
        <v>979</v>
      </c>
      <c r="I1209">
        <v>1</v>
      </c>
      <c r="J1209" s="249">
        <v>4393.35</v>
      </c>
      <c r="K1209" s="427">
        <f>=I1209*J1209</f>
        <v>4393.35</v>
      </c>
      <c r="L1209">
        <v>4370</v>
      </c>
      <c r="M1209" s="428">
        <f>=I1209*L1209</f>
        <v>4370</v>
      </c>
      <c r="N1209" s="82">
        <f>=K1209-M1209</f>
        <v>23.3500000000004</v>
      </c>
      <c r="O1209" s="64">
        <v>1</v>
      </c>
      <c r="P1209" s="64">
        <f>=I1209*O1209*ROUNDUP((A1209-B1209)/30,0)</f>
        <v>1</v>
      </c>
      <c r="Q1209" s="62" t="s"/>
      <c r="R1209" s="62" t="s"/>
    </row>
    <row r="1210" spans="1:18" ht="15.75" customHeight="true">
      <c r="A1210" s="147">
        <v>46184</v>
      </c>
      <c r="B1210" s="460">
        <v>46132</v>
      </c>
      <c r="C1210" s="98" t="s">
        <v>275</v>
      </c>
      <c r="D1210" t="s">
        <v>272</v>
      </c>
      <c r="E1210" s="145" t="s">
        <v>3404</v>
      </c>
      <c r="F1210" s="140" t="s">
        <v>428</v>
      </c>
      <c r="G1210" s="87" t="s">
        <v>422</v>
      </c>
      <c r="H1210" s="64" t="s">
        <v>1892</v>
      </c>
      <c r="I1210">
        <v>11</v>
      </c>
      <c r="J1210" s="508">
        <v>6117.95</v>
      </c>
      <c r="K1210" s="427">
        <f>=I1210*J1210</f>
        <v>67297.45</v>
      </c>
      <c r="L1210">
        <v>6035</v>
      </c>
      <c r="M1210" s="428">
        <f>=I1210*L1210</f>
        <v>66385</v>
      </c>
      <c r="N1210" s="82">
        <f>=K1210-M1210</f>
        <v>912.449999999997</v>
      </c>
      <c r="O1210" s="64">
        <v>1</v>
      </c>
      <c r="P1210" s="64">
        <f>=I1210*O1210*ROUNDUP((A1210-B1210)/30,0)</f>
        <v>22</v>
      </c>
      <c r="Q1210" s="62" t="s"/>
      <c r="R1210" s="62" t="s"/>
    </row>
    <row r="1211" spans="1:18" ht="15.75" customHeight="true">
      <c r="A1211" s="147">
        <v>46185</v>
      </c>
      <c r="B1211" s="460">
        <v>46162</v>
      </c>
      <c r="C1211" s="98" t="s">
        <v>350</v>
      </c>
      <c r="D1211" s="71" t="s">
        <v>150</v>
      </c>
      <c r="E1211" s="365" t="s">
        <v>3405</v>
      </c>
      <c r="F1211" s="71" t="s">
        <v>895</v>
      </c>
      <c r="G1211" s="71" t="s">
        <v>422</v>
      </c>
      <c r="H1211" s="71" t="s">
        <v>896</v>
      </c>
      <c r="I1211" s="522">
        <v>200</v>
      </c>
      <c r="J1211" s="513">
        <v>1027.62</v>
      </c>
      <c r="K1211" s="427">
        <f>=I1211*J1211</f>
        <v>205524</v>
      </c>
      <c r="L1211" s="323">
        <v>1020</v>
      </c>
      <c r="M1211" s="428">
        <f>=I1211*L1211</f>
        <v>204000</v>
      </c>
      <c r="N1211" s="82">
        <f>=K1211-M1211</f>
        <v>1523.99999999997</v>
      </c>
      <c r="O1211" s="64">
        <v>1</v>
      </c>
      <c r="P1211" s="64">
        <f>=I1211*O1211*ROUNDUP((A1211-B1211)/30,0)</f>
        <v>200</v>
      </c>
      <c r="Q1211" s="62" t="s"/>
      <c r="R1211" s="62" t="s"/>
    </row>
    <row r="1212" spans="1:18" ht="15.75" customHeight="true">
      <c r="A1212" s="147">
        <v>46185</v>
      </c>
      <c r="B1212" s="460">
        <v>46129</v>
      </c>
      <c r="C1212" s="98" t="s">
        <v>268</v>
      </c>
      <c r="D1212" s="71" t="s">
        <v>211</v>
      </c>
      <c r="E1212" s="145" t="s">
        <v>3406</v>
      </c>
      <c r="F1212" s="308" t="s">
        <v>421</v>
      </c>
      <c r="G1212" s="155" t="s">
        <v>470</v>
      </c>
      <c r="H1212" s="155" t="s">
        <v>1873</v>
      </c>
      <c r="I1212" s="87">
        <v>43</v>
      </c>
      <c r="J1212" s="513">
        <v>2691.76</v>
      </c>
      <c r="K1212" s="427">
        <f>=I1212*J1212</f>
        <v>115745.68</v>
      </c>
      <c r="L1212">
        <v>2650</v>
      </c>
      <c r="M1212" s="428">
        <f>=I1212*L1212</f>
        <v>113950</v>
      </c>
      <c r="N1212" s="82">
        <f>=K1212-M1212</f>
        <v>1795.68000000001</v>
      </c>
      <c r="O1212" s="64">
        <v>1.5</v>
      </c>
      <c r="P1212" s="64">
        <f>=I1212*O1212*ROUNDUP((A1212-B1212)/30,0)</f>
        <v>129</v>
      </c>
      <c r="Q1212" s="62" t="s"/>
      <c r="R1212" s="62" t="s"/>
    </row>
    <row r="1213" spans="1:18" ht="15.75" customHeight="true">
      <c r="A1213" s="148">
        <v>46185</v>
      </c>
      <c r="B1213" s="460">
        <v>46114</v>
      </c>
      <c r="C1213" s="135" t="s">
        <v>238</v>
      </c>
      <c r="D1213" s="100" t="s">
        <v>211</v>
      </c>
      <c r="E1213" s="511" t="s">
        <v>3407</v>
      </c>
      <c r="F1213" s="136" t="s">
        <v>421</v>
      </c>
      <c r="G1213" s="136" t="s">
        <v>470</v>
      </c>
      <c r="H1213" s="136" t="s">
        <v>1286</v>
      </c>
      <c r="I1213">
        <v>50</v>
      </c>
      <c r="J1213" s="249">
        <v>2856.4</v>
      </c>
      <c r="K1213" s="427">
        <f>=I1213*J1213</f>
        <v>142820</v>
      </c>
      <c r="L1213">
        <v>2800</v>
      </c>
      <c r="M1213" s="428">
        <f>=I1213*L1213</f>
        <v>140000</v>
      </c>
      <c r="N1213" s="82">
        <f>=K1213-M1213</f>
        <v>2820</v>
      </c>
      <c r="O1213" s="64">
        <v>1.5</v>
      </c>
      <c r="P1213" s="64">
        <f>=I1213*O1213*ROUNDUP((A1213-B1213)/30,0)</f>
        <v>225</v>
      </c>
      <c r="Q1213" s="62" t="s"/>
      <c r="R1213" s="62" t="s"/>
    </row>
    <row r="1214" spans="1:18" ht="15.75" customHeight="true">
      <c r="A1214" s="509">
        <v>46185</v>
      </c>
      <c r="B1214" s="460">
        <v>46114</v>
      </c>
      <c r="C1214" s="135" t="s">
        <v>238</v>
      </c>
      <c r="D1214" s="100" t="s">
        <v>211</v>
      </c>
      <c r="E1214" s="511" t="s">
        <v>3408</v>
      </c>
      <c r="F1214" s="136" t="s">
        <v>421</v>
      </c>
      <c r="G1214" s="136" t="s">
        <v>470</v>
      </c>
      <c r="H1214" s="136" t="s">
        <v>1284</v>
      </c>
      <c r="I1214">
        <v>100</v>
      </c>
      <c r="J1214">
        <v>3283.96</v>
      </c>
      <c r="K1214" s="427">
        <f>=I1214*J1214</f>
        <v>328396</v>
      </c>
      <c r="L1214">
        <v>3220</v>
      </c>
      <c r="M1214" s="428">
        <f>=I1214*L1214</f>
        <v>322000</v>
      </c>
      <c r="N1214" s="82">
        <f>=K1214-M1214</f>
        <v>6396</v>
      </c>
      <c r="O1214" s="64">
        <v>1.5</v>
      </c>
      <c r="P1214" s="64">
        <f>=I1214*O1214*ROUNDUP((A1214-B1214)/30,0)</f>
        <v>450</v>
      </c>
      <c r="Q1214" s="62" t="s"/>
      <c r="R1214" s="62" t="s"/>
    </row>
    <row r="1215" spans="1:18" ht="15.75" customHeight="true">
      <c r="A1215" s="147">
        <v>46185</v>
      </c>
      <c r="B1215" s="460">
        <v>46153</v>
      </c>
      <c r="C1215" s="98" t="s">
        <v>319</v>
      </c>
      <c r="D1215" s="146" t="s">
        <v>239</v>
      </c>
      <c r="E1215" s="263" t="s">
        <v>3409</v>
      </c>
      <c r="F1215" t="s">
        <v>1753</v>
      </c>
      <c r="G1215" t="s">
        <v>470</v>
      </c>
      <c r="H1215" s="64" t="s">
        <v>2084</v>
      </c>
      <c r="I1215">
        <v>20</v>
      </c>
      <c r="J1215" s="508">
        <v>1617.2</v>
      </c>
      <c r="K1215" s="427">
        <f>=I1215*J1215</f>
        <v>32344</v>
      </c>
      <c r="L1215" s="154">
        <v>1600</v>
      </c>
      <c r="M1215" s="428">
        <f>=I1215*L1215</f>
        <v>32000</v>
      </c>
      <c r="N1215" s="82">
        <f>=K1215-M1215</f>
        <v>344</v>
      </c>
      <c r="O1215" s="64">
        <v>1.5</v>
      </c>
      <c r="P1215" s="64">
        <f>=I1215*O1215*ROUNDUP((A1215-B1215)/30,0)</f>
        <v>60</v>
      </c>
      <c r="Q1215" s="62" t="s"/>
      <c r="R1215" s="62" t="s"/>
    </row>
    <row r="1216" spans="1:18" ht="15.75" customHeight="true">
      <c r="A1216" s="147">
        <v>46185</v>
      </c>
      <c r="B1216" s="460">
        <v>46142</v>
      </c>
      <c r="C1216" s="98" t="s">
        <v>304</v>
      </c>
      <c r="D1216" s="71" t="s">
        <v>65</v>
      </c>
      <c r="E1216" s="108" t="s">
        <v>361</v>
      </c>
      <c r="F1216" s="64" t="s">
        <v>421</v>
      </c>
      <c r="G1216" s="64" t="s">
        <v>422</v>
      </c>
      <c r="H1216" s="345" t="s">
        <v>697</v>
      </c>
      <c r="I1216" s="523">
        <v>2</v>
      </c>
      <c r="J1216">
        <v>12150</v>
      </c>
      <c r="K1216" s="427">
        <f>=I1216*J1216</f>
        <v>24300</v>
      </c>
      <c r="L1216">
        <v>12150</v>
      </c>
      <c r="M1216" s="428">
        <f>=I1216*L1216</f>
        <v>24300</v>
      </c>
      <c r="N1216" s="82">
        <f>=K1216-M1216</f>
        <v>0</v>
      </c>
      <c r="O1216" s="64">
        <v>0</v>
      </c>
      <c r="P1216" s="64">
        <f>=I1216*O1216*ROUNDUP((A1216-B1216)/30,0)</f>
        <v>0</v>
      </c>
      <c r="Q1216" s="62" t="s"/>
      <c r="R1216" s="62" t="s"/>
    </row>
    <row r="1217" spans="1:18" ht="15.75" customHeight="true">
      <c r="A1217" s="147">
        <v>46185</v>
      </c>
      <c r="B1217" s="460">
        <v>46142</v>
      </c>
      <c r="C1217" s="98" t="s">
        <v>304</v>
      </c>
      <c r="D1217" s="71" t="s">
        <v>65</v>
      </c>
      <c r="E1217" s="108" t="s">
        <v>361</v>
      </c>
      <c r="F1217" s="64" t="s">
        <v>421</v>
      </c>
      <c r="G1217" s="64" t="s">
        <v>422</v>
      </c>
      <c r="H1217" s="345" t="s">
        <v>693</v>
      </c>
      <c r="I1217" s="161">
        <v>9</v>
      </c>
      <c r="J1217" s="203">
        <v>8415</v>
      </c>
      <c r="K1217" s="427">
        <f>=I1217*J1217</f>
        <v>75735</v>
      </c>
      <c r="L1217" s="154">
        <v>8415</v>
      </c>
      <c r="M1217" s="428">
        <f>=I1217*L1217</f>
        <v>75735</v>
      </c>
      <c r="N1217" s="82">
        <f>=K1217-M1217</f>
        <v>0</v>
      </c>
      <c r="O1217" s="64">
        <v>0</v>
      </c>
      <c r="P1217" s="64">
        <f>=I1217*O1217*ROUNDUP((A1217-B1217)/30,0)</f>
        <v>0</v>
      </c>
      <c r="Q1217" s="62" t="s"/>
      <c r="R1217" s="62" t="s"/>
    </row>
    <row r="1218" spans="1:18" ht="15.75" customHeight="true">
      <c r="A1218" s="147">
        <v>46185</v>
      </c>
      <c r="B1218" s="460">
        <v>46142</v>
      </c>
      <c r="C1218" s="98" t="s">
        <v>304</v>
      </c>
      <c r="D1218" s="71" t="s">
        <v>65</v>
      </c>
      <c r="E1218" s="108" t="s">
        <v>361</v>
      </c>
      <c r="F1218" s="64" t="s">
        <v>421</v>
      </c>
      <c r="G1218" s="64" t="s">
        <v>422</v>
      </c>
      <c r="H1218" s="345" t="s">
        <v>695</v>
      </c>
      <c r="I1218" s="524">
        <v>4</v>
      </c>
      <c r="J1218" s="327">
        <v>10035</v>
      </c>
      <c r="K1218" s="427">
        <f>=I1218*J1218</f>
        <v>40140</v>
      </c>
      <c r="L1218" s="327">
        <v>10035</v>
      </c>
      <c r="M1218" s="428">
        <f>=I1218*L1218</f>
        <v>40140</v>
      </c>
      <c r="N1218" s="82">
        <f>=K1218-M1218</f>
        <v>0</v>
      </c>
      <c r="O1218" s="64">
        <v>0</v>
      </c>
      <c r="P1218" s="64">
        <f>=I1218*O1218*ROUNDUP((A1218-B1218)/30,0)</f>
        <v>0</v>
      </c>
      <c r="Q1218" s="62" t="s"/>
      <c r="R1218" s="62" t="s"/>
    </row>
    <row r="1219" spans="1:18" ht="15.75" customHeight="true">
      <c r="A1219" s="147">
        <v>46185</v>
      </c>
      <c r="B1219" s="460">
        <v>46142</v>
      </c>
      <c r="C1219" s="80" t="s">
        <v>304</v>
      </c>
      <c r="D1219" s="64" t="s">
        <v>65</v>
      </c>
      <c r="E1219" s="108" t="s">
        <v>361</v>
      </c>
      <c r="F1219" s="64" t="s">
        <v>421</v>
      </c>
      <c r="G1219" s="64" t="s">
        <v>422</v>
      </c>
      <c r="H1219" s="345" t="s">
        <v>691</v>
      </c>
      <c r="I1219" s="161">
        <v>4</v>
      </c>
      <c r="J1219" s="203">
        <v>8415</v>
      </c>
      <c r="K1219" s="427">
        <f>=I1219*J1219</f>
        <v>33660</v>
      </c>
      <c r="L1219" s="339">
        <v>8415</v>
      </c>
      <c r="M1219" s="428">
        <f>=I1219*L1219</f>
        <v>33660</v>
      </c>
      <c r="N1219" s="82">
        <f>=K1219-M1219</f>
        <v>0</v>
      </c>
      <c r="O1219" s="64">
        <v>0</v>
      </c>
      <c r="P1219" s="64">
        <f>=I1219*O1219*ROUNDUP((A1219-B1219)/30,0)</f>
        <v>0</v>
      </c>
      <c r="Q1219" s="62" t="s"/>
      <c r="R1219" s="62" t="s"/>
    </row>
    <row r="1220" spans="1:18" ht="15.75" customHeight="true">
      <c r="A1220" s="147">
        <v>46185</v>
      </c>
      <c r="B1220" s="460">
        <v>46142</v>
      </c>
      <c r="C1220" s="98" t="s">
        <v>304</v>
      </c>
      <c r="D1220" s="71" t="s">
        <v>65</v>
      </c>
      <c r="E1220" s="108" t="s">
        <v>361</v>
      </c>
      <c r="F1220" s="64" t="s">
        <v>421</v>
      </c>
      <c r="G1220" s="64" t="s">
        <v>422</v>
      </c>
      <c r="H1220" s="345" t="s">
        <v>689</v>
      </c>
      <c r="I1220" s="161">
        <v>6</v>
      </c>
      <c r="J1220" s="402">
        <v>8415</v>
      </c>
      <c r="K1220" s="427">
        <f>=I1220*J1220</f>
        <v>50490</v>
      </c>
      <c r="L1220" s="154">
        <v>8415</v>
      </c>
      <c r="M1220" s="428">
        <f>=I1220*L1220</f>
        <v>50490</v>
      </c>
      <c r="N1220" s="82">
        <f>=K1220-M1220</f>
        <v>0</v>
      </c>
      <c r="O1220" s="64">
        <v>0</v>
      </c>
      <c r="P1220" s="64">
        <f>=I1220*O1220*ROUNDUP((A1220-B1220)/30,0)</f>
        <v>0</v>
      </c>
      <c r="Q1220" s="62" t="s"/>
      <c r="R1220" s="62" t="s"/>
    </row>
    <row r="1221" spans="1:18" ht="15.75" customHeight="true">
      <c r="A1221" s="147">
        <v>46185</v>
      </c>
      <c r="B1221" s="460">
        <v>46142</v>
      </c>
      <c r="C1221" s="98" t="s">
        <v>304</v>
      </c>
      <c r="D1221" s="71" t="s">
        <v>65</v>
      </c>
      <c r="E1221" s="108" t="s">
        <v>361</v>
      </c>
      <c r="F1221" s="64" t="s">
        <v>421</v>
      </c>
      <c r="G1221" s="64" t="s">
        <v>422</v>
      </c>
      <c r="H1221" s="345" t="s">
        <v>701</v>
      </c>
      <c r="I1221" s="523">
        <v>11</v>
      </c>
      <c r="J1221" s="513">
        <v>7560</v>
      </c>
      <c r="K1221" s="427">
        <f>=I1221*J1221</f>
        <v>83160</v>
      </c>
      <c r="L1221" s="327">
        <v>7560</v>
      </c>
      <c r="M1221" s="428">
        <f>=I1221*L1221</f>
        <v>83160</v>
      </c>
      <c r="N1221" s="82">
        <f>=K1221-M1221</f>
        <v>0</v>
      </c>
      <c r="O1221" s="64">
        <v>0</v>
      </c>
      <c r="P1221" s="64">
        <f>=I1221*O1221*ROUNDUP((A1221-B1221)/30,0)</f>
        <v>0</v>
      </c>
      <c r="Q1221" s="62" t="s"/>
      <c r="R1221" s="62" t="s"/>
    </row>
    <row r="1222" spans="1:18" ht="15.75" customHeight="true">
      <c r="A1222" s="148">
        <v>46185</v>
      </c>
      <c r="B1222" s="461">
        <v>46142</v>
      </c>
      <c r="C1222" s="102" t="s">
        <v>304</v>
      </c>
      <c r="D1222" s="93" t="s">
        <v>65</v>
      </c>
      <c r="E1222" s="108" t="s">
        <v>361</v>
      </c>
      <c r="F1222" s="64" t="s">
        <v>421</v>
      </c>
      <c r="G1222" s="64" t="s">
        <v>422</v>
      </c>
      <c r="H1222" s="345" t="s">
        <v>699</v>
      </c>
      <c r="I1222" s="523">
        <v>5</v>
      </c>
      <c r="J1222" s="513">
        <v>7560</v>
      </c>
      <c r="K1222" s="427">
        <f>=I1222*J1222</f>
        <v>37800</v>
      </c>
      <c r="L1222" s="327">
        <v>7560</v>
      </c>
      <c r="M1222" s="454">
        <f>=I1222*L1222</f>
        <v>37800</v>
      </c>
      <c r="N1222" s="84">
        <f>=K1222-M1222</f>
        <v>0</v>
      </c>
      <c r="O1222" s="83">
        <v>0</v>
      </c>
      <c r="P1222" s="83">
        <f>=I1222*O1222*ROUNDUP((A1222-B1222)/30,0)</f>
        <v>0</v>
      </c>
      <c r="Q1222" s="62" t="s"/>
      <c r="R1222" s="62" t="s"/>
    </row>
    <row r="1223" spans="1:18" ht="15.75" customHeight="true">
      <c r="A1223" s="148">
        <v>46185</v>
      </c>
      <c r="B1223" s="461">
        <v>46142</v>
      </c>
      <c r="C1223" s="102" t="s">
        <v>304</v>
      </c>
      <c r="D1223" s="93" t="s">
        <v>65</v>
      </c>
      <c r="E1223" s="108" t="s">
        <v>361</v>
      </c>
      <c r="F1223" s="64" t="s">
        <v>421</v>
      </c>
      <c r="G1223" s="64" t="s">
        <v>422</v>
      </c>
      <c r="H1223" s="345" t="s">
        <v>705</v>
      </c>
      <c r="I1223" s="523">
        <v>9</v>
      </c>
      <c r="J1223" s="513">
        <v>7560</v>
      </c>
      <c r="K1223" s="427">
        <f>=I1223*J1223</f>
        <v>68040</v>
      </c>
      <c r="L1223" s="154">
        <v>7560</v>
      </c>
      <c r="M1223" s="454">
        <f>=I1223*L1223</f>
        <v>68040</v>
      </c>
      <c r="N1223" s="84">
        <f>=K1223-M1223</f>
        <v>0</v>
      </c>
      <c r="O1223" s="83">
        <v>0</v>
      </c>
      <c r="P1223" s="83">
        <f>=I1223*O1223*ROUNDUP((A1223-B1223)/30,0)</f>
        <v>0</v>
      </c>
      <c r="Q1223" s="62" t="s"/>
      <c r="R1223" s="62" t="s"/>
    </row>
    <row r="1224" spans="1:18" ht="15.75" customHeight="true">
      <c r="A1224" s="148">
        <v>46185</v>
      </c>
      <c r="B1224" s="461">
        <v>46142</v>
      </c>
      <c r="C1224" s="102" t="s">
        <v>304</v>
      </c>
      <c r="D1224" s="93" t="s">
        <v>65</v>
      </c>
      <c r="E1224" s="108" t="s">
        <v>361</v>
      </c>
      <c r="F1224" s="64" t="s">
        <v>421</v>
      </c>
      <c r="G1224" s="64" t="s">
        <v>422</v>
      </c>
      <c r="H1224" s="345" t="s">
        <v>676</v>
      </c>
      <c r="I1224" s="161">
        <v>8</v>
      </c>
      <c r="J1224" s="203">
        <v>4995</v>
      </c>
      <c r="K1224" s="427">
        <f>=I1224*J1224</f>
        <v>39960</v>
      </c>
      <c r="L1224" s="154">
        <v>4995</v>
      </c>
      <c r="M1224" s="454">
        <f>=I1224*L1224</f>
        <v>39960</v>
      </c>
      <c r="N1224" s="84">
        <f>=K1224-M1224</f>
        <v>0</v>
      </c>
      <c r="O1224" s="83">
        <v>0</v>
      </c>
      <c r="P1224" s="83">
        <f>=I1224*O1224*ROUNDUP((A1224-B1224)/30,0)</f>
        <v>0</v>
      </c>
      <c r="Q1224" s="62" t="s"/>
      <c r="R1224" s="62" t="s"/>
    </row>
    <row r="1225" spans="1:18" ht="15.75" customHeight="true">
      <c r="A1225" s="148">
        <v>46185</v>
      </c>
      <c r="B1225" s="461">
        <v>46142</v>
      </c>
      <c r="C1225" s="102" t="s">
        <v>304</v>
      </c>
      <c r="D1225" s="93" t="s">
        <v>65</v>
      </c>
      <c r="E1225" s="108" t="s">
        <v>361</v>
      </c>
      <c r="F1225" s="64" t="s">
        <v>421</v>
      </c>
      <c r="G1225" s="64" t="s">
        <v>422</v>
      </c>
      <c r="H1225" s="345" t="s">
        <v>684</v>
      </c>
      <c r="I1225" s="523">
        <v>2</v>
      </c>
      <c r="J1225" s="203">
        <v>6705</v>
      </c>
      <c r="K1225" s="427">
        <f>=I1225*J1225</f>
        <v>13410</v>
      </c>
      <c r="L1225" s="154">
        <v>6705</v>
      </c>
      <c r="M1225" s="454">
        <f>=I1225*L1225</f>
        <v>13410</v>
      </c>
      <c r="N1225" s="84">
        <f>=K1225-M1225</f>
        <v>0</v>
      </c>
      <c r="O1225" s="83">
        <v>0</v>
      </c>
      <c r="P1225" s="83">
        <f>=I1225*O1225*ROUNDUP((A1225-B1225)/30,0)</f>
        <v>0</v>
      </c>
      <c r="Q1225" s="62" t="s"/>
      <c r="R1225" s="62" t="s"/>
    </row>
    <row r="1226" spans="1:18" ht="15.75" customHeight="true">
      <c r="A1226" s="148">
        <v>46185</v>
      </c>
      <c r="B1226" s="461">
        <v>46142</v>
      </c>
      <c r="C1226" s="102" t="s">
        <v>304</v>
      </c>
      <c r="D1226" s="93" t="s">
        <v>65</v>
      </c>
      <c r="E1226" s="108" t="s">
        <v>361</v>
      </c>
      <c r="F1226" s="64" t="s">
        <v>421</v>
      </c>
      <c r="G1226" s="64" t="s">
        <v>422</v>
      </c>
      <c r="H1226" s="345" t="s">
        <v>674</v>
      </c>
      <c r="I1226" s="161">
        <v>1</v>
      </c>
      <c r="J1226" s="203">
        <v>4995</v>
      </c>
      <c r="K1226" s="427">
        <f>=I1226*J1226</f>
        <v>4995</v>
      </c>
      <c r="L1226" s="154">
        <v>4995</v>
      </c>
      <c r="M1226" s="454">
        <f>=I1226*L1226</f>
        <v>4995</v>
      </c>
      <c r="N1226" s="84">
        <f>=K1226-M1226</f>
        <v>0</v>
      </c>
      <c r="O1226" s="83">
        <v>0</v>
      </c>
      <c r="P1226" s="83">
        <f>=I1226*O1226*ROUNDUP((A1226-B1226)/30,0)</f>
        <v>0</v>
      </c>
      <c r="Q1226" s="62" t="s"/>
      <c r="R1226" s="62" t="s"/>
    </row>
    <row r="1227" spans="1:18" ht="15.75" customHeight="true">
      <c r="A1227" s="148">
        <v>46185</v>
      </c>
      <c r="B1227" s="461">
        <v>46142</v>
      </c>
      <c r="C1227" s="102" t="s">
        <v>304</v>
      </c>
      <c r="D1227" s="93" t="s">
        <v>65</v>
      </c>
      <c r="E1227" s="108" t="s">
        <v>361</v>
      </c>
      <c r="F1227" s="64" t="s">
        <v>421</v>
      </c>
      <c r="G1227" s="64" t="s">
        <v>422</v>
      </c>
      <c r="H1227" s="345" t="s">
        <v>678</v>
      </c>
      <c r="I1227" s="161">
        <v>7</v>
      </c>
      <c r="J1227">
        <v>4995</v>
      </c>
      <c r="K1227" s="427">
        <f>=I1227*J1227</f>
        <v>34965</v>
      </c>
      <c r="L1227">
        <v>4995</v>
      </c>
      <c r="M1227" s="454">
        <f>=I1227*L1227</f>
        <v>34965</v>
      </c>
      <c r="N1227" s="84">
        <f>=K1227-M1227</f>
        <v>0</v>
      </c>
      <c r="O1227" s="83">
        <v>0</v>
      </c>
      <c r="P1227" s="83">
        <f>=I1227*O1227*ROUNDUP((A1227-B1227)/30,0)</f>
        <v>0</v>
      </c>
      <c r="Q1227" s="62" t="s"/>
      <c r="R1227" s="62" t="s"/>
    </row>
    <row r="1228" spans="1:18" ht="15.75" customHeight="true">
      <c r="A1228" s="148">
        <v>46185</v>
      </c>
      <c r="B1228" s="461">
        <v>46142</v>
      </c>
      <c r="C1228" s="102" t="s">
        <v>304</v>
      </c>
      <c r="D1228" s="93" t="s">
        <v>65</v>
      </c>
      <c r="E1228" s="108" t="s">
        <v>361</v>
      </c>
      <c r="F1228" s="64" t="s">
        <v>421</v>
      </c>
      <c r="G1228" s="64" t="s">
        <v>422</v>
      </c>
      <c r="H1228" s="345" t="s">
        <v>682</v>
      </c>
      <c r="I1228" s="161">
        <v>3</v>
      </c>
      <c r="J1228" s="203">
        <v>4995</v>
      </c>
      <c r="K1228" s="427">
        <f>=I1228*J1228</f>
        <v>14985</v>
      </c>
      <c r="L1228" s="154">
        <v>4995</v>
      </c>
      <c r="M1228" s="454">
        <f>=I1228*L1228</f>
        <v>14985</v>
      </c>
      <c r="N1228" s="84">
        <f>=K1228-M1228</f>
        <v>0</v>
      </c>
      <c r="O1228" s="83">
        <v>0</v>
      </c>
      <c r="P1228" s="83">
        <f>=I1228*O1228*ROUNDUP((A1228-B1228)/30,0)</f>
        <v>0</v>
      </c>
      <c r="Q1228" s="62" t="s"/>
      <c r="R1228" s="62" t="s"/>
    </row>
    <row r="1229" spans="1:18" ht="15.75" customHeight="true">
      <c r="A1229" s="148">
        <v>46185</v>
      </c>
      <c r="B1229" s="461">
        <v>46142</v>
      </c>
      <c r="C1229" s="102" t="s">
        <v>304</v>
      </c>
      <c r="D1229" s="93" t="s">
        <v>65</v>
      </c>
      <c r="E1229" s="108" t="s">
        <v>361</v>
      </c>
      <c r="F1229" s="64" t="s">
        <v>421</v>
      </c>
      <c r="G1229" s="64" t="s">
        <v>422</v>
      </c>
      <c r="H1229" s="345" t="s">
        <v>680</v>
      </c>
      <c r="I1229" s="523">
        <v>4</v>
      </c>
      <c r="J1229">
        <v>4995</v>
      </c>
      <c r="K1229" s="427">
        <f>=I1229*J1229</f>
        <v>19980</v>
      </c>
      <c r="L1229">
        <v>4995</v>
      </c>
      <c r="M1229" s="454">
        <f>=I1229*L1229</f>
        <v>19980</v>
      </c>
      <c r="N1229" s="84">
        <f>=K1229-M1229</f>
        <v>0</v>
      </c>
      <c r="O1229" s="83">
        <v>0</v>
      </c>
      <c r="P1229" s="83">
        <f>=I1229*O1229*ROUNDUP((A1229-B1229)/30,0)</f>
        <v>0</v>
      </c>
      <c r="Q1229" s="62" t="s"/>
      <c r="R1229" s="62" t="s"/>
    </row>
    <row r="1230" spans="1:18" ht="15.75" customHeight="true">
      <c r="A1230" s="147">
        <v>46185</v>
      </c>
      <c r="B1230" s="460">
        <v>46109</v>
      </c>
      <c r="C1230" s="98" t="s">
        <v>207</v>
      </c>
      <c r="D1230" s="71" t="s">
        <v>135</v>
      </c>
      <c r="E1230" s="511" t="s">
        <v>3410</v>
      </c>
      <c r="F1230" s="354" t="s">
        <v>428</v>
      </c>
      <c r="G1230" s="71" t="s">
        <v>422</v>
      </c>
      <c r="H1230" s="64" t="s">
        <v>1246</v>
      </c>
      <c r="I1230">
        <v>100</v>
      </c>
      <c r="J1230" s="203">
        <v>702.21</v>
      </c>
      <c r="K1230" s="427">
        <f>=I1230*J1230</f>
        <v>70221</v>
      </c>
      <c r="L1230" s="512">
        <v>686</v>
      </c>
      <c r="M1230" s="428">
        <f>=I1230*L1230</f>
        <v>68600</v>
      </c>
      <c r="N1230" s="82">
        <f>=K1230-M1230</f>
        <v>1621</v>
      </c>
      <c r="O1230" s="64">
        <v>1</v>
      </c>
      <c r="P1230" s="64">
        <f>=I1230*O1230*ROUNDUP((A1230-B1230)/30,0)</f>
        <v>300</v>
      </c>
      <c r="Q1230" s="62" t="s"/>
      <c r="R1230" s="62" t="s"/>
    </row>
    <row r="1231" spans="1:18" ht="15.75" customHeight="true">
      <c r="A1231" s="147">
        <v>46185</v>
      </c>
      <c r="B1231" s="460">
        <v>46111</v>
      </c>
      <c r="C1231" s="98" t="s">
        <v>209</v>
      </c>
      <c r="D1231" s="71" t="s">
        <v>135</v>
      </c>
      <c r="E1231" s="494" t="s">
        <v>3411</v>
      </c>
      <c r="F1231" s="354" t="s">
        <v>428</v>
      </c>
      <c r="G1231" s="71" t="s">
        <v>422</v>
      </c>
      <c r="H1231" s="64" t="s">
        <v>1046</v>
      </c>
      <c r="I1231">
        <v>100</v>
      </c>
      <c r="J1231" s="249">
        <v>701.86</v>
      </c>
      <c r="K1231" s="427">
        <f>=I1231*J1231</f>
        <v>70186</v>
      </c>
      <c r="L1231" s="144">
        <v>686</v>
      </c>
      <c r="M1231" s="428">
        <f>=I1231*L1231</f>
        <v>68600</v>
      </c>
      <c r="N1231" s="82">
        <f>=K1231-M1231</f>
        <v>1586</v>
      </c>
      <c r="O1231" s="64">
        <v>1</v>
      </c>
      <c r="P1231" s="64">
        <f>=I1231*O1231*ROUNDUP((A1231-B1231)/30,0)</f>
        <v>300</v>
      </c>
      <c r="Q1231" s="62" t="s"/>
      <c r="R1231" s="62" t="s"/>
    </row>
    <row r="1232" spans="1:18" ht="15.75" customHeight="true">
      <c r="A1232" s="147">
        <v>46185</v>
      </c>
      <c r="B1232" s="460">
        <v>46111</v>
      </c>
      <c r="C1232" s="98" t="s">
        <v>216</v>
      </c>
      <c r="D1232" s="71" t="s">
        <v>215</v>
      </c>
      <c r="E1232" s="510" t="s">
        <v>3412</v>
      </c>
      <c r="F1232" s="87" t="s">
        <v>421</v>
      </c>
      <c r="G1232" s="87" t="s">
        <v>470</v>
      </c>
      <c r="H1232" s="87" t="s">
        <v>1290</v>
      </c>
      <c r="I1232">
        <v>30</v>
      </c>
      <c r="J1232" s="249">
        <v>2859.2</v>
      </c>
      <c r="K1232" s="427">
        <f>=I1232*J1232</f>
        <v>85776</v>
      </c>
      <c r="L1232" s="87">
        <v>2800</v>
      </c>
      <c r="M1232" s="428">
        <f>=I1232*L1232</f>
        <v>84000</v>
      </c>
      <c r="N1232" s="82">
        <f>=K1232-M1232</f>
        <v>1776</v>
      </c>
      <c r="O1232" s="64">
        <v>1.5</v>
      </c>
      <c r="P1232" s="64">
        <f>=I1232*O1232*ROUNDUP((A1232-B1232)/30,0)</f>
        <v>135</v>
      </c>
      <c r="Q1232" s="62" t="s"/>
      <c r="R1232" s="62" t="s"/>
    </row>
    <row r="1233" spans="1:18" ht="15.75" customHeight="true">
      <c r="A1233" s="147">
        <v>46187</v>
      </c>
      <c r="B1233" s="460">
        <v>46107</v>
      </c>
      <c r="C1233" s="80" t="s">
        <v>196</v>
      </c>
      <c r="D1233" s="64" t="s">
        <v>195</v>
      </c>
      <c r="E1233" s="308" t="s">
        <v>3413</v>
      </c>
      <c r="F1233" s="108" t="s">
        <v>503</v>
      </c>
      <c r="G1233" s="320" t="s">
        <v>422</v>
      </c>
      <c r="H1233" s="269" t="s">
        <v>1099</v>
      </c>
      <c r="I1233">
        <v>30</v>
      </c>
      <c r="J1233" s="402">
        <v>3254</v>
      </c>
      <c r="K1233" s="427">
        <f>=I1233*J1233</f>
        <v>97620</v>
      </c>
      <c r="L1233" s="87">
        <v>3185</v>
      </c>
      <c r="M1233" s="428">
        <f>=I1233*L1233</f>
        <v>95550</v>
      </c>
      <c r="N1233" s="82">
        <f>=K1233-M1233</f>
        <v>2070</v>
      </c>
      <c r="O1233" s="64">
        <v>1</v>
      </c>
      <c r="P1233" s="64">
        <f>=I1233*O1233*ROUNDUP((A1233-B1233)/30,0)</f>
        <v>90</v>
      </c>
      <c r="Q1233" s="62" t="s"/>
      <c r="R1233" s="62" t="s"/>
    </row>
    <row r="1234" spans="1:18" ht="15.75" customHeight="true">
      <c r="A1234" s="147">
        <v>46187</v>
      </c>
      <c r="B1234" s="460">
        <v>46107</v>
      </c>
      <c r="C1234" s="80" t="s">
        <v>196</v>
      </c>
      <c r="D1234" s="64" t="s">
        <v>195</v>
      </c>
      <c r="E1234" s="525" t="s">
        <v>3414</v>
      </c>
      <c r="F1234" s="108" t="s">
        <v>503</v>
      </c>
      <c r="G1234" s="320" t="s">
        <v>422</v>
      </c>
      <c r="H1234" s="269" t="s">
        <v>1101</v>
      </c>
      <c r="I1234">
        <v>20</v>
      </c>
      <c r="J1234" s="402">
        <v>3254</v>
      </c>
      <c r="K1234" s="427">
        <f>=I1234*J1234</f>
        <v>65080</v>
      </c>
      <c r="L1234" s="87">
        <v>3185</v>
      </c>
      <c r="M1234" s="428">
        <f>=I1234*L1234</f>
        <v>63700</v>
      </c>
      <c r="N1234" s="82">
        <f>=K1234-M1234</f>
        <v>1380</v>
      </c>
      <c r="O1234" s="64">
        <v>1</v>
      </c>
      <c r="P1234" s="64">
        <f>=I1234*O1234*ROUNDUP((A1234-B1234)/30,0)</f>
        <v>60</v>
      </c>
      <c r="Q1234" s="62" t="s"/>
      <c r="R1234" s="62" t="s"/>
    </row>
    <row r="1235" spans="1:18" ht="15.75" customHeight="true">
      <c r="A1235" s="147">
        <v>46187</v>
      </c>
      <c r="B1235" s="460">
        <v>46107</v>
      </c>
      <c r="C1235" s="80" t="s">
        <v>196</v>
      </c>
      <c r="D1235" s="64" t="s">
        <v>195</v>
      </c>
      <c r="E1235" s="525" t="s">
        <v>3415</v>
      </c>
      <c r="F1235" s="108" t="s">
        <v>503</v>
      </c>
      <c r="G1235" s="320" t="s">
        <v>422</v>
      </c>
      <c r="H1235" s="269" t="s">
        <v>1103</v>
      </c>
      <c r="I1235">
        <v>100</v>
      </c>
      <c r="J1235" s="402">
        <v>3254</v>
      </c>
      <c r="K1235" s="427">
        <f>=I1235*J1235</f>
        <v>325400</v>
      </c>
      <c r="L1235" s="87">
        <v>3185</v>
      </c>
      <c r="M1235" s="428">
        <f>=I1235*L1235</f>
        <v>318500</v>
      </c>
      <c r="N1235" s="82">
        <f>=K1235-M1235</f>
        <v>6900</v>
      </c>
      <c r="O1235" s="64">
        <v>1</v>
      </c>
      <c r="P1235" s="64">
        <f>=I1235*O1235*ROUNDUP((A1235-B1235)/30,0)</f>
        <v>300</v>
      </c>
      <c r="Q1235" s="62" t="s"/>
      <c r="R1235" s="62" t="s"/>
    </row>
    <row r="1236" spans="1:18" ht="15.75" customHeight="true">
      <c r="A1236" s="147">
        <v>46187</v>
      </c>
      <c r="B1236" s="460">
        <v>46107</v>
      </c>
      <c r="C1236" s="80" t="s">
        <v>196</v>
      </c>
      <c r="D1236" s="64" t="s">
        <v>195</v>
      </c>
      <c r="E1236" s="525" t="s">
        <v>3416</v>
      </c>
      <c r="F1236" s="108" t="s">
        <v>503</v>
      </c>
      <c r="G1236" s="320" t="s">
        <v>422</v>
      </c>
      <c r="H1236" s="269" t="s">
        <v>1105</v>
      </c>
      <c r="I1236">
        <v>100</v>
      </c>
      <c r="J1236" s="402">
        <v>3254</v>
      </c>
      <c r="K1236" s="427">
        <f>=I1236*J1236</f>
        <v>325400</v>
      </c>
      <c r="L1236" s="87">
        <v>3185</v>
      </c>
      <c r="M1236" s="428">
        <f>=I1236*L1236</f>
        <v>318500</v>
      </c>
      <c r="N1236" s="82">
        <f>=K1236-M1236</f>
        <v>6900</v>
      </c>
      <c r="O1236" s="64">
        <v>1</v>
      </c>
      <c r="P1236" s="64">
        <f>=I1236*O1236*ROUNDUP((A1236-B1236)/30,0)</f>
        <v>300</v>
      </c>
      <c r="Q1236" s="62" t="s"/>
      <c r="R1236" s="62" t="s"/>
    </row>
    <row r="1237" spans="1:18" ht="15.75" customHeight="true">
      <c r="A1237" s="147">
        <v>46187</v>
      </c>
      <c r="B1237" s="460">
        <v>46153</v>
      </c>
      <c r="C1237" s="98" t="s">
        <v>319</v>
      </c>
      <c r="D1237" s="146" t="s">
        <v>239</v>
      </c>
      <c r="E1237" s="263" t="s">
        <v>3417</v>
      </c>
      <c r="F1237" t="s">
        <v>1753</v>
      </c>
      <c r="G1237" t="s">
        <v>470</v>
      </c>
      <c r="H1237" s="64" t="s">
        <v>2084</v>
      </c>
      <c r="I1237">
        <v>30</v>
      </c>
      <c r="J1237" s="508">
        <v>1618</v>
      </c>
      <c r="K1237" s="427">
        <f>=I1237*J1237</f>
        <v>48540</v>
      </c>
      <c r="L1237" s="154">
        <v>1600</v>
      </c>
      <c r="M1237" s="428">
        <f>=I1237*L1237</f>
        <v>48000</v>
      </c>
      <c r="N1237" s="82">
        <f>=K1237-M1237</f>
        <v>540</v>
      </c>
      <c r="O1237" s="64">
        <v>1.5</v>
      </c>
      <c r="P1237" s="64">
        <f>=I1237*O1237*ROUNDUP((A1237-B1237)/30,0)</f>
        <v>90</v>
      </c>
      <c r="Q1237" s="62" t="s"/>
      <c r="R1237" s="62" t="s"/>
    </row>
    <row r="1238" spans="1:18" ht="15.75" customHeight="true">
      <c r="A1238" s="147">
        <v>46187</v>
      </c>
      <c r="B1238" s="460">
        <v>46159</v>
      </c>
      <c r="C1238" s="98" t="s">
        <v>336</v>
      </c>
      <c r="D1238" s="146" t="s">
        <v>335</v>
      </c>
      <c r="E1238" s="263" t="s">
        <v>3418</v>
      </c>
      <c r="F1238" s="108" t="s">
        <v>503</v>
      </c>
      <c r="G1238" s="64" t="s">
        <v>422</v>
      </c>
      <c r="H1238" s="64" t="s">
        <v>1099</v>
      </c>
      <c r="I1238">
        <v>7</v>
      </c>
      <c r="J1238" s="508">
        <v>3033.32</v>
      </c>
      <c r="K1238" s="427">
        <f>=I1238*J1238</f>
        <v>21233.24</v>
      </c>
      <c r="L1238">
        <v>3010</v>
      </c>
      <c r="M1238" s="428">
        <f>=I1238*L1238</f>
        <v>21070</v>
      </c>
      <c r="N1238" s="82">
        <f>=K1238-M1238</f>
        <v>163.240000000002</v>
      </c>
      <c r="O1238" s="64">
        <v>1</v>
      </c>
      <c r="P1238" s="64">
        <f>=I1238*O1238*ROUNDUP((A1238-B1238)/30,0)</f>
        <v>7</v>
      </c>
      <c r="Q1238" s="62" t="s"/>
      <c r="R1238" s="62" t="s"/>
    </row>
    <row r="1239" spans="1:18" ht="15.75" customHeight="true">
      <c r="A1239" s="147">
        <v>46187</v>
      </c>
      <c r="B1239" s="460">
        <v>46160</v>
      </c>
      <c r="C1239" s="98" t="s">
        <v>337</v>
      </c>
      <c r="D1239" s="146" t="s">
        <v>335</v>
      </c>
      <c r="E1239" s="263" t="s">
        <v>3419</v>
      </c>
      <c r="F1239" s="108" t="s">
        <v>503</v>
      </c>
      <c r="G1239" s="64" t="s">
        <v>422</v>
      </c>
      <c r="H1239" s="64" t="s">
        <v>1105</v>
      </c>
      <c r="I1239">
        <v>7</v>
      </c>
      <c r="J1239" s="508">
        <v>3032.57</v>
      </c>
      <c r="K1239" s="427">
        <f>=I1239*J1239</f>
        <v>21227.99</v>
      </c>
      <c r="L1239">
        <v>3010</v>
      </c>
      <c r="M1239" s="428">
        <f>=I1239*L1239</f>
        <v>21070</v>
      </c>
      <c r="N1239" s="82">
        <f>=K1239-M1239</f>
        <v>157.990000000002</v>
      </c>
      <c r="O1239" s="64">
        <v>1</v>
      </c>
      <c r="P1239" s="64">
        <f>=I1239*O1239*ROUNDUP((A1239-B1239)/30,0)</f>
        <v>7</v>
      </c>
      <c r="Q1239" s="62" t="s"/>
      <c r="R1239" s="62" t="s"/>
    </row>
    <row r="1240" spans="1:18" ht="15.75" customHeight="true">
      <c r="A1240" s="147">
        <v>46187</v>
      </c>
      <c r="B1240" s="460">
        <v>46160</v>
      </c>
      <c r="C1240" s="98" t="s">
        <v>337</v>
      </c>
      <c r="D1240" s="146" t="s">
        <v>335</v>
      </c>
      <c r="E1240" s="263" t="s">
        <v>3420</v>
      </c>
      <c r="F1240" s="108" t="s">
        <v>503</v>
      </c>
      <c r="G1240" s="64" t="s">
        <v>422</v>
      </c>
      <c r="H1240" s="64" t="s">
        <v>1103</v>
      </c>
      <c r="I1240">
        <v>1</v>
      </c>
      <c r="J1240" s="508">
        <v>3032.57</v>
      </c>
      <c r="K1240" s="427">
        <f>=I1240*J1240</f>
        <v>3032.57</v>
      </c>
      <c r="L1240">
        <v>3010</v>
      </c>
      <c r="M1240" s="428">
        <f>=I1240*L1240</f>
        <v>3010</v>
      </c>
      <c r="N1240" s="82">
        <f>=K1240-M1240</f>
        <v>22.5700000000002</v>
      </c>
      <c r="O1240" s="64">
        <v>1</v>
      </c>
      <c r="P1240" s="64">
        <f>=I1240*O1240*ROUNDUP((A1240-B1240)/30,0)</f>
        <v>1</v>
      </c>
      <c r="Q1240" s="62" t="s"/>
      <c r="R1240" s="62" t="s"/>
    </row>
    <row r="1241" spans="1:18" ht="15.75" customHeight="true">
      <c r="A1241" s="147">
        <v>46188</v>
      </c>
      <c r="B1241" s="460">
        <v>46162</v>
      </c>
      <c r="C1241" t="s">
        <v>345</v>
      </c>
      <c r="D1241" s="71" t="s">
        <v>339</v>
      </c>
      <c r="E1241" s="365" t="s">
        <v>3421</v>
      </c>
      <c r="F1241" s="526" t="s">
        <v>428</v>
      </c>
      <c r="G1241" s="71" t="s">
        <v>422</v>
      </c>
      <c r="H1241" s="71" t="s">
        <v>837</v>
      </c>
      <c r="I1241">
        <v>240</v>
      </c>
      <c r="J1241" s="508">
        <v>625.85</v>
      </c>
      <c r="K1241" s="427">
        <f>=I1241*J1241</f>
        <v>150204</v>
      </c>
      <c r="L1241" s="339">
        <v>620</v>
      </c>
      <c r="M1241" s="428">
        <f>=I1241*L1241</f>
        <v>148800</v>
      </c>
      <c r="N1241" s="82">
        <f>=K1241-M1241</f>
        <v>1404</v>
      </c>
      <c r="O1241" s="64">
        <v>1</v>
      </c>
      <c r="P1241" s="64">
        <f>=I1241*O1241*ROUNDUP((A1241-B1241)/30,0)</f>
        <v>240</v>
      </c>
      <c r="Q1241" s="62" t="s"/>
      <c r="R1241" s="62" t="s"/>
    </row>
    <row r="1242" spans="1:18" ht="15.75" customHeight="true">
      <c r="A1242" s="147">
        <v>46188</v>
      </c>
      <c r="B1242" s="460">
        <v>46164</v>
      </c>
      <c r="C1242" s="71" t="s">
        <v>357</v>
      </c>
      <c r="D1242" s="146" t="s">
        <v>356</v>
      </c>
      <c r="E1242" s="365" t="s">
        <v>3422</v>
      </c>
      <c r="F1242" s="156" t="s">
        <v>421</v>
      </c>
      <c r="G1242" s="156" t="s">
        <v>422</v>
      </c>
      <c r="H1242" s="108" t="s">
        <v>2187</v>
      </c>
      <c r="I1242" s="249">
        <v>10</v>
      </c>
      <c r="J1242" s="339">
        <v>7145.88</v>
      </c>
      <c r="K1242" s="427">
        <f>=I1242*J1242</f>
        <v>71458.8</v>
      </c>
      <c r="L1242" s="506">
        <v>7100</v>
      </c>
      <c r="M1242" s="428">
        <f>=I1242*L1242</f>
        <v>71000</v>
      </c>
      <c r="N1242" s="82">
        <f>=K1242-M1242</f>
        <v>458.800000000003</v>
      </c>
      <c r="O1242" s="64">
        <v>1</v>
      </c>
      <c r="P1242" s="64">
        <f>=I1242*O1242*ROUNDUP((A1242-B1242)/30,0)</f>
        <v>10</v>
      </c>
      <c r="Q1242" s="62" t="s"/>
      <c r="R1242" s="62" t="s"/>
    </row>
    <row r="1243" spans="1:18" ht="15.75" customHeight="true">
      <c r="A1243" s="147">
        <v>46188</v>
      </c>
      <c r="B1243" s="460">
        <v>46164</v>
      </c>
      <c r="C1243" s="71" t="s">
        <v>357</v>
      </c>
      <c r="D1243" s="146" t="s">
        <v>356</v>
      </c>
      <c r="E1243" s="365" t="s">
        <v>3423</v>
      </c>
      <c r="F1243" s="156" t="s">
        <v>421</v>
      </c>
      <c r="G1243" s="156" t="s">
        <v>422</v>
      </c>
      <c r="H1243" s="156" t="s">
        <v>731</v>
      </c>
      <c r="I1243">
        <v>40</v>
      </c>
      <c r="J1243" s="332">
        <v>7145.88</v>
      </c>
      <c r="K1243" s="427">
        <f>=I1243*J1243</f>
        <v>285835.2</v>
      </c>
      <c r="L1243" s="155">
        <v>7100</v>
      </c>
      <c r="M1243" s="428">
        <f>=I1243*L1243</f>
        <v>284000</v>
      </c>
      <c r="N1243" s="82">
        <f>=K1243-M1243</f>
        <v>1835.20000000001</v>
      </c>
      <c r="O1243" s="64">
        <v>1</v>
      </c>
      <c r="P1243" s="64">
        <f>=I1243*O1243*ROUNDUP((A1243-B1243)/30,0)</f>
        <v>40</v>
      </c>
      <c r="Q1243" s="62" t="s"/>
      <c r="R1243" s="62" t="s"/>
    </row>
    <row r="1244" spans="1:18" ht="15.75" customHeight="true">
      <c r="A1244" s="147">
        <v>46188</v>
      </c>
      <c r="B1244" s="460">
        <v>46164</v>
      </c>
      <c r="C1244" s="71" t="s">
        <v>357</v>
      </c>
      <c r="D1244" s="146" t="s">
        <v>356</v>
      </c>
      <c r="E1244" s="365" t="s">
        <v>3424</v>
      </c>
      <c r="F1244" s="156" t="s">
        <v>421</v>
      </c>
      <c r="G1244" s="156" t="s">
        <v>422</v>
      </c>
      <c r="H1244" s="156" t="s">
        <v>723</v>
      </c>
      <c r="I1244" s="249">
        <v>20</v>
      </c>
      <c r="J1244" s="394">
        <v>8051.5</v>
      </c>
      <c r="K1244" s="427">
        <f>=I1244*J1244</f>
        <v>161030</v>
      </c>
      <c r="L1244" s="136">
        <v>8000</v>
      </c>
      <c r="M1244" s="428">
        <f>=I1244*L1244</f>
        <v>160000</v>
      </c>
      <c r="N1244" s="82">
        <f>=K1244-M1244</f>
        <v>1030</v>
      </c>
      <c r="O1244" s="64">
        <v>1</v>
      </c>
      <c r="P1244" s="64">
        <f>=I1244*O1244*ROUNDUP((A1244-B1244)/30,0)</f>
        <v>20</v>
      </c>
      <c r="Q1244" s="62" t="s"/>
      <c r="R1244" s="62" t="s"/>
    </row>
    <row r="1245" spans="1:18" ht="15.75" customHeight="true">
      <c r="A1245" s="147">
        <v>46188</v>
      </c>
      <c r="B1245" s="460">
        <v>46164</v>
      </c>
      <c r="C1245" s="71" t="s">
        <v>357</v>
      </c>
      <c r="D1245" s="146" t="s">
        <v>356</v>
      </c>
      <c r="E1245" s="365" t="s">
        <v>3425</v>
      </c>
      <c r="F1245" s="156" t="s">
        <v>421</v>
      </c>
      <c r="G1245" s="156" t="s">
        <v>422</v>
      </c>
      <c r="H1245" s="156" t="s">
        <v>721</v>
      </c>
      <c r="I1245" s="140">
        <v>20</v>
      </c>
      <c r="J1245" s="394">
        <v>8051.5</v>
      </c>
      <c r="K1245" s="427">
        <f>=I1245*J1245</f>
        <v>161030</v>
      </c>
      <c r="L1245" s="136">
        <v>8000</v>
      </c>
      <c r="M1245" s="428">
        <f>=I1245*L1245</f>
        <v>160000</v>
      </c>
      <c r="N1245" s="82">
        <f>=K1245-M1245</f>
        <v>1030</v>
      </c>
      <c r="O1245" s="64">
        <v>1</v>
      </c>
      <c r="P1245" s="64">
        <f>=I1245*O1245*ROUNDUP((A1245-B1245)/30,0)</f>
        <v>20</v>
      </c>
      <c r="Q1245" s="62" t="s"/>
      <c r="R1245" s="62" t="s"/>
    </row>
    <row r="1246" spans="1:18" ht="15.75" customHeight="true">
      <c r="A1246" s="147">
        <v>46188</v>
      </c>
      <c r="B1246" s="460">
        <v>46164</v>
      </c>
      <c r="C1246" s="71" t="s">
        <v>357</v>
      </c>
      <c r="D1246" s="146" t="s">
        <v>356</v>
      </c>
      <c r="E1246" s="365" t="s">
        <v>3426</v>
      </c>
      <c r="F1246" s="156" t="s">
        <v>421</v>
      </c>
      <c r="G1246" s="156" t="s">
        <v>422</v>
      </c>
      <c r="H1246" s="156" t="s">
        <v>851</v>
      </c>
      <c r="I1246" s="140">
        <v>19</v>
      </c>
      <c r="J1246" s="394">
        <v>9762.13</v>
      </c>
      <c r="K1246" s="427">
        <f>=I1246*J1246</f>
        <v>185480.47</v>
      </c>
      <c r="L1246" s="506">
        <v>9700</v>
      </c>
      <c r="M1246" s="428">
        <f>=I1246*L1246</f>
        <v>184300</v>
      </c>
      <c r="N1246" s="82">
        <f>=K1246-M1246</f>
        <v>1180.46999999997</v>
      </c>
      <c r="O1246" s="64">
        <v>1</v>
      </c>
      <c r="P1246" s="64">
        <f>=I1246*O1246*ROUNDUP((A1246-B1246)/30,0)</f>
        <v>19</v>
      </c>
      <c r="Q1246" s="62" t="s"/>
      <c r="R1246" s="62" t="s"/>
    </row>
    <row r="1247" spans="1:18" ht="15.75" customHeight="true">
      <c r="A1247" s="147">
        <v>46188</v>
      </c>
      <c r="B1247" s="460">
        <v>46164</v>
      </c>
      <c r="C1247" s="71" t="s">
        <v>357</v>
      </c>
      <c r="D1247" s="146" t="s">
        <v>356</v>
      </c>
      <c r="E1247" s="365" t="s">
        <v>3427</v>
      </c>
      <c r="F1247" s="156" t="s">
        <v>421</v>
      </c>
      <c r="G1247" s="156" t="s">
        <v>422</v>
      </c>
      <c r="H1247" s="156" t="s">
        <v>852</v>
      </c>
      <c r="I1247" s="140">
        <v>20</v>
      </c>
      <c r="J1247">
        <v>9762.13</v>
      </c>
      <c r="K1247" s="427">
        <f>=I1247*J1247</f>
        <v>195242.6</v>
      </c>
      <c r="L1247" s="155">
        <v>9700</v>
      </c>
      <c r="M1247" s="428">
        <f>=I1247*L1247</f>
        <v>194000</v>
      </c>
      <c r="N1247" s="82">
        <f>=K1247-M1247</f>
        <v>1242.59999999998</v>
      </c>
      <c r="O1247" s="64">
        <v>1</v>
      </c>
      <c r="P1247" s="64">
        <f>=I1247*O1247*ROUNDUP((A1247-B1247)/30,0)</f>
        <v>20</v>
      </c>
      <c r="Q1247" s="62" t="s"/>
      <c r="R1247" s="62" t="s"/>
    </row>
    <row r="1248" spans="1:18" ht="15.75" customHeight="true">
      <c r="A1248" s="147">
        <v>46188</v>
      </c>
      <c r="B1248" s="460">
        <v>46153</v>
      </c>
      <c r="C1248" s="98" t="s">
        <v>319</v>
      </c>
      <c r="D1248" s="146" t="s">
        <v>239</v>
      </c>
      <c r="E1248" s="263" t="s">
        <v>3428</v>
      </c>
      <c r="F1248" t="s">
        <v>1753</v>
      </c>
      <c r="G1248" t="s">
        <v>470</v>
      </c>
      <c r="H1248" s="64" t="s">
        <v>2084</v>
      </c>
      <c r="I1248">
        <v>150</v>
      </c>
      <c r="J1248" s="402">
        <v>1618.4</v>
      </c>
      <c r="K1248" s="427">
        <f>=I1248*J1248</f>
        <v>242760</v>
      </c>
      <c r="L1248" s="154">
        <v>1600</v>
      </c>
      <c r="M1248" s="428">
        <f>=I1248*L1248</f>
        <v>240000</v>
      </c>
      <c r="N1248" s="82">
        <f>=K1248-M1248</f>
        <v>2760</v>
      </c>
      <c r="O1248" s="64">
        <v>1.5</v>
      </c>
      <c r="P1248" s="64">
        <f>=I1248*O1248*ROUNDUP((A1248-B1248)/30,0)</f>
        <v>450</v>
      </c>
      <c r="Q1248" s="62" t="s"/>
      <c r="R1248" s="62" t="s"/>
    </row>
    <row r="1249" spans="1:18" ht="15.75" customHeight="true">
      <c r="A1249" s="147">
        <v>46190</v>
      </c>
      <c r="B1249" s="460">
        <v>46162</v>
      </c>
      <c r="C1249" s="98" t="s">
        <v>350</v>
      </c>
      <c r="D1249" s="71" t="s">
        <v>150</v>
      </c>
      <c r="E1249" s="365" t="s">
        <v>3429</v>
      </c>
      <c r="F1249" s="71" t="s">
        <v>895</v>
      </c>
      <c r="G1249" s="71" t="s">
        <v>422</v>
      </c>
      <c r="H1249" s="71" t="s">
        <v>896</v>
      </c>
      <c r="I1249">
        <v>100</v>
      </c>
      <c r="J1249" s="402">
        <v>1028.9</v>
      </c>
      <c r="K1249" s="427">
        <f>=I1249*J1249</f>
        <v>102890</v>
      </c>
      <c r="L1249" s="323">
        <v>1020</v>
      </c>
      <c r="M1249" s="428">
        <f>=I1249*L1249</f>
        <v>102000</v>
      </c>
      <c r="N1249" s="82">
        <f>=K1249-M1249</f>
        <v>890.000000000015</v>
      </c>
      <c r="O1249" s="64">
        <v>1</v>
      </c>
      <c r="P1249" s="64">
        <f>=I1249*O1249*ROUNDUP((A1249-B1249)/30,0)</f>
        <v>100</v>
      </c>
      <c r="Q1249" s="62" t="s"/>
      <c r="R1249" s="62" t="s"/>
    </row>
    <row r="1250" spans="1:18" ht="15.75" customHeight="true">
      <c r="A1250" s="147">
        <v>46190</v>
      </c>
      <c r="B1250" s="460">
        <v>46105</v>
      </c>
      <c r="C1250" s="98" t="s">
        <v>184</v>
      </c>
      <c r="D1250" s="71" t="s">
        <v>138</v>
      </c>
      <c r="E1250" s="511" t="s">
        <v>3430</v>
      </c>
      <c r="F1250" s="71" t="s">
        <v>864</v>
      </c>
      <c r="G1250" s="71" t="s">
        <v>422</v>
      </c>
      <c r="H1250" s="71" t="s">
        <v>1020</v>
      </c>
      <c r="I1250">
        <v>400</v>
      </c>
      <c r="J1250" s="508">
        <v>1843.2</v>
      </c>
      <c r="K1250" s="427">
        <f>=I1250*J1250</f>
        <v>737280</v>
      </c>
      <c r="L1250" s="71">
        <v>1800</v>
      </c>
      <c r="M1250" s="428">
        <f>=I1250*L1250</f>
        <v>720000</v>
      </c>
      <c r="N1250" s="82">
        <f>=K1250-M1250</f>
        <v>17280</v>
      </c>
      <c r="O1250" s="64">
        <v>1</v>
      </c>
      <c r="P1250" s="64">
        <f>=I1250*O1250*ROUNDUP((A1250-B1250)/30,0)</f>
        <v>1200</v>
      </c>
      <c r="Q1250" s="62" t="s"/>
      <c r="R1250" s="62" t="s"/>
    </row>
    <row r="1251" spans="1:18" ht="15.75" customHeight="true">
      <c r="A1251" s="147">
        <v>46190</v>
      </c>
      <c r="B1251" s="460">
        <v>46107</v>
      </c>
      <c r="C1251" s="80" t="s">
        <v>196</v>
      </c>
      <c r="D1251" s="64" t="s">
        <v>195</v>
      </c>
      <c r="E1251" s="308" t="s">
        <v>3431</v>
      </c>
      <c r="F1251" s="108" t="s">
        <v>503</v>
      </c>
      <c r="G1251" s="320" t="s">
        <v>422</v>
      </c>
      <c r="H1251" s="269" t="s">
        <v>1099</v>
      </c>
      <c r="I1251" s="154">
        <v>40</v>
      </c>
      <c r="J1251">
        <v>3256.39</v>
      </c>
      <c r="K1251" s="427">
        <f>=I1251*J1251</f>
        <v>130255.6</v>
      </c>
      <c r="L1251" s="87">
        <v>3185</v>
      </c>
      <c r="M1251" s="428">
        <f>=I1251*L1251</f>
        <v>127400</v>
      </c>
      <c r="N1251" s="82">
        <f>=K1251-M1251</f>
        <v>2855.59999999999</v>
      </c>
      <c r="O1251" s="64">
        <v>1</v>
      </c>
      <c r="P1251" s="64">
        <f>=I1251*O1251*ROUNDUP((A1251-B1251)/30,0)</f>
        <v>120</v>
      </c>
      <c r="Q1251" s="62" t="s"/>
      <c r="R1251" s="62" t="s"/>
    </row>
    <row r="1252" spans="1:18" ht="15.75" customHeight="true">
      <c r="A1252" s="147">
        <v>46190</v>
      </c>
      <c r="B1252" s="460">
        <v>46107</v>
      </c>
      <c r="C1252" s="80" t="s">
        <v>196</v>
      </c>
      <c r="D1252" s="64" t="s">
        <v>195</v>
      </c>
      <c r="E1252" s="525" t="s">
        <v>3432</v>
      </c>
      <c r="F1252" s="108" t="s">
        <v>503</v>
      </c>
      <c r="G1252" s="320" t="s">
        <v>422</v>
      </c>
      <c r="H1252" s="269" t="s">
        <v>1101</v>
      </c>
      <c r="I1252" s="339">
        <v>32</v>
      </c>
      <c r="J1252" s="249">
        <v>3256.39</v>
      </c>
      <c r="K1252" s="427">
        <f>=I1252*J1252</f>
        <v>104204.48</v>
      </c>
      <c r="L1252" s="87">
        <v>3185</v>
      </c>
      <c r="M1252" s="428">
        <f>=I1252*L1252</f>
        <v>101920</v>
      </c>
      <c r="N1252" s="82">
        <f>=K1252-M1252</f>
        <v>2284.48</v>
      </c>
      <c r="O1252" s="64">
        <v>1</v>
      </c>
      <c r="P1252" s="64">
        <f>=I1252*O1252*ROUNDUP((A1252-B1252)/30,0)</f>
        <v>96</v>
      </c>
      <c r="Q1252" s="62" t="s"/>
      <c r="R1252" s="62" t="s"/>
    </row>
    <row r="1253" spans="1:18" ht="15.75" customHeight="true">
      <c r="A1253" s="147">
        <v>46190</v>
      </c>
      <c r="B1253" s="460">
        <v>46107</v>
      </c>
      <c r="C1253" s="80" t="s">
        <v>196</v>
      </c>
      <c r="D1253" s="64" t="s">
        <v>195</v>
      </c>
      <c r="E1253" s="525" t="s">
        <v>3433</v>
      </c>
      <c r="F1253" s="108" t="s">
        <v>503</v>
      </c>
      <c r="G1253" s="320" t="s">
        <v>422</v>
      </c>
      <c r="H1253" s="269" t="s">
        <v>1103</v>
      </c>
      <c r="I1253" s="331">
        <v>48</v>
      </c>
      <c r="J1253" s="249">
        <v>3256.39</v>
      </c>
      <c r="K1253" s="427">
        <f>=I1253*J1253</f>
        <v>156306.72</v>
      </c>
      <c r="L1253" s="87">
        <v>3185</v>
      </c>
      <c r="M1253" s="428">
        <f>=I1253*L1253</f>
        <v>152880</v>
      </c>
      <c r="N1253" s="82">
        <f>=K1253-M1253</f>
        <v>3426.72</v>
      </c>
      <c r="O1253" s="64">
        <v>1</v>
      </c>
      <c r="P1253" s="64">
        <f>=I1253*O1253*ROUNDUP((A1253-B1253)/30,0)</f>
        <v>144</v>
      </c>
      <c r="Q1253" s="62" t="s"/>
      <c r="R1253" s="62" t="s"/>
    </row>
    <row r="1254" spans="1:18" ht="15.75" customHeight="true">
      <c r="A1254" s="147">
        <v>46190</v>
      </c>
      <c r="B1254" s="460">
        <v>46107</v>
      </c>
      <c r="C1254" s="80" t="s">
        <v>196</v>
      </c>
      <c r="D1254" s="64" t="s">
        <v>195</v>
      </c>
      <c r="E1254" s="525" t="s">
        <v>3434</v>
      </c>
      <c r="F1254" s="108" t="s">
        <v>503</v>
      </c>
      <c r="G1254" s="320" t="s">
        <v>422</v>
      </c>
      <c r="H1254" s="269" t="s">
        <v>1105</v>
      </c>
      <c r="I1254">
        <v>48</v>
      </c>
      <c r="J1254" s="402">
        <v>3256.39</v>
      </c>
      <c r="K1254" s="427">
        <f>=I1254*J1254</f>
        <v>156306.72</v>
      </c>
      <c r="L1254" s="87">
        <v>3185</v>
      </c>
      <c r="M1254" s="428">
        <f>=I1254*L1254</f>
        <v>152880</v>
      </c>
      <c r="N1254" s="82">
        <f>=K1254-M1254</f>
        <v>3426.72</v>
      </c>
      <c r="O1254" s="64">
        <v>1</v>
      </c>
      <c r="P1254" s="64">
        <f>=I1254*O1254*ROUNDUP((A1254-B1254)/30,0)</f>
        <v>144</v>
      </c>
      <c r="Q1254" s="62" t="s"/>
      <c r="R1254" s="62" t="s"/>
    </row>
    <row r="1255" spans="1:18" ht="15.75" customHeight="true">
      <c r="A1255" s="147">
        <v>46190</v>
      </c>
      <c r="B1255" s="460">
        <v>46095</v>
      </c>
      <c r="C1255" s="98" t="s">
        <v>144</v>
      </c>
      <c r="D1255" s="71" t="s">
        <v>135</v>
      </c>
      <c r="E1255" s="511" t="s">
        <v>3435</v>
      </c>
      <c r="F1255" s="112" t="s">
        <v>428</v>
      </c>
      <c r="G1255" s="112" t="s">
        <v>422</v>
      </c>
      <c r="H1255" s="97" t="s">
        <v>612</v>
      </c>
      <c r="I1255" s="339">
        <v>80</v>
      </c>
      <c r="J1255" s="508">
        <v>956.32</v>
      </c>
      <c r="K1255" s="427">
        <f>=I1255*J1255</f>
        <v>76505.6</v>
      </c>
      <c r="L1255" s="71">
        <v>930</v>
      </c>
      <c r="M1255" s="428">
        <f>=I1255*L1255</f>
        <v>74400</v>
      </c>
      <c r="N1255" s="82">
        <f>=K1255-M1255</f>
        <v>2105.60000000001</v>
      </c>
      <c r="O1255" s="64">
        <v>1</v>
      </c>
      <c r="P1255" s="64">
        <f>=I1255*O1255*ROUNDUP((A1255-B1255)/30,0)</f>
        <v>320</v>
      </c>
      <c r="Q1255" s="62" t="s"/>
      <c r="R1255" s="62" t="s"/>
    </row>
    <row r="1256" spans="1:18" ht="15.75" customHeight="true">
      <c r="A1256" s="148">
        <v>46190</v>
      </c>
      <c r="B1256" s="527">
        <v>46121</v>
      </c>
      <c r="C1256" s="102" t="s">
        <v>247</v>
      </c>
      <c r="D1256" s="93" t="s">
        <v>135</v>
      </c>
      <c r="E1256" s="511" t="s">
        <v>3436</v>
      </c>
      <c r="F1256" s="156" t="s">
        <v>428</v>
      </c>
      <c r="G1256" s="262" t="s">
        <v>422</v>
      </c>
      <c r="H1256" s="64" t="s">
        <v>1777</v>
      </c>
      <c r="I1256" s="339">
        <v>80</v>
      </c>
      <c r="J1256" s="508">
        <v>827.18</v>
      </c>
      <c r="K1256" s="439">
        <f>=I1256*J1256</f>
        <v>66174.4</v>
      </c>
      <c r="L1256">
        <v>810</v>
      </c>
      <c r="M1256" s="428">
        <f>=I1256*L1256</f>
        <v>64800</v>
      </c>
      <c r="N1256" s="82">
        <f>=K1256-M1256</f>
        <v>1374.39999999999</v>
      </c>
      <c r="O1256" s="64">
        <v>1</v>
      </c>
      <c r="P1256" s="64">
        <f>=I1256*O1256*ROUNDUP((A1256-B1256)/30,0)</f>
        <v>240</v>
      </c>
      <c r="Q1256" s="62" t="s"/>
      <c r="R1256" s="62" t="s"/>
    </row>
    <row r="1257" spans="1:18" ht="15.75" customHeight="true">
      <c r="A1257" s="148">
        <v>46190</v>
      </c>
      <c r="B1257" s="527">
        <v>46121</v>
      </c>
      <c r="C1257" s="102" t="s">
        <v>247</v>
      </c>
      <c r="D1257" s="93" t="s">
        <v>135</v>
      </c>
      <c r="E1257" s="511" t="s">
        <v>3437</v>
      </c>
      <c r="F1257" s="156" t="s">
        <v>428</v>
      </c>
      <c r="G1257" s="262" t="s">
        <v>422</v>
      </c>
      <c r="H1257" s="64" t="s">
        <v>1781</v>
      </c>
      <c r="I1257" s="331">
        <v>60</v>
      </c>
      <c r="J1257" s="508">
        <v>827.18</v>
      </c>
      <c r="K1257" s="439">
        <f>=I1257*J1257</f>
        <v>49630.8</v>
      </c>
      <c r="L1257">
        <v>810</v>
      </c>
      <c r="M1257" s="454">
        <f>=I1257*L1257</f>
        <v>48600</v>
      </c>
      <c r="N1257" s="84">
        <f>=K1257-M1257</f>
        <v>1030.8</v>
      </c>
      <c r="O1257" s="83">
        <v>1</v>
      </c>
      <c r="P1257" s="83">
        <f>=I1257*O1257*ROUNDUP((A1257-B1257)/30,0)</f>
        <v>180</v>
      </c>
      <c r="Q1257" s="62" t="s"/>
      <c r="R1257" s="62" t="s"/>
    </row>
    <row r="1258" spans="1:18" ht="15.75" customHeight="true">
      <c r="A1258" s="148">
        <v>46190</v>
      </c>
      <c r="B1258" s="527">
        <v>46101</v>
      </c>
      <c r="C1258" s="102" t="s">
        <v>174</v>
      </c>
      <c r="D1258" s="93" t="s">
        <v>135</v>
      </c>
      <c r="E1258" s="145" t="s">
        <v>3438</v>
      </c>
      <c r="F1258" t="s">
        <v>428</v>
      </c>
      <c r="G1258" t="s">
        <v>422</v>
      </c>
      <c r="H1258" s="528" t="s">
        <v>493</v>
      </c>
      <c r="I1258" s="529">
        <v>50</v>
      </c>
      <c r="J1258" s="508">
        <v>1720.8</v>
      </c>
      <c r="K1258" s="439">
        <f>=I1258*J1258</f>
        <v>86040</v>
      </c>
      <c r="L1258" s="71">
        <v>1680</v>
      </c>
      <c r="M1258" s="454">
        <f>=I1258*L1258</f>
        <v>84000</v>
      </c>
      <c r="N1258" s="84">
        <f>=K1258-M1258</f>
        <v>2040</v>
      </c>
      <c r="O1258" s="83">
        <v>1</v>
      </c>
      <c r="P1258" s="83">
        <f>=I1258*O1258*ROUNDUP((A1258-B1258)/30,0)</f>
        <v>150</v>
      </c>
      <c r="Q1258" s="62" t="s"/>
      <c r="R1258" s="62" t="s"/>
    </row>
    <row r="1259" spans="1:18" ht="15.75" customHeight="true">
      <c r="A1259" s="148">
        <v>46190</v>
      </c>
      <c r="B1259" s="527">
        <v>46114</v>
      </c>
      <c r="C1259" s="102" t="s">
        <v>237</v>
      </c>
      <c r="D1259" s="93" t="s">
        <v>135</v>
      </c>
      <c r="E1259" s="145" t="s">
        <v>3439</v>
      </c>
      <c r="F1259" t="s">
        <v>428</v>
      </c>
      <c r="G1259" t="s">
        <v>422</v>
      </c>
      <c r="H1259" s="64" t="s">
        <v>1703</v>
      </c>
      <c r="I1259" s="161">
        <v>20</v>
      </c>
      <c r="J1259" s="508">
        <v>680.8</v>
      </c>
      <c r="K1259" s="439">
        <f>=I1259*J1259</f>
        <v>13616</v>
      </c>
      <c r="L1259">
        <v>665</v>
      </c>
      <c r="M1259" s="454">
        <f>=I1259*L1259</f>
        <v>13300</v>
      </c>
      <c r="N1259" s="84">
        <f>=K1259-M1259</f>
        <v>316</v>
      </c>
      <c r="O1259" s="83">
        <v>1</v>
      </c>
      <c r="P1259" s="83">
        <f>=I1259*O1259*ROUNDUP((A1259-B1259)/30,0)</f>
        <v>60</v>
      </c>
      <c r="Q1259" s="62" t="s"/>
      <c r="R1259" s="62" t="s"/>
    </row>
    <row r="1260" spans="1:18" ht="15.75" customHeight="true">
      <c r="A1260" s="148">
        <v>46190</v>
      </c>
      <c r="B1260" s="461">
        <v>46162</v>
      </c>
      <c r="C1260" t="s">
        <v>345</v>
      </c>
      <c r="D1260" s="93" t="s">
        <v>339</v>
      </c>
      <c r="E1260" s="365" t="s">
        <v>3440</v>
      </c>
      <c r="F1260" s="526" t="s">
        <v>428</v>
      </c>
      <c r="G1260" s="71" t="s">
        <v>422</v>
      </c>
      <c r="H1260" s="64" t="s">
        <v>837</v>
      </c>
      <c r="I1260">
        <v>500</v>
      </c>
      <c r="J1260" s="508">
        <v>626.17</v>
      </c>
      <c r="K1260" s="439">
        <f>=I1260*J1260</f>
        <v>313085</v>
      </c>
      <c r="L1260" s="339">
        <v>620</v>
      </c>
      <c r="M1260" s="454">
        <f>=I1260*L1260</f>
        <v>310000</v>
      </c>
      <c r="N1260" s="84">
        <f>=K1260-M1260</f>
        <v>3085</v>
      </c>
      <c r="O1260" s="83">
        <v>1</v>
      </c>
      <c r="P1260" s="83">
        <f>=I1260*O1260*ROUNDUP((A1260-B1260)/30,0)</f>
        <v>500</v>
      </c>
      <c r="Q1260" s="62" t="s"/>
      <c r="R1260" s="62" t="s"/>
    </row>
    <row r="1261" spans="1:18" ht="15.75" customHeight="true">
      <c r="A1261" s="148">
        <v>46190</v>
      </c>
      <c r="B1261" s="461">
        <v>46114</v>
      </c>
      <c r="C1261" s="222" t="s">
        <v>238</v>
      </c>
      <c r="D1261" s="101" t="s">
        <v>211</v>
      </c>
      <c r="E1261" s="511" t="s">
        <v>3441</v>
      </c>
      <c r="F1261" s="136" t="s">
        <v>421</v>
      </c>
      <c r="G1261" s="136" t="s">
        <v>470</v>
      </c>
      <c r="H1261" s="325" t="s">
        <v>1284</v>
      </c>
      <c r="I1261">
        <v>147</v>
      </c>
      <c r="J1261" s="203">
        <v>3286.49</v>
      </c>
      <c r="K1261" s="439">
        <f>=I1261*J1261</f>
        <v>483114.03</v>
      </c>
      <c r="L1261">
        <v>3220</v>
      </c>
      <c r="M1261" s="454">
        <f>=I1261*L1261</f>
        <v>473340</v>
      </c>
      <c r="N1261" s="84">
        <f>=K1261-M1261</f>
        <v>9774.02999999997</v>
      </c>
      <c r="O1261" s="83">
        <v>1.5</v>
      </c>
      <c r="P1261" s="83">
        <f>=I1261*O1261*ROUNDUP((A1261-B1261)/30,0)</f>
        <v>661.5</v>
      </c>
      <c r="Q1261" s="62" t="s"/>
      <c r="R1261" s="62" t="s"/>
    </row>
    <row r="1262" spans="1:18" ht="15.75" customHeight="true">
      <c r="A1262" s="148">
        <v>46190</v>
      </c>
      <c r="B1262" s="461">
        <v>46114</v>
      </c>
      <c r="C1262" s="102" t="s">
        <v>231</v>
      </c>
      <c r="D1262" s="101" t="s">
        <v>211</v>
      </c>
      <c r="E1262" s="511" t="s">
        <v>3442</v>
      </c>
      <c r="F1262" s="136" t="s">
        <v>421</v>
      </c>
      <c r="G1262" s="136" t="s">
        <v>470</v>
      </c>
      <c r="H1262" s="325" t="s">
        <v>1284</v>
      </c>
      <c r="I1262">
        <v>3</v>
      </c>
      <c r="J1262" s="402">
        <v>3287.29</v>
      </c>
      <c r="K1262" s="439">
        <f>=I1262*J1262</f>
        <v>9861.87</v>
      </c>
      <c r="L1262">
        <v>3220</v>
      </c>
      <c r="M1262" s="454">
        <f>=I1262*L1262</f>
        <v>9660</v>
      </c>
      <c r="N1262" s="84">
        <f>=K1262-M1262</f>
        <v>201.869999999999</v>
      </c>
      <c r="O1262" s="83">
        <v>1.5</v>
      </c>
      <c r="P1262" s="83">
        <f>=I1262*O1262*ROUNDUP((A1262-B1262)/30,0)</f>
        <v>13.5</v>
      </c>
      <c r="Q1262" s="62" t="s"/>
      <c r="R1262" s="62" t="s"/>
    </row>
    <row r="1263" spans="1:18" ht="15.75" customHeight="true">
      <c r="A1263" s="148">
        <v>46190</v>
      </c>
      <c r="B1263" s="461">
        <v>46113</v>
      </c>
      <c r="C1263" s="222" t="s">
        <v>238</v>
      </c>
      <c r="D1263" s="93" t="s">
        <v>211</v>
      </c>
      <c r="E1263" s="511" t="s">
        <v>3443</v>
      </c>
      <c r="F1263" s="136" t="s">
        <v>421</v>
      </c>
      <c r="G1263" s="136" t="s">
        <v>470</v>
      </c>
      <c r="H1263" s="530" t="s">
        <v>1286</v>
      </c>
      <c r="I1263" s="339">
        <v>90</v>
      </c>
      <c r="J1263" s="513">
        <v>2859.1</v>
      </c>
      <c r="K1263" s="439">
        <f>=I1263*J1263</f>
        <v>257319</v>
      </c>
      <c r="L1263">
        <v>2800</v>
      </c>
      <c r="M1263" s="454">
        <f>=I1263*L1263</f>
        <v>252000</v>
      </c>
      <c r="N1263" s="84">
        <f>=K1263-M1263</f>
        <v>5319</v>
      </c>
      <c r="O1263" s="83">
        <v>1.5</v>
      </c>
      <c r="P1263" s="83">
        <f>=I1263*O1263*ROUNDUP((A1263-B1263)/30,0)</f>
        <v>405</v>
      </c>
      <c r="Q1263" s="62" t="s"/>
      <c r="R1263" s="62" t="s"/>
    </row>
    <row r="1264" spans="1:18" ht="15.75" customHeight="true">
      <c r="A1264" s="148">
        <v>46190</v>
      </c>
      <c r="B1264" s="527">
        <v>46113</v>
      </c>
      <c r="C1264" s="222" t="s">
        <v>231</v>
      </c>
      <c r="D1264" s="93" t="s">
        <v>211</v>
      </c>
      <c r="E1264" s="511" t="s">
        <v>3443</v>
      </c>
      <c r="F1264" s="136" t="s">
        <v>421</v>
      </c>
      <c r="G1264" s="136" t="s">
        <v>470</v>
      </c>
      <c r="H1264" s="531" t="s">
        <v>1286</v>
      </c>
      <c r="I1264" s="87">
        <v>60</v>
      </c>
      <c r="J1264" s="508">
        <v>2859.1</v>
      </c>
      <c r="K1264" s="439">
        <f>=I1264*J1264</f>
        <v>171546</v>
      </c>
      <c r="L1264">
        <v>2800</v>
      </c>
      <c r="M1264" s="454">
        <f>=I1264*L1264</f>
        <v>168000</v>
      </c>
      <c r="N1264" s="84">
        <f>=K1264-M1264</f>
        <v>3546</v>
      </c>
      <c r="O1264" s="83">
        <v>1.5</v>
      </c>
      <c r="P1264" s="83">
        <f>=I1264*O1264*ROUNDUP((A1264-B1264)/30,0)</f>
        <v>270</v>
      </c>
      <c r="Q1264" s="62" t="s"/>
      <c r="R1264" s="62" t="s"/>
    </row>
    <row r="1265" spans="1:18" ht="15.75" customHeight="true">
      <c r="A1265" s="148">
        <v>46191</v>
      </c>
      <c r="B1265" s="527">
        <v>46161</v>
      </c>
      <c r="C1265" s="93" t="s">
        <v>341</v>
      </c>
      <c r="D1265" s="121" t="s">
        <v>145</v>
      </c>
      <c r="E1265" s="263" t="s">
        <v>3444</v>
      </c>
      <c r="F1265" s="71" t="s">
        <v>428</v>
      </c>
      <c r="G1265" s="71" t="s">
        <v>422</v>
      </c>
      <c r="H1265" s="64" t="s">
        <v>2158</v>
      </c>
      <c r="I1265">
        <v>200</v>
      </c>
      <c r="J1265" s="249">
        <v>1867.34</v>
      </c>
      <c r="K1265" s="439">
        <f>=I1265*J1265</f>
        <v>373468</v>
      </c>
      <c r="L1265" s="87">
        <v>1850</v>
      </c>
      <c r="M1265" s="454">
        <f>=I1265*L1265</f>
        <v>370000</v>
      </c>
      <c r="N1265" s="84">
        <f>=K1265-M1265</f>
        <v>3468</v>
      </c>
      <c r="O1265" s="83">
        <v>1</v>
      </c>
      <c r="P1265" s="83">
        <f>=I1265*O1265*ROUNDUP((A1265-B1265)/30,0)</f>
        <v>200</v>
      </c>
      <c r="Q1265" s="62" t="s"/>
      <c r="R1265" s="62" t="s"/>
    </row>
    <row r="1266" spans="1:18" ht="15.75" customHeight="true">
      <c r="A1266" s="147">
        <v>46191</v>
      </c>
      <c r="B1266" s="527">
        <v>46163</v>
      </c>
      <c r="C1266" s="71" t="s">
        <v>351</v>
      </c>
      <c r="D1266" s="71" t="s">
        <v>169</v>
      </c>
      <c r="E1266" s="365" t="s">
        <v>3445</v>
      </c>
      <c r="F1266" s="156" t="s">
        <v>421</v>
      </c>
      <c r="G1266" s="156" t="s">
        <v>422</v>
      </c>
      <c r="H1266" s="156" t="s">
        <v>981</v>
      </c>
      <c r="I1266">
        <v>1</v>
      </c>
      <c r="J1266" s="491">
        <v>6347.18</v>
      </c>
      <c r="K1266" s="427">
        <f>=I1266*J1266</f>
        <v>6347.18</v>
      </c>
      <c r="L1266">
        <v>6300</v>
      </c>
      <c r="M1266" s="428">
        <f>=I1266*L1266</f>
        <v>6300</v>
      </c>
      <c r="N1266" s="82">
        <f>=K1266-M1266</f>
        <v>47.1800000000003</v>
      </c>
      <c r="O1266" s="64">
        <v>1</v>
      </c>
      <c r="P1266" s="64">
        <f>=I1266*O1266*ROUNDUP((A1266-B1266)/30,0)</f>
        <v>1</v>
      </c>
      <c r="Q1266" s="62" t="s"/>
      <c r="R1266" s="62" t="s"/>
    </row>
    <row r="1267" spans="1:18" ht="15.75" customHeight="true">
      <c r="A1267" s="147">
        <v>46191</v>
      </c>
      <c r="B1267" s="527">
        <v>46164</v>
      </c>
      <c r="C1267" s="71" t="s">
        <v>354</v>
      </c>
      <c r="D1267" s="71" t="s">
        <v>169</v>
      </c>
      <c r="E1267" s="365" t="s">
        <v>3446</v>
      </c>
      <c r="F1267" s="156" t="s">
        <v>421</v>
      </c>
      <c r="G1267" s="156" t="s">
        <v>422</v>
      </c>
      <c r="H1267" s="259" t="s">
        <v>979</v>
      </c>
      <c r="I1267">
        <v>2</v>
      </c>
      <c r="J1267" s="491">
        <v>4402.09</v>
      </c>
      <c r="K1267" s="427">
        <f>=I1267*J1267</f>
        <v>8804.18</v>
      </c>
      <c r="L1267">
        <v>4370</v>
      </c>
      <c r="M1267" s="428">
        <f>=I1267*L1267</f>
        <v>8740</v>
      </c>
      <c r="N1267" s="82">
        <f>=K1267-M1267</f>
        <v>64.1800000000003</v>
      </c>
      <c r="O1267" s="64">
        <v>1</v>
      </c>
      <c r="P1267" s="64">
        <f>=I1267*O1267*ROUNDUP((A1267-B1267)/30,0)</f>
        <v>2</v>
      </c>
      <c r="Q1267" s="62" t="s"/>
      <c r="R1267" s="62" t="s"/>
    </row>
    <row r="1268" spans="1:18" ht="15.75" customHeight="true">
      <c r="A1268" s="147">
        <v>46191</v>
      </c>
      <c r="B1268" s="460">
        <v>46164</v>
      </c>
      <c r="C1268" s="71" t="s">
        <v>354</v>
      </c>
      <c r="D1268" s="71" t="s">
        <v>169</v>
      </c>
      <c r="E1268" s="365" t="s">
        <v>3447</v>
      </c>
      <c r="F1268" s="156" t="s">
        <v>421</v>
      </c>
      <c r="G1268" s="156" t="s">
        <v>422</v>
      </c>
      <c r="H1268" s="259" t="s">
        <v>971</v>
      </c>
      <c r="I1268">
        <v>4</v>
      </c>
      <c r="J1268" s="249">
        <v>4764.61</v>
      </c>
      <c r="K1268" s="427">
        <f>=I1268*J1268</f>
        <v>19058.44</v>
      </c>
      <c r="L1268">
        <v>4730</v>
      </c>
      <c r="M1268" s="428">
        <f>=I1268*L1268</f>
        <v>18920</v>
      </c>
      <c r="N1268" s="82">
        <f>=K1268-M1268</f>
        <v>138.439999999999</v>
      </c>
      <c r="O1268" s="64">
        <v>1</v>
      </c>
      <c r="P1268" s="64">
        <f>=I1268*O1268*ROUNDUP((A1268-B1268)/30,0)</f>
        <v>4</v>
      </c>
      <c r="Q1268" s="62" t="s"/>
      <c r="R1268" s="62" t="s"/>
    </row>
    <row r="1269" spans="1:18" ht="15.75" customHeight="true">
      <c r="A1269" s="147">
        <v>46191</v>
      </c>
      <c r="B1269" s="460">
        <v>46164</v>
      </c>
      <c r="C1269" s="71" t="s">
        <v>354</v>
      </c>
      <c r="D1269" s="71" t="s">
        <v>169</v>
      </c>
      <c r="E1269" s="365" t="s">
        <v>3448</v>
      </c>
      <c r="F1269" s="156" t="s">
        <v>421</v>
      </c>
      <c r="G1269" s="156" t="s">
        <v>422</v>
      </c>
      <c r="H1269" s="156" t="s">
        <v>965</v>
      </c>
      <c r="I1269" s="339">
        <v>3</v>
      </c>
      <c r="J1269" s="513">
        <v>7151.2</v>
      </c>
      <c r="K1269" s="427">
        <f>=I1269*J1269</f>
        <v>21453.6</v>
      </c>
      <c r="L1269" s="339">
        <v>7100</v>
      </c>
      <c r="M1269" s="428">
        <f>=I1269*L1269</f>
        <v>21300</v>
      </c>
      <c r="N1269" s="82">
        <f>=K1269-M1269</f>
        <v>153.599999999999</v>
      </c>
      <c r="O1269" s="64">
        <v>1</v>
      </c>
      <c r="P1269" s="64">
        <f>=I1269*O1269*ROUNDUP((A1269-B1269)/30,0)</f>
        <v>3</v>
      </c>
      <c r="Q1269" s="62" t="s"/>
      <c r="R1269" s="62" t="s"/>
    </row>
    <row r="1270" spans="1:18" ht="15.75" customHeight="true">
      <c r="A1270" s="147">
        <v>46191</v>
      </c>
      <c r="B1270" s="460">
        <v>46164</v>
      </c>
      <c r="C1270" s="71" t="s">
        <v>354</v>
      </c>
      <c r="D1270" s="71" t="s">
        <v>169</v>
      </c>
      <c r="E1270" s="365" t="s">
        <v>3449</v>
      </c>
      <c r="F1270" s="156" t="s">
        <v>421</v>
      </c>
      <c r="G1270" s="156" t="s">
        <v>422</v>
      </c>
      <c r="H1270" s="156" t="s">
        <v>967</v>
      </c>
      <c r="I1270" s="161">
        <v>3</v>
      </c>
      <c r="J1270" s="513">
        <v>7151.2</v>
      </c>
      <c r="K1270" s="427">
        <f>=I1270*J1270</f>
        <v>21453.6</v>
      </c>
      <c r="L1270" s="87">
        <v>7100</v>
      </c>
      <c r="M1270" s="428">
        <f>=I1270*L1270</f>
        <v>21300</v>
      </c>
      <c r="N1270" s="82">
        <f>=K1270-M1270</f>
        <v>153.599999999999</v>
      </c>
      <c r="O1270" s="64">
        <v>1</v>
      </c>
      <c r="P1270" s="64">
        <f>=I1270*O1270*ROUNDUP((A1270-B1270)/30,0)</f>
        <v>3</v>
      </c>
      <c r="Q1270" s="62" t="s"/>
      <c r="R1270" s="62" t="s"/>
    </row>
    <row r="1271" spans="1:18" ht="15.75" customHeight="true">
      <c r="A1271" s="147">
        <v>46191</v>
      </c>
      <c r="B1271" s="460">
        <v>46164</v>
      </c>
      <c r="C1271" s="71" t="s">
        <v>354</v>
      </c>
      <c r="D1271" s="71" t="s">
        <v>169</v>
      </c>
      <c r="E1271" s="365" t="s">
        <v>3450</v>
      </c>
      <c r="F1271" s="156" t="s">
        <v>421</v>
      </c>
      <c r="G1271" s="156" t="s">
        <v>422</v>
      </c>
      <c r="H1271" s="156" t="s">
        <v>969</v>
      </c>
      <c r="I1271" s="161">
        <v>4</v>
      </c>
      <c r="J1271" s="513">
        <v>7151.2</v>
      </c>
      <c r="K1271" s="427">
        <f>=I1271*J1271</f>
        <v>28604.8</v>
      </c>
      <c r="L1271" s="339">
        <v>7100</v>
      </c>
      <c r="M1271" s="428">
        <f>=I1271*L1271</f>
        <v>28400</v>
      </c>
      <c r="N1271" s="82">
        <f>=K1271-M1271</f>
        <v>204.799999999999</v>
      </c>
      <c r="O1271" s="64">
        <v>1</v>
      </c>
      <c r="P1271" s="64">
        <f>=I1271*O1271*ROUNDUP((A1271-B1271)/30,0)</f>
        <v>4</v>
      </c>
      <c r="Q1271" s="62" t="s"/>
      <c r="R1271" s="62" t="s"/>
    </row>
    <row r="1272" spans="1:18" ht="15.75" customHeight="true">
      <c r="A1272" s="147">
        <v>46191</v>
      </c>
      <c r="B1272" s="460">
        <v>46163</v>
      </c>
      <c r="C1272" s="71" t="s">
        <v>351</v>
      </c>
      <c r="D1272" s="71" t="s">
        <v>169</v>
      </c>
      <c r="E1272" s="365" t="s">
        <v>3451</v>
      </c>
      <c r="F1272" s="156" t="s">
        <v>421</v>
      </c>
      <c r="G1272" s="156" t="s">
        <v>422</v>
      </c>
      <c r="H1272" s="156" t="s">
        <v>959</v>
      </c>
      <c r="I1272" s="161">
        <v>3</v>
      </c>
      <c r="J1272" s="203">
        <v>7858.05</v>
      </c>
      <c r="K1272" s="427">
        <f>=I1272*J1272</f>
        <v>23574.15</v>
      </c>
      <c r="L1272" s="87">
        <v>7800</v>
      </c>
      <c r="M1272" s="428">
        <f>=I1272*L1272</f>
        <v>23400</v>
      </c>
      <c r="N1272" s="82">
        <f>=K1272-M1272</f>
        <v>174.150000000001</v>
      </c>
      <c r="O1272" s="64">
        <v>1</v>
      </c>
      <c r="P1272" s="64">
        <f>=I1272*O1272*ROUNDUP((A1272-B1272)/30,0)</f>
        <v>3</v>
      </c>
      <c r="Q1272" s="62" t="s"/>
      <c r="R1272" s="62" t="s"/>
    </row>
    <row r="1273" spans="1:18" ht="15.75" customHeight="true">
      <c r="A1273" s="147">
        <v>46191</v>
      </c>
      <c r="B1273" s="460">
        <v>46163</v>
      </c>
      <c r="C1273" s="71" t="s">
        <v>351</v>
      </c>
      <c r="D1273" s="71" t="s">
        <v>169</v>
      </c>
      <c r="E1273" s="365" t="s">
        <v>3452</v>
      </c>
      <c r="F1273" s="156" t="s">
        <v>421</v>
      </c>
      <c r="G1273" s="156" t="s">
        <v>422</v>
      </c>
      <c r="H1273" s="156" t="s">
        <v>961</v>
      </c>
      <c r="I1273" s="161">
        <v>5</v>
      </c>
      <c r="J1273" s="203">
        <v>7858.05</v>
      </c>
      <c r="K1273" s="427">
        <f>=I1273*J1273</f>
        <v>39290.25</v>
      </c>
      <c r="L1273" s="87">
        <v>7800</v>
      </c>
      <c r="M1273" s="428">
        <f>=I1273*L1273</f>
        <v>39000</v>
      </c>
      <c r="N1273" s="82">
        <f>=K1273-M1273</f>
        <v>290.25</v>
      </c>
      <c r="O1273" s="64">
        <v>1</v>
      </c>
      <c r="P1273" s="64">
        <f>=I1273*O1273*ROUNDUP((A1273-B1273)/30,0)</f>
        <v>5</v>
      </c>
      <c r="Q1273" s="62" t="s"/>
      <c r="R1273" s="62" t="s"/>
    </row>
    <row r="1274" spans="1:18" ht="15.75" customHeight="true">
      <c r="A1274" s="147">
        <v>46191</v>
      </c>
      <c r="B1274" s="460">
        <v>46163</v>
      </c>
      <c r="C1274" s="71" t="s">
        <v>351</v>
      </c>
      <c r="D1274" s="71" t="s">
        <v>169</v>
      </c>
      <c r="E1274" s="365" t="s">
        <v>3453</v>
      </c>
      <c r="F1274" s="156" t="s">
        <v>421</v>
      </c>
      <c r="G1274" s="156" t="s">
        <v>422</v>
      </c>
      <c r="H1274" s="156" t="s">
        <v>963</v>
      </c>
      <c r="I1274" s="367">
        <v>2</v>
      </c>
      <c r="J1274" s="203">
        <v>9520.01</v>
      </c>
      <c r="K1274" s="427">
        <f>=I1274*J1274</f>
        <v>19040.02</v>
      </c>
      <c r="L1274" s="506">
        <v>9450</v>
      </c>
      <c r="M1274" s="428">
        <f>=I1274*L1274</f>
        <v>18900</v>
      </c>
      <c r="N1274" s="82">
        <f>=K1274-M1274</f>
        <v>140.02</v>
      </c>
      <c r="O1274" s="64">
        <v>1</v>
      </c>
      <c r="P1274" s="64">
        <f>=I1274*O1274*ROUNDUP((A1274-B1274)/30,0)</f>
        <v>2</v>
      </c>
      <c r="Q1274" s="62" t="s"/>
      <c r="R1274" s="62" t="s"/>
    </row>
    <row r="1275" spans="1:18" s="270" customFormat="true" ht="15.75" customHeight="true">
      <c r="A1275" s="147">
        <v>46191</v>
      </c>
      <c r="B1275" s="460">
        <v>46106</v>
      </c>
      <c r="C1275" s="80" t="s">
        <v>187</v>
      </c>
      <c r="D1275" s="64" t="s">
        <v>135</v>
      </c>
      <c r="E1275" s="471" t="s">
        <v>3454</v>
      </c>
      <c r="F1275" s="64" t="s">
        <v>428</v>
      </c>
      <c r="G1275" s="64" t="s">
        <v>422</v>
      </c>
      <c r="H1275" s="64" t="s">
        <v>1040</v>
      </c>
      <c r="I1275" s="87">
        <v>100</v>
      </c>
      <c r="J1275" s="427">
        <v>746.65</v>
      </c>
      <c r="K1275" s="427">
        <f>=I1275*J1275</f>
        <v>74665</v>
      </c>
      <c r="L1275" s="64">
        <v>728</v>
      </c>
      <c r="M1275" s="428">
        <f>=I1275*L1275</f>
        <v>72800</v>
      </c>
      <c r="N1275" s="82">
        <f>=K1275-M1275</f>
        <v>1865</v>
      </c>
      <c r="O1275" s="64">
        <v>1</v>
      </c>
      <c r="P1275" s="64">
        <f>=I1275*O1275*ROUNDUP((A1275-B1275)/30,0)</f>
        <v>300</v>
      </c>
      <c r="Q1275" s="64" t="s"/>
      <c r="R1275" s="64" t="s"/>
    </row>
    <row r="1276" spans="1:18" s="270" customFormat="true" ht="15.75" customHeight="true">
      <c r="A1276" s="147">
        <v>46191</v>
      </c>
      <c r="B1276" s="460">
        <v>46106</v>
      </c>
      <c r="C1276" s="80" t="s">
        <v>187</v>
      </c>
      <c r="D1276" s="64" t="s">
        <v>135</v>
      </c>
      <c r="E1276" s="471" t="s">
        <v>3455</v>
      </c>
      <c r="F1276" s="64" t="s">
        <v>428</v>
      </c>
      <c r="G1276" s="64" t="s">
        <v>422</v>
      </c>
      <c r="H1276" s="64" t="s">
        <v>1042</v>
      </c>
      <c r="I1276" s="87">
        <v>100</v>
      </c>
      <c r="J1276" s="427">
        <v>746.65</v>
      </c>
      <c r="K1276" s="427">
        <f>=I1276*J1276</f>
        <v>74665</v>
      </c>
      <c r="L1276" s="64">
        <v>728</v>
      </c>
      <c r="M1276" s="428">
        <f>=I1276*L1276</f>
        <v>72800</v>
      </c>
      <c r="N1276" s="82">
        <f>=K1276-M1276</f>
        <v>1865</v>
      </c>
      <c r="O1276" s="64">
        <v>1</v>
      </c>
      <c r="P1276" s="64">
        <f>=I1276*O1276*ROUNDUP((A1276-B1276)/30,0)</f>
        <v>300</v>
      </c>
      <c r="Q1276" s="64" t="s"/>
      <c r="R1276" s="64" t="s"/>
    </row>
    <row r="1277" spans="1:18" s="270" customFormat="true" ht="15.75" customHeight="true">
      <c r="A1277" s="147">
        <v>46191</v>
      </c>
      <c r="B1277" s="460">
        <v>46114</v>
      </c>
      <c r="C1277" s="80" t="s">
        <v>237</v>
      </c>
      <c r="D1277" s="64" t="s">
        <v>135</v>
      </c>
      <c r="E1277" s="471" t="s">
        <v>3456</v>
      </c>
      <c r="F1277" s="259" t="s">
        <v>428</v>
      </c>
      <c r="G1277" s="140" t="s">
        <v>422</v>
      </c>
      <c r="H1277" s="64" t="s">
        <v>1695</v>
      </c>
      <c r="I1277" s="339">
        <v>50</v>
      </c>
      <c r="J1277" s="249">
        <v>680.97</v>
      </c>
      <c r="K1277" s="427">
        <f>=I1277*J1277</f>
        <v>34048.5</v>
      </c>
      <c r="L1277" s="87">
        <v>665</v>
      </c>
      <c r="M1277" s="428">
        <f>=I1277*L1277</f>
        <v>33250</v>
      </c>
      <c r="N1277" s="82">
        <f>=K1277-M1277</f>
        <v>798.5</v>
      </c>
      <c r="O1277" s="64">
        <v>1</v>
      </c>
      <c r="P1277" s="64">
        <f>=I1277*O1277*ROUNDUP((A1277-B1277)/30,0)</f>
        <v>150</v>
      </c>
      <c r="Q1277" s="64" t="s"/>
      <c r="R1277" s="64" t="s"/>
    </row>
    <row r="1278" spans="1:18" s="270" customFormat="true" ht="15.75" customHeight="true">
      <c r="A1278" s="147">
        <v>46191</v>
      </c>
      <c r="B1278" s="460">
        <v>46155</v>
      </c>
      <c r="C1278" s="80" t="s">
        <v>327</v>
      </c>
      <c r="D1278" s="64" t="s">
        <v>135</v>
      </c>
      <c r="E1278" s="308" t="s">
        <v>3457</v>
      </c>
      <c r="F1278" s="87" t="s">
        <v>428</v>
      </c>
      <c r="G1278" s="87" t="s">
        <v>422</v>
      </c>
      <c r="H1278" s="64" t="s">
        <v>1695</v>
      </c>
      <c r="I1278" s="339">
        <v>100</v>
      </c>
      <c r="J1278" s="491">
        <v>708.48</v>
      </c>
      <c r="K1278" s="427">
        <f>=I1278*J1278</f>
        <v>70848</v>
      </c>
      <c r="L1278" s="339">
        <v>700</v>
      </c>
      <c r="M1278" s="428">
        <f>=I1278*L1278</f>
        <v>70000</v>
      </c>
      <c r="N1278" s="82">
        <f>=K1278-M1278</f>
        <v>848</v>
      </c>
      <c r="O1278" s="64">
        <v>1</v>
      </c>
      <c r="P1278" s="64">
        <f>=I1278*O1278*ROUNDUP((A1278-B1278)/30,0)</f>
        <v>200</v>
      </c>
      <c r="Q1278" s="64" t="s"/>
      <c r="R1278" s="64" t="s"/>
    </row>
    <row r="1279" spans="1:18" ht="15.75" customHeight="true">
      <c r="A1279" s="147">
        <v>46193</v>
      </c>
      <c r="B1279" s="460">
        <v>46162</v>
      </c>
      <c r="C1279" s="98" t="s">
        <v>350</v>
      </c>
      <c r="D1279" s="71" t="s">
        <v>150</v>
      </c>
      <c r="E1279" s="365" t="s">
        <v>3458</v>
      </c>
      <c r="F1279" s="71" t="s">
        <v>895</v>
      </c>
      <c r="G1279" s="71" t="s">
        <v>422</v>
      </c>
      <c r="H1279" s="71" t="s">
        <v>896</v>
      </c>
      <c r="I1279">
        <v>200</v>
      </c>
      <c r="J1279" s="508">
        <v>1031.16</v>
      </c>
      <c r="K1279" s="427">
        <f>=I1279*J1279</f>
        <v>206232</v>
      </c>
      <c r="L1279">
        <v>1020</v>
      </c>
      <c r="M1279" s="428">
        <f>=I1279*L1279</f>
        <v>204000</v>
      </c>
      <c r="N1279" s="82">
        <f>=K1279-M1279</f>
        <v>2232.00000000003</v>
      </c>
      <c r="O1279" s="64">
        <v>1</v>
      </c>
      <c r="P1279" s="64">
        <f>=I1279*O1279*ROUNDUP((A1279-B1279)/30,0)</f>
        <v>400</v>
      </c>
      <c r="Q1279" s="62" t="s"/>
      <c r="R1279" s="62" t="s"/>
    </row>
    <row r="1280" spans="1:18" ht="15.75" customHeight="true">
      <c r="A1280" s="147">
        <v>46195</v>
      </c>
      <c r="B1280" s="460">
        <v>46105</v>
      </c>
      <c r="C1280" s="98" t="s">
        <v>186</v>
      </c>
      <c r="D1280" s="71" t="s">
        <v>135</v>
      </c>
      <c r="E1280" s="511" t="s">
        <v>3459</v>
      </c>
      <c r="F1280" s="71" t="s">
        <v>741</v>
      </c>
      <c r="G1280" s="71" t="s">
        <v>449</v>
      </c>
      <c r="H1280" s="71" t="s">
        <v>1025</v>
      </c>
      <c r="I1280">
        <v>50</v>
      </c>
      <c r="J1280" s="402">
        <v>757.72</v>
      </c>
      <c r="K1280" s="427">
        <f>=I1280*J1280</f>
        <v>37886</v>
      </c>
      <c r="L1280" s="71">
        <v>735</v>
      </c>
      <c r="M1280" s="428">
        <f>=I1280*L1280</f>
        <v>36750</v>
      </c>
      <c r="N1280" s="82">
        <f>=K1280-M1280</f>
        <v>1136</v>
      </c>
      <c r="O1280" s="64">
        <v>1</v>
      </c>
      <c r="P1280" s="64">
        <f>=I1280*O1280*ROUNDUP((A1280-B1280)/30,0)</f>
        <v>150</v>
      </c>
      <c r="Q1280" s="62" t="s"/>
      <c r="R1280" s="62" t="s"/>
    </row>
    <row r="1281" spans="1:18" ht="15.75" customHeight="true">
      <c r="A1281" s="147">
        <v>46195</v>
      </c>
      <c r="B1281" s="460">
        <v>46105</v>
      </c>
      <c r="C1281" s="98" t="s">
        <v>186</v>
      </c>
      <c r="D1281" s="71" t="s">
        <v>135</v>
      </c>
      <c r="E1281" s="511" t="s">
        <v>3460</v>
      </c>
      <c r="F1281" s="71" t="s">
        <v>741</v>
      </c>
      <c r="G1281" s="71" t="s">
        <v>449</v>
      </c>
      <c r="H1281" s="71" t="s">
        <v>1030</v>
      </c>
      <c r="I1281">
        <v>50</v>
      </c>
      <c r="J1281" s="402">
        <v>757.72</v>
      </c>
      <c r="K1281" s="427">
        <f>=I1281*J1281</f>
        <v>37886</v>
      </c>
      <c r="L1281" s="71">
        <v>735</v>
      </c>
      <c r="M1281" s="428">
        <f>=I1281*L1281</f>
        <v>36750</v>
      </c>
      <c r="N1281" s="82">
        <f>=K1281-M1281</f>
        <v>1136</v>
      </c>
      <c r="O1281" s="64">
        <v>1</v>
      </c>
      <c r="P1281" s="64">
        <f>=I1281*O1281*ROUNDUP((A1281-B1281)/30,0)</f>
        <v>150</v>
      </c>
      <c r="Q1281" s="62" t="s"/>
      <c r="R1281" s="62" t="s"/>
    </row>
    <row r="1282" spans="1:18" ht="15.75" customHeight="true">
      <c r="A1282" s="147">
        <v>46195</v>
      </c>
      <c r="B1282" s="460">
        <v>46163</v>
      </c>
      <c r="C1282" s="71" t="s">
        <v>351</v>
      </c>
      <c r="D1282" s="71" t="s">
        <v>169</v>
      </c>
      <c r="E1282" s="365" t="s">
        <v>3461</v>
      </c>
      <c r="F1282" s="156" t="s">
        <v>421</v>
      </c>
      <c r="G1282" s="156" t="s">
        <v>422</v>
      </c>
      <c r="H1282" s="156" t="s">
        <v>959</v>
      </c>
      <c r="I1282" s="161">
        <v>5</v>
      </c>
      <c r="J1282" s="203">
        <v>7867.35</v>
      </c>
      <c r="K1282" s="427">
        <f>=I1282*J1282</f>
        <v>39336.75</v>
      </c>
      <c r="L1282" s="87">
        <v>7800</v>
      </c>
      <c r="M1282" s="428">
        <f>=I1282*L1282</f>
        <v>39000</v>
      </c>
      <c r="N1282" s="82">
        <f>=K1282-M1282</f>
        <v>336.75</v>
      </c>
      <c r="O1282" s="64">
        <v>1</v>
      </c>
      <c r="P1282" s="64">
        <f>=I1282*O1282*ROUNDUP((A1282-B1282)/30,0)</f>
        <v>10</v>
      </c>
      <c r="Q1282" s="62" t="s"/>
      <c r="R1282" s="62" t="s"/>
    </row>
    <row r="1283" spans="1:18" ht="14.25" customHeight="true">
      <c r="A1283" s="147">
        <v>46195</v>
      </c>
      <c r="B1283" s="460">
        <v>46163</v>
      </c>
      <c r="C1283" s="71" t="s">
        <v>351</v>
      </c>
      <c r="D1283" s="71" t="s">
        <v>169</v>
      </c>
      <c r="E1283" s="365" t="s">
        <v>3462</v>
      </c>
      <c r="F1283" s="156" t="s">
        <v>421</v>
      </c>
      <c r="G1283" s="156" t="s">
        <v>422</v>
      </c>
      <c r="H1283" s="156" t="s">
        <v>961</v>
      </c>
      <c r="I1283">
        <v>3</v>
      </c>
      <c r="J1283" s="203">
        <v>7867.35</v>
      </c>
      <c r="K1283" s="427">
        <f>=I1283*J1283</f>
        <v>23602.05</v>
      </c>
      <c r="L1283" s="87">
        <v>7800</v>
      </c>
      <c r="M1283" s="428">
        <f>=I1283*L1283</f>
        <v>23400</v>
      </c>
      <c r="N1283" s="82">
        <f>=K1283-M1283</f>
        <v>202.050000000003</v>
      </c>
      <c r="O1283" s="64">
        <v>1</v>
      </c>
      <c r="P1283" s="64">
        <f>=I1283*O1283*ROUNDUP((A1283-B1283)/30,0)</f>
        <v>6</v>
      </c>
      <c r="Q1283" s="62" t="s"/>
      <c r="R1283" s="62" t="s"/>
    </row>
    <row r="1284" spans="1:18" ht="15.75" customHeight="true">
      <c r="A1284" s="147">
        <v>46195</v>
      </c>
      <c r="B1284" s="460">
        <v>46164</v>
      </c>
      <c r="C1284" s="71" t="s">
        <v>354</v>
      </c>
      <c r="D1284" s="71" t="s">
        <v>169</v>
      </c>
      <c r="E1284" s="365" t="s">
        <v>3463</v>
      </c>
      <c r="F1284" s="156" t="s">
        <v>421</v>
      </c>
      <c r="G1284" s="156" t="s">
        <v>422</v>
      </c>
      <c r="H1284" s="259" t="s">
        <v>979</v>
      </c>
      <c r="I1284" s="161">
        <v>2</v>
      </c>
      <c r="J1284" s="203">
        <v>4407.96</v>
      </c>
      <c r="K1284" s="427">
        <f>=I1284*J1284</f>
        <v>8815.92</v>
      </c>
      <c r="L1284">
        <v>4370</v>
      </c>
      <c r="M1284" s="428">
        <f>=I1284*L1284</f>
        <v>8740</v>
      </c>
      <c r="N1284" s="82">
        <f>=K1284-M1284</f>
        <v>75.9200000000001</v>
      </c>
      <c r="O1284" s="64">
        <v>1</v>
      </c>
      <c r="P1284" s="64">
        <f>=I1284*O1284*ROUNDUP((A1284-B1284)/30,0)</f>
        <v>4</v>
      </c>
      <c r="Q1284" s="62" t="s"/>
      <c r="R1284" s="62" t="s"/>
    </row>
    <row r="1285" spans="1:18" ht="15.75" customHeight="true">
      <c r="A1285" s="147">
        <v>46195</v>
      </c>
      <c r="B1285" s="460">
        <v>46164</v>
      </c>
      <c r="C1285" s="71" t="s">
        <v>354</v>
      </c>
      <c r="D1285" s="71" t="s">
        <v>169</v>
      </c>
      <c r="E1285" s="365" t="s">
        <v>3464</v>
      </c>
      <c r="F1285" s="156" t="s">
        <v>421</v>
      </c>
      <c r="G1285" s="156" t="s">
        <v>422</v>
      </c>
      <c r="H1285" s="259" t="s">
        <v>971</v>
      </c>
      <c r="I1285" s="532">
        <v>2</v>
      </c>
      <c r="J1285" s="491">
        <v>4770.84</v>
      </c>
      <c r="K1285" s="427">
        <f>=I1285*J1285</f>
        <v>9541.68</v>
      </c>
      <c r="L1285">
        <v>4730</v>
      </c>
      <c r="M1285" s="428">
        <f>=I1285*L1285</f>
        <v>9460</v>
      </c>
      <c r="N1285" s="82">
        <f>=K1285-M1285</f>
        <v>81.6800000000003</v>
      </c>
      <c r="O1285" s="64">
        <v>1</v>
      </c>
      <c r="P1285" s="64">
        <f>=I1285*O1285*ROUNDUP((A1285-B1285)/30,0)</f>
        <v>4</v>
      </c>
      <c r="Q1285" s="62" t="s"/>
      <c r="R1285" s="62" t="s"/>
    </row>
    <row r="1286" spans="1:18" ht="15.75" customHeight="true">
      <c r="A1286" s="147">
        <v>46195</v>
      </c>
      <c r="B1286" s="460">
        <v>46164</v>
      </c>
      <c r="C1286" s="71" t="s">
        <v>354</v>
      </c>
      <c r="D1286" s="71" t="s">
        <v>169</v>
      </c>
      <c r="E1286" s="365" t="s">
        <v>3465</v>
      </c>
      <c r="F1286" s="156" t="s">
        <v>421</v>
      </c>
      <c r="G1286" s="156" t="s">
        <v>422</v>
      </c>
      <c r="H1286" s="156" t="s">
        <v>965</v>
      </c>
      <c r="I1286" s="161">
        <v>1</v>
      </c>
      <c r="J1286" s="203">
        <v>7159.8</v>
      </c>
      <c r="K1286" s="427">
        <f>=I1286*J1286</f>
        <v>7159.8</v>
      </c>
      <c r="L1286" s="339">
        <v>7100</v>
      </c>
      <c r="M1286" s="428">
        <f>=I1286*L1286</f>
        <v>7100</v>
      </c>
      <c r="N1286" s="82">
        <f>=K1286-M1286</f>
        <v>59.8000000000002</v>
      </c>
      <c r="O1286" s="64">
        <v>1</v>
      </c>
      <c r="P1286" s="64">
        <f>=I1286*O1286*ROUNDUP((A1286-B1286)/30,0)</f>
        <v>2</v>
      </c>
      <c r="Q1286" s="62" t="s"/>
      <c r="R1286" s="62" t="s"/>
    </row>
    <row r="1287" spans="1:18" ht="15.75" customHeight="true">
      <c r="A1287" s="147">
        <v>46195</v>
      </c>
      <c r="B1287" s="460">
        <v>46164</v>
      </c>
      <c r="C1287" s="71" t="s">
        <v>354</v>
      </c>
      <c r="D1287" s="71" t="s">
        <v>169</v>
      </c>
      <c r="E1287" s="365" t="s">
        <v>3466</v>
      </c>
      <c r="F1287" s="156" t="s">
        <v>421</v>
      </c>
      <c r="G1287" s="156" t="s">
        <v>422</v>
      </c>
      <c r="H1287" s="156" t="s">
        <v>967</v>
      </c>
      <c r="I1287" s="161">
        <v>2</v>
      </c>
      <c r="J1287" s="203">
        <v>7159.8</v>
      </c>
      <c r="K1287" s="427">
        <f>=I1287*J1287</f>
        <v>14319.6</v>
      </c>
      <c r="L1287" s="339">
        <v>7100</v>
      </c>
      <c r="M1287" s="428">
        <f>=I1287*L1287</f>
        <v>14200</v>
      </c>
      <c r="N1287" s="82">
        <f>=K1287-M1287</f>
        <v>119.6</v>
      </c>
      <c r="O1287" s="64">
        <v>1</v>
      </c>
      <c r="P1287" s="64">
        <f>=I1287*O1287*ROUNDUP((A1287-B1287)/30,0)</f>
        <v>4</v>
      </c>
      <c r="Q1287" s="62" t="s"/>
      <c r="R1287" s="62" t="s"/>
    </row>
    <row r="1288" spans="1:18" ht="15.75" customHeight="true">
      <c r="A1288" s="147">
        <v>46195</v>
      </c>
      <c r="B1288" s="460">
        <v>46164</v>
      </c>
      <c r="C1288" s="71" t="s">
        <v>354</v>
      </c>
      <c r="D1288" s="71" t="s">
        <v>169</v>
      </c>
      <c r="E1288" s="365" t="s">
        <v>3467</v>
      </c>
      <c r="F1288" s="156" t="s">
        <v>421</v>
      </c>
      <c r="G1288" s="156" t="s">
        <v>422</v>
      </c>
      <c r="H1288" s="156" t="s">
        <v>969</v>
      </c>
      <c r="I1288" s="161">
        <v>5</v>
      </c>
      <c r="J1288" s="203">
        <v>7159.8</v>
      </c>
      <c r="K1288" s="427">
        <f>=I1288*J1288</f>
        <v>35799</v>
      </c>
      <c r="L1288" s="339">
        <v>7100</v>
      </c>
      <c r="M1288" s="428">
        <f>=I1288*L1288</f>
        <v>35500</v>
      </c>
      <c r="N1288" s="82">
        <f>=K1288-M1288</f>
        <v>299</v>
      </c>
      <c r="O1288" s="64">
        <v>1</v>
      </c>
      <c r="P1288" s="64">
        <f>=I1288*O1288*ROUNDUP((A1288-B1288)/30,0)</f>
        <v>10</v>
      </c>
      <c r="Q1288" s="62" t="s"/>
      <c r="R1288" s="62" t="s"/>
    </row>
    <row r="1289" spans="1:18" ht="15.75" customHeight="true">
      <c r="A1289" s="147">
        <v>46195</v>
      </c>
      <c r="B1289" s="460">
        <v>46164</v>
      </c>
      <c r="C1289" s="71" t="s">
        <v>354</v>
      </c>
      <c r="D1289" s="71" t="s">
        <v>169</v>
      </c>
      <c r="E1289" s="365" t="s">
        <v>3468</v>
      </c>
      <c r="F1289" s="156" t="s">
        <v>421</v>
      </c>
      <c r="G1289" s="156" t="s">
        <v>422</v>
      </c>
      <c r="H1289" s="156" t="s">
        <v>973</v>
      </c>
      <c r="I1289" s="161">
        <v>3</v>
      </c>
      <c r="J1289" s="491">
        <v>4770.84</v>
      </c>
      <c r="K1289" s="427">
        <f>=I1289*J1289</f>
        <v>14312.52</v>
      </c>
      <c r="L1289" s="339">
        <v>4730</v>
      </c>
      <c r="M1289" s="428">
        <f>=I1289*L1289</f>
        <v>14190</v>
      </c>
      <c r="N1289" s="82">
        <f>=K1289-M1289</f>
        <v>122.52</v>
      </c>
      <c r="O1289" s="64">
        <v>1</v>
      </c>
      <c r="P1289" s="64">
        <f>=I1289*O1289*ROUNDUP((A1289-B1289)/30,0)</f>
        <v>6</v>
      </c>
      <c r="Q1289" s="62" t="s"/>
      <c r="R1289" s="62" t="s"/>
    </row>
    <row r="1290" spans="1:18" ht="15.75" customHeight="true">
      <c r="A1290" s="147">
        <v>46195</v>
      </c>
      <c r="B1290" s="460">
        <v>46164</v>
      </c>
      <c r="C1290" s="71" t="s">
        <v>354</v>
      </c>
      <c r="D1290" s="71" t="s">
        <v>169</v>
      </c>
      <c r="E1290" s="365" t="s">
        <v>3469</v>
      </c>
      <c r="F1290" s="156" t="s">
        <v>421</v>
      </c>
      <c r="G1290" s="156" t="s">
        <v>422</v>
      </c>
      <c r="H1290" s="156" t="s">
        <v>975</v>
      </c>
      <c r="I1290" s="161">
        <v>1</v>
      </c>
      <c r="J1290" s="491">
        <v>4770.84</v>
      </c>
      <c r="K1290" s="427">
        <f>=I1290*J1290</f>
        <v>4770.84</v>
      </c>
      <c r="L1290" s="339">
        <v>4730</v>
      </c>
      <c r="M1290" s="428">
        <f>=I1290*L1290</f>
        <v>4730</v>
      </c>
      <c r="N1290" s="82">
        <f>=K1290-M1290</f>
        <v>40.8400000000002</v>
      </c>
      <c r="O1290" s="64">
        <v>1</v>
      </c>
      <c r="P1290" s="64">
        <f>=I1290*O1290*ROUNDUP((A1290-B1290)/30,0)</f>
        <v>2</v>
      </c>
      <c r="Q1290" s="62" t="s"/>
      <c r="R1290" s="62" t="s"/>
    </row>
    <row r="1291" spans="1:18" ht="15.75" customHeight="true">
      <c r="A1291" s="147">
        <v>46195</v>
      </c>
      <c r="B1291" s="460">
        <v>46113</v>
      </c>
      <c r="C1291" s="135" t="s">
        <v>231</v>
      </c>
      <c r="D1291" s="71" t="s">
        <v>211</v>
      </c>
      <c r="E1291" s="511" t="s">
        <v>3470</v>
      </c>
      <c r="F1291" s="136" t="s">
        <v>421</v>
      </c>
      <c r="G1291" s="136" t="s">
        <v>470</v>
      </c>
      <c r="H1291" s="155" t="s">
        <v>1286</v>
      </c>
      <c r="I1291">
        <v>9</v>
      </c>
      <c r="J1291" s="427">
        <v>2864.1</v>
      </c>
      <c r="K1291" s="427">
        <f>=I1291*J1291</f>
        <v>25776.9</v>
      </c>
      <c r="L1291">
        <v>2800</v>
      </c>
      <c r="M1291" s="428">
        <f>=I1291*L1291</f>
        <v>25200</v>
      </c>
      <c r="N1291" s="82">
        <f>=K1291-M1291</f>
        <v>576.899999999998</v>
      </c>
      <c r="O1291" s="64">
        <v>1.5</v>
      </c>
      <c r="P1291" s="64">
        <f>=I1291*O1291*ROUNDUP((A1291-B1291)/30,0)</f>
        <v>40.5</v>
      </c>
      <c r="Q1291" s="62" t="s"/>
      <c r="R1291" s="62" t="s"/>
    </row>
    <row r="1292" spans="1:18" ht="15.75" customHeight="true">
      <c r="A1292" s="148">
        <v>46195</v>
      </c>
      <c r="B1292" s="461">
        <v>46131</v>
      </c>
      <c r="C1292" s="102" t="s">
        <v>269</v>
      </c>
      <c r="D1292" s="93" t="s">
        <v>211</v>
      </c>
      <c r="E1292" s="145" t="s">
        <v>3471</v>
      </c>
      <c r="F1292" s="308" t="s">
        <v>421</v>
      </c>
      <c r="G1292" s="155" t="s">
        <v>470</v>
      </c>
      <c r="H1292" s="155" t="s">
        <v>1286</v>
      </c>
      <c r="I1292">
        <v>21</v>
      </c>
      <c r="J1292" s="427">
        <v>2699.06</v>
      </c>
      <c r="K1292" s="427">
        <f>=I1292*J1292</f>
        <v>56680.26</v>
      </c>
      <c r="L1292">
        <v>2650</v>
      </c>
      <c r="M1292" s="454">
        <f>=I1292*L1292</f>
        <v>55650</v>
      </c>
      <c r="N1292" s="84">
        <f>=K1292-M1292</f>
        <v>1030.26</v>
      </c>
      <c r="O1292" s="83">
        <v>1.5</v>
      </c>
      <c r="P1292" s="83">
        <f>=I1292*O1292*ROUNDUP((A1292-B1292)/30,0)</f>
        <v>94.5</v>
      </c>
      <c r="Q1292" s="62" t="s"/>
      <c r="R1292" s="62" t="s"/>
    </row>
    <row r="1293" spans="1:18" ht="15.75" customHeight="true">
      <c r="A1293" s="148">
        <v>46195</v>
      </c>
      <c r="B1293" s="461">
        <v>46105</v>
      </c>
      <c r="C1293" s="102" t="s">
        <v>184</v>
      </c>
      <c r="D1293" s="93" t="s">
        <v>138</v>
      </c>
      <c r="E1293" s="511" t="s">
        <v>3472</v>
      </c>
      <c r="F1293" s="71" t="s">
        <v>864</v>
      </c>
      <c r="G1293" s="71" t="s">
        <v>422</v>
      </c>
      <c r="H1293" s="71" t="s">
        <v>1020</v>
      </c>
      <c r="I1293" s="532">
        <v>80</v>
      </c>
      <c r="J1293" s="491">
        <v>1846.95</v>
      </c>
      <c r="K1293" s="427">
        <f>=I1293*J1293</f>
        <v>147756</v>
      </c>
      <c r="L1293" s="71">
        <v>1800</v>
      </c>
      <c r="M1293" s="454">
        <f>=I1293*L1293</f>
        <v>144000</v>
      </c>
      <c r="N1293" s="84">
        <f>=K1293-M1293</f>
        <v>3756</v>
      </c>
      <c r="O1293" s="83">
        <v>1</v>
      </c>
      <c r="P1293" s="83">
        <f>=I1293*O1293*ROUNDUP((A1293-B1293)/30,0)</f>
        <v>240</v>
      </c>
      <c r="Q1293" s="62" t="s"/>
      <c r="R1293" s="62" t="s"/>
    </row>
    <row r="1294" spans="1:18" ht="15.75" customHeight="true">
      <c r="A1294" s="148">
        <v>46195</v>
      </c>
      <c r="B1294" s="461">
        <v>46107</v>
      </c>
      <c r="C1294" s="102" t="s">
        <v>193</v>
      </c>
      <c r="D1294" s="93" t="s">
        <v>138</v>
      </c>
      <c r="E1294" s="511" t="s">
        <v>3473</v>
      </c>
      <c r="F1294" s="71" t="s">
        <v>864</v>
      </c>
      <c r="G1294" s="71" t="s">
        <v>422</v>
      </c>
      <c r="H1294" s="71" t="s">
        <v>1109</v>
      </c>
      <c r="I1294" s="161">
        <v>20</v>
      </c>
      <c r="J1294" s="491">
        <v>1844.5</v>
      </c>
      <c r="K1294" s="427">
        <f>=I1294*J1294</f>
        <v>36890</v>
      </c>
      <c r="L1294" s="71">
        <v>1800</v>
      </c>
      <c r="M1294" s="454">
        <f>=I1294*L1294</f>
        <v>36000</v>
      </c>
      <c r="N1294" s="84">
        <f>=K1294-M1294</f>
        <v>890</v>
      </c>
      <c r="O1294" s="83">
        <v>1</v>
      </c>
      <c r="P1294" s="83">
        <f>=I1294*O1294*ROUNDUP((A1294-B1294)/30,0)</f>
        <v>60</v>
      </c>
      <c r="Q1294" s="62" t="s"/>
      <c r="R1294" s="62" t="s"/>
    </row>
    <row r="1295" spans="1:18" ht="15.75" customHeight="true">
      <c r="A1295" s="148">
        <v>46195</v>
      </c>
      <c r="B1295" s="461">
        <v>46150</v>
      </c>
      <c r="C1295" s="102" t="s">
        <v>314</v>
      </c>
      <c r="D1295" s="93" t="s">
        <v>150</v>
      </c>
      <c r="E1295" s="145" t="s">
        <v>3474</v>
      </c>
      <c r="F1295" s="156" t="s">
        <v>895</v>
      </c>
      <c r="G1295" s="156" t="s">
        <v>422</v>
      </c>
      <c r="H1295" s="140" t="s">
        <v>2069</v>
      </c>
      <c r="I1295">
        <v>50</v>
      </c>
      <c r="J1295" s="491">
        <v>953.81</v>
      </c>
      <c r="K1295" s="439">
        <f>=I1295*J1295</f>
        <v>47690.5</v>
      </c>
      <c r="L1295">
        <v>940</v>
      </c>
      <c r="M1295" s="454">
        <f>=I1295*L1295</f>
        <v>47000</v>
      </c>
      <c r="N1295" s="84">
        <f>=K1295-M1295</f>
        <v>690.5</v>
      </c>
      <c r="O1295" s="83">
        <v>1</v>
      </c>
      <c r="P1295" s="83">
        <f>=I1295*O1295*ROUNDUP((A1295-B1295)/30,0)</f>
        <v>100</v>
      </c>
      <c r="Q1295" s="62" t="s"/>
      <c r="R1295" s="62" t="s"/>
    </row>
    <row r="1296" spans="1:18" ht="15.75" customHeight="true">
      <c r="A1296" s="148">
        <v>46195</v>
      </c>
      <c r="B1296" s="461">
        <v>46109</v>
      </c>
      <c r="C1296" s="102" t="s">
        <v>207</v>
      </c>
      <c r="D1296" s="93" t="s">
        <v>135</v>
      </c>
      <c r="E1296" s="511" t="s">
        <v>3475</v>
      </c>
      <c r="F1296" s="354" t="s">
        <v>428</v>
      </c>
      <c r="G1296" s="71" t="s">
        <v>422</v>
      </c>
      <c r="H1296" s="64" t="s">
        <v>1246</v>
      </c>
      <c r="I1296">
        <v>50</v>
      </c>
      <c r="J1296" s="427">
        <v>703.92</v>
      </c>
      <c r="K1296" s="427">
        <f>=I1296*J1296</f>
        <v>35196</v>
      </c>
      <c r="L1296" s="512">
        <v>686</v>
      </c>
      <c r="M1296" s="454">
        <f>=I1296*L1296</f>
        <v>34300</v>
      </c>
      <c r="N1296" s="84">
        <f>=K1296-M1296</f>
        <v>896</v>
      </c>
      <c r="O1296" s="83">
        <v>1</v>
      </c>
      <c r="P1296" s="83">
        <f>=I1296*O1296*ROUNDUP((A1296-B1296)/30,0)</f>
        <v>150</v>
      </c>
      <c r="Q1296" s="62" t="s"/>
      <c r="R1296" s="62" t="s"/>
    </row>
    <row r="1297" spans="1:18" ht="15.75" customHeight="true">
      <c r="A1297" s="148">
        <v>46195</v>
      </c>
      <c r="B1297" s="461">
        <v>46111</v>
      </c>
      <c r="C1297" s="102" t="s">
        <v>209</v>
      </c>
      <c r="D1297" s="93" t="s">
        <v>135</v>
      </c>
      <c r="E1297" s="494" t="s">
        <v>3476</v>
      </c>
      <c r="F1297" s="354" t="s">
        <v>428</v>
      </c>
      <c r="G1297" s="71" t="s">
        <v>422</v>
      </c>
      <c r="H1297" s="64" t="s">
        <v>1046</v>
      </c>
      <c r="I1297">
        <v>70</v>
      </c>
      <c r="J1297" s="427">
        <v>703.58</v>
      </c>
      <c r="K1297" s="427">
        <f>=I1297*J1297</f>
        <v>49250.6</v>
      </c>
      <c r="L1297" s="144">
        <v>686</v>
      </c>
      <c r="M1297" s="454">
        <f>=I1297*L1297</f>
        <v>48020</v>
      </c>
      <c r="N1297" s="84">
        <f>=K1297-M1297</f>
        <v>1230.60000000001</v>
      </c>
      <c r="O1297" s="83">
        <v>1</v>
      </c>
      <c r="P1297" s="83">
        <f>=I1297*O1297*ROUNDUP((A1297-B1297)/30,0)</f>
        <v>210</v>
      </c>
      <c r="Q1297" s="62" t="s"/>
      <c r="R1297" s="62" t="s"/>
    </row>
    <row r="1298" spans="1:18" ht="15.75" customHeight="true">
      <c r="A1298" s="148">
        <v>46195</v>
      </c>
      <c r="B1298" s="461">
        <v>46155</v>
      </c>
      <c r="C1298" s="102" t="s">
        <v>327</v>
      </c>
      <c r="D1298" s="93" t="s">
        <v>135</v>
      </c>
      <c r="E1298" s="263" t="s">
        <v>3477</v>
      </c>
      <c r="F1298" t="s">
        <v>428</v>
      </c>
      <c r="G1298" t="s">
        <v>422</v>
      </c>
      <c r="H1298" s="64" t="s">
        <v>1695</v>
      </c>
      <c r="I1298">
        <v>200</v>
      </c>
      <c r="J1298" s="427">
        <v>709.18</v>
      </c>
      <c r="K1298" s="427">
        <f>=I1298*J1298</f>
        <v>141836</v>
      </c>
      <c r="L1298" s="533">
        <v>700</v>
      </c>
      <c r="M1298" s="454">
        <f>=I1298*L1298</f>
        <v>140000</v>
      </c>
      <c r="N1298" s="84">
        <f>=K1298-M1298</f>
        <v>1836</v>
      </c>
      <c r="O1298" s="83">
        <v>1</v>
      </c>
      <c r="P1298" s="83">
        <f>=I1298*O1298*ROUNDUP((A1298-B1298)/30,0)</f>
        <v>400</v>
      </c>
      <c r="Q1298" s="62" t="s"/>
      <c r="R1298" s="62" t="s"/>
    </row>
    <row r="1299" spans="1:18" ht="15.75" customHeight="true">
      <c r="A1299" s="148">
        <v>46195</v>
      </c>
      <c r="B1299" s="461">
        <v>46109</v>
      </c>
      <c r="C1299" s="102" t="s">
        <v>207</v>
      </c>
      <c r="D1299" s="93" t="s">
        <v>135</v>
      </c>
      <c r="E1299" s="511" t="s">
        <v>3478</v>
      </c>
      <c r="F1299" s="354" t="s">
        <v>428</v>
      </c>
      <c r="G1299" s="71" t="s">
        <v>422</v>
      </c>
      <c r="H1299" s="64" t="s">
        <v>1246</v>
      </c>
      <c r="I1299">
        <v>50</v>
      </c>
      <c r="J1299" s="427">
        <v>703.92</v>
      </c>
      <c r="K1299" s="439">
        <f>=I1299*J1299</f>
        <v>35196</v>
      </c>
      <c r="L1299">
        <v>686</v>
      </c>
      <c r="M1299" s="454">
        <f>=I1299*L1299</f>
        <v>34300</v>
      </c>
      <c r="N1299" s="84">
        <f>=K1299-M1299</f>
        <v>896</v>
      </c>
      <c r="O1299" s="83">
        <v>1</v>
      </c>
      <c r="P1299" s="83">
        <f>=I1299*O1299*ROUNDUP((A1299-B1299)/30,0)</f>
        <v>150</v>
      </c>
      <c r="Q1299" s="62" t="s"/>
      <c r="R1299" s="62" t="s"/>
    </row>
    <row r="1300" spans="1:18" ht="15.75" customHeight="true">
      <c r="A1300" s="148">
        <v>46195</v>
      </c>
      <c r="B1300" s="461">
        <v>46111</v>
      </c>
      <c r="C1300" s="102" t="s">
        <v>209</v>
      </c>
      <c r="D1300" s="93" t="s">
        <v>135</v>
      </c>
      <c r="E1300" s="494" t="s">
        <v>3479</v>
      </c>
      <c r="F1300" s="354" t="s">
        <v>428</v>
      </c>
      <c r="G1300" s="71" t="s">
        <v>422</v>
      </c>
      <c r="H1300" s="64" t="s">
        <v>1046</v>
      </c>
      <c r="I1300">
        <v>50</v>
      </c>
      <c r="J1300" s="427">
        <v>703.58</v>
      </c>
      <c r="K1300" s="439">
        <f>=I1300*J1300</f>
        <v>35179</v>
      </c>
      <c r="L1300" s="97">
        <v>686</v>
      </c>
      <c r="M1300" s="454">
        <f>=I1300*L1300</f>
        <v>34300</v>
      </c>
      <c r="N1300" s="84">
        <f>=K1300-M1300</f>
        <v>879</v>
      </c>
      <c r="O1300" s="83">
        <v>1</v>
      </c>
      <c r="P1300" s="83">
        <f>=I1300*O1300*ROUNDUP((A1300-B1300)/30,0)</f>
        <v>150</v>
      </c>
      <c r="Q1300" s="62" t="s"/>
      <c r="R1300" s="62" t="s"/>
    </row>
    <row r="1301" spans="1:18" ht="15.75" customHeight="true">
      <c r="A1301" s="148">
        <v>46195</v>
      </c>
      <c r="B1301" s="461">
        <v>46135</v>
      </c>
      <c r="C1301" s="93" t="s">
        <v>293</v>
      </c>
      <c r="D1301" s="232" t="s">
        <v>130</v>
      </c>
      <c r="E1301" s="153" t="s">
        <v>3480</v>
      </c>
      <c r="F1301" s="112" t="s">
        <v>428</v>
      </c>
      <c r="G1301" s="112" t="s">
        <v>470</v>
      </c>
      <c r="H1301" s="112" t="s">
        <v>855</v>
      </c>
      <c r="I1301" s="71">
        <v>14</v>
      </c>
      <c r="J1301">
        <v>2806.33</v>
      </c>
      <c r="K1301" s="427">
        <f>=I1301*J1301</f>
        <v>39288.62</v>
      </c>
      <c r="L1301" s="154">
        <v>2750</v>
      </c>
      <c r="M1301" s="454">
        <f>=I1301*L1301</f>
        <v>38500</v>
      </c>
      <c r="N1301" s="84">
        <f>=K1301-M1301</f>
        <v>788.619999999996</v>
      </c>
      <c r="O1301" s="83">
        <v>1.5</v>
      </c>
      <c r="P1301" s="83">
        <f>=I1301*O1301*ROUNDUP((A1301-B1301)/30,0)</f>
        <v>42</v>
      </c>
      <c r="Q1301" s="62" t="s"/>
      <c r="R1301" s="62" t="s"/>
    </row>
    <row r="1302" spans="1:18" ht="15.75" customHeight="true">
      <c r="A1302" s="148">
        <v>46195</v>
      </c>
      <c r="B1302" s="461">
        <v>46135</v>
      </c>
      <c r="C1302" s="93" t="s">
        <v>293</v>
      </c>
      <c r="D1302" s="152" t="s">
        <v>130</v>
      </c>
      <c r="E1302" s="350" t="s">
        <v>3481</v>
      </c>
      <c r="F1302" s="217" t="s">
        <v>428</v>
      </c>
      <c r="G1302" s="217" t="s">
        <v>470</v>
      </c>
      <c r="H1302" s="217" t="s">
        <v>855</v>
      </c>
      <c r="I1302" s="93">
        <v>14</v>
      </c>
      <c r="J1302">
        <v>2806.33</v>
      </c>
      <c r="K1302" s="427">
        <f>=I1302*J1302</f>
        <v>39288.62</v>
      </c>
      <c r="L1302" s="154">
        <v>2750</v>
      </c>
      <c r="M1302" s="454">
        <f>=I1302*L1302</f>
        <v>38500</v>
      </c>
      <c r="N1302" s="84">
        <f>=K1302-M1302</f>
        <v>788.619999999996</v>
      </c>
      <c r="O1302" s="83">
        <v>1.5</v>
      </c>
      <c r="P1302" s="83">
        <f>=I1302*O1302*ROUNDUP((A1302-B1302)/30,0)</f>
        <v>42</v>
      </c>
      <c r="Q1302" s="62" t="s"/>
      <c r="R1302" s="62" t="s"/>
    </row>
    <row r="1303" spans="1:18" ht="15.75" customHeight="true">
      <c r="A1303" s="148">
        <v>46195</v>
      </c>
      <c r="B1303" s="461">
        <v>46135</v>
      </c>
      <c r="C1303" s="93" t="s">
        <v>293</v>
      </c>
      <c r="D1303" s="152" t="s">
        <v>130</v>
      </c>
      <c r="E1303" s="350" t="s">
        <v>3482</v>
      </c>
      <c r="F1303" s="217" t="s">
        <v>428</v>
      </c>
      <c r="G1303" s="217" t="s">
        <v>470</v>
      </c>
      <c r="H1303" s="217" t="s">
        <v>855</v>
      </c>
      <c r="I1303" s="93">
        <v>14</v>
      </c>
      <c r="J1303">
        <v>2806.33</v>
      </c>
      <c r="K1303" s="427">
        <f>=I1303*J1303</f>
        <v>39288.62</v>
      </c>
      <c r="L1303" s="154">
        <v>2750</v>
      </c>
      <c r="M1303" s="454">
        <f>=I1303*L1303</f>
        <v>38500</v>
      </c>
      <c r="N1303" s="84">
        <f>=K1303-M1303</f>
        <v>788.619999999996</v>
      </c>
      <c r="O1303" s="83">
        <v>1.5</v>
      </c>
      <c r="P1303" s="83">
        <f>=I1303*O1303*ROUNDUP((A1303-B1303)/30,0)</f>
        <v>42</v>
      </c>
      <c r="Q1303" s="62" t="s"/>
      <c r="R1303" s="62" t="s"/>
    </row>
    <row r="1304" spans="1:18" ht="15.75" customHeight="true">
      <c r="A1304" s="148">
        <v>46195</v>
      </c>
      <c r="B1304" s="461">
        <v>46135</v>
      </c>
      <c r="C1304" s="93" t="s">
        <v>293</v>
      </c>
      <c r="D1304" s="152" t="s">
        <v>130</v>
      </c>
      <c r="E1304" s="350" t="s">
        <v>3483</v>
      </c>
      <c r="F1304" s="217" t="s">
        <v>428</v>
      </c>
      <c r="G1304" s="217" t="s">
        <v>470</v>
      </c>
      <c r="H1304" s="217" t="s">
        <v>855</v>
      </c>
      <c r="I1304" s="93">
        <v>14</v>
      </c>
      <c r="J1304">
        <v>2806.33</v>
      </c>
      <c r="K1304" s="427">
        <f>=I1304*J1304</f>
        <v>39288.62</v>
      </c>
      <c r="L1304" s="154">
        <v>2750</v>
      </c>
      <c r="M1304" s="454">
        <f>=I1304*L1304</f>
        <v>38500</v>
      </c>
      <c r="N1304" s="84">
        <f>=K1304-M1304</f>
        <v>788.619999999996</v>
      </c>
      <c r="O1304" s="83">
        <v>1.5</v>
      </c>
      <c r="P1304" s="83">
        <f>=I1304*O1304*ROUNDUP((A1304-B1304)/30,0)</f>
        <v>42</v>
      </c>
      <c r="Q1304" s="62" t="s"/>
      <c r="R1304" s="62" t="s"/>
    </row>
    <row r="1305" spans="1:18" ht="15.75" customHeight="true">
      <c r="A1305" s="148">
        <v>46195</v>
      </c>
      <c r="B1305" s="461">
        <v>46135</v>
      </c>
      <c r="C1305" s="93" t="s">
        <v>293</v>
      </c>
      <c r="D1305" s="152" t="s">
        <v>130</v>
      </c>
      <c r="E1305" s="350" t="s">
        <v>3484</v>
      </c>
      <c r="F1305" s="217" t="s">
        <v>428</v>
      </c>
      <c r="G1305" s="217" t="s">
        <v>470</v>
      </c>
      <c r="H1305" s="217" t="s">
        <v>855</v>
      </c>
      <c r="I1305" s="93">
        <v>14</v>
      </c>
      <c r="J1305">
        <v>2806.33</v>
      </c>
      <c r="K1305" s="427">
        <f>=I1305*J1305</f>
        <v>39288.62</v>
      </c>
      <c r="L1305" s="154">
        <v>2750</v>
      </c>
      <c r="M1305" s="454">
        <f>=I1305*L1305</f>
        <v>38500</v>
      </c>
      <c r="N1305" s="84">
        <f>=K1305-M1305</f>
        <v>788.619999999996</v>
      </c>
      <c r="O1305" s="83">
        <v>1.5</v>
      </c>
      <c r="P1305" s="83">
        <f>=I1305*O1305*ROUNDUP((A1305-B1305)/30,0)</f>
        <v>42</v>
      </c>
      <c r="Q1305" s="62" t="s"/>
      <c r="R1305" s="62" t="s"/>
    </row>
    <row r="1306" spans="1:18" ht="15.75" customHeight="true">
      <c r="A1306" s="148">
        <v>46196</v>
      </c>
      <c r="B1306" s="461">
        <v>46113</v>
      </c>
      <c r="C1306" s="110" t="s">
        <v>235</v>
      </c>
      <c r="D1306" s="83" t="s">
        <v>191</v>
      </c>
      <c r="E1306" s="477" t="s">
        <v>3485</v>
      </c>
      <c r="F1306" s="87" t="s">
        <v>741</v>
      </c>
      <c r="G1306" s="87" t="s">
        <v>422</v>
      </c>
      <c r="H1306" s="87" t="s">
        <v>1026</v>
      </c>
      <c r="I1306" s="534">
        <v>195</v>
      </c>
      <c r="J1306" s="303">
        <v>1184.36</v>
      </c>
      <c r="K1306" s="87">
        <f>=I1306*J1306</f>
        <v>230950.2</v>
      </c>
      <c r="L1306" s="87">
        <v>1160</v>
      </c>
      <c r="M1306" s="454">
        <f>=I1306*L1306</f>
        <v>226200</v>
      </c>
      <c r="N1306" s="84">
        <f>=K1306-M1306</f>
        <v>4750.19999999998</v>
      </c>
      <c r="O1306" s="83">
        <v>0</v>
      </c>
      <c r="P1306" s="83">
        <f>=I1306*O1306*ROUNDUP((A1306-B1306)/30,0)</f>
        <v>0</v>
      </c>
      <c r="Q1306" s="62" t="s"/>
      <c r="R1306" s="62" t="s"/>
    </row>
    <row r="1307" spans="1:18" ht="15.75" customHeight="true">
      <c r="A1307" s="148">
        <v>46196</v>
      </c>
      <c r="B1307" s="461">
        <v>46112</v>
      </c>
      <c r="C1307" s="110" t="s">
        <v>225</v>
      </c>
      <c r="D1307" s="83" t="s">
        <v>191</v>
      </c>
      <c r="E1307" s="477" t="s">
        <v>3486</v>
      </c>
      <c r="F1307" s="87" t="s">
        <v>741</v>
      </c>
      <c r="G1307" s="87" t="s">
        <v>422</v>
      </c>
      <c r="H1307" s="87" t="s">
        <v>1082</v>
      </c>
      <c r="I1307" s="534">
        <v>30</v>
      </c>
      <c r="J1307" s="303">
        <v>965.08</v>
      </c>
      <c r="K1307" s="87">
        <f>=I1307*J1307</f>
        <v>28952.4</v>
      </c>
      <c r="L1307" s="87">
        <v>945</v>
      </c>
      <c r="M1307" s="454">
        <f>=I1307*L1307</f>
        <v>28350</v>
      </c>
      <c r="N1307" s="84">
        <f>=K1307-M1307</f>
        <v>602.400000000002</v>
      </c>
      <c r="O1307" s="83">
        <v>0</v>
      </c>
      <c r="P1307" s="83">
        <f>=I1307*O1307*ROUNDUP((A1307-B1307)/30,0)</f>
        <v>0</v>
      </c>
      <c r="Q1307" s="62" t="s"/>
      <c r="R1307" s="62" t="s"/>
    </row>
    <row r="1308" spans="1:18" ht="15.75" customHeight="true">
      <c r="A1308" s="148">
        <v>46196</v>
      </c>
      <c r="B1308" s="461">
        <v>46113</v>
      </c>
      <c r="C1308" s="110" t="s">
        <v>235</v>
      </c>
      <c r="D1308" s="83" t="s">
        <v>191</v>
      </c>
      <c r="E1308" s="477" t="s">
        <v>3487</v>
      </c>
      <c r="F1308" s="87" t="s">
        <v>741</v>
      </c>
      <c r="G1308" s="87" t="s">
        <v>422</v>
      </c>
      <c r="H1308" s="87" t="s">
        <v>1084</v>
      </c>
      <c r="I1308" s="534">
        <v>30</v>
      </c>
      <c r="J1308" s="87">
        <v>1184.36</v>
      </c>
      <c r="K1308" s="87">
        <f>=I1308*J1308</f>
        <v>35530.8</v>
      </c>
      <c r="L1308" s="87">
        <v>1160</v>
      </c>
      <c r="M1308" s="454">
        <f>=I1308*L1308</f>
        <v>34800</v>
      </c>
      <c r="N1308" s="84">
        <f>=K1308-M1308</f>
        <v>730.799999999996</v>
      </c>
      <c r="O1308" s="83">
        <v>0</v>
      </c>
      <c r="P1308" s="83">
        <f>=I1308*O1308*ROUNDUP((A1308-B1308)/30,0)</f>
        <v>0</v>
      </c>
      <c r="Q1308" s="62" t="s"/>
      <c r="R1308" s="62" t="s"/>
    </row>
    <row r="1309" spans="1:18" ht="15.75" customHeight="true">
      <c r="A1309" s="148">
        <v>46196</v>
      </c>
      <c r="B1309" s="461">
        <v>46110</v>
      </c>
      <c r="C1309" s="110" t="s">
        <v>210</v>
      </c>
      <c r="D1309" s="83" t="s">
        <v>191</v>
      </c>
      <c r="E1309" s="477" t="s">
        <v>3488</v>
      </c>
      <c r="F1309" s="87" t="s">
        <v>741</v>
      </c>
      <c r="G1309" s="87" t="s">
        <v>422</v>
      </c>
      <c r="H1309" s="87" t="s">
        <v>1176</v>
      </c>
      <c r="I1309" s="534">
        <v>5</v>
      </c>
      <c r="J1309" s="87">
        <v>970.43</v>
      </c>
      <c r="K1309" s="87">
        <f>=I1309*J1309</f>
        <v>4852.15</v>
      </c>
      <c r="L1309" s="87">
        <v>950</v>
      </c>
      <c r="M1309" s="454">
        <f>=I1309*L1309</f>
        <v>4750</v>
      </c>
      <c r="N1309" s="84">
        <f>=K1309-M1309</f>
        <v>102.15</v>
      </c>
      <c r="O1309" s="83">
        <v>0</v>
      </c>
      <c r="P1309" s="83">
        <f>=I1309*O1309*ROUNDUP((A1309-B1309)/30,0)</f>
        <v>0</v>
      </c>
      <c r="Q1309" s="62" t="s"/>
      <c r="R1309" s="62" t="s"/>
    </row>
    <row r="1310" spans="1:18" ht="15.75" customHeight="true">
      <c r="A1310" s="148">
        <v>46196</v>
      </c>
      <c r="B1310" s="461">
        <v>46113</v>
      </c>
      <c r="C1310" s="102" t="s">
        <v>235</v>
      </c>
      <c r="D1310" s="83" t="s">
        <v>191</v>
      </c>
      <c r="E1310" s="477" t="s">
        <v>3489</v>
      </c>
      <c r="F1310" s="87" t="s">
        <v>741</v>
      </c>
      <c r="G1310" s="87" t="s">
        <v>422</v>
      </c>
      <c r="H1310" s="87" t="s">
        <v>1087</v>
      </c>
      <c r="I1310" s="534">
        <v>45</v>
      </c>
      <c r="J1310" s="87">
        <v>1184.94</v>
      </c>
      <c r="K1310" s="87">
        <f>=I1310*J1310</f>
        <v>53322.3</v>
      </c>
      <c r="L1310" s="87">
        <v>1160</v>
      </c>
      <c r="M1310" s="454">
        <f>=I1310*L1310</f>
        <v>52200</v>
      </c>
      <c r="N1310" s="84">
        <f>=K1310-M1310</f>
        <v>1122.3</v>
      </c>
      <c r="O1310" s="83">
        <v>0</v>
      </c>
      <c r="P1310" s="83">
        <f>=I1310*O1310*ROUNDUP((A1310-B1310)/30,0)</f>
        <v>0</v>
      </c>
      <c r="Q1310" s="62" t="s"/>
      <c r="R1310" s="62" t="s"/>
    </row>
    <row r="1311" spans="1:18" ht="15.75" customHeight="true">
      <c r="A1311" s="148">
        <v>46196</v>
      </c>
      <c r="B1311" s="461">
        <v>46110</v>
      </c>
      <c r="C1311" s="110" t="s">
        <v>210</v>
      </c>
      <c r="D1311" s="83" t="s">
        <v>191</v>
      </c>
      <c r="E1311" s="477" t="s">
        <v>3490</v>
      </c>
      <c r="F1311" s="87" t="s">
        <v>741</v>
      </c>
      <c r="G1311" s="87" t="s">
        <v>422</v>
      </c>
      <c r="H1311" s="87" t="s">
        <v>1089</v>
      </c>
      <c r="I1311" s="534">
        <v>75</v>
      </c>
      <c r="J1311" s="87">
        <v>1072.58</v>
      </c>
      <c r="K1311" s="87">
        <f>=I1311*J1311</f>
        <v>80443.5</v>
      </c>
      <c r="L1311" s="87">
        <v>1050</v>
      </c>
      <c r="M1311" s="454">
        <f>=I1311*L1311</f>
        <v>78750</v>
      </c>
      <c r="N1311" s="84">
        <f>=K1311-M1311</f>
        <v>1693.5</v>
      </c>
      <c r="O1311" s="83">
        <v>0</v>
      </c>
      <c r="P1311" s="83">
        <f>=I1311*O1311*ROUNDUP((A1311-B1311)/30,0)</f>
        <v>0</v>
      </c>
      <c r="Q1311" s="62" t="s"/>
      <c r="R1311" s="62" t="s"/>
    </row>
    <row r="1312" spans="1:18" ht="15.75" customHeight="true">
      <c r="A1312" s="148">
        <v>46196</v>
      </c>
      <c r="B1312" s="461">
        <v>46112</v>
      </c>
      <c r="C1312" s="110" t="s">
        <v>225</v>
      </c>
      <c r="D1312" s="83" t="s">
        <v>191</v>
      </c>
      <c r="E1312" s="477" t="s">
        <v>3491</v>
      </c>
      <c r="F1312" s="87" t="s">
        <v>741</v>
      </c>
      <c r="G1312" s="87" t="s">
        <v>422</v>
      </c>
      <c r="H1312" s="87" t="s">
        <v>1278</v>
      </c>
      <c r="I1312" s="534">
        <v>10</v>
      </c>
      <c r="J1312" s="87">
        <v>965.08</v>
      </c>
      <c r="K1312" s="87">
        <f>=I1312*J1312</f>
        <v>9650.8</v>
      </c>
      <c r="L1312" s="87">
        <v>945</v>
      </c>
      <c r="M1312" s="454">
        <f>=I1312*L1312</f>
        <v>9450</v>
      </c>
      <c r="N1312" s="84">
        <f>=K1312-M1312</f>
        <v>200.800000000001</v>
      </c>
      <c r="O1312" s="83">
        <v>0</v>
      </c>
      <c r="P1312" s="83">
        <f>=I1312*O1312*ROUNDUP((A1312-B1312)/30,0)</f>
        <v>0</v>
      </c>
      <c r="Q1312" s="62" t="s"/>
      <c r="R1312" s="62" t="s"/>
    </row>
    <row r="1313" spans="1:18" ht="15.75" customHeight="true">
      <c r="A1313" s="148">
        <v>46196</v>
      </c>
      <c r="B1313" s="461">
        <v>46112</v>
      </c>
      <c r="C1313" s="110" t="s">
        <v>225</v>
      </c>
      <c r="D1313" s="83" t="s">
        <v>191</v>
      </c>
      <c r="E1313" s="477" t="s">
        <v>3492</v>
      </c>
      <c r="F1313" s="64" t="s">
        <v>741</v>
      </c>
      <c r="G1313" s="83" t="s">
        <v>422</v>
      </c>
      <c r="H1313" s="142" t="s">
        <v>1652</v>
      </c>
      <c r="I1313" s="534">
        <v>8</v>
      </c>
      <c r="J1313" s="87">
        <v>965.08</v>
      </c>
      <c r="K1313" s="87">
        <f>=I1313*J1313</f>
        <v>7720.64</v>
      </c>
      <c r="L1313" s="87">
        <v>945</v>
      </c>
      <c r="M1313" s="454">
        <f>=I1313*L1313</f>
        <v>7560</v>
      </c>
      <c r="N1313" s="84">
        <f>=K1313-M1313</f>
        <v>160.64</v>
      </c>
      <c r="O1313" s="83">
        <v>0</v>
      </c>
      <c r="P1313" s="83">
        <f>=I1313*O1313*ROUNDUP((A1313-B1313)/30,0)</f>
        <v>0</v>
      </c>
      <c r="Q1313" s="62" t="s"/>
      <c r="R1313" s="62" t="s"/>
    </row>
    <row r="1314" spans="1:18" ht="15.75" customHeight="true">
      <c r="A1314" s="148">
        <v>46196</v>
      </c>
      <c r="B1314" s="461">
        <v>46114</v>
      </c>
      <c r="C1314" s="110" t="s">
        <v>236</v>
      </c>
      <c r="D1314" s="83" t="s">
        <v>191</v>
      </c>
      <c r="E1314" s="477" t="s">
        <v>3493</v>
      </c>
      <c r="F1314" s="87" t="s">
        <v>1438</v>
      </c>
      <c r="G1314" s="87" t="s">
        <v>422</v>
      </c>
      <c r="H1314" s="87" t="s">
        <v>1681</v>
      </c>
      <c r="I1314" s="534">
        <v>50</v>
      </c>
      <c r="J1314" s="87">
        <v>1929.22</v>
      </c>
      <c r="K1314" s="87">
        <f>=I1314*J1314</f>
        <v>96461</v>
      </c>
      <c r="L1314" s="87">
        <v>1890</v>
      </c>
      <c r="M1314" s="454">
        <f>=I1314*L1314</f>
        <v>94500</v>
      </c>
      <c r="N1314" s="84">
        <f>=K1314-M1314</f>
        <v>1961</v>
      </c>
      <c r="O1314" s="83">
        <v>0</v>
      </c>
      <c r="P1314" s="83">
        <f>=I1314*O1314*ROUNDUP((A1314-B1314)/30,0)</f>
        <v>0</v>
      </c>
      <c r="Q1314" s="62" t="s"/>
      <c r="R1314" s="62" t="s"/>
    </row>
    <row r="1315" spans="1:18" ht="15.75" customHeight="true">
      <c r="A1315" s="148">
        <v>46196</v>
      </c>
      <c r="B1315" s="461">
        <v>46114</v>
      </c>
      <c r="C1315" s="110" t="s">
        <v>236</v>
      </c>
      <c r="D1315" s="83" t="s">
        <v>191</v>
      </c>
      <c r="E1315" s="477" t="s">
        <v>3494</v>
      </c>
      <c r="F1315" s="87" t="s">
        <v>1438</v>
      </c>
      <c r="G1315" s="87" t="s">
        <v>422</v>
      </c>
      <c r="H1315" s="142" t="s">
        <v>1706</v>
      </c>
      <c r="I1315" s="534">
        <v>50</v>
      </c>
      <c r="J1315" s="87">
        <v>1929.22</v>
      </c>
      <c r="K1315" s="87">
        <f>=I1315*J1315</f>
        <v>96461</v>
      </c>
      <c r="L1315" s="87">
        <v>1890</v>
      </c>
      <c r="M1315" s="454">
        <f>=I1315*L1315</f>
        <v>94500</v>
      </c>
      <c r="N1315" s="84">
        <f>=K1315-M1315</f>
        <v>1961</v>
      </c>
      <c r="O1315" s="83">
        <v>0</v>
      </c>
      <c r="P1315" s="83">
        <f>=I1315*O1315*ROUNDUP((A1315-B1315)/30,0)</f>
        <v>0</v>
      </c>
      <c r="Q1315" s="62" t="s"/>
      <c r="R1315" s="62" t="s"/>
    </row>
    <row r="1316" spans="1:18" ht="15.75" customHeight="true">
      <c r="A1316" s="147">
        <v>46196</v>
      </c>
      <c r="B1316" s="460">
        <v>46135</v>
      </c>
      <c r="C1316" s="71" t="s">
        <v>293</v>
      </c>
      <c r="D1316" s="243" t="s">
        <v>130</v>
      </c>
      <c r="E1316" s="450" t="s">
        <v>3495</v>
      </c>
      <c r="F1316" s="112" t="s">
        <v>428</v>
      </c>
      <c r="G1316" s="112" t="s">
        <v>470</v>
      </c>
      <c r="H1316" s="112" t="s">
        <v>855</v>
      </c>
      <c r="I1316" s="359">
        <v>17</v>
      </c>
      <c r="J1316" s="450">
        <v>2807.15</v>
      </c>
      <c r="K1316" s="427">
        <f>=I1316*J1316</f>
        <v>47721.55</v>
      </c>
      <c r="L1316" s="402">
        <v>2750</v>
      </c>
      <c r="M1316" s="428">
        <f>=I1316*L1316</f>
        <v>46750</v>
      </c>
      <c r="N1316" s="82">
        <f>=K1316-M1316</f>
        <v>971.550000000003</v>
      </c>
      <c r="O1316" s="62">
        <v>1.5</v>
      </c>
      <c r="P1316" s="64">
        <f>=I1316*O1316*ROUNDUP((A1316-B1316)/30,0)</f>
        <v>76.5</v>
      </c>
      <c r="Q1316" s="62" t="s"/>
      <c r="R1316" s="62" t="s"/>
    </row>
    <row r="1317" spans="1:18" ht="15.75" customHeight="true">
      <c r="A1317" s="147">
        <v>46196</v>
      </c>
      <c r="B1317" s="460">
        <v>46135</v>
      </c>
      <c r="C1317" s="71" t="s">
        <v>293</v>
      </c>
      <c r="D1317" s="97" t="s">
        <v>130</v>
      </c>
      <c r="E1317" s="359" t="s">
        <v>3496</v>
      </c>
      <c r="F1317" s="112" t="s">
        <v>428</v>
      </c>
      <c r="G1317" s="112" t="s">
        <v>470</v>
      </c>
      <c r="H1317" s="112" t="s">
        <v>855</v>
      </c>
      <c r="I1317" s="365">
        <v>17</v>
      </c>
      <c r="J1317" s="450">
        <v>2807.15</v>
      </c>
      <c r="K1317" s="427">
        <f>=I1317*J1317</f>
        <v>47721.55</v>
      </c>
      <c r="L1317" s="402">
        <v>2750</v>
      </c>
      <c r="M1317" s="428">
        <f>=I1317*L1317</f>
        <v>46750</v>
      </c>
      <c r="N1317" s="82">
        <f>=K1317-M1317</f>
        <v>971.550000000003</v>
      </c>
      <c r="O1317" s="62">
        <v>1.5</v>
      </c>
      <c r="P1317" s="64">
        <f>=I1317*O1317*ROUNDUP((A1317-B1317)/30,0)</f>
        <v>76.5</v>
      </c>
      <c r="Q1317" s="62" t="s"/>
      <c r="R1317" s="62" t="s"/>
    </row>
    <row r="1318" spans="1:18" ht="15.75" customHeight="true">
      <c r="A1318" s="147">
        <v>46196</v>
      </c>
      <c r="B1318" s="460">
        <v>46135</v>
      </c>
      <c r="C1318" s="71" t="s">
        <v>293</v>
      </c>
      <c r="D1318" s="97" t="s">
        <v>130</v>
      </c>
      <c r="E1318" s="365" t="s">
        <v>3497</v>
      </c>
      <c r="F1318" s="112" t="s">
        <v>428</v>
      </c>
      <c r="G1318" s="112" t="s">
        <v>470</v>
      </c>
      <c r="H1318" s="112" t="s">
        <v>855</v>
      </c>
      <c r="I1318" s="365">
        <v>17</v>
      </c>
      <c r="J1318" s="450">
        <v>2807.15</v>
      </c>
      <c r="K1318" s="427">
        <f>=I1318*J1318</f>
        <v>47721.55</v>
      </c>
      <c r="L1318" s="402">
        <v>2750</v>
      </c>
      <c r="M1318" s="428">
        <f>=I1318*L1318</f>
        <v>46750</v>
      </c>
      <c r="N1318" s="82">
        <f>=K1318-M1318</f>
        <v>971.550000000003</v>
      </c>
      <c r="O1318" s="62">
        <v>1.5</v>
      </c>
      <c r="P1318" s="64">
        <f>=I1318*O1318*ROUNDUP((A1318-B1318)/30,0)</f>
        <v>76.5</v>
      </c>
      <c r="Q1318" s="62" t="s"/>
      <c r="R1318" s="62" t="s"/>
    </row>
    <row r="1319" spans="1:18" ht="15.75" customHeight="true">
      <c r="A1319" s="147">
        <v>46196</v>
      </c>
      <c r="B1319" s="460">
        <v>46135</v>
      </c>
      <c r="C1319" s="71" t="s">
        <v>293</v>
      </c>
      <c r="D1319" s="97" t="s">
        <v>130</v>
      </c>
      <c r="E1319" s="365" t="s">
        <v>3498</v>
      </c>
      <c r="F1319" s="112" t="s">
        <v>428</v>
      </c>
      <c r="G1319" s="112" t="s">
        <v>470</v>
      </c>
      <c r="H1319" s="112" t="s">
        <v>855</v>
      </c>
      <c r="I1319" s="365">
        <v>17</v>
      </c>
      <c r="J1319" s="450">
        <v>2807.15</v>
      </c>
      <c r="K1319" s="427">
        <f>=I1319*J1319</f>
        <v>47721.55</v>
      </c>
      <c r="L1319" s="402">
        <v>2750</v>
      </c>
      <c r="M1319" s="428">
        <f>=I1319*L1319</f>
        <v>46750</v>
      </c>
      <c r="N1319" s="82">
        <f>=K1319-M1319</f>
        <v>971.550000000003</v>
      </c>
      <c r="O1319" s="62">
        <v>1.5</v>
      </c>
      <c r="P1319" s="64">
        <f>=I1319*O1319*ROUNDUP((A1319-B1319)/30,0)</f>
        <v>76.5</v>
      </c>
      <c r="Q1319" s="62" t="s"/>
      <c r="R1319" s="62" t="s"/>
    </row>
    <row r="1320" spans="1:18" ht="15.75" customHeight="true">
      <c r="A1320" s="147">
        <v>46196</v>
      </c>
      <c r="B1320" s="460">
        <v>46135</v>
      </c>
      <c r="C1320" s="71" t="s">
        <v>293</v>
      </c>
      <c r="D1320" s="97" t="s">
        <v>130</v>
      </c>
      <c r="E1320" s="365" t="s">
        <v>3499</v>
      </c>
      <c r="F1320" s="112" t="s">
        <v>428</v>
      </c>
      <c r="G1320" s="112" t="s">
        <v>470</v>
      </c>
      <c r="H1320" s="112" t="s">
        <v>855</v>
      </c>
      <c r="I1320" s="365">
        <v>17</v>
      </c>
      <c r="J1320" s="450">
        <v>2807.15</v>
      </c>
      <c r="K1320" s="427">
        <f>=I1320*J1320</f>
        <v>47721.55</v>
      </c>
      <c r="L1320" s="402">
        <v>2750</v>
      </c>
      <c r="M1320" s="428">
        <f>=I1320*L1320</f>
        <v>46750</v>
      </c>
      <c r="N1320" s="82">
        <f>=K1320-M1320</f>
        <v>971.550000000003</v>
      </c>
      <c r="O1320" s="62">
        <v>1.5</v>
      </c>
      <c r="P1320" s="64">
        <f>=I1320*O1320*ROUNDUP((A1320-B1320)/30,0)</f>
        <v>76.5</v>
      </c>
      <c r="Q1320" s="62" t="s"/>
      <c r="R1320" s="62" t="s"/>
    </row>
    <row r="1321" spans="1:18" ht="15.75" customHeight="true">
      <c r="A1321" s="147">
        <v>46196</v>
      </c>
      <c r="B1321" s="460">
        <v>46135</v>
      </c>
      <c r="C1321" s="71" t="s">
        <v>293</v>
      </c>
      <c r="D1321" s="97" t="s">
        <v>130</v>
      </c>
      <c r="E1321" s="365" t="s">
        <v>3500</v>
      </c>
      <c r="F1321" s="112" t="s">
        <v>428</v>
      </c>
      <c r="G1321" s="112" t="s">
        <v>470</v>
      </c>
      <c r="H1321" s="112" t="s">
        <v>855</v>
      </c>
      <c r="I1321" s="450">
        <v>17</v>
      </c>
      <c r="J1321" s="450">
        <v>2807.15</v>
      </c>
      <c r="K1321" s="427">
        <f>=I1321*J1321</f>
        <v>47721.55</v>
      </c>
      <c r="L1321" s="402">
        <v>2750</v>
      </c>
      <c r="M1321" s="428">
        <f>=I1321*L1321</f>
        <v>46750</v>
      </c>
      <c r="N1321" s="82">
        <f>=K1321-M1321</f>
        <v>971.550000000003</v>
      </c>
      <c r="O1321" s="62">
        <v>1.5</v>
      </c>
      <c r="P1321" s="64">
        <f>=I1321*O1321*ROUNDUP((A1321-B1321)/30,0)</f>
        <v>76.5</v>
      </c>
      <c r="Q1321" s="62" t="s"/>
      <c r="R1321" s="62" t="s"/>
    </row>
    <row r="1322" spans="1:18" ht="15.75" customHeight="true">
      <c r="A1322" s="147">
        <v>46196</v>
      </c>
      <c r="B1322" s="460">
        <v>46135</v>
      </c>
      <c r="C1322" s="71" t="s">
        <v>293</v>
      </c>
      <c r="D1322" s="97" t="s">
        <v>130</v>
      </c>
      <c r="E1322" s="365" t="s">
        <v>3501</v>
      </c>
      <c r="F1322" s="112" t="s">
        <v>428</v>
      </c>
      <c r="G1322" s="112" t="s">
        <v>470</v>
      </c>
      <c r="H1322" s="112" t="s">
        <v>855</v>
      </c>
      <c r="I1322" s="450">
        <v>17</v>
      </c>
      <c r="J1322" s="450">
        <v>2807.15</v>
      </c>
      <c r="K1322" s="427">
        <f>=I1322*J1322</f>
        <v>47721.55</v>
      </c>
      <c r="L1322" s="402">
        <v>2750</v>
      </c>
      <c r="M1322" s="428">
        <f>=I1322*L1322</f>
        <v>46750</v>
      </c>
      <c r="N1322" s="82">
        <f>=K1322-M1322</f>
        <v>971.550000000003</v>
      </c>
      <c r="O1322" s="62">
        <v>1.5</v>
      </c>
      <c r="P1322" s="64">
        <f>=I1322*O1322*ROUNDUP((A1322-B1322)/30,0)</f>
        <v>76.5</v>
      </c>
      <c r="Q1322" s="62" t="s"/>
      <c r="R1322" s="62" t="s"/>
    </row>
    <row r="1323" spans="1:18" ht="15.75" customHeight="true">
      <c r="A1323" s="147">
        <v>46196</v>
      </c>
      <c r="B1323" s="460">
        <v>46135</v>
      </c>
      <c r="C1323" s="71" t="s">
        <v>293</v>
      </c>
      <c r="D1323" s="97" t="s">
        <v>130</v>
      </c>
      <c r="E1323" s="359" t="s">
        <v>3502</v>
      </c>
      <c r="F1323" s="112" t="s">
        <v>428</v>
      </c>
      <c r="G1323" s="112" t="s">
        <v>470</v>
      </c>
      <c r="H1323" s="324" t="s">
        <v>855</v>
      </c>
      <c r="I1323" s="450">
        <v>11</v>
      </c>
      <c r="J1323" s="450">
        <v>2807.15</v>
      </c>
      <c r="K1323" s="427">
        <f>=I1323*J1323</f>
        <v>30878.65</v>
      </c>
      <c r="L1323" s="402">
        <v>2750</v>
      </c>
      <c r="M1323" s="428">
        <f>=I1323*L1323</f>
        <v>30250</v>
      </c>
      <c r="N1323" s="82">
        <f>=K1323-M1323</f>
        <v>628.650000000002</v>
      </c>
      <c r="O1323" s="62">
        <v>1.5</v>
      </c>
      <c r="P1323" s="64">
        <f>=I1323*O1323*ROUNDUP((A1323-B1323)/30,0)</f>
        <v>49.5</v>
      </c>
      <c r="Q1323" s="62" t="s"/>
      <c r="R1323" s="62" t="s"/>
    </row>
    <row r="1324" spans="1:18" ht="15.75" customHeight="true">
      <c r="A1324" s="147">
        <v>46197</v>
      </c>
      <c r="B1324" s="460">
        <v>46107</v>
      </c>
      <c r="C1324" s="80" t="s">
        <v>196</v>
      </c>
      <c r="D1324" s="64" t="s">
        <v>195</v>
      </c>
      <c r="E1324" s="525" t="s">
        <v>3503</v>
      </c>
      <c r="F1324" s="108" t="s">
        <v>503</v>
      </c>
      <c r="G1324" s="320" t="s">
        <v>422</v>
      </c>
      <c r="H1324" s="320" t="s">
        <v>1103</v>
      </c>
      <c r="I1324" s="367">
        <v>60</v>
      </c>
      <c r="J1324" s="203">
        <v>3263.46</v>
      </c>
      <c r="K1324" s="427">
        <f>=I1324*J1324</f>
        <v>195807.6</v>
      </c>
      <c r="L1324" s="140">
        <v>3185</v>
      </c>
      <c r="M1324" s="428">
        <f>=I1324*L1324</f>
        <v>191100</v>
      </c>
      <c r="N1324" s="82">
        <f>=K1324-M1324</f>
        <v>4707.60000000001</v>
      </c>
      <c r="O1324" s="64">
        <v>1</v>
      </c>
      <c r="P1324" s="64">
        <f>=I1324*O1324*ROUNDUP((A1324-B1324)/30,0)</f>
        <v>180</v>
      </c>
      <c r="Q1324" s="62" t="s"/>
      <c r="R1324" s="62" t="s"/>
    </row>
    <row r="1325" spans="1:18" ht="15.75" customHeight="true">
      <c r="A1325" s="147">
        <v>46197</v>
      </c>
      <c r="B1325" s="460">
        <v>46107</v>
      </c>
      <c r="C1325" s="80" t="s">
        <v>196</v>
      </c>
      <c r="D1325" s="64" t="s">
        <v>195</v>
      </c>
      <c r="E1325" s="525" t="s">
        <v>3504</v>
      </c>
      <c r="F1325" s="108" t="s">
        <v>503</v>
      </c>
      <c r="G1325" s="320" t="s">
        <v>422</v>
      </c>
      <c r="H1325" s="320" t="s">
        <v>1105</v>
      </c>
      <c r="I1325" s="367">
        <v>60</v>
      </c>
      <c r="J1325" s="203">
        <v>3263.46</v>
      </c>
      <c r="K1325" s="427">
        <f>=I1325*J1325</f>
        <v>195807.6</v>
      </c>
      <c r="L1325" s="140">
        <v>3185</v>
      </c>
      <c r="M1325" s="428">
        <f>=I1325*L1325</f>
        <v>191100</v>
      </c>
      <c r="N1325" s="82">
        <f>=K1325-M1325</f>
        <v>4707.60000000001</v>
      </c>
      <c r="O1325" s="64">
        <v>1</v>
      </c>
      <c r="P1325" s="64">
        <f>=I1325*O1325*ROUNDUP((A1325-B1325)/30,0)</f>
        <v>180</v>
      </c>
      <c r="Q1325" s="62" t="s"/>
      <c r="R1325" s="62" t="s"/>
    </row>
    <row r="1326" spans="1:18" ht="15.75" customHeight="true">
      <c r="A1326" s="147">
        <v>46197</v>
      </c>
      <c r="B1326" s="460">
        <v>46153</v>
      </c>
      <c r="C1326" s="98" t="s">
        <v>319</v>
      </c>
      <c r="D1326" s="263" t="s">
        <v>239</v>
      </c>
      <c r="E1326" s="136" t="s">
        <v>3505</v>
      </c>
      <c r="F1326" t="s">
        <v>1753</v>
      </c>
      <c r="G1326" t="s">
        <v>470</v>
      </c>
      <c r="H1326" s="64" t="s">
        <v>2084</v>
      </c>
      <c r="I1326">
        <v>150</v>
      </c>
      <c r="J1326">
        <v>1622</v>
      </c>
      <c r="K1326" s="427">
        <f>=I1326*J1326</f>
        <v>243300</v>
      </c>
      <c r="L1326" s="402">
        <v>1600</v>
      </c>
      <c r="M1326" s="428">
        <f>=I1326*L1326</f>
        <v>240000</v>
      </c>
      <c r="N1326" s="82">
        <f>=K1326-M1326</f>
        <v>3300</v>
      </c>
      <c r="O1326" s="62">
        <v>1.5</v>
      </c>
      <c r="P1326" s="64">
        <f>=I1326*O1326*ROUNDUP((A1326-B1326)/30,0)</f>
        <v>450</v>
      </c>
      <c r="Q1326" s="62" t="s"/>
      <c r="R1326" s="62" t="s"/>
    </row>
    <row r="1327" spans="1:18" ht="15.75" customHeight="true">
      <c r="A1327" s="147">
        <v>46197</v>
      </c>
      <c r="B1327" s="460">
        <v>46109</v>
      </c>
      <c r="C1327" s="98" t="s">
        <v>207</v>
      </c>
      <c r="D1327" s="71" t="s">
        <v>135</v>
      </c>
      <c r="E1327" s="160" t="s">
        <v>3506</v>
      </c>
      <c r="F1327" s="354" t="s">
        <v>428</v>
      </c>
      <c r="G1327" s="71" t="s">
        <v>422</v>
      </c>
      <c r="H1327" s="64" t="s">
        <v>1246</v>
      </c>
      <c r="I1327">
        <v>200</v>
      </c>
      <c r="J1327" s="99">
        <v>705.76</v>
      </c>
      <c r="K1327" s="427">
        <f>=I1327*J1327</f>
        <v>141152</v>
      </c>
      <c r="L1327" s="535">
        <v>686</v>
      </c>
      <c r="M1327" s="428">
        <f>=I1327*L1327</f>
        <v>137200</v>
      </c>
      <c r="N1327" s="82">
        <f>=K1327-M1327</f>
        <v>3952</v>
      </c>
      <c r="O1327" s="64">
        <v>1</v>
      </c>
      <c r="P1327" s="64">
        <f>=I1327*O1327*ROUNDUP((A1327-B1327)/30,0)</f>
        <v>600</v>
      </c>
      <c r="Q1327" s="62" t="s"/>
      <c r="R1327" s="62" t="s"/>
    </row>
    <row r="1328" spans="1:18" ht="15.75" customHeight="true">
      <c r="A1328" s="147">
        <v>46197</v>
      </c>
      <c r="B1328" s="460">
        <v>46111</v>
      </c>
      <c r="C1328" s="98" t="s">
        <v>209</v>
      </c>
      <c r="D1328" s="71" t="s">
        <v>135</v>
      </c>
      <c r="E1328" s="213" t="s">
        <v>3507</v>
      </c>
      <c r="F1328" s="354" t="s">
        <v>428</v>
      </c>
      <c r="G1328" s="71" t="s">
        <v>422</v>
      </c>
      <c r="H1328" s="64" t="s">
        <v>1046</v>
      </c>
      <c r="I1328">
        <v>180</v>
      </c>
      <c r="J1328" s="99">
        <v>705.42</v>
      </c>
      <c r="K1328" s="427">
        <f>=I1328*J1328</f>
        <v>126975.6</v>
      </c>
      <c r="L1328" s="243">
        <v>686</v>
      </c>
      <c r="M1328" s="428">
        <f>=I1328*L1328</f>
        <v>123480</v>
      </c>
      <c r="N1328" s="82">
        <f>=K1328-M1328</f>
        <v>3495.59999999999</v>
      </c>
      <c r="O1328" s="64">
        <v>1</v>
      </c>
      <c r="P1328" s="64">
        <f>=I1328*O1328*ROUNDUP((A1328-B1328)/30,0)</f>
        <v>540</v>
      </c>
      <c r="Q1328" s="62" t="s"/>
      <c r="R1328" s="62" t="s"/>
    </row>
    <row r="1329" spans="1:18" ht="15.75" customHeight="true">
      <c r="A1329" s="147">
        <v>46197</v>
      </c>
      <c r="B1329" s="460">
        <v>46114</v>
      </c>
      <c r="C1329" s="98" t="s">
        <v>237</v>
      </c>
      <c r="D1329" s="71" t="s">
        <v>135</v>
      </c>
      <c r="E1329" s="160" t="s">
        <v>3508</v>
      </c>
      <c r="F1329" s="156" t="s">
        <v>428</v>
      </c>
      <c r="G1329" s="262" t="s">
        <v>422</v>
      </c>
      <c r="H1329" s="64" t="s">
        <v>1046</v>
      </c>
      <c r="I1329">
        <v>20</v>
      </c>
      <c r="J1329" s="99">
        <v>683.47</v>
      </c>
      <c r="K1329" s="427">
        <f>=I1329*J1329</f>
        <v>13669.4</v>
      </c>
      <c r="L1329">
        <v>665</v>
      </c>
      <c r="M1329" s="428">
        <f>=I1329*L1329</f>
        <v>13300</v>
      </c>
      <c r="N1329" s="82">
        <f>=K1329-M1329</f>
        <v>369.400000000002</v>
      </c>
      <c r="O1329" s="64">
        <v>1</v>
      </c>
      <c r="P1329" s="64">
        <f>=I1329*O1329*ROUNDUP((A1329-B1329)/30,0)</f>
        <v>60</v>
      </c>
      <c r="Q1329" s="62" t="s"/>
      <c r="R1329" s="62" t="s"/>
    </row>
    <row r="1330" spans="1:18" ht="15.75" customHeight="true">
      <c r="A1330" s="147">
        <v>46197</v>
      </c>
      <c r="B1330" s="460">
        <v>46155</v>
      </c>
      <c r="C1330" s="98" t="s">
        <v>327</v>
      </c>
      <c r="D1330" s="71" t="s">
        <v>135</v>
      </c>
      <c r="E1330" s="263" t="s">
        <v>3509</v>
      </c>
      <c r="F1330" t="s">
        <v>428</v>
      </c>
      <c r="G1330" t="s">
        <v>422</v>
      </c>
      <c r="H1330" s="64" t="s">
        <v>1695</v>
      </c>
      <c r="I1330">
        <v>100</v>
      </c>
      <c r="J1330" s="99">
        <v>710.53</v>
      </c>
      <c r="K1330" s="427">
        <f>=I1330*J1330</f>
        <v>71053</v>
      </c>
      <c r="L1330" s="402">
        <v>700</v>
      </c>
      <c r="M1330" s="428">
        <f>=I1330*L1330</f>
        <v>70000</v>
      </c>
      <c r="N1330" s="82">
        <f>=K1330-M1330</f>
        <v>1053</v>
      </c>
      <c r="O1330" s="64">
        <v>1</v>
      </c>
      <c r="P1330" s="64">
        <f>=I1330*O1330*ROUNDUP((A1330-B1330)/30,0)</f>
        <v>200</v>
      </c>
      <c r="Q1330" s="62" t="s"/>
      <c r="R1330" s="62" t="s"/>
    </row>
    <row r="1331" spans="1:18" ht="15.75" customHeight="true">
      <c r="A1331" s="147">
        <v>46197</v>
      </c>
      <c r="B1331" s="460">
        <v>46162</v>
      </c>
      <c r="C1331" t="s">
        <v>345</v>
      </c>
      <c r="D1331" s="71" t="s">
        <v>339</v>
      </c>
      <c r="E1331" s="365" t="s">
        <v>3510</v>
      </c>
      <c r="F1331" s="526" t="s">
        <v>428</v>
      </c>
      <c r="G1331" s="71" t="s">
        <v>422</v>
      </c>
      <c r="H1331" s="64" t="s">
        <v>837</v>
      </c>
      <c r="I1331" s="536">
        <v>460</v>
      </c>
      <c r="J1331" s="450">
        <v>628.8</v>
      </c>
      <c r="K1331" s="427">
        <f>=I1331*J1331</f>
        <v>289248</v>
      </c>
      <c r="L1331" s="249">
        <v>620</v>
      </c>
      <c r="M1331" s="428">
        <f>=I1331*L1331</f>
        <v>285200</v>
      </c>
      <c r="N1331" s="82">
        <f>=K1331-M1331</f>
        <v>4048</v>
      </c>
      <c r="O1331" s="64">
        <v>1</v>
      </c>
      <c r="P1331" s="64">
        <f>=I1331*O1331*ROUNDUP((A1331-B1331)/30,0)</f>
        <v>920</v>
      </c>
      <c r="Q1331" s="62" t="s"/>
      <c r="R1331" s="62" t="s"/>
    </row>
    <row r="1332" spans="1:18" ht="15.75" customHeight="true">
      <c r="A1332" s="147">
        <v>46197</v>
      </c>
      <c r="B1332" s="460">
        <v>46163</v>
      </c>
      <c r="C1332" t="s">
        <v>349</v>
      </c>
      <c r="D1332" s="71" t="s">
        <v>339</v>
      </c>
      <c r="E1332" s="365" t="s">
        <v>3511</v>
      </c>
      <c r="F1332" s="71" t="s">
        <v>428</v>
      </c>
      <c r="G1332" s="71" t="s">
        <v>422</v>
      </c>
      <c r="H1332" s="64" t="s">
        <v>837</v>
      </c>
      <c r="I1332" s="359">
        <v>540</v>
      </c>
      <c r="J1332" s="203">
        <v>628.64</v>
      </c>
      <c r="K1332" s="427">
        <f>=I1332*J1332</f>
        <v>339465.6</v>
      </c>
      <c r="L1332" s="249">
        <v>620</v>
      </c>
      <c r="M1332" s="428">
        <f>=I1332*L1332</f>
        <v>334800</v>
      </c>
      <c r="N1332" s="82">
        <f>=K1332-M1332</f>
        <v>4665.59999999998</v>
      </c>
      <c r="O1332" s="64">
        <v>1</v>
      </c>
      <c r="P1332" s="64">
        <f>=I1332*O1332*ROUNDUP((A1332-B1332)/30,0)</f>
        <v>1080</v>
      </c>
      <c r="Q1332" s="62" t="s"/>
      <c r="R1332" s="62" t="s"/>
    </row>
    <row r="1333" spans="1:18" ht="15.75" customHeight="true">
      <c r="A1333" s="148">
        <v>46197</v>
      </c>
      <c r="B1333" s="461">
        <v>46100</v>
      </c>
      <c r="C1333" s="71" t="s">
        <v>158</v>
      </c>
      <c r="D1333" s="93" t="s">
        <v>52</v>
      </c>
      <c r="E1333" s="156" t="s">
        <v>3512</v>
      </c>
      <c r="F1333" s="142" t="s">
        <v>428</v>
      </c>
      <c r="G1333" s="142" t="s">
        <v>422</v>
      </c>
      <c r="H1333" s="254" t="s">
        <v>926</v>
      </c>
      <c r="I1333">
        <v>20</v>
      </c>
      <c r="J1333" s="537">
        <v>2961.58</v>
      </c>
      <c r="K1333" s="439">
        <f>=I1333*J1333</f>
        <v>59231.6</v>
      </c>
      <c r="L1333" s="93">
        <v>2877</v>
      </c>
      <c r="M1333" s="454">
        <f>=I1333*L1333</f>
        <v>57540</v>
      </c>
      <c r="N1333" s="84">
        <f>=K1333-M1333</f>
        <v>1691.6</v>
      </c>
      <c r="O1333" s="83">
        <v>0</v>
      </c>
      <c r="P1333" s="83">
        <f>=I1333*O1333*ROUNDUP((A1333-B1333)/30,0)</f>
        <v>0</v>
      </c>
      <c r="Q1333" s="62" t="s"/>
      <c r="R1333" s="62" t="s"/>
    </row>
    <row r="1334" spans="1:18" ht="15.75" customHeight="true">
      <c r="A1334" s="147">
        <v>46198</v>
      </c>
      <c r="B1334" s="460">
        <v>46155</v>
      </c>
      <c r="C1334" s="98" t="s">
        <v>326</v>
      </c>
      <c r="D1334" s="71" t="s">
        <v>150</v>
      </c>
      <c r="E1334" s="263" t="s">
        <v>3513</v>
      </c>
      <c r="F1334" s="156" t="s">
        <v>895</v>
      </c>
      <c r="G1334" s="156" t="s">
        <v>422</v>
      </c>
      <c r="H1334" s="156" t="s">
        <v>935</v>
      </c>
      <c r="I1334" s="536">
        <v>2</v>
      </c>
      <c r="J1334" s="450">
        <v>2075.55</v>
      </c>
      <c r="K1334" s="427">
        <f>=I1334*J1334</f>
        <v>4151.1</v>
      </c>
      <c r="L1334" s="62">
        <v>2050</v>
      </c>
      <c r="M1334" s="428">
        <f>=I1334*L1334</f>
        <v>4100</v>
      </c>
      <c r="N1334" s="82">
        <f>=K1334-M1334</f>
        <v>51.1000000000004</v>
      </c>
      <c r="O1334" s="64">
        <v>1</v>
      </c>
      <c r="P1334" s="64">
        <f>=I1334*O1334*ROUNDUP((A1334-B1334)/30,0)</f>
        <v>4</v>
      </c>
      <c r="Q1334" s="62" t="s"/>
      <c r="R1334" s="62" t="s"/>
    </row>
    <row r="1335" spans="1:18" ht="15.75" customHeight="true">
      <c r="A1335" s="147">
        <v>46198</v>
      </c>
      <c r="B1335" s="460">
        <v>46155</v>
      </c>
      <c r="C1335" s="98" t="s">
        <v>326</v>
      </c>
      <c r="D1335" s="71" t="s">
        <v>150</v>
      </c>
      <c r="E1335" s="263" t="s">
        <v>3514</v>
      </c>
      <c r="F1335" s="156" t="s">
        <v>895</v>
      </c>
      <c r="G1335" s="156" t="s">
        <v>422</v>
      </c>
      <c r="H1335" s="156" t="s">
        <v>937</v>
      </c>
      <c r="I1335" s="536">
        <v>8</v>
      </c>
      <c r="J1335" s="450">
        <v>2328.3</v>
      </c>
      <c r="K1335" s="427">
        <f>=I1335*J1335</f>
        <v>18626.4</v>
      </c>
      <c r="L1335" s="62">
        <v>2300</v>
      </c>
      <c r="M1335" s="428">
        <f>=I1335*L1335</f>
        <v>18400</v>
      </c>
      <c r="N1335" s="82">
        <f>=K1335-M1335</f>
        <v>226.400000000001</v>
      </c>
      <c r="O1335" s="64">
        <v>1</v>
      </c>
      <c r="P1335" s="64">
        <f>=I1335*O1335*ROUNDUP((A1335-B1335)/30,0)</f>
        <v>16</v>
      </c>
      <c r="Q1335" s="62" t="s"/>
      <c r="R1335" s="62" t="s"/>
    </row>
    <row r="1336" spans="1:18" ht="15.75" customHeight="true">
      <c r="A1336" s="147">
        <v>46198</v>
      </c>
      <c r="B1336" s="460">
        <v>46155</v>
      </c>
      <c r="C1336" s="98" t="s">
        <v>326</v>
      </c>
      <c r="D1336" s="71" t="s">
        <v>150</v>
      </c>
      <c r="E1336" s="263" t="s">
        <v>3515</v>
      </c>
      <c r="F1336" s="156" t="s">
        <v>895</v>
      </c>
      <c r="G1336" s="156" t="s">
        <v>422</v>
      </c>
      <c r="H1336" s="156" t="s">
        <v>939</v>
      </c>
      <c r="I1336" s="536">
        <v>20</v>
      </c>
      <c r="J1336" s="450">
        <v>2328.3</v>
      </c>
      <c r="K1336" s="427">
        <f>=I1336*J1336</f>
        <v>46566</v>
      </c>
      <c r="L1336" s="62">
        <v>2300</v>
      </c>
      <c r="M1336" s="428">
        <f>=I1336*L1336</f>
        <v>46000</v>
      </c>
      <c r="N1336" s="82">
        <f>=K1336-M1336</f>
        <v>566</v>
      </c>
      <c r="O1336" s="64">
        <v>1</v>
      </c>
      <c r="P1336" s="64">
        <f>=I1336*O1336*ROUNDUP((A1336-B1336)/30,0)</f>
        <v>40</v>
      </c>
      <c r="Q1336" s="62" t="s"/>
      <c r="R1336" s="62" t="s"/>
    </row>
    <row r="1337" spans="1:18" ht="15.75" customHeight="true">
      <c r="A1337" s="147">
        <v>46198</v>
      </c>
      <c r="B1337" s="460">
        <v>46155</v>
      </c>
      <c r="C1337" s="98" t="s">
        <v>326</v>
      </c>
      <c r="D1337" s="71" t="s">
        <v>150</v>
      </c>
      <c r="E1337" s="263" t="s">
        <v>3516</v>
      </c>
      <c r="F1337" s="156" t="s">
        <v>895</v>
      </c>
      <c r="G1337" s="156" t="s">
        <v>422</v>
      </c>
      <c r="H1337" s="156" t="s">
        <v>941</v>
      </c>
      <c r="I1337" s="87">
        <v>13</v>
      </c>
      <c r="J1337" s="203">
        <v>2075.55</v>
      </c>
      <c r="K1337" s="427">
        <f>=I1337*J1337</f>
        <v>26982.15</v>
      </c>
      <c r="L1337" s="62">
        <v>2050</v>
      </c>
      <c r="M1337" s="428">
        <f>=I1337*L1337</f>
        <v>26650</v>
      </c>
      <c r="N1337" s="82">
        <f>=K1337-M1337</f>
        <v>332.150000000002</v>
      </c>
      <c r="O1337" s="64">
        <v>1</v>
      </c>
      <c r="P1337" s="64">
        <f>=I1337*O1337*ROUNDUP((A1337-B1337)/30,0)</f>
        <v>26</v>
      </c>
      <c r="Q1337" s="62" t="s"/>
      <c r="R1337" s="62" t="s"/>
    </row>
    <row r="1338" spans="1:18" ht="15.75" customHeight="true">
      <c r="A1338" s="147">
        <v>46198</v>
      </c>
      <c r="B1338" s="460">
        <v>46155</v>
      </c>
      <c r="C1338" s="98" t="s">
        <v>326</v>
      </c>
      <c r="D1338" s="71" t="s">
        <v>150</v>
      </c>
      <c r="E1338" s="263" t="s">
        <v>3517</v>
      </c>
      <c r="F1338" s="156" t="s">
        <v>895</v>
      </c>
      <c r="G1338" s="156" t="s">
        <v>422</v>
      </c>
      <c r="H1338" s="156" t="s">
        <v>943</v>
      </c>
      <c r="I1338" s="87">
        <v>4</v>
      </c>
      <c r="J1338" s="203">
        <v>2328.3</v>
      </c>
      <c r="K1338" s="427">
        <f>=I1338*J1338</f>
        <v>9313.2</v>
      </c>
      <c r="L1338" s="62">
        <v>2300</v>
      </c>
      <c r="M1338" s="428">
        <f>=I1338*L1338</f>
        <v>9200</v>
      </c>
      <c r="N1338" s="82">
        <f>=K1338-M1338</f>
        <v>113.200000000001</v>
      </c>
      <c r="O1338" s="64">
        <v>1</v>
      </c>
      <c r="P1338" s="64">
        <f>=I1338*O1338*ROUNDUP((A1338-B1338)/30,0)</f>
        <v>8</v>
      </c>
      <c r="Q1338" s="62" t="s"/>
      <c r="R1338" s="62" t="s"/>
    </row>
    <row r="1339" spans="1:18" ht="15.75" customHeight="true">
      <c r="A1339" s="147">
        <v>46199</v>
      </c>
      <c r="B1339" s="460">
        <v>46160</v>
      </c>
      <c r="C1339" s="80" t="s">
        <v>338</v>
      </c>
      <c r="D1339" s="71" t="s">
        <v>142</v>
      </c>
      <c r="E1339" s="263" t="s">
        <v>3518</v>
      </c>
      <c r="F1339" s="538" t="s">
        <v>503</v>
      </c>
      <c r="G1339" s="112" t="s">
        <v>422</v>
      </c>
      <c r="H1339" s="112" t="s">
        <v>876</v>
      </c>
      <c r="I1339" s="71">
        <v>10</v>
      </c>
      <c r="J1339" s="154">
        <v>1922</v>
      </c>
      <c r="K1339" s="427">
        <f>=I1339*J1339</f>
        <v>19220</v>
      </c>
      <c r="L1339" s="140">
        <v>1900</v>
      </c>
      <c r="M1339" s="428">
        <f>=I1339*L1339</f>
        <v>19000</v>
      </c>
      <c r="N1339" s="82">
        <f>=K1339-M1339</f>
        <v>220</v>
      </c>
      <c r="O1339" s="64">
        <v>1</v>
      </c>
      <c r="P1339" s="64">
        <f>=I1339*O1339*ROUNDUP((A1339-B1339)/30,0)</f>
        <v>20</v>
      </c>
      <c r="Q1339" s="62" t="s"/>
      <c r="R1339" s="62" t="s"/>
    </row>
    <row r="1340" spans="1:18" ht="15.75" customHeight="true">
      <c r="A1340" s="147">
        <v>46199</v>
      </c>
      <c r="B1340" s="460">
        <v>46160</v>
      </c>
      <c r="C1340" s="80" t="s">
        <v>338</v>
      </c>
      <c r="D1340" s="71" t="s">
        <v>142</v>
      </c>
      <c r="E1340" s="263" t="s">
        <v>3519</v>
      </c>
      <c r="F1340" s="538" t="s">
        <v>503</v>
      </c>
      <c r="G1340" s="112" t="s">
        <v>422</v>
      </c>
      <c r="H1340" s="112" t="s">
        <v>878</v>
      </c>
      <c r="I1340" s="71">
        <v>30</v>
      </c>
      <c r="J1340" s="154">
        <v>1922</v>
      </c>
      <c r="K1340" s="427">
        <f>=I1340*J1340</f>
        <v>57660</v>
      </c>
      <c r="L1340" s="140">
        <v>1900</v>
      </c>
      <c r="M1340" s="428">
        <f>=I1340*L1340</f>
        <v>57000</v>
      </c>
      <c r="N1340" s="82">
        <f>=K1340-M1340</f>
        <v>660</v>
      </c>
      <c r="O1340" s="64">
        <v>1</v>
      </c>
      <c r="P1340" s="64">
        <f>=I1340*O1340*ROUNDUP((A1340-B1340)/30,0)</f>
        <v>60</v>
      </c>
      <c r="Q1340" s="62" t="s"/>
      <c r="R1340" s="62" t="s"/>
    </row>
    <row r="1341" spans="1:18" ht="15.75" customHeight="true">
      <c r="A1341" s="147">
        <v>46199</v>
      </c>
      <c r="B1341" s="460">
        <v>46160</v>
      </c>
      <c r="C1341" s="80" t="s">
        <v>338</v>
      </c>
      <c r="D1341" s="71" t="s">
        <v>142</v>
      </c>
      <c r="E1341" s="263" t="s">
        <v>3520</v>
      </c>
      <c r="F1341" s="108" t="s">
        <v>503</v>
      </c>
      <c r="G1341" s="112" t="s">
        <v>422</v>
      </c>
      <c r="H1341" s="112" t="s">
        <v>880</v>
      </c>
      <c r="I1341" s="71">
        <v>30</v>
      </c>
      <c r="J1341" s="359">
        <v>1922</v>
      </c>
      <c r="K1341" s="427">
        <f>=I1341*J1341</f>
        <v>57660</v>
      </c>
      <c r="L1341" s="140">
        <v>1900</v>
      </c>
      <c r="M1341" s="428">
        <f>=I1341*L1341</f>
        <v>57000</v>
      </c>
      <c r="N1341" s="82">
        <f>=K1341-M1341</f>
        <v>660</v>
      </c>
      <c r="O1341" s="64">
        <v>1</v>
      </c>
      <c r="P1341" s="64">
        <f>=I1341*O1341*ROUNDUP((A1341-B1341)/30,0)</f>
        <v>60</v>
      </c>
      <c r="Q1341" s="62" t="s"/>
      <c r="R1341" s="62" t="s"/>
    </row>
    <row r="1342" spans="1:18" ht="15.75" customHeight="true">
      <c r="A1342" s="147">
        <v>46199</v>
      </c>
      <c r="B1342" s="460">
        <v>46160</v>
      </c>
      <c r="C1342" s="80" t="s">
        <v>338</v>
      </c>
      <c r="D1342" s="71" t="s">
        <v>142</v>
      </c>
      <c r="E1342" s="263" t="s">
        <v>3521</v>
      </c>
      <c r="F1342" s="108" t="s">
        <v>503</v>
      </c>
      <c r="G1342" s="112" t="s">
        <v>422</v>
      </c>
      <c r="H1342" s="112" t="s">
        <v>882</v>
      </c>
      <c r="I1342" s="71">
        <v>30</v>
      </c>
      <c r="J1342" s="154">
        <v>1922</v>
      </c>
      <c r="K1342" s="427">
        <f>=I1342*J1342</f>
        <v>57660</v>
      </c>
      <c r="L1342" s="140">
        <v>1900</v>
      </c>
      <c r="M1342" s="428">
        <f>=I1342*L1342</f>
        <v>57000</v>
      </c>
      <c r="N1342" s="82">
        <f>=K1342-M1342</f>
        <v>660</v>
      </c>
      <c r="O1342" s="64">
        <v>1</v>
      </c>
      <c r="P1342" s="64">
        <f>=I1342*O1342*ROUNDUP((A1342-B1342)/30,0)</f>
        <v>60</v>
      </c>
      <c r="Q1342" s="62" t="s"/>
      <c r="R1342" s="62" t="s"/>
    </row>
    <row r="1343" spans="1:18" ht="15.75" customHeight="true">
      <c r="A1343" s="147">
        <v>46199</v>
      </c>
      <c r="B1343" s="460">
        <v>46120</v>
      </c>
      <c r="C1343" s="71" t="s">
        <v>242</v>
      </c>
      <c r="D1343" s="64" t="s">
        <v>116</v>
      </c>
      <c r="E1343" s="153" t="s">
        <v>3522</v>
      </c>
      <c r="F1343" t="s">
        <v>804</v>
      </c>
      <c r="G1343" t="s">
        <v>429</v>
      </c>
      <c r="H1343" s="64" t="s">
        <v>822</v>
      </c>
      <c r="I1343">
        <v>200</v>
      </c>
      <c r="J1343" s="99">
        <v>85.75</v>
      </c>
      <c r="K1343" s="427">
        <f>=I1343*J1343</f>
        <v>17150</v>
      </c>
      <c r="L1343">
        <v>84</v>
      </c>
      <c r="M1343" s="428">
        <f>=I1343*L1343</f>
        <v>16800</v>
      </c>
      <c r="N1343" s="82">
        <f>=K1343-M1343</f>
        <v>350</v>
      </c>
      <c r="O1343" s="62">
        <v>0</v>
      </c>
      <c r="P1343" s="64">
        <f>=I1343*O1343*ROUNDUP((A1343-B1343)/30,0)</f>
        <v>0</v>
      </c>
      <c r="Q1343" s="62" t="s"/>
      <c r="R1343" s="62" t="s"/>
    </row>
    <row r="1344" spans="1:18" ht="15.75" customHeight="true">
      <c r="A1344" s="147">
        <v>46199</v>
      </c>
      <c r="B1344" s="460">
        <v>46122</v>
      </c>
      <c r="C1344" s="71" t="s">
        <v>246</v>
      </c>
      <c r="D1344" s="64" t="s">
        <v>116</v>
      </c>
      <c r="E1344" s="145" t="s">
        <v>3523</v>
      </c>
      <c r="F1344" s="262" t="s">
        <v>804</v>
      </c>
      <c r="G1344" s="262" t="s">
        <v>429</v>
      </c>
      <c r="H1344" s="64" t="s">
        <v>1785</v>
      </c>
      <c r="I1344">
        <v>200</v>
      </c>
      <c r="J1344" s="99">
        <v>162.22</v>
      </c>
      <c r="K1344" s="427">
        <f>=I1344*J1344</f>
        <v>32444</v>
      </c>
      <c r="L1344">
        <v>159</v>
      </c>
      <c r="M1344" s="428">
        <f>=I1344*L1344</f>
        <v>31800</v>
      </c>
      <c r="N1344" s="82">
        <f>=K1344-M1344</f>
        <v>644</v>
      </c>
      <c r="O1344" s="62">
        <v>0</v>
      </c>
      <c r="P1344" s="64">
        <f>=I1344*O1344*ROUNDUP((A1344-B1344)/30,0)</f>
        <v>0</v>
      </c>
      <c r="Q1344" s="62" t="s"/>
      <c r="R1344" s="62" t="s"/>
    </row>
    <row r="1345" spans="1:18" ht="15.75" customHeight="true">
      <c r="A1345" s="147">
        <v>46199</v>
      </c>
      <c r="B1345" s="460">
        <v>46122</v>
      </c>
      <c r="C1345" s="71" t="s">
        <v>246</v>
      </c>
      <c r="D1345" s="64" t="s">
        <v>116</v>
      </c>
      <c r="E1345" s="145" t="s">
        <v>3524</v>
      </c>
      <c r="F1345" s="95" t="s">
        <v>804</v>
      </c>
      <c r="G1345" s="262" t="s">
        <v>429</v>
      </c>
      <c r="H1345" s="64" t="s">
        <v>821</v>
      </c>
      <c r="I1345">
        <v>100</v>
      </c>
      <c r="J1345" s="99">
        <v>56.12</v>
      </c>
      <c r="K1345" s="427">
        <f>=I1345*J1345</f>
        <v>5612</v>
      </c>
      <c r="L1345" s="402">
        <v>55</v>
      </c>
      <c r="M1345" s="428">
        <f>=I1345*L1345</f>
        <v>5500</v>
      </c>
      <c r="N1345" s="82">
        <f>=K1345-M1345</f>
        <v>112</v>
      </c>
      <c r="O1345" s="62">
        <v>0</v>
      </c>
      <c r="P1345" s="64">
        <f>=I1345*O1345*ROUNDUP((A1345-B1345)/30,0)</f>
        <v>0</v>
      </c>
      <c r="Q1345" s="62" t="s"/>
      <c r="R1345" s="62" t="s"/>
    </row>
    <row r="1346" spans="1:18" ht="15.75" customHeight="true">
      <c r="A1346" s="147">
        <v>46199</v>
      </c>
      <c r="B1346" s="460">
        <v>46163</v>
      </c>
      <c r="C1346" t="s">
        <v>349</v>
      </c>
      <c r="D1346" s="71" t="s">
        <v>339</v>
      </c>
      <c r="E1346" s="359" t="s">
        <v>3525</v>
      </c>
      <c r="F1346" s="71" t="s">
        <v>428</v>
      </c>
      <c r="G1346" s="71" t="s">
        <v>422</v>
      </c>
      <c r="H1346" s="64" t="s">
        <v>837</v>
      </c>
      <c r="I1346" s="367">
        <v>460</v>
      </c>
      <c r="J1346" s="203">
        <v>628.96</v>
      </c>
      <c r="K1346" s="427">
        <f>=I1346*J1346</f>
        <v>289321.6</v>
      </c>
      <c r="L1346" s="249">
        <v>620</v>
      </c>
      <c r="M1346" s="428">
        <f>=I1346*L1346</f>
        <v>285200</v>
      </c>
      <c r="N1346" s="82">
        <f>=K1346-M1346</f>
        <v>4121.60000000004</v>
      </c>
      <c r="O1346" s="64">
        <v>1</v>
      </c>
      <c r="P1346" s="64">
        <f>=I1346*O1346*ROUNDUP((A1346-B1346)/30,0)</f>
        <v>920</v>
      </c>
      <c r="Q1346" s="62" t="s"/>
      <c r="R1346" s="62" t="s"/>
    </row>
    <row r="1347" spans="1:18" ht="15.75" customHeight="true">
      <c r="A1347" s="147">
        <v>46199</v>
      </c>
      <c r="B1347" s="460">
        <v>46165</v>
      </c>
      <c r="C1347" t="s">
        <v>359</v>
      </c>
      <c r="D1347" s="71" t="s">
        <v>339</v>
      </c>
      <c r="E1347" s="356" t="s">
        <v>3526</v>
      </c>
      <c r="F1347" s="71" t="s">
        <v>428</v>
      </c>
      <c r="G1347" s="71" t="s">
        <v>422</v>
      </c>
      <c r="H1347" s="71" t="s">
        <v>837</v>
      </c>
      <c r="I1347">
        <v>450</v>
      </c>
      <c r="J1347" s="200">
        <v>628.64</v>
      </c>
      <c r="K1347" s="427">
        <f>=I1347*J1347</f>
        <v>282888</v>
      </c>
      <c r="L1347" s="249">
        <v>620</v>
      </c>
      <c r="M1347" s="428">
        <f>=I1347*L1347</f>
        <v>279000</v>
      </c>
      <c r="N1347" s="82">
        <f>=K1347-M1347</f>
        <v>3888</v>
      </c>
      <c r="O1347" s="64">
        <v>1</v>
      </c>
      <c r="P1347" s="64">
        <f>=I1347*O1347*ROUNDUP((A1347-B1347)/30,0)</f>
        <v>900</v>
      </c>
      <c r="Q1347" s="62" t="s"/>
      <c r="R1347" s="62" t="s"/>
    </row>
    <row r="1348" spans="1:18" ht="15.75" customHeight="true">
      <c r="A1348" s="147">
        <v>46200</v>
      </c>
      <c r="B1348" s="460">
        <v>46155</v>
      </c>
      <c r="C1348" s="98" t="s">
        <v>327</v>
      </c>
      <c r="D1348" s="71" t="s">
        <v>135</v>
      </c>
      <c r="E1348" s="146" t="s">
        <v>3527</v>
      </c>
      <c r="F1348" t="s">
        <v>428</v>
      </c>
      <c r="G1348" t="s">
        <v>422</v>
      </c>
      <c r="H1348" s="64" t="s">
        <v>1046</v>
      </c>
      <c r="I1348" s="392">
        <v>300</v>
      </c>
      <c r="J1348" s="356">
        <v>711.05</v>
      </c>
      <c r="K1348" s="427">
        <f>=I1348*J1348</f>
        <v>213315</v>
      </c>
      <c r="L1348" s="203">
        <v>700</v>
      </c>
      <c r="M1348" s="428">
        <f>=I1348*L1348</f>
        <v>210000</v>
      </c>
      <c r="N1348" s="82">
        <f>=K1348-M1348</f>
        <v>3315</v>
      </c>
      <c r="O1348" s="78">
        <v>1</v>
      </c>
      <c r="P1348" s="64">
        <f>=I1348*O1348*ROUNDUP((A1348-B1348)/30,0)</f>
        <v>600</v>
      </c>
      <c r="Q1348" s="62" t="s"/>
      <c r="R1348" s="62" t="s"/>
    </row>
    <row r="1349" spans="1:18" ht="15.75" customHeight="true">
      <c r="A1349" s="147">
        <v>46201</v>
      </c>
      <c r="B1349" s="460">
        <v>46142</v>
      </c>
      <c r="C1349" s="98" t="s">
        <v>304</v>
      </c>
      <c r="D1349" s="71" t="s">
        <v>65</v>
      </c>
      <c r="E1349" s="108" t="s">
        <v>361</v>
      </c>
      <c r="F1349" s="64" t="s">
        <v>421</v>
      </c>
      <c r="G1349" s="64" t="s">
        <v>422</v>
      </c>
      <c r="H1349" s="345" t="s">
        <v>674</v>
      </c>
      <c r="I1349" s="161">
        <v>1</v>
      </c>
      <c r="J1349" s="402">
        <v>4995</v>
      </c>
      <c r="K1349" s="427">
        <f>=I1349*J1349</f>
        <v>4995</v>
      </c>
      <c r="L1349" s="402">
        <v>4995</v>
      </c>
      <c r="M1349" s="428">
        <f>=I1349*L1349</f>
        <v>4995</v>
      </c>
      <c r="N1349" s="82">
        <f>=K1349-M1349</f>
        <v>0</v>
      </c>
      <c r="O1349" s="62">
        <v>0</v>
      </c>
      <c r="P1349" s="64">
        <f>=I1349*O1349*ROUNDUP((A1349-B1349)/30,0)</f>
        <v>0</v>
      </c>
      <c r="Q1349" s="62" t="s"/>
      <c r="R1349" s="62" t="s"/>
    </row>
    <row r="1350" spans="1:18" ht="15.75" customHeight="true">
      <c r="A1350" s="147">
        <v>46201</v>
      </c>
      <c r="B1350" s="460">
        <v>46142</v>
      </c>
      <c r="C1350" s="98" t="s">
        <v>304</v>
      </c>
      <c r="D1350" s="71" t="s">
        <v>65</v>
      </c>
      <c r="E1350" s="108" t="s">
        <v>361</v>
      </c>
      <c r="F1350" s="64" t="s">
        <v>421</v>
      </c>
      <c r="G1350" s="64" t="s">
        <v>422</v>
      </c>
      <c r="H1350" s="345" t="s">
        <v>678</v>
      </c>
      <c r="I1350" s="161">
        <v>2</v>
      </c>
      <c r="J1350">
        <v>4995</v>
      </c>
      <c r="K1350" s="427">
        <f>=I1350*J1350</f>
        <v>9990</v>
      </c>
      <c r="L1350">
        <v>4995</v>
      </c>
      <c r="M1350" s="428">
        <f>=I1350*L1350</f>
        <v>9990</v>
      </c>
      <c r="N1350" s="82">
        <f>=K1350-M1350</f>
        <v>0</v>
      </c>
      <c r="O1350" s="62">
        <v>0</v>
      </c>
      <c r="P1350" s="64">
        <f>=I1350*O1350*ROUNDUP((A1350-B1350)/30,0)</f>
        <v>0</v>
      </c>
      <c r="Q1350" s="62" t="s"/>
      <c r="R1350" s="62" t="s"/>
    </row>
    <row r="1351" spans="1:18" ht="15.75" customHeight="true">
      <c r="A1351" s="147">
        <v>46201</v>
      </c>
      <c r="B1351" s="460">
        <v>46142</v>
      </c>
      <c r="C1351" s="98" t="s">
        <v>304</v>
      </c>
      <c r="D1351" s="71" t="s">
        <v>65</v>
      </c>
      <c r="E1351" s="108" t="s">
        <v>361</v>
      </c>
      <c r="F1351" s="64" t="s">
        <v>421</v>
      </c>
      <c r="G1351" s="64" t="s">
        <v>422</v>
      </c>
      <c r="H1351" s="345" t="s">
        <v>682</v>
      </c>
      <c r="I1351" s="380">
        <v>1</v>
      </c>
      <c r="J1351">
        <v>4995</v>
      </c>
      <c r="K1351" s="427">
        <f>=I1351*J1351</f>
        <v>4995</v>
      </c>
      <c r="L1351">
        <v>4995</v>
      </c>
      <c r="M1351" s="428">
        <f>=I1351*L1351</f>
        <v>4995</v>
      </c>
      <c r="N1351" s="82">
        <f>=K1351-M1351</f>
        <v>0</v>
      </c>
      <c r="O1351" s="62">
        <v>0</v>
      </c>
      <c r="P1351" s="64">
        <f>=I1351*O1351*ROUNDUP((A1351-B1351)/30,0)</f>
        <v>0</v>
      </c>
      <c r="Q1351" s="62" t="s"/>
      <c r="R1351" s="62" t="s"/>
    </row>
    <row r="1352" spans="1:18" ht="15.75" customHeight="true">
      <c r="A1352" s="147">
        <v>46201</v>
      </c>
      <c r="B1352" s="460">
        <v>46142</v>
      </c>
      <c r="C1352" s="98" t="s">
        <v>304</v>
      </c>
      <c r="D1352" s="71" t="s">
        <v>65</v>
      </c>
      <c r="E1352" s="108" t="s">
        <v>361</v>
      </c>
      <c r="F1352" s="64" t="s">
        <v>421</v>
      </c>
      <c r="G1352" s="64" t="s">
        <v>422</v>
      </c>
      <c r="H1352" s="345" t="s">
        <v>680</v>
      </c>
      <c r="I1352" s="71">
        <v>4</v>
      </c>
      <c r="J1352">
        <v>4995</v>
      </c>
      <c r="K1352" s="427">
        <f>=I1352*J1352</f>
        <v>19980</v>
      </c>
      <c r="L1352">
        <v>4995</v>
      </c>
      <c r="M1352" s="428">
        <f>=I1352*L1352</f>
        <v>19980</v>
      </c>
      <c r="N1352" s="82">
        <f>=K1352-M1352</f>
        <v>0</v>
      </c>
      <c r="O1352" s="62">
        <v>0</v>
      </c>
      <c r="P1352" s="64">
        <f>=I1352*O1352*ROUNDUP((A1352-B1352)/30,0)</f>
        <v>0</v>
      </c>
      <c r="Q1352" s="62" t="s"/>
      <c r="R1352" s="62" t="s"/>
    </row>
    <row r="1353" spans="1:18" ht="15.75" customHeight="true">
      <c r="A1353" s="147">
        <v>46201</v>
      </c>
      <c r="B1353" s="460">
        <v>46142</v>
      </c>
      <c r="C1353" s="98" t="s">
        <v>304</v>
      </c>
      <c r="D1353" s="71" t="s">
        <v>65</v>
      </c>
      <c r="E1353" s="108" t="s">
        <v>361</v>
      </c>
      <c r="F1353" s="64" t="s">
        <v>421</v>
      </c>
      <c r="G1353" s="64" t="s">
        <v>422</v>
      </c>
      <c r="H1353" s="345" t="s">
        <v>684</v>
      </c>
      <c r="I1353" s="71">
        <v>1</v>
      </c>
      <c r="J1353" s="402">
        <v>6705</v>
      </c>
      <c r="K1353" s="427">
        <f>=I1353*J1353</f>
        <v>6705</v>
      </c>
      <c r="L1353" s="402">
        <v>6705</v>
      </c>
      <c r="M1353" s="428">
        <f>=I1353*L1353</f>
        <v>6705</v>
      </c>
      <c r="N1353" s="82">
        <f>=K1353-M1353</f>
        <v>0</v>
      </c>
      <c r="O1353" s="62">
        <v>0</v>
      </c>
      <c r="P1353" s="64">
        <f>=I1353*O1353*ROUNDUP((A1353-B1353)/30,0)</f>
        <v>0</v>
      </c>
      <c r="Q1353" s="62" t="s"/>
      <c r="R1353" s="62" t="s"/>
    </row>
    <row r="1354" spans="1:18" ht="15.75" customHeight="true">
      <c r="A1354" s="147">
        <v>46201</v>
      </c>
      <c r="B1354" s="460">
        <v>46142</v>
      </c>
      <c r="C1354" s="98" t="s">
        <v>304</v>
      </c>
      <c r="D1354" s="71" t="s">
        <v>65</v>
      </c>
      <c r="E1354" s="108" t="s">
        <v>361</v>
      </c>
      <c r="F1354" s="64" t="s">
        <v>421</v>
      </c>
      <c r="G1354" s="64" t="s">
        <v>422</v>
      </c>
      <c r="H1354" s="345" t="s">
        <v>701</v>
      </c>
      <c r="I1354" s="71">
        <v>4</v>
      </c>
      <c r="J1354" s="508">
        <v>7560</v>
      </c>
      <c r="K1354" s="427">
        <f>=I1354*J1354</f>
        <v>30240</v>
      </c>
      <c r="L1354" s="508">
        <v>7560</v>
      </c>
      <c r="M1354" s="428">
        <f>=I1354*L1354</f>
        <v>30240</v>
      </c>
      <c r="N1354" s="82">
        <f>=K1354-M1354</f>
        <v>0</v>
      </c>
      <c r="O1354" s="62">
        <v>0</v>
      </c>
      <c r="P1354" s="64">
        <f>=I1354*O1354*ROUNDUP((A1354-B1354)/30,0)</f>
        <v>0</v>
      </c>
      <c r="Q1354" s="62" t="s"/>
      <c r="R1354" s="62" t="s"/>
    </row>
    <row r="1355" spans="1:18" ht="15.75" customHeight="true">
      <c r="A1355" s="147">
        <v>46201</v>
      </c>
      <c r="B1355" s="460">
        <v>46142</v>
      </c>
      <c r="C1355" s="98" t="s">
        <v>304</v>
      </c>
      <c r="D1355" s="71" t="s">
        <v>65</v>
      </c>
      <c r="E1355" s="108" t="s">
        <v>361</v>
      </c>
      <c r="F1355" s="64" t="s">
        <v>421</v>
      </c>
      <c r="G1355" s="64" t="s">
        <v>422</v>
      </c>
      <c r="H1355" s="345" t="s">
        <v>699</v>
      </c>
      <c r="I1355" s="71">
        <v>2</v>
      </c>
      <c r="J1355" s="508">
        <v>7560</v>
      </c>
      <c r="K1355" s="427">
        <f>=I1355*J1355</f>
        <v>15120</v>
      </c>
      <c r="L1355" s="508">
        <v>7560</v>
      </c>
      <c r="M1355" s="428">
        <f>=I1355*L1355</f>
        <v>15120</v>
      </c>
      <c r="N1355" s="82">
        <f>=K1355-M1355</f>
        <v>0</v>
      </c>
      <c r="O1355" s="62">
        <v>0</v>
      </c>
      <c r="P1355" s="64">
        <f>=I1355*O1355*ROUNDUP((A1355-B1355)/30,0)</f>
        <v>0</v>
      </c>
      <c r="Q1355" s="62" t="s"/>
      <c r="R1355" s="62" t="s"/>
    </row>
    <row r="1356" spans="1:18" ht="15.75" customHeight="true">
      <c r="A1356" s="147">
        <v>46201</v>
      </c>
      <c r="B1356" s="460">
        <v>46142</v>
      </c>
      <c r="C1356" s="98" t="s">
        <v>304</v>
      </c>
      <c r="D1356" s="71" t="s">
        <v>65</v>
      </c>
      <c r="E1356" s="108" t="s">
        <v>361</v>
      </c>
      <c r="F1356" s="64" t="s">
        <v>421</v>
      </c>
      <c r="G1356" s="64" t="s">
        <v>422</v>
      </c>
      <c r="H1356" s="345" t="s">
        <v>705</v>
      </c>
      <c r="I1356" s="154">
        <v>3</v>
      </c>
      <c r="J1356" s="508">
        <v>7560</v>
      </c>
      <c r="K1356" s="427">
        <f>=I1356*J1356</f>
        <v>22680</v>
      </c>
      <c r="L1356" s="508">
        <v>7560</v>
      </c>
      <c r="M1356" s="428">
        <f>=I1356*L1356</f>
        <v>22680</v>
      </c>
      <c r="N1356" s="82">
        <f>=K1356-M1356</f>
        <v>0</v>
      </c>
      <c r="O1356" s="62">
        <v>0</v>
      </c>
      <c r="P1356" s="64">
        <f>=I1356*O1356*ROUNDUP((A1356-B1356)/30,0)</f>
        <v>0</v>
      </c>
      <c r="Q1356" s="62" t="s"/>
      <c r="R1356" s="62" t="s"/>
    </row>
    <row r="1357" spans="1:18" ht="15.75" customHeight="true">
      <c r="A1357" s="147">
        <v>46201</v>
      </c>
      <c r="B1357" s="460">
        <v>46142</v>
      </c>
      <c r="C1357" s="98" t="s">
        <v>304</v>
      </c>
      <c r="D1357" s="71" t="s">
        <v>65</v>
      </c>
      <c r="E1357" s="108" t="s">
        <v>361</v>
      </c>
      <c r="F1357" s="64" t="s">
        <v>421</v>
      </c>
      <c r="G1357" s="64" t="s">
        <v>422</v>
      </c>
      <c r="H1357" s="345" t="s">
        <v>693</v>
      </c>
      <c r="I1357" s="154">
        <v>2</v>
      </c>
      <c r="J1357" s="402">
        <v>8415</v>
      </c>
      <c r="K1357" s="427">
        <f>=I1357*J1357</f>
        <v>16830</v>
      </c>
      <c r="L1357" s="402">
        <v>8415</v>
      </c>
      <c r="M1357" s="428">
        <f>=I1357*L1357</f>
        <v>16830</v>
      </c>
      <c r="N1357" s="82">
        <f>=K1357-M1357</f>
        <v>0</v>
      </c>
      <c r="O1357" s="62">
        <v>0</v>
      </c>
      <c r="P1357" s="64">
        <f>=I1357*O1357*ROUNDUP((A1357-B1357)/30,0)</f>
        <v>0</v>
      </c>
      <c r="Q1357" s="62" t="s"/>
      <c r="R1357" s="62" t="s"/>
    </row>
    <row r="1358" spans="1:18" ht="15.75" customHeight="true">
      <c r="A1358" s="147">
        <v>46201</v>
      </c>
      <c r="B1358" s="460">
        <v>46142</v>
      </c>
      <c r="C1358" s="80" t="s">
        <v>304</v>
      </c>
      <c r="D1358" s="64" t="s">
        <v>65</v>
      </c>
      <c r="E1358" s="108" t="s">
        <v>361</v>
      </c>
      <c r="F1358" s="64" t="s">
        <v>421</v>
      </c>
      <c r="G1358" s="64" t="s">
        <v>422</v>
      </c>
      <c r="H1358" s="345" t="s">
        <v>691</v>
      </c>
      <c r="I1358" s="359">
        <v>5</v>
      </c>
      <c r="J1358" s="402">
        <v>8415</v>
      </c>
      <c r="K1358" s="427">
        <f>=I1358*J1358</f>
        <v>42075</v>
      </c>
      <c r="L1358" s="402">
        <v>8415</v>
      </c>
      <c r="M1358" s="428">
        <f>=I1358*L1358</f>
        <v>42075</v>
      </c>
      <c r="N1358" s="82">
        <f>=K1358-M1358</f>
        <v>0</v>
      </c>
      <c r="O1358" s="62">
        <v>0</v>
      </c>
      <c r="P1358" s="64">
        <f>=I1358*O1358*ROUNDUP((A1358-B1358)/30,0)</f>
        <v>0</v>
      </c>
      <c r="Q1358" s="62" t="s"/>
      <c r="R1358" s="62" t="s"/>
    </row>
    <row r="1359" spans="1:18" ht="15.75" customHeight="true">
      <c r="A1359" s="147">
        <v>46201</v>
      </c>
      <c r="B1359" s="460">
        <v>46142</v>
      </c>
      <c r="C1359" s="98" t="s">
        <v>304</v>
      </c>
      <c r="D1359" s="71" t="s">
        <v>65</v>
      </c>
      <c r="E1359" s="108" t="s">
        <v>361</v>
      </c>
      <c r="F1359" s="64" t="s">
        <v>421</v>
      </c>
      <c r="G1359" s="64" t="s">
        <v>422</v>
      </c>
      <c r="H1359" s="345" t="s">
        <v>695</v>
      </c>
      <c r="I1359" s="359">
        <v>2</v>
      </c>
      <c r="J1359" s="508">
        <v>10035</v>
      </c>
      <c r="K1359" s="427">
        <f>=I1359*J1359</f>
        <v>20070</v>
      </c>
      <c r="L1359" s="508">
        <v>10035</v>
      </c>
      <c r="M1359" s="428">
        <f>=I1359*L1359</f>
        <v>20070</v>
      </c>
      <c r="N1359" s="82">
        <f>=K1359-M1359</f>
        <v>0</v>
      </c>
      <c r="O1359" s="62">
        <v>0</v>
      </c>
      <c r="P1359" s="64">
        <f>=I1359*O1359*ROUNDUP((A1359-B1359)/30,0)</f>
        <v>0</v>
      </c>
      <c r="Q1359" s="62" t="s"/>
      <c r="R1359" s="62" t="s"/>
    </row>
    <row r="1360" spans="1:18" ht="15.75" customHeight="true">
      <c r="A1360" s="147">
        <v>46201</v>
      </c>
      <c r="B1360" s="460">
        <v>46159</v>
      </c>
      <c r="C1360" s="98" t="s">
        <v>336</v>
      </c>
      <c r="D1360" s="263" t="s">
        <v>335</v>
      </c>
      <c r="E1360" s="263" t="s">
        <v>3528</v>
      </c>
      <c r="F1360" s="538" t="s">
        <v>503</v>
      </c>
      <c r="G1360" s="64" t="s">
        <v>422</v>
      </c>
      <c r="H1360" s="356" t="s">
        <v>2144</v>
      </c>
      <c r="I1360" s="203">
        <v>50</v>
      </c>
      <c r="J1360" s="136">
        <v>1311.92</v>
      </c>
      <c r="K1360" s="427">
        <f>=I1360*J1360</f>
        <v>65596</v>
      </c>
      <c r="L1360" s="402">
        <v>1295</v>
      </c>
      <c r="M1360" s="428">
        <f>=I1360*L1360</f>
        <v>64750</v>
      </c>
      <c r="N1360" s="82">
        <f>=K1360-M1360</f>
        <v>846</v>
      </c>
      <c r="O1360" s="62">
        <v>1</v>
      </c>
      <c r="P1360" s="64">
        <f>=I1360*O1360*ROUNDUP((A1360-B1360)/30,0)</f>
        <v>100</v>
      </c>
      <c r="Q1360" s="62" t="s"/>
      <c r="R1360" s="62" t="s"/>
    </row>
    <row r="1361" spans="1:18" ht="15.75" customHeight="true">
      <c r="A1361" s="147">
        <v>46201</v>
      </c>
      <c r="B1361" s="460">
        <v>46111</v>
      </c>
      <c r="C1361" s="98" t="s">
        <v>216</v>
      </c>
      <c r="D1361" s="71" t="s">
        <v>215</v>
      </c>
      <c r="E1361" s="510" t="s">
        <v>3529</v>
      </c>
      <c r="F1361" s="140" t="s">
        <v>421</v>
      </c>
      <c r="G1361" s="140" t="s">
        <v>470</v>
      </c>
      <c r="H1361" s="140" t="s">
        <v>1290</v>
      </c>
      <c r="I1361">
        <v>90</v>
      </c>
      <c r="J1361" s="507">
        <v>2871.7</v>
      </c>
      <c r="K1361" s="427">
        <f>=I1361*J1361</f>
        <v>258453</v>
      </c>
      <c r="L1361" s="140">
        <v>2800</v>
      </c>
      <c r="M1361" s="428">
        <f>=I1361*L1361</f>
        <v>252000</v>
      </c>
      <c r="N1361" s="82">
        <f>=K1361-M1361</f>
        <v>6452.99999999997</v>
      </c>
      <c r="O1361" s="62">
        <v>1.5</v>
      </c>
      <c r="P1361" s="64">
        <f>=I1361*O1361*ROUNDUP((A1361-B1361)/30,0)</f>
        <v>405</v>
      </c>
      <c r="Q1361" s="62" t="s"/>
      <c r="R1361" s="62" t="s"/>
    </row>
    <row r="1362" spans="1:18" ht="15.75" customHeight="true">
      <c r="A1362" s="147">
        <v>46201</v>
      </c>
      <c r="B1362" s="460">
        <v>46138</v>
      </c>
      <c r="C1362" t="s">
        <v>298</v>
      </c>
      <c r="D1362" t="s">
        <v>243</v>
      </c>
      <c r="E1362" s="145" t="s">
        <v>3530</v>
      </c>
      <c r="F1362" t="s">
        <v>741</v>
      </c>
      <c r="G1362" t="s">
        <v>422</v>
      </c>
      <c r="H1362" t="s">
        <v>1082</v>
      </c>
      <c r="I1362">
        <v>202</v>
      </c>
      <c r="J1362" s="136">
        <v>1070.78</v>
      </c>
      <c r="K1362" s="427">
        <f>=I1362*J1362</f>
        <v>216297.56</v>
      </c>
      <c r="L1362" s="402">
        <v>1050</v>
      </c>
      <c r="M1362" s="428">
        <f>=I1362*L1362</f>
        <v>212100</v>
      </c>
      <c r="N1362" s="82">
        <f>=K1362-M1362</f>
        <v>4197.56</v>
      </c>
      <c r="O1362" s="62">
        <v>1</v>
      </c>
      <c r="P1362" s="64">
        <f>=I1362*O1362*ROUNDUP((A1362-B1362)/30,0)</f>
        <v>606</v>
      </c>
      <c r="Q1362" s="62" t="s"/>
      <c r="R1362" s="62" t="s"/>
    </row>
    <row r="1363" spans="1:18" ht="15.75" customHeight="true">
      <c r="A1363" s="147">
        <v>46201</v>
      </c>
      <c r="B1363" s="460">
        <v>46138</v>
      </c>
      <c r="C1363" t="s">
        <v>298</v>
      </c>
      <c r="D1363" t="s">
        <v>243</v>
      </c>
      <c r="E1363" s="263" t="s">
        <v>3531</v>
      </c>
      <c r="F1363" t="s">
        <v>741</v>
      </c>
      <c r="G1363" t="s">
        <v>422</v>
      </c>
      <c r="H1363" t="s">
        <v>1652</v>
      </c>
      <c r="I1363">
        <v>98</v>
      </c>
      <c r="J1363" s="136">
        <v>1070.78</v>
      </c>
      <c r="K1363" s="427">
        <f>=I1363*J1363</f>
        <v>104936.44</v>
      </c>
      <c r="L1363" s="402">
        <v>1050</v>
      </c>
      <c r="M1363" s="428">
        <f>=I1363*L1363</f>
        <v>102900</v>
      </c>
      <c r="N1363" s="82">
        <f>=K1363-M1363</f>
        <v>2036.44</v>
      </c>
      <c r="O1363" s="62">
        <v>1</v>
      </c>
      <c r="P1363" s="64">
        <f>=I1363*O1363*ROUNDUP((A1363-B1363)/30,0)</f>
        <v>294</v>
      </c>
      <c r="Q1363" s="62" t="s"/>
      <c r="R1363" s="62" t="s"/>
    </row>
    <row r="1364" spans="1:18" ht="15.75" customHeight="true">
      <c r="A1364" s="147">
        <v>46201</v>
      </c>
      <c r="B1364" s="460">
        <v>46138</v>
      </c>
      <c r="C1364" t="s">
        <v>298</v>
      </c>
      <c r="D1364" t="s">
        <v>243</v>
      </c>
      <c r="E1364" s="263" t="s">
        <v>3532</v>
      </c>
      <c r="F1364" t="s">
        <v>741</v>
      </c>
      <c r="G1364" t="s">
        <v>422</v>
      </c>
      <c r="H1364" t="s">
        <v>1176</v>
      </c>
      <c r="I1364">
        <v>99</v>
      </c>
      <c r="J1364" s="136">
        <v>1070.78</v>
      </c>
      <c r="K1364" s="427">
        <f>=I1364*J1364</f>
        <v>106007.22</v>
      </c>
      <c r="L1364" s="402">
        <v>1050</v>
      </c>
      <c r="M1364" s="428">
        <f>=I1364*L1364</f>
        <v>103950</v>
      </c>
      <c r="N1364" s="82">
        <f>=K1364-M1364</f>
        <v>2057.22</v>
      </c>
      <c r="O1364" s="62">
        <v>1</v>
      </c>
      <c r="P1364" s="64">
        <f>=I1364*O1364*ROUNDUP((A1364-B1364)/30,0)</f>
        <v>297</v>
      </c>
      <c r="Q1364" s="62" t="s"/>
      <c r="R1364" s="62" t="s"/>
    </row>
    <row r="1365" spans="1:18" ht="15.75" customHeight="true">
      <c r="A1365" s="147">
        <v>46201</v>
      </c>
      <c r="B1365" s="460">
        <v>46138</v>
      </c>
      <c r="C1365" t="s">
        <v>298</v>
      </c>
      <c r="D1365" t="s">
        <v>243</v>
      </c>
      <c r="E1365" s="263" t="s">
        <v>3533</v>
      </c>
      <c r="F1365" t="s">
        <v>741</v>
      </c>
      <c r="G1365" t="s">
        <v>422</v>
      </c>
      <c r="H1365" t="s">
        <v>1278</v>
      </c>
      <c r="I1365">
        <v>101</v>
      </c>
      <c r="J1365" s="136">
        <v>1070.78</v>
      </c>
      <c r="K1365" s="427">
        <f>=I1365*J1365</f>
        <v>108148.78</v>
      </c>
      <c r="L1365" s="402">
        <v>1050</v>
      </c>
      <c r="M1365" s="428">
        <f>=I1365*L1365</f>
        <v>106050</v>
      </c>
      <c r="N1365" s="82">
        <f>=K1365-M1365</f>
        <v>2098.78</v>
      </c>
      <c r="O1365" s="62">
        <v>1</v>
      </c>
      <c r="P1365" s="64">
        <f>=I1365*O1365*ROUNDUP((A1365-B1365)/30,0)</f>
        <v>303</v>
      </c>
      <c r="Q1365" s="62" t="s"/>
      <c r="R1365" s="62" t="s"/>
    </row>
    <row r="1366" spans="1:18" ht="15.75" customHeight="true">
      <c r="A1366" s="147">
        <v>46201</v>
      </c>
      <c r="B1366" s="460">
        <v>46134</v>
      </c>
      <c r="C1366" s="140" t="s">
        <v>282</v>
      </c>
      <c r="D1366" s="308" t="s">
        <v>281</v>
      </c>
      <c r="E1366" s="335" t="s">
        <v>3534</v>
      </c>
      <c r="F1366" s="108" t="s">
        <v>503</v>
      </c>
      <c r="G1366" s="64" t="s">
        <v>422</v>
      </c>
      <c r="H1366" s="338" t="s">
        <v>1959</v>
      </c>
      <c r="I1366" s="140">
        <v>30</v>
      </c>
      <c r="J1366" s="136">
        <v>1285.92</v>
      </c>
      <c r="K1366" s="427">
        <f>=I1366*J1366</f>
        <v>38577.6</v>
      </c>
      <c r="L1366" s="140">
        <v>1260</v>
      </c>
      <c r="M1366" s="428">
        <f>=I1366*L1366</f>
        <v>37800</v>
      </c>
      <c r="N1366" s="82">
        <f>=K1366-M1366</f>
        <v>777.600000000006</v>
      </c>
      <c r="O1366" s="62">
        <v>1</v>
      </c>
      <c r="P1366" s="64">
        <f>=I1366*O1366*ROUNDUP((A1366-B1366)/30,0)</f>
        <v>90</v>
      </c>
      <c r="Q1366" s="62" t="s"/>
      <c r="R1366" s="62" t="s"/>
    </row>
    <row r="1367" spans="1:18" ht="15.75" customHeight="true">
      <c r="A1367" s="147">
        <v>46201</v>
      </c>
      <c r="B1367" s="460">
        <v>46134</v>
      </c>
      <c r="C1367" s="140" t="s">
        <v>282</v>
      </c>
      <c r="D1367" s="308" t="s">
        <v>281</v>
      </c>
      <c r="E1367" s="335" t="s">
        <v>3535</v>
      </c>
      <c r="F1367" s="108" t="s">
        <v>503</v>
      </c>
      <c r="G1367" s="64" t="s">
        <v>422</v>
      </c>
      <c r="H1367" s="338" t="s">
        <v>1961</v>
      </c>
      <c r="I1367" s="249">
        <v>30</v>
      </c>
      <c r="J1367" s="136">
        <v>1285.92</v>
      </c>
      <c r="K1367" s="427">
        <f>=I1367*J1367</f>
        <v>38577.6</v>
      </c>
      <c r="L1367" s="249">
        <v>1260</v>
      </c>
      <c r="M1367" s="428">
        <f>=I1367*L1367</f>
        <v>37800</v>
      </c>
      <c r="N1367" s="82">
        <f>=K1367-M1367</f>
        <v>777.600000000006</v>
      </c>
      <c r="O1367" s="62">
        <v>1</v>
      </c>
      <c r="P1367" s="64">
        <f>=I1367*O1367*ROUNDUP((A1367-B1367)/30,0)</f>
        <v>90</v>
      </c>
      <c r="Q1367" s="62" t="s"/>
      <c r="R1367" s="62" t="s"/>
    </row>
    <row r="1368" spans="1:18" ht="15.75" customHeight="true">
      <c r="A1368" s="147">
        <v>46201</v>
      </c>
      <c r="B1368" s="460">
        <v>46134</v>
      </c>
      <c r="C1368" s="140" t="s">
        <v>282</v>
      </c>
      <c r="D1368" s="308" t="s">
        <v>281</v>
      </c>
      <c r="E1368" s="335" t="s">
        <v>3534</v>
      </c>
      <c r="F1368" s="108" t="s">
        <v>503</v>
      </c>
      <c r="G1368" s="64" t="s">
        <v>422</v>
      </c>
      <c r="H1368" s="338" t="s">
        <v>1959</v>
      </c>
      <c r="I1368" s="140">
        <v>8</v>
      </c>
      <c r="J1368" s="136">
        <v>1285.92</v>
      </c>
      <c r="K1368" s="427">
        <f>=I1368*J1368</f>
        <v>10287.36</v>
      </c>
      <c r="L1368" s="249">
        <v>1260</v>
      </c>
      <c r="M1368" s="428">
        <f>=I1368*L1368</f>
        <v>10080</v>
      </c>
      <c r="N1368" s="82">
        <f>=K1368-M1368</f>
        <v>207.360000000001</v>
      </c>
      <c r="O1368" s="62">
        <v>1</v>
      </c>
      <c r="P1368" s="64">
        <f>=I1368*O1368*ROUNDUP((A1368-B1368)/30,0)</f>
        <v>24</v>
      </c>
      <c r="Q1368" s="62" t="s"/>
      <c r="R1368" s="62" t="s"/>
    </row>
    <row r="1369" spans="1:18" ht="15.75" customHeight="true">
      <c r="A1369" s="147">
        <v>46201</v>
      </c>
      <c r="B1369" s="460">
        <v>46135</v>
      </c>
      <c r="C1369" t="s">
        <v>283</v>
      </c>
      <c r="D1369" s="263" t="s">
        <v>281</v>
      </c>
      <c r="E1369" s="335" t="s">
        <v>3536</v>
      </c>
      <c r="F1369" s="108" t="s">
        <v>503</v>
      </c>
      <c r="G1369" s="64" t="s">
        <v>422</v>
      </c>
      <c r="H1369" s="499" t="s">
        <v>1969</v>
      </c>
      <c r="I1369" s="402">
        <v>30</v>
      </c>
      <c r="J1369" s="136">
        <v>1285.61</v>
      </c>
      <c r="K1369" s="427">
        <f>=I1369*J1369</f>
        <v>38568.3</v>
      </c>
      <c r="L1369" s="402">
        <v>1260</v>
      </c>
      <c r="M1369" s="428">
        <f>=I1369*L1369</f>
        <v>37800</v>
      </c>
      <c r="N1369" s="82">
        <f>=K1369-M1369</f>
        <v>768.299999999996</v>
      </c>
      <c r="O1369" s="62">
        <v>1</v>
      </c>
      <c r="P1369" s="64">
        <f>=I1369*O1369*ROUNDUP((A1369-B1369)/30,0)</f>
        <v>90</v>
      </c>
      <c r="Q1369" s="62" t="s"/>
      <c r="R1369" s="62" t="s"/>
    </row>
    <row r="1370" spans="1:18" ht="15.75" customHeight="true">
      <c r="A1370" s="147">
        <v>46201</v>
      </c>
      <c r="B1370" s="460">
        <v>46135</v>
      </c>
      <c r="C1370" t="s">
        <v>283</v>
      </c>
      <c r="D1370" s="263" t="s">
        <v>281</v>
      </c>
      <c r="E1370" s="335" t="s">
        <v>3537</v>
      </c>
      <c r="F1370" s="108" t="s">
        <v>503</v>
      </c>
      <c r="G1370" s="64" t="s">
        <v>422</v>
      </c>
      <c r="H1370" s="338" t="s">
        <v>1971</v>
      </c>
      <c r="I1370" s="203">
        <v>30</v>
      </c>
      <c r="J1370" s="136">
        <v>1285.61</v>
      </c>
      <c r="K1370" s="427">
        <f>=I1370*J1370</f>
        <v>38568.3</v>
      </c>
      <c r="L1370" s="402">
        <v>1260</v>
      </c>
      <c r="M1370" s="428">
        <f>=I1370*L1370</f>
        <v>37800</v>
      </c>
      <c r="N1370" s="82">
        <f>=K1370-M1370</f>
        <v>768.299999999996</v>
      </c>
      <c r="O1370" s="62">
        <v>1</v>
      </c>
      <c r="P1370" s="64">
        <f>=I1370*O1370*ROUNDUP((A1370-B1370)/30,0)</f>
        <v>90</v>
      </c>
      <c r="Q1370" s="62" t="s"/>
      <c r="R1370" s="62" t="s"/>
    </row>
    <row r="1371" spans="1:18" ht="15.75" customHeight="true">
      <c r="A1371" s="147">
        <v>46201</v>
      </c>
      <c r="B1371" s="460">
        <v>46135</v>
      </c>
      <c r="C1371" t="s">
        <v>283</v>
      </c>
      <c r="D1371" s="263" t="s">
        <v>281</v>
      </c>
      <c r="E1371" s="335" t="s">
        <v>3538</v>
      </c>
      <c r="F1371" s="108" t="s">
        <v>503</v>
      </c>
      <c r="G1371" s="64" t="s">
        <v>422</v>
      </c>
      <c r="H1371" s="343" t="s">
        <v>1961</v>
      </c>
      <c r="I1371" s="140">
        <v>8</v>
      </c>
      <c r="J1371" s="136">
        <v>1285.61</v>
      </c>
      <c r="K1371" s="427">
        <f>=I1371*J1371</f>
        <v>10284.88</v>
      </c>
      <c r="L1371" s="402">
        <v>1260</v>
      </c>
      <c r="M1371" s="428">
        <f>=I1371*L1371</f>
        <v>10080</v>
      </c>
      <c r="N1371" s="82">
        <f>=K1371-M1371</f>
        <v>204.879999999999</v>
      </c>
      <c r="O1371" s="62">
        <v>1</v>
      </c>
      <c r="P1371" s="64">
        <f>=I1371*O1371*ROUNDUP((A1371-B1371)/30,0)</f>
        <v>24</v>
      </c>
      <c r="Q1371" s="62" t="s"/>
      <c r="R1371" s="62" t="s"/>
    </row>
    <row r="1372" spans="1:18" ht="15.75" customHeight="true">
      <c r="A1372" s="147">
        <v>46202</v>
      </c>
      <c r="B1372" s="460">
        <v>46149</v>
      </c>
      <c r="C1372" s="80" t="s">
        <v>313</v>
      </c>
      <c r="D1372" s="64" t="s">
        <v>191</v>
      </c>
      <c r="E1372" s="155" t="s">
        <v>3539</v>
      </c>
      <c r="F1372" s="259" t="s">
        <v>804</v>
      </c>
      <c r="G1372" s="259" t="s">
        <v>422</v>
      </c>
      <c r="H1372" s="308" t="s">
        <v>2061</v>
      </c>
      <c r="I1372" s="87">
        <v>222</v>
      </c>
      <c r="J1372" s="339">
        <v>1256.74</v>
      </c>
      <c r="K1372" s="427">
        <f>=I1372*J1372</f>
        <v>278996.28</v>
      </c>
      <c r="L1372" s="87">
        <v>1240</v>
      </c>
      <c r="M1372" s="428">
        <f>=I1372*L1372</f>
        <v>275280</v>
      </c>
      <c r="N1372" s="82">
        <f>=K1372-M1372</f>
        <v>3716.28000000003</v>
      </c>
      <c r="O1372" s="62">
        <v>0</v>
      </c>
      <c r="P1372" s="64">
        <f>=I1372*O1372*ROUNDUP((A1372-B1372)/30,0)</f>
        <v>0</v>
      </c>
      <c r="Q1372" s="62" t="s"/>
      <c r="R1372" s="62" t="s"/>
    </row>
    <row r="1373" spans="1:18" ht="15.75" customHeight="true">
      <c r="A1373" s="147">
        <v>46202</v>
      </c>
      <c r="B1373" s="460">
        <v>46149</v>
      </c>
      <c r="C1373" s="80" t="s">
        <v>313</v>
      </c>
      <c r="D1373" s="64" t="s">
        <v>191</v>
      </c>
      <c r="E1373" s="155" t="s">
        <v>3540</v>
      </c>
      <c r="F1373" s="259" t="s">
        <v>804</v>
      </c>
      <c r="G1373" s="259" t="s">
        <v>422</v>
      </c>
      <c r="H1373" s="308" t="s">
        <v>2063</v>
      </c>
      <c r="I1373" s="87">
        <v>17</v>
      </c>
      <c r="J1373" s="534">
        <v>1256.74</v>
      </c>
      <c r="K1373" s="427">
        <f>=I1373*J1373</f>
        <v>21364.58</v>
      </c>
      <c r="L1373" s="87">
        <v>1240</v>
      </c>
      <c r="M1373" s="428">
        <f>=I1373*L1373</f>
        <v>21080</v>
      </c>
      <c r="N1373" s="82">
        <f>=K1373-M1373</f>
        <v>284.580000000002</v>
      </c>
      <c r="O1373" s="62">
        <v>0</v>
      </c>
      <c r="P1373" s="64">
        <f>=I1373*O1373*ROUNDUP((A1373-B1373)/30,0)</f>
        <v>0</v>
      </c>
      <c r="Q1373" s="62" t="s"/>
      <c r="R1373" s="62" t="s"/>
    </row>
    <row r="1374" spans="1:18" ht="15.75" customHeight="true">
      <c r="A1374" s="147">
        <v>46202</v>
      </c>
      <c r="B1374" s="460">
        <v>46149</v>
      </c>
      <c r="C1374" s="80" t="s">
        <v>313</v>
      </c>
      <c r="D1374" s="64" t="s">
        <v>191</v>
      </c>
      <c r="E1374" s="155" t="s">
        <v>3541</v>
      </c>
      <c r="F1374" s="259" t="s">
        <v>804</v>
      </c>
      <c r="G1374" s="259" t="s">
        <v>422</v>
      </c>
      <c r="H1374" s="308" t="s">
        <v>2065</v>
      </c>
      <c r="I1374" s="87">
        <v>30</v>
      </c>
      <c r="J1374" s="534">
        <v>1256.74</v>
      </c>
      <c r="K1374" s="427">
        <f>=I1374*J1374</f>
        <v>37702.2</v>
      </c>
      <c r="L1374" s="87">
        <v>1240</v>
      </c>
      <c r="M1374" s="428">
        <f>=I1374*L1374</f>
        <v>37200</v>
      </c>
      <c r="N1374" s="82">
        <f>=K1374-M1374</f>
        <v>502.199999999997</v>
      </c>
      <c r="O1374" s="62">
        <v>0</v>
      </c>
      <c r="P1374" s="64">
        <f>=I1374*O1374*ROUNDUP((A1374-B1374)/30,0)</f>
        <v>0</v>
      </c>
      <c r="Q1374" s="62" t="s"/>
      <c r="R1374" s="62" t="s"/>
    </row>
    <row r="1375" spans="1:18" ht="15.75" customHeight="true">
      <c r="A1375" s="147">
        <v>46202</v>
      </c>
      <c r="B1375" s="460">
        <v>46149</v>
      </c>
      <c r="C1375" s="80" t="s">
        <v>313</v>
      </c>
      <c r="D1375" s="64" t="s">
        <v>191</v>
      </c>
      <c r="E1375" s="155" t="s">
        <v>3542</v>
      </c>
      <c r="F1375" s="259" t="s">
        <v>804</v>
      </c>
      <c r="G1375" s="259" t="s">
        <v>422</v>
      </c>
      <c r="H1375" s="308" t="s">
        <v>2067</v>
      </c>
      <c r="I1375" s="87">
        <v>118</v>
      </c>
      <c r="J1375" s="534">
        <v>1256.74</v>
      </c>
      <c r="K1375" s="427">
        <f>=I1375*J1375</f>
        <v>148295.32</v>
      </c>
      <c r="L1375" s="87">
        <v>1240</v>
      </c>
      <c r="M1375" s="428">
        <f>=I1375*L1375</f>
        <v>146320</v>
      </c>
      <c r="N1375" s="82">
        <f>=K1375-M1375</f>
        <v>1975.32000000001</v>
      </c>
      <c r="O1375" s="62">
        <v>0</v>
      </c>
      <c r="P1375" s="64">
        <f>=I1375*O1375*ROUNDUP((A1375-B1375)/30,0)</f>
        <v>0</v>
      </c>
      <c r="Q1375" s="62" t="s"/>
      <c r="R1375" s="62" t="s"/>
    </row>
    <row r="1376" spans="1:18" ht="15.75" customHeight="true">
      <c r="A1376" s="147">
        <v>46202</v>
      </c>
      <c r="B1376" s="460">
        <v>46107</v>
      </c>
      <c r="C1376" s="80" t="s">
        <v>196</v>
      </c>
      <c r="D1376" s="64" t="s">
        <v>195</v>
      </c>
      <c r="E1376" s="525" t="s">
        <v>3543</v>
      </c>
      <c r="F1376" s="108" t="s">
        <v>503</v>
      </c>
      <c r="G1376" s="320" t="s">
        <v>422</v>
      </c>
      <c r="H1376" s="320" t="s">
        <v>1103</v>
      </c>
      <c r="I1376">
        <v>70</v>
      </c>
      <c r="J1376" s="450">
        <v>3267.44</v>
      </c>
      <c r="K1376" s="427">
        <f>=I1376*J1376</f>
        <v>228720.8</v>
      </c>
      <c r="L1376" s="140">
        <v>3185</v>
      </c>
      <c r="M1376" s="428">
        <f>=I1376*L1376</f>
        <v>222950</v>
      </c>
      <c r="N1376" s="82">
        <f>=K1376-M1376</f>
        <v>5770.80000000002</v>
      </c>
      <c r="O1376" s="62">
        <v>1</v>
      </c>
      <c r="P1376" s="64">
        <f>=I1376*O1376*ROUNDUP((A1376-B1376)/30,0)</f>
        <v>280</v>
      </c>
      <c r="Q1376" s="62" t="s"/>
      <c r="R1376" s="62" t="s"/>
    </row>
    <row r="1377" spans="1:18" ht="15.75" customHeight="true">
      <c r="A1377" s="147">
        <v>46202</v>
      </c>
      <c r="B1377" s="460">
        <v>46107</v>
      </c>
      <c r="C1377" s="80" t="s">
        <v>196</v>
      </c>
      <c r="D1377" s="64" t="s">
        <v>195</v>
      </c>
      <c r="E1377" s="525" t="s">
        <v>3544</v>
      </c>
      <c r="F1377" s="108" t="s">
        <v>503</v>
      </c>
      <c r="G1377" s="320" t="s">
        <v>422</v>
      </c>
      <c r="H1377" s="320" t="s">
        <v>1105</v>
      </c>
      <c r="I1377">
        <v>184</v>
      </c>
      <c r="J1377" s="450">
        <v>3267.44</v>
      </c>
      <c r="K1377" s="427">
        <f>=I1377*J1377</f>
        <v>601208.96</v>
      </c>
      <c r="L1377" s="140">
        <v>3185</v>
      </c>
      <c r="M1377" s="428">
        <f>=I1377*L1377</f>
        <v>586040</v>
      </c>
      <c r="N1377" s="82">
        <f>=K1377-M1377</f>
        <v>15168.96</v>
      </c>
      <c r="O1377" s="62">
        <v>1</v>
      </c>
      <c r="P1377" s="64">
        <f>=I1377*O1377*ROUNDUP((A1377-B1377)/30,0)</f>
        <v>736</v>
      </c>
      <c r="Q1377" s="62" t="s"/>
      <c r="R1377" s="62" t="s"/>
    </row>
    <row r="1378" spans="1:18" ht="15.75" customHeight="true">
      <c r="A1378" s="147">
        <v>46202</v>
      </c>
      <c r="B1378" s="460">
        <v>46141</v>
      </c>
      <c r="C1378" s="98" t="s">
        <v>302</v>
      </c>
      <c r="D1378" s="263" t="s">
        <v>301</v>
      </c>
      <c r="E1378" s="145" t="s">
        <v>3545</v>
      </c>
      <c r="F1378" t="s">
        <v>1438</v>
      </c>
      <c r="G1378" t="s">
        <v>422</v>
      </c>
      <c r="H1378" t="s">
        <v>2023</v>
      </c>
      <c r="I1378" s="154">
        <v>40</v>
      </c>
      <c r="J1378" s="154">
        <v>866.18</v>
      </c>
      <c r="K1378" s="427">
        <f>=I1378*J1378</f>
        <v>34647.2</v>
      </c>
      <c r="L1378" s="402">
        <v>850</v>
      </c>
      <c r="M1378" s="428">
        <f>=I1378*L1378</f>
        <v>34000</v>
      </c>
      <c r="N1378" s="82">
        <f>=K1378-M1378</f>
        <v>647.199999999997</v>
      </c>
      <c r="O1378" s="62">
        <v>1</v>
      </c>
      <c r="P1378" s="64">
        <f>=I1378*O1378*ROUNDUP((A1378-B1378)/30,0)</f>
        <v>120</v>
      </c>
      <c r="Q1378" s="62" t="s"/>
      <c r="R1378" s="62" t="s"/>
    </row>
    <row r="1379" spans="1:18" ht="15.75" customHeight="true">
      <c r="A1379" s="147">
        <v>46202</v>
      </c>
      <c r="B1379" s="460">
        <v>46141</v>
      </c>
      <c r="C1379" s="98" t="s">
        <v>302</v>
      </c>
      <c r="D1379" s="263" t="s">
        <v>301</v>
      </c>
      <c r="E1379" s="145" t="s">
        <v>3546</v>
      </c>
      <c r="F1379" t="s">
        <v>1438</v>
      </c>
      <c r="G1379" t="s">
        <v>422</v>
      </c>
      <c r="H1379" t="s">
        <v>2025</v>
      </c>
      <c r="I1379" s="203">
        <v>15</v>
      </c>
      <c r="J1379" s="327">
        <v>947.42</v>
      </c>
      <c r="K1379" s="427">
        <f>=I1379*J1379</f>
        <v>14211.3</v>
      </c>
      <c r="L1379" s="402">
        <v>930</v>
      </c>
      <c r="M1379" s="428">
        <f>=I1379*L1379</f>
        <v>13950</v>
      </c>
      <c r="N1379" s="82">
        <f>=K1379-M1379</f>
        <v>261.299999999999</v>
      </c>
      <c r="O1379" s="62">
        <v>1</v>
      </c>
      <c r="P1379" s="64">
        <f>=I1379*O1379*ROUNDUP((A1379-B1379)/30,0)</f>
        <v>45</v>
      </c>
      <c r="Q1379" s="62" t="s"/>
      <c r="R1379" s="62" t="s"/>
    </row>
    <row r="1380" spans="1:18" ht="15.75" customHeight="true">
      <c r="A1380" s="147">
        <v>46202</v>
      </c>
      <c r="B1380" s="460">
        <v>46098</v>
      </c>
      <c r="C1380" s="98" t="s">
        <v>147</v>
      </c>
      <c r="D1380" s="71" t="s">
        <v>135</v>
      </c>
      <c r="E1380" s="511" t="s">
        <v>3547</v>
      </c>
      <c r="F1380" s="62" t="s">
        <v>428</v>
      </c>
      <c r="G1380" s="62" t="s">
        <v>422</v>
      </c>
      <c r="H1380" s="64" t="s">
        <v>485</v>
      </c>
      <c r="I1380" s="359">
        <v>30</v>
      </c>
      <c r="J1380" s="450">
        <v>1030.25</v>
      </c>
      <c r="K1380" s="427">
        <f>=I1380*J1380</f>
        <v>30907.5</v>
      </c>
      <c r="L1380" s="71">
        <v>1000</v>
      </c>
      <c r="M1380" s="428">
        <f>=I1380*L1380</f>
        <v>30000</v>
      </c>
      <c r="N1380" s="82">
        <f>=K1380-M1380</f>
        <v>907.5</v>
      </c>
      <c r="O1380" s="62">
        <v>1</v>
      </c>
      <c r="P1380" s="64">
        <f>=I1380*O1380*ROUNDUP((A1380-B1380)/30,0)</f>
        <v>120</v>
      </c>
      <c r="Q1380" s="62" t="s"/>
      <c r="R1380" s="62" t="s"/>
    </row>
    <row r="1381" spans="1:18" ht="15.75" customHeight="true">
      <c r="A1381" s="147">
        <v>46202</v>
      </c>
      <c r="B1381" s="460">
        <v>46098</v>
      </c>
      <c r="C1381" s="98" t="s">
        <v>147</v>
      </c>
      <c r="D1381" s="71" t="s">
        <v>135</v>
      </c>
      <c r="E1381" s="511" t="s">
        <v>3548</v>
      </c>
      <c r="F1381" s="71" t="s">
        <v>428</v>
      </c>
      <c r="G1381" s="71" t="s">
        <v>422</v>
      </c>
      <c r="H1381" s="64" t="s">
        <v>487</v>
      </c>
      <c r="I1381" s="367">
        <v>100</v>
      </c>
      <c r="J1381" s="450">
        <v>1030.25</v>
      </c>
      <c r="K1381" s="427">
        <f>=I1381*J1381</f>
        <v>103025</v>
      </c>
      <c r="L1381" s="71">
        <v>1000</v>
      </c>
      <c r="M1381" s="428">
        <f>=I1381*L1381</f>
        <v>100000</v>
      </c>
      <c r="N1381" s="82">
        <f>=K1381-M1381</f>
        <v>3025</v>
      </c>
      <c r="O1381" s="62">
        <v>1</v>
      </c>
      <c r="P1381" s="64">
        <f>=I1381*O1381*ROUNDUP((A1381-B1381)/30,0)</f>
        <v>400</v>
      </c>
      <c r="Q1381" s="62" t="s"/>
      <c r="R1381" s="62" t="s"/>
    </row>
    <row r="1382" spans="1:18" ht="15.75" customHeight="true">
      <c r="A1382" s="147">
        <v>46202</v>
      </c>
      <c r="B1382" s="460">
        <v>46114</v>
      </c>
      <c r="C1382" s="98" t="s">
        <v>237</v>
      </c>
      <c r="D1382" s="71" t="s">
        <v>135</v>
      </c>
      <c r="E1382" s="511" t="s">
        <v>3549</v>
      </c>
      <c r="F1382" s="204" t="s">
        <v>428</v>
      </c>
      <c r="G1382" s="204" t="s">
        <v>422</v>
      </c>
      <c r="H1382" s="64" t="s">
        <v>485</v>
      </c>
      <c r="I1382" s="367">
        <v>70</v>
      </c>
      <c r="J1382" s="203">
        <v>754.35</v>
      </c>
      <c r="K1382" s="427">
        <f>=I1382*J1382</f>
        <v>52804.5</v>
      </c>
      <c r="L1382">
        <v>735</v>
      </c>
      <c r="M1382" s="428">
        <f>=I1382*L1382</f>
        <v>51450</v>
      </c>
      <c r="N1382" s="82">
        <f>=K1382-M1382</f>
        <v>1354.5</v>
      </c>
      <c r="O1382" s="62">
        <v>1</v>
      </c>
      <c r="P1382" s="64">
        <f>=I1382*O1382*ROUNDUP((A1382-B1382)/30,0)</f>
        <v>210</v>
      </c>
      <c r="Q1382" s="62" t="s"/>
      <c r="R1382" s="62" t="s"/>
    </row>
    <row r="1383" spans="1:18" ht="15.75" customHeight="true">
      <c r="A1383" s="147">
        <v>46202</v>
      </c>
      <c r="B1383" s="460">
        <v>46114</v>
      </c>
      <c r="C1383" s="98" t="s">
        <v>237</v>
      </c>
      <c r="D1383" s="71" t="s">
        <v>135</v>
      </c>
      <c r="E1383" s="511" t="s">
        <v>3550</v>
      </c>
      <c r="F1383" s="156" t="s">
        <v>428</v>
      </c>
      <c r="G1383" s="262" t="s">
        <v>422</v>
      </c>
      <c r="H1383" s="64" t="s">
        <v>487</v>
      </c>
      <c r="I1383">
        <v>50</v>
      </c>
      <c r="J1383" s="203">
        <v>754.35</v>
      </c>
      <c r="K1383" s="427">
        <f>=I1383*J1383</f>
        <v>37717.5</v>
      </c>
      <c r="L1383">
        <v>735</v>
      </c>
      <c r="M1383" s="428">
        <f>=I1383*L1383</f>
        <v>36750</v>
      </c>
      <c r="N1383" s="82">
        <f>=K1383-M1383</f>
        <v>967.5</v>
      </c>
      <c r="O1383" s="62">
        <v>1</v>
      </c>
      <c r="P1383" s="64">
        <f>=I1383*O1383*ROUNDUP((A1383-B1383)/30,0)</f>
        <v>150</v>
      </c>
      <c r="Q1383" s="62" t="s"/>
      <c r="R1383" s="62" t="s"/>
    </row>
    <row r="1384" spans="1:18" ht="15.75" customHeight="true">
      <c r="A1384" s="147">
        <v>46202</v>
      </c>
      <c r="B1384" s="460">
        <v>46121</v>
      </c>
      <c r="C1384" s="98" t="s">
        <v>247</v>
      </c>
      <c r="D1384" s="71" t="s">
        <v>135</v>
      </c>
      <c r="E1384" s="145" t="s">
        <v>3551</v>
      </c>
      <c r="F1384" t="s">
        <v>428</v>
      </c>
      <c r="G1384" t="s">
        <v>422</v>
      </c>
      <c r="H1384" s="64" t="s">
        <v>1779</v>
      </c>
      <c r="I1384">
        <v>160</v>
      </c>
      <c r="J1384" s="450">
        <v>829.61</v>
      </c>
      <c r="K1384" s="427">
        <f>=I1384*J1384</f>
        <v>132737.6</v>
      </c>
      <c r="L1384">
        <v>810</v>
      </c>
      <c r="M1384" s="428">
        <f>=I1384*L1384</f>
        <v>129600</v>
      </c>
      <c r="N1384" s="82">
        <f>=K1384-M1384</f>
        <v>3137.60000000001</v>
      </c>
      <c r="O1384" s="62">
        <v>1</v>
      </c>
      <c r="P1384" s="64">
        <f>=I1384*O1384*ROUNDUP((A1384-B1384)/30,0)</f>
        <v>480</v>
      </c>
      <c r="Q1384" s="62" t="s"/>
      <c r="R1384" s="62" t="s"/>
    </row>
    <row r="1385" spans="1:18" ht="15.75" customHeight="true">
      <c r="A1385" s="148">
        <v>46202</v>
      </c>
      <c r="B1385" s="461">
        <v>46155</v>
      </c>
      <c r="C1385" s="102" t="s">
        <v>325</v>
      </c>
      <c r="D1385" s="145" t="s">
        <v>324</v>
      </c>
      <c r="E1385" s="263" t="s">
        <v>3552</v>
      </c>
      <c r="F1385" t="s">
        <v>804</v>
      </c>
      <c r="G1385" t="s">
        <v>422</v>
      </c>
      <c r="H1385" s="136" t="s">
        <v>2090</v>
      </c>
      <c r="I1385" s="327">
        <v>120</v>
      </c>
      <c r="J1385" s="327">
        <v>595.42</v>
      </c>
      <c r="K1385" s="439">
        <f>=I1385*J1385</f>
        <v>71450.4</v>
      </c>
      <c r="L1385">
        <v>585</v>
      </c>
      <c r="M1385" s="454">
        <f>=I1385*L1385</f>
        <v>70200</v>
      </c>
      <c r="N1385" s="84">
        <f>=K1385-M1385</f>
        <v>1250.39999999999</v>
      </c>
      <c r="O1385" s="62">
        <v>1</v>
      </c>
      <c r="P1385" s="83">
        <f>=I1385*O1385*ROUNDUP((A1385-B1385)/30,0)</f>
        <v>240</v>
      </c>
      <c r="Q1385" s="62" t="s"/>
      <c r="R1385" s="62" t="s"/>
    </row>
    <row r="1386" spans="1:18" ht="15.75" customHeight="true">
      <c r="A1386" s="148">
        <v>46202</v>
      </c>
      <c r="B1386" s="461">
        <v>46155</v>
      </c>
      <c r="C1386" s="102" t="s">
        <v>325</v>
      </c>
      <c r="D1386" s="145" t="s">
        <v>324</v>
      </c>
      <c r="E1386" s="263" t="s">
        <v>3553</v>
      </c>
      <c r="F1386" t="s">
        <v>804</v>
      </c>
      <c r="G1386" t="s">
        <v>422</v>
      </c>
      <c r="H1386" s="71" t="s">
        <v>2092</v>
      </c>
      <c r="I1386" s="327">
        <v>160</v>
      </c>
      <c r="J1386" s="327">
        <v>595.42</v>
      </c>
      <c r="K1386" s="439">
        <f>=I1386*J1386</f>
        <v>95267.2</v>
      </c>
      <c r="L1386">
        <v>585</v>
      </c>
      <c r="M1386" s="454">
        <f>=I1386*L1386</f>
        <v>93600</v>
      </c>
      <c r="N1386" s="84">
        <f>=K1386-M1386</f>
        <v>1667.2</v>
      </c>
      <c r="O1386" s="62">
        <v>1</v>
      </c>
      <c r="P1386" s="83">
        <f>=I1386*O1386*ROUNDUP((A1386-B1386)/30,0)</f>
        <v>320</v>
      </c>
      <c r="Q1386" s="62" t="s"/>
      <c r="R1386" s="62" t="s"/>
    </row>
    <row r="1387" spans="1:18" ht="15.75" customHeight="true">
      <c r="A1387" s="148">
        <v>46202</v>
      </c>
      <c r="B1387" s="461">
        <v>46155</v>
      </c>
      <c r="C1387" s="102" t="s">
        <v>325</v>
      </c>
      <c r="D1387" s="145" t="s">
        <v>324</v>
      </c>
      <c r="E1387" s="263" t="s">
        <v>3554</v>
      </c>
      <c r="F1387" t="s">
        <v>804</v>
      </c>
      <c r="G1387" t="s">
        <v>422</v>
      </c>
      <c r="H1387" s="156" t="s">
        <v>2094</v>
      </c>
      <c r="I1387" s="327">
        <v>20</v>
      </c>
      <c r="J1387" s="327">
        <v>595.42</v>
      </c>
      <c r="K1387" s="439">
        <f>=I1387*J1387</f>
        <v>11908.4</v>
      </c>
      <c r="L1387">
        <v>585</v>
      </c>
      <c r="M1387" s="454">
        <f>=I1387*L1387</f>
        <v>11700</v>
      </c>
      <c r="N1387" s="84">
        <f>=K1387-M1387</f>
        <v>208.4</v>
      </c>
      <c r="O1387" s="62">
        <v>1</v>
      </c>
      <c r="P1387" s="83">
        <f>=I1387*O1387*ROUNDUP((A1387-B1387)/30,0)</f>
        <v>40</v>
      </c>
      <c r="Q1387" s="62" t="s"/>
      <c r="R1387" s="62" t="s"/>
    </row>
    <row r="1388" spans="1:18" ht="15.75" customHeight="true">
      <c r="A1388" s="147">
        <v>46203</v>
      </c>
      <c r="B1388" s="460">
        <v>46141</v>
      </c>
      <c r="C1388" s="98" t="s">
        <v>302</v>
      </c>
      <c r="D1388" s="263" t="s">
        <v>301</v>
      </c>
      <c r="E1388" s="145" t="s">
        <v>3555</v>
      </c>
      <c r="F1388" t="s">
        <v>1438</v>
      </c>
      <c r="G1388" t="s">
        <v>422</v>
      </c>
      <c r="H1388" t="s">
        <v>2027</v>
      </c>
      <c r="I1388" s="154">
        <v>12</v>
      </c>
      <c r="J1388" s="154">
        <v>947.65</v>
      </c>
      <c r="K1388" s="427">
        <f>=I1388*J1388</f>
        <v>11371.8</v>
      </c>
      <c r="L1388" s="402">
        <v>930</v>
      </c>
      <c r="M1388" s="428">
        <f>=I1388*L1388</f>
        <v>11160</v>
      </c>
      <c r="N1388" s="82">
        <f>=K1388-M1388</f>
        <v>211.799999999999</v>
      </c>
      <c r="O1388" s="62">
        <v>1</v>
      </c>
      <c r="P1388" s="64">
        <f>=I1388*O1388*ROUNDUP((A1388-B1388)/30,0)</f>
        <v>36</v>
      </c>
      <c r="Q1388" s="62" t="s"/>
      <c r="R1388" s="62" t="s"/>
    </row>
    <row r="1389" spans="1:18" ht="15.75" customHeight="true">
      <c r="A1389" s="147">
        <v>46203</v>
      </c>
      <c r="B1389" s="460">
        <v>46141</v>
      </c>
      <c r="C1389" s="98" t="s">
        <v>302</v>
      </c>
      <c r="D1389" s="263" t="s">
        <v>301</v>
      </c>
      <c r="E1389" s="145" t="s">
        <v>3556</v>
      </c>
      <c r="F1389" t="s">
        <v>1438</v>
      </c>
      <c r="G1389" t="s">
        <v>422</v>
      </c>
      <c r="H1389" t="s">
        <v>2029</v>
      </c>
      <c r="I1389" s="154">
        <v>34</v>
      </c>
      <c r="J1389" s="154">
        <v>947.65</v>
      </c>
      <c r="K1389" s="427">
        <f>=I1389*J1389</f>
        <v>32220.1</v>
      </c>
      <c r="L1389" s="402">
        <v>930</v>
      </c>
      <c r="M1389" s="428">
        <f>=I1389*L1389</f>
        <v>31620</v>
      </c>
      <c r="N1389" s="82">
        <f>=K1389-M1389</f>
        <v>600.099999999999</v>
      </c>
      <c r="O1389" s="62">
        <v>1</v>
      </c>
      <c r="P1389" s="64">
        <f>=I1389*O1389*ROUNDUP((A1389-B1389)/30,0)</f>
        <v>102</v>
      </c>
      <c r="Q1389" s="62" t="s"/>
      <c r="R1389" s="62" t="s"/>
    </row>
    <row r="1390" spans="1:18" ht="15.75" customHeight="true">
      <c r="A1390" s="147">
        <v>46204</v>
      </c>
      <c r="B1390" s="460">
        <v>46161</v>
      </c>
      <c r="C1390" t="s">
        <v>340</v>
      </c>
      <c r="D1390" s="71" t="s">
        <v>339</v>
      </c>
      <c r="E1390" s="136" t="s">
        <v>3557</v>
      </c>
      <c r="F1390" s="526" t="s">
        <v>428</v>
      </c>
      <c r="G1390" s="71" t="s">
        <v>422</v>
      </c>
      <c r="H1390" s="71" t="s">
        <v>831</v>
      </c>
      <c r="I1390" s="161">
        <v>800</v>
      </c>
      <c r="J1390">
        <v>741.16</v>
      </c>
      <c r="K1390" s="427">
        <f>=I1390*J1390</f>
        <v>592928</v>
      </c>
      <c r="L1390">
        <v>730</v>
      </c>
      <c r="M1390" s="428">
        <f>=I1390*L1390</f>
        <v>584000</v>
      </c>
      <c r="N1390" s="82">
        <f>=K1390-M1390</f>
        <v>8928</v>
      </c>
      <c r="O1390" s="62">
        <v>1</v>
      </c>
      <c r="P1390" s="64">
        <f>=I1390*O1390*ROUNDUP((A1390-B1390)/30,0)</f>
        <v>1600</v>
      </c>
      <c r="Q1390" s="62" t="s"/>
      <c r="R1390" s="62" t="s"/>
    </row>
    <row r="1391" spans="1:18" ht="15.75" customHeight="true">
      <c r="A1391" s="147">
        <v>46204</v>
      </c>
      <c r="B1391" s="460">
        <v>46161</v>
      </c>
      <c r="C1391" t="s">
        <v>340</v>
      </c>
      <c r="D1391" s="71" t="s">
        <v>339</v>
      </c>
      <c r="E1391" s="136" t="s">
        <v>3558</v>
      </c>
      <c r="F1391" s="71" t="s">
        <v>428</v>
      </c>
      <c r="G1391" s="71" t="s">
        <v>422</v>
      </c>
      <c r="H1391" s="71" t="s">
        <v>835</v>
      </c>
      <c r="I1391" s="367">
        <v>400</v>
      </c>
      <c r="J1391" s="154">
        <v>741.16</v>
      </c>
      <c r="K1391" s="427">
        <f>=I1391*J1391</f>
        <v>296464</v>
      </c>
      <c r="L1391">
        <v>730</v>
      </c>
      <c r="M1391" s="428">
        <f>=I1391*L1391</f>
        <v>292000</v>
      </c>
      <c r="N1391" s="82">
        <f>=K1391-M1391</f>
        <v>4464</v>
      </c>
      <c r="O1391" s="62">
        <v>1</v>
      </c>
      <c r="P1391" s="64">
        <f>=I1391*O1391*ROUNDUP((A1391-B1391)/30,0)</f>
        <v>800</v>
      </c>
      <c r="Q1391" s="62" t="s"/>
      <c r="R1391" s="62" t="s"/>
    </row>
    <row r="1392" spans="1:18" ht="15.75" customHeight="true">
      <c r="A1392" s="147">
        <v>46204</v>
      </c>
      <c r="B1392" s="460">
        <v>46170</v>
      </c>
      <c r="C1392" t="s">
        <v>362</v>
      </c>
      <c r="D1392" s="71" t="s">
        <v>339</v>
      </c>
      <c r="E1392" s="356" t="s">
        <v>3559</v>
      </c>
      <c r="F1392" s="526" t="s">
        <v>428</v>
      </c>
      <c r="G1392" s="71" t="s">
        <v>422</v>
      </c>
      <c r="H1392" s="71" t="s">
        <v>833</v>
      </c>
      <c r="I1392" s="154">
        <v>100</v>
      </c>
      <c r="J1392" s="154">
        <v>739.45</v>
      </c>
      <c r="K1392" s="427">
        <f>=I1392*J1392</f>
        <v>73945</v>
      </c>
      <c r="L1392">
        <v>730</v>
      </c>
      <c r="M1392" s="428">
        <f>=I1392*L1392</f>
        <v>73000</v>
      </c>
      <c r="N1392" s="82">
        <f>=K1392-M1392</f>
        <v>945</v>
      </c>
      <c r="O1392" s="62">
        <v>1</v>
      </c>
      <c r="P1392" s="64">
        <f>=I1392*O1392*ROUNDUP((A1392-B1392)/30,0)</f>
        <v>200</v>
      </c>
      <c r="Q1392" s="62" t="s"/>
      <c r="R1392" s="62" t="s"/>
    </row>
    <row r="1393" spans="1:18" ht="15.75" customHeight="true">
      <c r="A1393" s="147">
        <v>46204</v>
      </c>
      <c r="B1393" s="460">
        <v>46163</v>
      </c>
      <c r="C1393" s="71" t="s">
        <v>351</v>
      </c>
      <c r="D1393" s="71" t="s">
        <v>169</v>
      </c>
      <c r="E1393" s="365" t="s">
        <v>3560</v>
      </c>
      <c r="F1393" s="156" t="s">
        <v>421</v>
      </c>
      <c r="G1393" s="156" t="s">
        <v>422</v>
      </c>
      <c r="H1393" s="259" t="s">
        <v>959</v>
      </c>
      <c r="I1393" s="161">
        <v>2</v>
      </c>
      <c r="J1393" s="203">
        <v>7882.95</v>
      </c>
      <c r="K1393" s="427">
        <f>=I1393*J1393</f>
        <v>15765.9</v>
      </c>
      <c r="L1393" s="140">
        <v>7800</v>
      </c>
      <c r="M1393" s="428">
        <f>=I1393*L1393</f>
        <v>15600</v>
      </c>
      <c r="N1393" s="82">
        <f>=K1393-M1393</f>
        <v>165.9</v>
      </c>
      <c r="O1393" s="62">
        <v>1</v>
      </c>
      <c r="P1393" s="64">
        <f>=I1393*O1393*ROUNDUP((A1393-B1393)/30,0)</f>
        <v>4</v>
      </c>
      <c r="Q1393" s="62" t="s"/>
      <c r="R1393" s="62" t="s"/>
    </row>
    <row r="1394" spans="1:18" ht="15.75" customHeight="true">
      <c r="A1394" s="147">
        <v>46204</v>
      </c>
      <c r="B1394" s="460">
        <v>46163</v>
      </c>
      <c r="C1394" s="71" t="s">
        <v>351</v>
      </c>
      <c r="D1394" s="71" t="s">
        <v>169</v>
      </c>
      <c r="E1394" s="365" t="s">
        <v>3561</v>
      </c>
      <c r="F1394" s="156" t="s">
        <v>421</v>
      </c>
      <c r="G1394" s="156" t="s">
        <v>422</v>
      </c>
      <c r="H1394" s="259" t="s">
        <v>961</v>
      </c>
      <c r="I1394" s="524">
        <v>4</v>
      </c>
      <c r="J1394" s="203">
        <v>7882.95</v>
      </c>
      <c r="K1394" s="427">
        <f>=I1394*J1394</f>
        <v>31531.8</v>
      </c>
      <c r="L1394" s="140">
        <v>7800</v>
      </c>
      <c r="M1394" s="428">
        <f>=I1394*L1394</f>
        <v>31200</v>
      </c>
      <c r="N1394" s="82">
        <f>=K1394-M1394</f>
        <v>331.799999999999</v>
      </c>
      <c r="O1394" s="62">
        <v>1</v>
      </c>
      <c r="P1394" s="64">
        <f>=I1394*O1394*ROUNDUP((A1394-B1394)/30,0)</f>
        <v>8</v>
      </c>
      <c r="Q1394" s="62" t="s"/>
      <c r="R1394" s="62" t="s"/>
    </row>
    <row r="1395" spans="1:18" ht="15.75" customHeight="true">
      <c r="A1395" s="147">
        <v>46204</v>
      </c>
      <c r="B1395" s="460">
        <v>46164</v>
      </c>
      <c r="C1395" s="71" t="s">
        <v>354</v>
      </c>
      <c r="D1395" s="71" t="s">
        <v>169</v>
      </c>
      <c r="E1395" s="365" t="s">
        <v>3562</v>
      </c>
      <c r="F1395" s="156" t="s">
        <v>421</v>
      </c>
      <c r="G1395" s="156" t="s">
        <v>422</v>
      </c>
      <c r="H1395" s="259" t="s">
        <v>979</v>
      </c>
      <c r="I1395" s="161">
        <v>4</v>
      </c>
      <c r="J1395" s="450">
        <v>4416.7</v>
      </c>
      <c r="K1395" s="427">
        <f>=I1395*J1395</f>
        <v>17666.8</v>
      </c>
      <c r="L1395">
        <v>4370</v>
      </c>
      <c r="M1395" s="428">
        <f>=I1395*L1395</f>
        <v>17480</v>
      </c>
      <c r="N1395" s="82">
        <f>=K1395-M1395</f>
        <v>186.799999999999</v>
      </c>
      <c r="O1395" s="62">
        <v>1</v>
      </c>
      <c r="P1395" s="64">
        <f>=I1395*O1395*ROUNDUP((A1395-B1395)/30,0)</f>
        <v>8</v>
      </c>
      <c r="Q1395" s="62" t="s"/>
      <c r="R1395" s="62" t="s"/>
    </row>
    <row r="1396" spans="1:18" ht="15.75" customHeight="true">
      <c r="A1396" s="147">
        <v>46204</v>
      </c>
      <c r="B1396" s="460">
        <v>46164</v>
      </c>
      <c r="C1396" s="71" t="s">
        <v>354</v>
      </c>
      <c r="D1396" s="71" t="s">
        <v>169</v>
      </c>
      <c r="E1396" s="365" t="s">
        <v>3563</v>
      </c>
      <c r="F1396" s="156" t="s">
        <v>421</v>
      </c>
      <c r="G1396" s="156" t="s">
        <v>422</v>
      </c>
      <c r="H1396" s="259" t="s">
        <v>971</v>
      </c>
      <c r="I1396" s="161">
        <v>2</v>
      </c>
      <c r="J1396" s="203">
        <v>4780.3</v>
      </c>
      <c r="K1396" s="427">
        <f>=I1396*J1396</f>
        <v>9560.6</v>
      </c>
      <c r="L1396">
        <v>4730</v>
      </c>
      <c r="M1396" s="428">
        <f>=I1396*L1396</f>
        <v>9460</v>
      </c>
      <c r="N1396" s="82">
        <f>=K1396-M1396</f>
        <v>100.6</v>
      </c>
      <c r="O1396" s="62">
        <v>1</v>
      </c>
      <c r="P1396" s="64">
        <f>=I1396*O1396*ROUNDUP((A1396-B1396)/30,0)</f>
        <v>4</v>
      </c>
      <c r="Q1396" s="62" t="s"/>
      <c r="R1396" s="62" t="s"/>
    </row>
    <row r="1397" spans="1:18" ht="15.75" customHeight="true">
      <c r="A1397" s="147">
        <v>46204</v>
      </c>
      <c r="B1397" s="460">
        <v>46164</v>
      </c>
      <c r="C1397" s="71" t="s">
        <v>354</v>
      </c>
      <c r="D1397" s="71" t="s">
        <v>169</v>
      </c>
      <c r="E1397" s="365" t="s">
        <v>3564</v>
      </c>
      <c r="F1397" s="156" t="s">
        <v>421</v>
      </c>
      <c r="G1397" s="156" t="s">
        <v>422</v>
      </c>
      <c r="H1397" s="259" t="s">
        <v>967</v>
      </c>
      <c r="I1397" s="161">
        <v>1</v>
      </c>
      <c r="J1397" s="539">
        <v>7174</v>
      </c>
      <c r="K1397" s="427">
        <f>=I1397*J1397</f>
        <v>7174</v>
      </c>
      <c r="L1397" s="140">
        <v>7100</v>
      </c>
      <c r="M1397" s="428">
        <f>=I1397*L1397</f>
        <v>7100</v>
      </c>
      <c r="N1397" s="82">
        <f>=K1397-M1397</f>
        <v>74</v>
      </c>
      <c r="O1397" s="62">
        <v>1</v>
      </c>
      <c r="P1397" s="64">
        <f>=I1397*O1397*ROUNDUP((A1397-B1397)/30,0)</f>
        <v>2</v>
      </c>
      <c r="Q1397" s="62" t="s"/>
      <c r="R1397" s="62" t="s"/>
    </row>
    <row r="1398" spans="1:18" ht="15.75" customHeight="true">
      <c r="A1398" s="147">
        <v>46204</v>
      </c>
      <c r="B1398" s="460">
        <v>46164</v>
      </c>
      <c r="C1398" s="71" t="s">
        <v>354</v>
      </c>
      <c r="D1398" s="71" t="s">
        <v>169</v>
      </c>
      <c r="E1398" s="365" t="s">
        <v>3565</v>
      </c>
      <c r="F1398" s="156" t="s">
        <v>421</v>
      </c>
      <c r="G1398" s="156" t="s">
        <v>422</v>
      </c>
      <c r="H1398" s="259" t="s">
        <v>969</v>
      </c>
      <c r="I1398" s="161">
        <v>5</v>
      </c>
      <c r="J1398" s="539">
        <v>7174</v>
      </c>
      <c r="K1398" s="427">
        <f>=I1398*J1398</f>
        <v>35870</v>
      </c>
      <c r="L1398" s="249">
        <v>7100</v>
      </c>
      <c r="M1398" s="428">
        <f>=I1398*L1398</f>
        <v>35500</v>
      </c>
      <c r="N1398" s="82">
        <f>=K1398-M1398</f>
        <v>370</v>
      </c>
      <c r="O1398" s="62">
        <v>1</v>
      </c>
      <c r="P1398" s="64">
        <f>=I1398*O1398*ROUNDUP((A1398-B1398)/30,0)</f>
        <v>10</v>
      </c>
      <c r="Q1398" s="62" t="s"/>
      <c r="R1398" s="62" t="s"/>
    </row>
    <row r="1399" spans="1:18" ht="15.75" customHeight="true">
      <c r="A1399" s="147">
        <v>46204</v>
      </c>
      <c r="B1399" s="460">
        <v>46105</v>
      </c>
      <c r="C1399" s="64" t="s">
        <v>182</v>
      </c>
      <c r="D1399" s="64" t="s">
        <v>181</v>
      </c>
      <c r="E1399" s="308" t="s">
        <v>3566</v>
      </c>
      <c r="F1399" s="64" t="s">
        <v>428</v>
      </c>
      <c r="G1399" s="64" t="s">
        <v>449</v>
      </c>
      <c r="H1399" s="64" t="s">
        <v>658</v>
      </c>
      <c r="I1399">
        <v>500</v>
      </c>
      <c r="J1399" s="199">
        <v>1079.06</v>
      </c>
      <c r="K1399" s="427">
        <f>=I1399*J1399</f>
        <v>539530</v>
      </c>
      <c r="L1399" s="64">
        <v>1053</v>
      </c>
      <c r="M1399" s="428">
        <f>=I1399*L1399</f>
        <v>526500</v>
      </c>
      <c r="N1399" s="82">
        <f>=K1399-M1399</f>
        <v>13030</v>
      </c>
      <c r="O1399" s="62">
        <v>0</v>
      </c>
      <c r="P1399" s="64">
        <f>=I1399*O1399*ROUNDUP((A1399-B1399)/30,0)</f>
        <v>0</v>
      </c>
      <c r="Q1399" s="62" t="s"/>
      <c r="R1399" s="62" t="s"/>
    </row>
    <row r="1400" spans="1:18" ht="15.75" customHeight="true">
      <c r="A1400" s="147">
        <v>46204</v>
      </c>
      <c r="B1400" s="460">
        <v>46095</v>
      </c>
      <c r="C1400" s="98" t="s">
        <v>144</v>
      </c>
      <c r="D1400" s="71" t="s">
        <v>135</v>
      </c>
      <c r="E1400" s="494" t="s">
        <v>3567</v>
      </c>
      <c r="F1400" s="112" t="s">
        <v>428</v>
      </c>
      <c r="G1400" s="112" t="s">
        <v>422</v>
      </c>
      <c r="H1400" s="97" t="s">
        <v>886</v>
      </c>
      <c r="I1400" s="331">
        <v>200</v>
      </c>
      <c r="J1400" s="203">
        <v>961.34</v>
      </c>
      <c r="K1400" s="427">
        <f>=I1400*J1400</f>
        <v>192268</v>
      </c>
      <c r="L1400" s="71">
        <v>930</v>
      </c>
      <c r="M1400" s="428">
        <f>=I1400*L1400</f>
        <v>186000</v>
      </c>
      <c r="N1400" s="82">
        <f>=K1400-M1400</f>
        <v>6268</v>
      </c>
      <c r="O1400" s="62">
        <v>1</v>
      </c>
      <c r="P1400" s="64">
        <f>=I1400*O1400*ROUNDUP((A1400-B1400)/30,0)</f>
        <v>800</v>
      </c>
      <c r="Q1400" s="62" t="s"/>
      <c r="R1400" s="62" t="s"/>
    </row>
    <row r="1401" spans="1:18" ht="15.75" customHeight="true">
      <c r="A1401" s="147">
        <v>46204</v>
      </c>
      <c r="B1401" s="460">
        <v>46105</v>
      </c>
      <c r="C1401" s="98" t="s">
        <v>186</v>
      </c>
      <c r="D1401" s="71" t="s">
        <v>135</v>
      </c>
      <c r="E1401" s="511" t="s">
        <v>3568</v>
      </c>
      <c r="F1401" s="71" t="s">
        <v>741</v>
      </c>
      <c r="G1401" s="71" t="s">
        <v>449</v>
      </c>
      <c r="H1401" s="64" t="s">
        <v>1025</v>
      </c>
      <c r="I1401">
        <v>50</v>
      </c>
      <c r="J1401" s="327">
        <v>761.19</v>
      </c>
      <c r="K1401" s="427">
        <f>=I1401*J1401</f>
        <v>38059.5</v>
      </c>
      <c r="L1401" s="71">
        <v>735</v>
      </c>
      <c r="M1401" s="428">
        <f>=I1401*L1401</f>
        <v>36750</v>
      </c>
      <c r="N1401" s="82">
        <f>=K1401-M1401</f>
        <v>1309.5</v>
      </c>
      <c r="O1401" s="62">
        <v>1</v>
      </c>
      <c r="P1401" s="64">
        <f>=I1401*O1401*ROUNDUP((A1401-B1401)/30,0)</f>
        <v>200</v>
      </c>
      <c r="Q1401" s="62" t="s"/>
      <c r="R1401" s="62" t="s"/>
    </row>
    <row r="1402" spans="1:18" ht="15.75" customHeight="true">
      <c r="A1402" s="147">
        <v>46204</v>
      </c>
      <c r="B1402" s="460">
        <v>46105</v>
      </c>
      <c r="C1402" s="98" t="s">
        <v>186</v>
      </c>
      <c r="D1402" s="71" t="s">
        <v>135</v>
      </c>
      <c r="E1402" s="511" t="s">
        <v>3569</v>
      </c>
      <c r="F1402" s="71" t="s">
        <v>741</v>
      </c>
      <c r="G1402" s="71" t="s">
        <v>449</v>
      </c>
      <c r="H1402" s="64" t="s">
        <v>1030</v>
      </c>
      <c r="I1402" s="332">
        <v>150</v>
      </c>
      <c r="J1402" s="402">
        <v>761.19</v>
      </c>
      <c r="K1402" s="427">
        <f>=I1402*J1402</f>
        <v>114178.5</v>
      </c>
      <c r="L1402" s="71">
        <v>735</v>
      </c>
      <c r="M1402" s="428">
        <f>=I1402*L1402</f>
        <v>110250</v>
      </c>
      <c r="N1402" s="82">
        <f>=K1402-M1402</f>
        <v>3928.50000000002</v>
      </c>
      <c r="O1402" s="62">
        <v>1</v>
      </c>
      <c r="P1402" s="64">
        <f>=I1402*O1402*ROUNDUP((A1402-B1402)/30,0)</f>
        <v>600</v>
      </c>
      <c r="Q1402" s="62" t="s"/>
      <c r="R1402" s="62" t="s"/>
    </row>
    <row r="1403" spans="1:18" ht="15.75" customHeight="true">
      <c r="A1403" s="147">
        <v>46204</v>
      </c>
      <c r="B1403" s="460">
        <v>46114</v>
      </c>
      <c r="C1403" s="98" t="s">
        <v>237</v>
      </c>
      <c r="D1403" s="71" t="s">
        <v>135</v>
      </c>
      <c r="E1403" s="511" t="s">
        <v>3570</v>
      </c>
      <c r="F1403" s="156" t="s">
        <v>428</v>
      </c>
      <c r="G1403" s="262" t="s">
        <v>422</v>
      </c>
      <c r="H1403" s="97" t="s">
        <v>886</v>
      </c>
      <c r="I1403">
        <v>50</v>
      </c>
      <c r="J1403" s="99">
        <v>793.33</v>
      </c>
      <c r="K1403" s="427">
        <f>=I1403*J1403</f>
        <v>39666.5</v>
      </c>
      <c r="L1403">
        <v>770</v>
      </c>
      <c r="M1403" s="428">
        <f>=I1403*L1403</f>
        <v>38500</v>
      </c>
      <c r="N1403" s="82">
        <f>=K1403-M1403</f>
        <v>1166.5</v>
      </c>
      <c r="O1403" s="62">
        <v>1</v>
      </c>
      <c r="P1403" s="64">
        <f>=I1403*O1403*ROUNDUP((A1403-B1403)/30,0)</f>
        <v>150</v>
      </c>
      <c r="Q1403" s="62" t="s"/>
      <c r="R1403" s="62" t="s"/>
    </row>
    <row r="1404" spans="1:18" ht="15.75" customHeight="true">
      <c r="A1404" s="147">
        <v>46204</v>
      </c>
      <c r="B1404" s="460">
        <v>46121</v>
      </c>
      <c r="C1404" s="98" t="s">
        <v>247</v>
      </c>
      <c r="D1404" s="71" t="s">
        <v>135</v>
      </c>
      <c r="E1404" s="145" t="s">
        <v>3571</v>
      </c>
      <c r="F1404" t="s">
        <v>428</v>
      </c>
      <c r="G1404" t="s">
        <v>422</v>
      </c>
      <c r="H1404" s="87" t="s">
        <v>886</v>
      </c>
      <c r="I1404">
        <v>70</v>
      </c>
      <c r="J1404" s="99">
        <v>770.06</v>
      </c>
      <c r="K1404" s="427">
        <f>=I1404*J1404</f>
        <v>53904.2</v>
      </c>
      <c r="L1404">
        <v>750</v>
      </c>
      <c r="M1404" s="428">
        <f>=I1404*L1404</f>
        <v>52500</v>
      </c>
      <c r="N1404" s="82">
        <f>=K1404-M1404</f>
        <v>1404.2</v>
      </c>
      <c r="O1404" s="62">
        <v>1</v>
      </c>
      <c r="P1404" s="64">
        <f>=I1404*O1404*ROUNDUP((A1404-B1404)/30,0)</f>
        <v>210</v>
      </c>
      <c r="Q1404" s="62" t="s"/>
      <c r="R1404" s="62" t="s"/>
    </row>
    <row r="1405" spans="1:18" ht="15.75" customHeight="true">
      <c r="A1405" s="147">
        <v>46204</v>
      </c>
      <c r="B1405" s="460">
        <v>46163</v>
      </c>
      <c r="C1405" s="98" t="s">
        <v>353</v>
      </c>
      <c r="D1405" s="156" t="s">
        <v>352</v>
      </c>
      <c r="E1405" s="365" t="s">
        <v>3572</v>
      </c>
      <c r="F1405" t="s">
        <v>428</v>
      </c>
      <c r="G1405" t="s">
        <v>422</v>
      </c>
      <c r="H1405" s="156" t="s">
        <v>859</v>
      </c>
      <c r="I1405" s="367">
        <v>180</v>
      </c>
      <c r="J1405" s="450">
        <v>1010.25</v>
      </c>
      <c r="K1405" s="427">
        <f>=I1405*J1405</f>
        <v>181845</v>
      </c>
      <c r="L1405" s="249">
        <v>1000</v>
      </c>
      <c r="M1405" s="428">
        <f>=I1405*L1405</f>
        <v>180000</v>
      </c>
      <c r="N1405" s="82">
        <f>=K1405-M1405</f>
        <v>1845</v>
      </c>
      <c r="O1405" s="62">
        <v>0</v>
      </c>
      <c r="P1405" s="64">
        <f>=I1405*O1405*ROUNDUP((A1405-B1405)/30,0)</f>
        <v>0</v>
      </c>
      <c r="Q1405" s="62" t="s"/>
      <c r="R1405" s="62" t="s"/>
    </row>
    <row r="1406" spans="1:18" ht="15.75" customHeight="true">
      <c r="A1406" s="147">
        <v>46204</v>
      </c>
      <c r="B1406" s="460">
        <v>46163</v>
      </c>
      <c r="C1406" s="98" t="s">
        <v>353</v>
      </c>
      <c r="D1406" s="156" t="s">
        <v>352</v>
      </c>
      <c r="E1406" s="365" t="s">
        <v>3573</v>
      </c>
      <c r="F1406" t="s">
        <v>428</v>
      </c>
      <c r="G1406" s="95" t="s">
        <v>422</v>
      </c>
      <c r="H1406" s="156" t="s">
        <v>859</v>
      </c>
      <c r="I1406" s="540">
        <v>170</v>
      </c>
      <c r="J1406" s="450">
        <v>1010.25</v>
      </c>
      <c r="K1406" s="427">
        <f>=I1406*J1406</f>
        <v>171742.5</v>
      </c>
      <c r="L1406" s="249">
        <v>1000</v>
      </c>
      <c r="M1406" s="428">
        <f>=I1406*L1406</f>
        <v>170000</v>
      </c>
      <c r="N1406" s="82">
        <f>=K1406-M1406</f>
        <v>1742.5</v>
      </c>
      <c r="O1406" s="62">
        <v>0</v>
      </c>
      <c r="P1406" s="64">
        <f>=I1406*O1406*ROUNDUP((A1406-B1406)/30,0)</f>
        <v>0</v>
      </c>
      <c r="Q1406" s="62" t="s"/>
      <c r="R1406" s="62" t="s"/>
    </row>
    <row r="1407" spans="1:18" ht="15.75" customHeight="true">
      <c r="A1407" s="147">
        <v>46204</v>
      </c>
      <c r="B1407" s="460">
        <v>46114</v>
      </c>
      <c r="C1407" s="98" t="s">
        <v>234</v>
      </c>
      <c r="D1407" s="71" t="s">
        <v>215</v>
      </c>
      <c r="E1407" s="145" t="s">
        <v>3574</v>
      </c>
      <c r="F1407" s="140" t="s">
        <v>421</v>
      </c>
      <c r="G1407" s="140" t="s">
        <v>470</v>
      </c>
      <c r="H1407" t="s">
        <v>1290</v>
      </c>
      <c r="I1407">
        <v>100</v>
      </c>
      <c r="J1407" s="62">
        <v>2867.2</v>
      </c>
      <c r="K1407" s="427">
        <f>=I1407*J1407</f>
        <v>286720</v>
      </c>
      <c r="L1407">
        <v>2800</v>
      </c>
      <c r="M1407" s="428">
        <f>=I1407*L1407</f>
        <v>280000</v>
      </c>
      <c r="N1407" s="82">
        <f>=K1407-M1407</f>
        <v>6720</v>
      </c>
      <c r="O1407" s="62">
        <v>1.5</v>
      </c>
      <c r="P1407" s="64">
        <f>=I1407*O1407*ROUNDUP((A1407-B1407)/30,0)</f>
        <v>450</v>
      </c>
      <c r="Q1407" s="62" t="s"/>
      <c r="R1407" s="62" t="s"/>
    </row>
    <row r="1408" spans="1:18" ht="15.75" customHeight="true">
      <c r="A1408" s="147">
        <v>46205</v>
      </c>
      <c r="B1408" s="460">
        <v>46105</v>
      </c>
      <c r="C1408" s="98" t="s">
        <v>184</v>
      </c>
      <c r="D1408" s="71" t="s">
        <v>138</v>
      </c>
      <c r="E1408" s="160" t="s">
        <v>3575</v>
      </c>
      <c r="F1408" s="71" t="s">
        <v>864</v>
      </c>
      <c r="G1408" s="71" t="s">
        <v>422</v>
      </c>
      <c r="H1408" s="71" t="s">
        <v>1020</v>
      </c>
      <c r="I1408">
        <v>80</v>
      </c>
      <c r="J1408" s="62">
        <v>1851.45</v>
      </c>
      <c r="K1408" s="427">
        <f>=I1408*J1408</f>
        <v>148116</v>
      </c>
      <c r="L1408" s="71">
        <v>1800</v>
      </c>
      <c r="M1408" s="428">
        <f>=I1408*L1408</f>
        <v>144000</v>
      </c>
      <c r="N1408" s="82">
        <f>=K1408-M1408</f>
        <v>4116</v>
      </c>
      <c r="O1408" s="62">
        <v>1</v>
      </c>
      <c r="P1408" s="64">
        <f>=I1408*O1408*ROUNDUP((A1408-B1408)/30,0)</f>
        <v>320</v>
      </c>
      <c r="Q1408" s="62" t="s"/>
      <c r="R1408" s="62" t="s"/>
    </row>
    <row r="1409" spans="1:18" ht="15.75" customHeight="true">
      <c r="A1409" s="147">
        <v>46205</v>
      </c>
      <c r="B1409" s="460">
        <v>46107</v>
      </c>
      <c r="C1409" s="98" t="s">
        <v>193</v>
      </c>
      <c r="D1409" s="71" t="s">
        <v>138</v>
      </c>
      <c r="E1409" s="511" t="s">
        <v>3576</v>
      </c>
      <c r="F1409" s="71" t="s">
        <v>864</v>
      </c>
      <c r="G1409" s="71" t="s">
        <v>422</v>
      </c>
      <c r="H1409" s="64" t="s">
        <v>1109</v>
      </c>
      <c r="I1409" s="367">
        <v>40</v>
      </c>
      <c r="J1409" s="203">
        <v>1850.55</v>
      </c>
      <c r="K1409" s="427">
        <f>=I1409*J1409</f>
        <v>74022</v>
      </c>
      <c r="L1409" s="71">
        <v>1800</v>
      </c>
      <c r="M1409" s="428">
        <f>=I1409*L1409</f>
        <v>72000</v>
      </c>
      <c r="N1409" s="82">
        <f>=K1409-M1409</f>
        <v>2022</v>
      </c>
      <c r="O1409" s="62">
        <v>1</v>
      </c>
      <c r="P1409" s="64">
        <f>=I1409*O1409*ROUNDUP((A1409-B1409)/30,0)</f>
        <v>160</v>
      </c>
      <c r="Q1409" s="62" t="s"/>
      <c r="R1409" s="62" t="s"/>
    </row>
    <row r="1410" spans="1:18" ht="15.75" customHeight="true">
      <c r="A1410" s="147">
        <v>46205</v>
      </c>
      <c r="B1410" s="460">
        <v>46111</v>
      </c>
      <c r="C1410" s="80" t="s">
        <v>209</v>
      </c>
      <c r="D1410" s="64" t="s">
        <v>135</v>
      </c>
      <c r="E1410" s="471" t="s">
        <v>3577</v>
      </c>
      <c r="F1410" s="541" t="s">
        <v>428</v>
      </c>
      <c r="G1410" s="194" t="s">
        <v>422</v>
      </c>
      <c r="H1410" s="64" t="s">
        <v>857</v>
      </c>
      <c r="I1410" s="154">
        <v>80</v>
      </c>
      <c r="J1410" s="203">
        <v>1116.77</v>
      </c>
      <c r="K1410" s="427">
        <f>=I1410*J1410</f>
        <v>89341.6</v>
      </c>
      <c r="L1410" s="243">
        <v>1085</v>
      </c>
      <c r="M1410" s="428">
        <f>=I1410*L1410</f>
        <v>86800</v>
      </c>
      <c r="N1410" s="82">
        <f>=K1410-M1410</f>
        <v>2541.60000000001</v>
      </c>
      <c r="O1410" s="62">
        <v>1</v>
      </c>
      <c r="P1410" s="64">
        <f>=I1410*O1410*ROUNDUP((A1410-B1410)/30,0)</f>
        <v>320</v>
      </c>
      <c r="Q1410" s="62" t="s"/>
      <c r="R1410" s="62" t="s"/>
    </row>
    <row r="1411" spans="1:18" ht="15.75" customHeight="true">
      <c r="A1411" s="147">
        <v>46205</v>
      </c>
      <c r="B1411" s="460">
        <v>46114</v>
      </c>
      <c r="C1411" s="98" t="s">
        <v>237</v>
      </c>
      <c r="D1411" s="71" t="s">
        <v>135</v>
      </c>
      <c r="E1411" s="511" t="s">
        <v>3578</v>
      </c>
      <c r="F1411" s="354" t="s">
        <v>428</v>
      </c>
      <c r="G1411" s="71" t="s">
        <v>422</v>
      </c>
      <c r="H1411" s="64" t="s">
        <v>1246</v>
      </c>
      <c r="I1411">
        <v>150</v>
      </c>
      <c r="J1411" s="402">
        <v>686.3</v>
      </c>
      <c r="K1411" s="427">
        <f>=I1411*J1411</f>
        <v>102945</v>
      </c>
      <c r="L1411" s="243">
        <v>665</v>
      </c>
      <c r="M1411" s="428">
        <f>=I1411*L1411</f>
        <v>99750</v>
      </c>
      <c r="N1411" s="82">
        <f>=K1411-M1411</f>
        <v>3195</v>
      </c>
      <c r="O1411" s="62">
        <v>1</v>
      </c>
      <c r="P1411" s="64">
        <f>=I1411*O1411*ROUNDUP((A1411-B1411)/30,0)</f>
        <v>600</v>
      </c>
      <c r="Q1411" s="62" t="s"/>
      <c r="R1411" s="62" t="s"/>
    </row>
    <row r="1412" spans="1:18" ht="15.75" customHeight="true">
      <c r="A1412" s="147">
        <v>46205</v>
      </c>
      <c r="B1412" s="460">
        <v>46114</v>
      </c>
      <c r="C1412" s="98" t="s">
        <v>237</v>
      </c>
      <c r="D1412" s="71" t="s">
        <v>135</v>
      </c>
      <c r="E1412" s="511" t="s">
        <v>3579</v>
      </c>
      <c r="F1412" s="204" t="s">
        <v>428</v>
      </c>
      <c r="G1412" s="204" t="s">
        <v>422</v>
      </c>
      <c r="H1412" s="64" t="s">
        <v>857</v>
      </c>
      <c r="I1412" s="367">
        <v>80</v>
      </c>
      <c r="J1412" s="203">
        <v>1115.96</v>
      </c>
      <c r="K1412" s="427">
        <f>=I1412*J1412</f>
        <v>89276.8</v>
      </c>
      <c r="L1412">
        <v>1085</v>
      </c>
      <c r="M1412" s="428">
        <f>=I1412*L1412</f>
        <v>86800</v>
      </c>
      <c r="N1412" s="82">
        <f>=K1412-M1412</f>
        <v>2476.8</v>
      </c>
      <c r="O1412" s="62">
        <v>1</v>
      </c>
      <c r="P1412" s="64">
        <f>=I1412*O1412*ROUNDUP((A1412-B1412)/30,0)</f>
        <v>320</v>
      </c>
      <c r="Q1412" s="62" t="s"/>
      <c r="R1412" s="62" t="s"/>
    </row>
    <row r="1413" spans="1:18" ht="15.75" customHeight="true">
      <c r="A1413" s="147">
        <v>46205</v>
      </c>
      <c r="B1413" s="460">
        <v>46155</v>
      </c>
      <c r="C1413" s="98" t="s">
        <v>327</v>
      </c>
      <c r="D1413" s="71" t="s">
        <v>135</v>
      </c>
      <c r="E1413" s="263" t="s">
        <v>3580</v>
      </c>
      <c r="F1413" t="s">
        <v>428</v>
      </c>
      <c r="G1413" t="s">
        <v>422</v>
      </c>
      <c r="H1413" s="64" t="s">
        <v>1246</v>
      </c>
      <c r="I1413">
        <v>200</v>
      </c>
      <c r="J1413" s="203">
        <v>713.43</v>
      </c>
      <c r="K1413" s="427">
        <f>=I1413*J1413</f>
        <v>142686</v>
      </c>
      <c r="L1413" s="402">
        <v>700</v>
      </c>
      <c r="M1413" s="428">
        <f>=I1413*L1413</f>
        <v>140000</v>
      </c>
      <c r="N1413" s="82">
        <f>=K1413-M1413</f>
        <v>2686</v>
      </c>
      <c r="O1413" s="62">
        <v>1</v>
      </c>
      <c r="P1413" s="64">
        <f>=I1413*O1413*ROUNDUP((A1413-B1413)/30,0)</f>
        <v>400</v>
      </c>
      <c r="Q1413" s="62" t="s"/>
      <c r="R1413" s="62" t="s"/>
    </row>
    <row r="1414" spans="1:18" ht="15.75" customHeight="true">
      <c r="A1414" s="147">
        <v>46206</v>
      </c>
      <c r="B1414" s="460">
        <v>46131</v>
      </c>
      <c r="C1414" s="98" t="s">
        <v>269</v>
      </c>
      <c r="D1414" s="71" t="s">
        <v>211</v>
      </c>
      <c r="E1414" s="145" t="s">
        <v>3581</v>
      </c>
      <c r="F1414" s="308" t="s">
        <v>421</v>
      </c>
      <c r="G1414" s="308" t="s">
        <v>470</v>
      </c>
      <c r="H1414" s="308" t="s">
        <v>1286</v>
      </c>
      <c r="I1414">
        <v>70</v>
      </c>
      <c r="J1414" s="365">
        <v>2706.35</v>
      </c>
      <c r="K1414" s="427">
        <f>=I1414*J1414</f>
        <v>189444.5</v>
      </c>
      <c r="L1414">
        <v>2650</v>
      </c>
      <c r="M1414" s="428">
        <f>=I1414*L1414</f>
        <v>185500</v>
      </c>
      <c r="N1414" s="82">
        <f>=K1414-M1414</f>
        <v>3944.5</v>
      </c>
      <c r="O1414" s="62">
        <v>1.5</v>
      </c>
      <c r="P1414" s="64">
        <f>=I1414*O1414*ROUNDUP((A1414-B1414)/30,0)</f>
        <v>315</v>
      </c>
      <c r="Q1414" s="62" t="s"/>
      <c r="R1414" s="62" t="s"/>
    </row>
    <row r="1415" spans="1:18" ht="15.75" customHeight="true">
      <c r="A1415" s="542">
        <v>46206</v>
      </c>
      <c r="B1415" s="543">
        <v>46095</v>
      </c>
      <c r="C1415" s="544" t="s">
        <v>144</v>
      </c>
      <c r="D1415" s="545" t="s">
        <v>135</v>
      </c>
      <c r="E1415" s="546" t="s">
        <v>3582</v>
      </c>
      <c r="F1415" s="545" t="s">
        <v>428</v>
      </c>
      <c r="G1415" s="545" t="s">
        <v>422</v>
      </c>
      <c r="H1415" s="547" t="s">
        <v>884</v>
      </c>
      <c r="I1415" s="548">
        <v>150</v>
      </c>
      <c r="J1415" s="549">
        <v>1014.25</v>
      </c>
      <c r="K1415" s="550">
        <f>=I1415*J1415</f>
        <v>152137.5</v>
      </c>
      <c r="L1415" s="545">
        <v>930</v>
      </c>
      <c r="M1415" s="551">
        <f>=I1415*L1415</f>
        <v>139500</v>
      </c>
      <c r="N1415" s="82">
        <f>=K1415-M1415</f>
        <v>12637.5</v>
      </c>
      <c r="O1415" s="62">
        <v>1</v>
      </c>
      <c r="P1415" s="64">
        <f>=I1415*O1415*ROUNDUP((A1415-B1415)/30,0)</f>
        <v>600</v>
      </c>
      <c r="Q1415" s="62" t="s"/>
      <c r="R1415" s="62" t="s"/>
    </row>
    <row r="1416" spans="1:18" ht="15.75" customHeight="true">
      <c r="A1416" s="147">
        <v>46206</v>
      </c>
      <c r="B1416" s="460">
        <v>46114</v>
      </c>
      <c r="C1416" s="98" t="s">
        <v>237</v>
      </c>
      <c r="D1416" s="71" t="s">
        <v>135</v>
      </c>
      <c r="E1416" s="511" t="s">
        <v>3583</v>
      </c>
      <c r="F1416" s="204" t="s">
        <v>428</v>
      </c>
      <c r="G1416" s="204" t="s">
        <v>422</v>
      </c>
      <c r="H1416" s="64" t="s">
        <v>857</v>
      </c>
      <c r="I1416" s="367">
        <v>10</v>
      </c>
      <c r="J1416" s="450">
        <v>1116.23</v>
      </c>
      <c r="K1416" s="427">
        <f>=I1416*J1416</f>
        <v>11162.3</v>
      </c>
      <c r="L1416">
        <v>1085</v>
      </c>
      <c r="M1416" s="428">
        <f>=I1416*L1416</f>
        <v>10850</v>
      </c>
      <c r="N1416" s="82">
        <f>=K1416-M1416</f>
        <v>312.299999999999</v>
      </c>
      <c r="O1416" s="62">
        <v>1</v>
      </c>
      <c r="P1416" s="64">
        <f>=I1416*O1416*ROUNDUP((A1416-B1416)/30,0)</f>
        <v>40</v>
      </c>
      <c r="Q1416" s="62" t="s"/>
      <c r="R1416" s="62" t="s"/>
    </row>
    <row r="1417" spans="1:18" ht="15.75" customHeight="true">
      <c r="A1417" s="147">
        <v>46206</v>
      </c>
      <c r="B1417" s="460">
        <v>46114</v>
      </c>
      <c r="C1417" s="98" t="s">
        <v>237</v>
      </c>
      <c r="D1417" s="71" t="s">
        <v>135</v>
      </c>
      <c r="E1417" s="511" t="s">
        <v>3584</v>
      </c>
      <c r="F1417" s="156" t="s">
        <v>428</v>
      </c>
      <c r="G1417" s="262" t="s">
        <v>422</v>
      </c>
      <c r="H1417" s="64" t="s">
        <v>859</v>
      </c>
      <c r="I1417" s="367">
        <v>30</v>
      </c>
      <c r="J1417" s="332">
        <v>1117.04</v>
      </c>
      <c r="K1417" s="427">
        <f>=I1417*J1417</f>
        <v>33511.2</v>
      </c>
      <c r="L1417">
        <v>1085</v>
      </c>
      <c r="M1417" s="428">
        <f>=I1417*L1417</f>
        <v>32550</v>
      </c>
      <c r="N1417" s="82">
        <f>=K1417-M1417</f>
        <v>961.199999999997</v>
      </c>
      <c r="O1417" s="62">
        <v>1</v>
      </c>
      <c r="P1417" s="64">
        <f>=I1417*O1417*ROUNDUP((A1417-B1417)/30,0)</f>
        <v>120</v>
      </c>
      <c r="Q1417" s="62" t="s"/>
      <c r="R1417" s="62" t="s"/>
    </row>
    <row r="1418" spans="1:18" ht="15.75" customHeight="true">
      <c r="A1418" s="147">
        <v>46206</v>
      </c>
      <c r="B1418" s="460">
        <v>46162</v>
      </c>
      <c r="C1418" s="98" t="s">
        <v>343</v>
      </c>
      <c r="D1418" s="71" t="s">
        <v>135</v>
      </c>
      <c r="E1418" s="365" t="s">
        <v>3585</v>
      </c>
      <c r="F1418" t="s">
        <v>428</v>
      </c>
      <c r="G1418" t="s">
        <v>422</v>
      </c>
      <c r="H1418" s="64" t="s">
        <v>859</v>
      </c>
      <c r="I1418" s="367">
        <v>100</v>
      </c>
      <c r="J1418" s="450">
        <v>1014.25</v>
      </c>
      <c r="K1418" s="427">
        <f>=I1418*J1418</f>
        <v>101425</v>
      </c>
      <c r="L1418" s="249">
        <v>1000</v>
      </c>
      <c r="M1418" s="428">
        <f>=I1418*L1418</f>
        <v>100000</v>
      </c>
      <c r="N1418" s="82">
        <f>=K1418-M1418</f>
        <v>1425</v>
      </c>
      <c r="O1418" s="62">
        <v>1</v>
      </c>
      <c r="P1418" s="64">
        <f>=I1418*O1418*ROUNDUP((A1418-B1418)/30,0)</f>
        <v>200</v>
      </c>
      <c r="Q1418" s="62" t="s"/>
      <c r="R1418" s="62" t="s"/>
    </row>
    <row r="1419" spans="1:18" ht="15.75" customHeight="true">
      <c r="A1419" s="147">
        <v>46206</v>
      </c>
      <c r="B1419" s="460">
        <v>46162</v>
      </c>
      <c r="C1419" s="98" t="s">
        <v>343</v>
      </c>
      <c r="D1419" s="71" t="s">
        <v>135</v>
      </c>
      <c r="E1419" s="365" t="s">
        <v>3583</v>
      </c>
      <c r="F1419" t="s">
        <v>428</v>
      </c>
      <c r="G1419" t="s">
        <v>422</v>
      </c>
      <c r="H1419" s="94" t="s">
        <v>857</v>
      </c>
      <c r="I1419" s="367">
        <v>40</v>
      </c>
      <c r="J1419" s="450">
        <v>1116.23</v>
      </c>
      <c r="K1419" s="427">
        <f>=I1419*J1419</f>
        <v>44649.2</v>
      </c>
      <c r="L1419" s="249">
        <v>1000</v>
      </c>
      <c r="M1419" s="428">
        <f>=I1419*L1419</f>
        <v>40000</v>
      </c>
      <c r="N1419" s="82">
        <f>=K1419-M1419</f>
        <v>4649.2</v>
      </c>
      <c r="O1419" s="62">
        <v>1</v>
      </c>
      <c r="P1419" s="64">
        <f>=I1419*O1419*ROUNDUP((A1419-B1419)/30,0)</f>
        <v>80</v>
      </c>
      <c r="Q1419" s="62" t="s"/>
      <c r="R1419" s="62" t="s"/>
    </row>
    <row r="1420" spans="1:18" ht="15.75" customHeight="true">
      <c r="A1420" s="147">
        <v>46206</v>
      </c>
      <c r="B1420" s="460">
        <v>46105</v>
      </c>
      <c r="C1420" s="64" t="s">
        <v>182</v>
      </c>
      <c r="D1420" s="64" t="s">
        <v>181</v>
      </c>
      <c r="E1420" s="495" t="s">
        <v>3586</v>
      </c>
      <c r="F1420" s="64" t="s">
        <v>428</v>
      </c>
      <c r="G1420" s="64" t="s">
        <v>449</v>
      </c>
      <c r="H1420" s="64" t="s">
        <v>658</v>
      </c>
      <c r="I1420">
        <v>300</v>
      </c>
      <c r="J1420" s="62">
        <v>1079.85</v>
      </c>
      <c r="K1420" s="427">
        <f>=I1420*J1420</f>
        <v>323955</v>
      </c>
      <c r="L1420" s="64">
        <v>1053</v>
      </c>
      <c r="M1420" s="428">
        <f>=I1420*L1420</f>
        <v>315900</v>
      </c>
      <c r="N1420" s="82">
        <f>=K1420-M1420</f>
        <v>8055</v>
      </c>
      <c r="O1420" s="62">
        <v>0</v>
      </c>
      <c r="P1420" s="64">
        <f>=I1420*O1420*ROUNDUP((A1420-B1420)/30,0)</f>
        <v>0</v>
      </c>
      <c r="Q1420" s="62" t="s"/>
      <c r="R1420" s="62" t="s"/>
    </row>
    <row r="1421" spans="1:18" ht="15.75" customHeight="true">
      <c r="A1421" s="147">
        <v>46206</v>
      </c>
      <c r="B1421" s="460">
        <v>46105</v>
      </c>
      <c r="C1421" s="64" t="s">
        <v>182</v>
      </c>
      <c r="D1421" s="64" t="s">
        <v>181</v>
      </c>
      <c r="E1421" s="495" t="s">
        <v>3586</v>
      </c>
      <c r="F1421" s="64" t="s">
        <v>428</v>
      </c>
      <c r="G1421" s="64" t="s">
        <v>449</v>
      </c>
      <c r="H1421" s="64" t="s">
        <v>658</v>
      </c>
      <c r="I1421">
        <v>200</v>
      </c>
      <c r="J1421" s="62">
        <v>1079.85</v>
      </c>
      <c r="K1421" s="427">
        <f>=I1421*J1421</f>
        <v>215970</v>
      </c>
      <c r="L1421" s="64">
        <v>1053</v>
      </c>
      <c r="M1421" s="428">
        <f>=I1421*L1421</f>
        <v>210600</v>
      </c>
      <c r="N1421" s="82">
        <f>=K1421-M1421</f>
        <v>5369.99999999997</v>
      </c>
      <c r="O1421" s="62">
        <v>0</v>
      </c>
      <c r="P1421" s="64">
        <f>=I1421*O1421*ROUNDUP((A1421-B1421)/30,0)</f>
        <v>0</v>
      </c>
      <c r="Q1421" s="62" t="s"/>
      <c r="R1421" s="62" t="s"/>
    </row>
    <row r="1422" spans="1:18" ht="15.75" customHeight="true">
      <c r="A1422" s="147">
        <v>46206</v>
      </c>
      <c r="B1422" s="460">
        <v>45737</v>
      </c>
      <c r="C1422" s="78" t="s">
        <v>51</v>
      </c>
      <c r="D1422" s="71" t="s">
        <v>50</v>
      </c>
      <c r="E1422" s="495" t="s">
        <v>3587</v>
      </c>
      <c r="F1422" s="64" t="s">
        <v>428</v>
      </c>
      <c r="G1422" s="64" t="s">
        <v>422</v>
      </c>
      <c r="H1422" s="64" t="s">
        <v>442</v>
      </c>
      <c r="I1422" s="331">
        <v>25</v>
      </c>
      <c r="J1422" s="552">
        <v>2581.43</v>
      </c>
      <c r="K1422" s="427">
        <f>=I1422*J1422</f>
        <v>64535.75</v>
      </c>
      <c r="L1422" s="64">
        <v>2310</v>
      </c>
      <c r="M1422" s="428">
        <f>=I1422*L1422</f>
        <v>57750</v>
      </c>
      <c r="N1422" s="82">
        <f>=K1422-M1422</f>
        <v>6785.74999999999</v>
      </c>
      <c r="O1422" s="62">
        <v>0</v>
      </c>
      <c r="P1422" s="64">
        <f>=I1422*O1422*ROUNDUP((A1422-B1422)/30,0)</f>
        <v>0</v>
      </c>
      <c r="Q1422" s="62" t="s"/>
      <c r="R1422" s="62" t="s"/>
    </row>
    <row r="1423" spans="1:18" ht="15.75" customHeight="true">
      <c r="A1423" s="147">
        <v>46206</v>
      </c>
      <c r="B1423" s="460">
        <v>45840</v>
      </c>
      <c r="C1423" s="64" t="s">
        <v>59</v>
      </c>
      <c r="D1423" s="64" t="s">
        <v>50</v>
      </c>
      <c r="E1423" s="196" t="s">
        <v>3588</v>
      </c>
      <c r="F1423" s="64" t="s">
        <v>428</v>
      </c>
      <c r="G1423" s="308" t="s">
        <v>470</v>
      </c>
      <c r="H1423" s="64" t="s">
        <v>471</v>
      </c>
      <c r="I1423" s="64">
        <v>2</v>
      </c>
      <c r="J1423" s="154">
        <v>3312.54</v>
      </c>
      <c r="K1423" s="427">
        <f>=I1423*J1423</f>
        <v>6625.08</v>
      </c>
      <c r="L1423" s="64">
        <v>2984</v>
      </c>
      <c r="M1423" s="428">
        <f>=I1423*L1423</f>
        <v>5968</v>
      </c>
      <c r="N1423" s="82">
        <f>=K1423-M1423</f>
        <v>657.08</v>
      </c>
      <c r="O1423" s="62">
        <v>0</v>
      </c>
      <c r="P1423" s="64">
        <f>=I1423*O1423*ROUNDUP((A1423-B1423)/30,0)</f>
        <v>0</v>
      </c>
      <c r="Q1423" s="62" t="s"/>
      <c r="R1423" s="62" t="s"/>
    </row>
    <row r="1424" spans="1:18" ht="15.75" customHeight="true">
      <c r="A1424" s="147">
        <v>46206</v>
      </c>
      <c r="B1424" s="460">
        <v>45840</v>
      </c>
      <c r="C1424" s="64" t="s">
        <v>59</v>
      </c>
      <c r="D1424" s="64" t="s">
        <v>50</v>
      </c>
      <c r="E1424" s="196" t="s">
        <v>3589</v>
      </c>
      <c r="F1424" s="64" t="s">
        <v>428</v>
      </c>
      <c r="G1424" s="308" t="s">
        <v>470</v>
      </c>
      <c r="H1424" s="64" t="s">
        <v>473</v>
      </c>
      <c r="I1424" s="64">
        <v>3</v>
      </c>
      <c r="J1424">
        <v>3312.54</v>
      </c>
      <c r="K1424" s="427">
        <f>=I1424*J1424</f>
        <v>9937.62</v>
      </c>
      <c r="L1424" s="64">
        <v>2984</v>
      </c>
      <c r="M1424" s="428">
        <f>=I1424*L1424</f>
        <v>8952</v>
      </c>
      <c r="N1424" s="82">
        <f>=K1424-M1424</f>
        <v>985.619999999999</v>
      </c>
      <c r="O1424" s="62">
        <v>0</v>
      </c>
      <c r="P1424" s="64">
        <f>=I1424*O1424*ROUNDUP((A1424-B1424)/30,0)</f>
        <v>0</v>
      </c>
      <c r="Q1424" s="62" t="s"/>
      <c r="R1424" s="62" t="s"/>
    </row>
    <row r="1425" spans="1:18" ht="15.75" customHeight="true">
      <c r="A1425" s="147">
        <v>46206</v>
      </c>
      <c r="B1425" s="460">
        <v>45840</v>
      </c>
      <c r="C1425" s="64" t="s">
        <v>59</v>
      </c>
      <c r="D1425" s="64" t="s">
        <v>50</v>
      </c>
      <c r="E1425" s="196" t="s">
        <v>3590</v>
      </c>
      <c r="F1425" s="64" t="s">
        <v>428</v>
      </c>
      <c r="G1425" s="308" t="s">
        <v>470</v>
      </c>
      <c r="H1425" s="64" t="s">
        <v>475</v>
      </c>
      <c r="I1425" s="64">
        <v>15</v>
      </c>
      <c r="J1425" s="154">
        <v>3641.13</v>
      </c>
      <c r="K1425" s="427">
        <f>=I1425*J1425</f>
        <v>54616.95</v>
      </c>
      <c r="L1425" s="64">
        <v>3280</v>
      </c>
      <c r="M1425" s="428">
        <f>=I1425*L1425</f>
        <v>49200</v>
      </c>
      <c r="N1425" s="82">
        <f>=K1425-M1425</f>
        <v>5416.95000000001</v>
      </c>
      <c r="O1425" s="62">
        <v>0</v>
      </c>
      <c r="P1425" s="64">
        <f>=I1425*O1425*ROUNDUP((A1425-B1425)/30,0)</f>
        <v>0</v>
      </c>
      <c r="Q1425" s="62" t="s"/>
      <c r="R1425" s="62" t="s"/>
    </row>
    <row r="1426" spans="1:18" ht="15.75" customHeight="true">
      <c r="A1426" s="147">
        <v>46206</v>
      </c>
      <c r="B1426" s="460">
        <v>45840</v>
      </c>
      <c r="C1426" s="64" t="s">
        <v>59</v>
      </c>
      <c r="D1426" s="64" t="s">
        <v>50</v>
      </c>
      <c r="E1426" s="196" t="s">
        <v>3591</v>
      </c>
      <c r="F1426" s="64" t="s">
        <v>428</v>
      </c>
      <c r="G1426" s="308" t="s">
        <v>470</v>
      </c>
      <c r="H1426" s="64" t="s">
        <v>477</v>
      </c>
      <c r="I1426" s="64">
        <v>5</v>
      </c>
      <c r="J1426" s="553">
        <v>3463.51</v>
      </c>
      <c r="K1426" s="427">
        <f>=I1426*J1426</f>
        <v>17317.55</v>
      </c>
      <c r="L1426" s="64">
        <v>3120</v>
      </c>
      <c r="M1426" s="428">
        <f>=I1426*L1426</f>
        <v>15600</v>
      </c>
      <c r="N1426" s="82">
        <f>=K1426-M1426</f>
        <v>1717.55</v>
      </c>
      <c r="O1426" s="62">
        <v>0</v>
      </c>
      <c r="P1426" s="64">
        <f>=I1426*O1426*ROUNDUP((A1426-B1426)/30,0)</f>
        <v>0</v>
      </c>
      <c r="Q1426" s="62" t="s"/>
      <c r="R1426" s="62" t="s"/>
    </row>
    <row r="1427" spans="1:18" ht="15.75" customHeight="true">
      <c r="A1427" s="147">
        <v>46206</v>
      </c>
      <c r="B1427" s="460">
        <v>45840</v>
      </c>
      <c r="C1427" s="64" t="s">
        <v>59</v>
      </c>
      <c r="D1427" s="64" t="s">
        <v>50</v>
      </c>
      <c r="E1427" s="196" t="s">
        <v>3592</v>
      </c>
      <c r="F1427" s="64" t="s">
        <v>428</v>
      </c>
      <c r="G1427" s="64" t="s">
        <v>422</v>
      </c>
      <c r="H1427" s="356" t="s">
        <v>3593</v>
      </c>
      <c r="I1427" s="64">
        <v>10</v>
      </c>
      <c r="J1427" s="154">
        <v>6260.96</v>
      </c>
      <c r="K1427" s="427">
        <f>=I1427*J1427</f>
        <v>62609.6</v>
      </c>
      <c r="L1427" s="64">
        <v>5640</v>
      </c>
      <c r="M1427" s="428">
        <f>=I1427*L1427</f>
        <v>56400</v>
      </c>
      <c r="N1427" s="82">
        <f>=K1427-M1427</f>
        <v>6209.6</v>
      </c>
      <c r="O1427" s="62">
        <v>0</v>
      </c>
      <c r="P1427" s="64">
        <f>=I1427*O1427*ROUNDUP((A1427-B1427)/30,0)</f>
        <v>0</v>
      </c>
      <c r="Q1427" s="62" t="s"/>
      <c r="R1427" s="62" t="s"/>
    </row>
    <row r="1428" spans="1:18" ht="15.75" customHeight="true">
      <c r="A1428" s="147">
        <v>46206</v>
      </c>
      <c r="B1428" s="460">
        <v>45840</v>
      </c>
      <c r="C1428" s="64" t="s">
        <v>59</v>
      </c>
      <c r="D1428" s="64" t="s">
        <v>50</v>
      </c>
      <c r="E1428" s="94" t="s">
        <v>3594</v>
      </c>
      <c r="F1428" s="64" t="s">
        <v>428</v>
      </c>
      <c r="G1428" s="64" t="s">
        <v>422</v>
      </c>
      <c r="H1428" s="356" t="s">
        <v>3595</v>
      </c>
      <c r="I1428" s="249">
        <v>4</v>
      </c>
      <c r="J1428" s="327">
        <v>5008.77</v>
      </c>
      <c r="K1428" s="427">
        <f>=I1428*J1428</f>
        <v>20035.08</v>
      </c>
      <c r="L1428" s="64">
        <v>4512</v>
      </c>
      <c r="M1428" s="428">
        <f>=I1428*L1428</f>
        <v>18048</v>
      </c>
      <c r="N1428" s="82">
        <f>=K1428-M1428</f>
        <v>1987.08</v>
      </c>
      <c r="O1428" s="62">
        <v>0</v>
      </c>
      <c r="P1428" s="64">
        <f>=I1428*O1428*ROUNDUP((A1428-B1428)/30,0)</f>
        <v>0</v>
      </c>
      <c r="Q1428" s="62" t="s"/>
      <c r="R1428" s="62" t="s"/>
    </row>
    <row r="1429" spans="1:18" ht="15.75" customHeight="true">
      <c r="A1429" s="147">
        <v>46207</v>
      </c>
      <c r="B1429" s="460">
        <v>46159</v>
      </c>
      <c r="C1429" s="98" t="s">
        <v>336</v>
      </c>
      <c r="D1429" s="263" t="s">
        <v>335</v>
      </c>
      <c r="E1429" s="263" t="s">
        <v>3596</v>
      </c>
      <c r="F1429" s="108" t="s">
        <v>503</v>
      </c>
      <c r="G1429" s="64" t="s">
        <v>422</v>
      </c>
      <c r="H1429" s="356" t="s">
        <v>1594</v>
      </c>
      <c r="I1429">
        <v>20</v>
      </c>
      <c r="J1429" s="62">
        <v>1561.87</v>
      </c>
      <c r="K1429" s="427">
        <f>=I1429*J1429</f>
        <v>31237.4</v>
      </c>
      <c r="L1429" s="249">
        <v>1540</v>
      </c>
      <c r="M1429" s="428">
        <f>=I1429*L1429</f>
        <v>30800</v>
      </c>
      <c r="N1429" s="82">
        <f>=K1429-M1429</f>
        <v>437.399999999998</v>
      </c>
      <c r="O1429" s="62">
        <v>1</v>
      </c>
      <c r="P1429" s="64">
        <f>=I1429*O1429*ROUNDUP((A1429-B1429)/30,0)</f>
        <v>40</v>
      </c>
      <c r="Q1429" s="62" t="s"/>
      <c r="R1429" s="62" t="s"/>
    </row>
    <row r="1430" spans="1:18" ht="15.75" customHeight="true">
      <c r="A1430" s="147">
        <v>46207</v>
      </c>
      <c r="B1430" s="460">
        <v>46159</v>
      </c>
      <c r="C1430" s="98" t="s">
        <v>336</v>
      </c>
      <c r="D1430" s="263" t="s">
        <v>335</v>
      </c>
      <c r="E1430" s="263" t="s">
        <v>3597</v>
      </c>
      <c r="F1430" s="108" t="s">
        <v>503</v>
      </c>
      <c r="G1430" s="64" t="s">
        <v>422</v>
      </c>
      <c r="H1430" s="64" t="s">
        <v>1592</v>
      </c>
      <c r="I1430">
        <v>20</v>
      </c>
      <c r="J1430" s="62">
        <v>1561.87</v>
      </c>
      <c r="K1430" s="427">
        <f>=I1430*J1430</f>
        <v>31237.4</v>
      </c>
      <c r="L1430" s="140">
        <v>1540</v>
      </c>
      <c r="M1430" s="428">
        <f>=I1430*L1430</f>
        <v>30800</v>
      </c>
      <c r="N1430" s="82">
        <f>=K1430-M1430</f>
        <v>437.399999999998</v>
      </c>
      <c r="O1430" s="62">
        <v>1</v>
      </c>
      <c r="P1430" s="64">
        <f>=I1430*O1430*ROUNDUP((A1430-B1430)/30,0)</f>
        <v>40</v>
      </c>
      <c r="Q1430" s="62" t="s"/>
      <c r="R1430" s="62" t="s"/>
    </row>
    <row r="1431" spans="1:18" ht="15.75" customHeight="true">
      <c r="A1431" s="147">
        <v>46207</v>
      </c>
      <c r="B1431" s="460">
        <v>46099</v>
      </c>
      <c r="C1431" s="80" t="s">
        <v>152</v>
      </c>
      <c r="D1431" s="64" t="s">
        <v>135</v>
      </c>
      <c r="E1431" s="471" t="s">
        <v>3598</v>
      </c>
      <c r="F1431" s="194" t="s">
        <v>428</v>
      </c>
      <c r="G1431" s="194" t="s">
        <v>422</v>
      </c>
      <c r="H1431" s="64" t="s">
        <v>912</v>
      </c>
      <c r="I1431">
        <v>95</v>
      </c>
      <c r="J1431" s="62">
        <v>1164.74</v>
      </c>
      <c r="K1431" s="427">
        <f>=I1431*J1431</f>
        <v>110650.3</v>
      </c>
      <c r="L1431" s="64">
        <v>1128</v>
      </c>
      <c r="M1431" s="428">
        <f>=I1431*L1431</f>
        <v>107160</v>
      </c>
      <c r="N1431" s="82">
        <f>=K1431-M1431</f>
        <v>3490.3</v>
      </c>
      <c r="O1431" s="62">
        <v>1</v>
      </c>
      <c r="P1431" s="64">
        <f>=I1431*O1431*ROUNDUP((A1431-B1431)/30,0)</f>
        <v>380</v>
      </c>
      <c r="Q1431" s="62" t="s"/>
      <c r="R1431" s="62" t="s"/>
    </row>
    <row r="1432" spans="1:18" ht="15.75" customHeight="true">
      <c r="A1432" s="147">
        <v>46207</v>
      </c>
      <c r="B1432" s="460">
        <v>46162</v>
      </c>
      <c r="C1432" s="98" t="s">
        <v>343</v>
      </c>
      <c r="D1432" s="71" t="s">
        <v>135</v>
      </c>
      <c r="E1432" s="365" t="s">
        <v>3599</v>
      </c>
      <c r="F1432" t="s">
        <v>428</v>
      </c>
      <c r="G1432" t="s">
        <v>422</v>
      </c>
      <c r="H1432" s="64" t="s">
        <v>859</v>
      </c>
      <c r="I1432">
        <v>100</v>
      </c>
      <c r="J1432" s="62">
        <v>1014.5</v>
      </c>
      <c r="K1432" s="427">
        <f>=I1432*J1432</f>
        <v>101450</v>
      </c>
      <c r="L1432" s="249">
        <v>1000</v>
      </c>
      <c r="M1432" s="428">
        <f>=I1432*L1432</f>
        <v>100000</v>
      </c>
      <c r="N1432" s="82">
        <f>=K1432-M1432</f>
        <v>1450</v>
      </c>
      <c r="O1432" s="62">
        <v>1</v>
      </c>
      <c r="P1432" s="64">
        <f>=I1432*O1432*ROUNDUP((A1432-B1432)/30,0)</f>
        <v>200</v>
      </c>
      <c r="Q1432" s="62" t="s"/>
      <c r="R1432" s="62" t="s"/>
    </row>
    <row r="1433" spans="1:18" ht="15.75" customHeight="true">
      <c r="A1433" s="147">
        <v>46207</v>
      </c>
      <c r="B1433" s="460">
        <v>46100</v>
      </c>
      <c r="C1433" s="71" t="s">
        <v>179</v>
      </c>
      <c r="D1433" s="71" t="s">
        <v>52</v>
      </c>
      <c r="E1433" s="495" t="s">
        <v>3600</v>
      </c>
      <c r="F1433" s="140" t="s">
        <v>428</v>
      </c>
      <c r="G1433" s="140" t="s">
        <v>422</v>
      </c>
      <c r="H1433" s="140" t="s">
        <v>926</v>
      </c>
      <c r="I1433">
        <v>20</v>
      </c>
      <c r="J1433" s="554">
        <v>2968.49</v>
      </c>
      <c r="K1433" s="427">
        <f>=I1433*J1433</f>
        <v>59369.8</v>
      </c>
      <c r="L1433" s="71">
        <v>2800</v>
      </c>
      <c r="M1433" s="428">
        <f>=I1433*L1433</f>
        <v>56000</v>
      </c>
      <c r="N1433" s="82">
        <f>=K1433-M1433</f>
        <v>3369.8</v>
      </c>
      <c r="O1433" s="62">
        <v>0</v>
      </c>
      <c r="P1433" s="64">
        <f>=I1433*O1433*ROUNDUP((A1433-B1433)/30,0)</f>
        <v>0</v>
      </c>
      <c r="Q1433" s="62" t="s"/>
      <c r="R1433" s="62" t="s"/>
    </row>
    <row r="1434" spans="1:18" ht="15.75" customHeight="true">
      <c r="A1434" s="147">
        <v>46207</v>
      </c>
      <c r="B1434" s="460">
        <v>46100</v>
      </c>
      <c r="C1434" s="71" t="s">
        <v>158</v>
      </c>
      <c r="D1434" s="71" t="s">
        <v>52</v>
      </c>
      <c r="E1434" s="495" t="s">
        <v>3601</v>
      </c>
      <c r="F1434" s="140" t="s">
        <v>428</v>
      </c>
      <c r="G1434" s="140" t="s">
        <v>422</v>
      </c>
      <c r="H1434" s="140" t="s">
        <v>931</v>
      </c>
      <c r="I1434">
        <v>10</v>
      </c>
      <c r="J1434" s="554">
        <v>2913.8</v>
      </c>
      <c r="K1434" s="427">
        <f>=I1434*J1434</f>
        <v>29138</v>
      </c>
      <c r="L1434" s="71">
        <v>2824</v>
      </c>
      <c r="M1434" s="428">
        <f>=I1434*L1434</f>
        <v>28240</v>
      </c>
      <c r="N1434" s="82">
        <f>=K1434-M1434</f>
        <v>898</v>
      </c>
      <c r="O1434" s="62">
        <v>0</v>
      </c>
      <c r="P1434" s="64">
        <f>=I1434*O1434*ROUNDUP((A1434-B1434)/30,0)</f>
        <v>0</v>
      </c>
      <c r="Q1434" s="62" t="s"/>
      <c r="R1434" s="62" t="s"/>
    </row>
    <row r="1435" spans="1:18" ht="15.75" customHeight="true">
      <c r="A1435" s="147">
        <v>46209</v>
      </c>
      <c r="B1435" s="555">
        <v>46114</v>
      </c>
      <c r="C1435" s="98" t="s">
        <v>234</v>
      </c>
      <c r="D1435" s="71" t="s">
        <v>215</v>
      </c>
      <c r="E1435" s="145" t="s">
        <v>3602</v>
      </c>
      <c r="F1435" s="140" t="s">
        <v>421</v>
      </c>
      <c r="G1435" s="140" t="s">
        <v>470</v>
      </c>
      <c r="H1435" t="s">
        <v>1290</v>
      </c>
      <c r="I1435">
        <v>50</v>
      </c>
      <c r="J1435" s="62">
        <v>2875.2</v>
      </c>
      <c r="K1435" s="427">
        <f>=I1435*J1435</f>
        <v>143760</v>
      </c>
      <c r="L1435" s="140">
        <v>2800</v>
      </c>
      <c r="M1435" s="428">
        <f>=I1435*L1435</f>
        <v>140000</v>
      </c>
      <c r="N1435" s="82">
        <f>=K1435-M1435</f>
        <v>3760</v>
      </c>
      <c r="O1435" s="62">
        <v>1</v>
      </c>
      <c r="P1435" s="64">
        <f>=I1435*O1435*ROUNDUP((A1435-B1435)/30,0)</f>
        <v>200</v>
      </c>
      <c r="Q1435" s="62" t="s"/>
      <c r="R1435" s="62" t="s"/>
    </row>
    <row r="1436" spans="1:18" ht="15.75" customHeight="true">
      <c r="A1436" s="147">
        <v>46209</v>
      </c>
      <c r="B1436" s="460">
        <v>46089</v>
      </c>
      <c r="C1436" s="98" t="s">
        <v>136</v>
      </c>
      <c r="D1436" s="71" t="s">
        <v>135</v>
      </c>
      <c r="E1436" s="511" t="s">
        <v>3603</v>
      </c>
      <c r="F1436" s="71" t="s">
        <v>428</v>
      </c>
      <c r="G1436" s="71" t="s">
        <v>422</v>
      </c>
      <c r="H1436" s="64" t="s">
        <v>861</v>
      </c>
      <c r="I1436">
        <v>160</v>
      </c>
      <c r="J1436" s="339">
        <v>1199.78</v>
      </c>
      <c r="K1436" s="427">
        <f>=I1436*J1436</f>
        <v>191964.8</v>
      </c>
      <c r="L1436" s="62">
        <v>1160</v>
      </c>
      <c r="M1436" s="428">
        <f>=I1436*L1436</f>
        <v>185600</v>
      </c>
      <c r="N1436" s="82">
        <f>=K1436-M1436</f>
        <v>6364.79999999999</v>
      </c>
      <c r="O1436" s="62">
        <v>1</v>
      </c>
      <c r="P1436" s="64">
        <f>=I1436*O1436*ROUNDUP((A1436-B1436)/30,0)</f>
        <v>640</v>
      </c>
      <c r="Q1436" s="62" t="s"/>
      <c r="R1436" s="62" t="s"/>
    </row>
    <row r="1437" spans="1:18" ht="15.75" customHeight="true">
      <c r="A1437" s="147">
        <v>46209</v>
      </c>
      <c r="B1437" s="460">
        <v>46111</v>
      </c>
      <c r="C1437" s="556" t="s">
        <v>209</v>
      </c>
      <c r="D1437" s="307" t="s">
        <v>135</v>
      </c>
      <c r="E1437" s="557" t="s">
        <v>3604</v>
      </c>
      <c r="F1437" s="307" t="s">
        <v>428</v>
      </c>
      <c r="G1437" s="307" t="s">
        <v>422</v>
      </c>
      <c r="H1437" s="307" t="s">
        <v>861</v>
      </c>
      <c r="I1437">
        <v>20</v>
      </c>
      <c r="J1437" s="154">
        <v>1117.85</v>
      </c>
      <c r="K1437" s="427">
        <f>=I1437*J1437</f>
        <v>22357</v>
      </c>
      <c r="L1437" s="243">
        <v>1085</v>
      </c>
      <c r="M1437" s="428">
        <f>=I1437*L1437</f>
        <v>21700</v>
      </c>
      <c r="N1437" s="82">
        <f>=K1437-M1437</f>
        <v>657</v>
      </c>
      <c r="O1437" s="62">
        <v>1</v>
      </c>
      <c r="P1437" s="64">
        <f>=I1437*O1437*ROUNDUP((A1437-B1437)/30,0)</f>
        <v>80</v>
      </c>
      <c r="Q1437" s="62" t="s"/>
      <c r="R1437" s="62" t="s"/>
    </row>
    <row r="1438" spans="1:18" ht="15.75" customHeight="true">
      <c r="A1438" s="147">
        <v>46209</v>
      </c>
      <c r="B1438" s="460">
        <v>46111</v>
      </c>
      <c r="C1438" s="110" t="s">
        <v>209</v>
      </c>
      <c r="D1438" s="83" t="s">
        <v>135</v>
      </c>
      <c r="E1438" s="471" t="s">
        <v>3605</v>
      </c>
      <c r="F1438" s="315" t="s">
        <v>428</v>
      </c>
      <c r="G1438" s="83" t="s">
        <v>422</v>
      </c>
      <c r="H1438" s="83" t="s">
        <v>861</v>
      </c>
      <c r="I1438" s="396">
        <v>100</v>
      </c>
      <c r="J1438" s="203">
        <v>1117.85</v>
      </c>
      <c r="K1438" s="427">
        <f>=I1438*J1438</f>
        <v>111785</v>
      </c>
      <c r="L1438" s="243">
        <v>1085</v>
      </c>
      <c r="M1438" s="428">
        <f>=I1438*L1438</f>
        <v>108500</v>
      </c>
      <c r="N1438" s="82">
        <f>=K1438-M1438</f>
        <v>3284.99999999999</v>
      </c>
      <c r="O1438" s="62">
        <v>1</v>
      </c>
      <c r="P1438" s="64">
        <f>=I1438*O1438*ROUNDUP((A1438-B1438)/30,0)</f>
        <v>400</v>
      </c>
      <c r="Q1438" s="62" t="s"/>
      <c r="R1438" s="62" t="s"/>
    </row>
    <row r="1439" spans="1:18" ht="15.75" customHeight="true">
      <c r="A1439" s="147">
        <v>46209</v>
      </c>
      <c r="B1439" s="460">
        <v>46111</v>
      </c>
      <c r="C1439" s="98" t="s">
        <v>209</v>
      </c>
      <c r="D1439" s="71" t="s">
        <v>135</v>
      </c>
      <c r="E1439" s="511" t="s">
        <v>3606</v>
      </c>
      <c r="F1439" s="558" t="s">
        <v>428</v>
      </c>
      <c r="G1439" s="204" t="s">
        <v>422</v>
      </c>
      <c r="H1439" s="64" t="s">
        <v>859</v>
      </c>
      <c r="I1439">
        <v>60</v>
      </c>
      <c r="J1439" s="154">
        <v>1117.85</v>
      </c>
      <c r="K1439" s="427">
        <f>=I1439*J1439</f>
        <v>67071</v>
      </c>
      <c r="L1439" s="243">
        <v>1085</v>
      </c>
      <c r="M1439" s="428">
        <f>=I1439*L1439</f>
        <v>65100</v>
      </c>
      <c r="N1439" s="82">
        <f>=K1439-M1439</f>
        <v>1971</v>
      </c>
      <c r="O1439" s="62">
        <v>1</v>
      </c>
      <c r="P1439" s="64">
        <f>=I1439*O1439*ROUNDUP((A1439-B1439)/30,0)</f>
        <v>240</v>
      </c>
      <c r="Q1439" s="62" t="s"/>
      <c r="R1439" s="62" t="s"/>
    </row>
    <row r="1440" spans="1:16">
      <c r="A1440" s="147">
        <v>46209</v>
      </c>
      <c r="B1440" s="527">
        <v>46105</v>
      </c>
      <c r="C1440" s="98" t="s">
        <v>184</v>
      </c>
      <c r="D1440" s="71" t="s">
        <v>138</v>
      </c>
      <c r="E1440" s="511" t="s">
        <v>3607</v>
      </c>
      <c r="F1440" s="71" t="s">
        <v>864</v>
      </c>
      <c r="G1440" s="71" t="s">
        <v>422</v>
      </c>
      <c r="H1440" s="71" t="s">
        <v>1020</v>
      </c>
      <c r="I1440">
        <v>40</v>
      </c>
      <c r="J1440" s="154">
        <v>1853.25</v>
      </c>
      <c r="K1440" s="427">
        <f>=I1440*J1440</f>
        <v>74130</v>
      </c>
      <c r="L1440" s="71">
        <v>1800</v>
      </c>
      <c r="M1440" s="428">
        <f>=I1440*L1440</f>
        <v>72000</v>
      </c>
      <c r="N1440" s="82">
        <f>=K1440-M1440</f>
        <v>2130</v>
      </c>
      <c r="O1440" s="62">
        <v>1</v>
      </c>
      <c r="P1440" s="64">
        <f>=I1440*O1440*ROUNDUP((A1440-B1440)/30,0)</f>
        <v>160</v>
      </c>
    </row>
    <row r="1441" spans="1:18" ht="15.75" customHeight="true">
      <c r="A1441" s="147">
        <v>46209</v>
      </c>
      <c r="B1441" s="460">
        <v>46106</v>
      </c>
      <c r="C1441" s="98" t="s">
        <v>188</v>
      </c>
      <c r="D1441" s="71" t="s">
        <v>138</v>
      </c>
      <c r="E1441" s="511" t="s">
        <v>3608</v>
      </c>
      <c r="F1441" s="71" t="s">
        <v>864</v>
      </c>
      <c r="G1441" s="71" t="s">
        <v>422</v>
      </c>
      <c r="H1441" s="71" t="s">
        <v>1020</v>
      </c>
      <c r="I1441">
        <v>40</v>
      </c>
      <c r="J1441" s="402">
        <v>1852.8</v>
      </c>
      <c r="K1441" s="427">
        <f>=I1441*J1441</f>
        <v>74112</v>
      </c>
      <c r="L1441" s="71">
        <v>1800</v>
      </c>
      <c r="M1441" s="428">
        <f>=I1441*L1441</f>
        <v>72000</v>
      </c>
      <c r="N1441" s="82">
        <f>=K1441-M1441</f>
        <v>2112</v>
      </c>
      <c r="O1441" s="62">
        <v>1</v>
      </c>
      <c r="P1441" s="64">
        <f>=I1441*O1441*ROUNDUP((A1441-B1441)/30,0)</f>
        <v>160</v>
      </c>
      <c r="Q1441" s="62" t="s"/>
      <c r="R1441" s="62" t="s"/>
    </row>
    <row r="1442" spans="1:18" ht="15.75" customHeight="true">
      <c r="A1442" s="147">
        <v>46209</v>
      </c>
      <c r="B1442" s="555">
        <v>46121</v>
      </c>
      <c r="C1442" s="71" t="s">
        <v>240</v>
      </c>
      <c r="D1442" s="263" t="s">
        <v>239</v>
      </c>
      <c r="E1442" s="263" t="s">
        <v>3609</v>
      </c>
      <c r="F1442" s="136" t="s">
        <v>1753</v>
      </c>
      <c r="G1442" s="263" t="s">
        <v>470</v>
      </c>
      <c r="H1442" s="263" t="s">
        <v>1756</v>
      </c>
      <c r="I1442">
        <v>20</v>
      </c>
      <c r="J1442" s="62">
        <v>3890.55</v>
      </c>
      <c r="K1442" s="427">
        <f>=I1442*J1442</f>
        <v>77811</v>
      </c>
      <c r="L1442">
        <v>3800</v>
      </c>
      <c r="M1442" s="428">
        <f>=I1442*L1442</f>
        <v>76000</v>
      </c>
      <c r="N1442" s="82">
        <f>=K1442-M1442</f>
        <v>1811</v>
      </c>
      <c r="O1442" s="62">
        <v>1.5</v>
      </c>
      <c r="P1442" s="64">
        <f>=I1442*O1442*ROUNDUP((A1442-B1442)/30,0)</f>
        <v>90</v>
      </c>
      <c r="Q1442" s="62" t="s"/>
      <c r="R1442" s="62" t="s"/>
    </row>
    <row r="1443" spans="1:18" ht="15.75" customHeight="true">
      <c r="A1443" s="147">
        <v>46210</v>
      </c>
      <c r="B1443" s="460">
        <v>46106</v>
      </c>
      <c r="C1443" s="98" t="s">
        <v>188</v>
      </c>
      <c r="D1443" s="71" t="s">
        <v>138</v>
      </c>
      <c r="E1443" s="511" t="s">
        <v>3610</v>
      </c>
      <c r="F1443" s="71" t="s">
        <v>864</v>
      </c>
      <c r="G1443" s="71" t="s">
        <v>422</v>
      </c>
      <c r="H1443" s="71" t="s">
        <v>1020</v>
      </c>
      <c r="I1443">
        <v>160</v>
      </c>
      <c r="J1443" s="62">
        <v>1853.25</v>
      </c>
      <c r="K1443" s="427">
        <f>=I1443*J1443</f>
        <v>296520</v>
      </c>
      <c r="L1443" s="71">
        <v>1800</v>
      </c>
      <c r="M1443" s="428">
        <f>=I1443*L1443</f>
        <v>288000</v>
      </c>
      <c r="N1443" s="82">
        <f>=K1443-M1443</f>
        <v>8520</v>
      </c>
      <c r="O1443" s="62">
        <v>1</v>
      </c>
      <c r="P1443" s="64">
        <f>=I1443*O1443*ROUNDUP((A1443-B1443)/30,0)</f>
        <v>640</v>
      </c>
      <c r="Q1443" s="62" t="s"/>
      <c r="R1443" s="62" t="s"/>
    </row>
    <row r="1444" spans="1:18" ht="15.75" customHeight="true">
      <c r="A1444" s="147">
        <v>46210</v>
      </c>
      <c r="B1444" s="555">
        <v>46113</v>
      </c>
      <c r="C1444" s="135" t="s">
        <v>231</v>
      </c>
      <c r="D1444" s="71" t="s">
        <v>211</v>
      </c>
      <c r="E1444" s="511" t="s">
        <v>3611</v>
      </c>
      <c r="F1444" s="263" t="s">
        <v>421</v>
      </c>
      <c r="G1444" s="263" t="s">
        <v>470</v>
      </c>
      <c r="H1444" s="308" t="s">
        <v>1284</v>
      </c>
      <c r="I1444">
        <v>35</v>
      </c>
      <c r="J1444" s="507">
        <v>3306.89</v>
      </c>
      <c r="K1444" s="427">
        <f>=I1444*J1444</f>
        <v>115741.15</v>
      </c>
      <c r="L1444">
        <v>3220</v>
      </c>
      <c r="M1444" s="428">
        <f>=I1444*L1444</f>
        <v>112700</v>
      </c>
      <c r="N1444" s="82">
        <f>=K1444-M1444</f>
        <v>3041.14999999999</v>
      </c>
      <c r="O1444" s="62">
        <v>1.5</v>
      </c>
      <c r="P1444" s="64">
        <f>=I1444*O1444*ROUNDUP((A1444-B1444)/30,0)</f>
        <v>210</v>
      </c>
      <c r="Q1444" s="62" t="s"/>
      <c r="R1444" s="62" t="s"/>
    </row>
    <row r="1445" spans="1:18" ht="15.75" customHeight="true">
      <c r="A1445" s="147">
        <v>46210</v>
      </c>
      <c r="B1445" s="555">
        <v>46131</v>
      </c>
      <c r="C1445" s="135" t="s">
        <v>269</v>
      </c>
      <c r="D1445" s="71" t="s">
        <v>211</v>
      </c>
      <c r="E1445" s="145" t="s">
        <v>3612</v>
      </c>
      <c r="F1445" s="308" t="s">
        <v>421</v>
      </c>
      <c r="G1445" s="308" t="s">
        <v>470</v>
      </c>
      <c r="H1445" s="308" t="s">
        <v>1284</v>
      </c>
      <c r="I1445">
        <v>5</v>
      </c>
      <c r="J1445" s="249">
        <v>3117</v>
      </c>
      <c r="K1445" s="427">
        <f>=I1445*J1445</f>
        <v>15585</v>
      </c>
      <c r="L1445">
        <v>3050</v>
      </c>
      <c r="M1445" s="428">
        <f>=I1445*L1445</f>
        <v>15250</v>
      </c>
      <c r="N1445" s="82">
        <f>=K1445-M1445</f>
        <v>335</v>
      </c>
      <c r="O1445" s="62">
        <v>1.5</v>
      </c>
      <c r="P1445" s="64">
        <f>=I1445*O1445*ROUNDUP((A1445-B1445)/30,0)</f>
        <v>22.5</v>
      </c>
      <c r="Q1445" s="62" t="s"/>
      <c r="R1445" s="62" t="s"/>
    </row>
    <row r="1446" spans="1:18" ht="15.75" customHeight="true">
      <c r="A1446" s="147">
        <v>46210</v>
      </c>
      <c r="B1446" s="555">
        <v>46131</v>
      </c>
      <c r="C1446" s="98" t="s">
        <v>269</v>
      </c>
      <c r="D1446" s="71" t="s">
        <v>211</v>
      </c>
      <c r="E1446" s="145" t="s">
        <v>3613</v>
      </c>
      <c r="F1446" s="308" t="s">
        <v>421</v>
      </c>
      <c r="G1446" s="308" t="s">
        <v>470</v>
      </c>
      <c r="H1446" s="308" t="s">
        <v>1284</v>
      </c>
      <c r="I1446">
        <v>60</v>
      </c>
      <c r="J1446" s="249">
        <v>3117</v>
      </c>
      <c r="K1446" s="427">
        <f>=I1446*J1446</f>
        <v>187020</v>
      </c>
      <c r="L1446">
        <v>3050</v>
      </c>
      <c r="M1446" s="428">
        <f>=I1446*L1446</f>
        <v>183000</v>
      </c>
      <c r="N1446" s="82">
        <f>=K1446-M1446</f>
        <v>4020</v>
      </c>
      <c r="O1446" s="62">
        <v>1.5</v>
      </c>
      <c r="P1446" s="64">
        <f>=I1446*O1446*ROUNDUP((A1446-B1446)/30,0)</f>
        <v>270</v>
      </c>
      <c r="Q1446" s="62" t="s"/>
      <c r="R1446" s="62" t="s"/>
    </row>
    <row r="1447" spans="1:18" ht="15.75" customHeight="true">
      <c r="A1447" s="147">
        <v>46210</v>
      </c>
      <c r="B1447" s="555">
        <v>46151</v>
      </c>
      <c r="C1447" s="98" t="s">
        <v>315</v>
      </c>
      <c r="D1447" s="263" t="s">
        <v>301</v>
      </c>
      <c r="E1447" s="263" t="s">
        <v>3614</v>
      </c>
      <c r="F1447" t="s">
        <v>1438</v>
      </c>
      <c r="G1447" t="s">
        <v>422</v>
      </c>
      <c r="H1447" t="s">
        <v>2071</v>
      </c>
      <c r="I1447">
        <v>7</v>
      </c>
      <c r="J1447" s="203">
        <v>916.5</v>
      </c>
      <c r="K1447" s="427">
        <f>=I1447*J1447</f>
        <v>6415.5</v>
      </c>
      <c r="L1447" s="402">
        <v>900</v>
      </c>
      <c r="M1447" s="428">
        <f>=I1447*L1447</f>
        <v>6300</v>
      </c>
      <c r="N1447" s="82">
        <f>=K1447-M1447</f>
        <v>115.5</v>
      </c>
      <c r="O1447" s="62">
        <v>1</v>
      </c>
      <c r="P1447" s="64">
        <f>=I1447*O1447*ROUNDUP((A1447-B1447)/30,0)</f>
        <v>14</v>
      </c>
      <c r="Q1447" s="62" t="s"/>
      <c r="R1447" s="62" t="s"/>
    </row>
    <row r="1448" spans="1:18" ht="15.75" customHeight="true">
      <c r="A1448" s="147">
        <v>46210</v>
      </c>
      <c r="B1448" s="555">
        <v>46151</v>
      </c>
      <c r="C1448" s="98" t="s">
        <v>315</v>
      </c>
      <c r="D1448" s="263" t="s">
        <v>301</v>
      </c>
      <c r="E1448" s="263" t="s">
        <v>3615</v>
      </c>
      <c r="F1448" t="s">
        <v>1438</v>
      </c>
      <c r="G1448" t="s">
        <v>422</v>
      </c>
      <c r="H1448" t="s">
        <v>2073</v>
      </c>
      <c r="I1448">
        <v>7</v>
      </c>
      <c r="J1448" s="402">
        <v>916.5</v>
      </c>
      <c r="K1448" s="427">
        <f>=I1448*J1448</f>
        <v>6415.5</v>
      </c>
      <c r="L1448" s="402">
        <v>900</v>
      </c>
      <c r="M1448" s="428">
        <f>=I1448*L1448</f>
        <v>6300</v>
      </c>
      <c r="N1448" s="82">
        <f>=K1448-M1448</f>
        <v>115.5</v>
      </c>
      <c r="O1448" s="62">
        <v>1</v>
      </c>
      <c r="P1448" s="64">
        <f>=I1448*O1448*ROUNDUP((A1448-B1448)/30,0)</f>
        <v>14</v>
      </c>
      <c r="Q1448" s="62" t="s"/>
      <c r="R1448" s="62" t="s"/>
    </row>
    <row r="1449" spans="1:18" ht="15.75" customHeight="true">
      <c r="A1449" s="147">
        <v>46210</v>
      </c>
      <c r="B1449" s="555">
        <v>46151</v>
      </c>
      <c r="C1449" s="98" t="s">
        <v>315</v>
      </c>
      <c r="D1449" s="263" t="s">
        <v>301</v>
      </c>
      <c r="E1449" s="263" t="s">
        <v>3616</v>
      </c>
      <c r="F1449" t="s">
        <v>1438</v>
      </c>
      <c r="G1449" t="s">
        <v>422</v>
      </c>
      <c r="H1449" t="s">
        <v>2075</v>
      </c>
      <c r="I1449">
        <v>7</v>
      </c>
      <c r="J1449" s="402">
        <v>916.5</v>
      </c>
      <c r="K1449" s="427">
        <f>=I1449*J1449</f>
        <v>6415.5</v>
      </c>
      <c r="L1449">
        <v>900</v>
      </c>
      <c r="M1449" s="428">
        <f>=I1449*L1449</f>
        <v>6300</v>
      </c>
      <c r="N1449" s="82">
        <f>=K1449-M1449</f>
        <v>115.5</v>
      </c>
      <c r="O1449" s="62">
        <v>1</v>
      </c>
      <c r="P1449" s="64">
        <f>=I1449*O1449*ROUNDUP((A1449-B1449)/30,0)</f>
        <v>14</v>
      </c>
      <c r="Q1449" s="62" t="s"/>
      <c r="R1449" s="62" t="s"/>
    </row>
    <row r="1450" spans="1:18" ht="15.75" customHeight="true">
      <c r="A1450" s="147">
        <v>46210</v>
      </c>
      <c r="B1450" s="460">
        <v>46100</v>
      </c>
      <c r="C1450" s="71" t="s">
        <v>158</v>
      </c>
      <c r="D1450" s="71" t="s">
        <v>52</v>
      </c>
      <c r="E1450" s="495" t="s">
        <v>3617</v>
      </c>
      <c r="F1450" s="140" t="s">
        <v>428</v>
      </c>
      <c r="G1450" s="140" t="s">
        <v>422</v>
      </c>
      <c r="H1450" s="140" t="s">
        <v>926</v>
      </c>
      <c r="I1450" s="388">
        <v>10</v>
      </c>
      <c r="J1450" s="203">
        <v>2978.8</v>
      </c>
      <c r="K1450" s="427">
        <f>=I1450*J1450</f>
        <v>29788</v>
      </c>
      <c r="L1450" s="71">
        <v>2877</v>
      </c>
      <c r="M1450" s="428">
        <f>=I1450*L1450</f>
        <v>28770</v>
      </c>
      <c r="N1450" s="82">
        <f>=K1450-M1450</f>
        <v>1018</v>
      </c>
      <c r="O1450" s="62">
        <v>0</v>
      </c>
      <c r="P1450" s="64">
        <f>=I1450*O1450*ROUNDUP((A1450-B1450)/30,0)</f>
        <v>0</v>
      </c>
      <c r="Q1450" s="62" t="s"/>
      <c r="R1450" s="62" t="s"/>
    </row>
    <row r="1451" spans="1:18" ht="15.75" customHeight="true">
      <c r="A1451" s="147">
        <v>46210</v>
      </c>
      <c r="B1451" s="555">
        <v>46115</v>
      </c>
      <c r="C1451" s="71" t="s">
        <v>232</v>
      </c>
      <c r="D1451" s="64" t="s">
        <v>52</v>
      </c>
      <c r="E1451" s="515" t="s">
        <v>3618</v>
      </c>
      <c r="F1451" s="269" t="s">
        <v>428</v>
      </c>
      <c r="G1451" s="320" t="s">
        <v>429</v>
      </c>
      <c r="H1451" s="320" t="s">
        <v>1665</v>
      </c>
      <c r="I1451" s="331">
        <v>8</v>
      </c>
      <c r="J1451" s="249">
        <v>1300.29</v>
      </c>
      <c r="K1451" s="427">
        <f>=I1451*J1451</f>
        <v>10402.32</v>
      </c>
      <c r="L1451" s="321">
        <v>1260</v>
      </c>
      <c r="M1451" s="428">
        <f>=I1451*L1451</f>
        <v>10080</v>
      </c>
      <c r="N1451" s="82">
        <f>=K1451-M1451</f>
        <v>322.32</v>
      </c>
      <c r="O1451" s="62">
        <v>0</v>
      </c>
      <c r="P1451" s="64">
        <f>=I1451*O1451*ROUNDUP((A1451-B1451)/30,0)</f>
        <v>0</v>
      </c>
      <c r="Q1451" s="62" t="s"/>
      <c r="R1451" s="62" t="s"/>
    </row>
    <row r="1452" spans="1:18" ht="15.75" customHeight="true">
      <c r="A1452" s="147">
        <v>46211</v>
      </c>
      <c r="B1452" s="555">
        <v>46114</v>
      </c>
      <c r="C1452" s="98" t="s">
        <v>234</v>
      </c>
      <c r="D1452" s="71" t="s">
        <v>215</v>
      </c>
      <c r="E1452" s="145" t="s">
        <v>3619</v>
      </c>
      <c r="F1452" s="140" t="s">
        <v>421</v>
      </c>
      <c r="G1452" s="140" t="s">
        <v>470</v>
      </c>
      <c r="H1452" s="308" t="s">
        <v>1424</v>
      </c>
      <c r="I1452">
        <v>50</v>
      </c>
      <c r="J1452">
        <v>2875.9</v>
      </c>
      <c r="K1452" s="427">
        <f>=I1452*J1452</f>
        <v>143795</v>
      </c>
      <c r="L1452">
        <v>2800</v>
      </c>
      <c r="M1452" s="428">
        <f>=I1452*L1452</f>
        <v>140000</v>
      </c>
      <c r="N1452" s="82">
        <f>=K1452-M1452</f>
        <v>3795</v>
      </c>
      <c r="O1452" s="62">
        <v>1.5</v>
      </c>
      <c r="P1452" s="64">
        <f>=I1452*O1452*ROUNDUP((A1452-B1452)/30,0)</f>
        <v>300</v>
      </c>
      <c r="Q1452" s="62" t="s"/>
      <c r="R1452" s="62" t="s"/>
    </row>
    <row r="1453" spans="1:18" ht="15.75" customHeight="true">
      <c r="A1453" s="147">
        <v>46211</v>
      </c>
      <c r="B1453" s="460">
        <v>46104</v>
      </c>
      <c r="C1453" s="98" t="s">
        <v>180</v>
      </c>
      <c r="D1453" s="162" t="s">
        <v>156</v>
      </c>
      <c r="E1453" s="145" t="s">
        <v>3620</v>
      </c>
      <c r="F1453" s="108" t="s">
        <v>421</v>
      </c>
      <c r="G1453" s="108" t="s">
        <v>470</v>
      </c>
      <c r="H1453" s="108" t="s">
        <v>914</v>
      </c>
      <c r="I1453">
        <v>50</v>
      </c>
      <c r="J1453" s="402">
        <v>6054.56</v>
      </c>
      <c r="K1453" s="427">
        <f>=I1453*J1453</f>
        <v>302728</v>
      </c>
      <c r="L1453" s="71">
        <v>5900</v>
      </c>
      <c r="M1453" s="428">
        <f>=I1453*L1453</f>
        <v>295000</v>
      </c>
      <c r="N1453" s="82">
        <f>=K1453-M1453</f>
        <v>7728</v>
      </c>
      <c r="O1453" s="62">
        <v>1.5</v>
      </c>
      <c r="P1453" s="64">
        <f>=I1453*O1453*ROUNDUP((A1453-B1453)/30,0)</f>
        <v>300</v>
      </c>
      <c r="Q1453" s="62" t="s"/>
      <c r="R1453" s="62" t="s"/>
    </row>
    <row r="1454" spans="1:18" ht="15.75" customHeight="true">
      <c r="A1454" s="147">
        <v>46211</v>
      </c>
      <c r="B1454" s="460">
        <v>46104</v>
      </c>
      <c r="C1454" s="98" t="s">
        <v>180</v>
      </c>
      <c r="D1454" s="162" t="s">
        <v>156</v>
      </c>
      <c r="E1454" s="145" t="s">
        <v>3621</v>
      </c>
      <c r="F1454" s="108" t="s">
        <v>421</v>
      </c>
      <c r="G1454" s="108" t="s">
        <v>470</v>
      </c>
      <c r="H1454" s="108" t="s">
        <v>914</v>
      </c>
      <c r="I1454">
        <v>50</v>
      </c>
      <c r="J1454" s="203">
        <v>6054.56</v>
      </c>
      <c r="K1454" s="427">
        <f>=I1454*J1454</f>
        <v>302728</v>
      </c>
      <c r="L1454" s="71">
        <v>5900</v>
      </c>
      <c r="M1454" s="428">
        <f>=I1454*L1454</f>
        <v>295000</v>
      </c>
      <c r="N1454" s="82">
        <f>=K1454-M1454</f>
        <v>7728</v>
      </c>
      <c r="O1454" s="62">
        <v>1.5</v>
      </c>
      <c r="P1454" s="64">
        <f>=I1454*O1454*ROUNDUP((A1454-B1454)/30,0)</f>
        <v>300</v>
      </c>
      <c r="Q1454" s="62" t="s"/>
      <c r="R1454" s="62" t="s"/>
    </row>
    <row r="1455" spans="1:18" ht="15.75" customHeight="true">
      <c r="A1455" s="147">
        <v>46211</v>
      </c>
      <c r="B1455" s="460">
        <v>46095</v>
      </c>
      <c r="C1455" s="98" t="s">
        <v>144</v>
      </c>
      <c r="D1455" s="71" t="s">
        <v>135</v>
      </c>
      <c r="E1455" s="511" t="s">
        <v>3622</v>
      </c>
      <c r="F1455" s="71" t="s">
        <v>428</v>
      </c>
      <c r="G1455" s="71" t="s">
        <v>422</v>
      </c>
      <c r="H1455" s="97" t="s">
        <v>884</v>
      </c>
      <c r="I1455">
        <v>150</v>
      </c>
      <c r="J1455" s="203">
        <v>963.2</v>
      </c>
      <c r="K1455" s="427">
        <f>=I1455*J1455</f>
        <v>144480</v>
      </c>
      <c r="L1455" s="71">
        <v>930</v>
      </c>
      <c r="M1455" s="428">
        <f>=I1455*L1455</f>
        <v>139500</v>
      </c>
      <c r="N1455" s="82">
        <f>=K1455-M1455</f>
        <v>4980</v>
      </c>
      <c r="O1455" s="62">
        <v>1</v>
      </c>
      <c r="P1455" s="64">
        <f>=I1455*O1455*ROUNDUP((A1455-B1455)/30,0)</f>
        <v>600</v>
      </c>
      <c r="Q1455" s="62" t="s"/>
      <c r="R1455" s="62" t="s"/>
    </row>
    <row r="1456" spans="1:18" ht="15.75" customHeight="true">
      <c r="A1456" s="147">
        <v>46211</v>
      </c>
      <c r="B1456" s="555">
        <v>46162</v>
      </c>
      <c r="C1456" s="98" t="s">
        <v>343</v>
      </c>
      <c r="D1456" s="71" t="s">
        <v>135</v>
      </c>
      <c r="E1456" s="365" t="s">
        <v>3623</v>
      </c>
      <c r="F1456" t="s">
        <v>428</v>
      </c>
      <c r="G1456" t="s">
        <v>422</v>
      </c>
      <c r="H1456" s="64" t="s">
        <v>861</v>
      </c>
      <c r="I1456" s="388">
        <v>150</v>
      </c>
      <c r="J1456" s="203">
        <v>1015.5</v>
      </c>
      <c r="K1456" s="427">
        <f>=I1456*J1456</f>
        <v>152325</v>
      </c>
      <c r="L1456">
        <v>1000</v>
      </c>
      <c r="M1456" s="428">
        <f>=I1456*L1456</f>
        <v>150000</v>
      </c>
      <c r="N1456" s="82">
        <f>=K1456-M1456</f>
        <v>2325</v>
      </c>
      <c r="O1456" s="62">
        <v>1</v>
      </c>
      <c r="P1456" s="64">
        <f>=I1456*O1456*ROUNDUP((A1456-B1456)/30,0)</f>
        <v>300</v>
      </c>
      <c r="Q1456" s="62" t="s"/>
      <c r="R1456" s="62" t="s"/>
    </row>
    <row r="1457" spans="1:18" ht="15.75" customHeight="true">
      <c r="A1457" s="147">
        <v>46211</v>
      </c>
      <c r="B1457" s="555">
        <v>46151</v>
      </c>
      <c r="C1457" s="98" t="s">
        <v>315</v>
      </c>
      <c r="D1457" s="559" t="s">
        <v>301</v>
      </c>
      <c r="E1457" s="263" t="s">
        <v>3624</v>
      </c>
      <c r="F1457" t="s">
        <v>1438</v>
      </c>
      <c r="G1457" t="s">
        <v>422</v>
      </c>
      <c r="H1457" t="s">
        <v>2071</v>
      </c>
      <c r="I1457">
        <v>7</v>
      </c>
      <c r="J1457" s="323">
        <v>918.23</v>
      </c>
      <c r="K1457" s="427">
        <f>=I1457*J1457</f>
        <v>6427.61</v>
      </c>
      <c r="L1457" s="402">
        <v>900</v>
      </c>
      <c r="M1457" s="428">
        <f>=I1457*L1457</f>
        <v>6300</v>
      </c>
      <c r="N1457" s="82">
        <f>=K1457-M1457</f>
        <v>127.610000000001</v>
      </c>
      <c r="O1457" s="62">
        <v>1</v>
      </c>
      <c r="P1457" s="64">
        <f>=I1457*O1457*ROUNDUP((A1457-B1457)/30,0)</f>
        <v>14</v>
      </c>
      <c r="Q1457" s="62" t="s"/>
      <c r="R1457" s="62" t="s"/>
    </row>
    <row r="1458" spans="1:18" ht="15.75" customHeight="true">
      <c r="A1458" s="147">
        <v>46211</v>
      </c>
      <c r="B1458" s="555">
        <v>46151</v>
      </c>
      <c r="C1458" s="98" t="s">
        <v>315</v>
      </c>
      <c r="D1458" s="559" t="s">
        <v>301</v>
      </c>
      <c r="E1458" s="263" t="s">
        <v>3625</v>
      </c>
      <c r="F1458" t="s">
        <v>1438</v>
      </c>
      <c r="G1458" t="s">
        <v>422</v>
      </c>
      <c r="H1458" t="s">
        <v>2073</v>
      </c>
      <c r="I1458">
        <v>7</v>
      </c>
      <c r="J1458" s="323">
        <v>918.23</v>
      </c>
      <c r="K1458" s="427">
        <f>=I1458*J1458</f>
        <v>6427.61</v>
      </c>
      <c r="L1458" s="402">
        <v>900</v>
      </c>
      <c r="M1458" s="428">
        <f>=I1458*L1458</f>
        <v>6300</v>
      </c>
      <c r="N1458" s="82">
        <f>=K1458-M1458</f>
        <v>127.610000000001</v>
      </c>
      <c r="O1458" s="62">
        <v>1</v>
      </c>
      <c r="P1458" s="64">
        <f>=I1458*O1458*ROUNDUP((A1458-B1458)/30,0)</f>
        <v>14</v>
      </c>
      <c r="Q1458" s="62" t="s"/>
      <c r="R1458" s="62" t="s"/>
    </row>
    <row r="1459" spans="1:18" ht="15.75" customHeight="true">
      <c r="A1459" s="147">
        <v>46211</v>
      </c>
      <c r="B1459" s="555">
        <v>46151</v>
      </c>
      <c r="C1459" s="98" t="s">
        <v>315</v>
      </c>
      <c r="D1459" s="559" t="s">
        <v>301</v>
      </c>
      <c r="E1459" s="263" t="s">
        <v>3626</v>
      </c>
      <c r="F1459" t="s">
        <v>1438</v>
      </c>
      <c r="G1459" t="s">
        <v>422</v>
      </c>
      <c r="H1459" t="s">
        <v>2075</v>
      </c>
      <c r="I1459">
        <v>7</v>
      </c>
      <c r="J1459" s="323">
        <v>918.23</v>
      </c>
      <c r="K1459" s="427">
        <f>=I1459*J1459</f>
        <v>6427.61</v>
      </c>
      <c r="L1459">
        <v>900</v>
      </c>
      <c r="M1459" s="428">
        <f>=I1459*L1459</f>
        <v>6300</v>
      </c>
      <c r="N1459" s="82">
        <f>=K1459-M1459</f>
        <v>127.610000000001</v>
      </c>
      <c r="O1459" s="62">
        <v>1</v>
      </c>
      <c r="P1459" s="64">
        <f>=I1459*O1459*ROUNDUP((A1459-B1459)/30,0)</f>
        <v>14</v>
      </c>
      <c r="Q1459" s="62" t="s"/>
      <c r="R1459" s="62" t="s"/>
    </row>
    <row r="1460" spans="1:18" ht="15.75" customHeight="true">
      <c r="A1460" s="147">
        <v>46212</v>
      </c>
      <c r="B1460" s="460">
        <v>46104</v>
      </c>
      <c r="C1460" s="98" t="s">
        <v>180</v>
      </c>
      <c r="D1460" s="162" t="s">
        <v>156</v>
      </c>
      <c r="E1460" s="145" t="s">
        <v>3627</v>
      </c>
      <c r="F1460" s="108" t="s">
        <v>421</v>
      </c>
      <c r="G1460" s="108" t="s">
        <v>470</v>
      </c>
      <c r="H1460" s="108" t="s">
        <v>914</v>
      </c>
      <c r="I1460">
        <v>30</v>
      </c>
      <c r="J1460" s="99">
        <v>6054.56</v>
      </c>
      <c r="K1460" s="427">
        <f>=I1460*J1460</f>
        <v>181636.8</v>
      </c>
      <c r="L1460" s="71">
        <v>5900</v>
      </c>
      <c r="M1460" s="428">
        <f>=I1460*L1460</f>
        <v>177000</v>
      </c>
      <c r="N1460" s="82">
        <f>=K1460-M1460</f>
        <v>4636.80000000002</v>
      </c>
      <c r="O1460" s="62">
        <v>1.5</v>
      </c>
      <c r="P1460" s="64">
        <f>=I1460*O1460*ROUNDUP((A1460-B1460)/30,0)</f>
        <v>180</v>
      </c>
      <c r="Q1460" s="62" t="s"/>
      <c r="R1460" s="62" t="s"/>
    </row>
    <row r="1461" spans="1:18" ht="15.75" customHeight="true">
      <c r="A1461" s="147">
        <v>46212</v>
      </c>
      <c r="B1461" s="460">
        <v>46104</v>
      </c>
      <c r="C1461" s="98" t="s">
        <v>180</v>
      </c>
      <c r="D1461" s="162" t="s">
        <v>156</v>
      </c>
      <c r="E1461" s="145" t="s">
        <v>3627</v>
      </c>
      <c r="F1461" s="108" t="s">
        <v>421</v>
      </c>
      <c r="G1461" s="108" t="s">
        <v>470</v>
      </c>
      <c r="H1461" s="108" t="s">
        <v>914</v>
      </c>
      <c r="I1461">
        <v>10</v>
      </c>
      <c r="J1461" s="99">
        <v>6054.56</v>
      </c>
      <c r="K1461" s="427">
        <f>=I1461*J1461</f>
        <v>60545.6</v>
      </c>
      <c r="L1461" s="71">
        <v>5900</v>
      </c>
      <c r="M1461" s="428">
        <f>=I1461*L1461</f>
        <v>59000</v>
      </c>
      <c r="N1461" s="82">
        <f>=K1461-M1461</f>
        <v>1545.60000000001</v>
      </c>
      <c r="O1461" s="62">
        <v>1.5</v>
      </c>
      <c r="P1461" s="64">
        <f>=I1461*O1461*ROUNDUP((A1461-B1461)/30,0)</f>
        <v>60</v>
      </c>
      <c r="Q1461" s="62" t="s"/>
      <c r="R1461" s="62" t="s"/>
    </row>
    <row r="1462" spans="1:18" ht="15.75" customHeight="true">
      <c r="A1462" s="147">
        <v>46212</v>
      </c>
      <c r="B1462" s="555">
        <v>46114</v>
      </c>
      <c r="C1462" s="98" t="s">
        <v>234</v>
      </c>
      <c r="D1462" s="162" t="s">
        <v>215</v>
      </c>
      <c r="E1462" s="153" t="s">
        <v>3628</v>
      </c>
      <c r="F1462" s="140" t="s">
        <v>421</v>
      </c>
      <c r="G1462" s="140" t="s">
        <v>470</v>
      </c>
      <c r="H1462" s="140" t="s">
        <v>914</v>
      </c>
      <c r="I1462">
        <v>59</v>
      </c>
      <c r="J1462" s="99">
        <v>5796.43</v>
      </c>
      <c r="K1462" s="427">
        <f>=I1462*J1462</f>
        <v>341989.37</v>
      </c>
      <c r="L1462">
        <v>5650</v>
      </c>
      <c r="M1462" s="428">
        <f>=I1462*L1462</f>
        <v>333350</v>
      </c>
      <c r="N1462" s="82">
        <f>=K1462-M1462</f>
        <v>8639.37</v>
      </c>
      <c r="O1462" s="62">
        <v>1.5</v>
      </c>
      <c r="P1462" s="64">
        <f>=I1462*O1462*ROUNDUP((A1462-B1462)/30,0)</f>
        <v>354</v>
      </c>
      <c r="Q1462" s="62" t="s"/>
      <c r="R1462" s="62" t="s"/>
    </row>
    <row r="1463" spans="1:18" ht="15.75" customHeight="true">
      <c r="A1463" s="147">
        <v>46212</v>
      </c>
      <c r="B1463" s="555">
        <v>46114</v>
      </c>
      <c r="C1463" s="98" t="s">
        <v>234</v>
      </c>
      <c r="D1463" s="162" t="s">
        <v>215</v>
      </c>
      <c r="E1463" s="145" t="s">
        <v>3629</v>
      </c>
      <c r="F1463" s="140" t="s">
        <v>421</v>
      </c>
      <c r="G1463" s="140" t="s">
        <v>470</v>
      </c>
      <c r="H1463" s="140" t="s">
        <v>914</v>
      </c>
      <c r="I1463">
        <v>60</v>
      </c>
      <c r="J1463" s="99">
        <v>5796.43</v>
      </c>
      <c r="K1463" s="427">
        <f>=I1463*J1463</f>
        <v>347785.8</v>
      </c>
      <c r="L1463">
        <v>5650</v>
      </c>
      <c r="M1463" s="428">
        <f>=I1463*L1463</f>
        <v>339000</v>
      </c>
      <c r="N1463" s="82">
        <f>=K1463-M1463</f>
        <v>8785.80000000005</v>
      </c>
      <c r="O1463" s="62">
        <v>1.5</v>
      </c>
      <c r="P1463" s="64">
        <f>=I1463*O1463*ROUNDUP((A1463-B1463)/30,0)</f>
        <v>360</v>
      </c>
      <c r="Q1463" s="62" t="s"/>
      <c r="R1463" s="62" t="s"/>
    </row>
    <row r="1464" spans="1:18" ht="15.75" customHeight="true">
      <c r="A1464" s="147">
        <v>46212</v>
      </c>
      <c r="B1464" s="555">
        <v>46125</v>
      </c>
      <c r="C1464" s="80" t="s">
        <v>249</v>
      </c>
      <c r="D1464" s="64" t="s">
        <v>191</v>
      </c>
      <c r="E1464" s="335" t="s">
        <v>3630</v>
      </c>
      <c r="F1464" s="87" t="s">
        <v>804</v>
      </c>
      <c r="G1464" s="87" t="s">
        <v>422</v>
      </c>
      <c r="H1464" s="87" t="s">
        <v>1799</v>
      </c>
      <c r="I1464" s="552">
        <v>50</v>
      </c>
      <c r="J1464" s="249">
        <v>1532.63</v>
      </c>
      <c r="K1464" s="427">
        <f>=I1464*J1464</f>
        <v>76631.5</v>
      </c>
      <c r="L1464" s="249">
        <v>1500</v>
      </c>
      <c r="M1464" s="428">
        <f>=I1464*L1464</f>
        <v>75000</v>
      </c>
      <c r="N1464" s="82">
        <f>=K1464-M1464</f>
        <v>1631.5</v>
      </c>
      <c r="O1464" s="62">
        <v>0</v>
      </c>
      <c r="P1464" s="64">
        <f>=I1464*O1464*ROUNDUP((A1464-B1464)/30,0)</f>
        <v>0</v>
      </c>
      <c r="Q1464" s="62" t="s"/>
      <c r="R1464" s="62" t="s"/>
    </row>
    <row r="1465" spans="1:18" ht="15.75" customHeight="true">
      <c r="A1465" s="147">
        <v>46212</v>
      </c>
      <c r="B1465" s="555">
        <v>46125</v>
      </c>
      <c r="C1465" s="80" t="s">
        <v>249</v>
      </c>
      <c r="D1465" s="64" t="s">
        <v>191</v>
      </c>
      <c r="E1465" s="335" t="s">
        <v>3631</v>
      </c>
      <c r="F1465" s="87" t="s">
        <v>804</v>
      </c>
      <c r="G1465" s="87" t="s">
        <v>422</v>
      </c>
      <c r="H1465" s="87" t="s">
        <v>1801</v>
      </c>
      <c r="I1465" s="87">
        <v>100</v>
      </c>
      <c r="J1465" s="339">
        <v>1532.63</v>
      </c>
      <c r="K1465" s="427">
        <f>=I1465*J1465</f>
        <v>153263</v>
      </c>
      <c r="L1465" s="249">
        <v>1500</v>
      </c>
      <c r="M1465" s="428">
        <f>=I1465*L1465</f>
        <v>150000</v>
      </c>
      <c r="N1465" s="82">
        <f>=K1465-M1465</f>
        <v>3263</v>
      </c>
      <c r="O1465" s="62">
        <v>0</v>
      </c>
      <c r="P1465" s="64">
        <f>=I1465*O1465*ROUNDUP((A1465-B1465)/30,0)</f>
        <v>0</v>
      </c>
      <c r="Q1465" s="62" t="s"/>
      <c r="R1465" s="62" t="s"/>
    </row>
    <row r="1466" spans="1:18" ht="15.75" customHeight="true">
      <c r="A1466" s="147">
        <v>46212</v>
      </c>
      <c r="B1466" s="555">
        <v>46149</v>
      </c>
      <c r="C1466" s="80" t="s">
        <v>313</v>
      </c>
      <c r="D1466" s="64" t="s">
        <v>191</v>
      </c>
      <c r="E1466" s="155" t="s">
        <v>3632</v>
      </c>
      <c r="F1466" s="259" t="s">
        <v>804</v>
      </c>
      <c r="G1466" s="259" t="s">
        <v>422</v>
      </c>
      <c r="H1466" s="87" t="s">
        <v>2058</v>
      </c>
      <c r="I1466" s="560">
        <v>100</v>
      </c>
      <c r="J1466" s="339">
        <v>1472.84</v>
      </c>
      <c r="K1466" s="427">
        <f>=I1466*J1466</f>
        <v>147284</v>
      </c>
      <c r="L1466" s="87">
        <v>1450</v>
      </c>
      <c r="M1466" s="428">
        <f>=I1466*L1466</f>
        <v>145000</v>
      </c>
      <c r="N1466" s="82">
        <f>=K1466-M1466</f>
        <v>2284</v>
      </c>
      <c r="O1466" s="62">
        <v>0</v>
      </c>
      <c r="P1466" s="64">
        <f>=I1466*O1466*ROUNDUP((A1466-B1466)/30,0)</f>
        <v>0</v>
      </c>
      <c r="Q1466" s="62" t="s"/>
      <c r="R1466" s="62" t="s"/>
    </row>
    <row r="1467" spans="1:18" ht="15.75" customHeight="true">
      <c r="A1467" s="147">
        <v>46212</v>
      </c>
      <c r="B1467" s="555">
        <v>46149</v>
      </c>
      <c r="C1467" s="80" t="s">
        <v>313</v>
      </c>
      <c r="D1467" s="64" t="s">
        <v>191</v>
      </c>
      <c r="E1467" s="155" t="s">
        <v>3633</v>
      </c>
      <c r="F1467" s="259" t="s">
        <v>804</v>
      </c>
      <c r="G1467" s="259" t="s">
        <v>422</v>
      </c>
      <c r="H1467" s="87" t="s">
        <v>1801</v>
      </c>
      <c r="I1467" s="87">
        <v>50</v>
      </c>
      <c r="J1467" s="339">
        <v>1472.84</v>
      </c>
      <c r="K1467" s="427">
        <f>=I1467*J1467</f>
        <v>73642</v>
      </c>
      <c r="L1467" s="249">
        <v>1450</v>
      </c>
      <c r="M1467" s="428">
        <f>=I1467*L1467</f>
        <v>72500</v>
      </c>
      <c r="N1467" s="82">
        <f>=K1467-M1467</f>
        <v>1142</v>
      </c>
      <c r="O1467" s="62">
        <v>0</v>
      </c>
      <c r="P1467" s="64">
        <f>=I1467*O1467*ROUNDUP((A1467-B1467)/30,0)</f>
        <v>0</v>
      </c>
      <c r="Q1467" s="62" t="s"/>
      <c r="R1467" s="62" t="s"/>
    </row>
    <row r="1468" spans="1:18" ht="15.75" customHeight="true">
      <c r="A1468" s="147">
        <v>46213</v>
      </c>
      <c r="B1468" s="555">
        <v>46125</v>
      </c>
      <c r="C1468" s="80" t="s">
        <v>249</v>
      </c>
      <c r="D1468" s="64" t="s">
        <v>191</v>
      </c>
      <c r="E1468" s="335" t="s">
        <v>3634</v>
      </c>
      <c r="F1468" s="87" t="s">
        <v>804</v>
      </c>
      <c r="G1468" s="87" t="s">
        <v>422</v>
      </c>
      <c r="H1468" s="87" t="s">
        <v>1799</v>
      </c>
      <c r="I1468" s="64">
        <v>50</v>
      </c>
      <c r="J1468" s="249">
        <v>1533.38</v>
      </c>
      <c r="K1468" s="427">
        <f>=I1468*J1468</f>
        <v>76669</v>
      </c>
      <c r="L1468" s="249">
        <v>1500</v>
      </c>
      <c r="M1468" s="428">
        <f>=I1468*L1468</f>
        <v>75000</v>
      </c>
      <c r="N1468" s="82">
        <f>=K1468-M1468</f>
        <v>1669</v>
      </c>
      <c r="O1468" s="62">
        <v>0</v>
      </c>
      <c r="P1468" s="64">
        <f>=I1468*O1468*ROUNDUP((A1468-B1468)/30,0)</f>
        <v>0</v>
      </c>
      <c r="Q1468" s="62" t="s"/>
      <c r="R1468" s="62" t="s"/>
    </row>
    <row r="1469" spans="1:18" ht="15.75" customHeight="true">
      <c r="A1469" s="147">
        <v>46213</v>
      </c>
      <c r="B1469" s="555">
        <v>46149</v>
      </c>
      <c r="C1469" s="80" t="s">
        <v>313</v>
      </c>
      <c r="D1469" s="64" t="s">
        <v>191</v>
      </c>
      <c r="E1469" s="155" t="s">
        <v>3635</v>
      </c>
      <c r="F1469" s="259" t="s">
        <v>804</v>
      </c>
      <c r="G1469" s="259" t="s">
        <v>422</v>
      </c>
      <c r="H1469" s="87" t="s">
        <v>2058</v>
      </c>
      <c r="I1469" s="87">
        <v>3</v>
      </c>
      <c r="J1469" s="506">
        <v>1473.56</v>
      </c>
      <c r="K1469" s="427">
        <f>=I1469*J1469</f>
        <v>4420.68</v>
      </c>
      <c r="L1469" s="87">
        <v>1450</v>
      </c>
      <c r="M1469" s="428">
        <f>=I1469*L1469</f>
        <v>4350</v>
      </c>
      <c r="N1469" s="82">
        <f>=K1469-M1469</f>
        <v>70.6800000000003</v>
      </c>
      <c r="O1469" s="62">
        <v>0</v>
      </c>
      <c r="P1469" s="64">
        <f>=I1469*O1469*ROUNDUP((A1469-B1469)/30,0)</f>
        <v>0</v>
      </c>
      <c r="Q1469" s="62" t="s"/>
      <c r="R1469" s="62" t="s"/>
    </row>
    <row r="1470" spans="1:18" ht="15.75" customHeight="true">
      <c r="A1470" s="147">
        <v>46213</v>
      </c>
      <c r="B1470" s="555">
        <v>46149</v>
      </c>
      <c r="C1470" s="80" t="s">
        <v>313</v>
      </c>
      <c r="D1470" s="64" t="s">
        <v>191</v>
      </c>
      <c r="E1470" s="155" t="s">
        <v>3636</v>
      </c>
      <c r="F1470" s="259" t="s">
        <v>804</v>
      </c>
      <c r="G1470" s="259" t="s">
        <v>422</v>
      </c>
      <c r="H1470" s="87" t="s">
        <v>1801</v>
      </c>
      <c r="I1470" s="339">
        <v>46</v>
      </c>
      <c r="J1470" s="249">
        <v>1473.56</v>
      </c>
      <c r="K1470" s="427">
        <f>=I1470*J1470</f>
        <v>67783.76</v>
      </c>
      <c r="L1470" s="249">
        <v>1450</v>
      </c>
      <c r="M1470" s="428">
        <f>=I1470*L1470</f>
        <v>66700</v>
      </c>
      <c r="N1470" s="82">
        <f>=K1470-M1470</f>
        <v>1083.76</v>
      </c>
      <c r="O1470" s="62">
        <v>0</v>
      </c>
      <c r="P1470" s="64">
        <f>=I1470*O1470*ROUNDUP((A1470-B1470)/30,0)</f>
        <v>0</v>
      </c>
      <c r="Q1470" s="62" t="s"/>
      <c r="R1470" s="62" t="s"/>
    </row>
    <row r="1471" spans="1:18" ht="15.75" customHeight="true">
      <c r="A1471" s="147">
        <v>46213</v>
      </c>
      <c r="B1471" s="555">
        <v>46114</v>
      </c>
      <c r="C1471" s="98" t="s">
        <v>234</v>
      </c>
      <c r="D1471" s="71" t="s">
        <v>215</v>
      </c>
      <c r="E1471" s="145" t="s">
        <v>3637</v>
      </c>
      <c r="F1471" s="140" t="s">
        <v>421</v>
      </c>
      <c r="G1471" s="140" t="s">
        <v>470</v>
      </c>
      <c r="H1471" s="146" t="s">
        <v>1017</v>
      </c>
      <c r="I1471" s="154">
        <v>100</v>
      </c>
      <c r="J1471" s="402">
        <v>3308.5</v>
      </c>
      <c r="K1471" s="427">
        <f>=I1471*J1471</f>
        <v>330850</v>
      </c>
      <c r="L1471">
        <v>3220</v>
      </c>
      <c r="M1471" s="428">
        <f>=I1471*L1471</f>
        <v>322000</v>
      </c>
      <c r="N1471" s="82">
        <f>=K1471-M1471</f>
        <v>8850</v>
      </c>
      <c r="O1471" s="62">
        <v>1.5</v>
      </c>
      <c r="P1471" s="64">
        <f>=I1471*O1471*ROUNDUP((A1471-B1471)/30,0)</f>
        <v>600</v>
      </c>
      <c r="Q1471" s="62" t="s"/>
      <c r="R1471" s="62" t="s"/>
    </row>
    <row r="1472" spans="1:18" ht="15.75" customHeight="true">
      <c r="A1472" s="147">
        <v>46213</v>
      </c>
      <c r="B1472" s="555">
        <v>46128</v>
      </c>
      <c r="C1472" s="98" t="s">
        <v>255</v>
      </c>
      <c r="D1472" s="71" t="s">
        <v>215</v>
      </c>
      <c r="E1472" s="145" t="s">
        <v>3638</v>
      </c>
      <c r="F1472" s="87" t="s">
        <v>421</v>
      </c>
      <c r="G1472" s="140" t="s">
        <v>470</v>
      </c>
      <c r="H1472" s="146" t="s">
        <v>1017</v>
      </c>
      <c r="I1472" s="154">
        <v>20</v>
      </c>
      <c r="J1472" s="402">
        <v>3121.58</v>
      </c>
      <c r="K1472" s="427">
        <f>=I1472*J1472</f>
        <v>62431.6</v>
      </c>
      <c r="L1472" s="402">
        <v>3050</v>
      </c>
      <c r="M1472" s="428">
        <f>=I1472*L1472</f>
        <v>61000</v>
      </c>
      <c r="N1472" s="82">
        <f>=K1472-M1472</f>
        <v>1431.6</v>
      </c>
      <c r="O1472" s="62">
        <v>1.5</v>
      </c>
      <c r="P1472" s="64">
        <f>=I1472*O1472*ROUNDUP((A1472-B1472)/30,0)</f>
        <v>90</v>
      </c>
      <c r="Q1472" s="62" t="s"/>
      <c r="R1472" s="62" t="s"/>
    </row>
    <row r="1473" spans="1:18" ht="15.75" customHeight="true">
      <c r="A1473" s="147">
        <v>46215</v>
      </c>
      <c r="B1473" s="555">
        <v>46151</v>
      </c>
      <c r="C1473" s="98" t="s">
        <v>315</v>
      </c>
      <c r="D1473" s="559" t="s">
        <v>301</v>
      </c>
      <c r="E1473" s="263" t="s">
        <v>3639</v>
      </c>
      <c r="F1473" t="s">
        <v>1438</v>
      </c>
      <c r="G1473" t="s">
        <v>422</v>
      </c>
      <c r="H1473" t="s">
        <v>2071</v>
      </c>
      <c r="I1473">
        <v>7</v>
      </c>
      <c r="J1473">
        <v>917.63</v>
      </c>
      <c r="K1473" s="427">
        <f>=I1473*J1473</f>
        <v>6423.41</v>
      </c>
      <c r="L1473" s="402">
        <v>900</v>
      </c>
      <c r="M1473" s="428">
        <f>=I1473*L1473</f>
        <v>6300</v>
      </c>
      <c r="N1473" s="82">
        <f>=K1473-M1473</f>
        <v>123.41</v>
      </c>
      <c r="O1473" s="62">
        <v>1</v>
      </c>
      <c r="P1473" s="64">
        <f>=I1473*O1473*ROUNDUP((A1473-B1473)/30,0)</f>
        <v>21</v>
      </c>
      <c r="Q1473" s="62" t="s"/>
      <c r="R1473" s="62" t="s"/>
    </row>
    <row r="1474" spans="1:18" ht="15.75" customHeight="true">
      <c r="A1474" s="147">
        <v>46215</v>
      </c>
      <c r="B1474" s="555">
        <v>46151</v>
      </c>
      <c r="C1474" s="98" t="s">
        <v>315</v>
      </c>
      <c r="D1474" s="559" t="s">
        <v>301</v>
      </c>
      <c r="E1474" s="263" t="s">
        <v>3640</v>
      </c>
      <c r="F1474" t="s">
        <v>1438</v>
      </c>
      <c r="G1474" t="s">
        <v>422</v>
      </c>
      <c r="H1474" t="s">
        <v>2073</v>
      </c>
      <c r="I1474">
        <v>7</v>
      </c>
      <c r="J1474">
        <v>917.63</v>
      </c>
      <c r="K1474" s="427">
        <f>=I1474*J1474</f>
        <v>6423.41</v>
      </c>
      <c r="L1474" s="402">
        <v>900</v>
      </c>
      <c r="M1474" s="428">
        <f>=I1474*L1474</f>
        <v>6300</v>
      </c>
      <c r="N1474" s="82">
        <f>=K1474-M1474</f>
        <v>123.41</v>
      </c>
      <c r="O1474" s="62">
        <v>1</v>
      </c>
      <c r="P1474" s="64">
        <f>=I1474*O1474*ROUNDUP((A1474-B1474)/30,0)</f>
        <v>21</v>
      </c>
      <c r="Q1474" s="62" t="s"/>
      <c r="R1474" s="62" t="s"/>
    </row>
    <row r="1475" spans="1:18" ht="15.75" customHeight="true">
      <c r="A1475" s="147">
        <v>46215</v>
      </c>
      <c r="B1475" s="555">
        <v>46151</v>
      </c>
      <c r="C1475" s="98" t="s">
        <v>315</v>
      </c>
      <c r="D1475" s="559" t="s">
        <v>301</v>
      </c>
      <c r="E1475" s="263" t="s">
        <v>3641</v>
      </c>
      <c r="F1475" t="s">
        <v>1438</v>
      </c>
      <c r="G1475" t="s">
        <v>422</v>
      </c>
      <c r="H1475" t="s">
        <v>2075</v>
      </c>
      <c r="I1475">
        <v>7</v>
      </c>
      <c r="J1475">
        <v>917.63</v>
      </c>
      <c r="K1475" s="427">
        <f>=I1475*J1475</f>
        <v>6423.41</v>
      </c>
      <c r="L1475">
        <v>900</v>
      </c>
      <c r="M1475" s="428">
        <f>=I1475*L1475</f>
        <v>6300</v>
      </c>
      <c r="N1475" s="82">
        <f>=K1475-M1475</f>
        <v>123.41</v>
      </c>
      <c r="O1475" s="62">
        <v>1</v>
      </c>
      <c r="P1475" s="64">
        <f>=I1475*O1475*ROUNDUP((A1475-B1475)/30,0)</f>
        <v>21</v>
      </c>
      <c r="Q1475" s="62" t="s"/>
      <c r="R1475" s="62" t="s"/>
    </row>
    <row r="1476" spans="1:18" ht="15.75" customHeight="true">
      <c r="A1476" s="147">
        <v>46215</v>
      </c>
      <c r="B1476" s="460">
        <v>46111</v>
      </c>
      <c r="C1476" s="556" t="s">
        <v>209</v>
      </c>
      <c r="D1476" s="561" t="s">
        <v>135</v>
      </c>
      <c r="E1476" s="557" t="s">
        <v>3642</v>
      </c>
      <c r="F1476" s="307" t="s">
        <v>428</v>
      </c>
      <c r="G1476" s="307" t="s">
        <v>422</v>
      </c>
      <c r="H1476" s="307" t="s">
        <v>861</v>
      </c>
      <c r="I1476">
        <v>20</v>
      </c>
      <c r="J1476">
        <v>1119.48</v>
      </c>
      <c r="K1476" s="427">
        <f>=I1476*J1476</f>
        <v>22389.6</v>
      </c>
      <c r="L1476" s="243">
        <v>1085</v>
      </c>
      <c r="M1476" s="428">
        <f>=I1476*L1476</f>
        <v>21700</v>
      </c>
      <c r="N1476" s="82">
        <f>=K1476-M1476</f>
        <v>689.599999999999</v>
      </c>
      <c r="O1476" s="62">
        <v>1</v>
      </c>
      <c r="P1476" s="64">
        <f>=I1476*O1476*ROUNDUP((A1476-B1476)/30,0)</f>
        <v>80</v>
      </c>
      <c r="Q1476" s="62" t="s"/>
      <c r="R1476" s="62" t="s"/>
    </row>
    <row r="1477" spans="1:18" ht="15.75" customHeight="true">
      <c r="A1477" s="147">
        <v>46215</v>
      </c>
      <c r="B1477" s="555">
        <v>46114</v>
      </c>
      <c r="C1477" s="98" t="s">
        <v>237</v>
      </c>
      <c r="D1477" s="71" t="s">
        <v>135</v>
      </c>
      <c r="E1477" s="511" t="s">
        <v>3643</v>
      </c>
      <c r="F1477" s="71" t="s">
        <v>428</v>
      </c>
      <c r="G1477" s="71" t="s">
        <v>422</v>
      </c>
      <c r="H1477" s="64" t="s">
        <v>861</v>
      </c>
      <c r="I1477">
        <v>120</v>
      </c>
      <c r="J1477">
        <v>1118.67</v>
      </c>
      <c r="K1477" s="427">
        <f>=I1477*J1477</f>
        <v>134240.4</v>
      </c>
      <c r="L1477" s="97">
        <v>1085</v>
      </c>
      <c r="M1477" s="428">
        <f>=I1477*L1477</f>
        <v>130200</v>
      </c>
      <c r="N1477" s="82">
        <f>=K1477-M1477</f>
        <v>4040.40000000002</v>
      </c>
      <c r="O1477" s="62">
        <v>1</v>
      </c>
      <c r="P1477" s="64">
        <f>=I1477*O1477*ROUNDUP((A1477-B1477)/30,0)</f>
        <v>480</v>
      </c>
      <c r="Q1477" s="62" t="s"/>
      <c r="R1477" s="62" t="s"/>
    </row>
    <row r="1478" spans="1:18" ht="15.75" customHeight="true">
      <c r="A1478" s="147">
        <v>46215</v>
      </c>
      <c r="B1478" s="555">
        <v>46162</v>
      </c>
      <c r="C1478" s="98" t="s">
        <v>343</v>
      </c>
      <c r="D1478" s="71" t="s">
        <v>135</v>
      </c>
      <c r="E1478" s="365" t="s">
        <v>3644</v>
      </c>
      <c r="F1478" t="s">
        <v>428</v>
      </c>
      <c r="G1478" t="s">
        <v>422</v>
      </c>
      <c r="H1478" s="64" t="s">
        <v>861</v>
      </c>
      <c r="I1478">
        <v>10</v>
      </c>
      <c r="J1478" s="154">
        <v>1016.5</v>
      </c>
      <c r="K1478" s="427">
        <f>=I1478*J1478</f>
        <v>10165</v>
      </c>
      <c r="L1478">
        <v>1000</v>
      </c>
      <c r="M1478" s="428">
        <f>=I1478*L1478</f>
        <v>10000</v>
      </c>
      <c r="N1478" s="82">
        <f>=K1478-M1478</f>
        <v>165</v>
      </c>
      <c r="O1478" s="62">
        <v>1</v>
      </c>
      <c r="P1478" s="64">
        <f>=I1478*O1478*ROUNDUP((A1478-B1478)/30,0)</f>
        <v>20</v>
      </c>
      <c r="Q1478" s="62" t="s"/>
      <c r="R1478" s="62" t="s"/>
    </row>
    <row r="1479" spans="1:18" ht="15.75" customHeight="true">
      <c r="A1479" s="147">
        <v>46215</v>
      </c>
      <c r="B1479" s="555">
        <v>46150</v>
      </c>
      <c r="C1479" s="98" t="s">
        <v>314</v>
      </c>
      <c r="D1479" s="71" t="s">
        <v>150</v>
      </c>
      <c r="E1479" s="145" t="s">
        <v>3645</v>
      </c>
      <c r="F1479" s="156" t="s">
        <v>895</v>
      </c>
      <c r="G1479" s="156" t="s">
        <v>422</v>
      </c>
      <c r="H1479" s="140" t="s">
        <v>2069</v>
      </c>
      <c r="I1479" s="154">
        <v>50</v>
      </c>
      <c r="J1479" s="402">
        <v>960.01</v>
      </c>
      <c r="K1479" s="427">
        <f>=I1479*J1479</f>
        <v>48000.5</v>
      </c>
      <c r="L1479" s="203">
        <v>900</v>
      </c>
      <c r="M1479" s="428">
        <f>=I1479*L1479</f>
        <v>45000</v>
      </c>
      <c r="N1479" s="82">
        <f>=K1479-M1479</f>
        <v>3000.5</v>
      </c>
      <c r="O1479" s="62">
        <v>1</v>
      </c>
      <c r="P1479" s="64">
        <f>=I1479*O1479*ROUNDUP((A1479-B1479)/30,0)</f>
        <v>150</v>
      </c>
      <c r="Q1479" s="62" t="s"/>
      <c r="R1479" s="62" t="s"/>
    </row>
    <row r="1480" spans="1:18" ht="15.75" customHeight="true">
      <c r="A1480" s="147">
        <v>46215</v>
      </c>
      <c r="B1480" s="460">
        <v>46100</v>
      </c>
      <c r="C1480" s="71" t="s">
        <v>158</v>
      </c>
      <c r="D1480" s="71" t="s">
        <v>52</v>
      </c>
      <c r="E1480" s="495" t="s">
        <v>3646</v>
      </c>
      <c r="F1480" s="140" t="s">
        <v>428</v>
      </c>
      <c r="G1480" s="140" t="s">
        <v>422</v>
      </c>
      <c r="H1480" s="140" t="s">
        <v>928</v>
      </c>
      <c r="I1480">
        <v>10</v>
      </c>
      <c r="J1480">
        <v>2969.88</v>
      </c>
      <c r="K1480" s="427">
        <f>=I1480*J1480</f>
        <v>29698.8</v>
      </c>
      <c r="L1480" s="71">
        <v>2870</v>
      </c>
      <c r="M1480" s="428">
        <f>=I1480*L1480</f>
        <v>28700</v>
      </c>
      <c r="N1480" s="82">
        <f>=K1480-M1480</f>
        <v>998.800000000003</v>
      </c>
      <c r="O1480" s="62">
        <v>0</v>
      </c>
      <c r="P1480" s="64">
        <f>=I1480*O1480*ROUNDUP((A1480-B1480)/30,0)</f>
        <v>0</v>
      </c>
      <c r="Q1480" s="62" t="s"/>
      <c r="R1480" s="62" t="s"/>
    </row>
    <row r="1481" spans="1:18" ht="15.75" customHeight="true">
      <c r="A1481" s="147">
        <v>46215</v>
      </c>
      <c r="B1481" s="460">
        <v>46100</v>
      </c>
      <c r="C1481" s="71" t="s">
        <v>158</v>
      </c>
      <c r="D1481" s="71" t="s">
        <v>52</v>
      </c>
      <c r="E1481" s="495" t="s">
        <v>3647</v>
      </c>
      <c r="F1481" s="140" t="s">
        <v>428</v>
      </c>
      <c r="G1481" s="140" t="s">
        <v>422</v>
      </c>
      <c r="H1481" s="140" t="s">
        <v>931</v>
      </c>
      <c r="I1481">
        <v>5</v>
      </c>
      <c r="J1481">
        <v>2922.28</v>
      </c>
      <c r="K1481" s="427">
        <f>=I1481*J1481</f>
        <v>14611.4</v>
      </c>
      <c r="L1481" s="71">
        <v>2824</v>
      </c>
      <c r="M1481" s="428">
        <f>=I1481*L1481</f>
        <v>14120</v>
      </c>
      <c r="N1481" s="82">
        <f>=K1481-M1481</f>
        <v>491.400000000002</v>
      </c>
      <c r="O1481" s="62">
        <v>0</v>
      </c>
      <c r="P1481" s="64">
        <f>=I1481*O1481*ROUNDUP((A1481-B1481)/30,0)</f>
        <v>0</v>
      </c>
      <c r="Q1481" s="62" t="s"/>
      <c r="R1481" s="62" t="s"/>
    </row>
    <row r="1482" spans="1:18" ht="15.75" customHeight="true">
      <c r="A1482" s="147">
        <v>46215</v>
      </c>
      <c r="B1482" s="460">
        <v>46104</v>
      </c>
      <c r="C1482" s="71" t="s">
        <v>179</v>
      </c>
      <c r="D1482" s="71" t="s">
        <v>52</v>
      </c>
      <c r="E1482" s="515" t="s">
        <v>3648</v>
      </c>
      <c r="F1482" s="71" t="s">
        <v>428</v>
      </c>
      <c r="G1482" s="71" t="s">
        <v>422</v>
      </c>
      <c r="H1482" s="140" t="s">
        <v>931</v>
      </c>
      <c r="I1482">
        <v>5</v>
      </c>
      <c r="J1482" s="154">
        <v>2894.08</v>
      </c>
      <c r="K1482" s="427">
        <f>=I1482*J1482</f>
        <v>14470.4</v>
      </c>
      <c r="L1482" s="71">
        <v>2800</v>
      </c>
      <c r="M1482" s="428">
        <f>=I1482*L1482</f>
        <v>14000</v>
      </c>
      <c r="N1482" s="82">
        <f>=K1482-M1482</f>
        <v>470.4</v>
      </c>
      <c r="O1482" s="62">
        <v>0</v>
      </c>
      <c r="P1482" s="64">
        <f>=I1482*O1482*ROUNDUP((A1482-B1482)/30,0)</f>
        <v>0</v>
      </c>
      <c r="Q1482" s="62" t="s"/>
      <c r="R1482" s="62" t="s"/>
    </row>
    <row r="1483" spans="1:18" ht="15.75" customHeight="true">
      <c r="A1483" s="147">
        <v>46215</v>
      </c>
      <c r="B1483" s="460">
        <v>46108</v>
      </c>
      <c r="C1483" s="71" t="s">
        <v>205</v>
      </c>
      <c r="D1483" s="64" t="s">
        <v>52</v>
      </c>
      <c r="E1483" s="515" t="s">
        <v>3649</v>
      </c>
      <c r="F1483" t="s">
        <v>428</v>
      </c>
      <c r="G1483" t="s">
        <v>422</v>
      </c>
      <c r="H1483" s="87" t="s">
        <v>926</v>
      </c>
      <c r="I1483" s="154">
        <v>6</v>
      </c>
      <c r="J1483" s="402">
        <v>2962.99</v>
      </c>
      <c r="K1483" s="427">
        <f>=I1483*J1483</f>
        <v>17777.94</v>
      </c>
      <c r="L1483">
        <v>2870</v>
      </c>
      <c r="M1483" s="428">
        <f>=I1483*L1483</f>
        <v>17220</v>
      </c>
      <c r="N1483" s="82">
        <f>=K1483-M1483</f>
        <v>557.939999999999</v>
      </c>
      <c r="O1483" s="62">
        <v>0</v>
      </c>
      <c r="P1483" s="64">
        <f>=I1483*O1483*ROUNDUP((A1483-B1483)/30,0)</f>
        <v>0</v>
      </c>
      <c r="Q1483" s="62" t="s"/>
      <c r="R1483" s="62" t="s"/>
    </row>
    <row r="1484" spans="1:18" ht="15.75" customHeight="true">
      <c r="A1484" s="147">
        <v>46215</v>
      </c>
      <c r="B1484" s="555">
        <v>46115</v>
      </c>
      <c r="C1484" s="71" t="s">
        <v>232</v>
      </c>
      <c r="D1484" s="64" t="s">
        <v>52</v>
      </c>
      <c r="E1484" s="515" t="s">
        <v>3650</v>
      </c>
      <c r="F1484" s="269" t="s">
        <v>428</v>
      </c>
      <c r="G1484" s="320" t="s">
        <v>422</v>
      </c>
      <c r="H1484" s="140" t="s">
        <v>926</v>
      </c>
      <c r="I1484" s="154">
        <v>4</v>
      </c>
      <c r="J1484" s="402">
        <v>2956.96</v>
      </c>
      <c r="K1484" s="427">
        <f>=I1484*J1484</f>
        <v>11827.84</v>
      </c>
      <c r="L1484" s="321">
        <v>2870</v>
      </c>
      <c r="M1484" s="428">
        <f>=I1484*L1484</f>
        <v>11480</v>
      </c>
      <c r="N1484" s="82">
        <f>=K1484-M1484</f>
        <v>347.84</v>
      </c>
      <c r="O1484" s="62">
        <v>0</v>
      </c>
      <c r="P1484" s="64">
        <f>=I1484*O1484*ROUNDUP((A1484-B1484)/30,0)</f>
        <v>0</v>
      </c>
      <c r="Q1484" s="62" t="s"/>
      <c r="R1484" s="62" t="s"/>
    </row>
    <row r="1485" spans="1:18" ht="15.75" customHeight="true">
      <c r="A1485" s="147">
        <v>46215</v>
      </c>
      <c r="B1485" s="555">
        <v>46115</v>
      </c>
      <c r="C1485" s="71" t="s">
        <v>232</v>
      </c>
      <c r="D1485" s="64" t="s">
        <v>52</v>
      </c>
      <c r="E1485" s="515" t="s">
        <v>3651</v>
      </c>
      <c r="F1485" s="269" t="s">
        <v>428</v>
      </c>
      <c r="G1485" s="320" t="s">
        <v>422</v>
      </c>
      <c r="H1485" s="320" t="s">
        <v>1671</v>
      </c>
      <c r="I1485" s="154">
        <v>36</v>
      </c>
      <c r="J1485" s="402">
        <v>937.57</v>
      </c>
      <c r="K1485" s="427">
        <f>=I1485*J1485</f>
        <v>33752.52</v>
      </c>
      <c r="L1485" s="321">
        <v>910</v>
      </c>
      <c r="M1485" s="428">
        <f>=I1485*L1485</f>
        <v>32760</v>
      </c>
      <c r="N1485" s="82">
        <f>=K1485-M1485</f>
        <v>992.520000000004</v>
      </c>
      <c r="O1485" s="62">
        <v>0</v>
      </c>
      <c r="P1485" s="64">
        <f>=I1485*O1485*ROUNDUP((A1485-B1485)/30,0)</f>
        <v>0</v>
      </c>
      <c r="Q1485" s="62" t="s"/>
      <c r="R1485" s="62" t="s"/>
    </row>
    <row r="1486" spans="1:18" ht="15.75" customHeight="true">
      <c r="A1486" s="147">
        <v>46216</v>
      </c>
      <c r="B1486" s="555">
        <v>46120</v>
      </c>
      <c r="C1486" s="71" t="s">
        <v>242</v>
      </c>
      <c r="D1486" s="64" t="s">
        <v>116</v>
      </c>
      <c r="E1486" s="153" t="s">
        <v>3652</v>
      </c>
      <c r="F1486" t="s">
        <v>804</v>
      </c>
      <c r="G1486" t="s">
        <v>429</v>
      </c>
      <c r="H1486" s="64" t="s">
        <v>822</v>
      </c>
      <c r="I1486">
        <v>100</v>
      </c>
      <c r="J1486">
        <v>86.1</v>
      </c>
      <c r="K1486" s="427">
        <f>=I1486*J1486</f>
        <v>8610</v>
      </c>
      <c r="L1486">
        <v>84</v>
      </c>
      <c r="M1486" s="428">
        <f>=I1486*L1486</f>
        <v>8400</v>
      </c>
      <c r="N1486" s="82">
        <f>=K1486-M1486</f>
        <v>210</v>
      </c>
      <c r="O1486" s="62">
        <v>0</v>
      </c>
      <c r="P1486" s="64">
        <f>=I1486*O1486*ROUNDUP((A1486-B1486)/30,0)</f>
        <v>0</v>
      </c>
      <c r="Q1486" s="62" t="s"/>
      <c r="R1486" s="62" t="s"/>
    </row>
    <row r="1487" spans="1:18" ht="15.75" customHeight="true">
      <c r="A1487" s="147">
        <v>46216</v>
      </c>
      <c r="B1487" s="555">
        <v>46122</v>
      </c>
      <c r="C1487" s="71" t="s">
        <v>246</v>
      </c>
      <c r="D1487" s="64" t="s">
        <v>116</v>
      </c>
      <c r="E1487" s="145" t="s">
        <v>3653</v>
      </c>
      <c r="F1487" s="262" t="s">
        <v>804</v>
      </c>
      <c r="G1487" s="95" t="s">
        <v>429</v>
      </c>
      <c r="H1487" s="140" t="s">
        <v>1760</v>
      </c>
      <c r="I1487">
        <v>20</v>
      </c>
      <c r="J1487" s="154">
        <v>56.34</v>
      </c>
      <c r="K1487" s="427">
        <f>=I1487*J1487</f>
        <v>1126.8</v>
      </c>
      <c r="L1487">
        <v>55</v>
      </c>
      <c r="M1487" s="428">
        <f>=I1487*L1487</f>
        <v>1100</v>
      </c>
      <c r="N1487" s="82">
        <f>=K1487-M1487</f>
        <v>26.8000000000002</v>
      </c>
      <c r="O1487" s="62">
        <v>0</v>
      </c>
      <c r="P1487" s="64">
        <f>=I1487*O1487*ROUNDUP((A1487-B1487)/30,0)</f>
        <v>0</v>
      </c>
      <c r="Q1487" s="62" t="s"/>
      <c r="R1487" s="62" t="s"/>
    </row>
    <row r="1488" spans="1:18" ht="15.75" customHeight="true">
      <c r="A1488" s="147">
        <v>46216</v>
      </c>
      <c r="B1488" s="555">
        <v>46122</v>
      </c>
      <c r="C1488" s="71" t="s">
        <v>246</v>
      </c>
      <c r="D1488" s="64" t="s">
        <v>116</v>
      </c>
      <c r="E1488" s="145" t="s">
        <v>3654</v>
      </c>
      <c r="F1488" s="262" t="s">
        <v>804</v>
      </c>
      <c r="G1488" s="262" t="s">
        <v>429</v>
      </c>
      <c r="H1488" s="64" t="s">
        <v>1785</v>
      </c>
      <c r="I1488" s="154">
        <v>300</v>
      </c>
      <c r="J1488" s="402">
        <v>162.89</v>
      </c>
      <c r="K1488" s="427">
        <f>=I1488*J1488</f>
        <v>48867</v>
      </c>
      <c r="L1488">
        <v>159</v>
      </c>
      <c r="M1488" s="428">
        <f>=I1488*L1488</f>
        <v>47700</v>
      </c>
      <c r="N1488" s="82">
        <f>=K1488-M1488</f>
        <v>1166.99999999999</v>
      </c>
      <c r="O1488" s="62">
        <v>0</v>
      </c>
      <c r="P1488" s="64">
        <f>=I1488*O1488*ROUNDUP((A1488-B1488)/30,0)</f>
        <v>0</v>
      </c>
      <c r="Q1488" s="62" t="s"/>
      <c r="R1488" s="62" t="s"/>
    </row>
    <row r="1489" spans="1:18" ht="15.75" customHeight="true">
      <c r="A1489" s="147">
        <v>46216</v>
      </c>
      <c r="B1489" s="555">
        <v>46122</v>
      </c>
      <c r="C1489" s="71" t="s">
        <v>246</v>
      </c>
      <c r="D1489" s="64" t="s">
        <v>116</v>
      </c>
      <c r="E1489" s="145" t="s">
        <v>3655</v>
      </c>
      <c r="F1489" s="95" t="s">
        <v>804</v>
      </c>
      <c r="G1489" s="262" t="s">
        <v>429</v>
      </c>
      <c r="H1489" s="64" t="s">
        <v>821</v>
      </c>
      <c r="I1489" s="154">
        <v>20</v>
      </c>
      <c r="J1489" s="402">
        <v>56.34</v>
      </c>
      <c r="K1489" s="427">
        <f>=I1489*J1489</f>
        <v>1126.8</v>
      </c>
      <c r="L1489" s="402">
        <v>55</v>
      </c>
      <c r="M1489" s="428">
        <f>=I1489*L1489</f>
        <v>1100</v>
      </c>
      <c r="N1489" s="82">
        <f>=K1489-M1489</f>
        <v>26.8000000000002</v>
      </c>
      <c r="O1489" s="62">
        <v>0</v>
      </c>
      <c r="P1489" s="64">
        <f>=I1489*O1489*ROUNDUP((A1489-B1489)/30,0)</f>
        <v>0</v>
      </c>
      <c r="Q1489" s="62" t="s"/>
      <c r="R1489" s="62" t="s"/>
    </row>
    <row r="1490" spans="1:18" ht="15.75" customHeight="true">
      <c r="A1490" s="147">
        <v>46216</v>
      </c>
      <c r="B1490" s="555">
        <v>46122</v>
      </c>
      <c r="C1490" s="71" t="s">
        <v>246</v>
      </c>
      <c r="D1490" s="64" t="s">
        <v>116</v>
      </c>
      <c r="E1490" s="145" t="s">
        <v>3656</v>
      </c>
      <c r="F1490" s="95" t="s">
        <v>804</v>
      </c>
      <c r="G1490" s="262" t="s">
        <v>429</v>
      </c>
      <c r="H1490" s="64" t="s">
        <v>824</v>
      </c>
      <c r="I1490" s="154">
        <v>50</v>
      </c>
      <c r="J1490" s="402">
        <v>117.81</v>
      </c>
      <c r="K1490" s="427">
        <f>=I1490*J1490</f>
        <v>5890.5</v>
      </c>
      <c r="L1490" s="402">
        <v>115</v>
      </c>
      <c r="M1490" s="428">
        <f>=I1490*L1490</f>
        <v>5750</v>
      </c>
      <c r="N1490" s="82">
        <f>=K1490-M1490</f>
        <v>140.5</v>
      </c>
      <c r="O1490" s="62">
        <v>0</v>
      </c>
      <c r="P1490" s="64">
        <f>=I1490*O1490*ROUNDUP((A1490-B1490)/30,0)</f>
        <v>0</v>
      </c>
      <c r="Q1490" s="62" t="s"/>
      <c r="R1490" s="62" t="s"/>
    </row>
    <row r="1491" spans="1:18" ht="15.75" customHeight="true">
      <c r="A1491" s="147">
        <v>46216</v>
      </c>
      <c r="B1491" s="555">
        <v>46121</v>
      </c>
      <c r="C1491" s="71" t="s">
        <v>240</v>
      </c>
      <c r="D1491" s="559" t="s">
        <v>239</v>
      </c>
      <c r="E1491" s="355" t="s">
        <v>3657</v>
      </c>
      <c r="F1491" s="136" t="s">
        <v>1753</v>
      </c>
      <c r="G1491" s="263" t="s">
        <v>470</v>
      </c>
      <c r="H1491" s="263" t="s">
        <v>1754</v>
      </c>
      <c r="I1491">
        <v>100</v>
      </c>
      <c r="J1491">
        <v>3120.96</v>
      </c>
      <c r="K1491" s="427">
        <f>=I1491*J1491</f>
        <v>312096</v>
      </c>
      <c r="L1491">
        <v>3040</v>
      </c>
      <c r="M1491" s="428">
        <f>=I1491*L1491</f>
        <v>304000</v>
      </c>
      <c r="N1491" s="82">
        <f>=K1491-M1491</f>
        <v>8096</v>
      </c>
      <c r="O1491" s="62">
        <v>1.5</v>
      </c>
      <c r="P1491" s="64">
        <f>=I1491*O1491*ROUNDUP((A1491-B1491)/30,0)</f>
        <v>600</v>
      </c>
      <c r="Q1491" s="62" t="s"/>
      <c r="R1491" s="62" t="s"/>
    </row>
    <row r="1492" spans="1:18" ht="15.75" customHeight="true">
      <c r="A1492" s="147">
        <v>46216</v>
      </c>
      <c r="B1492" s="555">
        <v>46121</v>
      </c>
      <c r="C1492" s="71" t="s">
        <v>240</v>
      </c>
      <c r="D1492" s="559" t="s">
        <v>239</v>
      </c>
      <c r="E1492" s="507" t="s">
        <v>3658</v>
      </c>
      <c r="F1492" s="136" t="s">
        <v>1753</v>
      </c>
      <c r="G1492" s="263" t="s">
        <v>470</v>
      </c>
      <c r="H1492" s="263" t="s">
        <v>1756</v>
      </c>
      <c r="I1492">
        <v>30</v>
      </c>
      <c r="J1492" s="154">
        <v>3899.2</v>
      </c>
      <c r="K1492" s="427">
        <f>=I1492*J1492</f>
        <v>116976</v>
      </c>
      <c r="L1492">
        <v>3800</v>
      </c>
      <c r="M1492" s="428">
        <f>=I1492*L1492</f>
        <v>114000</v>
      </c>
      <c r="N1492" s="82">
        <f>=K1492-M1492</f>
        <v>2976</v>
      </c>
      <c r="O1492" s="62">
        <v>1.5</v>
      </c>
      <c r="P1492" s="64">
        <f>=I1492*O1492*ROUNDUP((A1492-B1492)/30,0)</f>
        <v>180</v>
      </c>
      <c r="Q1492" s="62" t="s"/>
      <c r="R1492" s="62" t="s"/>
    </row>
    <row r="1493" spans="1:18" ht="15.75" customHeight="true">
      <c r="A1493" s="147">
        <v>46216</v>
      </c>
      <c r="B1493" s="555">
        <v>46114</v>
      </c>
      <c r="C1493" s="98" t="s">
        <v>234</v>
      </c>
      <c r="D1493" s="71" t="s">
        <v>215</v>
      </c>
      <c r="E1493" s="145" t="s">
        <v>3659</v>
      </c>
      <c r="F1493" s="140" t="s">
        <v>421</v>
      </c>
      <c r="G1493" s="140" t="s">
        <v>470</v>
      </c>
      <c r="H1493" s="308" t="s">
        <v>1424</v>
      </c>
      <c r="I1493">
        <v>50</v>
      </c>
      <c r="J1493" s="154">
        <v>2880.1</v>
      </c>
      <c r="K1493" s="427">
        <f>=I1493*J1493</f>
        <v>144005</v>
      </c>
      <c r="L1493">
        <v>2800</v>
      </c>
      <c r="M1493" s="428">
        <f>=I1493*L1493</f>
        <v>140000</v>
      </c>
      <c r="N1493" s="82">
        <f>=K1493-M1493</f>
        <v>4005</v>
      </c>
      <c r="O1493" s="62">
        <v>1.5</v>
      </c>
      <c r="P1493" s="64">
        <f>=I1493*O1493*ROUNDUP((A1493-B1493)/30,0)</f>
        <v>300</v>
      </c>
      <c r="Q1493" s="62" t="s"/>
      <c r="R1493" s="62" t="s"/>
    </row>
    <row r="1494" spans="1:18" ht="15.75" customHeight="true">
      <c r="A1494" s="147">
        <v>46216</v>
      </c>
      <c r="B1494" s="555">
        <v>46128</v>
      </c>
      <c r="C1494" s="98" t="s">
        <v>255</v>
      </c>
      <c r="D1494" s="71" t="s">
        <v>215</v>
      </c>
      <c r="E1494" s="145" t="s">
        <v>3660</v>
      </c>
      <c r="F1494" s="87" t="s">
        <v>421</v>
      </c>
      <c r="G1494" s="140" t="s">
        <v>470</v>
      </c>
      <c r="H1494" s="140" t="s">
        <v>1814</v>
      </c>
      <c r="I1494">
        <v>49</v>
      </c>
      <c r="J1494" s="154">
        <v>2622.96</v>
      </c>
      <c r="K1494" s="427">
        <f>=I1494*J1494</f>
        <v>128525.04</v>
      </c>
      <c r="L1494">
        <v>2560</v>
      </c>
      <c r="M1494" s="428">
        <f>=I1494*L1494</f>
        <v>125440</v>
      </c>
      <c r="N1494" s="82">
        <f>=K1494-M1494</f>
        <v>3085.04000000001</v>
      </c>
      <c r="O1494" s="62">
        <v>1.5</v>
      </c>
      <c r="P1494" s="64">
        <f>=I1494*O1494*ROUNDUP((A1494-B1494)/30,0)</f>
        <v>220.5</v>
      </c>
      <c r="Q1494" s="62" t="s"/>
      <c r="R1494" s="62" t="s"/>
    </row>
    <row r="1495" spans="1:18" ht="15.75" customHeight="true">
      <c r="A1495" s="147">
        <v>46216</v>
      </c>
      <c r="B1495" s="460">
        <v>46095</v>
      </c>
      <c r="C1495" s="98" t="s">
        <v>144</v>
      </c>
      <c r="D1495" s="71" t="s">
        <v>135</v>
      </c>
      <c r="E1495" s="511" t="s">
        <v>3661</v>
      </c>
      <c r="F1495" s="71" t="s">
        <v>428</v>
      </c>
      <c r="G1495" s="71" t="s">
        <v>422</v>
      </c>
      <c r="H1495" s="97" t="s">
        <v>884</v>
      </c>
      <c r="I1495" s="154">
        <v>100</v>
      </c>
      <c r="J1495" s="402">
        <v>965.37</v>
      </c>
      <c r="K1495" s="427">
        <f>=I1495*J1495</f>
        <v>96537</v>
      </c>
      <c r="L1495" s="71">
        <v>930</v>
      </c>
      <c r="M1495" s="428">
        <f>=I1495*L1495</f>
        <v>93000</v>
      </c>
      <c r="N1495" s="82">
        <f>=K1495-M1495</f>
        <v>3537</v>
      </c>
      <c r="O1495" s="62">
        <v>1</v>
      </c>
      <c r="P1495" s="64">
        <f>=I1495*O1495*ROUNDUP((A1495-B1495)/30,0)</f>
        <v>500</v>
      </c>
      <c r="Q1495" s="62" t="s"/>
      <c r="R1495" s="62" t="s"/>
    </row>
    <row r="1496" spans="1:18" ht="15.75" customHeight="true">
      <c r="A1496" s="147">
        <v>46216</v>
      </c>
      <c r="B1496" s="555">
        <v>46114</v>
      </c>
      <c r="C1496" s="98" t="s">
        <v>237</v>
      </c>
      <c r="D1496" s="71" t="s">
        <v>135</v>
      </c>
      <c r="E1496" s="511" t="s">
        <v>3662</v>
      </c>
      <c r="F1496" s="156" t="s">
        <v>428</v>
      </c>
      <c r="G1496" s="262" t="s">
        <v>422</v>
      </c>
      <c r="H1496" s="97" t="s">
        <v>884</v>
      </c>
      <c r="I1496">
        <v>50</v>
      </c>
      <c r="J1496" s="154">
        <v>795.83</v>
      </c>
      <c r="K1496" s="427">
        <f>=I1496*J1496</f>
        <v>39791.5</v>
      </c>
      <c r="L1496">
        <v>770</v>
      </c>
      <c r="M1496" s="428">
        <f>=I1496*L1496</f>
        <v>38500</v>
      </c>
      <c r="N1496" s="82">
        <f>=K1496-M1496</f>
        <v>1291.5</v>
      </c>
      <c r="O1496" s="62">
        <v>1</v>
      </c>
      <c r="P1496" s="64">
        <f>=I1496*O1496*ROUNDUP((A1496-B1496)/30,0)</f>
        <v>200</v>
      </c>
      <c r="Q1496" s="62" t="s"/>
      <c r="R1496" s="62" t="s"/>
    </row>
    <row r="1497" spans="1:18" ht="15.75" customHeight="true">
      <c r="A1497" s="147">
        <v>46216</v>
      </c>
      <c r="B1497" s="555">
        <v>46121</v>
      </c>
      <c r="C1497" s="98" t="s">
        <v>247</v>
      </c>
      <c r="D1497" s="71" t="s">
        <v>135</v>
      </c>
      <c r="E1497" s="145" t="s">
        <v>3663</v>
      </c>
      <c r="F1497" t="s">
        <v>428</v>
      </c>
      <c r="G1497" t="s">
        <v>422</v>
      </c>
      <c r="H1497" t="s">
        <v>884</v>
      </c>
      <c r="I1497">
        <v>250</v>
      </c>
      <c r="J1497">
        <v>774</v>
      </c>
      <c r="K1497" s="427">
        <f>=I1497*J1497</f>
        <v>193500</v>
      </c>
      <c r="L1497">
        <v>750</v>
      </c>
      <c r="M1497" s="428">
        <f>=I1497*L1497</f>
        <v>187500</v>
      </c>
      <c r="N1497" s="82">
        <f>=K1497-M1497</f>
        <v>6000</v>
      </c>
      <c r="O1497" s="62">
        <v>1</v>
      </c>
      <c r="P1497" s="64">
        <f>=I1497*O1497*ROUNDUP((A1497-B1497)/30,0)</f>
        <v>1000</v>
      </c>
      <c r="Q1497" s="62" t="s"/>
      <c r="R1497" s="62" t="s"/>
    </row>
    <row r="1498" spans="1:18" ht="15.75" customHeight="true">
      <c r="A1498" s="147">
        <v>46217</v>
      </c>
      <c r="B1498" s="555">
        <v>46113</v>
      </c>
      <c r="C1498" s="135" t="s">
        <v>231</v>
      </c>
      <c r="D1498" s="71" t="s">
        <v>211</v>
      </c>
      <c r="E1498" s="511" t="s">
        <v>3664</v>
      </c>
      <c r="F1498" s="263" t="s">
        <v>421</v>
      </c>
      <c r="G1498" s="263" t="s">
        <v>470</v>
      </c>
      <c r="H1498" s="64" t="s">
        <v>1582</v>
      </c>
      <c r="I1498" s="78">
        <v>2</v>
      </c>
      <c r="J1498" s="154">
        <v>2881.5</v>
      </c>
      <c r="K1498" s="427">
        <f>=I1498*J1498</f>
        <v>5763</v>
      </c>
      <c r="L1498">
        <v>2800</v>
      </c>
      <c r="M1498" s="428">
        <f>=I1498*L1498</f>
        <v>5600</v>
      </c>
      <c r="N1498" s="82">
        <f>=K1498-M1498</f>
        <v>163</v>
      </c>
      <c r="O1498" s="62">
        <v>1.5</v>
      </c>
      <c r="P1498" s="64">
        <f>=I1498*O1498*ROUNDUP((A1498-B1498)/30,0)</f>
        <v>12</v>
      </c>
      <c r="Q1498" s="62" t="s"/>
      <c r="R1498" s="62" t="s"/>
    </row>
    <row r="1499" spans="1:18" ht="15.75" customHeight="true">
      <c r="A1499" s="147">
        <v>46217</v>
      </c>
      <c r="B1499" s="555">
        <v>46111</v>
      </c>
      <c r="C1499" s="135" t="s">
        <v>212</v>
      </c>
      <c r="D1499" s="100" t="s">
        <v>211</v>
      </c>
      <c r="E1499" s="511" t="s">
        <v>3665</v>
      </c>
      <c r="F1499" s="263" t="s">
        <v>421</v>
      </c>
      <c r="G1499" s="263" t="s">
        <v>470</v>
      </c>
      <c r="H1499" s="308" t="s">
        <v>1582</v>
      </c>
      <c r="I1499">
        <v>1</v>
      </c>
      <c r="J1499" s="154">
        <v>2882.9</v>
      </c>
      <c r="K1499" s="427">
        <f>=I1499*J1499</f>
        <v>2882.9</v>
      </c>
      <c r="L1499">
        <v>2800</v>
      </c>
      <c r="M1499" s="428">
        <f>=I1499*L1499</f>
        <v>2800</v>
      </c>
      <c r="N1499" s="82">
        <f>=K1499-M1499</f>
        <v>82.9000000000001</v>
      </c>
      <c r="O1499" s="62">
        <v>1.5</v>
      </c>
      <c r="P1499" s="64">
        <f>=I1499*O1499*ROUNDUP((A1499-B1499)/30,0)</f>
        <v>6</v>
      </c>
      <c r="Q1499" s="62" t="s"/>
      <c r="R1499" s="62" t="s"/>
    </row>
    <row r="1500" spans="1:18" ht="15.75" customHeight="true">
      <c r="A1500" s="147">
        <v>46217</v>
      </c>
      <c r="B1500" s="555">
        <v>46129</v>
      </c>
      <c r="C1500" s="98" t="s">
        <v>268</v>
      </c>
      <c r="D1500" s="71" t="s">
        <v>211</v>
      </c>
      <c r="E1500" s="145" t="s">
        <v>3666</v>
      </c>
      <c r="F1500" s="308" t="s">
        <v>421</v>
      </c>
      <c r="G1500" s="308" t="s">
        <v>470</v>
      </c>
      <c r="H1500" s="259" t="s">
        <v>1879</v>
      </c>
      <c r="I1500">
        <v>50</v>
      </c>
      <c r="J1500" s="154">
        <v>2814.96</v>
      </c>
      <c r="K1500" s="427">
        <f>=I1500*J1500</f>
        <v>140748</v>
      </c>
      <c r="L1500">
        <v>2650</v>
      </c>
      <c r="M1500" s="428">
        <f>=I1500*L1500</f>
        <v>132500</v>
      </c>
      <c r="N1500" s="82">
        <f>=K1500-M1500</f>
        <v>8248</v>
      </c>
      <c r="O1500" s="62">
        <v>1.5</v>
      </c>
      <c r="P1500" s="64">
        <f>=I1500*O1500*ROUNDUP((A1500-B1500)/30,0)</f>
        <v>225</v>
      </c>
      <c r="Q1500" s="62" t="s"/>
      <c r="R1500" s="62" t="s"/>
    </row>
    <row r="1501" spans="1:18" ht="15.75" customHeight="true">
      <c r="A1501" s="147">
        <v>46217</v>
      </c>
      <c r="B1501" s="555">
        <v>46129</v>
      </c>
      <c r="C1501" s="98" t="s">
        <v>268</v>
      </c>
      <c r="D1501" s="71" t="s">
        <v>211</v>
      </c>
      <c r="E1501" s="145" t="s">
        <v>3667</v>
      </c>
      <c r="F1501" s="308" t="s">
        <v>421</v>
      </c>
      <c r="G1501" s="308" t="s">
        <v>470</v>
      </c>
      <c r="H1501" s="259" t="s">
        <v>1879</v>
      </c>
      <c r="I1501">
        <v>43</v>
      </c>
      <c r="J1501" s="154">
        <v>2814.96</v>
      </c>
      <c r="K1501" s="439">
        <f>=I1501*J1501</f>
        <v>121043.28</v>
      </c>
      <c r="L1501">
        <v>2650</v>
      </c>
      <c r="M1501" s="428">
        <f>=I1501*L1501</f>
        <v>113950</v>
      </c>
      <c r="N1501" s="82">
        <f>=K1501-M1501</f>
        <v>7093.28</v>
      </c>
      <c r="O1501" s="62">
        <v>1.5</v>
      </c>
      <c r="P1501" s="64">
        <f>=I1501*O1501*ROUNDUP((A1501-B1501)/30,0)</f>
        <v>193.5</v>
      </c>
      <c r="Q1501" s="62" t="s"/>
      <c r="R1501" s="62" t="s"/>
    </row>
    <row r="1502" spans="1:18" ht="15.75" customHeight="true">
      <c r="A1502" s="147">
        <v>46217</v>
      </c>
      <c r="B1502" s="555">
        <v>46131</v>
      </c>
      <c r="C1502" s="98" t="s">
        <v>257</v>
      </c>
      <c r="D1502" s="71" t="s">
        <v>150</v>
      </c>
      <c r="E1502" s="145" t="s">
        <v>3668</v>
      </c>
      <c r="F1502" t="s">
        <v>895</v>
      </c>
      <c r="G1502" t="s">
        <v>422</v>
      </c>
      <c r="H1502" s="87" t="s">
        <v>1816</v>
      </c>
      <c r="I1502">
        <v>200</v>
      </c>
      <c r="J1502">
        <v>975.16</v>
      </c>
      <c r="K1502" s="427">
        <f>=I1502*J1502</f>
        <v>195032</v>
      </c>
      <c r="L1502">
        <v>950</v>
      </c>
      <c r="M1502" s="428">
        <f>=I1502*L1502</f>
        <v>190000</v>
      </c>
      <c r="N1502" s="82">
        <f>=K1502-M1502</f>
        <v>5032</v>
      </c>
      <c r="O1502" s="62">
        <v>1</v>
      </c>
      <c r="P1502" s="64">
        <f>=I1502*O1502*ROUNDUP((A1502-B1502)/30,0)</f>
        <v>600</v>
      </c>
      <c r="Q1502" s="62" t="s"/>
      <c r="R1502" s="62" t="s"/>
    </row>
    <row r="1503" spans="1:18" ht="15.75" customHeight="true">
      <c r="A1503" s="147">
        <v>46217</v>
      </c>
      <c r="B1503" s="555">
        <v>46150</v>
      </c>
      <c r="C1503" s="98" t="s">
        <v>314</v>
      </c>
      <c r="D1503" s="71" t="s">
        <v>150</v>
      </c>
      <c r="E1503" s="145" t="s">
        <v>3669</v>
      </c>
      <c r="F1503" s="156" t="s">
        <v>895</v>
      </c>
      <c r="G1503" s="156" t="s">
        <v>422</v>
      </c>
      <c r="H1503" s="140" t="s">
        <v>2069</v>
      </c>
      <c r="I1503">
        <v>100</v>
      </c>
      <c r="J1503" s="154">
        <v>960.48</v>
      </c>
      <c r="K1503" s="427">
        <f>=I1503*J1503</f>
        <v>96048</v>
      </c>
      <c r="L1503">
        <v>940</v>
      </c>
      <c r="M1503" s="428">
        <f>=I1503*L1503</f>
        <v>94000</v>
      </c>
      <c r="N1503" s="82">
        <f>=K1503-M1503</f>
        <v>2048</v>
      </c>
      <c r="O1503" s="62">
        <v>1</v>
      </c>
      <c r="P1503" s="64">
        <f>=I1503*O1503*ROUNDUP((A1503-B1503)/30,0)</f>
        <v>300</v>
      </c>
      <c r="Q1503" s="62" t="s"/>
      <c r="R1503" s="62" t="s"/>
    </row>
    <row r="1504" spans="1:18" ht="15.75" customHeight="true">
      <c r="A1504" s="147">
        <v>46217</v>
      </c>
      <c r="B1504" s="555">
        <v>46161</v>
      </c>
      <c r="C1504" s="98" t="s">
        <v>342</v>
      </c>
      <c r="D1504" s="71" t="s">
        <v>150</v>
      </c>
      <c r="E1504" s="358" t="s">
        <v>3670</v>
      </c>
      <c r="F1504" s="71" t="s">
        <v>895</v>
      </c>
      <c r="G1504" s="71" t="s">
        <v>422</v>
      </c>
      <c r="H1504" s="64" t="s">
        <v>901</v>
      </c>
      <c r="I1504">
        <v>470</v>
      </c>
      <c r="J1504">
        <v>631.84</v>
      </c>
      <c r="K1504" s="427">
        <f>=I1504*J1504</f>
        <v>296964.8</v>
      </c>
      <c r="L1504" s="249">
        <v>620</v>
      </c>
      <c r="M1504" s="428">
        <f>=I1504*L1504</f>
        <v>291400</v>
      </c>
      <c r="N1504" s="82">
        <f>=K1504-M1504</f>
        <v>5564.79999999999</v>
      </c>
      <c r="O1504" s="62">
        <v>1</v>
      </c>
      <c r="P1504" s="64">
        <f>=I1504*O1504*ROUNDUP((A1504-B1504)/30,0)</f>
        <v>940</v>
      </c>
      <c r="Q1504" s="62" t="s"/>
      <c r="R1504" s="62" t="s"/>
    </row>
    <row r="1505" spans="1:18" ht="15.75" customHeight="true">
      <c r="A1505" s="147">
        <v>46217</v>
      </c>
      <c r="B1505" s="555">
        <v>46099</v>
      </c>
      <c r="C1505" s="80" t="s">
        <v>152</v>
      </c>
      <c r="D1505" s="64" t="s">
        <v>135</v>
      </c>
      <c r="E1505" s="471" t="s">
        <v>3671</v>
      </c>
      <c r="F1505" s="64" t="s">
        <v>428</v>
      </c>
      <c r="G1505" s="64" t="s">
        <v>422</v>
      </c>
      <c r="H1505" s="64" t="s">
        <v>908</v>
      </c>
      <c r="I1505" s="339">
        <v>100</v>
      </c>
      <c r="J1505" s="249">
        <v>1167.56</v>
      </c>
      <c r="K1505" s="427">
        <f>=I1505*J1505</f>
        <v>116756</v>
      </c>
      <c r="L1505" s="64">
        <v>1128</v>
      </c>
      <c r="M1505" s="428">
        <f>=I1505*L1505</f>
        <v>112800</v>
      </c>
      <c r="N1505" s="82">
        <f>=K1505-M1505</f>
        <v>3956</v>
      </c>
      <c r="O1505" s="62">
        <v>1</v>
      </c>
      <c r="P1505" s="64">
        <f>=I1505*O1505*ROUNDUP((A1505-B1505)/30,0)</f>
        <v>400</v>
      </c>
      <c r="Q1505" s="62" t="s"/>
      <c r="R1505" s="62" t="s"/>
    </row>
    <row r="1506" spans="1:18" ht="15.75" customHeight="true">
      <c r="A1506" s="147">
        <v>46217</v>
      </c>
      <c r="B1506" s="555">
        <v>46111</v>
      </c>
      <c r="C1506" s="98" t="s">
        <v>209</v>
      </c>
      <c r="D1506" s="71" t="s">
        <v>135</v>
      </c>
      <c r="E1506" s="511" t="s">
        <v>3672</v>
      </c>
      <c r="F1506" s="528" t="s">
        <v>428</v>
      </c>
      <c r="G1506" s="262" t="s">
        <v>422</v>
      </c>
      <c r="H1506" s="64" t="s">
        <v>604</v>
      </c>
      <c r="I1506">
        <v>50</v>
      </c>
      <c r="J1506">
        <v>976.28</v>
      </c>
      <c r="K1506" s="427">
        <f>=I1506*J1506</f>
        <v>48814</v>
      </c>
      <c r="L1506" s="243">
        <v>945</v>
      </c>
      <c r="M1506" s="428">
        <f>=I1506*L1506</f>
        <v>47250</v>
      </c>
      <c r="N1506" s="82">
        <f>=K1506-M1506</f>
        <v>1564</v>
      </c>
      <c r="O1506" s="62">
        <v>1</v>
      </c>
      <c r="P1506" s="64">
        <f>=I1506*O1506*ROUNDUP((A1506-B1506)/30,0)</f>
        <v>200</v>
      </c>
      <c r="Q1506" s="62" t="s"/>
      <c r="R1506" s="62" t="s"/>
    </row>
    <row r="1507" spans="1:18" ht="15.75" customHeight="true">
      <c r="A1507" s="147">
        <v>46217</v>
      </c>
      <c r="B1507" s="555">
        <v>46121</v>
      </c>
      <c r="C1507" s="98" t="s">
        <v>247</v>
      </c>
      <c r="D1507" s="71" t="s">
        <v>135</v>
      </c>
      <c r="E1507" s="145" t="s">
        <v>3673</v>
      </c>
      <c r="F1507" t="s">
        <v>428</v>
      </c>
      <c r="G1507" t="s">
        <v>422</v>
      </c>
      <c r="H1507" s="87" t="s">
        <v>884</v>
      </c>
      <c r="I1507">
        <v>150</v>
      </c>
      <c r="J1507">
        <v>774.19</v>
      </c>
      <c r="K1507" s="427">
        <f>=I1507*J1507</f>
        <v>116128.5</v>
      </c>
      <c r="L1507">
        <v>750</v>
      </c>
      <c r="M1507" s="428">
        <f>=I1507*L1507</f>
        <v>112500</v>
      </c>
      <c r="N1507" s="82">
        <f>=K1507-M1507</f>
        <v>3628.50000000002</v>
      </c>
      <c r="O1507" s="62">
        <v>1</v>
      </c>
      <c r="P1507" s="64">
        <f>=I1507*O1507*ROUNDUP((A1507-B1507)/30,0)</f>
        <v>600</v>
      </c>
      <c r="Q1507" s="62" t="s"/>
      <c r="R1507" s="62" t="s"/>
    </row>
    <row r="1508" spans="1:18" ht="15.75" customHeight="true">
      <c r="A1508" s="147">
        <v>46218</v>
      </c>
      <c r="B1508" s="555">
        <v>46202</v>
      </c>
      <c r="C1508" s="98" t="s">
        <v>365</v>
      </c>
      <c r="D1508" s="559" t="s">
        <v>333</v>
      </c>
      <c r="E1508" s="365" t="s">
        <v>3674</v>
      </c>
      <c r="F1508" t="s">
        <v>804</v>
      </c>
      <c r="G1508" s="87" t="s">
        <v>429</v>
      </c>
      <c r="H1508" s="140" t="s">
        <v>2211</v>
      </c>
      <c r="I1508">
        <v>600</v>
      </c>
      <c r="J1508" s="62">
        <v>286.28</v>
      </c>
      <c r="K1508" s="427">
        <f>=I1508*J1508</f>
        <v>171768</v>
      </c>
      <c r="L1508" s="497">
        <v>285</v>
      </c>
      <c r="M1508" s="428">
        <f>=I1508*L1508</f>
        <v>171000</v>
      </c>
      <c r="N1508" s="82">
        <f>=K1508-M1508</f>
        <v>767.999999999971</v>
      </c>
      <c r="O1508" s="62">
        <v>0</v>
      </c>
      <c r="P1508" s="64">
        <f>=I1508*O1508*ROUNDUP((A1508-B1508)/30,0)</f>
        <v>0</v>
      </c>
      <c r="Q1508" s="62" t="s"/>
      <c r="R1508" s="62" t="s"/>
    </row>
    <row r="1509" spans="1:18" ht="15.75" customHeight="true">
      <c r="A1509" s="147">
        <v>46218</v>
      </c>
      <c r="B1509" s="555">
        <v>46153</v>
      </c>
      <c r="C1509" s="98" t="s">
        <v>316</v>
      </c>
      <c r="D1509" s="108" t="s">
        <v>294</v>
      </c>
      <c r="E1509" s="263" t="s">
        <v>3675</v>
      </c>
      <c r="F1509" t="s">
        <v>895</v>
      </c>
      <c r="G1509" s="156" t="s">
        <v>422</v>
      </c>
      <c r="H1509" s="335" t="s">
        <v>1523</v>
      </c>
      <c r="I1509">
        <v>500</v>
      </c>
      <c r="J1509">
        <v>1935.85</v>
      </c>
      <c r="K1509" s="427">
        <f>=I1509*J1509</f>
        <v>967925</v>
      </c>
      <c r="L1509" s="402">
        <v>1900</v>
      </c>
      <c r="M1509" s="428">
        <f>=I1509*L1509</f>
        <v>950000</v>
      </c>
      <c r="N1509" s="82">
        <f>=K1509-M1509</f>
        <v>17925</v>
      </c>
      <c r="O1509" s="62">
        <v>1</v>
      </c>
      <c r="P1509" s="64">
        <f>=I1509*O1509*ROUNDUP((A1509-B1509)/30,0)</f>
        <v>1500</v>
      </c>
      <c r="Q1509" s="62" t="s"/>
      <c r="R1509" s="62" t="s"/>
    </row>
    <row r="1510" spans="1:18" ht="15.75" customHeight="true">
      <c r="A1510" s="147">
        <v>46218</v>
      </c>
      <c r="B1510" s="555">
        <v>46153</v>
      </c>
      <c r="C1510" s="98" t="s">
        <v>316</v>
      </c>
      <c r="D1510" s="108" t="s">
        <v>294</v>
      </c>
      <c r="E1510" s="263" t="s">
        <v>3676</v>
      </c>
      <c r="F1510" t="s">
        <v>895</v>
      </c>
      <c r="G1510" s="156" t="s">
        <v>422</v>
      </c>
      <c r="H1510" s="335" t="s">
        <v>1523</v>
      </c>
      <c r="I1510" s="62">
        <v>500</v>
      </c>
      <c r="J1510">
        <v>1935.85</v>
      </c>
      <c r="K1510" s="427">
        <f>=I1510*J1510</f>
        <v>967925</v>
      </c>
      <c r="L1510" s="402">
        <v>1900</v>
      </c>
      <c r="M1510" s="428">
        <f>=I1510*L1510</f>
        <v>950000</v>
      </c>
      <c r="N1510" s="82">
        <f>=K1510-M1510</f>
        <v>17925</v>
      </c>
      <c r="O1510" s="62">
        <v>1</v>
      </c>
      <c r="P1510" s="64">
        <f>=I1510*O1510*ROUNDUP((A1510-B1510)/30,0)</f>
        <v>1500</v>
      </c>
      <c r="Q1510" s="62" t="s"/>
      <c r="R1510" s="62" t="s"/>
    </row>
    <row r="1511" spans="1:18" ht="15.75" customHeight="true">
      <c r="A1511" s="147">
        <v>46219</v>
      </c>
      <c r="B1511" s="555">
        <v>46202</v>
      </c>
      <c r="C1511" s="98" t="s">
        <v>365</v>
      </c>
      <c r="D1511" s="559" t="s">
        <v>333</v>
      </c>
      <c r="E1511" s="365" t="s">
        <v>3677</v>
      </c>
      <c r="F1511" t="s">
        <v>804</v>
      </c>
      <c r="G1511" s="87" t="s">
        <v>429</v>
      </c>
      <c r="H1511" s="140" t="s">
        <v>2125</v>
      </c>
      <c r="I1511" s="249">
        <v>20</v>
      </c>
      <c r="J1511">
        <v>1100.52</v>
      </c>
      <c r="K1511" s="427">
        <f>=I1511*J1511</f>
        <v>22010.4</v>
      </c>
      <c r="L1511" s="249">
        <v>1095</v>
      </c>
      <c r="M1511" s="428">
        <f>=I1511*L1511</f>
        <v>21900</v>
      </c>
      <c r="N1511" s="82">
        <f>=K1511-M1511</f>
        <v>110.400000000001</v>
      </c>
      <c r="O1511" s="62">
        <v>0</v>
      </c>
      <c r="P1511" s="64">
        <f>=I1511*O1511*ROUNDUP((A1511-B1511)/30,0)</f>
        <v>0</v>
      </c>
      <c r="Q1511" s="62" t="s"/>
      <c r="R1511" s="62" t="s"/>
    </row>
    <row r="1512" spans="1:18" ht="15.75" customHeight="true">
      <c r="A1512" s="147">
        <v>46219</v>
      </c>
      <c r="B1512" s="555">
        <v>46202</v>
      </c>
      <c r="C1512" s="98" t="s">
        <v>365</v>
      </c>
      <c r="D1512" s="559" t="s">
        <v>333</v>
      </c>
      <c r="E1512" s="365" t="s">
        <v>3678</v>
      </c>
      <c r="F1512" t="s">
        <v>804</v>
      </c>
      <c r="G1512" s="87" t="s">
        <v>429</v>
      </c>
      <c r="H1512" s="140" t="s">
        <v>2216</v>
      </c>
      <c r="I1512" s="249">
        <v>20</v>
      </c>
      <c r="J1512">
        <v>80.4</v>
      </c>
      <c r="K1512" s="427">
        <f>=I1512*J1512</f>
        <v>1608</v>
      </c>
      <c r="L1512" s="249">
        <v>80</v>
      </c>
      <c r="M1512" s="428">
        <f>=I1512*L1512</f>
        <v>1600</v>
      </c>
      <c r="N1512" s="82">
        <f>=K1512-M1512</f>
        <v>8</v>
      </c>
      <c r="O1512" s="62">
        <v>0</v>
      </c>
      <c r="P1512" s="64">
        <f>=I1512*O1512*ROUNDUP((A1512-B1512)/30,0)</f>
        <v>0</v>
      </c>
      <c r="Q1512" s="62" t="s"/>
      <c r="R1512" s="62" t="s"/>
    </row>
    <row r="1513" spans="1:18" ht="15.75" customHeight="true">
      <c r="A1513" s="147">
        <v>46219</v>
      </c>
      <c r="B1513" s="555">
        <v>46202</v>
      </c>
      <c r="C1513" s="98" t="s">
        <v>365</v>
      </c>
      <c r="D1513" s="559" t="s">
        <v>333</v>
      </c>
      <c r="E1513" s="365" t="s">
        <v>3679</v>
      </c>
      <c r="F1513" t="s">
        <v>804</v>
      </c>
      <c r="G1513" s="87" t="s">
        <v>429</v>
      </c>
      <c r="H1513" s="140" t="s">
        <v>2220</v>
      </c>
      <c r="I1513" s="249">
        <v>180</v>
      </c>
      <c r="J1513">
        <v>150.76</v>
      </c>
      <c r="K1513" s="427">
        <f>=I1513*J1513</f>
        <v>27136.8</v>
      </c>
      <c r="L1513" s="249">
        <v>150</v>
      </c>
      <c r="M1513" s="428">
        <f>=I1513*L1513</f>
        <v>27000</v>
      </c>
      <c r="N1513" s="82">
        <f>=K1513-M1513</f>
        <v>136.799999999999</v>
      </c>
      <c r="O1513" s="62">
        <v>0</v>
      </c>
      <c r="P1513" s="64">
        <f>=I1513*O1513*ROUNDUP((A1513-B1513)/30,0)</f>
        <v>0</v>
      </c>
      <c r="Q1513" s="62" t="s"/>
      <c r="R1513" s="62" t="s"/>
    </row>
    <row r="1514" spans="1:18" ht="15.75" customHeight="true">
      <c r="A1514" s="147">
        <v>46219</v>
      </c>
      <c r="B1514" s="555">
        <v>46202</v>
      </c>
      <c r="C1514" s="98" t="s">
        <v>365</v>
      </c>
      <c r="D1514" s="559" t="s">
        <v>333</v>
      </c>
      <c r="E1514" s="365" t="s">
        <v>3680</v>
      </c>
      <c r="F1514" t="s">
        <v>804</v>
      </c>
      <c r="G1514" s="87" t="s">
        <v>429</v>
      </c>
      <c r="H1514" s="140" t="s">
        <v>2223</v>
      </c>
      <c r="I1514">
        <v>300</v>
      </c>
      <c r="J1514">
        <v>201.01</v>
      </c>
      <c r="K1514" s="427">
        <f>=I1514*J1514</f>
        <v>60303</v>
      </c>
      <c r="L1514">
        <v>200</v>
      </c>
      <c r="M1514" s="428">
        <f>=I1514*L1514</f>
        <v>60000</v>
      </c>
      <c r="N1514" s="82">
        <f>=K1514-M1514</f>
        <v>303</v>
      </c>
      <c r="O1514" s="62">
        <v>0</v>
      </c>
      <c r="P1514" s="64">
        <f>=I1514*O1514*ROUNDUP((A1514-B1514)/30,0)</f>
        <v>0</v>
      </c>
      <c r="Q1514" s="62" t="s"/>
      <c r="R1514" s="62" t="s"/>
    </row>
    <row r="1515" spans="1:18" ht="15.75" customHeight="true">
      <c r="A1515" s="147">
        <v>46219</v>
      </c>
      <c r="B1515" s="555">
        <v>46202</v>
      </c>
      <c r="C1515" s="98" t="s">
        <v>365</v>
      </c>
      <c r="D1515" s="559" t="s">
        <v>333</v>
      </c>
      <c r="E1515" s="365" t="s">
        <v>3681</v>
      </c>
      <c r="F1515" t="s">
        <v>804</v>
      </c>
      <c r="G1515" s="87" t="s">
        <v>429</v>
      </c>
      <c r="H1515" s="64" t="s">
        <v>2225</v>
      </c>
      <c r="I1515" s="396">
        <v>100</v>
      </c>
      <c r="J1515">
        <v>321.61</v>
      </c>
      <c r="K1515" s="427">
        <f>=I1515*J1515</f>
        <v>32161</v>
      </c>
      <c r="L1515" s="249">
        <v>320</v>
      </c>
      <c r="M1515" s="428">
        <f>=I1515*L1515</f>
        <v>32000</v>
      </c>
      <c r="N1515" s="82">
        <f>=K1515-M1515</f>
        <v>161</v>
      </c>
      <c r="O1515" s="62">
        <v>0</v>
      </c>
      <c r="P1515" s="64">
        <f>=I1515*O1515*ROUNDUP((A1515-B1515)/30,0)</f>
        <v>0</v>
      </c>
      <c r="Q1515" s="62" t="s"/>
      <c r="R1515" s="62" t="s"/>
    </row>
    <row r="1516" spans="1:18" ht="15.75" customHeight="true">
      <c r="A1516" s="147">
        <v>46219</v>
      </c>
      <c r="B1516" s="555">
        <v>46202</v>
      </c>
      <c r="C1516" s="98" t="s">
        <v>365</v>
      </c>
      <c r="D1516" s="559" t="s">
        <v>333</v>
      </c>
      <c r="E1516" s="365" t="s">
        <v>3682</v>
      </c>
      <c r="F1516" t="s">
        <v>804</v>
      </c>
      <c r="G1516" s="87" t="s">
        <v>429</v>
      </c>
      <c r="H1516" s="308" t="s">
        <v>2131</v>
      </c>
      <c r="I1516" s="497">
        <v>55</v>
      </c>
      <c r="J1516">
        <v>994.99</v>
      </c>
      <c r="K1516" s="427">
        <f>=I1516*J1516</f>
        <v>54724.45</v>
      </c>
      <c r="L1516" s="249">
        <v>990</v>
      </c>
      <c r="M1516" s="428">
        <f>=I1516*L1516</f>
        <v>54450</v>
      </c>
      <c r="N1516" s="82">
        <f>=K1516-M1516</f>
        <v>274.449999999997</v>
      </c>
      <c r="O1516" s="62">
        <v>0</v>
      </c>
      <c r="P1516" s="64">
        <f>=I1516*O1516*ROUNDUP((A1516-B1516)/30,0)</f>
        <v>0</v>
      </c>
      <c r="Q1516" s="62" t="s"/>
      <c r="R1516" s="62" t="s"/>
    </row>
    <row r="1517" spans="1:18" ht="15.75" customHeight="true">
      <c r="A1517" s="147">
        <v>46219</v>
      </c>
      <c r="B1517" s="555">
        <v>46151</v>
      </c>
      <c r="C1517" s="98" t="s">
        <v>315</v>
      </c>
      <c r="D1517" s="559" t="s">
        <v>301</v>
      </c>
      <c r="E1517" s="263" t="s">
        <v>3683</v>
      </c>
      <c r="F1517" t="s">
        <v>1438</v>
      </c>
      <c r="G1517" t="s">
        <v>422</v>
      </c>
      <c r="H1517" t="s">
        <v>2071</v>
      </c>
      <c r="I1517" s="108">
        <v>19</v>
      </c>
      <c r="J1517">
        <v>920.03</v>
      </c>
      <c r="K1517" s="427">
        <f>=I1517*J1517</f>
        <v>17480.57</v>
      </c>
      <c r="L1517" s="402">
        <v>900</v>
      </c>
      <c r="M1517" s="428">
        <f>=I1517*L1517</f>
        <v>17100</v>
      </c>
      <c r="N1517" s="82">
        <f>=K1517-M1517</f>
        <v>380.57</v>
      </c>
      <c r="O1517" s="62">
        <v>1</v>
      </c>
      <c r="P1517" s="64">
        <f>=I1517*O1517*ROUNDUP((A1517-B1517)/30,0)</f>
        <v>57</v>
      </c>
      <c r="Q1517" s="62" t="s"/>
      <c r="R1517" s="62" t="s"/>
    </row>
    <row r="1518" spans="1:18" ht="15.75" customHeight="true">
      <c r="A1518" s="147">
        <v>46219</v>
      </c>
      <c r="B1518" s="555">
        <v>46151</v>
      </c>
      <c r="C1518" s="98" t="s">
        <v>315</v>
      </c>
      <c r="D1518" s="559" t="s">
        <v>301</v>
      </c>
      <c r="E1518" s="263" t="s">
        <v>3684</v>
      </c>
      <c r="F1518" t="s">
        <v>1438</v>
      </c>
      <c r="G1518" t="s">
        <v>422</v>
      </c>
      <c r="H1518" t="s">
        <v>2073</v>
      </c>
      <c r="I1518" s="108">
        <v>9</v>
      </c>
      <c r="J1518">
        <v>920.03</v>
      </c>
      <c r="K1518" s="427">
        <f>=I1518*J1518</f>
        <v>8280.27</v>
      </c>
      <c r="L1518" s="402">
        <v>900</v>
      </c>
      <c r="M1518" s="428">
        <f>=I1518*L1518</f>
        <v>8100</v>
      </c>
      <c r="N1518" s="82">
        <f>=K1518-M1518</f>
        <v>180.27</v>
      </c>
      <c r="O1518" s="62">
        <v>1</v>
      </c>
      <c r="P1518" s="64">
        <f>=I1518*O1518*ROUNDUP((A1518-B1518)/30,0)</f>
        <v>27</v>
      </c>
      <c r="Q1518" s="62" t="s"/>
      <c r="R1518" s="62" t="s"/>
    </row>
    <row r="1519" spans="1:18" ht="15.75" customHeight="true">
      <c r="A1519" s="147">
        <v>46219</v>
      </c>
      <c r="B1519" s="555">
        <v>46151</v>
      </c>
      <c r="C1519" s="98" t="s">
        <v>315</v>
      </c>
      <c r="D1519" s="559" t="s">
        <v>301</v>
      </c>
      <c r="E1519" s="263" t="s">
        <v>3685</v>
      </c>
      <c r="F1519" t="s">
        <v>1438</v>
      </c>
      <c r="G1519" t="s">
        <v>422</v>
      </c>
      <c r="H1519" t="s">
        <v>2075</v>
      </c>
      <c r="I1519" s="108">
        <v>9</v>
      </c>
      <c r="J1519">
        <v>920.03</v>
      </c>
      <c r="K1519" s="427">
        <f>=I1519*J1519</f>
        <v>8280.27</v>
      </c>
      <c r="L1519">
        <v>900</v>
      </c>
      <c r="M1519" s="428">
        <f>=I1519*L1519</f>
        <v>8100</v>
      </c>
      <c r="N1519" s="82">
        <f>=K1519-M1519</f>
        <v>180.27</v>
      </c>
      <c r="O1519" s="62">
        <v>1</v>
      </c>
      <c r="P1519" s="64">
        <f>=I1519*O1519*ROUNDUP((A1519-B1519)/30,0)</f>
        <v>27</v>
      </c>
      <c r="Q1519" s="62" t="s"/>
      <c r="R1519" s="62" t="s"/>
    </row>
    <row r="1520" spans="1:18" ht="15.75" customHeight="true">
      <c r="A1520" s="147">
        <v>46219</v>
      </c>
      <c r="B1520" s="555">
        <v>46121</v>
      </c>
      <c r="C1520" s="71" t="s">
        <v>245</v>
      </c>
      <c r="D1520" s="64" t="s">
        <v>116</v>
      </c>
      <c r="E1520" s="145" t="s">
        <v>3686</v>
      </c>
      <c r="F1520" s="262" t="s">
        <v>804</v>
      </c>
      <c r="G1520" s="95" t="s">
        <v>429</v>
      </c>
      <c r="H1520" s="140" t="s">
        <v>824</v>
      </c>
      <c r="I1520" s="369">
        <v>4199</v>
      </c>
      <c r="J1520" s="327">
        <v>58.47</v>
      </c>
      <c r="K1520" s="427">
        <f>=I1520*J1520</f>
        <v>245515.53</v>
      </c>
      <c r="L1520">
        <v>57</v>
      </c>
      <c r="M1520" s="428">
        <f>=I1520*L1520</f>
        <v>239343</v>
      </c>
      <c r="N1520" s="82">
        <f>=K1520-M1520</f>
        <v>6172.53</v>
      </c>
      <c r="O1520" s="62">
        <v>0</v>
      </c>
      <c r="P1520" s="64">
        <f>=I1520*O1520*ROUNDUP((A1520-B1520)/30,0)</f>
        <v>0</v>
      </c>
      <c r="Q1520" s="62" t="s"/>
      <c r="R1520" s="62" t="s"/>
    </row>
    <row r="1521" spans="1:18" ht="15.75" customHeight="true">
      <c r="A1521" s="147">
        <v>46219</v>
      </c>
      <c r="B1521" s="555">
        <v>46122</v>
      </c>
      <c r="C1521" s="71" t="s">
        <v>246</v>
      </c>
      <c r="D1521" s="64" t="s">
        <v>116</v>
      </c>
      <c r="E1521" s="145" t="s">
        <v>3687</v>
      </c>
      <c r="F1521" s="262" t="s">
        <v>804</v>
      </c>
      <c r="G1521" s="262" t="s">
        <v>429</v>
      </c>
      <c r="H1521" s="64" t="s">
        <v>1785</v>
      </c>
      <c r="I1521" s="154">
        <v>1366</v>
      </c>
      <c r="J1521" s="154">
        <v>163.05</v>
      </c>
      <c r="K1521" s="427">
        <f>=I1521*J1521</f>
        <v>222726.3</v>
      </c>
      <c r="L1521">
        <v>159</v>
      </c>
      <c r="M1521" s="428">
        <f>=I1521*L1521</f>
        <v>217194</v>
      </c>
      <c r="N1521" s="82">
        <f>=K1521-M1521</f>
        <v>5532.30000000002</v>
      </c>
      <c r="O1521" s="62">
        <v>0</v>
      </c>
      <c r="P1521" s="64">
        <f>=I1521*O1521*ROUNDUP((A1521-B1521)/30,0)</f>
        <v>0</v>
      </c>
      <c r="Q1521" s="62" t="s"/>
      <c r="R1521" s="62" t="s"/>
    </row>
    <row r="1522" spans="1:18" ht="15.75" customHeight="true">
      <c r="A1522" s="148">
        <v>46219</v>
      </c>
      <c r="B1522" s="562">
        <v>46122</v>
      </c>
      <c r="C1522" s="93" t="s">
        <v>246</v>
      </c>
      <c r="D1522" s="83" t="s">
        <v>116</v>
      </c>
      <c r="E1522" s="145" t="s">
        <v>3688</v>
      </c>
      <c r="F1522" t="s">
        <v>804</v>
      </c>
      <c r="G1522" t="s">
        <v>429</v>
      </c>
      <c r="H1522" s="83" t="s">
        <v>1785</v>
      </c>
      <c r="I1522" s="154">
        <v>2000</v>
      </c>
      <c r="J1522" s="154">
        <v>163.05</v>
      </c>
      <c r="K1522" s="427">
        <f>=I1522*J1522</f>
        <v>326100</v>
      </c>
      <c r="L1522">
        <v>159</v>
      </c>
      <c r="M1522" s="428">
        <f>=I1522*L1522</f>
        <v>318000</v>
      </c>
      <c r="N1522" s="82">
        <f>=K1522-M1522</f>
        <v>8100</v>
      </c>
      <c r="O1522" s="62">
        <v>0</v>
      </c>
      <c r="P1522" s="64">
        <f>=I1522*O1522*ROUNDUP((A1522-B1522)/30,0)</f>
        <v>0</v>
      </c>
      <c r="Q1522" s="62" t="s"/>
      <c r="R1522" s="62" t="s"/>
    </row>
    <row r="1523" spans="1:18" ht="15.75" customHeight="true">
      <c r="A1523" s="147">
        <v>46219</v>
      </c>
      <c r="B1523" s="555">
        <v>46122</v>
      </c>
      <c r="C1523" s="71" t="s">
        <v>246</v>
      </c>
      <c r="D1523" s="64" t="s">
        <v>116</v>
      </c>
      <c r="E1523" s="145" t="s">
        <v>3689</v>
      </c>
      <c r="F1523" s="95" t="s">
        <v>804</v>
      </c>
      <c r="G1523" s="262" t="s">
        <v>429</v>
      </c>
      <c r="H1523" s="64" t="s">
        <v>824</v>
      </c>
      <c r="I1523" s="154">
        <v>14</v>
      </c>
      <c r="J1523" s="154">
        <v>117.93</v>
      </c>
      <c r="K1523" s="427">
        <f>=I1523*J1523</f>
        <v>1651.02</v>
      </c>
      <c r="L1523" s="402">
        <v>115</v>
      </c>
      <c r="M1523" s="428">
        <f>=I1523*L1523</f>
        <v>1610</v>
      </c>
      <c r="N1523" s="82">
        <f>=K1523-M1523</f>
        <v>41.02</v>
      </c>
      <c r="O1523" s="62">
        <v>0</v>
      </c>
      <c r="P1523" s="64">
        <f>=I1523*O1523*ROUNDUP((A1523-B1523)/30,0)</f>
        <v>0</v>
      </c>
      <c r="Q1523" s="62" t="s"/>
      <c r="R1523" s="62" t="s"/>
    </row>
    <row r="1524" spans="1:18" ht="15.75" customHeight="true">
      <c r="A1524" s="148">
        <v>46219</v>
      </c>
      <c r="B1524" s="562">
        <v>46216</v>
      </c>
      <c r="C1524" s="102" t="s">
        <v>371</v>
      </c>
      <c r="D1524" s="149" t="s">
        <v>335</v>
      </c>
      <c r="E1524" s="563" t="s">
        <v>3690</v>
      </c>
      <c r="F1524" t="s">
        <v>741</v>
      </c>
      <c r="G1524" s="64" t="s">
        <v>422</v>
      </c>
      <c r="H1524" s="564" t="s">
        <v>2266</v>
      </c>
      <c r="I1524" s="154">
        <v>300</v>
      </c>
      <c r="J1524" s="402">
        <v>903.6</v>
      </c>
      <c r="K1524" s="427">
        <f>=I1524*J1524</f>
        <v>271080</v>
      </c>
      <c r="L1524" s="402">
        <v>900</v>
      </c>
      <c r="M1524" s="428">
        <f>=I1524*L1524</f>
        <v>270000</v>
      </c>
      <c r="N1524" s="82">
        <f>=K1524-M1524</f>
        <v>1080</v>
      </c>
      <c r="O1524" s="62">
        <v>1</v>
      </c>
      <c r="P1524" s="64">
        <f>=I1524*O1524*ROUNDUP((A1524-B1524)/30,0)</f>
        <v>300</v>
      </c>
      <c r="Q1524" s="62" t="s"/>
      <c r="R1524" s="62" t="s"/>
    </row>
    <row r="1525" spans="1:18" ht="15.75" customHeight="true">
      <c r="A1525" s="147">
        <v>46219</v>
      </c>
      <c r="B1525" s="555">
        <v>46218</v>
      </c>
      <c r="C1525" s="98" t="s">
        <v>377</v>
      </c>
      <c r="D1525" s="263" t="s">
        <v>335</v>
      </c>
      <c r="E1525" s="563" t="s">
        <v>3691</v>
      </c>
      <c r="F1525" t="s">
        <v>895</v>
      </c>
      <c r="G1525" s="64" t="s">
        <v>449</v>
      </c>
      <c r="H1525" s="399" t="s">
        <v>2283</v>
      </c>
      <c r="I1525" s="339">
        <v>50</v>
      </c>
      <c r="J1525">
        <v>1304.4</v>
      </c>
      <c r="K1525" s="427">
        <f>=I1525*J1525</f>
        <v>65220</v>
      </c>
      <c r="L1525" s="203">
        <v>1300</v>
      </c>
      <c r="M1525" s="428">
        <f>=I1525*L1525</f>
        <v>65000</v>
      </c>
      <c r="N1525" s="82">
        <f>=K1525-M1525</f>
        <v>220.000000000007</v>
      </c>
      <c r="O1525" s="62">
        <v>1</v>
      </c>
      <c r="P1525" s="64">
        <f>=I1525*O1525*ROUNDUP((A1525-B1525)/30,0)</f>
        <v>50</v>
      </c>
      <c r="Q1525" s="62" t="s"/>
      <c r="R1525" s="62" t="s"/>
    </row>
    <row r="1526" spans="1:18" ht="15.75" customHeight="true">
      <c r="A1526" s="147">
        <v>46219</v>
      </c>
      <c r="B1526" s="555">
        <v>46153</v>
      </c>
      <c r="C1526" s="98" t="s">
        <v>316</v>
      </c>
      <c r="D1526" s="108" t="s">
        <v>294</v>
      </c>
      <c r="E1526" s="263" t="s">
        <v>3692</v>
      </c>
      <c r="F1526" t="s">
        <v>895</v>
      </c>
      <c r="G1526" s="156" t="s">
        <v>422</v>
      </c>
      <c r="H1526" s="335" t="s">
        <v>1523</v>
      </c>
      <c r="I1526">
        <v>500</v>
      </c>
      <c r="J1526">
        <v>1935.85</v>
      </c>
      <c r="K1526" s="427">
        <f>=I1526*J1526</f>
        <v>967925</v>
      </c>
      <c r="L1526" s="66">
        <v>1900</v>
      </c>
      <c r="M1526" s="428">
        <f>=I1526*L1526</f>
        <v>950000</v>
      </c>
      <c r="N1526" s="82">
        <f>=K1526-M1526</f>
        <v>17925</v>
      </c>
      <c r="O1526" s="62">
        <v>1</v>
      </c>
      <c r="P1526" s="64">
        <f>=I1526*O1526*ROUNDUP((A1526-B1526)/30,0)</f>
        <v>1500</v>
      </c>
      <c r="Q1526" s="62" t="s"/>
      <c r="R1526" s="62" t="s"/>
    </row>
    <row r="1527" spans="1:18" ht="15.75" customHeight="true">
      <c r="A1527" s="147">
        <v>46219</v>
      </c>
      <c r="B1527" s="555">
        <v>46153</v>
      </c>
      <c r="C1527" s="135" t="s">
        <v>316</v>
      </c>
      <c r="D1527" s="565" t="s">
        <v>294</v>
      </c>
      <c r="E1527" s="263" t="s">
        <v>3693</v>
      </c>
      <c r="F1527" t="s">
        <v>895</v>
      </c>
      <c r="G1527" s="156" t="s">
        <v>422</v>
      </c>
      <c r="H1527" s="349" t="s">
        <v>1523</v>
      </c>
      <c r="I1527">
        <v>500</v>
      </c>
      <c r="J1527">
        <v>1935.85</v>
      </c>
      <c r="K1527" s="439">
        <f>=I1527*J1527</f>
        <v>967925</v>
      </c>
      <c r="L1527" s="66">
        <v>1900</v>
      </c>
      <c r="M1527" s="428">
        <f>=I1527*L1527</f>
        <v>950000</v>
      </c>
      <c r="N1527" s="82">
        <f>=K1527-M1527</f>
        <v>17925</v>
      </c>
      <c r="O1527" s="62">
        <v>1</v>
      </c>
      <c r="P1527" s="64">
        <f>=I1527*O1527*ROUNDUP((A1527-B1527)/30,0)</f>
        <v>1500</v>
      </c>
      <c r="Q1527" s="62" t="s"/>
      <c r="R1527" s="62" t="s"/>
    </row>
    <row r="1528" spans="1:18" ht="15.75" customHeight="true">
      <c r="A1528" s="147">
        <v>46219</v>
      </c>
      <c r="B1528" s="555">
        <v>46108</v>
      </c>
      <c r="C1528" s="98" t="s">
        <v>204</v>
      </c>
      <c r="D1528" s="71" t="s">
        <v>191</v>
      </c>
      <c r="E1528" s="511" t="s">
        <v>3694</v>
      </c>
      <c r="F1528" t="s">
        <v>804</v>
      </c>
      <c r="G1528" t="s">
        <v>422</v>
      </c>
      <c r="H1528" s="87" t="s">
        <v>1077</v>
      </c>
      <c r="I1528">
        <v>310</v>
      </c>
      <c r="J1528">
        <v>827.54</v>
      </c>
      <c r="K1528" s="427">
        <f>=I1528*J1528</f>
        <v>256537.4</v>
      </c>
      <c r="L1528" s="140">
        <v>805</v>
      </c>
      <c r="M1528" s="428">
        <f>=I1528*L1528</f>
        <v>249550</v>
      </c>
      <c r="N1528" s="82">
        <f>=K1528-M1528</f>
        <v>6987.4</v>
      </c>
      <c r="O1528" s="62">
        <v>0</v>
      </c>
      <c r="P1528" s="64">
        <f>=I1528*O1528*ROUNDUP((A1528-B1528)/30,0)</f>
        <v>0</v>
      </c>
      <c r="Q1528" s="62" t="s"/>
      <c r="R1528" s="62" t="s"/>
    </row>
    <row r="1529" spans="1:18" ht="15.75" customHeight="true">
      <c r="A1529" s="147">
        <v>46219</v>
      </c>
      <c r="B1529" s="555">
        <v>46108</v>
      </c>
      <c r="C1529" s="98" t="s">
        <v>204</v>
      </c>
      <c r="D1529" s="71" t="s">
        <v>191</v>
      </c>
      <c r="E1529" s="511" t="s">
        <v>3695</v>
      </c>
      <c r="F1529" t="s">
        <v>804</v>
      </c>
      <c r="G1529" t="s">
        <v>422</v>
      </c>
      <c r="H1529" s="87" t="s">
        <v>1079</v>
      </c>
      <c r="I1529">
        <v>269</v>
      </c>
      <c r="J1529">
        <v>827.54</v>
      </c>
      <c r="K1529" s="427">
        <f>=I1529*J1529</f>
        <v>222608.26</v>
      </c>
      <c r="L1529" s="140">
        <v>805</v>
      </c>
      <c r="M1529" s="428">
        <f>=I1529*L1529</f>
        <v>216545</v>
      </c>
      <c r="N1529" s="82">
        <f>=K1529-M1529</f>
        <v>6063.25999999998</v>
      </c>
      <c r="O1529" s="62">
        <v>0</v>
      </c>
      <c r="P1529" s="64">
        <f>=I1529*O1529*ROUNDUP((A1529-B1529)/30,0)</f>
        <v>0</v>
      </c>
      <c r="Q1529" s="62" t="s"/>
      <c r="R1529" s="62" t="s"/>
    </row>
    <row r="1530" spans="1:18" ht="15.75" customHeight="true">
      <c r="A1530" s="147">
        <v>46219</v>
      </c>
      <c r="B1530" s="555">
        <v>46113</v>
      </c>
      <c r="C1530" s="98" t="s">
        <v>235</v>
      </c>
      <c r="D1530" s="71" t="s">
        <v>191</v>
      </c>
      <c r="E1530" s="511" t="s">
        <v>3696</v>
      </c>
      <c r="F1530" t="s">
        <v>741</v>
      </c>
      <c r="G1530" t="s">
        <v>422</v>
      </c>
      <c r="H1530" s="87" t="s">
        <v>1026</v>
      </c>
      <c r="I1530">
        <v>25</v>
      </c>
      <c r="J1530">
        <v>1191.03</v>
      </c>
      <c r="K1530" s="427">
        <f>=I1530*J1530</f>
        <v>29775.75</v>
      </c>
      <c r="L1530" s="140">
        <v>1160</v>
      </c>
      <c r="M1530" s="428">
        <f>=I1530*L1530</f>
        <v>29000</v>
      </c>
      <c r="N1530" s="82">
        <f>=K1530-M1530</f>
        <v>775.75</v>
      </c>
      <c r="O1530" s="62">
        <v>0</v>
      </c>
      <c r="P1530" s="64">
        <f>=I1530*O1530*ROUNDUP((A1530-B1530)/30,0)</f>
        <v>0</v>
      </c>
      <c r="Q1530" s="62" t="s"/>
      <c r="R1530" s="62" t="s"/>
    </row>
    <row r="1531" spans="1:18" ht="15.75" customHeight="true">
      <c r="A1531" s="147">
        <v>46219</v>
      </c>
      <c r="B1531" s="555">
        <v>46112</v>
      </c>
      <c r="C1531" s="98" t="s">
        <v>225</v>
      </c>
      <c r="D1531" s="71" t="s">
        <v>191</v>
      </c>
      <c r="E1531" s="511" t="s">
        <v>3697</v>
      </c>
      <c r="F1531" t="s">
        <v>741</v>
      </c>
      <c r="G1531" t="s">
        <v>422</v>
      </c>
      <c r="H1531" s="87" t="s">
        <v>1082</v>
      </c>
      <c r="I1531">
        <v>140</v>
      </c>
      <c r="J1531">
        <v>970.52</v>
      </c>
      <c r="K1531" s="427">
        <f>=I1531*J1531</f>
        <v>135872.8</v>
      </c>
      <c r="L1531" s="140">
        <v>945</v>
      </c>
      <c r="M1531" s="428">
        <f>=I1531*L1531</f>
        <v>132300</v>
      </c>
      <c r="N1531" s="82">
        <f>=K1531-M1531</f>
        <v>3572.79999999999</v>
      </c>
      <c r="O1531" s="62">
        <v>0</v>
      </c>
      <c r="P1531" s="64">
        <f>=I1531*O1531*ROUNDUP((A1531-B1531)/30,0)</f>
        <v>0</v>
      </c>
      <c r="Q1531" s="62" t="s"/>
      <c r="R1531" s="62" t="s"/>
    </row>
    <row r="1532" spans="1:18" ht="15.75" customHeight="true">
      <c r="A1532" s="147">
        <v>46219</v>
      </c>
      <c r="B1532" s="555">
        <v>46113</v>
      </c>
      <c r="C1532" s="98" t="s">
        <v>235</v>
      </c>
      <c r="D1532" s="71" t="s">
        <v>191</v>
      </c>
      <c r="E1532" s="511" t="s">
        <v>3698</v>
      </c>
      <c r="F1532" t="s">
        <v>741</v>
      </c>
      <c r="G1532" t="s">
        <v>422</v>
      </c>
      <c r="H1532" s="87" t="s">
        <v>1084</v>
      </c>
      <c r="I1532">
        <v>130</v>
      </c>
      <c r="J1532">
        <v>1191.03</v>
      </c>
      <c r="K1532" s="427">
        <f>=I1532*J1532</f>
        <v>154833.9</v>
      </c>
      <c r="L1532" s="140">
        <v>1160</v>
      </c>
      <c r="M1532" s="428">
        <f>=I1532*L1532</f>
        <v>150800</v>
      </c>
      <c r="N1532" s="82">
        <f>=K1532-M1532</f>
        <v>4033.89999999999</v>
      </c>
      <c r="O1532" s="62">
        <v>0</v>
      </c>
      <c r="P1532" s="64">
        <f>=I1532*O1532*ROUNDUP((A1532-B1532)/30,0)</f>
        <v>0</v>
      </c>
      <c r="Q1532" s="62" t="s"/>
      <c r="R1532" s="62" t="s"/>
    </row>
    <row r="1533" spans="1:18" s="270" customFormat="true" ht="15.75" customHeight="true">
      <c r="A1533" s="147">
        <v>46219</v>
      </c>
      <c r="B1533" s="555">
        <v>46106</v>
      </c>
      <c r="C1533" s="109" t="s">
        <v>192</v>
      </c>
      <c r="D1533" s="116" t="s">
        <v>191</v>
      </c>
      <c r="E1533" s="471" t="s">
        <v>3699</v>
      </c>
      <c r="F1533" s="140" t="s">
        <v>741</v>
      </c>
      <c r="G1533" s="140" t="s">
        <v>422</v>
      </c>
      <c r="H1533" s="64" t="s">
        <v>1028</v>
      </c>
      <c r="I1533" s="87">
        <v>150</v>
      </c>
      <c r="J1533" s="87">
        <v>1259.91</v>
      </c>
      <c r="K1533" s="427">
        <f>=I1533*J1533</f>
        <v>188986.5</v>
      </c>
      <c r="L1533" s="64">
        <v>1225</v>
      </c>
      <c r="M1533" s="428">
        <f>=I1533*L1533</f>
        <v>183750</v>
      </c>
      <c r="N1533" s="82">
        <f>=K1533-M1533</f>
        <v>5236.5</v>
      </c>
      <c r="O1533" s="64">
        <v>0</v>
      </c>
      <c r="P1533" s="64">
        <f>=I1533*O1533*ROUNDUP((A1533-B1533)/30,0)</f>
        <v>0</v>
      </c>
      <c r="Q1533" s="64" t="s"/>
      <c r="R1533" s="64" t="s"/>
    </row>
    <row r="1534" spans="1:18" ht="15.75" customHeight="true">
      <c r="A1534" s="147">
        <v>46220</v>
      </c>
      <c r="B1534" s="555">
        <v>46217</v>
      </c>
      <c r="C1534" s="165" t="s">
        <v>374</v>
      </c>
      <c r="D1534" s="71" t="s">
        <v>150</v>
      </c>
      <c r="E1534" s="563" t="s">
        <v>3700</v>
      </c>
      <c r="F1534" s="156" t="s">
        <v>895</v>
      </c>
      <c r="G1534" s="156" t="s">
        <v>422</v>
      </c>
      <c r="H1534" s="140" t="s">
        <v>2069</v>
      </c>
      <c r="I1534">
        <v>50</v>
      </c>
      <c r="J1534" s="62">
        <v>933.36</v>
      </c>
      <c r="K1534" s="427">
        <f>=I1534*J1534</f>
        <v>46668</v>
      </c>
      <c r="L1534" s="66">
        <v>930</v>
      </c>
      <c r="M1534" s="428">
        <f>=I1534*L1534</f>
        <v>46500</v>
      </c>
      <c r="N1534" s="82">
        <f>=K1534-M1534</f>
        <v>168</v>
      </c>
      <c r="O1534" s="62">
        <v>1</v>
      </c>
      <c r="P1534" s="64">
        <f>=I1534*O1534*ROUNDUP((A1534-B1534)/30,0)</f>
        <v>50</v>
      </c>
      <c r="Q1534" s="62" t="s"/>
      <c r="R1534" s="62" t="s"/>
    </row>
    <row r="1535" spans="1:18" ht="15.75" customHeight="true">
      <c r="A1535" s="147">
        <v>46220</v>
      </c>
      <c r="B1535" s="555">
        <v>46120</v>
      </c>
      <c r="C1535" s="71" t="s">
        <v>242</v>
      </c>
      <c r="D1535" s="64" t="s">
        <v>116</v>
      </c>
      <c r="E1535" s="153" t="s">
        <v>3701</v>
      </c>
      <c r="F1535" t="s">
        <v>804</v>
      </c>
      <c r="G1535" t="s">
        <v>429</v>
      </c>
      <c r="H1535" s="64" t="s">
        <v>822</v>
      </c>
      <c r="I1535">
        <v>5751</v>
      </c>
      <c r="J1535" s="62">
        <v>86.21</v>
      </c>
      <c r="K1535" s="427">
        <f>=I1535*J1535</f>
        <v>495793.71</v>
      </c>
      <c r="L1535">
        <v>84</v>
      </c>
      <c r="M1535" s="428">
        <f>=I1535*L1535</f>
        <v>483084</v>
      </c>
      <c r="N1535" s="82">
        <f>=K1535-M1535</f>
        <v>12709.71</v>
      </c>
      <c r="O1535" s="62">
        <v>0</v>
      </c>
      <c r="P1535" s="64">
        <f>=I1535*O1535*ROUNDUP((A1535-B1535)/30,0)</f>
        <v>0</v>
      </c>
      <c r="Q1535" s="62" t="s"/>
      <c r="R1535" s="62" t="s"/>
    </row>
    <row r="1536" spans="1:18" ht="15.75" customHeight="true">
      <c r="A1536" s="147">
        <v>46220</v>
      </c>
      <c r="B1536" s="555">
        <v>46122</v>
      </c>
      <c r="C1536" s="71" t="s">
        <v>246</v>
      </c>
      <c r="D1536" s="64" t="s">
        <v>116</v>
      </c>
      <c r="E1536" s="145" t="s">
        <v>3702</v>
      </c>
      <c r="F1536" s="262" t="s">
        <v>804</v>
      </c>
      <c r="G1536" s="262" t="s">
        <v>429</v>
      </c>
      <c r="H1536" s="64" t="s">
        <v>821</v>
      </c>
      <c r="I1536">
        <v>2090</v>
      </c>
      <c r="J1536" s="62">
        <v>56.42</v>
      </c>
      <c r="K1536" s="427">
        <f>=I1536*J1536</f>
        <v>117917.8</v>
      </c>
      <c r="L1536" s="402">
        <v>55</v>
      </c>
      <c r="M1536" s="428">
        <f>=I1536*L1536</f>
        <v>114950</v>
      </c>
      <c r="N1536" s="82">
        <f>=K1536-M1536</f>
        <v>2967.8</v>
      </c>
      <c r="O1536" s="62">
        <v>0</v>
      </c>
      <c r="P1536" s="64">
        <f>=I1536*O1536*ROUNDUP((A1536-B1536)/30,0)</f>
        <v>0</v>
      </c>
      <c r="Q1536" s="62" t="s"/>
      <c r="R1536" s="62" t="s"/>
    </row>
    <row r="1537" spans="1:18" ht="15.75" customHeight="true">
      <c r="A1537" s="147">
        <v>46220</v>
      </c>
      <c r="B1537" s="555">
        <v>46122</v>
      </c>
      <c r="C1537" s="71" t="s">
        <v>246</v>
      </c>
      <c r="D1537" s="64" t="s">
        <v>116</v>
      </c>
      <c r="E1537" s="145" t="s">
        <v>3702</v>
      </c>
      <c r="F1537" s="95" t="s">
        <v>804</v>
      </c>
      <c r="G1537" s="262" t="s">
        <v>429</v>
      </c>
      <c r="H1537" s="64" t="s">
        <v>821</v>
      </c>
      <c r="I1537">
        <v>20</v>
      </c>
      <c r="J1537" s="62">
        <v>56.42</v>
      </c>
      <c r="K1537" s="427">
        <f>=I1537*J1537</f>
        <v>1128.4</v>
      </c>
      <c r="L1537" s="402">
        <v>55</v>
      </c>
      <c r="M1537" s="428">
        <f>=I1537*L1537</f>
        <v>1100</v>
      </c>
      <c r="N1537" s="82">
        <f>=K1537-M1537</f>
        <v>28.4000000000001</v>
      </c>
      <c r="O1537" s="62">
        <v>0</v>
      </c>
      <c r="P1537" s="64">
        <f>=I1537*O1537*ROUNDUP((A1537-B1537)/30,0)</f>
        <v>0</v>
      </c>
      <c r="Q1537" s="62" t="s"/>
      <c r="R1537" s="62" t="s"/>
    </row>
    <row r="1538" spans="1:18" ht="15.75" customHeight="true">
      <c r="A1538" s="147">
        <v>46220</v>
      </c>
      <c r="B1538" s="555">
        <v>46122</v>
      </c>
      <c r="C1538" s="71" t="s">
        <v>246</v>
      </c>
      <c r="D1538" s="64" t="s">
        <v>116</v>
      </c>
      <c r="E1538" s="145" t="s">
        <v>3703</v>
      </c>
      <c r="F1538" s="95" t="s">
        <v>804</v>
      </c>
      <c r="G1538" s="262" t="s">
        <v>429</v>
      </c>
      <c r="H1538" s="64" t="s">
        <v>822</v>
      </c>
      <c r="I1538">
        <v>1208</v>
      </c>
      <c r="J1538" s="62">
        <v>58.47</v>
      </c>
      <c r="K1538" s="427">
        <f>=I1538*J1538</f>
        <v>70631.76</v>
      </c>
      <c r="L1538" s="402">
        <v>57</v>
      </c>
      <c r="M1538" s="428">
        <f>=I1538*L1538</f>
        <v>68856</v>
      </c>
      <c r="N1538" s="82">
        <f>=K1538-M1538</f>
        <v>1775.76</v>
      </c>
      <c r="O1538" s="64">
        <v>0</v>
      </c>
      <c r="P1538" s="64">
        <f>=I1538*O1538*ROUNDUP((A1538-B1538)/30,0)</f>
        <v>0</v>
      </c>
      <c r="Q1538" s="62" t="s"/>
      <c r="R1538" s="62" t="s"/>
    </row>
    <row r="1539" spans="1:18" ht="15.75" customHeight="true">
      <c r="A1539" s="147">
        <v>46220</v>
      </c>
      <c r="B1539" s="555">
        <v>46128</v>
      </c>
      <c r="C1539" s="98" t="s">
        <v>255</v>
      </c>
      <c r="D1539" s="71" t="s">
        <v>215</v>
      </c>
      <c r="E1539" s="145" t="s">
        <v>3704</v>
      </c>
      <c r="F1539" s="87" t="s">
        <v>421</v>
      </c>
      <c r="G1539" s="140" t="s">
        <v>470</v>
      </c>
      <c r="H1539" s="146" t="s">
        <v>1017</v>
      </c>
      <c r="I1539">
        <v>130</v>
      </c>
      <c r="J1539">
        <v>3128.91</v>
      </c>
      <c r="K1539" s="427">
        <f>=I1539*J1539</f>
        <v>406758.3</v>
      </c>
      <c r="L1539" s="402">
        <v>3050</v>
      </c>
      <c r="M1539" s="428">
        <f>=I1539*L1539</f>
        <v>396500</v>
      </c>
      <c r="N1539" s="82">
        <f>=K1539-M1539</f>
        <v>10258.3</v>
      </c>
      <c r="O1539" s="62">
        <v>1.5</v>
      </c>
      <c r="P1539" s="64">
        <f>=I1539*O1539*ROUNDUP((A1539-B1539)/30,0)</f>
        <v>780</v>
      </c>
      <c r="Q1539" s="62" t="s"/>
      <c r="R1539" s="62" t="s"/>
    </row>
    <row r="1540" spans="1:18" ht="15.75" customHeight="true">
      <c r="A1540" s="147">
        <v>46220</v>
      </c>
      <c r="B1540" s="555">
        <v>46099</v>
      </c>
      <c r="C1540" s="80" t="s">
        <v>152</v>
      </c>
      <c r="D1540" s="64" t="s">
        <v>135</v>
      </c>
      <c r="E1540" s="471" t="s">
        <v>3705</v>
      </c>
      <c r="F1540" s="64" t="s">
        <v>428</v>
      </c>
      <c r="G1540" s="64" t="s">
        <v>422</v>
      </c>
      <c r="H1540" s="64" t="s">
        <v>910</v>
      </c>
      <c r="I1540" s="248">
        <v>295</v>
      </c>
      <c r="J1540">
        <v>1169.9</v>
      </c>
      <c r="K1540" s="427">
        <f>=I1540*J1540</f>
        <v>345120.5</v>
      </c>
      <c r="L1540" s="64">
        <v>1128</v>
      </c>
      <c r="M1540" s="428">
        <f>=I1540*L1540</f>
        <v>332760</v>
      </c>
      <c r="N1540" s="82">
        <f>=K1540-M1540</f>
        <v>12360.5</v>
      </c>
      <c r="O1540" s="62">
        <v>1</v>
      </c>
      <c r="P1540" s="64">
        <f>=I1540*O1540*ROUNDUP((A1540-B1540)/30,0)</f>
        <v>1475</v>
      </c>
      <c r="Q1540" s="62" t="s"/>
      <c r="R1540" s="62" t="s"/>
    </row>
    <row r="1541" spans="1:18" ht="15.75" customHeight="true">
      <c r="A1541" s="147">
        <v>46220</v>
      </c>
      <c r="B1541" s="555">
        <v>46111</v>
      </c>
      <c r="C1541" s="98" t="s">
        <v>209</v>
      </c>
      <c r="D1541" s="71" t="s">
        <v>135</v>
      </c>
      <c r="E1541" s="511" t="s">
        <v>3706</v>
      </c>
      <c r="F1541" s="528" t="s">
        <v>428</v>
      </c>
      <c r="G1541" s="262" t="s">
        <v>422</v>
      </c>
      <c r="H1541" s="64" t="s">
        <v>1258</v>
      </c>
      <c r="I1541" s="566">
        <v>50</v>
      </c>
      <c r="J1541">
        <v>976.99</v>
      </c>
      <c r="K1541" s="427">
        <f>=I1541*J1541</f>
        <v>48849.5</v>
      </c>
      <c r="L1541" s="243">
        <v>945</v>
      </c>
      <c r="M1541" s="428">
        <f>=I1541*L1541</f>
        <v>47250</v>
      </c>
      <c r="N1541" s="82">
        <f>=K1541-M1541</f>
        <v>1599.5</v>
      </c>
      <c r="O1541" s="62">
        <v>1</v>
      </c>
      <c r="P1541" s="64">
        <f>=I1541*O1541*ROUNDUP((A1541-B1541)/30,0)</f>
        <v>200</v>
      </c>
      <c r="Q1541" s="62" t="s"/>
      <c r="R1541" s="62" t="s"/>
    </row>
    <row r="1542" spans="1:18" ht="15.75" customHeight="true">
      <c r="A1542" s="148">
        <v>46220</v>
      </c>
      <c r="B1542" s="562">
        <v>46202</v>
      </c>
      <c r="C1542" s="102" t="s">
        <v>365</v>
      </c>
      <c r="D1542" s="263" t="s">
        <v>333</v>
      </c>
      <c r="E1542" s="365" t="s">
        <v>3707</v>
      </c>
      <c r="F1542" t="s">
        <v>804</v>
      </c>
      <c r="G1542" s="142" t="s">
        <v>429</v>
      </c>
      <c r="H1542" s="64" t="s">
        <v>2137</v>
      </c>
      <c r="I1542" s="331">
        <v>310</v>
      </c>
      <c r="J1542">
        <v>422.23</v>
      </c>
      <c r="K1542" s="439">
        <f>=I1542*J1542</f>
        <v>130891.3</v>
      </c>
      <c r="L1542" s="339">
        <v>420</v>
      </c>
      <c r="M1542" s="454">
        <f>=I1542*L1542</f>
        <v>130200</v>
      </c>
      <c r="N1542" s="84">
        <f>=K1542-M1542</f>
        <v>691.300000000003</v>
      </c>
      <c r="O1542" s="62">
        <v>0</v>
      </c>
      <c r="P1542" s="83">
        <f>=I1542*O1542*ROUNDUP((A1542-B1542)/30,0)</f>
        <v>0</v>
      </c>
      <c r="Q1542" s="62" t="s"/>
      <c r="R1542" s="62" t="s"/>
    </row>
    <row r="1543" spans="1:18" ht="15.75" customHeight="true">
      <c r="A1543" s="148">
        <v>46220</v>
      </c>
      <c r="B1543" s="562">
        <v>46202</v>
      </c>
      <c r="C1543" s="102" t="s">
        <v>365</v>
      </c>
      <c r="D1543" s="263" t="s">
        <v>333</v>
      </c>
      <c r="E1543" s="365" t="s">
        <v>3708</v>
      </c>
      <c r="F1543" t="s">
        <v>804</v>
      </c>
      <c r="G1543" s="142" t="s">
        <v>429</v>
      </c>
      <c r="H1543" s="64" t="s">
        <v>2137</v>
      </c>
      <c r="I1543" s="339">
        <v>200</v>
      </c>
      <c r="J1543">
        <v>422.23</v>
      </c>
      <c r="K1543" s="439">
        <f>=I1543*J1543</f>
        <v>84446</v>
      </c>
      <c r="L1543" s="339">
        <v>420</v>
      </c>
      <c r="M1543" s="454">
        <f>=I1543*L1543</f>
        <v>84000</v>
      </c>
      <c r="N1543" s="84">
        <f>=K1543-M1543</f>
        <v>446</v>
      </c>
      <c r="O1543" s="64">
        <v>0</v>
      </c>
      <c r="P1543" s="83">
        <f>=I1543*O1543*ROUNDUP((A1543-B1543)/30,0)</f>
        <v>0</v>
      </c>
      <c r="Q1543" s="62" t="s"/>
      <c r="R1543" s="62" t="s"/>
    </row>
    <row r="1544" spans="1:18" ht="15.75" customHeight="true">
      <c r="A1544" s="147">
        <v>46221</v>
      </c>
      <c r="B1544" s="555">
        <v>46219</v>
      </c>
      <c r="C1544" s="98" t="s">
        <v>376</v>
      </c>
      <c r="D1544" s="263" t="s">
        <v>335</v>
      </c>
      <c r="E1544" s="563" t="s">
        <v>3709</v>
      </c>
      <c r="F1544" t="s">
        <v>895</v>
      </c>
      <c r="G1544" s="64" t="s">
        <v>449</v>
      </c>
      <c r="H1544" t="s">
        <v>2281</v>
      </c>
      <c r="I1544" s="359">
        <v>70</v>
      </c>
      <c r="J1544">
        <v>1003.8</v>
      </c>
      <c r="K1544" s="427">
        <f>=I1544*J1544</f>
        <v>70266</v>
      </c>
      <c r="L1544">
        <v>1000</v>
      </c>
      <c r="M1544" s="428">
        <f>=I1544*L1544</f>
        <v>70000</v>
      </c>
      <c r="N1544" s="82">
        <f>=K1544-M1544</f>
        <v>266</v>
      </c>
      <c r="O1544" s="62">
        <v>1</v>
      </c>
      <c r="P1544" s="64">
        <f>=I1544*O1544*ROUNDUP((A1544-B1544)/30,0)</f>
        <v>70</v>
      </c>
      <c r="Q1544" s="62" t="s"/>
      <c r="R1544" s="62" t="s"/>
    </row>
    <row r="1545" spans="1:18" ht="15.75" customHeight="true">
      <c r="A1545" s="147">
        <v>46221</v>
      </c>
      <c r="B1545" s="555">
        <v>46218</v>
      </c>
      <c r="C1545" s="98" t="s">
        <v>377</v>
      </c>
      <c r="D1545" s="263" t="s">
        <v>335</v>
      </c>
      <c r="E1545" s="563" t="s">
        <v>3710</v>
      </c>
      <c r="F1545" t="s">
        <v>895</v>
      </c>
      <c r="G1545" s="64" t="s">
        <v>449</v>
      </c>
      <c r="H1545" s="399" t="s">
        <v>2283</v>
      </c>
      <c r="I1545" s="359">
        <v>10</v>
      </c>
      <c r="J1545">
        <v>1304.4</v>
      </c>
      <c r="K1545" s="427">
        <f>=I1545*J1545</f>
        <v>13044</v>
      </c>
      <c r="L1545" s="203">
        <v>1300</v>
      </c>
      <c r="M1545" s="428">
        <f>=I1545*L1545</f>
        <v>13000</v>
      </c>
      <c r="N1545" s="82">
        <f>=K1545-M1545</f>
        <v>43.9999999999982</v>
      </c>
      <c r="O1545" s="62">
        <v>1</v>
      </c>
      <c r="P1545" s="64">
        <f>=I1545*O1545*ROUNDUP((A1545-B1545)/30,0)</f>
        <v>10</v>
      </c>
      <c r="Q1545" s="62" t="s"/>
      <c r="R1545" s="62" t="s"/>
    </row>
    <row r="1546" spans="1:16" ht="15.75" customHeight="true">
      <c r="A1546" s="147">
        <v>46221</v>
      </c>
      <c r="B1546" s="567">
        <v>46106</v>
      </c>
      <c r="C1546" s="98" t="s">
        <v>192</v>
      </c>
      <c r="D1546" s="71" t="s">
        <v>191</v>
      </c>
      <c r="E1546" s="511" t="s">
        <v>3711</v>
      </c>
      <c r="F1546" s="95" t="s">
        <v>741</v>
      </c>
      <c r="G1546" s="267" t="s">
        <v>422</v>
      </c>
      <c r="H1546" s="87" t="s">
        <v>1089</v>
      </c>
      <c r="I1546">
        <v>38</v>
      </c>
      <c r="J1546">
        <v>1152.2</v>
      </c>
      <c r="K1546" s="427">
        <f>=I1546*J1546</f>
        <v>43783.6</v>
      </c>
      <c r="L1546" s="71">
        <v>1120</v>
      </c>
      <c r="M1546" s="428">
        <f>=I1546*L1546</f>
        <v>42560</v>
      </c>
      <c r="N1546" s="82">
        <f>=K1546-M1546</f>
        <v>1223.6</v>
      </c>
      <c r="O1546" s="62">
        <v>0</v>
      </c>
      <c r="P1546" s="64">
        <f>=I1546*O1546*ROUNDUP((A1546-B1546)/30,0)</f>
        <v>0</v>
      </c>
    </row>
    <row r="1547" spans="1:16" ht="15.75" customHeight="true">
      <c r="A1547" s="147">
        <v>46221</v>
      </c>
      <c r="B1547" s="567">
        <v>46106</v>
      </c>
      <c r="C1547" s="98" t="s">
        <v>192</v>
      </c>
      <c r="D1547" s="71" t="s">
        <v>191</v>
      </c>
      <c r="E1547" s="511" t="s">
        <v>3712</v>
      </c>
      <c r="F1547" s="95" t="s">
        <v>741</v>
      </c>
      <c r="G1547" s="267" t="s">
        <v>422</v>
      </c>
      <c r="H1547" s="87" t="s">
        <v>1084</v>
      </c>
      <c r="I1547">
        <v>24</v>
      </c>
      <c r="J1547">
        <v>1152.2</v>
      </c>
      <c r="K1547" s="427">
        <f>=I1547*J1547</f>
        <v>27652.8</v>
      </c>
      <c r="L1547" s="71">
        <v>1120</v>
      </c>
      <c r="M1547" s="428">
        <f>=I1547*L1547</f>
        <v>26880</v>
      </c>
      <c r="N1547" s="82">
        <f>=K1547-M1547</f>
        <v>772.800000000003</v>
      </c>
      <c r="O1547" s="64">
        <v>0</v>
      </c>
      <c r="P1547" s="64">
        <f>=I1547*O1547*ROUNDUP((A1547-B1547)/30,0)</f>
        <v>0</v>
      </c>
    </row>
    <row r="1548" spans="1:18" ht="15.75" customHeight="true">
      <c r="A1548" s="147">
        <v>46221</v>
      </c>
      <c r="B1548" s="555">
        <v>46106</v>
      </c>
      <c r="C1548" s="98" t="s">
        <v>192</v>
      </c>
      <c r="D1548" s="71" t="s">
        <v>191</v>
      </c>
      <c r="E1548" s="511" t="s">
        <v>3713</v>
      </c>
      <c r="F1548" s="64" t="s">
        <v>741</v>
      </c>
      <c r="G1548" s="64" t="s">
        <v>422</v>
      </c>
      <c r="H1548" s="140" t="s">
        <v>1026</v>
      </c>
      <c r="I1548">
        <v>85</v>
      </c>
      <c r="J1548" s="99">
        <v>1152.2</v>
      </c>
      <c r="K1548" s="427">
        <f>=I1548*J1548</f>
        <v>97937</v>
      </c>
      <c r="L1548" s="71">
        <v>1120</v>
      </c>
      <c r="M1548" s="428">
        <f>=I1548*L1548</f>
        <v>95200</v>
      </c>
      <c r="N1548" s="82">
        <f>=K1548-M1548</f>
        <v>2737</v>
      </c>
      <c r="O1548" s="62">
        <v>0</v>
      </c>
      <c r="P1548" s="64">
        <f>=I1548*O1548*ROUNDUP((A1548-B1548)/30,0)</f>
        <v>0</v>
      </c>
      <c r="Q1548" s="62" t="s"/>
      <c r="R1548" s="62" t="s"/>
    </row>
    <row r="1549" spans="1:18" ht="15.75" customHeight="true">
      <c r="A1549" s="147">
        <v>46221</v>
      </c>
      <c r="B1549" s="555">
        <v>46107</v>
      </c>
      <c r="C1549" s="165" t="s">
        <v>197</v>
      </c>
      <c r="D1549" s="71" t="s">
        <v>191</v>
      </c>
      <c r="E1549" s="511" t="s">
        <v>3714</v>
      </c>
      <c r="F1549" t="s">
        <v>804</v>
      </c>
      <c r="G1549" t="s">
        <v>422</v>
      </c>
      <c r="H1549" s="87" t="s">
        <v>1093</v>
      </c>
      <c r="I1549">
        <v>110</v>
      </c>
      <c r="J1549" s="99">
        <v>827.94</v>
      </c>
      <c r="K1549" s="427">
        <f>=I1549*J1549</f>
        <v>91073.4</v>
      </c>
      <c r="L1549" s="71">
        <v>805</v>
      </c>
      <c r="M1549" s="428">
        <f>=I1549*L1549</f>
        <v>88550</v>
      </c>
      <c r="N1549" s="82">
        <f>=K1549-M1549</f>
        <v>2523.40000000001</v>
      </c>
      <c r="O1549" s="64">
        <v>0</v>
      </c>
      <c r="P1549" s="64">
        <f>=I1549*O1549*ROUNDUP((A1549-B1549)/30,0)</f>
        <v>0</v>
      </c>
      <c r="Q1549" s="62" t="s"/>
      <c r="R1549" s="62" t="s"/>
    </row>
    <row r="1550" spans="1:18" ht="15.75" customHeight="true">
      <c r="A1550" s="147">
        <v>46221</v>
      </c>
      <c r="B1550" s="555">
        <v>46108</v>
      </c>
      <c r="C1550" s="165" t="s">
        <v>204</v>
      </c>
      <c r="D1550" s="71" t="s">
        <v>191</v>
      </c>
      <c r="E1550" s="511" t="s">
        <v>3715</v>
      </c>
      <c r="F1550" t="s">
        <v>804</v>
      </c>
      <c r="G1550" t="s">
        <v>422</v>
      </c>
      <c r="H1550" s="269" t="s">
        <v>1095</v>
      </c>
      <c r="I1550">
        <v>110</v>
      </c>
      <c r="J1550" s="99">
        <v>827.74</v>
      </c>
      <c r="K1550" s="427">
        <f>=I1550*J1550</f>
        <v>91051.4</v>
      </c>
      <c r="L1550">
        <v>805</v>
      </c>
      <c r="M1550" s="428">
        <f>=I1550*L1550</f>
        <v>88550</v>
      </c>
      <c r="N1550" s="82">
        <f>=K1550-M1550</f>
        <v>2501.39999999999</v>
      </c>
      <c r="O1550" s="62">
        <v>0</v>
      </c>
      <c r="P1550" s="64">
        <f>=I1550*O1550*ROUNDUP((A1550-B1550)/30,0)</f>
        <v>0</v>
      </c>
      <c r="Q1550" s="62" t="s"/>
      <c r="R1550" s="62" t="s"/>
    </row>
    <row r="1551" spans="1:18" ht="15.75" customHeight="true">
      <c r="A1551" s="147">
        <v>46221</v>
      </c>
      <c r="B1551" s="555">
        <v>46110</v>
      </c>
      <c r="C1551" s="98" t="s">
        <v>210</v>
      </c>
      <c r="D1551" s="71" t="s">
        <v>191</v>
      </c>
      <c r="E1551" s="511" t="s">
        <v>3716</v>
      </c>
      <c r="F1551" t="s">
        <v>741</v>
      </c>
      <c r="G1551" t="s">
        <v>422</v>
      </c>
      <c r="H1551" s="87" t="s">
        <v>1084</v>
      </c>
      <c r="I1551">
        <v>150</v>
      </c>
      <c r="J1551" s="99">
        <v>1078.88</v>
      </c>
      <c r="K1551" s="427">
        <f>=I1551*J1551</f>
        <v>161832</v>
      </c>
      <c r="L1551">
        <v>1050</v>
      </c>
      <c r="M1551" s="428">
        <f>=I1551*L1551</f>
        <v>157500</v>
      </c>
      <c r="N1551" s="82">
        <f>=K1551-M1551</f>
        <v>4332.00000000003</v>
      </c>
      <c r="O1551" s="64">
        <v>0</v>
      </c>
      <c r="P1551" s="64">
        <f>=I1551*O1551*ROUNDUP((A1551-B1551)/30,0)</f>
        <v>0</v>
      </c>
      <c r="Q1551" s="62" t="s"/>
      <c r="R1551" s="62" t="s"/>
    </row>
    <row r="1552" spans="1:18" ht="15.75" customHeight="true">
      <c r="A1552" s="147">
        <v>46221</v>
      </c>
      <c r="B1552" s="555">
        <v>46110</v>
      </c>
      <c r="C1552" s="98" t="s">
        <v>210</v>
      </c>
      <c r="D1552" s="71" t="s">
        <v>191</v>
      </c>
      <c r="E1552" s="511" t="s">
        <v>3717</v>
      </c>
      <c r="F1552" t="s">
        <v>741</v>
      </c>
      <c r="G1552" t="s">
        <v>422</v>
      </c>
      <c r="H1552" s="87" t="s">
        <v>1176</v>
      </c>
      <c r="I1552">
        <v>145</v>
      </c>
      <c r="J1552" s="99">
        <v>976.13</v>
      </c>
      <c r="K1552" s="427">
        <f>=I1552*J1552</f>
        <v>141538.85</v>
      </c>
      <c r="L1552">
        <v>950</v>
      </c>
      <c r="M1552" s="428">
        <f>=I1552*L1552</f>
        <v>137750</v>
      </c>
      <c r="N1552" s="82">
        <f>=K1552-M1552</f>
        <v>3788.85000000001</v>
      </c>
      <c r="O1552" s="62">
        <v>0</v>
      </c>
      <c r="P1552" s="64">
        <f>=I1552*O1552*ROUNDUP((A1552-B1552)/30,0)</f>
        <v>0</v>
      </c>
      <c r="Q1552" s="62" t="s"/>
      <c r="R1552" s="62" t="s"/>
    </row>
    <row r="1553" spans="1:18" ht="15.75" customHeight="true">
      <c r="A1553" s="147">
        <v>46221</v>
      </c>
      <c r="B1553" s="555">
        <v>46110</v>
      </c>
      <c r="C1553" s="98" t="s">
        <v>210</v>
      </c>
      <c r="D1553" s="71" t="s">
        <v>191</v>
      </c>
      <c r="E1553" s="511" t="s">
        <v>3718</v>
      </c>
      <c r="F1553" t="s">
        <v>741</v>
      </c>
      <c r="G1553" t="s">
        <v>422</v>
      </c>
      <c r="H1553" s="87" t="s">
        <v>1087</v>
      </c>
      <c r="I1553">
        <v>100</v>
      </c>
      <c r="J1553" s="99">
        <v>1078.88</v>
      </c>
      <c r="K1553" s="427">
        <f>=I1553*J1553</f>
        <v>107888</v>
      </c>
      <c r="L1553">
        <v>1050</v>
      </c>
      <c r="M1553" s="428">
        <f>=I1553*L1553</f>
        <v>105000</v>
      </c>
      <c r="N1553" s="82">
        <f>=K1553-M1553</f>
        <v>2888.00000000002</v>
      </c>
      <c r="O1553" s="64">
        <v>0</v>
      </c>
      <c r="P1553" s="64">
        <f>=I1553*O1553*ROUNDUP((A1553-B1553)/30,0)</f>
        <v>0</v>
      </c>
      <c r="Q1553" s="62" t="s"/>
      <c r="R1553" s="62" t="s"/>
    </row>
    <row r="1554" spans="1:18" ht="15.75" customHeight="true">
      <c r="A1554" s="147">
        <v>46221</v>
      </c>
      <c r="B1554" s="555">
        <v>46110</v>
      </c>
      <c r="C1554" s="98" t="s">
        <v>210</v>
      </c>
      <c r="D1554" s="71" t="s">
        <v>191</v>
      </c>
      <c r="E1554" s="511" t="s">
        <v>3719</v>
      </c>
      <c r="F1554" t="s">
        <v>741</v>
      </c>
      <c r="G1554" t="s">
        <v>422</v>
      </c>
      <c r="H1554" s="269" t="s">
        <v>1089</v>
      </c>
      <c r="I1554">
        <v>1</v>
      </c>
      <c r="J1554" s="99">
        <v>1078.88</v>
      </c>
      <c r="K1554" s="427">
        <f>=I1554*J1554</f>
        <v>1078.88</v>
      </c>
      <c r="L1554">
        <v>1050</v>
      </c>
      <c r="M1554" s="428">
        <f>=I1554*L1554</f>
        <v>1050</v>
      </c>
      <c r="N1554" s="82">
        <f>=K1554-M1554</f>
        <v>28.8800000000001</v>
      </c>
      <c r="O1554" s="62">
        <v>0</v>
      </c>
      <c r="P1554" s="64">
        <f>=I1554*O1554*ROUNDUP((A1554-B1554)/30,0)</f>
        <v>0</v>
      </c>
      <c r="Q1554" s="62" t="s"/>
      <c r="R1554" s="62" t="s"/>
    </row>
    <row r="1555" spans="1:18" ht="15.75" customHeight="true">
      <c r="A1555" s="147">
        <v>46221</v>
      </c>
      <c r="B1555" s="555">
        <v>46110</v>
      </c>
      <c r="C1555" s="98" t="s">
        <v>210</v>
      </c>
      <c r="D1555" s="71" t="s">
        <v>191</v>
      </c>
      <c r="E1555" s="511" t="s">
        <v>3719</v>
      </c>
      <c r="F1555" t="s">
        <v>741</v>
      </c>
      <c r="G1555" t="s">
        <v>422</v>
      </c>
      <c r="H1555" s="87" t="s">
        <v>1089</v>
      </c>
      <c r="I1555">
        <v>25</v>
      </c>
      <c r="J1555" s="99">
        <v>1078.88</v>
      </c>
      <c r="K1555" s="427">
        <f>=I1555*J1555</f>
        <v>26972</v>
      </c>
      <c r="L1555">
        <v>1050</v>
      </c>
      <c r="M1555" s="428">
        <f>=I1555*L1555</f>
        <v>26250</v>
      </c>
      <c r="N1555" s="82">
        <f>=K1555-M1555</f>
        <v>722.000000000004</v>
      </c>
      <c r="O1555" s="64">
        <v>0</v>
      </c>
      <c r="P1555" s="64">
        <f>=I1555*O1555*ROUNDUP((A1555-B1555)/30,0)</f>
        <v>0</v>
      </c>
      <c r="Q1555" s="62" t="s"/>
      <c r="R1555" s="62" t="s"/>
    </row>
    <row r="1556" spans="1:18" ht="15.75" customHeight="true">
      <c r="A1556" s="147">
        <v>46221</v>
      </c>
      <c r="B1556" s="555">
        <v>46110</v>
      </c>
      <c r="C1556" s="98" t="s">
        <v>210</v>
      </c>
      <c r="D1556" s="71" t="s">
        <v>191</v>
      </c>
      <c r="E1556" s="511" t="s">
        <v>3720</v>
      </c>
      <c r="F1556" t="s">
        <v>741</v>
      </c>
      <c r="G1556" t="s">
        <v>422</v>
      </c>
      <c r="H1556" s="87" t="s">
        <v>1082</v>
      </c>
      <c r="I1556">
        <v>100</v>
      </c>
      <c r="J1556" s="99">
        <v>976.13</v>
      </c>
      <c r="K1556" s="427">
        <f>=I1556*J1556</f>
        <v>97613</v>
      </c>
      <c r="L1556">
        <v>950</v>
      </c>
      <c r="M1556" s="428">
        <f>=I1556*L1556</f>
        <v>95000</v>
      </c>
      <c r="N1556" s="82">
        <f>=K1556-M1556</f>
        <v>2613</v>
      </c>
      <c r="O1556" s="62">
        <v>0</v>
      </c>
      <c r="P1556" s="64">
        <f>=I1556*O1556*ROUNDUP((A1556-B1556)/30,0)</f>
        <v>0</v>
      </c>
      <c r="Q1556" s="62" t="s"/>
      <c r="R1556" s="62" t="s"/>
    </row>
    <row r="1557" spans="1:18" ht="15.75" customHeight="true">
      <c r="A1557" s="147">
        <v>46221</v>
      </c>
      <c r="B1557" s="555">
        <v>46110</v>
      </c>
      <c r="C1557" s="98" t="s">
        <v>210</v>
      </c>
      <c r="D1557" s="71" t="s">
        <v>191</v>
      </c>
      <c r="E1557" s="511" t="s">
        <v>3721</v>
      </c>
      <c r="F1557" t="s">
        <v>741</v>
      </c>
      <c r="G1557" t="s">
        <v>422</v>
      </c>
      <c r="H1557" s="87" t="s">
        <v>1026</v>
      </c>
      <c r="I1557">
        <v>99</v>
      </c>
      <c r="J1557" s="99">
        <v>1078.88</v>
      </c>
      <c r="K1557" s="427">
        <f>=I1557*J1557</f>
        <v>106809.12</v>
      </c>
      <c r="L1557">
        <v>1050</v>
      </c>
      <c r="M1557" s="428">
        <f>=I1557*L1557</f>
        <v>103950</v>
      </c>
      <c r="N1557" s="82">
        <f>=K1557-M1557</f>
        <v>2859.12000000001</v>
      </c>
      <c r="O1557" s="64">
        <v>0</v>
      </c>
      <c r="P1557" s="64">
        <f>=I1557*O1557*ROUNDUP((A1557-B1557)/30,0)</f>
        <v>0</v>
      </c>
      <c r="Q1557" s="62" t="s"/>
      <c r="R1557" s="62" t="s"/>
    </row>
    <row r="1558" spans="1:18" ht="15.75" customHeight="true">
      <c r="A1558" s="147">
        <v>46222</v>
      </c>
      <c r="B1558" s="555">
        <v>46219</v>
      </c>
      <c r="C1558" s="98" t="s">
        <v>381</v>
      </c>
      <c r="D1558" s="71" t="s">
        <v>191</v>
      </c>
      <c r="E1558" s="563" t="s">
        <v>3722</v>
      </c>
      <c r="F1558" t="s">
        <v>804</v>
      </c>
      <c r="G1558" t="s">
        <v>422</v>
      </c>
      <c r="H1558" s="87" t="s">
        <v>1077</v>
      </c>
      <c r="I1558" s="496">
        <v>310</v>
      </c>
      <c r="J1558">
        <v>801.6</v>
      </c>
      <c r="K1558" s="427">
        <f>=I1558*J1558</f>
        <v>248496</v>
      </c>
      <c r="L1558" s="66">
        <v>800</v>
      </c>
      <c r="M1558" s="428">
        <f>=I1558*L1558</f>
        <v>248000</v>
      </c>
      <c r="N1558" s="82">
        <f>=K1558-M1558</f>
        <v>496</v>
      </c>
      <c r="O1558" s="64">
        <v>0</v>
      </c>
      <c r="P1558" s="64">
        <f>=I1558*O1558*ROUNDUP((A1558-B1558)/30,0)</f>
        <v>0</v>
      </c>
      <c r="Q1558" s="62" t="s"/>
      <c r="R1558" s="62" t="s"/>
    </row>
    <row r="1559" spans="1:18" ht="15.75" customHeight="true">
      <c r="A1559" s="147">
        <v>46222</v>
      </c>
      <c r="B1559" s="555">
        <v>46219</v>
      </c>
      <c r="C1559" s="98" t="s">
        <v>381</v>
      </c>
      <c r="D1559" s="71" t="s">
        <v>191</v>
      </c>
      <c r="E1559" s="563" t="s">
        <v>3723</v>
      </c>
      <c r="F1559" t="s">
        <v>804</v>
      </c>
      <c r="G1559" t="s">
        <v>422</v>
      </c>
      <c r="H1559" s="87" t="s">
        <v>1079</v>
      </c>
      <c r="I1559" s="249">
        <v>269</v>
      </c>
      <c r="J1559">
        <v>801.6</v>
      </c>
      <c r="K1559" s="427">
        <f>=I1559*J1559</f>
        <v>215630.4</v>
      </c>
      <c r="L1559" s="66">
        <v>800</v>
      </c>
      <c r="M1559" s="428">
        <f>=I1559*L1559</f>
        <v>215200</v>
      </c>
      <c r="N1559" s="82">
        <f>=K1559-M1559</f>
        <v>430.399999999994</v>
      </c>
      <c r="O1559" s="64">
        <v>0</v>
      </c>
      <c r="P1559" s="64">
        <f>=I1559*O1559*ROUNDUP((A1559-B1559)/30,0)</f>
        <v>0</v>
      </c>
      <c r="Q1559" s="62" t="s"/>
      <c r="R1559" s="62" t="s"/>
    </row>
    <row r="1560" spans="1:18" ht="15.75" customHeight="true">
      <c r="A1560" s="147">
        <v>46222</v>
      </c>
      <c r="B1560" s="555">
        <v>46221</v>
      </c>
      <c r="C1560" s="98" t="s">
        <v>386</v>
      </c>
      <c r="D1560" s="71" t="s">
        <v>191</v>
      </c>
      <c r="E1560" s="563" t="s">
        <v>3724</v>
      </c>
      <c r="F1560" t="s">
        <v>804</v>
      </c>
      <c r="G1560" t="s">
        <v>422</v>
      </c>
      <c r="H1560" s="87" t="s">
        <v>1093</v>
      </c>
      <c r="I1560" s="64">
        <v>110</v>
      </c>
      <c r="J1560">
        <v>801.6</v>
      </c>
      <c r="K1560" s="427">
        <f>=I1560*J1560</f>
        <v>88176</v>
      </c>
      <c r="L1560" s="66">
        <v>800</v>
      </c>
      <c r="M1560" s="428">
        <f>=I1560*L1560</f>
        <v>88000</v>
      </c>
      <c r="N1560" s="82">
        <f>=K1560-M1560</f>
        <v>176</v>
      </c>
      <c r="O1560" s="64">
        <v>0</v>
      </c>
      <c r="P1560" s="64">
        <f>=I1560*O1560*ROUNDUP((A1560-B1560)/30,0)</f>
        <v>0</v>
      </c>
      <c r="Q1560" s="62" t="s"/>
      <c r="R1560" s="62" t="s"/>
    </row>
    <row r="1561" spans="1:18" ht="15.75" customHeight="true">
      <c r="A1561" s="147">
        <v>46222</v>
      </c>
      <c r="B1561" s="555">
        <v>46221</v>
      </c>
      <c r="C1561" s="98" t="s">
        <v>386</v>
      </c>
      <c r="D1561" s="71" t="s">
        <v>191</v>
      </c>
      <c r="E1561" s="563" t="s">
        <v>3725</v>
      </c>
      <c r="F1561" t="s">
        <v>804</v>
      </c>
      <c r="G1561" t="s">
        <v>422</v>
      </c>
      <c r="H1561" s="269" t="s">
        <v>1095</v>
      </c>
      <c r="I1561" s="140">
        <v>110</v>
      </c>
      <c r="J1561">
        <v>801.6</v>
      </c>
      <c r="K1561" s="427">
        <f>=I1561*J1561</f>
        <v>88176</v>
      </c>
      <c r="L1561" s="66">
        <v>800</v>
      </c>
      <c r="M1561" s="428">
        <f>=I1561*L1561</f>
        <v>88000</v>
      </c>
      <c r="N1561" s="82">
        <f>=K1561-M1561</f>
        <v>176</v>
      </c>
      <c r="O1561" s="64">
        <v>0</v>
      </c>
      <c r="P1561" s="64">
        <f>=I1561*O1561*ROUNDUP((A1561-B1561)/30,0)</f>
        <v>0</v>
      </c>
      <c r="Q1561" s="62" t="s"/>
      <c r="R1561" s="62" t="s"/>
    </row>
    <row r="1562" spans="1:18" ht="15.75" customHeight="true">
      <c r="A1562" s="147">
        <v>46223</v>
      </c>
      <c r="B1562" s="555">
        <v>46098</v>
      </c>
      <c r="C1562" s="98" t="s">
        <v>147</v>
      </c>
      <c r="D1562" s="71" t="s">
        <v>135</v>
      </c>
      <c r="E1562" s="511" t="s">
        <v>3726</v>
      </c>
      <c r="F1562" s="71" t="s">
        <v>428</v>
      </c>
      <c r="G1562" s="71" t="s">
        <v>422</v>
      </c>
      <c r="H1562" s="71" t="s">
        <v>905</v>
      </c>
      <c r="I1562" s="71">
        <v>100</v>
      </c>
      <c r="J1562">
        <v>1822.94</v>
      </c>
      <c r="K1562" s="427">
        <f>=I1562*J1562</f>
        <v>182294</v>
      </c>
      <c r="L1562" s="71">
        <v>1760</v>
      </c>
      <c r="M1562" s="428">
        <f>=I1562*L1562</f>
        <v>176000</v>
      </c>
      <c r="N1562" s="82">
        <f>=K1562-M1562</f>
        <v>6294</v>
      </c>
      <c r="O1562" s="64">
        <v>1</v>
      </c>
      <c r="P1562" s="64">
        <f>=I1562*O1562*ROUNDUP((A1562-B1562)/30,0)</f>
        <v>500</v>
      </c>
      <c r="Q1562" s="62" t="s"/>
      <c r="R1562" s="62" t="s"/>
    </row>
    <row r="1563" spans="1:18" ht="15.75" customHeight="true">
      <c r="A1563" s="147">
        <v>46223</v>
      </c>
      <c r="B1563" s="555">
        <v>46098</v>
      </c>
      <c r="C1563" s="98" t="s">
        <v>147</v>
      </c>
      <c r="D1563" s="71" t="s">
        <v>135</v>
      </c>
      <c r="E1563" s="511" t="s">
        <v>3727</v>
      </c>
      <c r="F1563" s="71" t="s">
        <v>428</v>
      </c>
      <c r="G1563" s="71" t="s">
        <v>422</v>
      </c>
      <c r="H1563" s="71" t="s">
        <v>495</v>
      </c>
      <c r="I1563" s="71">
        <v>100</v>
      </c>
      <c r="J1563">
        <v>1822.94</v>
      </c>
      <c r="K1563" s="427">
        <f>=I1563*J1563</f>
        <v>182294</v>
      </c>
      <c r="L1563" s="71">
        <v>1760</v>
      </c>
      <c r="M1563" s="428">
        <f>=I1563*L1563</f>
        <v>176000</v>
      </c>
      <c r="N1563" s="82">
        <f>=K1563-M1563</f>
        <v>6294</v>
      </c>
      <c r="O1563" s="64">
        <v>1</v>
      </c>
      <c r="P1563" s="64">
        <f>=I1563*O1563*ROUNDUP((A1563-B1563)/30,0)</f>
        <v>500</v>
      </c>
      <c r="Q1563" s="62" t="s"/>
      <c r="R1563" s="62" t="s"/>
    </row>
    <row r="1564" spans="1:18" ht="15.75" customHeight="true">
      <c r="A1564" s="147">
        <v>46223</v>
      </c>
      <c r="B1564" s="555">
        <v>46101</v>
      </c>
      <c r="C1564" s="80" t="s">
        <v>174</v>
      </c>
      <c r="D1564" s="64" t="s">
        <v>135</v>
      </c>
      <c r="E1564" s="471" t="s">
        <v>3728</v>
      </c>
      <c r="F1564" s="197" t="s">
        <v>428</v>
      </c>
      <c r="G1564" s="197" t="s">
        <v>422</v>
      </c>
      <c r="H1564" s="259" t="s">
        <v>905</v>
      </c>
      <c r="I1564" s="64">
        <v>50</v>
      </c>
      <c r="J1564">
        <v>1739.16</v>
      </c>
      <c r="K1564" s="427">
        <f>=I1564*J1564</f>
        <v>86958</v>
      </c>
      <c r="L1564" s="64">
        <v>1680</v>
      </c>
      <c r="M1564" s="428">
        <f>=I1564*L1564</f>
        <v>84000</v>
      </c>
      <c r="N1564" s="82">
        <f>=K1564-M1564</f>
        <v>2958</v>
      </c>
      <c r="O1564" s="64">
        <v>1</v>
      </c>
      <c r="P1564" s="64">
        <f>=I1564*O1564*ROUNDUP((A1564-B1564)/30,0)</f>
        <v>250</v>
      </c>
      <c r="Q1564" s="62" t="s"/>
      <c r="R1564" s="62" t="s"/>
    </row>
    <row r="1565" spans="1:18" ht="15.75" customHeight="true">
      <c r="A1565" s="147">
        <v>46223</v>
      </c>
      <c r="B1565" s="555">
        <v>46202</v>
      </c>
      <c r="C1565" s="98" t="s">
        <v>365</v>
      </c>
      <c r="D1565" s="559" t="s">
        <v>333</v>
      </c>
      <c r="E1565" s="365" t="s">
        <v>3729</v>
      </c>
      <c r="F1565" t="s">
        <v>804</v>
      </c>
      <c r="G1565" s="87" t="s">
        <v>429</v>
      </c>
      <c r="H1565" s="64" t="s">
        <v>2137</v>
      </c>
      <c r="I1565" s="154">
        <v>140</v>
      </c>
      <c r="J1565" s="402">
        <v>422.59</v>
      </c>
      <c r="K1565" s="427">
        <f>=I1565*J1565</f>
        <v>59162.6</v>
      </c>
      <c r="L1565" s="339">
        <v>420</v>
      </c>
      <c r="M1565" s="428">
        <f>=I1565*L1565</f>
        <v>58800</v>
      </c>
      <c r="N1565" s="82">
        <f>=K1565-M1565</f>
        <v>362.599999999999</v>
      </c>
      <c r="O1565" s="64">
        <v>0</v>
      </c>
      <c r="P1565" s="64">
        <f>=I1565*O1565*ROUNDUP((A1565-B1565)/30,0)</f>
        <v>0</v>
      </c>
      <c r="Q1565" s="62" t="s"/>
      <c r="R1565" s="62" t="s"/>
    </row>
    <row r="1566" spans="1:18" ht="15.75" customHeight="true">
      <c r="A1566" s="147">
        <v>46223</v>
      </c>
      <c r="B1566" s="555">
        <v>46202</v>
      </c>
      <c r="C1566" s="98" t="s">
        <v>365</v>
      </c>
      <c r="D1566" s="559" t="s">
        <v>333</v>
      </c>
      <c r="E1566" s="507" t="s">
        <v>3730</v>
      </c>
      <c r="F1566" t="s">
        <v>804</v>
      </c>
      <c r="G1566" s="140" t="s">
        <v>429</v>
      </c>
      <c r="H1566" s="140" t="s">
        <v>2231</v>
      </c>
      <c r="I1566" s="402">
        <v>90</v>
      </c>
      <c r="J1566">
        <v>528.82</v>
      </c>
      <c r="K1566" s="427">
        <f>=I1566*J1566</f>
        <v>47593.8</v>
      </c>
      <c r="L1566" s="402">
        <v>525</v>
      </c>
      <c r="M1566" s="428">
        <f>=I1566*L1566</f>
        <v>47250</v>
      </c>
      <c r="N1566" s="82">
        <f>=K1566-M1566</f>
        <v>343.800000000003</v>
      </c>
      <c r="O1566" s="64">
        <v>0</v>
      </c>
      <c r="P1566" s="64">
        <f>=I1566*O1566*ROUNDUP((A1566-B1566)/30,0)</f>
        <v>0</v>
      </c>
      <c r="Q1566" s="62" t="s"/>
      <c r="R1566" s="62" t="s"/>
    </row>
    <row r="1567" spans="1:18" ht="15.75" customHeight="true">
      <c r="A1567" s="147">
        <v>46223</v>
      </c>
      <c r="B1567" s="555">
        <v>46202</v>
      </c>
      <c r="C1567" s="98" t="s">
        <v>365</v>
      </c>
      <c r="D1567" s="559" t="s">
        <v>333</v>
      </c>
      <c r="E1567" s="507" t="s">
        <v>3731</v>
      </c>
      <c r="F1567" t="s">
        <v>804</v>
      </c>
      <c r="G1567" s="140" t="s">
        <v>429</v>
      </c>
      <c r="H1567" s="140" t="s">
        <v>2139</v>
      </c>
      <c r="I1567" s="402">
        <v>400</v>
      </c>
      <c r="J1567" s="402">
        <v>276.69</v>
      </c>
      <c r="K1567" s="427">
        <f>=I1567*J1567</f>
        <v>110676</v>
      </c>
      <c r="L1567" s="402">
        <v>275</v>
      </c>
      <c r="M1567" s="428">
        <f>=I1567*L1567</f>
        <v>110000</v>
      </c>
      <c r="N1567" s="82">
        <f>=K1567-M1567</f>
        <v>676</v>
      </c>
      <c r="O1567" s="64">
        <v>0</v>
      </c>
      <c r="P1567" s="64">
        <f>=I1567*O1567*ROUNDUP((A1567-B1567)/30,0)</f>
        <v>0</v>
      </c>
      <c r="Q1567" s="62" t="s"/>
      <c r="R1567" s="62" t="s"/>
    </row>
    <row r="1568" spans="1:18" ht="15.75" customHeight="true">
      <c r="A1568" s="147">
        <v>46223</v>
      </c>
      <c r="B1568" s="555">
        <v>46112</v>
      </c>
      <c r="C1568" s="98" t="s">
        <v>224</v>
      </c>
      <c r="D1568" t="s">
        <v>223</v>
      </c>
      <c r="E1568" s="145" t="s">
        <v>3732</v>
      </c>
      <c r="F1568" s="136" t="s">
        <v>421</v>
      </c>
      <c r="G1568" s="136" t="s">
        <v>470</v>
      </c>
      <c r="H1568" s="155" t="s">
        <v>1017</v>
      </c>
      <c r="I1568">
        <v>150</v>
      </c>
      <c r="J1568" s="197">
        <v>3438.44</v>
      </c>
      <c r="K1568" s="427">
        <f>=I1568*J1568</f>
        <v>515766</v>
      </c>
      <c r="L1568">
        <v>3337</v>
      </c>
      <c r="M1568" s="428">
        <f>=I1568*L1568</f>
        <v>500550</v>
      </c>
      <c r="N1568" s="82">
        <f>=K1568-M1568</f>
        <v>15216</v>
      </c>
      <c r="O1568" s="62">
        <v>1.5</v>
      </c>
      <c r="P1568" s="64">
        <f>=I1568*O1568*ROUNDUP((A1568-B1568)/30,0)</f>
        <v>900</v>
      </c>
      <c r="Q1568" s="62" t="s"/>
      <c r="R1568" s="62" t="s"/>
    </row>
    <row r="1569" spans="1:18" ht="15.75" customHeight="true">
      <c r="A1569" s="147">
        <v>46223</v>
      </c>
      <c r="B1569" s="555">
        <v>46219</v>
      </c>
      <c r="C1569" s="98" t="s">
        <v>376</v>
      </c>
      <c r="D1569" s="136" t="s">
        <v>335</v>
      </c>
      <c r="E1569" s="563" t="s">
        <v>3733</v>
      </c>
      <c r="F1569" t="s">
        <v>895</v>
      </c>
      <c r="G1569" s="64" t="s">
        <v>449</v>
      </c>
      <c r="H1569" s="140" t="s">
        <v>2281</v>
      </c>
      <c r="I1569">
        <v>50</v>
      </c>
      <c r="J1569" s="568">
        <v>1004</v>
      </c>
      <c r="K1569" s="427">
        <f>=I1569*J1569</f>
        <v>50200</v>
      </c>
      <c r="L1569">
        <v>1000</v>
      </c>
      <c r="M1569" s="428">
        <f>=I1569*L1569</f>
        <v>50000</v>
      </c>
      <c r="N1569" s="82">
        <f>=K1569-M1569</f>
        <v>200</v>
      </c>
      <c r="O1569" s="62">
        <v>1.2</v>
      </c>
      <c r="P1569" s="64">
        <f>=I1569*O1569*ROUNDUP((A1569-B1569)/30,0)</f>
        <v>60</v>
      </c>
      <c r="Q1569" s="62" t="s"/>
      <c r="R1569" s="62" t="s"/>
    </row>
    <row r="1570" spans="1:18" ht="15.75" customHeight="true">
      <c r="A1570" s="147">
        <v>46223</v>
      </c>
      <c r="B1570" s="555">
        <v>46105</v>
      </c>
      <c r="C1570" s="64" t="s">
        <v>182</v>
      </c>
      <c r="D1570" s="64" t="s">
        <v>181</v>
      </c>
      <c r="E1570" s="146" t="s">
        <v>3734</v>
      </c>
      <c r="F1570" s="64" t="s">
        <v>428</v>
      </c>
      <c r="G1570" s="64" t="s">
        <v>449</v>
      </c>
      <c r="H1570" s="64" t="s">
        <v>658</v>
      </c>
      <c r="I1570">
        <v>200</v>
      </c>
      <c r="J1570" s="99">
        <v>1084.33</v>
      </c>
      <c r="K1570" s="427">
        <f>=I1570*J1570</f>
        <v>216866</v>
      </c>
      <c r="L1570" s="64">
        <v>1053</v>
      </c>
      <c r="M1570" s="428">
        <f>=I1570*L1570</f>
        <v>210600</v>
      </c>
      <c r="N1570" s="82">
        <f>=K1570-M1570</f>
        <v>6266</v>
      </c>
      <c r="O1570" s="64">
        <v>0</v>
      </c>
      <c r="P1570" s="64">
        <f>=I1570*O1570*ROUNDUP((A1570-B1570)/30,0)</f>
        <v>0</v>
      </c>
      <c r="Q1570" s="62" t="s"/>
      <c r="R1570" s="62" t="s"/>
    </row>
    <row r="1571" spans="1:18" ht="15.75" customHeight="true">
      <c r="A1571" s="147">
        <v>46224</v>
      </c>
      <c r="B1571" s="555">
        <v>46131</v>
      </c>
      <c r="C1571" s="135" t="s">
        <v>269</v>
      </c>
      <c r="D1571" s="71" t="s">
        <v>211</v>
      </c>
      <c r="E1571" s="145" t="s">
        <v>3735</v>
      </c>
      <c r="F1571" s="308" t="s">
        <v>421</v>
      </c>
      <c r="G1571" s="308" t="s">
        <v>470</v>
      </c>
      <c r="H1571" s="308" t="s">
        <v>1284</v>
      </c>
      <c r="I1571">
        <v>50</v>
      </c>
      <c r="J1571" s="62">
        <v>3128.91</v>
      </c>
      <c r="K1571" s="427">
        <f>=I1571*J1571</f>
        <v>156445.5</v>
      </c>
      <c r="L1571">
        <v>3050</v>
      </c>
      <c r="M1571" s="428">
        <f>=I1571*L1571</f>
        <v>152500</v>
      </c>
      <c r="N1571" s="82">
        <f>=K1571-M1571</f>
        <v>3945.5</v>
      </c>
      <c r="O1571" s="62">
        <v>1.5</v>
      </c>
      <c r="P1571" s="64">
        <f>=I1571*O1571*ROUNDUP((A1571-B1571)/30,0)</f>
        <v>300</v>
      </c>
      <c r="Q1571" s="62" t="s"/>
      <c r="R1571" s="62" t="s"/>
    </row>
    <row r="1572" spans="1:18" ht="15.75" customHeight="true">
      <c r="A1572" s="147">
        <v>46224</v>
      </c>
      <c r="B1572" s="555">
        <v>46131</v>
      </c>
      <c r="C1572" s="98" t="s">
        <v>269</v>
      </c>
      <c r="D1572" s="71" t="s">
        <v>211</v>
      </c>
      <c r="E1572" s="145" t="s">
        <v>3736</v>
      </c>
      <c r="F1572" s="308" t="s">
        <v>421</v>
      </c>
      <c r="G1572" s="308" t="s">
        <v>470</v>
      </c>
      <c r="H1572" s="308" t="s">
        <v>1284</v>
      </c>
      <c r="I1572">
        <v>50</v>
      </c>
      <c r="J1572" s="62">
        <v>3128.91</v>
      </c>
      <c r="K1572" s="427">
        <f>=I1572*J1572</f>
        <v>156445.5</v>
      </c>
      <c r="L1572">
        <v>3050</v>
      </c>
      <c r="M1572" s="428">
        <f>=I1572*L1572</f>
        <v>152500</v>
      </c>
      <c r="N1572" s="82">
        <f>=K1572-M1572</f>
        <v>3945.5</v>
      </c>
      <c r="O1572" s="62">
        <v>1.5</v>
      </c>
      <c r="P1572" s="64">
        <f>=I1572*O1572*ROUNDUP((A1572-B1572)/30,0)</f>
        <v>300</v>
      </c>
      <c r="Q1572" s="62" t="s"/>
      <c r="R1572" s="62" t="s"/>
    </row>
    <row r="1573" spans="1:18" ht="15.75" customHeight="true">
      <c r="A1573" s="147">
        <v>46224</v>
      </c>
      <c r="B1573" s="555">
        <v>46120</v>
      </c>
      <c r="C1573" s="71" t="s">
        <v>242</v>
      </c>
      <c r="D1573" s="64" t="s">
        <v>116</v>
      </c>
      <c r="E1573" s="153" t="s">
        <v>3737</v>
      </c>
      <c r="F1573" t="s">
        <v>804</v>
      </c>
      <c r="G1573" t="s">
        <v>429</v>
      </c>
      <c r="H1573" s="87" t="s">
        <v>1760</v>
      </c>
      <c r="I1573" s="406">
        <v>7000</v>
      </c>
      <c r="J1573" s="154">
        <v>45.19</v>
      </c>
      <c r="K1573" s="427">
        <f>=I1573*J1573</f>
        <v>316330</v>
      </c>
      <c r="L1573">
        <v>44</v>
      </c>
      <c r="M1573" s="428">
        <f>=I1573*L1573</f>
        <v>308000</v>
      </c>
      <c r="N1573" s="82">
        <f>=K1573-M1573</f>
        <v>8330</v>
      </c>
      <c r="O1573" s="64">
        <v>0</v>
      </c>
      <c r="P1573" s="64">
        <f>=I1573*O1573*ROUNDUP((A1573-B1573)/30,0)</f>
        <v>0</v>
      </c>
      <c r="Q1573" s="62" t="s"/>
      <c r="R1573" s="62" t="s"/>
    </row>
    <row r="1574" spans="1:18" ht="15.75" customHeight="true">
      <c r="A1574" s="147">
        <v>46224</v>
      </c>
      <c r="B1574" s="555">
        <v>46122</v>
      </c>
      <c r="C1574" s="71" t="s">
        <v>246</v>
      </c>
      <c r="D1574" s="64" t="s">
        <v>116</v>
      </c>
      <c r="E1574" s="145" t="s">
        <v>3738</v>
      </c>
      <c r="F1574" s="262" t="s">
        <v>804</v>
      </c>
      <c r="G1574" s="95" t="s">
        <v>429</v>
      </c>
      <c r="H1574" s="140" t="s">
        <v>1760</v>
      </c>
      <c r="I1574" s="406">
        <v>5300</v>
      </c>
      <c r="J1574" s="154">
        <v>56.46</v>
      </c>
      <c r="K1574" s="427">
        <f>=I1574*J1574</f>
        <v>299238</v>
      </c>
      <c r="L1574">
        <v>55</v>
      </c>
      <c r="M1574" s="428">
        <f>=I1574*L1574</f>
        <v>291500</v>
      </c>
      <c r="N1574" s="82">
        <f>=K1574-M1574</f>
        <v>7738</v>
      </c>
      <c r="O1574" s="64">
        <v>0</v>
      </c>
      <c r="P1574" s="64">
        <f>=I1574*O1574*ROUNDUP((A1574-B1574)/30,0)</f>
        <v>0</v>
      </c>
      <c r="Q1574" s="62" t="s"/>
      <c r="R1574" s="62" t="s"/>
    </row>
    <row r="1575" spans="1:18" ht="15.75" customHeight="true">
      <c r="A1575" s="147">
        <v>46224</v>
      </c>
      <c r="B1575" s="555">
        <v>46122</v>
      </c>
      <c r="C1575" s="71" t="s">
        <v>246</v>
      </c>
      <c r="D1575" s="64" t="s">
        <v>116</v>
      </c>
      <c r="E1575" s="145" t="s">
        <v>3739</v>
      </c>
      <c r="F1575" s="262" t="s">
        <v>804</v>
      </c>
      <c r="G1575" s="95" t="s">
        <v>429</v>
      </c>
      <c r="H1575" s="140" t="s">
        <v>1760</v>
      </c>
      <c r="I1575" s="406">
        <v>1480</v>
      </c>
      <c r="J1575" s="154">
        <v>56.46</v>
      </c>
      <c r="K1575" s="427">
        <f>=I1575*J1575</f>
        <v>83560.8</v>
      </c>
      <c r="L1575">
        <v>55</v>
      </c>
      <c r="M1575" s="428">
        <f>=I1575*L1575</f>
        <v>81400</v>
      </c>
      <c r="N1575" s="82">
        <f>=K1575-M1575</f>
        <v>2160.8</v>
      </c>
      <c r="O1575" s="64">
        <v>0</v>
      </c>
      <c r="P1575" s="64">
        <f>=I1575*O1575*ROUNDUP((A1575-B1575)/30,0)</f>
        <v>0</v>
      </c>
      <c r="Q1575" s="62" t="s"/>
      <c r="R1575" s="62" t="s"/>
    </row>
    <row r="1576" spans="1:18" ht="15.75" customHeight="true">
      <c r="A1576" s="147">
        <v>46224</v>
      </c>
      <c r="B1576" s="555">
        <v>46219</v>
      </c>
      <c r="C1576" s="98" t="s">
        <v>376</v>
      </c>
      <c r="D1576" s="263" t="s">
        <v>335</v>
      </c>
      <c r="E1576" s="563" t="s">
        <v>3740</v>
      </c>
      <c r="F1576" t="s">
        <v>895</v>
      </c>
      <c r="G1576" s="64" t="s">
        <v>449</v>
      </c>
      <c r="H1576" s="140" t="s">
        <v>2281</v>
      </c>
      <c r="I1576" s="406">
        <v>12</v>
      </c>
      <c r="J1576" s="402">
        <v>1003.8</v>
      </c>
      <c r="K1576" s="427">
        <f>=I1576*J1576</f>
        <v>12045.6</v>
      </c>
      <c r="L1576">
        <v>1000</v>
      </c>
      <c r="M1576" s="428">
        <f>=I1576*L1576</f>
        <v>12000</v>
      </c>
      <c r="N1576" s="82">
        <f>=K1576-M1576</f>
        <v>45.5999999999986</v>
      </c>
      <c r="O1576" s="62">
        <v>1.2</v>
      </c>
      <c r="P1576" s="64">
        <f>=I1576*O1576*ROUNDUP((A1576-B1576)/30,0)</f>
        <v>14.4</v>
      </c>
      <c r="Q1576" s="62" t="s"/>
      <c r="R1576" s="62" t="s"/>
    </row>
    <row r="1577" spans="1:18" ht="15.75" customHeight="true">
      <c r="A1577" s="147">
        <v>46224</v>
      </c>
      <c r="B1577" s="555">
        <v>46218</v>
      </c>
      <c r="C1577" s="98" t="s">
        <v>377</v>
      </c>
      <c r="D1577" s="263" t="s">
        <v>335</v>
      </c>
      <c r="E1577" s="563" t="s">
        <v>3741</v>
      </c>
      <c r="F1577" t="s">
        <v>895</v>
      </c>
      <c r="G1577" s="64" t="s">
        <v>449</v>
      </c>
      <c r="H1577" s="399" t="s">
        <v>2283</v>
      </c>
      <c r="I1577" s="406">
        <v>20</v>
      </c>
      <c r="J1577" s="402">
        <v>1304.4</v>
      </c>
      <c r="K1577" s="427">
        <f>=I1577*J1577</f>
        <v>26088</v>
      </c>
      <c r="L1577" s="203">
        <v>1300</v>
      </c>
      <c r="M1577" s="428">
        <f>=I1577*L1577</f>
        <v>26000</v>
      </c>
      <c r="N1577" s="82">
        <f>=K1577-M1577</f>
        <v>88</v>
      </c>
      <c r="O1577" s="62">
        <v>1.2</v>
      </c>
      <c r="P1577" s="64">
        <f>=I1577*O1577*ROUNDUP((A1577-B1577)/30,0)</f>
        <v>24</v>
      </c>
      <c r="Q1577" s="62" t="s"/>
      <c r="R1577" s="62" t="s"/>
    </row>
    <row r="1578" spans="1:18" ht="15.75" customHeight="true">
      <c r="A1578" s="147">
        <v>46225</v>
      </c>
      <c r="B1578" s="555">
        <v>46131</v>
      </c>
      <c r="C1578" s="135" t="s">
        <v>269</v>
      </c>
      <c r="D1578" s="71" t="s">
        <v>211</v>
      </c>
      <c r="E1578" s="145" t="s">
        <v>3742</v>
      </c>
      <c r="F1578" s="308" t="s">
        <v>421</v>
      </c>
      <c r="G1578" s="308" t="s">
        <v>470</v>
      </c>
      <c r="H1578" s="308" t="s">
        <v>1284</v>
      </c>
      <c r="I1578" s="64">
        <v>42</v>
      </c>
      <c r="J1578">
        <v>3130.44</v>
      </c>
      <c r="K1578" s="427">
        <f>=I1578*J1578</f>
        <v>131478.48</v>
      </c>
      <c r="L1578">
        <v>3050</v>
      </c>
      <c r="M1578" s="428">
        <f>=I1578*L1578</f>
        <v>128100</v>
      </c>
      <c r="N1578" s="82">
        <f>=K1578-M1578</f>
        <v>3378.48000000001</v>
      </c>
      <c r="O1578" s="62">
        <v>1.5</v>
      </c>
      <c r="P1578" s="64">
        <f>=I1578*O1578*ROUNDUP((A1578-B1578)/30,0)</f>
        <v>252</v>
      </c>
      <c r="Q1578" s="62" t="s"/>
      <c r="R1578" s="62" t="s"/>
    </row>
    <row r="1579" spans="1:18" ht="15.75" customHeight="true">
      <c r="A1579" s="148">
        <v>46225</v>
      </c>
      <c r="B1579" s="562">
        <v>46131</v>
      </c>
      <c r="C1579" s="102" t="s">
        <v>269</v>
      </c>
      <c r="D1579" s="93" t="s">
        <v>211</v>
      </c>
      <c r="E1579" s="145" t="s">
        <v>3743</v>
      </c>
      <c r="F1579" s="490" t="s">
        <v>421</v>
      </c>
      <c r="G1579" s="490" t="s">
        <v>470</v>
      </c>
      <c r="H1579" s="490" t="s">
        <v>1284</v>
      </c>
      <c r="I1579" s="83">
        <v>40</v>
      </c>
      <c r="J1579">
        <v>3130.44</v>
      </c>
      <c r="K1579" s="439">
        <f>=I1579*J1579</f>
        <v>125217.6</v>
      </c>
      <c r="L1579">
        <v>3050</v>
      </c>
      <c r="M1579" s="454">
        <f>=I1579*L1579</f>
        <v>122000</v>
      </c>
      <c r="N1579" s="84">
        <f>=K1579-M1579</f>
        <v>3217.60000000001</v>
      </c>
      <c r="O1579" s="62">
        <v>1.5</v>
      </c>
      <c r="P1579" s="83">
        <f>=I1579*O1579*ROUNDUP((A1579-B1579)/30,0)</f>
        <v>240</v>
      </c>
      <c r="Q1579" s="62" t="s"/>
      <c r="R1579" s="62" t="s"/>
    </row>
    <row r="1580" spans="1:18" ht="15.75" customHeight="true">
      <c r="A1580" s="147">
        <v>46225</v>
      </c>
      <c r="B1580" s="555">
        <v>46220</v>
      </c>
      <c r="C1580" s="71" t="s">
        <v>385</v>
      </c>
      <c r="D1580" s="64" t="s">
        <v>116</v>
      </c>
      <c r="E1580" s="398" t="s">
        <v>3744</v>
      </c>
      <c r="F1580" s="95" t="s">
        <v>804</v>
      </c>
      <c r="G1580" s="95" t="s">
        <v>429</v>
      </c>
      <c r="H1580" s="64" t="s">
        <v>822</v>
      </c>
      <c r="I1580">
        <v>344</v>
      </c>
      <c r="J1580">
        <v>70.14</v>
      </c>
      <c r="K1580" s="427">
        <f>=I1580*J1580</f>
        <v>24128.16</v>
      </c>
      <c r="L1580">
        <v>70</v>
      </c>
      <c r="M1580" s="428">
        <f>=I1580*L1580</f>
        <v>24080</v>
      </c>
      <c r="N1580" s="82">
        <f>=K1580-M1580</f>
        <v>48.1599999999999</v>
      </c>
      <c r="O1580" s="64">
        <v>0</v>
      </c>
      <c r="P1580" s="64">
        <f>=I1580*O1580*ROUNDUP((A1580-B1580)/30,0)</f>
        <v>0</v>
      </c>
      <c r="Q1580" s="62" t="s"/>
      <c r="R1580" s="62" t="s"/>
    </row>
    <row r="1581" spans="1:18" ht="15.75" customHeight="true">
      <c r="A1581" s="147">
        <v>46225</v>
      </c>
      <c r="B1581" s="555">
        <v>46100</v>
      </c>
      <c r="C1581" s="71" t="s">
        <v>158</v>
      </c>
      <c r="D1581" s="71" t="s">
        <v>52</v>
      </c>
      <c r="E1581" s="495" t="s">
        <v>3745</v>
      </c>
      <c r="F1581" s="140" t="s">
        <v>428</v>
      </c>
      <c r="G1581" s="140" t="s">
        <v>422</v>
      </c>
      <c r="H1581" s="142" t="s">
        <v>933</v>
      </c>
      <c r="I1581" s="569">
        <v>20</v>
      </c>
      <c r="J1581" s="154">
        <v>2929.9</v>
      </c>
      <c r="K1581" s="427">
        <f>=I1581*J1581</f>
        <v>58598</v>
      </c>
      <c r="L1581" s="71">
        <v>2824</v>
      </c>
      <c r="M1581" s="428">
        <f>=I1581*L1581</f>
        <v>56480</v>
      </c>
      <c r="N1581" s="82">
        <f>=K1581-M1581</f>
        <v>2118</v>
      </c>
      <c r="O1581" s="64">
        <v>0</v>
      </c>
      <c r="P1581" s="64">
        <f>=I1581*O1581*ROUNDUP((A1581-B1581)/30,0)</f>
        <v>0</v>
      </c>
      <c r="Q1581" s="62" t="s"/>
      <c r="R1581" s="62" t="s"/>
    </row>
    <row r="1582" spans="1:18" ht="15.75" customHeight="true">
      <c r="A1582" s="147">
        <v>46225</v>
      </c>
      <c r="B1582" s="555">
        <v>46104</v>
      </c>
      <c r="C1582" s="71" t="s">
        <v>179</v>
      </c>
      <c r="D1582" s="71" t="s">
        <v>52</v>
      </c>
      <c r="E1582" s="515" t="s">
        <v>3746</v>
      </c>
      <c r="F1582" s="71" t="s">
        <v>428</v>
      </c>
      <c r="G1582" s="71" t="s">
        <v>422</v>
      </c>
      <c r="H1582" s="142" t="s">
        <v>931</v>
      </c>
      <c r="I1582" s="570">
        <v>5</v>
      </c>
      <c r="J1582" s="154">
        <v>2901.64</v>
      </c>
      <c r="K1582" s="427">
        <f>=I1582*J1582</f>
        <v>14508.2</v>
      </c>
      <c r="L1582" s="71">
        <v>2800</v>
      </c>
      <c r="M1582" s="428">
        <f>=I1582*L1582</f>
        <v>14000</v>
      </c>
      <c r="N1582" s="82">
        <f>=K1582-M1582</f>
        <v>508.199999999999</v>
      </c>
      <c r="O1582" s="64">
        <v>0</v>
      </c>
      <c r="P1582" s="64">
        <f>=I1582*O1582*ROUNDUP((A1582-B1582)/30,0)</f>
        <v>0</v>
      </c>
      <c r="Q1582" s="62" t="s"/>
      <c r="R1582" s="62" t="s"/>
    </row>
    <row r="1583" spans="1:18" ht="15.75" customHeight="true">
      <c r="A1583" s="147">
        <v>46225</v>
      </c>
      <c r="B1583" s="555">
        <v>46115</v>
      </c>
      <c r="C1583" s="71" t="s">
        <v>232</v>
      </c>
      <c r="D1583" s="64" t="s">
        <v>52</v>
      </c>
      <c r="E1583" s="515" t="s">
        <v>3747</v>
      </c>
      <c r="F1583" s="269" t="s">
        <v>428</v>
      </c>
      <c r="G1583" s="320" t="s">
        <v>422</v>
      </c>
      <c r="H1583" s="142" t="s">
        <v>926</v>
      </c>
      <c r="I1583" s="241">
        <v>5</v>
      </c>
      <c r="J1583" s="154">
        <v>2964.71</v>
      </c>
      <c r="K1583" s="427">
        <f>=I1583*J1583</f>
        <v>14823.55</v>
      </c>
      <c r="L1583" s="321">
        <v>2870</v>
      </c>
      <c r="M1583" s="428">
        <f>=I1583*L1583</f>
        <v>14350</v>
      </c>
      <c r="N1583" s="82">
        <f>=K1583-M1583</f>
        <v>473.549999999999</v>
      </c>
      <c r="O1583" s="64">
        <v>0</v>
      </c>
      <c r="P1583" s="64">
        <f>=I1583*O1583*ROUNDUP((A1583-B1583)/30,0)</f>
        <v>0</v>
      </c>
      <c r="Q1583" s="62" t="s"/>
      <c r="R1583" s="62" t="s"/>
    </row>
    <row r="1584" spans="1:18" ht="15.75" customHeight="true">
      <c r="A1584" s="147">
        <v>46226</v>
      </c>
      <c r="B1584" s="555">
        <v>46216</v>
      </c>
      <c r="C1584" s="98" t="s">
        <v>371</v>
      </c>
      <c r="D1584" s="263" t="s">
        <v>335</v>
      </c>
      <c r="E1584" s="563" t="s">
        <v>3748</v>
      </c>
      <c r="F1584" t="s">
        <v>741</v>
      </c>
      <c r="G1584" s="64" t="s">
        <v>422</v>
      </c>
      <c r="H1584" s="399" t="s">
        <v>2266</v>
      </c>
      <c r="I1584">
        <v>100</v>
      </c>
      <c r="J1584" s="331">
        <v>904.28</v>
      </c>
      <c r="K1584" s="427">
        <f>=I1584*J1584</f>
        <v>90428</v>
      </c>
      <c r="L1584" s="402">
        <v>900</v>
      </c>
      <c r="M1584" s="571">
        <f>=I1584*L1584</f>
        <v>90000</v>
      </c>
      <c r="N1584" s="82">
        <f>=K1584-M1584</f>
        <v>428</v>
      </c>
      <c r="O1584" s="62">
        <v>1.2</v>
      </c>
      <c r="P1584" s="64">
        <f>=I1584*O1584*ROUNDUP((A1584-B1584)/30,0)</f>
        <v>120</v>
      </c>
      <c r="Q1584" s="62" t="s"/>
      <c r="R1584" s="62" t="s"/>
    </row>
    <row r="1585" spans="1:18" ht="15.75" customHeight="true">
      <c r="A1585" s="147">
        <v>46226</v>
      </c>
      <c r="B1585" s="555">
        <v>46219</v>
      </c>
      <c r="C1585" s="98" t="s">
        <v>376</v>
      </c>
      <c r="D1585" s="559" t="s">
        <v>335</v>
      </c>
      <c r="E1585" s="563" t="s">
        <v>3749</v>
      </c>
      <c r="F1585" t="s">
        <v>895</v>
      </c>
      <c r="G1585" s="64" t="s">
        <v>449</v>
      </c>
      <c r="H1585" s="401" t="s">
        <v>2279</v>
      </c>
      <c r="I1585">
        <v>20</v>
      </c>
      <c r="J1585" s="154">
        <v>1003.8</v>
      </c>
      <c r="K1585" s="427">
        <f>=I1585*J1585</f>
        <v>20076</v>
      </c>
      <c r="L1585" s="402">
        <v>1000</v>
      </c>
      <c r="M1585" s="428">
        <f>=I1585*L1585</f>
        <v>20000</v>
      </c>
      <c r="N1585" s="82">
        <f>=K1585-M1585</f>
        <v>76</v>
      </c>
      <c r="O1585" s="62">
        <v>1.2</v>
      </c>
      <c r="P1585" s="64">
        <f>=I1585*O1585*ROUNDUP((A1585-B1585)/30,0)</f>
        <v>24</v>
      </c>
      <c r="Q1585" s="62" t="s"/>
      <c r="R1585" s="62" t="s"/>
    </row>
    <row r="1586" spans="1:18" ht="15.75" customHeight="true">
      <c r="A1586" s="147">
        <v>46226</v>
      </c>
      <c r="B1586" s="555">
        <v>46219</v>
      </c>
      <c r="C1586" s="98" t="s">
        <v>376</v>
      </c>
      <c r="D1586" s="559" t="s">
        <v>335</v>
      </c>
      <c r="E1586" s="563" t="s">
        <v>3750</v>
      </c>
      <c r="F1586" t="s">
        <v>895</v>
      </c>
      <c r="G1586" s="64" t="s">
        <v>449</v>
      </c>
      <c r="H1586" s="140" t="s">
        <v>2281</v>
      </c>
      <c r="I1586">
        <v>18</v>
      </c>
      <c r="J1586" s="154">
        <v>1003.8</v>
      </c>
      <c r="K1586" s="427">
        <f>=I1586*J1586</f>
        <v>18068.4</v>
      </c>
      <c r="L1586">
        <v>1000</v>
      </c>
      <c r="M1586" s="428">
        <f>=I1586*L1586</f>
        <v>18000</v>
      </c>
      <c r="N1586" s="82">
        <f>=K1586-M1586</f>
        <v>68.3999999999978</v>
      </c>
      <c r="O1586" s="62">
        <v>1.2</v>
      </c>
      <c r="P1586" s="64">
        <f>=I1586*O1586*ROUNDUP((A1586-B1586)/30,0)</f>
        <v>21.6</v>
      </c>
      <c r="Q1586" s="62" t="s"/>
      <c r="R1586" s="62" t="s"/>
    </row>
    <row r="1587" spans="1:18" ht="15.75" customHeight="true">
      <c r="A1587" s="147">
        <v>46227</v>
      </c>
      <c r="B1587" s="555">
        <v>46170</v>
      </c>
      <c r="C1587" t="s">
        <v>362</v>
      </c>
      <c r="D1587" s="71" t="s">
        <v>339</v>
      </c>
      <c r="E1587" s="356" t="s">
        <v>3751</v>
      </c>
      <c r="F1587" s="526" t="s">
        <v>428</v>
      </c>
      <c r="G1587" s="71" t="s">
        <v>422</v>
      </c>
      <c r="H1587" s="64" t="s">
        <v>833</v>
      </c>
      <c r="I1587">
        <v>1450</v>
      </c>
      <c r="J1587" s="402">
        <v>744.01</v>
      </c>
      <c r="K1587" s="427">
        <f>=I1587*J1587</f>
        <v>1078814.5</v>
      </c>
      <c r="L1587">
        <v>730</v>
      </c>
      <c r="M1587" s="428">
        <f>=I1587*L1587</f>
        <v>1058500</v>
      </c>
      <c r="N1587" s="82">
        <f>=K1587-M1587</f>
        <v>20314.5</v>
      </c>
      <c r="O1587" s="64">
        <v>1</v>
      </c>
      <c r="P1587" s="64">
        <f>=I1587*O1587*ROUNDUP((A1587-B1587)/30,0)</f>
        <v>2900</v>
      </c>
      <c r="Q1587" s="62" t="s"/>
      <c r="R1587" s="62" t="s"/>
    </row>
    <row r="1588" spans="1:18" ht="15.75" customHeight="true">
      <c r="A1588" s="147">
        <v>46227</v>
      </c>
      <c r="B1588" s="555">
        <v>46216</v>
      </c>
      <c r="C1588" s="98" t="s">
        <v>371</v>
      </c>
      <c r="D1588" s="263" t="s">
        <v>335</v>
      </c>
      <c r="E1588" s="563" t="s">
        <v>3752</v>
      </c>
      <c r="F1588" t="s">
        <v>741</v>
      </c>
      <c r="G1588" s="64" t="s">
        <v>422</v>
      </c>
      <c r="H1588" s="399" t="s">
        <v>2266</v>
      </c>
      <c r="I1588">
        <v>150</v>
      </c>
      <c r="J1588">
        <v>904.5</v>
      </c>
      <c r="K1588" s="427">
        <f>=I1588*J1588</f>
        <v>135675</v>
      </c>
      <c r="L1588" s="402">
        <v>900</v>
      </c>
      <c r="M1588" s="428">
        <f>=I1588*L1588</f>
        <v>135000</v>
      </c>
      <c r="N1588" s="82">
        <f>=K1588-M1588</f>
        <v>675</v>
      </c>
      <c r="O1588" s="78">
        <v>1.2</v>
      </c>
      <c r="P1588" s="64">
        <f>=I1588*O1588*ROUNDUP((A1588-B1588)/30,0)</f>
        <v>180</v>
      </c>
      <c r="Q1588" s="62" t="s"/>
      <c r="R1588" s="62" t="s"/>
    </row>
    <row r="1589" spans="1:18" ht="15.75" customHeight="true">
      <c r="A1589" s="147">
        <v>46227</v>
      </c>
      <c r="B1589" s="555">
        <v>46219</v>
      </c>
      <c r="C1589" s="98" t="s">
        <v>376</v>
      </c>
      <c r="D1589" s="559" t="s">
        <v>335</v>
      </c>
      <c r="E1589" s="563" t="s">
        <v>3753</v>
      </c>
      <c r="F1589" t="s">
        <v>895</v>
      </c>
      <c r="G1589" s="64" t="s">
        <v>449</v>
      </c>
      <c r="H1589" s="401" t="s">
        <v>2279</v>
      </c>
      <c r="I1589" s="154">
        <v>30</v>
      </c>
      <c r="J1589" s="402">
        <v>1004.05</v>
      </c>
      <c r="K1589" s="427">
        <f>=I1589*J1589</f>
        <v>30121.5</v>
      </c>
      <c r="L1589" s="154">
        <v>1000</v>
      </c>
      <c r="M1589" s="428">
        <f>=I1589*L1589</f>
        <v>30000</v>
      </c>
      <c r="N1589" s="82">
        <f>=K1589-M1589</f>
        <v>121.5</v>
      </c>
      <c r="O1589" s="78">
        <v>1.2</v>
      </c>
      <c r="P1589" s="64">
        <f>=I1589*O1589*ROUNDUP((A1589-B1589)/30,0)</f>
        <v>36</v>
      </c>
      <c r="Q1589" s="62" t="s"/>
      <c r="R1589" s="62" t="s"/>
    </row>
    <row r="1590" spans="1:18" ht="15.75" customHeight="true">
      <c r="A1590" s="147">
        <v>46227</v>
      </c>
      <c r="B1590" s="555">
        <v>46220</v>
      </c>
      <c r="C1590" t="s">
        <v>384</v>
      </c>
      <c r="D1590" s="400" t="s">
        <v>239</v>
      </c>
      <c r="E1590" s="563" t="s">
        <v>3754</v>
      </c>
      <c r="F1590" t="s">
        <v>1753</v>
      </c>
      <c r="G1590" t="s">
        <v>470</v>
      </c>
      <c r="H1590" s="398" t="s">
        <v>2303</v>
      </c>
      <c r="I1590" s="203">
        <v>140</v>
      </c>
      <c r="J1590" s="402">
        <v>452.7</v>
      </c>
      <c r="K1590" s="427">
        <f>=I1590*J1590</f>
        <v>63378</v>
      </c>
      <c r="L1590" s="154">
        <v>450</v>
      </c>
      <c r="M1590" s="428">
        <f>=I1590*L1590</f>
        <v>63000</v>
      </c>
      <c r="N1590" s="82">
        <f>=K1590-M1590</f>
        <v>378</v>
      </c>
      <c r="O1590" s="62">
        <v>1.2</v>
      </c>
      <c r="P1590" s="64">
        <f>=I1590*O1590*ROUNDUP((A1590-B1590)/30,0)</f>
        <v>168</v>
      </c>
      <c r="Q1590" s="62" t="s"/>
      <c r="R1590" s="62" t="s"/>
    </row>
    <row r="1591" spans="1:18" ht="15.75" customHeight="true">
      <c r="A1591" s="147">
        <v>46227</v>
      </c>
      <c r="B1591" s="555">
        <v>46101</v>
      </c>
      <c r="C1591" s="110" t="s">
        <v>174</v>
      </c>
      <c r="D1591" s="116" t="s">
        <v>135</v>
      </c>
      <c r="E1591" s="471" t="s">
        <v>3755</v>
      </c>
      <c r="F1591" s="64" t="s">
        <v>428</v>
      </c>
      <c r="G1591" s="64" t="s">
        <v>422</v>
      </c>
      <c r="H1591" s="259" t="s">
        <v>495</v>
      </c>
      <c r="I1591" s="154">
        <v>100</v>
      </c>
      <c r="J1591" s="402">
        <v>1740.84</v>
      </c>
      <c r="K1591" s="427">
        <f>=I1591*J1591</f>
        <v>174084</v>
      </c>
      <c r="L1591" s="64">
        <v>1680</v>
      </c>
      <c r="M1591" s="428">
        <f>=I1591*L1591</f>
        <v>168000</v>
      </c>
      <c r="N1591" s="82">
        <f>=K1591-M1591</f>
        <v>6084</v>
      </c>
      <c r="O1591" s="62">
        <v>1</v>
      </c>
      <c r="P1591" s="64">
        <f>=I1591*O1591*ROUNDUP((A1591-B1591)/30,0)</f>
        <v>500</v>
      </c>
      <c r="Q1591" s="62" t="s"/>
      <c r="R1591" s="62" t="s"/>
    </row>
    <row r="1592" spans="1:18" ht="15.75" customHeight="true">
      <c r="A1592" s="147">
        <v>46227</v>
      </c>
      <c r="B1592" s="555">
        <v>46101</v>
      </c>
      <c r="C1592" s="110" t="s">
        <v>174</v>
      </c>
      <c r="D1592" s="116" t="s">
        <v>135</v>
      </c>
      <c r="E1592" s="471" t="s">
        <v>3756</v>
      </c>
      <c r="F1592" s="197" t="s">
        <v>428</v>
      </c>
      <c r="G1592" s="197" t="s">
        <v>422</v>
      </c>
      <c r="H1592" s="259" t="s">
        <v>905</v>
      </c>
      <c r="I1592" s="332">
        <v>50</v>
      </c>
      <c r="J1592" s="402">
        <v>1740.84</v>
      </c>
      <c r="K1592" s="427">
        <f>=I1592*J1592</f>
        <v>87042</v>
      </c>
      <c r="L1592" s="64">
        <v>1680</v>
      </c>
      <c r="M1592" s="428">
        <f>=I1592*L1592</f>
        <v>84000</v>
      </c>
      <c r="N1592" s="82">
        <f>=K1592-M1592</f>
        <v>3042</v>
      </c>
      <c r="O1592" s="62">
        <v>1</v>
      </c>
      <c r="P1592" s="64">
        <f>=I1592*O1592*ROUNDUP((A1592-B1592)/30,0)</f>
        <v>250</v>
      </c>
      <c r="Q1592" s="62" t="s"/>
      <c r="R1592" s="62" t="s"/>
    </row>
    <row r="1593" spans="1:18" ht="15.75" customHeight="true">
      <c r="A1593" s="147">
        <v>46228</v>
      </c>
      <c r="B1593" s="555">
        <v>46101</v>
      </c>
      <c r="C1593" s="80" t="s">
        <v>174</v>
      </c>
      <c r="D1593" s="64" t="s">
        <v>135</v>
      </c>
      <c r="E1593" s="471" t="s">
        <v>3757</v>
      </c>
      <c r="F1593" s="197" t="s">
        <v>428</v>
      </c>
      <c r="G1593" s="197" t="s">
        <v>422</v>
      </c>
      <c r="H1593" s="259" t="s">
        <v>905</v>
      </c>
      <c r="I1593" s="332">
        <v>50</v>
      </c>
      <c r="J1593" s="154">
        <v>1741.26</v>
      </c>
      <c r="K1593" s="427">
        <f>=I1593*J1593</f>
        <v>87063</v>
      </c>
      <c r="L1593" s="64">
        <v>1680</v>
      </c>
      <c r="M1593" s="428">
        <f>=I1593*L1593</f>
        <v>84000</v>
      </c>
      <c r="N1593" s="82">
        <f>=K1593-M1593</f>
        <v>3063</v>
      </c>
      <c r="O1593" s="62">
        <v>1</v>
      </c>
      <c r="P1593" s="64">
        <f>=I1593*O1593*ROUNDUP((A1593-B1593)/30,0)</f>
        <v>250</v>
      </c>
      <c r="Q1593" s="62" t="s"/>
      <c r="R1593" s="62" t="s"/>
    </row>
    <row r="1594" spans="1:18" ht="15.75" customHeight="true">
      <c r="A1594" s="107" t="s"/>
      <c r="B1594" s="62" t="s"/>
      <c r="C1594" s="62" t="s"/>
      <c r="D1594" s="62" t="s"/>
      <c r="E1594" s="62" t="s"/>
      <c r="F1594" s="66" t="s"/>
      <c r="G1594" s="66" t="s"/>
      <c r="H1594" s="66" t="s"/>
      <c r="I1594" s="62" t="s"/>
      <c r="J1594" s="62" t="s"/>
      <c r="K1594" s="99" t="s"/>
      <c r="L1594" s="66" t="s"/>
      <c r="M1594" s="66" t="s"/>
      <c r="N1594" s="572" t="s"/>
      <c r="O1594" s="62" t="s"/>
      <c r="P1594" s="62" t="s"/>
      <c r="Q1594" s="62" t="s"/>
      <c r="R1594" s="62" t="s"/>
    </row>
    <row r="1595" spans="1:18" ht="15.75" customHeight="true">
      <c r="A1595" s="107" t="s"/>
      <c r="B1595" s="62" t="s"/>
      <c r="C1595" s="62" t="s"/>
      <c r="D1595" s="62" t="s"/>
      <c r="E1595" s="62" t="s"/>
      <c r="F1595" s="66" t="s"/>
      <c r="G1595" s="66" t="s"/>
      <c r="H1595" s="66" t="s"/>
      <c r="I1595" s="62" t="s"/>
      <c r="J1595" s="62" t="s"/>
      <c r="K1595" s="99" t="s"/>
      <c r="L1595" s="66" t="s"/>
      <c r="M1595" s="66" t="s"/>
      <c r="N1595" s="572" t="s"/>
      <c r="O1595" s="62" t="s"/>
      <c r="P1595" s="62" t="s"/>
      <c r="Q1595" s="62" t="s"/>
      <c r="R1595" s="62" t="s"/>
    </row>
    <row r="1596" spans="1:18" ht="15.75" customHeight="true">
      <c r="A1596" s="107" t="s"/>
      <c r="B1596" s="62" t="s"/>
      <c r="C1596" s="62" t="s"/>
      <c r="D1596" s="62" t="s"/>
      <c r="E1596" s="62" t="s"/>
      <c r="F1596" s="66" t="s"/>
      <c r="G1596" s="66" t="s"/>
      <c r="H1596" s="66" t="s"/>
      <c r="I1596" s="62" t="s"/>
      <c r="J1596" s="62" t="s"/>
      <c r="K1596" s="99" t="s"/>
      <c r="L1596" s="66" t="s"/>
      <c r="M1596" s="66" t="s"/>
      <c r="N1596" s="572" t="s"/>
      <c r="O1596" s="62" t="s"/>
      <c r="P1596" s="62" t="s"/>
      <c r="Q1596" s="62" t="s"/>
      <c r="R1596" s="62" t="s"/>
    </row>
    <row r="1597" spans="1:18" ht="15.75" customHeight="true">
      <c r="A1597" s="107" t="s"/>
      <c r="B1597" s="62" t="s"/>
      <c r="C1597" s="62" t="s"/>
      <c r="D1597" s="62" t="s"/>
      <c r="E1597" s="62" t="s"/>
      <c r="F1597" s="66" t="s"/>
      <c r="G1597" s="66" t="s"/>
      <c r="H1597" s="66" t="s"/>
      <c r="I1597" s="62" t="s"/>
      <c r="J1597" s="62" t="s"/>
      <c r="K1597" s="99" t="s"/>
      <c r="L1597" s="66" t="s"/>
      <c r="M1597" s="66" t="s"/>
      <c r="N1597" s="572" t="s"/>
      <c r="O1597" s="62" t="s"/>
      <c r="P1597" s="62" t="s"/>
      <c r="Q1597" s="62" t="s"/>
      <c r="R1597" s="62" t="s"/>
    </row>
    <row r="1598" spans="1:18" ht="15.75" customHeight="true">
      <c r="A1598" s="107" t="s"/>
      <c r="B1598" s="62" t="s"/>
      <c r="C1598" s="62" t="s"/>
      <c r="D1598" s="62" t="s"/>
      <c r="E1598" s="62" t="s"/>
      <c r="F1598" s="66" t="s"/>
      <c r="G1598" s="66" t="s"/>
      <c r="H1598" s="66" t="s"/>
      <c r="I1598" s="62" t="s"/>
      <c r="J1598" s="62" t="s"/>
      <c r="K1598" s="99" t="s"/>
      <c r="L1598" s="66" t="s"/>
      <c r="M1598" s="66" t="s"/>
      <c r="N1598" s="572" t="s"/>
      <c r="O1598" s="62" t="s"/>
      <c r="P1598" s="62" t="s"/>
      <c r="Q1598" s="62" t="s"/>
      <c r="R1598" s="62" t="s"/>
    </row>
    <row r="1599" spans="1:18" ht="15.75" customHeight="true">
      <c r="A1599" s="107" t="s"/>
      <c r="B1599" s="62" t="s"/>
      <c r="C1599" s="62" t="s"/>
      <c r="D1599" s="62" t="s"/>
      <c r="E1599" s="62" t="s"/>
      <c r="F1599" s="66" t="s"/>
      <c r="G1599" s="66" t="s"/>
      <c r="H1599" s="66" t="s"/>
      <c r="I1599" s="62" t="s"/>
      <c r="J1599" s="62" t="s"/>
      <c r="K1599" s="99" t="s"/>
      <c r="L1599" s="66" t="s"/>
      <c r="M1599" s="66" t="s"/>
      <c r="N1599" s="572" t="s"/>
      <c r="O1599" s="62" t="s"/>
      <c r="P1599" s="62" t="s"/>
      <c r="Q1599" s="62" t="s"/>
      <c r="R1599" s="62" t="s"/>
    </row>
    <row r="1600" spans="1:18" ht="15.75" customHeight="true">
      <c r="A1600" s="107" t="s"/>
      <c r="B1600" s="62" t="s"/>
      <c r="C1600" s="62" t="s"/>
      <c r="D1600" s="62" t="s"/>
      <c r="E1600" s="62" t="s"/>
      <c r="F1600" s="66" t="s"/>
      <c r="G1600" s="66" t="s"/>
      <c r="H1600" s="66" t="s"/>
      <c r="I1600" s="62" t="s"/>
      <c r="J1600" s="62" t="s"/>
      <c r="K1600" s="99" t="s"/>
      <c r="L1600" s="66" t="s"/>
      <c r="M1600" s="66" t="s"/>
      <c r="N1600" s="572" t="s"/>
      <c r="O1600" s="62" t="s"/>
      <c r="P1600" s="62" t="s"/>
      <c r="Q1600" s="62" t="s"/>
      <c r="R1600" s="62" t="s"/>
    </row>
    <row r="1601" spans="1:18" ht="15.75" customHeight="true">
      <c r="A1601" s="107" t="s"/>
      <c r="B1601" s="62" t="s"/>
      <c r="C1601" s="62" t="s"/>
      <c r="D1601" s="62" t="s"/>
      <c r="E1601" s="62" t="s"/>
      <c r="F1601" s="66" t="s"/>
      <c r="G1601" s="66" t="s"/>
      <c r="H1601" s="66" t="s"/>
      <c r="I1601" s="62" t="s"/>
      <c r="J1601" s="62" t="s"/>
      <c r="K1601" s="99" t="s"/>
      <c r="L1601" s="66" t="s"/>
      <c r="M1601" s="66" t="s"/>
      <c r="N1601" s="572" t="s"/>
      <c r="O1601" s="62" t="s"/>
      <c r="P1601" s="62" t="s"/>
      <c r="Q1601" s="62" t="s"/>
      <c r="R1601" s="62" t="s"/>
    </row>
    <row r="1602" spans="1:18" ht="15.75" customHeight="true">
      <c r="A1602" s="107" t="s"/>
      <c r="B1602" s="62" t="s"/>
      <c r="C1602" s="62" t="s"/>
      <c r="D1602" s="62" t="s"/>
      <c r="E1602" s="62" t="s"/>
      <c r="F1602" s="66" t="s"/>
      <c r="G1602" s="66" t="s"/>
      <c r="H1602" s="66" t="s"/>
      <c r="I1602" s="62" t="s"/>
      <c r="J1602" s="62" t="s"/>
      <c r="K1602" s="99" t="s"/>
      <c r="L1602" s="66" t="s"/>
      <c r="M1602" s="66" t="s"/>
      <c r="N1602" s="572" t="s"/>
      <c r="O1602" s="62" t="s"/>
      <c r="P1602" s="62" t="s"/>
      <c r="Q1602" s="62" t="s"/>
      <c r="R1602" s="62" t="s"/>
    </row>
    <row r="1603" spans="1:18" ht="15.75" customHeight="true">
      <c r="A1603" s="107" t="s"/>
      <c r="B1603" s="62" t="s"/>
      <c r="C1603" s="62" t="s"/>
      <c r="D1603" s="62" t="s"/>
      <c r="E1603" s="62" t="s"/>
      <c r="F1603" s="66" t="s"/>
      <c r="G1603" s="66" t="s"/>
      <c r="H1603" s="66" t="s"/>
      <c r="I1603" s="62" t="s"/>
      <c r="J1603" s="62" t="s"/>
      <c r="K1603" s="99" t="s"/>
      <c r="L1603" s="66" t="s"/>
      <c r="M1603" s="66" t="s"/>
      <c r="N1603" s="572" t="s"/>
      <c r="O1603" s="62" t="s"/>
      <c r="P1603" s="62" t="s"/>
      <c r="Q1603" s="62" t="s"/>
      <c r="R1603" s="62" t="s"/>
    </row>
    <row r="1604" spans="1:18" ht="15.75" customHeight="true">
      <c r="A1604" s="107" t="s"/>
      <c r="B1604" s="62" t="s"/>
      <c r="C1604" s="62" t="s"/>
      <c r="D1604" s="62" t="s"/>
      <c r="E1604" s="62" t="s"/>
      <c r="F1604" s="66" t="s"/>
      <c r="G1604" s="66" t="s"/>
      <c r="H1604" s="66" t="s"/>
      <c r="I1604" s="62" t="s"/>
      <c r="J1604" s="62" t="s"/>
      <c r="K1604" s="99" t="s"/>
      <c r="L1604" s="66" t="s"/>
      <c r="M1604" s="66" t="s"/>
      <c r="N1604" s="572" t="s"/>
      <c r="O1604" s="62" t="s"/>
      <c r="P1604" s="62" t="s"/>
      <c r="Q1604" s="62" t="s"/>
      <c r="R1604" s="62" t="s"/>
    </row>
    <row r="1605" spans="1:18" ht="15.75" customHeight="true">
      <c r="A1605" s="107" t="s"/>
      <c r="B1605" s="62" t="s"/>
      <c r="C1605" s="62" t="s"/>
      <c r="D1605" s="62" t="s"/>
      <c r="E1605" s="62" t="s"/>
      <c r="F1605" s="66" t="s"/>
      <c r="G1605" s="66" t="s"/>
      <c r="H1605" s="66" t="s"/>
      <c r="I1605" s="62" t="s"/>
      <c r="J1605" s="62" t="s"/>
      <c r="K1605" s="99" t="s"/>
      <c r="L1605" s="66" t="s"/>
      <c r="M1605" s="66" t="s"/>
      <c r="N1605" s="572" t="s"/>
      <c r="O1605" s="62" t="s"/>
      <c r="P1605" s="62" t="s"/>
      <c r="Q1605" s="62" t="s"/>
      <c r="R1605" s="62" t="s"/>
    </row>
    <row r="1606" spans="1:18" ht="15.75" customHeight="true">
      <c r="A1606" s="107" t="s"/>
      <c r="B1606" s="62" t="s"/>
      <c r="C1606" s="62" t="s"/>
      <c r="D1606" s="62" t="s"/>
      <c r="E1606" s="62" t="s"/>
      <c r="F1606" s="66" t="s"/>
      <c r="G1606" s="66" t="s"/>
      <c r="H1606" s="66" t="s"/>
      <c r="I1606" s="62" t="s"/>
      <c r="J1606" s="62" t="s"/>
      <c r="K1606" s="99" t="s"/>
      <c r="L1606" s="66" t="s"/>
      <c r="M1606" s="66" t="s"/>
      <c r="N1606" s="572" t="s"/>
      <c r="O1606" s="62" t="s"/>
      <c r="P1606" s="62" t="s"/>
      <c r="Q1606" s="62" t="s"/>
      <c r="R1606" s="62" t="s"/>
    </row>
    <row r="1607" spans="1:18" ht="15.75" customHeight="true">
      <c r="A1607" s="107" t="s"/>
      <c r="B1607" s="62" t="s"/>
      <c r="C1607" s="62" t="s"/>
      <c r="D1607" s="62" t="s"/>
      <c r="E1607" s="62" t="s"/>
      <c r="F1607" s="66" t="s"/>
      <c r="G1607" s="66" t="s"/>
      <c r="H1607" s="66" t="s"/>
      <c r="I1607" s="62" t="s"/>
      <c r="J1607" s="62" t="s"/>
      <c r="K1607" s="99" t="s"/>
      <c r="L1607" s="66" t="s"/>
      <c r="M1607" s="66" t="s"/>
      <c r="N1607" s="572" t="s"/>
      <c r="O1607" s="62" t="s"/>
      <c r="P1607" s="62" t="s"/>
      <c r="Q1607" s="62" t="s"/>
      <c r="R1607" s="62" t="s"/>
    </row>
    <row r="1608" spans="1:18" ht="15.75" customHeight="true">
      <c r="A1608" s="107" t="s"/>
      <c r="B1608" s="62" t="s"/>
      <c r="C1608" s="62" t="s"/>
      <c r="D1608" s="62" t="s"/>
      <c r="E1608" s="62" t="s"/>
      <c r="F1608" s="66" t="s"/>
      <c r="G1608" s="66" t="s"/>
      <c r="H1608" s="66" t="s"/>
      <c r="I1608" s="62" t="s"/>
      <c r="J1608" s="62" t="s"/>
      <c r="K1608" s="99" t="s"/>
      <c r="L1608" s="66" t="s"/>
      <c r="M1608" s="66" t="s"/>
      <c r="N1608" s="572" t="s"/>
      <c r="O1608" s="62" t="s"/>
      <c r="P1608" s="62" t="s"/>
      <c r="Q1608" s="62" t="s"/>
      <c r="R1608" s="62" t="s"/>
    </row>
    <row r="1609" spans="1:18" ht="15.75" customHeight="true">
      <c r="A1609" s="107" t="s"/>
      <c r="B1609" s="62" t="s"/>
      <c r="C1609" s="62" t="s"/>
      <c r="D1609" s="62" t="s"/>
      <c r="E1609" s="62" t="s"/>
      <c r="F1609" s="66" t="s"/>
      <c r="G1609" s="66" t="s"/>
      <c r="H1609" s="66" t="s"/>
      <c r="I1609" s="62" t="s"/>
      <c r="J1609" s="62" t="s"/>
      <c r="K1609" s="99" t="s"/>
      <c r="L1609" s="66" t="s"/>
      <c r="M1609" s="66" t="s"/>
      <c r="N1609" s="572" t="s"/>
      <c r="O1609" s="62" t="s"/>
      <c r="P1609" s="62" t="s"/>
      <c r="Q1609" s="62" t="s"/>
      <c r="R1609" s="62" t="s"/>
    </row>
    <row r="1610" spans="1:18" ht="15.75" customHeight="true">
      <c r="A1610" s="107" t="s"/>
      <c r="B1610" s="62" t="s"/>
      <c r="C1610" s="62" t="s"/>
      <c r="D1610" s="62" t="s"/>
      <c r="E1610" s="62" t="s"/>
      <c r="F1610" s="66" t="s"/>
      <c r="G1610" s="66" t="s"/>
      <c r="H1610" s="66" t="s"/>
      <c r="I1610" s="62" t="s"/>
      <c r="J1610" s="62" t="s"/>
      <c r="K1610" s="99" t="s"/>
      <c r="L1610" s="66" t="s"/>
      <c r="M1610" s="66" t="s"/>
      <c r="N1610" s="572" t="s"/>
      <c r="O1610" s="62" t="s"/>
      <c r="P1610" s="62" t="s"/>
      <c r="Q1610" s="62" t="s"/>
      <c r="R1610" s="62" t="s"/>
    </row>
    <row r="1611" spans="1:18" ht="15.75" customHeight="true">
      <c r="A1611" s="107" t="s"/>
      <c r="B1611" s="62" t="s"/>
      <c r="C1611" s="62" t="s"/>
      <c r="D1611" s="62" t="s"/>
      <c r="E1611" s="62" t="s"/>
      <c r="F1611" s="66" t="s"/>
      <c r="G1611" s="66" t="s"/>
      <c r="H1611" s="66" t="s"/>
      <c r="I1611" s="62" t="s"/>
      <c r="J1611" s="62" t="s"/>
      <c r="K1611" s="99" t="s"/>
      <c r="L1611" s="66" t="s"/>
      <c r="M1611" s="66" t="s"/>
      <c r="N1611" s="572" t="s"/>
      <c r="O1611" s="62" t="s"/>
      <c r="P1611" s="62" t="s"/>
      <c r="Q1611" s="62" t="s"/>
      <c r="R1611" s="62" t="s"/>
    </row>
    <row r="1612" spans="1:18" ht="15.75" customHeight="true">
      <c r="A1612" s="107" t="s"/>
      <c r="B1612" s="62" t="s"/>
      <c r="C1612" s="62" t="s"/>
      <c r="D1612" s="62" t="s"/>
      <c r="E1612" s="62" t="s"/>
      <c r="F1612" s="66" t="s"/>
      <c r="G1612" s="66" t="s"/>
      <c r="H1612" s="66" t="s"/>
      <c r="I1612" s="62" t="s"/>
      <c r="J1612" s="62" t="s"/>
      <c r="K1612" s="99" t="s"/>
      <c r="L1612" s="66" t="s"/>
      <c r="M1612" s="66" t="s"/>
      <c r="N1612" s="572" t="s"/>
      <c r="O1612" s="62" t="s"/>
      <c r="P1612" s="62" t="s"/>
      <c r="Q1612" s="62" t="s"/>
      <c r="R1612" s="62" t="s"/>
    </row>
    <row r="1613" spans="1:18" ht="15.75" customHeight="true">
      <c r="A1613" s="107" t="s"/>
      <c r="B1613" s="62" t="s"/>
      <c r="C1613" s="62" t="s"/>
      <c r="D1613" s="62" t="s"/>
      <c r="E1613" s="62" t="s"/>
      <c r="F1613" s="66" t="s"/>
      <c r="G1613" s="66" t="s"/>
      <c r="H1613" s="66" t="s"/>
      <c r="I1613" s="62" t="s"/>
      <c r="J1613" s="62" t="s"/>
      <c r="K1613" s="99" t="s"/>
      <c r="L1613" s="66" t="s"/>
      <c r="M1613" s="66" t="s"/>
      <c r="N1613" s="572" t="s"/>
      <c r="O1613" s="62" t="s"/>
      <c r="P1613" s="62" t="s"/>
      <c r="Q1613" s="62" t="s"/>
      <c r="R1613" s="62" t="s"/>
    </row>
    <row r="1614" spans="1:18" ht="15.75" customHeight="true">
      <c r="A1614" s="107" t="s"/>
      <c r="B1614" s="62" t="s"/>
      <c r="C1614" s="62" t="s"/>
      <c r="D1614" s="62" t="s"/>
      <c r="E1614" s="62" t="s"/>
      <c r="F1614" s="66" t="s"/>
      <c r="G1614" s="66" t="s"/>
      <c r="H1614" s="66" t="s"/>
      <c r="I1614" s="62" t="s"/>
      <c r="J1614" s="62" t="s"/>
      <c r="K1614" s="99" t="s"/>
      <c r="L1614" s="66" t="s"/>
      <c r="M1614" s="66" t="s"/>
      <c r="N1614" s="572" t="s"/>
      <c r="O1614" s="62" t="s"/>
      <c r="P1614" s="62" t="s"/>
      <c r="Q1614" s="62" t="s"/>
      <c r="R1614" s="62" t="s"/>
    </row>
    <row r="1615" spans="1:18" ht="15.75" customHeight="true">
      <c r="A1615" s="107" t="s"/>
      <c r="B1615" s="62" t="s"/>
      <c r="C1615" s="62" t="s"/>
      <c r="D1615" s="62" t="s"/>
      <c r="E1615" s="62" t="s"/>
      <c r="F1615" s="66" t="s"/>
      <c r="G1615" s="66" t="s"/>
      <c r="H1615" s="66" t="s"/>
      <c r="I1615" s="62" t="s"/>
      <c r="J1615" s="62" t="s"/>
      <c r="K1615" s="99" t="s"/>
      <c r="L1615" s="66" t="s"/>
      <c r="M1615" s="66" t="s"/>
      <c r="N1615" s="572" t="s"/>
      <c r="O1615" s="62" t="s"/>
      <c r="P1615" s="62" t="s"/>
      <c r="Q1615" s="62" t="s"/>
      <c r="R1615" s="62" t="s"/>
    </row>
    <row r="1616" spans="1:18" ht="15.75" customHeight="true">
      <c r="A1616" s="107" t="s"/>
      <c r="B1616" s="62" t="s"/>
      <c r="C1616" s="62" t="s"/>
      <c r="D1616" s="62" t="s"/>
      <c r="E1616" s="62" t="s"/>
      <c r="F1616" s="66" t="s"/>
      <c r="G1616" s="66" t="s"/>
      <c r="H1616" s="66" t="s"/>
      <c r="I1616" s="62" t="s"/>
      <c r="J1616" s="62" t="s"/>
      <c r="K1616" s="99" t="s"/>
      <c r="L1616" s="66" t="s"/>
      <c r="M1616" s="66" t="s"/>
      <c r="N1616" s="572" t="s"/>
      <c r="O1616" s="62" t="s"/>
      <c r="P1616" s="62" t="s"/>
      <c r="Q1616" s="62" t="s"/>
      <c r="R1616" s="62" t="s"/>
    </row>
    <row r="1617" spans="1:18" ht="15.75" customHeight="true">
      <c r="A1617" s="107" t="s"/>
      <c r="B1617" s="62" t="s"/>
      <c r="C1617" s="62" t="s"/>
      <c r="D1617" s="62" t="s"/>
      <c r="E1617" s="62" t="s"/>
      <c r="F1617" s="66" t="s"/>
      <c r="G1617" s="66" t="s"/>
      <c r="H1617" s="66" t="s"/>
      <c r="I1617" s="62" t="s"/>
      <c r="J1617" s="62" t="s"/>
      <c r="K1617" s="99" t="s"/>
      <c r="L1617" s="66" t="s"/>
      <c r="M1617" s="66" t="s"/>
      <c r="N1617" s="572" t="s"/>
      <c r="O1617" s="62" t="s"/>
      <c r="P1617" s="62" t="s"/>
      <c r="Q1617" s="62" t="s"/>
      <c r="R1617" s="62" t="s"/>
    </row>
    <row r="1618" spans="1:18" ht="15.75" customHeight="true">
      <c r="A1618" s="107" t="s"/>
      <c r="B1618" s="62" t="s"/>
      <c r="C1618" s="62" t="s"/>
      <c r="D1618" s="62" t="s"/>
      <c r="E1618" s="62" t="s"/>
      <c r="F1618" s="66" t="s"/>
      <c r="G1618" s="66" t="s"/>
      <c r="H1618" s="66" t="s"/>
      <c r="I1618" s="62" t="s"/>
      <c r="J1618" s="62" t="s"/>
      <c r="K1618" s="99" t="s"/>
      <c r="L1618" s="66" t="s"/>
      <c r="M1618" s="66" t="s"/>
      <c r="N1618" s="572" t="s"/>
      <c r="O1618" s="62" t="s"/>
      <c r="P1618" s="62" t="s"/>
      <c r="Q1618" s="62" t="s"/>
      <c r="R1618" s="62" t="s"/>
    </row>
    <row r="1619" spans="1:18" ht="15.75" customHeight="true">
      <c r="A1619" s="107" t="s"/>
      <c r="B1619" s="62" t="s"/>
      <c r="C1619" s="62" t="s"/>
      <c r="D1619" s="62" t="s"/>
      <c r="E1619" s="62" t="s"/>
      <c r="F1619" s="66" t="s"/>
      <c r="G1619" s="66" t="s"/>
      <c r="H1619" s="66" t="s"/>
      <c r="I1619" s="62" t="s"/>
      <c r="J1619" s="62" t="s"/>
      <c r="K1619" s="99" t="s"/>
      <c r="L1619" s="66" t="s"/>
      <c r="M1619" s="66" t="s"/>
      <c r="N1619" s="572" t="s"/>
      <c r="O1619" s="62" t="s"/>
      <c r="P1619" s="62" t="s"/>
      <c r="Q1619" s="62" t="s"/>
      <c r="R1619" s="62" t="s"/>
    </row>
    <row r="1620" spans="1:18" ht="15.75" customHeight="true">
      <c r="A1620" s="107" t="s"/>
      <c r="B1620" s="62" t="s"/>
      <c r="C1620" s="62" t="s"/>
      <c r="D1620" s="62" t="s"/>
      <c r="E1620" s="62" t="s"/>
      <c r="F1620" s="66" t="s"/>
      <c r="G1620" s="66" t="s"/>
      <c r="H1620" s="66" t="s"/>
      <c r="I1620" s="62" t="s"/>
      <c r="J1620" s="62" t="s"/>
      <c r="K1620" s="99" t="s"/>
      <c r="L1620" s="66" t="s"/>
      <c r="M1620" s="66" t="s"/>
      <c r="N1620" s="572" t="s"/>
      <c r="O1620" s="62" t="s"/>
      <c r="P1620" s="62" t="s"/>
      <c r="Q1620" s="62" t="s"/>
      <c r="R1620" s="62" t="s"/>
    </row>
    <row r="1621" spans="1:18" ht="15.75" customHeight="true">
      <c r="A1621" s="107" t="s"/>
      <c r="B1621" s="62" t="s"/>
      <c r="C1621" s="62" t="s"/>
      <c r="D1621" s="62" t="s"/>
      <c r="E1621" s="62" t="s"/>
      <c r="F1621" s="66" t="s"/>
      <c r="G1621" s="66" t="s"/>
      <c r="H1621" s="66" t="s"/>
      <c r="I1621" s="62" t="s"/>
      <c r="J1621" s="62" t="s"/>
      <c r="K1621" s="99" t="s"/>
      <c r="L1621" s="66" t="s"/>
      <c r="M1621" s="66" t="s"/>
      <c r="N1621" s="572" t="s"/>
      <c r="O1621" s="62" t="s"/>
      <c r="P1621" s="62" t="s"/>
      <c r="Q1621" s="62" t="s"/>
      <c r="R1621" s="62" t="s"/>
    </row>
    <row r="1622" spans="1:18" ht="15.75" customHeight="true">
      <c r="A1622" s="107" t="s"/>
      <c r="B1622" s="62" t="s"/>
      <c r="C1622" s="62" t="s"/>
      <c r="D1622" s="62" t="s"/>
      <c r="E1622" s="62" t="s"/>
      <c r="F1622" s="66" t="s"/>
      <c r="G1622" s="66" t="s"/>
      <c r="H1622" s="66" t="s"/>
      <c r="I1622" s="62" t="s"/>
      <c r="J1622" s="62" t="s"/>
      <c r="K1622" s="99" t="s"/>
      <c r="L1622" s="66" t="s"/>
      <c r="M1622" s="66" t="s"/>
      <c r="N1622" s="572" t="s"/>
      <c r="O1622" s="62" t="s"/>
      <c r="P1622" s="62" t="s"/>
      <c r="Q1622" s="62" t="s"/>
      <c r="R1622" s="62" t="s"/>
    </row>
    <row r="1623" spans="1:18" ht="15.75" customHeight="true">
      <c r="A1623" s="107" t="s"/>
      <c r="B1623" s="62" t="s"/>
      <c r="C1623" s="62" t="s"/>
      <c r="D1623" s="62" t="s"/>
      <c r="E1623" s="62" t="s"/>
      <c r="F1623" s="66" t="s"/>
      <c r="G1623" s="66" t="s"/>
      <c r="H1623" s="66" t="s"/>
      <c r="I1623" s="62" t="s"/>
      <c r="J1623" s="62" t="s"/>
      <c r="K1623" s="99" t="s"/>
      <c r="L1623" s="66" t="s"/>
      <c r="M1623" s="66" t="s"/>
      <c r="N1623" s="572" t="s"/>
      <c r="O1623" s="62" t="s"/>
      <c r="P1623" s="62" t="s"/>
      <c r="Q1623" s="62" t="s"/>
      <c r="R1623" s="62" t="s"/>
    </row>
    <row r="1624" spans="1:18" ht="15.75" customHeight="true">
      <c r="A1624" s="107" t="s"/>
      <c r="B1624" s="62" t="s"/>
      <c r="C1624" s="62" t="s"/>
      <c r="D1624" s="62" t="s"/>
      <c r="E1624" s="62" t="s"/>
      <c r="F1624" s="66" t="s"/>
      <c r="G1624" s="66" t="s"/>
      <c r="H1624" s="66" t="s"/>
      <c r="I1624" s="62" t="s"/>
      <c r="J1624" s="62" t="s"/>
      <c r="K1624" s="99" t="s"/>
      <c r="L1624" s="66" t="s"/>
      <c r="M1624" s="66" t="s"/>
      <c r="N1624" s="572" t="s"/>
      <c r="O1624" s="62" t="s"/>
      <c r="P1624" s="62" t="s"/>
      <c r="Q1624" s="62" t="s"/>
      <c r="R1624" s="62" t="s"/>
    </row>
    <row r="1625" spans="1:18" ht="15.75" customHeight="true">
      <c r="A1625" s="107" t="s"/>
      <c r="B1625" s="62" t="s"/>
      <c r="C1625" s="62" t="s"/>
      <c r="D1625" s="62" t="s"/>
      <c r="E1625" s="62" t="s"/>
      <c r="F1625" s="66" t="s"/>
      <c r="G1625" s="66" t="s"/>
      <c r="H1625" s="66" t="s"/>
      <c r="I1625" s="62" t="s"/>
      <c r="J1625" s="62" t="s"/>
      <c r="K1625" s="99" t="s"/>
      <c r="L1625" s="66" t="s"/>
      <c r="M1625" s="66" t="s"/>
      <c r="N1625" s="572" t="s"/>
      <c r="O1625" s="62" t="s"/>
      <c r="P1625" s="62" t="s"/>
      <c r="Q1625" s="62" t="s"/>
      <c r="R1625" s="62" t="s"/>
    </row>
    <row r="1626" spans="1:18" ht="15.75" customHeight="true">
      <c r="A1626" s="107" t="s"/>
      <c r="B1626" s="62" t="s"/>
      <c r="C1626" s="62" t="s"/>
      <c r="D1626" s="62" t="s"/>
      <c r="E1626" s="62" t="s"/>
      <c r="F1626" s="66" t="s"/>
      <c r="G1626" s="66" t="s"/>
      <c r="H1626" s="66" t="s"/>
      <c r="I1626" s="62" t="s"/>
      <c r="J1626" s="62" t="s"/>
      <c r="K1626" s="99" t="s"/>
      <c r="L1626" s="66" t="s"/>
      <c r="M1626" s="66" t="s"/>
      <c r="N1626" s="572" t="s"/>
      <c r="O1626" s="62" t="s"/>
      <c r="P1626" s="62" t="s"/>
      <c r="Q1626" s="62" t="s"/>
      <c r="R1626" s="62" t="s"/>
    </row>
    <row r="1627" spans="1:18" ht="15.75" customHeight="true">
      <c r="A1627" s="107" t="s"/>
      <c r="B1627" s="62" t="s"/>
      <c r="C1627" s="62" t="s"/>
      <c r="D1627" s="62" t="s"/>
      <c r="E1627" s="62" t="s"/>
      <c r="F1627" s="66" t="s"/>
      <c r="G1627" s="66" t="s"/>
      <c r="H1627" s="66" t="s"/>
      <c r="I1627" s="62" t="s"/>
      <c r="J1627" s="62" t="s"/>
      <c r="K1627" s="99" t="s"/>
      <c r="L1627" s="66" t="s"/>
      <c r="M1627" s="66" t="s"/>
      <c r="N1627" s="572" t="s"/>
      <c r="O1627" s="62" t="s"/>
      <c r="P1627" s="62" t="s"/>
      <c r="Q1627" s="62" t="s"/>
      <c r="R1627" s="62" t="s"/>
    </row>
    <row r="1628" spans="1:18" ht="15.75" customHeight="true">
      <c r="A1628" s="107" t="s"/>
      <c r="B1628" s="62" t="s"/>
      <c r="C1628" s="62" t="s"/>
      <c r="D1628" s="62" t="s"/>
      <c r="E1628" s="62" t="s"/>
      <c r="F1628" s="66" t="s"/>
      <c r="G1628" s="66" t="s"/>
      <c r="H1628" s="66" t="s"/>
      <c r="I1628" s="62" t="s"/>
      <c r="J1628" s="62" t="s"/>
      <c r="K1628" s="99" t="s"/>
      <c r="L1628" s="66" t="s"/>
      <c r="M1628" s="66" t="s"/>
      <c r="N1628" s="572" t="s"/>
      <c r="O1628" s="62" t="s"/>
      <c r="P1628" s="62" t="s"/>
      <c r="Q1628" s="62" t="s"/>
      <c r="R1628" s="62" t="s"/>
    </row>
    <row r="1629" spans="1:18" ht="15.75" customHeight="true">
      <c r="A1629" s="107" t="s"/>
      <c r="B1629" s="62" t="s"/>
      <c r="C1629" s="62" t="s"/>
      <c r="D1629" s="62" t="s"/>
      <c r="E1629" s="62" t="s"/>
      <c r="F1629" s="66" t="s"/>
      <c r="G1629" s="66" t="s"/>
      <c r="H1629" s="66" t="s"/>
      <c r="I1629" s="62" t="s"/>
      <c r="J1629" s="62" t="s"/>
      <c r="K1629" s="99" t="s"/>
      <c r="L1629" s="66" t="s"/>
      <c r="M1629" s="66" t="s"/>
      <c r="N1629" s="572" t="s"/>
      <c r="O1629" s="62" t="s"/>
      <c r="P1629" s="62" t="s"/>
      <c r="Q1629" s="62" t="s"/>
      <c r="R1629" s="62" t="s"/>
    </row>
    <row r="1630" spans="1:18" ht="15.75" customHeight="true">
      <c r="A1630" s="107" t="s"/>
      <c r="B1630" s="62" t="s"/>
      <c r="C1630" s="62" t="s"/>
      <c r="D1630" s="62" t="s"/>
      <c r="E1630" s="62" t="s"/>
      <c r="F1630" s="66" t="s"/>
      <c r="G1630" s="66" t="s"/>
      <c r="H1630" s="66" t="s"/>
      <c r="I1630" s="62" t="s"/>
      <c r="J1630" s="62" t="s"/>
      <c r="K1630" s="99" t="s"/>
      <c r="L1630" s="66" t="s"/>
      <c r="M1630" s="66" t="s"/>
      <c r="N1630" s="572" t="s"/>
      <c r="O1630" s="62" t="s"/>
      <c r="P1630" s="62" t="s"/>
      <c r="Q1630" s="62" t="s"/>
      <c r="R1630" s="62" t="s"/>
    </row>
    <row r="1631" spans="1:18" ht="15.75" customHeight="true">
      <c r="A1631" s="107" t="s"/>
      <c r="B1631" s="62" t="s"/>
      <c r="C1631" s="62" t="s"/>
      <c r="D1631" s="62" t="s"/>
      <c r="E1631" s="62" t="s"/>
      <c r="F1631" s="66" t="s"/>
      <c r="G1631" s="66" t="s"/>
      <c r="H1631" s="66" t="s"/>
      <c r="I1631" s="62" t="s"/>
      <c r="J1631" s="62" t="s"/>
      <c r="K1631" s="99" t="s"/>
      <c r="L1631" s="66" t="s"/>
      <c r="M1631" s="66" t="s"/>
      <c r="N1631" s="572" t="s"/>
      <c r="O1631" s="62" t="s"/>
      <c r="P1631" s="62" t="s"/>
      <c r="Q1631" s="62" t="s"/>
      <c r="R1631" s="62" t="s"/>
    </row>
    <row r="1632" spans="1:18" ht="15.75" customHeight="true">
      <c r="A1632" s="107" t="s"/>
      <c r="B1632" s="62" t="s"/>
      <c r="C1632" s="62" t="s"/>
      <c r="D1632" s="62" t="s"/>
      <c r="E1632" s="62" t="s"/>
      <c r="F1632" s="66" t="s"/>
      <c r="G1632" s="66" t="s"/>
      <c r="H1632" s="66" t="s"/>
      <c r="I1632" s="62" t="s"/>
      <c r="J1632" s="62" t="s"/>
      <c r="K1632" s="99" t="s"/>
      <c r="L1632" s="66" t="s"/>
      <c r="M1632" s="66" t="s"/>
      <c r="N1632" s="572" t="s"/>
      <c r="O1632" s="62" t="s"/>
      <c r="P1632" s="62" t="s"/>
      <c r="Q1632" s="62" t="s"/>
      <c r="R1632" s="62" t="s"/>
    </row>
    <row r="1633" spans="1:18" ht="15.75" customHeight="true">
      <c r="A1633" s="107" t="s"/>
      <c r="B1633" s="62" t="s"/>
      <c r="C1633" s="62" t="s"/>
      <c r="D1633" s="62" t="s"/>
      <c r="E1633" s="62" t="s"/>
      <c r="F1633" s="66" t="s"/>
      <c r="G1633" s="66" t="s"/>
      <c r="H1633" s="66" t="s"/>
      <c r="I1633" s="62" t="s"/>
      <c r="J1633" s="62" t="s"/>
      <c r="K1633" s="99" t="s"/>
      <c r="L1633" s="66" t="s"/>
      <c r="M1633" s="66" t="s"/>
      <c r="N1633" s="572" t="s"/>
      <c r="O1633" s="62" t="s"/>
      <c r="P1633" s="62" t="s"/>
      <c r="Q1633" s="62" t="s"/>
      <c r="R1633" s="62" t="s"/>
    </row>
    <row r="1634" spans="1:18" ht="15.75" customHeight="true">
      <c r="A1634" s="107" t="s"/>
      <c r="B1634" s="62" t="s"/>
      <c r="C1634" s="62" t="s"/>
      <c r="D1634" s="62" t="s"/>
      <c r="E1634" s="62" t="s"/>
      <c r="F1634" s="66" t="s"/>
      <c r="G1634" s="66" t="s"/>
      <c r="H1634" s="66" t="s"/>
      <c r="I1634" s="62" t="s"/>
      <c r="J1634" s="62" t="s"/>
      <c r="K1634" s="99" t="s"/>
      <c r="L1634" s="66" t="s"/>
      <c r="M1634" s="66" t="s"/>
      <c r="N1634" s="572" t="s"/>
      <c r="O1634" s="62" t="s"/>
      <c r="P1634" s="62" t="s"/>
      <c r="Q1634" s="62" t="s"/>
      <c r="R1634" s="62" t="s"/>
    </row>
    <row r="1635" spans="1:18" ht="15.75" customHeight="true">
      <c r="A1635" s="107" t="s"/>
      <c r="B1635" s="62" t="s"/>
      <c r="C1635" s="62" t="s"/>
      <c r="D1635" s="62" t="s"/>
      <c r="E1635" s="62" t="s"/>
      <c r="F1635" s="66" t="s"/>
      <c r="G1635" s="66" t="s"/>
      <c r="H1635" s="66" t="s"/>
      <c r="I1635" s="62" t="s"/>
      <c r="J1635" s="62" t="s"/>
      <c r="K1635" s="99" t="s"/>
      <c r="L1635" s="66" t="s"/>
      <c r="M1635" s="66" t="s"/>
      <c r="N1635" s="572" t="s"/>
      <c r="O1635" s="62" t="s"/>
      <c r="P1635" s="62" t="s"/>
      <c r="Q1635" s="62" t="s"/>
      <c r="R1635" s="62" t="s"/>
    </row>
    <row r="1636" spans="1:18" ht="15.75" customHeight="true">
      <c r="A1636" s="107" t="s"/>
      <c r="B1636" s="62" t="s"/>
      <c r="C1636" s="62" t="s"/>
      <c r="D1636" s="62" t="s"/>
      <c r="E1636" s="62" t="s"/>
      <c r="F1636" s="66" t="s"/>
      <c r="G1636" s="66" t="s"/>
      <c r="H1636" s="66" t="s"/>
      <c r="I1636" s="62" t="s"/>
      <c r="J1636" s="62" t="s"/>
      <c r="K1636" s="99" t="s"/>
      <c r="L1636" s="66" t="s"/>
      <c r="M1636" s="66" t="s"/>
      <c r="N1636" s="572" t="s"/>
      <c r="O1636" s="62" t="s"/>
      <c r="P1636" s="62" t="s"/>
      <c r="Q1636" s="62" t="s"/>
      <c r="R1636" s="62" t="s"/>
    </row>
    <row r="1637" spans="1:18" ht="15.75" customHeight="true">
      <c r="A1637" s="107" t="s"/>
      <c r="B1637" s="62" t="s"/>
      <c r="C1637" s="62" t="s"/>
      <c r="D1637" s="62" t="s"/>
      <c r="E1637" s="62" t="s"/>
      <c r="F1637" s="66" t="s"/>
      <c r="G1637" s="66" t="s"/>
      <c r="H1637" s="66" t="s"/>
      <c r="I1637" s="62" t="s"/>
      <c r="J1637" s="62" t="s"/>
      <c r="K1637" s="99" t="s"/>
      <c r="L1637" s="66" t="s"/>
      <c r="M1637" s="66" t="s"/>
      <c r="N1637" s="572" t="s"/>
      <c r="O1637" s="62" t="s"/>
      <c r="P1637" s="62" t="s"/>
      <c r="Q1637" s="62" t="s"/>
      <c r="R1637" s="62" t="s"/>
    </row>
    <row r="1638" spans="1:18" ht="15.75" customHeight="true">
      <c r="A1638" s="107" t="s"/>
      <c r="B1638" s="62" t="s"/>
      <c r="C1638" s="62" t="s"/>
      <c r="D1638" s="62" t="s"/>
      <c r="E1638" s="62" t="s"/>
      <c r="F1638" s="66" t="s"/>
      <c r="G1638" s="66" t="s"/>
      <c r="H1638" s="66" t="s"/>
      <c r="I1638" s="62" t="s"/>
      <c r="J1638" s="62" t="s"/>
      <c r="K1638" s="99" t="s"/>
      <c r="L1638" s="66" t="s"/>
      <c r="M1638" s="66" t="s"/>
      <c r="N1638" s="572" t="s"/>
      <c r="O1638" s="62" t="s"/>
      <c r="P1638" s="62" t="s"/>
      <c r="Q1638" s="62" t="s"/>
      <c r="R1638" s="62" t="s"/>
    </row>
    <row r="1639" spans="1:18" ht="15.75" customHeight="true">
      <c r="A1639" s="107" t="s"/>
      <c r="B1639" s="62" t="s"/>
      <c r="C1639" s="62" t="s"/>
      <c r="D1639" s="62" t="s"/>
      <c r="E1639" s="62" t="s"/>
      <c r="F1639" s="66" t="s"/>
      <c r="G1639" s="66" t="s"/>
      <c r="H1639" s="66" t="s"/>
      <c r="I1639" s="62" t="s"/>
      <c r="J1639" s="62" t="s"/>
      <c r="K1639" s="99" t="s"/>
      <c r="L1639" s="66" t="s"/>
      <c r="M1639" s="66" t="s"/>
      <c r="N1639" s="572" t="s"/>
      <c r="O1639" s="62" t="s"/>
      <c r="P1639" s="62" t="s"/>
      <c r="Q1639" s="62" t="s"/>
      <c r="R1639" s="62" t="s"/>
    </row>
    <row r="1640" spans="1:18" ht="15.75" customHeight="true">
      <c r="A1640" s="107" t="s"/>
      <c r="B1640" s="62" t="s"/>
      <c r="C1640" s="62" t="s"/>
      <c r="D1640" s="62" t="s"/>
      <c r="E1640" s="62" t="s"/>
      <c r="F1640" s="66" t="s"/>
      <c r="G1640" s="66" t="s"/>
      <c r="H1640" s="66" t="s"/>
      <c r="I1640" s="62" t="s"/>
      <c r="J1640" s="62" t="s"/>
      <c r="K1640" s="99" t="s"/>
      <c r="L1640" s="66" t="s"/>
      <c r="M1640" s="66" t="s"/>
      <c r="N1640" s="572" t="s"/>
      <c r="O1640" s="62" t="s"/>
      <c r="P1640" s="62" t="s"/>
      <c r="Q1640" s="62" t="s"/>
      <c r="R1640" s="62" t="s"/>
    </row>
    <row r="1641" spans="1:18" ht="15.75" customHeight="true">
      <c r="A1641" s="107" t="s"/>
      <c r="B1641" s="62" t="s"/>
      <c r="C1641" s="62" t="s"/>
      <c r="D1641" s="62" t="s"/>
      <c r="E1641" s="62" t="s"/>
      <c r="F1641" s="66" t="s"/>
      <c r="G1641" s="66" t="s"/>
      <c r="H1641" s="66" t="s"/>
      <c r="I1641" s="62" t="s"/>
      <c r="J1641" s="62" t="s"/>
      <c r="K1641" s="99" t="s"/>
      <c r="L1641" s="66" t="s"/>
      <c r="M1641" s="66" t="s"/>
      <c r="N1641" s="572" t="s"/>
      <c r="O1641" s="62" t="s"/>
      <c r="P1641" s="62" t="s"/>
      <c r="Q1641" s="62" t="s"/>
      <c r="R1641" s="62" t="s"/>
    </row>
    <row r="1642" spans="1:18" ht="15.75" customHeight="true">
      <c r="A1642" s="107" t="s"/>
      <c r="B1642" s="62" t="s"/>
      <c r="C1642" s="62" t="s"/>
      <c r="D1642" s="62" t="s"/>
      <c r="E1642" s="62" t="s"/>
      <c r="F1642" s="66" t="s"/>
      <c r="G1642" s="66" t="s"/>
      <c r="H1642" s="66" t="s"/>
      <c r="I1642" s="62" t="s"/>
      <c r="J1642" s="62" t="s"/>
      <c r="K1642" s="99" t="s"/>
      <c r="L1642" s="66" t="s"/>
      <c r="M1642" s="66" t="s"/>
      <c r="N1642" s="572" t="s"/>
      <c r="O1642" s="62" t="s"/>
      <c r="P1642" s="62" t="s"/>
      <c r="Q1642" s="62" t="s"/>
      <c r="R1642" s="62" t="s"/>
    </row>
    <row r="1643" spans="1:18" ht="15.75" customHeight="true">
      <c r="A1643" s="107" t="s"/>
      <c r="B1643" s="62" t="s"/>
      <c r="C1643" s="62" t="s"/>
      <c r="D1643" s="62" t="s"/>
      <c r="E1643" s="62" t="s"/>
      <c r="F1643" s="66" t="s"/>
      <c r="G1643" s="66" t="s"/>
      <c r="H1643" s="66" t="s"/>
      <c r="I1643" s="62" t="s"/>
      <c r="J1643" s="62" t="s"/>
      <c r="K1643" s="99" t="s"/>
      <c r="L1643" s="66" t="s"/>
      <c r="M1643" s="66" t="s"/>
      <c r="N1643" s="572" t="s"/>
      <c r="O1643" s="62" t="s"/>
      <c r="P1643" s="62" t="s"/>
      <c r="Q1643" s="62" t="s"/>
      <c r="R1643" s="62" t="s"/>
    </row>
    <row r="1644" spans="1:18" ht="15.75" customHeight="true">
      <c r="A1644" s="107" t="s"/>
      <c r="B1644" s="62" t="s"/>
      <c r="C1644" s="62" t="s"/>
      <c r="D1644" s="62" t="s"/>
      <c r="E1644" s="62" t="s"/>
      <c r="F1644" s="66" t="s"/>
      <c r="G1644" s="66" t="s"/>
      <c r="H1644" s="66" t="s"/>
      <c r="I1644" s="62" t="s"/>
      <c r="J1644" s="62" t="s"/>
      <c r="K1644" s="99" t="s"/>
      <c r="L1644" s="66" t="s"/>
      <c r="M1644" s="66" t="s"/>
      <c r="N1644" s="572" t="s"/>
      <c r="O1644" s="62" t="s"/>
      <c r="P1644" s="62" t="s"/>
      <c r="Q1644" s="62" t="s"/>
      <c r="R1644" s="62" t="s"/>
    </row>
    <row r="1645" spans="1:18" ht="15.75" customHeight="true">
      <c r="A1645" s="107" t="s"/>
      <c r="B1645" s="62" t="s"/>
      <c r="C1645" s="62" t="s"/>
      <c r="D1645" s="62" t="s"/>
      <c r="E1645" s="62" t="s"/>
      <c r="F1645" s="66" t="s"/>
      <c r="G1645" s="66" t="s"/>
      <c r="H1645" s="66" t="s"/>
      <c r="I1645" s="62" t="s"/>
      <c r="J1645" s="62" t="s"/>
      <c r="K1645" s="99" t="s"/>
      <c r="L1645" s="66" t="s"/>
      <c r="M1645" s="66" t="s"/>
      <c r="N1645" s="572" t="s"/>
      <c r="O1645" s="62" t="s"/>
      <c r="P1645" s="62" t="s"/>
      <c r="Q1645" s="62" t="s"/>
      <c r="R1645" s="62" t="s"/>
    </row>
    <row r="1646" spans="1:18" ht="15.75" customHeight="true">
      <c r="A1646" s="107" t="s"/>
      <c r="B1646" s="62" t="s"/>
      <c r="C1646" s="62" t="s"/>
      <c r="D1646" s="62" t="s"/>
      <c r="E1646" s="62" t="s"/>
      <c r="F1646" s="66" t="s"/>
      <c r="G1646" s="66" t="s"/>
      <c r="H1646" s="66" t="s"/>
      <c r="I1646" s="62" t="s"/>
      <c r="J1646" s="62" t="s"/>
      <c r="K1646" s="99" t="s"/>
      <c r="L1646" s="66" t="s"/>
      <c r="M1646" s="66" t="s"/>
      <c r="N1646" s="572" t="s"/>
      <c r="O1646" s="62" t="s"/>
      <c r="P1646" s="62" t="s"/>
      <c r="Q1646" s="62" t="s"/>
      <c r="R1646" s="62" t="s"/>
    </row>
    <row r="1647" spans="1:18" ht="15.75" customHeight="true">
      <c r="A1647" s="107" t="s"/>
      <c r="B1647" s="62" t="s"/>
      <c r="C1647" s="62" t="s"/>
      <c r="D1647" s="62" t="s"/>
      <c r="E1647" s="62" t="s"/>
      <c r="F1647" s="66" t="s"/>
      <c r="G1647" s="66" t="s"/>
      <c r="H1647" s="66" t="s"/>
      <c r="I1647" s="62" t="s"/>
      <c r="J1647" s="62" t="s"/>
      <c r="K1647" s="99" t="s"/>
      <c r="L1647" s="66" t="s"/>
      <c r="M1647" s="66" t="s"/>
      <c r="N1647" s="572" t="s"/>
      <c r="O1647" s="62" t="s"/>
      <c r="P1647" s="62" t="s"/>
      <c r="Q1647" s="62" t="s"/>
      <c r="R1647" s="62" t="s"/>
    </row>
    <row r="1648" spans="1:18" ht="15.75" customHeight="true">
      <c r="A1648" s="107" t="s"/>
      <c r="B1648" s="62" t="s"/>
      <c r="C1648" s="62" t="s"/>
      <c r="D1648" s="62" t="s"/>
      <c r="E1648" s="62" t="s"/>
      <c r="F1648" s="66" t="s"/>
      <c r="G1648" s="66" t="s"/>
      <c r="H1648" s="66" t="s"/>
      <c r="I1648" s="62" t="s"/>
      <c r="J1648" s="62" t="s"/>
      <c r="K1648" s="99" t="s"/>
      <c r="L1648" s="66" t="s"/>
      <c r="M1648" s="66" t="s"/>
      <c r="N1648" s="572" t="s"/>
      <c r="O1648" s="62" t="s"/>
      <c r="P1648" s="62" t="s"/>
      <c r="Q1648" s="62" t="s"/>
      <c r="R1648" s="62" t="s"/>
    </row>
    <row r="1649" spans="1:18" ht="15.75" customHeight="true">
      <c r="A1649" s="107" t="s"/>
      <c r="B1649" s="62" t="s"/>
      <c r="C1649" s="62" t="s"/>
      <c r="D1649" s="62" t="s"/>
      <c r="E1649" s="62" t="s"/>
      <c r="F1649" s="66" t="s"/>
      <c r="G1649" s="66" t="s"/>
      <c r="H1649" s="66" t="s"/>
      <c r="I1649" s="62" t="s"/>
      <c r="J1649" s="62" t="s"/>
      <c r="K1649" s="99" t="s"/>
      <c r="L1649" s="66" t="s"/>
      <c r="M1649" s="66" t="s"/>
      <c r="N1649" s="572" t="s"/>
      <c r="O1649" s="62" t="s"/>
      <c r="P1649" s="62" t="s"/>
      <c r="Q1649" s="62" t="s"/>
      <c r="R1649" s="62" t="s"/>
    </row>
    <row r="1650" spans="1:18" ht="15.75" customHeight="true">
      <c r="A1650" s="107" t="s"/>
      <c r="B1650" s="62" t="s"/>
      <c r="C1650" s="62" t="s"/>
      <c r="D1650" s="62" t="s"/>
      <c r="E1650" s="62" t="s"/>
      <c r="F1650" s="66" t="s"/>
      <c r="G1650" s="66" t="s"/>
      <c r="H1650" s="66" t="s"/>
      <c r="I1650" s="62" t="s"/>
      <c r="J1650" s="62" t="s"/>
      <c r="K1650" s="99" t="s"/>
      <c r="L1650" s="66" t="s"/>
      <c r="M1650" s="66" t="s"/>
      <c r="N1650" s="572" t="s"/>
      <c r="O1650" s="62" t="s"/>
      <c r="P1650" s="62" t="s"/>
      <c r="Q1650" s="62" t="s"/>
      <c r="R1650" s="62" t="s"/>
    </row>
    <row r="1651" spans="1:18" ht="15.75" customHeight="true">
      <c r="A1651" s="107" t="s"/>
      <c r="B1651" s="62" t="s"/>
      <c r="C1651" s="62" t="s"/>
      <c r="D1651" s="62" t="s"/>
      <c r="E1651" s="62" t="s"/>
      <c r="F1651" s="66" t="s"/>
      <c r="G1651" s="66" t="s"/>
      <c r="H1651" s="66" t="s"/>
      <c r="I1651" s="62" t="s"/>
      <c r="J1651" s="62" t="s"/>
      <c r="K1651" s="99" t="s"/>
      <c r="L1651" s="66" t="s"/>
      <c r="M1651" s="66" t="s"/>
      <c r="N1651" s="572" t="s"/>
      <c r="O1651" s="62" t="s"/>
      <c r="P1651" s="62" t="s"/>
      <c r="Q1651" s="62" t="s"/>
      <c r="R1651" s="62" t="s"/>
    </row>
    <row r="1652" spans="1:18" ht="15.75" customHeight="true">
      <c r="A1652" s="107" t="s"/>
      <c r="B1652" s="62" t="s"/>
      <c r="C1652" s="62" t="s"/>
      <c r="D1652" s="62" t="s"/>
      <c r="E1652" s="62" t="s"/>
      <c r="F1652" s="66" t="s"/>
      <c r="G1652" s="66" t="s"/>
      <c r="H1652" s="66" t="s"/>
      <c r="I1652" s="62" t="s"/>
      <c r="J1652" s="62" t="s"/>
      <c r="K1652" s="99" t="s"/>
      <c r="L1652" s="66" t="s"/>
      <c r="M1652" s="66" t="s"/>
      <c r="N1652" s="572" t="s"/>
      <c r="O1652" s="62" t="s"/>
      <c r="P1652" s="62" t="s"/>
      <c r="Q1652" s="62" t="s"/>
      <c r="R1652" s="62" t="s"/>
    </row>
    <row r="1653" spans="1:18" ht="15.75" customHeight="true">
      <c r="A1653" s="107" t="s"/>
      <c r="B1653" s="62" t="s"/>
      <c r="C1653" s="62" t="s"/>
      <c r="D1653" s="62" t="s"/>
      <c r="E1653" s="62" t="s"/>
      <c r="F1653" s="66" t="s"/>
      <c r="G1653" s="66" t="s"/>
      <c r="H1653" s="66" t="s"/>
      <c r="I1653" s="62" t="s"/>
      <c r="J1653" s="62" t="s"/>
      <c r="K1653" s="99" t="s"/>
      <c r="L1653" s="66" t="s"/>
      <c r="M1653" s="66" t="s"/>
      <c r="N1653" s="572" t="s"/>
      <c r="O1653" s="62" t="s"/>
      <c r="P1653" s="62" t="s"/>
      <c r="Q1653" s="62" t="s"/>
      <c r="R1653" s="62" t="s"/>
    </row>
    <row r="1654" spans="1:18" ht="15.75" customHeight="true">
      <c r="A1654" s="107" t="s"/>
      <c r="B1654" s="62" t="s"/>
      <c r="C1654" s="62" t="s"/>
      <c r="D1654" s="62" t="s"/>
      <c r="E1654" s="62" t="s"/>
      <c r="F1654" s="66" t="s"/>
      <c r="G1654" s="66" t="s"/>
      <c r="H1654" s="66" t="s"/>
      <c r="I1654" s="62" t="s"/>
      <c r="J1654" s="62" t="s"/>
      <c r="K1654" s="99" t="s"/>
      <c r="L1654" s="66" t="s"/>
      <c r="M1654" s="66" t="s"/>
      <c r="N1654" s="572" t="s"/>
      <c r="O1654" s="62" t="s"/>
      <c r="P1654" s="62" t="s"/>
      <c r="Q1654" s="62" t="s"/>
      <c r="R1654" s="62" t="s"/>
    </row>
    <row r="1655" spans="1:18" ht="15.75" customHeight="true">
      <c r="A1655" s="107" t="s"/>
      <c r="B1655" s="62" t="s"/>
      <c r="C1655" s="62" t="s"/>
      <c r="D1655" s="62" t="s"/>
      <c r="E1655" s="62" t="s"/>
      <c r="F1655" s="66" t="s"/>
      <c r="G1655" s="66" t="s"/>
      <c r="H1655" s="66" t="s"/>
      <c r="I1655" s="62" t="s"/>
      <c r="J1655" s="62" t="s"/>
      <c r="K1655" s="99" t="s"/>
      <c r="L1655" s="66" t="s"/>
      <c r="M1655" s="66" t="s"/>
      <c r="N1655" s="572" t="s"/>
      <c r="O1655" s="62" t="s"/>
      <c r="P1655" s="62" t="s"/>
      <c r="Q1655" s="62" t="s"/>
      <c r="R1655" s="62" t="s"/>
    </row>
    <row r="1656" spans="1:18" ht="15.75" customHeight="true">
      <c r="A1656" s="107" t="s"/>
      <c r="B1656" s="62" t="s"/>
      <c r="C1656" s="62" t="s"/>
      <c r="D1656" s="62" t="s"/>
      <c r="E1656" s="62" t="s"/>
      <c r="F1656" s="66" t="s"/>
      <c r="G1656" s="66" t="s"/>
      <c r="H1656" s="66" t="s"/>
      <c r="I1656" s="62" t="s"/>
      <c r="J1656" s="62" t="s"/>
      <c r="K1656" s="99" t="s"/>
      <c r="L1656" s="66" t="s"/>
      <c r="M1656" s="66" t="s"/>
      <c r="N1656" s="572" t="s"/>
      <c r="O1656" s="62" t="s"/>
      <c r="P1656" s="62" t="s"/>
      <c r="Q1656" s="62" t="s"/>
      <c r="R1656" s="62" t="s"/>
    </row>
    <row r="1657" spans="1:18" ht="15.75" customHeight="true">
      <c r="A1657" s="107" t="s"/>
      <c r="B1657" s="62" t="s"/>
      <c r="C1657" s="62" t="s"/>
      <c r="D1657" s="62" t="s"/>
      <c r="E1657" s="62" t="s"/>
      <c r="F1657" s="66" t="s"/>
      <c r="G1657" s="66" t="s"/>
      <c r="H1657" s="66" t="s"/>
      <c r="I1657" s="62" t="s"/>
      <c r="J1657" s="62" t="s"/>
      <c r="K1657" s="99" t="s"/>
      <c r="L1657" s="66" t="s"/>
      <c r="M1657" s="66" t="s"/>
      <c r="N1657" s="572" t="s"/>
      <c r="O1657" s="62" t="s"/>
      <c r="P1657" s="62" t="s"/>
      <c r="Q1657" s="62" t="s"/>
      <c r="R1657" s="62" t="s"/>
    </row>
    <row r="1658" spans="1:18" ht="15.75" customHeight="true">
      <c r="A1658" s="107" t="s"/>
      <c r="B1658" s="62" t="s"/>
      <c r="C1658" s="62" t="s"/>
      <c r="D1658" s="62" t="s"/>
      <c r="E1658" s="62" t="s"/>
      <c r="F1658" s="66" t="s"/>
      <c r="G1658" s="66" t="s"/>
      <c r="H1658" s="66" t="s"/>
      <c r="I1658" s="62" t="s"/>
      <c r="J1658" s="62" t="s"/>
      <c r="K1658" s="99" t="s"/>
      <c r="L1658" s="66" t="s"/>
      <c r="M1658" s="66" t="s"/>
      <c r="N1658" s="572" t="s"/>
      <c r="O1658" s="62" t="s"/>
      <c r="P1658" s="62" t="s"/>
      <c r="Q1658" s="62" t="s"/>
      <c r="R1658" s="62" t="s"/>
    </row>
    <row r="1659" spans="1:18" ht="15.75" customHeight="true">
      <c r="A1659" s="107" t="s"/>
      <c r="B1659" s="62" t="s"/>
      <c r="C1659" s="62" t="s"/>
      <c r="D1659" s="62" t="s"/>
      <c r="E1659" s="62" t="s"/>
      <c r="F1659" s="66" t="s"/>
      <c r="G1659" s="66" t="s"/>
      <c r="H1659" s="66" t="s"/>
      <c r="I1659" s="62" t="s"/>
      <c r="J1659" s="62" t="s"/>
      <c r="K1659" s="99" t="s"/>
      <c r="L1659" s="66" t="s"/>
      <c r="M1659" s="66" t="s"/>
      <c r="N1659" s="572" t="s"/>
      <c r="O1659" s="62" t="s"/>
      <c r="P1659" s="62" t="s"/>
      <c r="Q1659" s="62" t="s"/>
      <c r="R1659" s="62" t="s"/>
    </row>
    <row r="1660" spans="1:18" ht="15.75" customHeight="true">
      <c r="A1660" s="107" t="s"/>
      <c r="B1660" s="62" t="s"/>
      <c r="C1660" s="62" t="s"/>
      <c r="D1660" s="62" t="s"/>
      <c r="E1660" s="62" t="s"/>
      <c r="F1660" s="66" t="s"/>
      <c r="G1660" s="66" t="s"/>
      <c r="H1660" s="66" t="s"/>
      <c r="I1660" s="62" t="s"/>
      <c r="J1660" s="62" t="s"/>
      <c r="K1660" s="99" t="s"/>
      <c r="L1660" s="66" t="s"/>
      <c r="M1660" s="66" t="s"/>
      <c r="N1660" s="572" t="s"/>
      <c r="O1660" s="62" t="s"/>
      <c r="P1660" s="62" t="s"/>
      <c r="Q1660" s="62" t="s"/>
      <c r="R1660" s="62" t="s"/>
    </row>
    <row r="1661" spans="1:18" ht="15.75" customHeight="true">
      <c r="A1661" s="107" t="s"/>
      <c r="B1661" s="62" t="s"/>
      <c r="C1661" s="62" t="s"/>
      <c r="D1661" s="62" t="s"/>
      <c r="E1661" s="62" t="s"/>
      <c r="F1661" s="66" t="s"/>
      <c r="G1661" s="66" t="s"/>
      <c r="H1661" s="66" t="s"/>
      <c r="I1661" s="62" t="s"/>
      <c r="J1661" s="62" t="s"/>
      <c r="K1661" s="99" t="s"/>
      <c r="L1661" s="66" t="s"/>
      <c r="M1661" s="66" t="s"/>
      <c r="N1661" s="572" t="s"/>
      <c r="O1661" s="62" t="s"/>
      <c r="P1661" s="62" t="s"/>
      <c r="Q1661" s="62" t="s"/>
      <c r="R1661" s="62" t="s"/>
    </row>
    <row r="1662" spans="1:18" ht="15.75" customHeight="true">
      <c r="A1662" s="107" t="s"/>
      <c r="B1662" s="62" t="s"/>
      <c r="C1662" s="62" t="s"/>
      <c r="D1662" s="62" t="s"/>
      <c r="E1662" s="62" t="s"/>
      <c r="F1662" s="66" t="s"/>
      <c r="G1662" s="66" t="s"/>
      <c r="H1662" s="66" t="s"/>
      <c r="I1662" s="62" t="s"/>
      <c r="J1662" s="62" t="s"/>
      <c r="K1662" s="99" t="s"/>
      <c r="L1662" s="66" t="s"/>
      <c r="M1662" s="66" t="s"/>
      <c r="N1662" s="572" t="s"/>
      <c r="O1662" s="62" t="s"/>
      <c r="P1662" s="62" t="s"/>
      <c r="Q1662" s="62" t="s"/>
      <c r="R1662" s="62" t="s"/>
    </row>
    <row r="1663" spans="1:18" ht="15.75" customHeight="true">
      <c r="A1663" s="107" t="s"/>
      <c r="B1663" s="62" t="s"/>
      <c r="C1663" s="62" t="s"/>
      <c r="D1663" s="62" t="s"/>
      <c r="E1663" s="62" t="s"/>
      <c r="F1663" s="66" t="s"/>
      <c r="G1663" s="66" t="s"/>
      <c r="H1663" s="66" t="s"/>
      <c r="I1663" s="62" t="s"/>
      <c r="J1663" s="62" t="s"/>
      <c r="K1663" s="99" t="s"/>
      <c r="L1663" s="66" t="s"/>
      <c r="M1663" s="66" t="s"/>
      <c r="N1663" s="572" t="s"/>
      <c r="O1663" s="62" t="s"/>
      <c r="P1663" s="62" t="s"/>
      <c r="Q1663" s="62" t="s"/>
      <c r="R1663" s="62" t="s"/>
    </row>
    <row r="1664" spans="1:18" ht="15.75" customHeight="true">
      <c r="A1664" s="107" t="s"/>
      <c r="B1664" s="62" t="s"/>
      <c r="C1664" s="62" t="s"/>
      <c r="D1664" s="62" t="s"/>
      <c r="E1664" s="62" t="s"/>
      <c r="F1664" s="66" t="s"/>
      <c r="G1664" s="66" t="s"/>
      <c r="H1664" s="66" t="s"/>
      <c r="I1664" s="62" t="s"/>
      <c r="J1664" s="62" t="s"/>
      <c r="K1664" s="99" t="s"/>
      <c r="L1664" s="66" t="s"/>
      <c r="M1664" s="66" t="s"/>
      <c r="N1664" s="572" t="s"/>
      <c r="O1664" s="62" t="s"/>
      <c r="P1664" s="62" t="s"/>
      <c r="Q1664" s="62" t="s"/>
      <c r="R1664" s="62" t="s"/>
    </row>
    <row r="1665" spans="1:18" ht="15.75" customHeight="true">
      <c r="A1665" s="107" t="s"/>
      <c r="B1665" s="62" t="s"/>
      <c r="C1665" s="62" t="s"/>
      <c r="D1665" s="62" t="s"/>
      <c r="E1665" s="62" t="s"/>
      <c r="F1665" s="66" t="s"/>
      <c r="G1665" s="66" t="s"/>
      <c r="H1665" s="66" t="s"/>
      <c r="I1665" s="62" t="s"/>
      <c r="J1665" s="62" t="s"/>
      <c r="K1665" s="99" t="s"/>
      <c r="L1665" s="66" t="s"/>
      <c r="M1665" s="66" t="s"/>
      <c r="N1665" s="572" t="s"/>
      <c r="O1665" s="62" t="s"/>
      <c r="P1665" s="62" t="s"/>
      <c r="Q1665" s="62" t="s"/>
      <c r="R1665" s="62" t="s"/>
    </row>
    <row r="1666" spans="1:18" ht="15.75" customHeight="true">
      <c r="A1666" s="107" t="s"/>
      <c r="B1666" s="62" t="s"/>
      <c r="C1666" s="62" t="s"/>
      <c r="D1666" s="62" t="s"/>
      <c r="E1666" s="62" t="s"/>
      <c r="F1666" s="66" t="s"/>
      <c r="G1666" s="66" t="s"/>
      <c r="H1666" s="66" t="s"/>
      <c r="I1666" s="62" t="s"/>
      <c r="J1666" s="62" t="s"/>
      <c r="K1666" s="99" t="s"/>
      <c r="L1666" s="66" t="s"/>
      <c r="M1666" s="66" t="s"/>
      <c r="N1666" s="572" t="s"/>
      <c r="O1666" s="62" t="s"/>
      <c r="P1666" s="62" t="s"/>
      <c r="Q1666" s="62" t="s"/>
      <c r="R1666" s="62" t="s"/>
    </row>
    <row r="1667" spans="1:18" ht="15.75" customHeight="true">
      <c r="A1667" s="107" t="s"/>
      <c r="B1667" s="62" t="s"/>
      <c r="C1667" s="62" t="s"/>
      <c r="D1667" s="62" t="s"/>
      <c r="E1667" s="62" t="s"/>
      <c r="F1667" s="66" t="s"/>
      <c r="G1667" s="66" t="s"/>
      <c r="H1667" s="66" t="s"/>
      <c r="I1667" s="62" t="s"/>
      <c r="J1667" s="62" t="s"/>
      <c r="K1667" s="99" t="s"/>
      <c r="L1667" s="66" t="s"/>
      <c r="M1667" s="66" t="s"/>
      <c r="N1667" s="572" t="s"/>
      <c r="O1667" s="62" t="s"/>
      <c r="P1667" s="62" t="s"/>
      <c r="Q1667" s="62" t="s"/>
      <c r="R1667" s="62" t="s"/>
    </row>
    <row r="1668" spans="1:18" ht="15.75" customHeight="true">
      <c r="A1668" s="107" t="s"/>
      <c r="B1668" s="62" t="s"/>
      <c r="C1668" s="62" t="s"/>
      <c r="D1668" s="62" t="s"/>
      <c r="E1668" s="62" t="s"/>
      <c r="F1668" s="66" t="s"/>
      <c r="G1668" s="66" t="s"/>
      <c r="H1668" s="66" t="s"/>
      <c r="I1668" s="62" t="s"/>
      <c r="J1668" s="62" t="s"/>
      <c r="K1668" s="99" t="s"/>
      <c r="L1668" s="66" t="s"/>
      <c r="M1668" s="66" t="s"/>
      <c r="N1668" s="572" t="s"/>
      <c r="O1668" s="62" t="s"/>
      <c r="P1668" s="62" t="s"/>
      <c r="Q1668" s="62" t="s"/>
      <c r="R1668" s="62" t="s"/>
    </row>
    <row r="1669" spans="1:18" ht="15.75" customHeight="true">
      <c r="A1669" s="107" t="s"/>
      <c r="B1669" s="62" t="s"/>
      <c r="C1669" s="62" t="s"/>
      <c r="D1669" s="62" t="s"/>
      <c r="E1669" s="62" t="s"/>
      <c r="F1669" s="66" t="s"/>
      <c r="G1669" s="66" t="s"/>
      <c r="H1669" s="66" t="s"/>
      <c r="I1669" s="62" t="s"/>
      <c r="J1669" s="62" t="s"/>
      <c r="K1669" s="99" t="s"/>
      <c r="L1669" s="66" t="s"/>
      <c r="M1669" s="66" t="s"/>
      <c r="N1669" s="572" t="s"/>
      <c r="O1669" s="62" t="s"/>
      <c r="P1669" s="62" t="s"/>
      <c r="Q1669" s="62" t="s"/>
      <c r="R1669" s="62" t="s"/>
    </row>
    <row r="1670" spans="1:18" ht="15.75" customHeight="true">
      <c r="A1670" s="107" t="s"/>
      <c r="B1670" s="62" t="s"/>
      <c r="C1670" s="62" t="s"/>
      <c r="D1670" s="62" t="s"/>
      <c r="E1670" s="62" t="s"/>
      <c r="F1670" s="66" t="s"/>
      <c r="G1670" s="66" t="s"/>
      <c r="H1670" s="66" t="s"/>
      <c r="I1670" s="62" t="s"/>
      <c r="J1670" s="62" t="s"/>
      <c r="K1670" s="99" t="s"/>
      <c r="L1670" s="66" t="s"/>
      <c r="M1670" s="66" t="s"/>
      <c r="N1670" s="572" t="s"/>
      <c r="O1670" s="62" t="s"/>
      <c r="P1670" s="62" t="s"/>
      <c r="Q1670" s="62" t="s"/>
      <c r="R1670" s="62" t="s"/>
    </row>
    <row r="1671" spans="1:18" ht="15.75" customHeight="true">
      <c r="A1671" s="107" t="s"/>
      <c r="B1671" s="62" t="s"/>
      <c r="C1671" s="62" t="s"/>
      <c r="D1671" s="62" t="s"/>
      <c r="E1671" s="62" t="s"/>
      <c r="F1671" s="66" t="s"/>
      <c r="G1671" s="66" t="s"/>
      <c r="H1671" s="66" t="s"/>
      <c r="I1671" s="62" t="s"/>
      <c r="J1671" s="62" t="s"/>
      <c r="K1671" s="99" t="s"/>
      <c r="L1671" s="66" t="s"/>
      <c r="M1671" s="66" t="s"/>
      <c r="N1671" s="572" t="s"/>
      <c r="O1671" s="62" t="s"/>
      <c r="P1671" s="62" t="s"/>
      <c r="Q1671" s="62" t="s"/>
      <c r="R1671" s="62" t="s"/>
    </row>
    <row r="1672" spans="1:18" ht="15.75" customHeight="true">
      <c r="A1672" s="107" t="s"/>
      <c r="B1672" s="62" t="s"/>
      <c r="C1672" s="62" t="s"/>
      <c r="D1672" s="62" t="s"/>
      <c r="E1672" s="62" t="s"/>
      <c r="F1672" s="66" t="s"/>
      <c r="G1672" s="66" t="s"/>
      <c r="H1672" s="66" t="s"/>
      <c r="I1672" s="62" t="s"/>
      <c r="J1672" s="62" t="s"/>
      <c r="K1672" s="99" t="s"/>
      <c r="L1672" s="66" t="s"/>
      <c r="M1672" s="66" t="s"/>
      <c r="N1672" s="572" t="s"/>
      <c r="O1672" s="62" t="s"/>
      <c r="P1672" s="62" t="s"/>
      <c r="Q1672" s="62" t="s"/>
      <c r="R1672" s="62" t="s"/>
    </row>
    <row r="1673" spans="1:18" ht="15.75" customHeight="true">
      <c r="A1673" s="107" t="s"/>
      <c r="B1673" s="62" t="s"/>
      <c r="C1673" s="62" t="s"/>
      <c r="D1673" s="62" t="s"/>
      <c r="E1673" s="62" t="s"/>
      <c r="F1673" s="66" t="s"/>
      <c r="G1673" s="66" t="s"/>
      <c r="H1673" s="66" t="s"/>
      <c r="I1673" s="62" t="s"/>
      <c r="J1673" s="62" t="s"/>
      <c r="K1673" s="99" t="s"/>
      <c r="L1673" s="66" t="s"/>
      <c r="M1673" s="66" t="s"/>
      <c r="N1673" s="572" t="s"/>
      <c r="O1673" s="62" t="s"/>
      <c r="P1673" s="62" t="s"/>
      <c r="Q1673" s="62" t="s"/>
      <c r="R1673" s="62" t="s"/>
    </row>
    <row r="1674" spans="1:18" ht="15.75" customHeight="true">
      <c r="A1674" s="107" t="s"/>
      <c r="B1674" s="62" t="s"/>
      <c r="C1674" s="62" t="s"/>
      <c r="D1674" s="62" t="s"/>
      <c r="E1674" s="62" t="s"/>
      <c r="F1674" s="66" t="s"/>
      <c r="G1674" s="66" t="s"/>
      <c r="H1674" s="66" t="s"/>
      <c r="I1674" s="62" t="s"/>
      <c r="J1674" s="62" t="s"/>
      <c r="K1674" s="99" t="s"/>
      <c r="L1674" s="66" t="s"/>
      <c r="M1674" s="66" t="s"/>
      <c r="N1674" s="572" t="s"/>
      <c r="O1674" s="62" t="s"/>
      <c r="P1674" s="62" t="s"/>
      <c r="Q1674" s="62" t="s"/>
      <c r="R1674" s="62" t="s"/>
    </row>
    <row r="1675" spans="1:18" ht="15.75" customHeight="true">
      <c r="A1675" s="107" t="s"/>
      <c r="B1675" s="62" t="s"/>
      <c r="C1675" s="62" t="s"/>
      <c r="D1675" s="62" t="s"/>
      <c r="E1675" s="62" t="s"/>
      <c r="F1675" s="66" t="s"/>
      <c r="G1675" s="66" t="s"/>
      <c r="H1675" s="66" t="s"/>
      <c r="I1675" s="62" t="s"/>
      <c r="J1675" s="62" t="s"/>
      <c r="K1675" s="99" t="s"/>
      <c r="L1675" s="66" t="s"/>
      <c r="M1675" s="66" t="s"/>
      <c r="N1675" s="572" t="s"/>
      <c r="O1675" s="62" t="s"/>
      <c r="P1675" s="62" t="s"/>
      <c r="Q1675" s="62" t="s"/>
      <c r="R1675" s="62" t="s"/>
    </row>
    <row r="1676" spans="1:18" ht="15.75" customHeight="true">
      <c r="A1676" s="107" t="s"/>
      <c r="B1676" s="62" t="s"/>
      <c r="C1676" s="62" t="s"/>
      <c r="D1676" s="62" t="s"/>
      <c r="E1676" s="62" t="s"/>
      <c r="F1676" s="66" t="s"/>
      <c r="G1676" s="66" t="s"/>
      <c r="H1676" s="66" t="s"/>
      <c r="I1676" s="62" t="s"/>
      <c r="J1676" s="62" t="s"/>
      <c r="K1676" s="99" t="s"/>
      <c r="L1676" s="66" t="s"/>
      <c r="M1676" s="66" t="s"/>
      <c r="N1676" s="572" t="s"/>
      <c r="O1676" s="62" t="s"/>
      <c r="P1676" s="62" t="s"/>
      <c r="Q1676" s="62" t="s"/>
      <c r="R1676" s="62" t="s"/>
    </row>
    <row r="1677" spans="1:18" ht="15.75" customHeight="true">
      <c r="A1677" s="107" t="s"/>
      <c r="B1677" s="62" t="s"/>
      <c r="C1677" s="62" t="s"/>
      <c r="D1677" s="62" t="s"/>
      <c r="E1677" s="62" t="s"/>
      <c r="F1677" s="66" t="s"/>
      <c r="G1677" s="66" t="s"/>
      <c r="H1677" s="66" t="s"/>
      <c r="I1677" s="62" t="s"/>
      <c r="J1677" s="62" t="s"/>
      <c r="K1677" s="99" t="s"/>
      <c r="L1677" s="66" t="s"/>
      <c r="M1677" s="66" t="s"/>
      <c r="N1677" s="572" t="s"/>
      <c r="O1677" s="62" t="s"/>
      <c r="P1677" s="62" t="s"/>
      <c r="Q1677" s="62" t="s"/>
      <c r="R1677" s="62" t="s"/>
    </row>
    <row r="1678" spans="1:18" ht="15.75" customHeight="true">
      <c r="A1678" s="107" t="s"/>
      <c r="B1678" s="62" t="s"/>
      <c r="C1678" s="62" t="s"/>
      <c r="D1678" s="62" t="s"/>
      <c r="E1678" s="62" t="s"/>
      <c r="F1678" s="66" t="s"/>
      <c r="G1678" s="66" t="s"/>
      <c r="H1678" s="66" t="s"/>
      <c r="I1678" s="62" t="s"/>
      <c r="J1678" s="62" t="s"/>
      <c r="K1678" s="99" t="s"/>
      <c r="L1678" s="66" t="s"/>
      <c r="M1678" s="66" t="s"/>
      <c r="N1678" s="572" t="s"/>
      <c r="O1678" s="62" t="s"/>
      <c r="P1678" s="62" t="s"/>
      <c r="Q1678" s="62" t="s"/>
      <c r="R1678" s="62" t="s"/>
    </row>
    <row r="1679" spans="1:18" ht="15.75" customHeight="true">
      <c r="A1679" s="107" t="s"/>
      <c r="B1679" s="62" t="s"/>
      <c r="C1679" s="62" t="s"/>
      <c r="D1679" s="62" t="s"/>
      <c r="E1679" s="62" t="s"/>
      <c r="F1679" s="66" t="s"/>
      <c r="G1679" s="66" t="s"/>
      <c r="H1679" s="66" t="s"/>
      <c r="I1679" s="62" t="s"/>
      <c r="J1679" s="62" t="s"/>
      <c r="K1679" s="99" t="s"/>
      <c r="L1679" s="66" t="s"/>
      <c r="M1679" s="66" t="s"/>
      <c r="N1679" s="572" t="s"/>
      <c r="O1679" s="62" t="s"/>
      <c r="P1679" s="62" t="s"/>
      <c r="Q1679" s="62" t="s"/>
      <c r="R1679" s="62" t="s"/>
    </row>
    <row r="1680" spans="1:18" ht="15.75" customHeight="true">
      <c r="A1680" s="107" t="s"/>
      <c r="B1680" s="62" t="s"/>
      <c r="C1680" s="62" t="s"/>
      <c r="D1680" s="62" t="s"/>
      <c r="E1680" s="62" t="s"/>
      <c r="F1680" s="66" t="s"/>
      <c r="G1680" s="66" t="s"/>
      <c r="H1680" s="66" t="s"/>
      <c r="I1680" s="62" t="s"/>
      <c r="J1680" s="62" t="s"/>
      <c r="K1680" s="99" t="s"/>
      <c r="L1680" s="66" t="s"/>
      <c r="M1680" s="66" t="s"/>
      <c r="N1680" s="572" t="s"/>
      <c r="O1680" s="62" t="s"/>
      <c r="P1680" s="62" t="s"/>
      <c r="Q1680" s="62" t="s"/>
      <c r="R1680" s="62" t="s"/>
    </row>
    <row r="1681" spans="1:18" ht="15.75" customHeight="true">
      <c r="A1681" s="107" t="s"/>
      <c r="B1681" s="62" t="s"/>
      <c r="C1681" s="62" t="s"/>
      <c r="D1681" s="62" t="s"/>
      <c r="E1681" s="62" t="s"/>
      <c r="F1681" s="66" t="s"/>
      <c r="G1681" s="66" t="s"/>
      <c r="H1681" s="66" t="s"/>
      <c r="I1681" s="62" t="s"/>
      <c r="J1681" s="62" t="s"/>
      <c r="K1681" s="99" t="s"/>
      <c r="L1681" s="66" t="s"/>
      <c r="M1681" s="66" t="s"/>
      <c r="N1681" s="572" t="s"/>
      <c r="O1681" s="62" t="s"/>
      <c r="P1681" s="62" t="s"/>
      <c r="Q1681" s="62" t="s"/>
      <c r="R1681" s="62" t="s"/>
    </row>
    <row r="1682" spans="1:18" ht="15.75" customHeight="true">
      <c r="A1682" s="107" t="s"/>
      <c r="B1682" s="62" t="s"/>
      <c r="C1682" s="62" t="s"/>
      <c r="D1682" s="62" t="s"/>
      <c r="E1682" s="62" t="s"/>
      <c r="F1682" s="66" t="s"/>
      <c r="G1682" s="66" t="s"/>
      <c r="H1682" s="66" t="s"/>
      <c r="I1682" s="62" t="s"/>
      <c r="J1682" s="62" t="s"/>
      <c r="K1682" s="99" t="s"/>
      <c r="L1682" s="66" t="s"/>
      <c r="M1682" s="66" t="s"/>
      <c r="N1682" s="572" t="s"/>
      <c r="O1682" s="62" t="s"/>
      <c r="P1682" s="62" t="s"/>
      <c r="Q1682" s="62" t="s"/>
      <c r="R1682" s="62" t="s"/>
    </row>
    <row r="1683" spans="1:18" ht="15.75" customHeight="true">
      <c r="A1683" s="107" t="s"/>
      <c r="B1683" s="62" t="s"/>
      <c r="C1683" s="62" t="s"/>
      <c r="D1683" s="62" t="s"/>
      <c r="E1683" s="62" t="s"/>
      <c r="F1683" s="66" t="s"/>
      <c r="G1683" s="66" t="s"/>
      <c r="H1683" s="66" t="s"/>
      <c r="I1683" s="62" t="s"/>
      <c r="J1683" s="62" t="s"/>
      <c r="K1683" s="99" t="s"/>
      <c r="L1683" s="66" t="s"/>
      <c r="M1683" s="66" t="s"/>
      <c r="N1683" s="572" t="s"/>
      <c r="O1683" s="62" t="s"/>
      <c r="P1683" s="62" t="s"/>
      <c r="Q1683" s="62" t="s"/>
      <c r="R1683" s="62" t="s"/>
    </row>
    <row r="1684" spans="1:18" ht="15.75" customHeight="true">
      <c r="A1684" s="107" t="s"/>
      <c r="B1684" s="62" t="s"/>
      <c r="C1684" s="62" t="s"/>
      <c r="D1684" s="62" t="s"/>
      <c r="E1684" s="62" t="s"/>
      <c r="F1684" s="66" t="s"/>
      <c r="G1684" s="66" t="s"/>
      <c r="H1684" s="66" t="s"/>
      <c r="I1684" s="62" t="s"/>
      <c r="J1684" s="62" t="s"/>
      <c r="K1684" s="99" t="s"/>
      <c r="L1684" s="66" t="s"/>
      <c r="M1684" s="66" t="s"/>
      <c r="N1684" s="572" t="s"/>
      <c r="O1684" s="62" t="s"/>
      <c r="P1684" s="62" t="s"/>
      <c r="Q1684" s="62" t="s"/>
      <c r="R1684" s="62" t="s"/>
    </row>
    <row r="1685" spans="1:18" ht="15.75" customHeight="true">
      <c r="A1685" s="107" t="s"/>
      <c r="B1685" s="62" t="s"/>
      <c r="C1685" s="62" t="s"/>
      <c r="D1685" s="62" t="s"/>
      <c r="E1685" s="62" t="s"/>
      <c r="F1685" s="66" t="s"/>
      <c r="G1685" s="66" t="s"/>
      <c r="H1685" s="66" t="s"/>
      <c r="I1685" s="62" t="s"/>
      <c r="J1685" s="62" t="s"/>
      <c r="K1685" s="99" t="s"/>
      <c r="L1685" s="66" t="s"/>
      <c r="M1685" s="66" t="s"/>
      <c r="N1685" s="572" t="s"/>
      <c r="O1685" s="62" t="s"/>
      <c r="P1685" s="62" t="s"/>
      <c r="Q1685" s="62" t="s"/>
      <c r="R1685" s="62" t="s"/>
    </row>
    <row r="1686" spans="1:18" ht="15.75" customHeight="true">
      <c r="A1686" s="107" t="s"/>
      <c r="B1686" s="62" t="s"/>
      <c r="C1686" s="62" t="s"/>
      <c r="D1686" s="62" t="s"/>
      <c r="E1686" s="62" t="s"/>
      <c r="F1686" s="66" t="s"/>
      <c r="G1686" s="66" t="s"/>
      <c r="H1686" s="66" t="s"/>
      <c r="I1686" s="62" t="s"/>
      <c r="J1686" s="62" t="s"/>
      <c r="K1686" s="99" t="s"/>
      <c r="L1686" s="66" t="s"/>
      <c r="M1686" s="66" t="s"/>
      <c r="N1686" s="572" t="s"/>
      <c r="O1686" s="62" t="s"/>
      <c r="P1686" s="62" t="s"/>
      <c r="Q1686" s="62" t="s"/>
      <c r="R1686" s="62" t="s"/>
    </row>
    <row r="1687" spans="1:18" ht="15.75" customHeight="true">
      <c r="A1687" s="107" t="s"/>
      <c r="B1687" s="62" t="s"/>
      <c r="C1687" s="62" t="s"/>
      <c r="D1687" s="62" t="s"/>
      <c r="E1687" s="62" t="s"/>
      <c r="F1687" s="66" t="s"/>
      <c r="G1687" s="66" t="s"/>
      <c r="H1687" s="66" t="s"/>
      <c r="I1687" s="62" t="s"/>
      <c r="J1687" s="62" t="s"/>
      <c r="K1687" s="99" t="s"/>
      <c r="L1687" s="66" t="s"/>
      <c r="M1687" s="66" t="s"/>
      <c r="N1687" s="572" t="s"/>
      <c r="O1687" s="62" t="s"/>
      <c r="P1687" s="62" t="s"/>
      <c r="Q1687" s="62" t="s"/>
      <c r="R1687" s="62" t="s"/>
    </row>
    <row r="1688" spans="1:18" ht="15.75" customHeight="true">
      <c r="A1688" s="107" t="s"/>
      <c r="B1688" s="62" t="s"/>
      <c r="C1688" s="62" t="s"/>
      <c r="D1688" s="62" t="s"/>
      <c r="E1688" s="62" t="s"/>
      <c r="F1688" s="66" t="s"/>
      <c r="G1688" s="66" t="s"/>
      <c r="H1688" s="66" t="s"/>
      <c r="I1688" s="62" t="s"/>
      <c r="J1688" s="62" t="s"/>
      <c r="K1688" s="99" t="s"/>
      <c r="L1688" s="66" t="s"/>
      <c r="M1688" s="66" t="s"/>
      <c r="N1688" s="572" t="s"/>
      <c r="O1688" s="62" t="s"/>
      <c r="P1688" s="62" t="s"/>
      <c r="Q1688" s="62" t="s"/>
      <c r="R1688" s="62" t="s"/>
    </row>
    <row r="1689" spans="1:18" ht="15.75" customHeight="true">
      <c r="A1689" s="107" t="s"/>
      <c r="B1689" s="62" t="s"/>
      <c r="C1689" s="62" t="s"/>
      <c r="D1689" s="62" t="s"/>
      <c r="E1689" s="62" t="s"/>
      <c r="F1689" s="66" t="s"/>
      <c r="G1689" s="66" t="s"/>
      <c r="H1689" s="66" t="s"/>
      <c r="I1689" s="62" t="s"/>
      <c r="J1689" s="62" t="s"/>
      <c r="K1689" s="99" t="s"/>
      <c r="L1689" s="66" t="s"/>
      <c r="M1689" s="66" t="s"/>
      <c r="N1689" s="572" t="s"/>
      <c r="O1689" s="62" t="s"/>
      <c r="P1689" s="62" t="s"/>
      <c r="Q1689" s="62" t="s"/>
      <c r="R1689" s="62" t="s"/>
    </row>
    <row r="1690" spans="1:18" ht="15.75" customHeight="true">
      <c r="A1690" s="107" t="s"/>
      <c r="B1690" s="62" t="s"/>
      <c r="C1690" s="62" t="s"/>
      <c r="D1690" s="62" t="s"/>
      <c r="E1690" s="62" t="s"/>
      <c r="F1690" s="66" t="s"/>
      <c r="G1690" s="66" t="s"/>
      <c r="H1690" s="66" t="s"/>
      <c r="I1690" s="62" t="s"/>
      <c r="J1690" s="62" t="s"/>
      <c r="K1690" s="99" t="s"/>
      <c r="L1690" s="66" t="s"/>
      <c r="M1690" s="66" t="s"/>
      <c r="N1690" s="572" t="s"/>
      <c r="O1690" s="62" t="s"/>
      <c r="P1690" s="62" t="s"/>
      <c r="Q1690" s="62" t="s"/>
      <c r="R1690" s="62" t="s"/>
    </row>
    <row r="1691" spans="1:18" ht="15.75" customHeight="true">
      <c r="A1691" s="107" t="s"/>
      <c r="B1691" s="62" t="s"/>
      <c r="C1691" s="62" t="s"/>
      <c r="D1691" s="62" t="s"/>
      <c r="E1691" s="62" t="s"/>
      <c r="F1691" s="66" t="s"/>
      <c r="G1691" s="66" t="s"/>
      <c r="H1691" s="66" t="s"/>
      <c r="I1691" s="62" t="s"/>
      <c r="J1691" s="62" t="s"/>
      <c r="K1691" s="99" t="s"/>
      <c r="L1691" s="66" t="s"/>
      <c r="M1691" s="66" t="s"/>
      <c r="N1691" s="572" t="s"/>
      <c r="O1691" s="62" t="s"/>
      <c r="P1691" s="62" t="s"/>
      <c r="Q1691" s="62" t="s"/>
      <c r="R1691" s="62" t="s"/>
    </row>
    <row r="1692" spans="1:18" ht="15.75" customHeight="true">
      <c r="A1692" s="107" t="s"/>
      <c r="B1692" s="62" t="s"/>
      <c r="C1692" s="62" t="s"/>
      <c r="D1692" s="62" t="s"/>
      <c r="E1692" s="62" t="s"/>
      <c r="F1692" s="66" t="s"/>
      <c r="G1692" s="66" t="s"/>
      <c r="H1692" s="66" t="s"/>
      <c r="I1692" s="62" t="s"/>
      <c r="J1692" s="62" t="s"/>
      <c r="K1692" s="99" t="s"/>
      <c r="L1692" s="66" t="s"/>
      <c r="M1692" s="66" t="s"/>
      <c r="N1692" s="572" t="s"/>
      <c r="O1692" s="62" t="s"/>
      <c r="P1692" s="62" t="s"/>
      <c r="Q1692" s="62" t="s"/>
      <c r="R1692" s="62" t="s"/>
    </row>
    <row r="1693" spans="1:18" ht="15.75" customHeight="true">
      <c r="A1693" s="107" t="s"/>
      <c r="B1693" s="62" t="s"/>
      <c r="C1693" s="62" t="s"/>
      <c r="D1693" s="62" t="s"/>
      <c r="E1693" s="62" t="s"/>
      <c r="F1693" s="66" t="s"/>
      <c r="G1693" s="66" t="s"/>
      <c r="H1693" s="66" t="s"/>
      <c r="I1693" s="62" t="s"/>
      <c r="J1693" s="62" t="s"/>
      <c r="K1693" s="99" t="s"/>
      <c r="L1693" s="66" t="s"/>
      <c r="M1693" s="66" t="s"/>
      <c r="N1693" s="572" t="s"/>
      <c r="O1693" s="62" t="s"/>
      <c r="P1693" s="62" t="s"/>
      <c r="Q1693" s="62" t="s"/>
      <c r="R1693" s="62" t="s"/>
    </row>
    <row r="1694" spans="1:18" ht="15.75" customHeight="true">
      <c r="A1694" s="107" t="s"/>
      <c r="B1694" s="62" t="s"/>
      <c r="C1694" s="62" t="s"/>
      <c r="D1694" s="62" t="s"/>
      <c r="E1694" s="62" t="s"/>
      <c r="F1694" s="66" t="s"/>
      <c r="G1694" s="66" t="s"/>
      <c r="H1694" s="66" t="s"/>
      <c r="I1694" s="62" t="s"/>
      <c r="J1694" s="62" t="s"/>
      <c r="K1694" s="99" t="s"/>
      <c r="L1694" s="66" t="s"/>
      <c r="M1694" s="66" t="s"/>
      <c r="N1694" s="572" t="s"/>
      <c r="O1694" s="62" t="s"/>
      <c r="P1694" s="62" t="s"/>
      <c r="Q1694" s="62" t="s"/>
      <c r="R1694" s="62" t="s"/>
    </row>
    <row r="1695" spans="1:18" ht="15.75" customHeight="true">
      <c r="A1695" s="107" t="s"/>
      <c r="B1695" s="62" t="s"/>
      <c r="C1695" s="62" t="s"/>
      <c r="D1695" s="62" t="s"/>
      <c r="E1695" s="62" t="s"/>
      <c r="F1695" s="66" t="s"/>
      <c r="G1695" s="66" t="s"/>
      <c r="H1695" s="66" t="s"/>
      <c r="I1695" s="62" t="s"/>
      <c r="J1695" s="62" t="s"/>
      <c r="K1695" s="99" t="s"/>
      <c r="L1695" s="66" t="s"/>
      <c r="M1695" s="66" t="s"/>
      <c r="N1695" s="572" t="s"/>
      <c r="O1695" s="62" t="s"/>
      <c r="P1695" s="62" t="s"/>
      <c r="Q1695" s="62" t="s"/>
      <c r="R1695" s="62" t="s"/>
    </row>
    <row r="1696" spans="1:18" ht="15.75" customHeight="true">
      <c r="A1696" s="107" t="s"/>
      <c r="B1696" s="62" t="s"/>
      <c r="C1696" s="62" t="s"/>
      <c r="D1696" s="62" t="s"/>
      <c r="E1696" s="62" t="s"/>
      <c r="F1696" s="66" t="s"/>
      <c r="G1696" s="66" t="s"/>
      <c r="H1696" s="66" t="s"/>
      <c r="I1696" s="62" t="s"/>
      <c r="J1696" s="62" t="s"/>
      <c r="K1696" s="99" t="s"/>
      <c r="L1696" s="66" t="s"/>
      <c r="M1696" s="66" t="s"/>
      <c r="N1696" s="572" t="s"/>
      <c r="O1696" s="62" t="s"/>
      <c r="P1696" s="62" t="s"/>
      <c r="Q1696" s="62" t="s"/>
      <c r="R1696" s="62" t="s"/>
    </row>
    <row r="1697" spans="1:18" ht="15.75" customHeight="true">
      <c r="A1697" s="107" t="s"/>
      <c r="B1697" s="62" t="s"/>
      <c r="C1697" s="62" t="s"/>
      <c r="D1697" s="62" t="s"/>
      <c r="E1697" s="62" t="s"/>
      <c r="F1697" s="66" t="s"/>
      <c r="G1697" s="66" t="s"/>
      <c r="H1697" s="66" t="s"/>
      <c r="I1697" s="62" t="s"/>
      <c r="J1697" s="62" t="s"/>
      <c r="K1697" s="99" t="s"/>
      <c r="L1697" s="66" t="s"/>
      <c r="M1697" s="66" t="s"/>
      <c r="N1697" s="572" t="s"/>
      <c r="O1697" s="62" t="s"/>
      <c r="P1697" s="62" t="s"/>
      <c r="Q1697" s="62" t="s"/>
      <c r="R1697" s="62" t="s"/>
    </row>
    <row r="1698" spans="1:18" ht="15.75" customHeight="true">
      <c r="A1698" s="107" t="s"/>
      <c r="B1698" s="62" t="s"/>
      <c r="C1698" s="62" t="s"/>
      <c r="D1698" s="62" t="s"/>
      <c r="E1698" s="62" t="s"/>
      <c r="F1698" s="66" t="s"/>
      <c r="G1698" s="66" t="s"/>
      <c r="H1698" s="66" t="s"/>
      <c r="I1698" s="62" t="s"/>
      <c r="J1698" s="62" t="s"/>
      <c r="K1698" s="99" t="s"/>
      <c r="L1698" s="66" t="s"/>
      <c r="M1698" s="66" t="s"/>
      <c r="N1698" s="572" t="s"/>
      <c r="O1698" s="62" t="s"/>
      <c r="P1698" s="62" t="s"/>
      <c r="Q1698" s="62" t="s"/>
      <c r="R1698" s="62" t="s"/>
    </row>
    <row r="1699" spans="1:18" ht="15.75" customHeight="true">
      <c r="A1699" s="107" t="s"/>
      <c r="B1699" s="62" t="s"/>
      <c r="C1699" s="62" t="s"/>
      <c r="D1699" s="62" t="s"/>
      <c r="E1699" s="62" t="s"/>
      <c r="F1699" s="66" t="s"/>
      <c r="G1699" s="66" t="s"/>
      <c r="H1699" s="66" t="s"/>
      <c r="I1699" s="62" t="s"/>
      <c r="J1699" s="62" t="s"/>
      <c r="K1699" s="99" t="s"/>
      <c r="L1699" s="66" t="s"/>
      <c r="M1699" s="66" t="s"/>
      <c r="N1699" s="572" t="s"/>
      <c r="O1699" s="62" t="s"/>
      <c r="P1699" s="62" t="s"/>
      <c r="Q1699" s="62" t="s"/>
      <c r="R1699" s="62" t="s"/>
    </row>
    <row r="1700" spans="1:18" ht="15.75" customHeight="true">
      <c r="A1700" s="107" t="s"/>
      <c r="B1700" s="62" t="s"/>
      <c r="C1700" s="62" t="s"/>
      <c r="D1700" s="62" t="s"/>
      <c r="E1700" s="62" t="s"/>
      <c r="F1700" s="66" t="s"/>
      <c r="G1700" s="66" t="s"/>
      <c r="H1700" s="66" t="s"/>
      <c r="I1700" s="62" t="s"/>
      <c r="J1700" s="62" t="s"/>
      <c r="K1700" s="99" t="s"/>
      <c r="L1700" s="66" t="s"/>
      <c r="M1700" s="66" t="s"/>
      <c r="N1700" s="572" t="s"/>
      <c r="O1700" s="62" t="s"/>
      <c r="P1700" s="62" t="s"/>
      <c r="Q1700" s="62" t="s"/>
      <c r="R1700" s="62" t="s"/>
    </row>
    <row r="1701" spans="1:18" ht="15.75" customHeight="true">
      <c r="A1701" s="107" t="s"/>
      <c r="B1701" s="62" t="s"/>
      <c r="C1701" s="62" t="s"/>
      <c r="D1701" s="62" t="s"/>
      <c r="E1701" s="62" t="s"/>
      <c r="F1701" s="66" t="s"/>
      <c r="G1701" s="66" t="s"/>
      <c r="H1701" s="66" t="s"/>
      <c r="I1701" s="62" t="s"/>
      <c r="J1701" s="62" t="s"/>
      <c r="K1701" s="99" t="s"/>
      <c r="L1701" s="66" t="s"/>
      <c r="M1701" s="66" t="s"/>
      <c r="N1701" s="572" t="s"/>
      <c r="O1701" s="62" t="s"/>
      <c r="P1701" s="62" t="s"/>
      <c r="Q1701" s="62" t="s"/>
      <c r="R1701" s="62" t="s"/>
    </row>
    <row r="1702" spans="1:18" ht="15.75" customHeight="true">
      <c r="A1702" s="107" t="s"/>
      <c r="B1702" s="62" t="s"/>
      <c r="C1702" s="62" t="s"/>
      <c r="D1702" s="62" t="s"/>
      <c r="E1702" s="62" t="s"/>
      <c r="F1702" s="66" t="s"/>
      <c r="G1702" s="66" t="s"/>
      <c r="H1702" s="66" t="s"/>
      <c r="I1702" s="62" t="s"/>
      <c r="J1702" s="62" t="s"/>
      <c r="K1702" s="99" t="s"/>
      <c r="L1702" s="66" t="s"/>
      <c r="M1702" s="66" t="s"/>
      <c r="N1702" s="572" t="s"/>
      <c r="O1702" s="62" t="s"/>
      <c r="P1702" s="62" t="s"/>
      <c r="Q1702" s="62" t="s"/>
      <c r="R1702" s="62" t="s"/>
    </row>
    <row r="1703" spans="1:18" ht="15.75" customHeight="true">
      <c r="A1703" s="107" t="s"/>
      <c r="B1703" s="62" t="s"/>
      <c r="C1703" s="62" t="s"/>
      <c r="D1703" s="62" t="s"/>
      <c r="E1703" s="62" t="s"/>
      <c r="F1703" s="66" t="s"/>
      <c r="G1703" s="66" t="s"/>
      <c r="H1703" s="66" t="s"/>
      <c r="I1703" s="62" t="s"/>
      <c r="J1703" s="62" t="s"/>
      <c r="K1703" s="99" t="s"/>
      <c r="L1703" s="66" t="s"/>
      <c r="M1703" s="66" t="s"/>
      <c r="N1703" s="572" t="s"/>
      <c r="O1703" s="62" t="s"/>
      <c r="P1703" s="62" t="s"/>
      <c r="Q1703" s="62" t="s"/>
      <c r="R1703" s="62" t="s"/>
    </row>
    <row r="1704" spans="1:18" ht="15.75" customHeight="true">
      <c r="A1704" s="107" t="s"/>
      <c r="B1704" s="62" t="s"/>
      <c r="C1704" s="62" t="s"/>
      <c r="D1704" s="62" t="s"/>
      <c r="E1704" s="62" t="s"/>
      <c r="F1704" s="66" t="s"/>
      <c r="G1704" s="66" t="s"/>
      <c r="H1704" s="66" t="s"/>
      <c r="I1704" s="62" t="s"/>
      <c r="J1704" s="62" t="s"/>
      <c r="K1704" s="99" t="s"/>
      <c r="L1704" s="66" t="s"/>
      <c r="M1704" s="66" t="s"/>
      <c r="N1704" s="572" t="s"/>
      <c r="O1704" s="62" t="s"/>
      <c r="P1704" s="62" t="s"/>
      <c r="Q1704" s="62" t="s"/>
      <c r="R1704" s="62" t="s"/>
    </row>
    <row r="1705" spans="1:18" ht="15.75" customHeight="true">
      <c r="A1705" s="107" t="s"/>
      <c r="B1705" s="62" t="s"/>
      <c r="C1705" s="62" t="s"/>
      <c r="D1705" s="62" t="s"/>
      <c r="E1705" s="62" t="s"/>
      <c r="F1705" s="66" t="s"/>
      <c r="G1705" s="66" t="s"/>
      <c r="H1705" s="66" t="s"/>
      <c r="I1705" s="62" t="s"/>
      <c r="J1705" s="62" t="s"/>
      <c r="K1705" s="99" t="s"/>
      <c r="L1705" s="66" t="s"/>
      <c r="M1705" s="66" t="s"/>
      <c r="N1705" s="572" t="s"/>
      <c r="O1705" s="62" t="s"/>
      <c r="P1705" s="62" t="s"/>
      <c r="Q1705" s="62" t="s"/>
      <c r="R1705" s="62" t="s"/>
    </row>
    <row r="1706" spans="1:18" ht="15.75" customHeight="true">
      <c r="A1706" s="107" t="s"/>
      <c r="B1706" s="62" t="s"/>
      <c r="C1706" s="62" t="s"/>
      <c r="D1706" s="62" t="s"/>
      <c r="E1706" s="62" t="s"/>
      <c r="F1706" s="66" t="s"/>
      <c r="G1706" s="66" t="s"/>
      <c r="H1706" s="66" t="s"/>
      <c r="I1706" s="62" t="s"/>
      <c r="J1706" s="62" t="s"/>
      <c r="K1706" s="99" t="s"/>
      <c r="L1706" s="66" t="s"/>
      <c r="M1706" s="66" t="s"/>
      <c r="N1706" s="572" t="s"/>
      <c r="O1706" s="62" t="s"/>
      <c r="P1706" s="62" t="s"/>
      <c r="Q1706" s="62" t="s"/>
      <c r="R1706" s="62" t="s"/>
    </row>
    <row r="1707" spans="1:18" ht="15.75" customHeight="true">
      <c r="A1707" s="107" t="s"/>
      <c r="B1707" s="62" t="s"/>
      <c r="C1707" s="62" t="s"/>
      <c r="D1707" s="62" t="s"/>
      <c r="E1707" s="62" t="s"/>
      <c r="F1707" s="66" t="s"/>
      <c r="G1707" s="66" t="s"/>
      <c r="H1707" s="66" t="s"/>
      <c r="I1707" s="62" t="s"/>
      <c r="J1707" s="62" t="s"/>
      <c r="K1707" s="99" t="s"/>
      <c r="L1707" s="66" t="s"/>
      <c r="M1707" s="66" t="s"/>
      <c r="N1707" s="572" t="s"/>
      <c r="O1707" s="62" t="s"/>
      <c r="P1707" s="62" t="s"/>
      <c r="Q1707" s="62" t="s"/>
      <c r="R1707" s="62" t="s"/>
    </row>
    <row r="1708" spans="1:18" ht="15.75" customHeight="true">
      <c r="A1708" s="107" t="s"/>
      <c r="B1708" s="62" t="s"/>
      <c r="C1708" s="62" t="s"/>
      <c r="D1708" s="62" t="s"/>
      <c r="E1708" s="62" t="s"/>
      <c r="F1708" s="66" t="s"/>
      <c r="G1708" s="66" t="s"/>
      <c r="H1708" s="66" t="s"/>
      <c r="I1708" s="62" t="s"/>
      <c r="J1708" s="62" t="s"/>
      <c r="K1708" s="99" t="s"/>
      <c r="L1708" s="66" t="s"/>
      <c r="M1708" s="66" t="s"/>
      <c r="N1708" s="572" t="s"/>
      <c r="O1708" s="62" t="s"/>
      <c r="P1708" s="62" t="s"/>
      <c r="Q1708" s="62" t="s"/>
      <c r="R1708" s="62" t="s"/>
    </row>
    <row r="1709" spans="1:18" ht="15.75" customHeight="true">
      <c r="A1709" s="107" t="s"/>
      <c r="B1709" s="62" t="s"/>
      <c r="C1709" s="62" t="s"/>
      <c r="D1709" s="62" t="s"/>
      <c r="E1709" s="62" t="s"/>
      <c r="F1709" s="66" t="s"/>
      <c r="G1709" s="66" t="s"/>
      <c r="H1709" s="66" t="s"/>
      <c r="I1709" s="62" t="s"/>
      <c r="J1709" s="62" t="s"/>
      <c r="K1709" s="99" t="s"/>
      <c r="L1709" s="66" t="s"/>
      <c r="M1709" s="66" t="s"/>
      <c r="N1709" s="572" t="s"/>
      <c r="O1709" s="62" t="s"/>
      <c r="P1709" s="62" t="s"/>
      <c r="Q1709" s="62" t="s"/>
      <c r="R1709" s="62" t="s"/>
    </row>
    <row r="1710" spans="1:18" ht="15.75" customHeight="true">
      <c r="A1710" s="107" t="s"/>
      <c r="B1710" s="62" t="s"/>
      <c r="C1710" s="62" t="s"/>
      <c r="D1710" s="62" t="s"/>
      <c r="E1710" s="62" t="s"/>
      <c r="F1710" s="66" t="s"/>
      <c r="G1710" s="66" t="s"/>
      <c r="H1710" s="66" t="s"/>
      <c r="I1710" s="62" t="s"/>
      <c r="J1710" s="62" t="s"/>
      <c r="K1710" s="99" t="s"/>
      <c r="L1710" s="66" t="s"/>
      <c r="M1710" s="66" t="s"/>
      <c r="N1710" s="572" t="s"/>
      <c r="O1710" s="62" t="s"/>
      <c r="P1710" s="62" t="s"/>
      <c r="Q1710" s="62" t="s"/>
      <c r="R1710" s="62" t="s"/>
    </row>
    <row r="1711" spans="1:18" ht="15.75" customHeight="true">
      <c r="A1711" s="107" t="s"/>
      <c r="B1711" s="62" t="s"/>
      <c r="C1711" s="62" t="s"/>
      <c r="D1711" s="62" t="s"/>
      <c r="E1711" s="62" t="s"/>
      <c r="F1711" s="66" t="s"/>
      <c r="G1711" s="66" t="s"/>
      <c r="H1711" s="66" t="s"/>
      <c r="I1711" s="62" t="s"/>
      <c r="J1711" s="62" t="s"/>
      <c r="K1711" s="99" t="s"/>
      <c r="L1711" s="66" t="s"/>
      <c r="M1711" s="66" t="s"/>
      <c r="N1711" s="572" t="s"/>
      <c r="O1711" s="62" t="s"/>
      <c r="P1711" s="62" t="s"/>
      <c r="Q1711" s="62" t="s"/>
      <c r="R1711" s="62" t="s"/>
    </row>
    <row r="1712" spans="1:18" ht="15.75" customHeight="true">
      <c r="A1712" s="107" t="s"/>
      <c r="B1712" s="62" t="s"/>
      <c r="C1712" s="62" t="s"/>
      <c r="D1712" s="62" t="s"/>
      <c r="E1712" s="62" t="s"/>
      <c r="F1712" s="66" t="s"/>
      <c r="G1712" s="66" t="s"/>
      <c r="H1712" s="66" t="s"/>
      <c r="I1712" s="62" t="s"/>
      <c r="J1712" s="62" t="s"/>
      <c r="K1712" s="99" t="s"/>
      <c r="L1712" s="66" t="s"/>
      <c r="M1712" s="66" t="s"/>
      <c r="N1712" s="572" t="s"/>
      <c r="O1712" s="62" t="s"/>
      <c r="P1712" s="62" t="s"/>
      <c r="Q1712" s="62" t="s"/>
      <c r="R1712" s="62" t="s"/>
    </row>
    <row r="1713" spans="1:18" ht="15.75" customHeight="true">
      <c r="A1713" s="107" t="s"/>
      <c r="B1713" s="62" t="s"/>
      <c r="C1713" s="62" t="s"/>
      <c r="D1713" s="62" t="s"/>
      <c r="E1713" s="62" t="s"/>
      <c r="F1713" s="66" t="s"/>
      <c r="G1713" s="66" t="s"/>
      <c r="H1713" s="66" t="s"/>
      <c r="I1713" s="62" t="s"/>
      <c r="J1713" s="62" t="s"/>
      <c r="K1713" s="99" t="s"/>
      <c r="L1713" s="66" t="s"/>
      <c r="M1713" s="66" t="s"/>
      <c r="N1713" s="572" t="s"/>
      <c r="O1713" s="62" t="s"/>
      <c r="P1713" s="62" t="s"/>
      <c r="Q1713" s="62" t="s"/>
      <c r="R1713" s="62" t="s"/>
    </row>
    <row r="1714" spans="1:18" ht="15.75" customHeight="true">
      <c r="A1714" s="107" t="s"/>
      <c r="B1714" s="62" t="s"/>
      <c r="C1714" s="62" t="s"/>
      <c r="D1714" s="62" t="s"/>
      <c r="E1714" s="62" t="s"/>
      <c r="F1714" s="66" t="s"/>
      <c r="G1714" s="66" t="s"/>
      <c r="H1714" s="66" t="s"/>
      <c r="I1714" s="62" t="s"/>
      <c r="J1714" s="62" t="s"/>
      <c r="K1714" s="99" t="s"/>
      <c r="L1714" s="66" t="s"/>
      <c r="M1714" s="66" t="s"/>
      <c r="N1714" s="572" t="s"/>
      <c r="O1714" s="62" t="s"/>
      <c r="P1714" s="62" t="s"/>
      <c r="Q1714" s="62" t="s"/>
      <c r="R1714" s="62" t="s"/>
    </row>
    <row r="1715" spans="1:18" ht="15.75" customHeight="true">
      <c r="A1715" s="107" t="s"/>
      <c r="B1715" s="62" t="s"/>
      <c r="C1715" s="62" t="s"/>
      <c r="D1715" s="62" t="s"/>
      <c r="E1715" s="62" t="s"/>
      <c r="F1715" s="66" t="s"/>
      <c r="G1715" s="66" t="s"/>
      <c r="H1715" s="66" t="s"/>
      <c r="I1715" s="62" t="s"/>
      <c r="J1715" s="62" t="s"/>
      <c r="K1715" s="99" t="s"/>
      <c r="L1715" s="66" t="s"/>
      <c r="M1715" s="66" t="s"/>
      <c r="N1715" s="572" t="s"/>
      <c r="O1715" s="62" t="s"/>
      <c r="P1715" s="62" t="s"/>
      <c r="Q1715" s="62" t="s"/>
      <c r="R1715" s="62" t="s"/>
    </row>
    <row r="1716" spans="1:18" ht="15.75" customHeight="true">
      <c r="A1716" s="107" t="s"/>
      <c r="B1716" s="62" t="s"/>
      <c r="C1716" s="62" t="s"/>
      <c r="D1716" s="62" t="s"/>
      <c r="E1716" s="62" t="s"/>
      <c r="F1716" s="66" t="s"/>
      <c r="G1716" s="66" t="s"/>
      <c r="H1716" s="66" t="s"/>
      <c r="I1716" s="62" t="s"/>
      <c r="J1716" s="62" t="s"/>
      <c r="K1716" s="99" t="s"/>
      <c r="L1716" s="66" t="s"/>
      <c r="M1716" s="66" t="s"/>
      <c r="N1716" s="572" t="s"/>
      <c r="O1716" s="62" t="s"/>
      <c r="P1716" s="62" t="s"/>
      <c r="Q1716" s="62" t="s"/>
      <c r="R1716" s="62" t="s"/>
    </row>
    <row r="1717" spans="1:18" ht="15.75" customHeight="true">
      <c r="A1717" s="107" t="s"/>
      <c r="B1717" s="62" t="s"/>
      <c r="C1717" s="62" t="s"/>
      <c r="D1717" s="62" t="s"/>
      <c r="E1717" s="62" t="s"/>
      <c r="F1717" s="66" t="s"/>
      <c r="G1717" s="66" t="s"/>
      <c r="H1717" s="66" t="s"/>
      <c r="I1717" s="62" t="s"/>
      <c r="J1717" s="62" t="s"/>
      <c r="K1717" s="99" t="s"/>
      <c r="L1717" s="66" t="s"/>
      <c r="M1717" s="66" t="s"/>
      <c r="N1717" s="572" t="s"/>
      <c r="O1717" s="62" t="s"/>
      <c r="P1717" s="62" t="s"/>
      <c r="Q1717" s="62" t="s"/>
      <c r="R1717" s="62" t="s"/>
    </row>
    <row r="1718" spans="1:18" ht="15.75" customHeight="true">
      <c r="A1718" s="107" t="s"/>
      <c r="B1718" s="62" t="s"/>
      <c r="C1718" s="62" t="s"/>
      <c r="D1718" s="62" t="s"/>
      <c r="E1718" s="62" t="s"/>
      <c r="F1718" s="66" t="s"/>
      <c r="G1718" s="66" t="s"/>
      <c r="H1718" s="66" t="s"/>
      <c r="I1718" s="62" t="s"/>
      <c r="J1718" s="62" t="s"/>
      <c r="K1718" s="99" t="s"/>
      <c r="L1718" s="66" t="s"/>
      <c r="M1718" s="66" t="s"/>
      <c r="N1718" s="572" t="s"/>
      <c r="O1718" s="62" t="s"/>
      <c r="P1718" s="62" t="s"/>
      <c r="Q1718" s="62" t="s"/>
      <c r="R1718" s="62" t="s"/>
    </row>
    <row r="1719" spans="1:18" ht="15.75" customHeight="true">
      <c r="A1719" s="107" t="s"/>
      <c r="B1719" s="62" t="s"/>
      <c r="C1719" s="62" t="s"/>
      <c r="D1719" s="62" t="s"/>
      <c r="E1719" s="62" t="s"/>
      <c r="F1719" s="66" t="s"/>
      <c r="G1719" s="66" t="s"/>
      <c r="H1719" s="66" t="s"/>
      <c r="I1719" s="62" t="s"/>
      <c r="J1719" s="62" t="s"/>
      <c r="K1719" s="99" t="s"/>
      <c r="L1719" s="66" t="s"/>
      <c r="M1719" s="66" t="s"/>
      <c r="N1719" s="572" t="s"/>
      <c r="O1719" s="62" t="s"/>
      <c r="P1719" s="62" t="s"/>
      <c r="Q1719" s="62" t="s"/>
      <c r="R1719" s="62" t="s"/>
    </row>
    <row r="1720" spans="1:18" ht="15.75" customHeight="true">
      <c r="A1720" s="107" t="s"/>
      <c r="B1720" s="62" t="s"/>
      <c r="C1720" s="62" t="s"/>
      <c r="D1720" s="62" t="s"/>
      <c r="E1720" s="62" t="s"/>
      <c r="F1720" s="66" t="s"/>
      <c r="G1720" s="66" t="s"/>
      <c r="H1720" s="66" t="s"/>
      <c r="I1720" s="62" t="s"/>
      <c r="J1720" s="62" t="s"/>
      <c r="K1720" s="99" t="s"/>
      <c r="L1720" s="66" t="s"/>
      <c r="M1720" s="66" t="s"/>
      <c r="N1720" s="572" t="s"/>
      <c r="O1720" s="62" t="s"/>
      <c r="P1720" s="62" t="s"/>
      <c r="Q1720" s="62" t="s"/>
      <c r="R1720" s="62" t="s"/>
    </row>
    <row r="1721" spans="1:18" ht="15.75" customHeight="true">
      <c r="A1721" s="107" t="s"/>
      <c r="B1721" s="62" t="s"/>
      <c r="C1721" s="62" t="s"/>
      <c r="D1721" s="62" t="s"/>
      <c r="E1721" s="62" t="s"/>
      <c r="F1721" s="66" t="s"/>
      <c r="G1721" s="66" t="s"/>
      <c r="H1721" s="66" t="s"/>
      <c r="I1721" s="62" t="s"/>
      <c r="J1721" s="62" t="s"/>
      <c r="K1721" s="99" t="s"/>
      <c r="L1721" s="66" t="s"/>
      <c r="M1721" s="66" t="s"/>
      <c r="N1721" s="572" t="s"/>
      <c r="O1721" s="62" t="s"/>
      <c r="P1721" s="62" t="s"/>
      <c r="Q1721" s="62" t="s"/>
      <c r="R1721" s="62" t="s"/>
    </row>
    <row r="1722" spans="1:18" ht="15.75" customHeight="true">
      <c r="A1722" s="107" t="s"/>
      <c r="B1722" s="62" t="s"/>
      <c r="C1722" s="62" t="s"/>
      <c r="D1722" s="62" t="s"/>
      <c r="E1722" s="62" t="s"/>
      <c r="F1722" s="66" t="s"/>
      <c r="G1722" s="66" t="s"/>
      <c r="H1722" s="66" t="s"/>
      <c r="I1722" s="62" t="s"/>
      <c r="J1722" s="62" t="s"/>
      <c r="K1722" s="99" t="s"/>
      <c r="L1722" s="66" t="s"/>
      <c r="M1722" s="66" t="s"/>
      <c r="N1722" s="572" t="s"/>
      <c r="O1722" s="62" t="s"/>
      <c r="P1722" s="62" t="s"/>
      <c r="Q1722" s="62" t="s"/>
      <c r="R1722" s="62" t="s"/>
    </row>
    <row r="1723" spans="1:18" ht="15.75" customHeight="true">
      <c r="A1723" s="107" t="s"/>
      <c r="B1723" s="62" t="s"/>
      <c r="C1723" s="62" t="s"/>
      <c r="D1723" s="62" t="s"/>
      <c r="E1723" s="62" t="s"/>
      <c r="F1723" s="66" t="s"/>
      <c r="G1723" s="66" t="s"/>
      <c r="H1723" s="66" t="s"/>
      <c r="I1723" s="62" t="s"/>
      <c r="J1723" s="62" t="s"/>
      <c r="K1723" s="99" t="s"/>
      <c r="L1723" s="66" t="s"/>
      <c r="M1723" s="66" t="s"/>
      <c r="N1723" s="572" t="s"/>
      <c r="O1723" s="62" t="s"/>
      <c r="P1723" s="62" t="s"/>
      <c r="Q1723" s="62" t="s"/>
      <c r="R1723" s="62" t="s"/>
    </row>
    <row r="1724" spans="1:18" ht="15.75" customHeight="true">
      <c r="A1724" s="107" t="s"/>
      <c r="B1724" s="62" t="s"/>
      <c r="C1724" s="62" t="s"/>
      <c r="D1724" s="62" t="s"/>
      <c r="E1724" s="62" t="s"/>
      <c r="F1724" s="66" t="s"/>
      <c r="G1724" s="66" t="s"/>
      <c r="H1724" s="66" t="s"/>
      <c r="I1724" s="62" t="s"/>
      <c r="J1724" s="62" t="s"/>
      <c r="K1724" s="99" t="s"/>
      <c r="L1724" s="66" t="s"/>
      <c r="M1724" s="66" t="s"/>
      <c r="N1724" s="572" t="s"/>
      <c r="O1724" s="62" t="s"/>
      <c r="P1724" s="62" t="s"/>
      <c r="Q1724" s="62" t="s"/>
      <c r="R1724" s="62" t="s"/>
    </row>
    <row r="1725" spans="1:18" ht="15.75" customHeight="true">
      <c r="A1725" s="107" t="s"/>
      <c r="B1725" s="62" t="s"/>
      <c r="C1725" s="62" t="s"/>
      <c r="D1725" s="62" t="s"/>
      <c r="E1725" s="62" t="s"/>
      <c r="F1725" s="66" t="s"/>
      <c r="G1725" s="66" t="s"/>
      <c r="H1725" s="66" t="s"/>
      <c r="I1725" s="62" t="s"/>
      <c r="J1725" s="62" t="s"/>
      <c r="K1725" s="99" t="s"/>
      <c r="L1725" s="66" t="s"/>
      <c r="M1725" s="66" t="s"/>
      <c r="N1725" s="572" t="s"/>
      <c r="O1725" s="62" t="s"/>
      <c r="P1725" s="62" t="s"/>
      <c r="Q1725" s="62" t="s"/>
      <c r="R1725" s="62" t="s"/>
    </row>
    <row r="1726" spans="1:18" ht="15.75" customHeight="true">
      <c r="A1726" s="107" t="s"/>
      <c r="B1726" s="62" t="s"/>
      <c r="C1726" s="62" t="s"/>
      <c r="D1726" s="62" t="s"/>
      <c r="E1726" s="62" t="s"/>
      <c r="F1726" s="66" t="s"/>
      <c r="G1726" s="66" t="s"/>
      <c r="H1726" s="66" t="s"/>
      <c r="I1726" s="62" t="s"/>
      <c r="J1726" s="62" t="s"/>
      <c r="K1726" s="99" t="s"/>
      <c r="L1726" s="66" t="s"/>
      <c r="M1726" s="66" t="s"/>
      <c r="N1726" s="572" t="s"/>
      <c r="O1726" s="62" t="s"/>
      <c r="P1726" s="62" t="s"/>
      <c r="Q1726" s="62" t="s"/>
      <c r="R1726" s="62" t="s"/>
    </row>
    <row r="1727" spans="1:18" ht="15.75" customHeight="true">
      <c r="A1727" s="107" t="s"/>
      <c r="B1727" s="62" t="s"/>
      <c r="C1727" s="62" t="s"/>
      <c r="D1727" s="62" t="s"/>
      <c r="E1727" s="62" t="s"/>
      <c r="F1727" s="66" t="s"/>
      <c r="G1727" s="66" t="s"/>
      <c r="H1727" s="66" t="s"/>
      <c r="I1727" s="62" t="s"/>
      <c r="J1727" s="62" t="s"/>
      <c r="K1727" s="99" t="s"/>
      <c r="L1727" s="66" t="s"/>
      <c r="M1727" s="66" t="s"/>
      <c r="N1727" s="572" t="s"/>
      <c r="O1727" s="62" t="s"/>
      <c r="P1727" s="62" t="s"/>
      <c r="Q1727" s="62" t="s"/>
      <c r="R1727" s="62" t="s"/>
    </row>
    <row r="1728" spans="1:18" ht="15.75" customHeight="true">
      <c r="A1728" s="107" t="s"/>
      <c r="B1728" s="62" t="s"/>
      <c r="C1728" s="62" t="s"/>
      <c r="D1728" s="62" t="s"/>
      <c r="E1728" s="62" t="s"/>
      <c r="F1728" s="66" t="s"/>
      <c r="G1728" s="66" t="s"/>
      <c r="H1728" s="66" t="s"/>
      <c r="I1728" s="62" t="s"/>
      <c r="J1728" s="62" t="s"/>
      <c r="K1728" s="99" t="s"/>
      <c r="L1728" s="66" t="s"/>
      <c r="M1728" s="66" t="s"/>
      <c r="N1728" s="572" t="s"/>
      <c r="O1728" s="62" t="s"/>
      <c r="P1728" s="62" t="s"/>
      <c r="Q1728" s="62" t="s"/>
      <c r="R1728" s="62" t="s"/>
    </row>
    <row r="1729" spans="1:18" ht="15.75" customHeight="true">
      <c r="A1729" s="107" t="s"/>
      <c r="B1729" s="62" t="s"/>
      <c r="C1729" s="62" t="s"/>
      <c r="D1729" s="62" t="s"/>
      <c r="E1729" s="62" t="s"/>
      <c r="F1729" s="66" t="s"/>
      <c r="G1729" s="66" t="s"/>
      <c r="H1729" s="66" t="s"/>
      <c r="I1729" s="62" t="s"/>
      <c r="J1729" s="62" t="s"/>
      <c r="K1729" s="99" t="s"/>
      <c r="L1729" s="66" t="s"/>
      <c r="M1729" s="66" t="s"/>
      <c r="N1729" s="572" t="s"/>
      <c r="O1729" s="62" t="s"/>
      <c r="P1729" s="62" t="s"/>
      <c r="Q1729" s="62" t="s"/>
      <c r="R1729" s="62" t="s"/>
    </row>
    <row r="1730" spans="1:18" ht="15.75" customHeight="true">
      <c r="A1730" s="107" t="s"/>
      <c r="B1730" s="62" t="s"/>
      <c r="C1730" s="62" t="s"/>
      <c r="D1730" s="62" t="s"/>
      <c r="E1730" s="62" t="s"/>
      <c r="F1730" s="66" t="s"/>
      <c r="G1730" s="66" t="s"/>
      <c r="H1730" s="66" t="s"/>
      <c r="I1730" s="62" t="s"/>
      <c r="J1730" s="62" t="s"/>
      <c r="K1730" s="99" t="s"/>
      <c r="L1730" s="66" t="s"/>
      <c r="M1730" s="66" t="s"/>
      <c r="N1730" s="572" t="s"/>
      <c r="O1730" s="62" t="s"/>
      <c r="P1730" s="62" t="s"/>
      <c r="Q1730" s="62" t="s"/>
      <c r="R1730" s="62" t="s"/>
    </row>
    <row r="1731" spans="1:18" ht="15.75" customHeight="true">
      <c r="A1731" s="107" t="s"/>
      <c r="B1731" s="62" t="s"/>
      <c r="C1731" s="62" t="s"/>
      <c r="D1731" s="62" t="s"/>
      <c r="E1731" s="62" t="s"/>
      <c r="F1731" s="66" t="s"/>
      <c r="G1731" s="66" t="s"/>
      <c r="H1731" s="66" t="s"/>
      <c r="I1731" s="62" t="s"/>
      <c r="J1731" s="62" t="s"/>
      <c r="K1731" s="99" t="s"/>
      <c r="L1731" s="66" t="s"/>
      <c r="M1731" s="66" t="s"/>
      <c r="N1731" s="572" t="s"/>
      <c r="O1731" s="62" t="s"/>
      <c r="P1731" s="62" t="s"/>
      <c r="Q1731" s="62" t="s"/>
      <c r="R1731" s="62" t="s"/>
    </row>
    <row r="1732" spans="1:18" ht="15.75" customHeight="true">
      <c r="A1732" s="107" t="s"/>
      <c r="B1732" s="62" t="s"/>
      <c r="C1732" s="62" t="s"/>
      <c r="D1732" s="62" t="s"/>
      <c r="E1732" s="62" t="s"/>
      <c r="F1732" s="66" t="s"/>
      <c r="G1732" s="66" t="s"/>
      <c r="H1732" s="66" t="s"/>
      <c r="I1732" s="62" t="s"/>
      <c r="J1732" s="62" t="s"/>
      <c r="K1732" s="99" t="s"/>
      <c r="L1732" s="66" t="s"/>
      <c r="M1732" s="66" t="s"/>
      <c r="N1732" s="572" t="s"/>
      <c r="O1732" s="62" t="s"/>
      <c r="P1732" s="62" t="s"/>
      <c r="Q1732" s="62" t="s"/>
      <c r="R1732" s="62" t="s"/>
    </row>
    <row r="1733" spans="1:18" ht="15.75" customHeight="true">
      <c r="A1733" s="107" t="s"/>
      <c r="B1733" s="62" t="s"/>
      <c r="C1733" s="62" t="s"/>
      <c r="D1733" s="62" t="s"/>
      <c r="E1733" s="62" t="s"/>
      <c r="F1733" s="66" t="s"/>
      <c r="G1733" s="66" t="s"/>
      <c r="H1733" s="66" t="s"/>
      <c r="I1733" s="62" t="s"/>
      <c r="J1733" s="62" t="s"/>
      <c r="K1733" s="99" t="s"/>
      <c r="L1733" s="66" t="s"/>
      <c r="M1733" s="66" t="s"/>
      <c r="N1733" s="572" t="s"/>
      <c r="O1733" s="62" t="s"/>
      <c r="P1733" s="62" t="s"/>
      <c r="Q1733" s="62" t="s"/>
      <c r="R1733" s="62" t="s"/>
    </row>
    <row r="1734" spans="1:18" ht="15.75" customHeight="true">
      <c r="A1734" s="107" t="s"/>
      <c r="B1734" s="62" t="s"/>
      <c r="C1734" s="62" t="s"/>
      <c r="D1734" s="62" t="s"/>
      <c r="E1734" s="62" t="s"/>
      <c r="F1734" s="66" t="s"/>
      <c r="G1734" s="66" t="s"/>
      <c r="H1734" s="66" t="s"/>
      <c r="I1734" s="62" t="s"/>
      <c r="J1734" s="62" t="s"/>
      <c r="K1734" s="99" t="s"/>
      <c r="L1734" s="66" t="s"/>
      <c r="M1734" s="66" t="s"/>
      <c r="N1734" s="572" t="s"/>
      <c r="O1734" s="62" t="s"/>
      <c r="P1734" s="62" t="s"/>
      <c r="Q1734" s="62" t="s"/>
      <c r="R1734" s="62" t="s"/>
    </row>
    <row r="1735" spans="1:18" ht="15.75" customHeight="true">
      <c r="A1735" s="107" t="s"/>
      <c r="B1735" s="62" t="s"/>
      <c r="C1735" s="62" t="s"/>
      <c r="D1735" s="62" t="s"/>
      <c r="E1735" s="62" t="s"/>
      <c r="F1735" s="66" t="s"/>
      <c r="G1735" s="66" t="s"/>
      <c r="H1735" s="66" t="s"/>
      <c r="I1735" s="62" t="s"/>
      <c r="J1735" s="62" t="s"/>
      <c r="K1735" s="99" t="s"/>
      <c r="L1735" s="66" t="s"/>
      <c r="M1735" s="66" t="s"/>
      <c r="N1735" s="572" t="s"/>
      <c r="O1735" s="62" t="s"/>
      <c r="P1735" s="62" t="s"/>
      <c r="Q1735" s="62" t="s"/>
      <c r="R1735" s="62" t="s"/>
    </row>
    <row r="1736" spans="1:18" ht="15.75" customHeight="true">
      <c r="A1736" s="107" t="s"/>
      <c r="B1736" s="62" t="s"/>
      <c r="C1736" s="62" t="s"/>
      <c r="D1736" s="62" t="s"/>
      <c r="E1736" s="62" t="s"/>
      <c r="F1736" s="66" t="s"/>
      <c r="G1736" s="66" t="s"/>
      <c r="H1736" s="66" t="s"/>
      <c r="I1736" s="62" t="s"/>
      <c r="J1736" s="62" t="s"/>
      <c r="K1736" s="99" t="s"/>
      <c r="L1736" s="66" t="s"/>
      <c r="M1736" s="66" t="s"/>
      <c r="N1736" s="572" t="s"/>
      <c r="O1736" s="62" t="s"/>
      <c r="P1736" s="62" t="s"/>
      <c r="Q1736" s="62" t="s"/>
      <c r="R1736" s="62" t="s"/>
    </row>
    <row r="1737" spans="1:18" ht="15.75" customHeight="true">
      <c r="A1737" s="107" t="s"/>
      <c r="B1737" s="62" t="s"/>
      <c r="C1737" s="62" t="s"/>
      <c r="D1737" s="62" t="s"/>
      <c r="E1737" s="62" t="s"/>
      <c r="F1737" s="66" t="s"/>
      <c r="G1737" s="66" t="s"/>
      <c r="H1737" s="66" t="s"/>
      <c r="I1737" s="62" t="s"/>
      <c r="J1737" s="62" t="s"/>
      <c r="K1737" s="99" t="s"/>
      <c r="L1737" s="66" t="s"/>
      <c r="M1737" s="66" t="s"/>
      <c r="N1737" s="572" t="s"/>
      <c r="O1737" s="62" t="s"/>
      <c r="P1737" s="62" t="s"/>
      <c r="Q1737" s="62" t="s"/>
      <c r="R1737" s="62" t="s"/>
    </row>
    <row r="1738" spans="1:18" ht="15.75" customHeight="true">
      <c r="A1738" s="107" t="s"/>
      <c r="B1738" s="62" t="s"/>
      <c r="C1738" s="62" t="s"/>
      <c r="D1738" s="62" t="s"/>
      <c r="E1738" s="62" t="s"/>
      <c r="F1738" s="66" t="s"/>
      <c r="G1738" s="66" t="s"/>
      <c r="H1738" s="66" t="s"/>
      <c r="I1738" s="62" t="s"/>
      <c r="J1738" s="62" t="s"/>
      <c r="K1738" s="99" t="s"/>
      <c r="L1738" s="66" t="s"/>
      <c r="M1738" s="66" t="s"/>
      <c r="N1738" s="572" t="s"/>
      <c r="O1738" s="62" t="s"/>
      <c r="P1738" s="62" t="s"/>
      <c r="Q1738" s="62" t="s"/>
      <c r="R1738" s="62" t="s"/>
    </row>
    <row r="1739" spans="1:18" ht="15.75" customHeight="true">
      <c r="A1739" s="107" t="s"/>
      <c r="B1739" s="62" t="s"/>
      <c r="C1739" s="62" t="s"/>
      <c r="D1739" s="62" t="s"/>
      <c r="E1739" s="62" t="s"/>
      <c r="F1739" s="66" t="s"/>
      <c r="G1739" s="66" t="s"/>
      <c r="H1739" s="66" t="s"/>
      <c r="I1739" s="62" t="s"/>
      <c r="J1739" s="62" t="s"/>
      <c r="K1739" s="99" t="s"/>
      <c r="L1739" s="66" t="s"/>
      <c r="M1739" s="66" t="s"/>
      <c r="N1739" s="572" t="s"/>
      <c r="O1739" s="62" t="s"/>
      <c r="P1739" s="62" t="s"/>
      <c r="Q1739" s="62" t="s"/>
      <c r="R1739" s="62" t="s"/>
    </row>
    <row r="1740" spans="1:18" ht="15.75" customHeight="true">
      <c r="A1740" s="107" t="s"/>
      <c r="B1740" s="62" t="s"/>
      <c r="C1740" s="62" t="s"/>
      <c r="D1740" s="62" t="s"/>
      <c r="E1740" s="62" t="s"/>
      <c r="F1740" s="66" t="s"/>
      <c r="G1740" s="66" t="s"/>
      <c r="H1740" s="66" t="s"/>
      <c r="I1740" s="62" t="s"/>
      <c r="J1740" s="62" t="s"/>
      <c r="K1740" s="99" t="s"/>
      <c r="L1740" s="66" t="s"/>
      <c r="M1740" s="66" t="s"/>
      <c r="N1740" s="572" t="s"/>
      <c r="O1740" s="62" t="s"/>
      <c r="P1740" s="62" t="s"/>
      <c r="Q1740" s="62" t="s"/>
      <c r="R1740" s="62" t="s"/>
    </row>
    <row r="1741" spans="1:18" ht="15.75" customHeight="true">
      <c r="A1741" s="107" t="s"/>
      <c r="B1741" s="62" t="s"/>
      <c r="C1741" s="62" t="s"/>
      <c r="D1741" s="62" t="s"/>
      <c r="E1741" s="62" t="s"/>
      <c r="F1741" s="66" t="s"/>
      <c r="G1741" s="66" t="s"/>
      <c r="H1741" s="66" t="s"/>
      <c r="I1741" s="62" t="s"/>
      <c r="J1741" s="62" t="s"/>
      <c r="K1741" s="99" t="s"/>
      <c r="L1741" s="66" t="s"/>
      <c r="M1741" s="66" t="s"/>
      <c r="N1741" s="572" t="s"/>
      <c r="O1741" s="62" t="s"/>
      <c r="P1741" s="62" t="s"/>
      <c r="Q1741" s="62" t="s"/>
      <c r="R1741" s="62" t="s"/>
    </row>
    <row r="1742" spans="1:18" ht="15.75" customHeight="true">
      <c r="A1742" s="107" t="s"/>
      <c r="B1742" s="62" t="s"/>
      <c r="C1742" s="62" t="s"/>
      <c r="D1742" s="62" t="s"/>
      <c r="E1742" s="62" t="s"/>
      <c r="F1742" s="66" t="s"/>
      <c r="G1742" s="66" t="s"/>
      <c r="H1742" s="66" t="s"/>
      <c r="I1742" s="62" t="s"/>
      <c r="J1742" s="62" t="s"/>
      <c r="K1742" s="99" t="s"/>
      <c r="L1742" s="66" t="s"/>
      <c r="M1742" s="66" t="s"/>
      <c r="N1742" s="572" t="s"/>
      <c r="O1742" s="62" t="s"/>
      <c r="P1742" s="62" t="s"/>
      <c r="Q1742" s="62" t="s"/>
      <c r="R1742" s="62" t="s"/>
    </row>
    <row r="1743" spans="1:18" ht="15.75" customHeight="true">
      <c r="A1743" s="107" t="s"/>
      <c r="B1743" s="62" t="s"/>
      <c r="C1743" s="62" t="s"/>
      <c r="D1743" s="62" t="s"/>
      <c r="E1743" s="62" t="s"/>
      <c r="F1743" s="66" t="s"/>
      <c r="G1743" s="66" t="s"/>
      <c r="H1743" s="66" t="s"/>
      <c r="I1743" s="62" t="s"/>
      <c r="J1743" s="62" t="s"/>
      <c r="K1743" s="99" t="s"/>
      <c r="L1743" s="66" t="s"/>
      <c r="M1743" s="66" t="s"/>
      <c r="N1743" s="572" t="s"/>
      <c r="O1743" s="62" t="s"/>
      <c r="P1743" s="62" t="s"/>
      <c r="Q1743" s="62" t="s"/>
      <c r="R1743" s="62" t="s"/>
    </row>
    <row r="1744" spans="1:18" ht="15.75" customHeight="true">
      <c r="A1744" s="107" t="s"/>
      <c r="B1744" s="62" t="s"/>
      <c r="C1744" s="62" t="s"/>
      <c r="D1744" s="62" t="s"/>
      <c r="E1744" s="62" t="s"/>
      <c r="F1744" s="66" t="s"/>
      <c r="G1744" s="66" t="s"/>
      <c r="H1744" s="66" t="s"/>
      <c r="I1744" s="62" t="s"/>
      <c r="J1744" s="62" t="s"/>
      <c r="K1744" s="99" t="s"/>
      <c r="L1744" s="66" t="s"/>
      <c r="M1744" s="66" t="s"/>
      <c r="N1744" s="572" t="s"/>
      <c r="O1744" s="62" t="s"/>
      <c r="P1744" s="62" t="s"/>
      <c r="Q1744" s="62" t="s"/>
      <c r="R1744" s="62" t="s"/>
    </row>
    <row r="1745" spans="1:18" ht="15.75" customHeight="true">
      <c r="A1745" s="107" t="s"/>
      <c r="B1745" s="62" t="s"/>
      <c r="C1745" s="62" t="s"/>
      <c r="D1745" s="62" t="s"/>
      <c r="E1745" s="62" t="s"/>
      <c r="F1745" s="66" t="s"/>
      <c r="G1745" s="66" t="s"/>
      <c r="H1745" s="66" t="s"/>
      <c r="I1745" s="62" t="s"/>
      <c r="J1745" s="62" t="s"/>
      <c r="K1745" s="99" t="s"/>
      <c r="L1745" s="66" t="s"/>
      <c r="M1745" s="66" t="s"/>
      <c r="N1745" s="572" t="s"/>
      <c r="O1745" s="62" t="s"/>
      <c r="P1745" s="62" t="s"/>
      <c r="Q1745" s="62" t="s"/>
      <c r="R1745" s="62" t="s"/>
    </row>
    <row r="1746" spans="1:18" ht="15.75" customHeight="true">
      <c r="A1746" s="107" t="s"/>
      <c r="B1746" s="62" t="s"/>
      <c r="C1746" s="62" t="s"/>
      <c r="D1746" s="62" t="s"/>
      <c r="E1746" s="62" t="s"/>
      <c r="F1746" s="66" t="s"/>
      <c r="G1746" s="66" t="s"/>
      <c r="H1746" s="66" t="s"/>
      <c r="I1746" s="62" t="s"/>
      <c r="J1746" s="62" t="s"/>
      <c r="K1746" s="99" t="s"/>
      <c r="L1746" s="66" t="s"/>
      <c r="M1746" s="66" t="s"/>
      <c r="N1746" s="572" t="s"/>
      <c r="O1746" s="62" t="s"/>
      <c r="P1746" s="62" t="s"/>
      <c r="Q1746" s="62" t="s"/>
      <c r="R1746" s="62" t="s"/>
    </row>
    <row r="1747" spans="1:18" ht="15.75" customHeight="true">
      <c r="A1747" s="107" t="s"/>
      <c r="B1747" s="62" t="s"/>
      <c r="C1747" s="62" t="s"/>
      <c r="D1747" s="62" t="s"/>
      <c r="E1747" s="62" t="s"/>
      <c r="F1747" s="66" t="s"/>
      <c r="G1747" s="66" t="s"/>
      <c r="H1747" s="66" t="s"/>
      <c r="I1747" s="62" t="s"/>
      <c r="J1747" s="62" t="s"/>
      <c r="K1747" s="99" t="s"/>
      <c r="L1747" s="66" t="s"/>
      <c r="M1747" s="66" t="s"/>
      <c r="N1747" s="572" t="s"/>
      <c r="O1747" s="62" t="s"/>
      <c r="P1747" s="62" t="s"/>
      <c r="Q1747" s="62" t="s"/>
      <c r="R1747" s="62" t="s"/>
    </row>
    <row r="1748" spans="1:18" ht="15.75" customHeight="true">
      <c r="A1748" s="107" t="s"/>
      <c r="B1748" s="62" t="s"/>
      <c r="C1748" s="62" t="s"/>
      <c r="D1748" s="62" t="s"/>
      <c r="E1748" s="62" t="s"/>
      <c r="F1748" s="66" t="s"/>
      <c r="G1748" s="66" t="s"/>
      <c r="H1748" s="66" t="s"/>
      <c r="I1748" s="62" t="s"/>
      <c r="J1748" s="62" t="s"/>
      <c r="K1748" s="99" t="s"/>
      <c r="L1748" s="66" t="s"/>
      <c r="M1748" s="66" t="s"/>
      <c r="N1748" s="572" t="s"/>
      <c r="O1748" s="62" t="s"/>
      <c r="P1748" s="62" t="s"/>
      <c r="Q1748" s="62" t="s"/>
      <c r="R1748" s="62" t="s"/>
    </row>
    <row r="1749" spans="1:18" ht="15.75" customHeight="true">
      <c r="A1749" s="107" t="s"/>
      <c r="B1749" s="62" t="s"/>
      <c r="C1749" s="62" t="s"/>
      <c r="D1749" s="62" t="s"/>
      <c r="E1749" s="62" t="s"/>
      <c r="F1749" s="66" t="s"/>
      <c r="G1749" s="66" t="s"/>
      <c r="H1749" s="66" t="s"/>
      <c r="I1749" s="62" t="s"/>
      <c r="J1749" s="62" t="s"/>
      <c r="K1749" s="99" t="s"/>
      <c r="L1749" s="66" t="s"/>
      <c r="M1749" s="66" t="s"/>
      <c r="N1749" s="572" t="s"/>
      <c r="O1749" s="62" t="s"/>
      <c r="P1749" s="62" t="s"/>
      <c r="Q1749" s="62" t="s"/>
      <c r="R1749" s="62" t="s"/>
    </row>
    <row r="1750" spans="1:18" ht="15.75" customHeight="true">
      <c r="A1750" s="107" t="s"/>
      <c r="B1750" s="62" t="s"/>
      <c r="C1750" s="62" t="s"/>
      <c r="D1750" s="62" t="s"/>
      <c r="E1750" s="62" t="s"/>
      <c r="F1750" s="66" t="s"/>
      <c r="G1750" s="66" t="s"/>
      <c r="H1750" s="66" t="s"/>
      <c r="I1750" s="62" t="s"/>
      <c r="J1750" s="62" t="s"/>
      <c r="K1750" s="99" t="s"/>
      <c r="L1750" s="66" t="s"/>
      <c r="M1750" s="66" t="s"/>
      <c r="N1750" s="572" t="s"/>
      <c r="O1750" s="62" t="s"/>
      <c r="P1750" s="62" t="s"/>
      <c r="Q1750" s="62" t="s"/>
      <c r="R1750" s="62" t="s"/>
    </row>
    <row r="1751" spans="1:18" ht="15.75" customHeight="true">
      <c r="A1751" s="107" t="s"/>
      <c r="B1751" s="62" t="s"/>
      <c r="C1751" s="62" t="s"/>
      <c r="D1751" s="62" t="s"/>
      <c r="E1751" s="62" t="s"/>
      <c r="F1751" s="66" t="s"/>
      <c r="G1751" s="66" t="s"/>
      <c r="H1751" s="66" t="s"/>
      <c r="I1751" s="62" t="s"/>
      <c r="J1751" s="62" t="s"/>
      <c r="K1751" s="99" t="s"/>
      <c r="L1751" s="66" t="s"/>
      <c r="M1751" s="66" t="s"/>
      <c r="N1751" s="572" t="s"/>
      <c r="O1751" s="62" t="s"/>
      <c r="P1751" s="62" t="s"/>
      <c r="Q1751" s="62" t="s"/>
      <c r="R1751" s="62" t="s"/>
    </row>
    <row r="1752" spans="1:18" ht="15.75" customHeight="true">
      <c r="A1752" s="107" t="s"/>
      <c r="B1752" s="62" t="s"/>
      <c r="C1752" s="62" t="s"/>
      <c r="D1752" s="62" t="s"/>
      <c r="E1752" s="62" t="s"/>
      <c r="F1752" s="66" t="s"/>
      <c r="G1752" s="66" t="s"/>
      <c r="H1752" s="66" t="s"/>
      <c r="I1752" s="62" t="s"/>
      <c r="J1752" s="62" t="s"/>
      <c r="K1752" s="99" t="s"/>
      <c r="L1752" s="66" t="s"/>
      <c r="M1752" s="66" t="s"/>
      <c r="N1752" s="572" t="s"/>
      <c r="O1752" s="62" t="s"/>
      <c r="P1752" s="62" t="s"/>
      <c r="Q1752" s="62" t="s"/>
      <c r="R1752" s="62" t="s"/>
    </row>
    <row r="1753" spans="1:18" ht="15.75" customHeight="true">
      <c r="A1753" s="107" t="s"/>
      <c r="B1753" s="62" t="s"/>
      <c r="C1753" s="62" t="s"/>
      <c r="D1753" s="62" t="s"/>
      <c r="E1753" s="62" t="s"/>
      <c r="F1753" s="66" t="s"/>
      <c r="G1753" s="66" t="s"/>
      <c r="H1753" s="66" t="s"/>
      <c r="I1753" s="62" t="s"/>
      <c r="J1753" s="62" t="s"/>
      <c r="K1753" s="99" t="s"/>
      <c r="L1753" s="66" t="s"/>
      <c r="M1753" s="66" t="s"/>
      <c r="N1753" s="572" t="s"/>
      <c r="O1753" s="62" t="s"/>
      <c r="P1753" s="62" t="s"/>
      <c r="Q1753" s="62" t="s"/>
      <c r="R1753" s="62" t="s"/>
    </row>
    <row r="1754" spans="1:18" ht="15.75" customHeight="true">
      <c r="A1754" s="107" t="s"/>
      <c r="B1754" s="62" t="s"/>
      <c r="C1754" s="62" t="s"/>
      <c r="D1754" s="62" t="s"/>
      <c r="E1754" s="62" t="s"/>
      <c r="F1754" s="66" t="s"/>
      <c r="G1754" s="66" t="s"/>
      <c r="H1754" s="66" t="s"/>
      <c r="I1754" s="62" t="s"/>
      <c r="J1754" s="62" t="s"/>
      <c r="K1754" s="99" t="s"/>
      <c r="L1754" s="66" t="s"/>
      <c r="M1754" s="66" t="s"/>
      <c r="N1754" s="572" t="s"/>
      <c r="O1754" s="62" t="s"/>
      <c r="P1754" s="62" t="s"/>
      <c r="Q1754" s="62" t="s"/>
      <c r="R1754" s="62" t="s"/>
    </row>
    <row r="1755" spans="1:18" ht="15.75" customHeight="true">
      <c r="A1755" s="107" t="s"/>
      <c r="B1755" s="62" t="s"/>
      <c r="C1755" s="62" t="s"/>
      <c r="D1755" s="62" t="s"/>
      <c r="E1755" s="62" t="s"/>
      <c r="F1755" s="66" t="s"/>
      <c r="G1755" s="66" t="s"/>
      <c r="H1755" s="66" t="s"/>
      <c r="I1755" s="62" t="s"/>
      <c r="J1755" s="62" t="s"/>
      <c r="K1755" s="99" t="s"/>
      <c r="L1755" s="66" t="s"/>
      <c r="M1755" s="66" t="s"/>
      <c r="N1755" s="572" t="s"/>
      <c r="O1755" s="62" t="s"/>
      <c r="P1755" s="62" t="s"/>
      <c r="Q1755" s="62" t="s"/>
      <c r="R1755" s="62" t="s"/>
    </row>
    <row r="1756" spans="1:18" ht="15.75" customHeight="true">
      <c r="A1756" s="107" t="s"/>
      <c r="B1756" s="62" t="s"/>
      <c r="C1756" s="62" t="s"/>
      <c r="D1756" s="62" t="s"/>
      <c r="E1756" s="62" t="s"/>
      <c r="F1756" s="66" t="s"/>
      <c r="G1756" s="66" t="s"/>
      <c r="H1756" s="66" t="s"/>
      <c r="I1756" s="62" t="s"/>
      <c r="J1756" s="62" t="s"/>
      <c r="K1756" s="99" t="s"/>
      <c r="L1756" s="66" t="s"/>
      <c r="M1756" s="66" t="s"/>
      <c r="N1756" s="572" t="s"/>
      <c r="O1756" s="62" t="s"/>
      <c r="P1756" s="62" t="s"/>
      <c r="Q1756" s="62" t="s"/>
      <c r="R1756" s="62" t="s"/>
    </row>
    <row r="1757" spans="1:18" ht="15.75" customHeight="true">
      <c r="A1757" s="107" t="s"/>
      <c r="B1757" s="62" t="s"/>
      <c r="C1757" s="62" t="s"/>
      <c r="D1757" s="62" t="s"/>
      <c r="E1757" s="62" t="s"/>
      <c r="F1757" s="66" t="s"/>
      <c r="G1757" s="66" t="s"/>
      <c r="H1757" s="66" t="s"/>
      <c r="I1757" s="62" t="s"/>
      <c r="J1757" s="62" t="s"/>
      <c r="K1757" s="99" t="s"/>
      <c r="L1757" s="66" t="s"/>
      <c r="M1757" s="66" t="s"/>
      <c r="N1757" s="572" t="s"/>
      <c r="O1757" s="62" t="s"/>
      <c r="P1757" s="62" t="s"/>
      <c r="Q1757" s="62" t="s"/>
      <c r="R1757" s="62" t="s"/>
    </row>
    <row r="1758" spans="1:18" ht="15.75" customHeight="true">
      <c r="A1758" s="107" t="s"/>
      <c r="B1758" s="62" t="s"/>
      <c r="C1758" s="62" t="s"/>
      <c r="D1758" s="62" t="s"/>
      <c r="E1758" s="62" t="s"/>
      <c r="F1758" s="66" t="s"/>
      <c r="G1758" s="66" t="s"/>
      <c r="H1758" s="66" t="s"/>
      <c r="I1758" s="62" t="s"/>
      <c r="J1758" s="62" t="s"/>
      <c r="K1758" s="99" t="s"/>
      <c r="L1758" s="66" t="s"/>
      <c r="M1758" s="66" t="s"/>
      <c r="N1758" s="572" t="s"/>
      <c r="O1758" s="62" t="s"/>
      <c r="P1758" s="62" t="s"/>
      <c r="Q1758" s="62" t="s"/>
      <c r="R1758" s="62" t="s"/>
    </row>
    <row r="1759" spans="1:18" ht="15.75" customHeight="true">
      <c r="A1759" s="107" t="s"/>
      <c r="B1759" s="62" t="s"/>
      <c r="C1759" s="62" t="s"/>
      <c r="D1759" s="62" t="s"/>
      <c r="E1759" s="62" t="s"/>
      <c r="F1759" s="66" t="s"/>
      <c r="G1759" s="66" t="s"/>
      <c r="H1759" s="66" t="s"/>
      <c r="I1759" s="62" t="s"/>
      <c r="J1759" s="62" t="s"/>
      <c r="K1759" s="99" t="s"/>
      <c r="L1759" s="66" t="s"/>
      <c r="M1759" s="66" t="s"/>
      <c r="N1759" s="572" t="s"/>
      <c r="O1759" s="62" t="s"/>
      <c r="P1759" s="62" t="s"/>
      <c r="Q1759" s="62" t="s"/>
      <c r="R1759" s="62" t="s"/>
    </row>
    <row r="1760" spans="1:18" ht="15.75" customHeight="true">
      <c r="A1760" s="107" t="s"/>
      <c r="B1760" s="62" t="s"/>
      <c r="C1760" s="62" t="s"/>
      <c r="D1760" s="62" t="s"/>
      <c r="E1760" s="62" t="s"/>
      <c r="F1760" s="66" t="s"/>
      <c r="G1760" s="66" t="s"/>
      <c r="H1760" s="66" t="s"/>
      <c r="I1760" s="62" t="s"/>
      <c r="J1760" s="62" t="s"/>
      <c r="K1760" s="99" t="s"/>
      <c r="L1760" s="66" t="s"/>
      <c r="M1760" s="66" t="s"/>
      <c r="N1760" s="572" t="s"/>
      <c r="O1760" s="62" t="s"/>
      <c r="P1760" s="62" t="s"/>
      <c r="Q1760" s="62" t="s"/>
      <c r="R1760" s="62" t="s"/>
    </row>
    <row r="1761" spans="1:18" ht="15.75" customHeight="true">
      <c r="A1761" s="107" t="s"/>
      <c r="B1761" s="62" t="s"/>
      <c r="C1761" s="62" t="s"/>
      <c r="D1761" s="62" t="s"/>
      <c r="E1761" s="62" t="s"/>
      <c r="F1761" s="66" t="s"/>
      <c r="G1761" s="66" t="s"/>
      <c r="H1761" s="66" t="s"/>
      <c r="I1761" s="62" t="s"/>
      <c r="J1761" s="62" t="s"/>
      <c r="K1761" s="99" t="s"/>
      <c r="L1761" s="66" t="s"/>
      <c r="M1761" s="66" t="s"/>
      <c r="N1761" s="572" t="s"/>
      <c r="O1761" s="62" t="s"/>
      <c r="P1761" s="62" t="s"/>
      <c r="Q1761" s="62" t="s"/>
      <c r="R1761" s="62" t="s"/>
    </row>
    <row r="1762" spans="1:18" ht="15.75" customHeight="true">
      <c r="A1762" s="107" t="s"/>
      <c r="B1762" s="62" t="s"/>
      <c r="C1762" s="62" t="s"/>
      <c r="D1762" s="62" t="s"/>
      <c r="E1762" s="62" t="s"/>
      <c r="F1762" s="66" t="s"/>
      <c r="G1762" s="66" t="s"/>
      <c r="H1762" s="66" t="s"/>
      <c r="I1762" s="62" t="s"/>
      <c r="J1762" s="62" t="s"/>
      <c r="K1762" s="99" t="s"/>
      <c r="L1762" s="66" t="s"/>
      <c r="M1762" s="66" t="s"/>
      <c r="N1762" s="572" t="s"/>
      <c r="O1762" s="62" t="s"/>
      <c r="P1762" s="62" t="s"/>
      <c r="Q1762" s="62" t="s"/>
      <c r="R1762" s="62" t="s"/>
    </row>
    <row r="1763" spans="1:18" ht="15.75" customHeight="true">
      <c r="A1763" s="107" t="s"/>
      <c r="B1763" s="62" t="s"/>
      <c r="C1763" s="62" t="s"/>
      <c r="D1763" s="62" t="s"/>
      <c r="E1763" s="62" t="s"/>
      <c r="F1763" s="66" t="s"/>
      <c r="G1763" s="66" t="s"/>
      <c r="H1763" s="66" t="s"/>
      <c r="I1763" s="62" t="s"/>
      <c r="J1763" s="62" t="s"/>
      <c r="K1763" s="99" t="s"/>
      <c r="L1763" s="66" t="s"/>
      <c r="M1763" s="66" t="s"/>
      <c r="N1763" s="572" t="s"/>
      <c r="O1763" s="62" t="s"/>
      <c r="P1763" s="62" t="s"/>
      <c r="Q1763" s="62" t="s"/>
      <c r="R1763" s="62" t="s"/>
    </row>
    <row r="1764" spans="1:18" ht="15.75" customHeight="true">
      <c r="A1764" s="107" t="s"/>
      <c r="B1764" s="62" t="s"/>
      <c r="C1764" s="62" t="s"/>
      <c r="D1764" s="62" t="s"/>
      <c r="E1764" s="62" t="s"/>
      <c r="F1764" s="66" t="s"/>
      <c r="G1764" s="66" t="s"/>
      <c r="H1764" s="66" t="s"/>
      <c r="I1764" s="62" t="s"/>
      <c r="J1764" s="62" t="s"/>
      <c r="K1764" s="99" t="s"/>
      <c r="L1764" s="66" t="s"/>
      <c r="M1764" s="66" t="s"/>
      <c r="N1764" s="572" t="s"/>
      <c r="O1764" s="62" t="s"/>
      <c r="P1764" s="62" t="s"/>
      <c r="Q1764" s="62" t="s"/>
      <c r="R1764" s="62" t="s"/>
    </row>
    <row r="1765" spans="1:18" ht="15.75" customHeight="true">
      <c r="A1765" s="107" t="s"/>
      <c r="B1765" s="62" t="s"/>
      <c r="C1765" s="62" t="s"/>
      <c r="D1765" s="62" t="s"/>
      <c r="E1765" s="62" t="s"/>
      <c r="F1765" s="66" t="s"/>
      <c r="G1765" s="66" t="s"/>
      <c r="H1765" s="66" t="s"/>
      <c r="I1765" s="62" t="s"/>
      <c r="J1765" s="62" t="s"/>
      <c r="K1765" s="99" t="s"/>
      <c r="L1765" s="66" t="s"/>
      <c r="M1765" s="66" t="s"/>
      <c r="N1765" s="572" t="s"/>
      <c r="O1765" s="62" t="s"/>
      <c r="P1765" s="62" t="s"/>
      <c r="Q1765" s="62" t="s"/>
      <c r="R1765" s="62" t="s"/>
    </row>
    <row r="1766" spans="1:18" ht="15.75" customHeight="true">
      <c r="A1766" s="107" t="s"/>
      <c r="B1766" s="62" t="s"/>
      <c r="C1766" s="62" t="s"/>
      <c r="D1766" s="62" t="s"/>
      <c r="E1766" s="62" t="s"/>
      <c r="F1766" s="66" t="s"/>
      <c r="G1766" s="66" t="s"/>
      <c r="H1766" s="66" t="s"/>
      <c r="I1766" s="62" t="s"/>
      <c r="J1766" s="62" t="s"/>
      <c r="K1766" s="99" t="s"/>
      <c r="L1766" s="66" t="s"/>
      <c r="M1766" s="66" t="s"/>
      <c r="N1766" s="572" t="s"/>
      <c r="O1766" s="62" t="s"/>
      <c r="P1766" s="62" t="s"/>
      <c r="Q1766" s="62" t="s"/>
      <c r="R1766" s="62" t="s"/>
    </row>
    <row r="1767" spans="1:18" ht="15.75" customHeight="true">
      <c r="A1767" s="107" t="s"/>
      <c r="B1767" s="62" t="s"/>
      <c r="C1767" s="62" t="s"/>
      <c r="D1767" s="62" t="s"/>
      <c r="E1767" s="62" t="s"/>
      <c r="F1767" s="66" t="s"/>
      <c r="G1767" s="66" t="s"/>
      <c r="H1767" s="66" t="s"/>
      <c r="I1767" s="62" t="s"/>
      <c r="J1767" s="62" t="s"/>
      <c r="K1767" s="99" t="s"/>
      <c r="L1767" s="66" t="s"/>
      <c r="M1767" s="66" t="s"/>
      <c r="N1767" s="572" t="s"/>
      <c r="O1767" s="62" t="s"/>
      <c r="P1767" s="62" t="s"/>
      <c r="Q1767" s="62" t="s"/>
      <c r="R1767" s="62" t="s"/>
    </row>
    <row r="1768" spans="1:18" ht="15.75" customHeight="true">
      <c r="A1768" s="107" t="s"/>
      <c r="B1768" s="62" t="s"/>
      <c r="C1768" s="62" t="s"/>
      <c r="D1768" s="62" t="s"/>
      <c r="E1768" s="62" t="s"/>
      <c r="F1768" s="66" t="s"/>
      <c r="G1768" s="66" t="s"/>
      <c r="H1768" s="66" t="s"/>
      <c r="I1768" s="62" t="s"/>
      <c r="J1768" s="62" t="s"/>
      <c r="K1768" s="99" t="s"/>
      <c r="L1768" s="66" t="s"/>
      <c r="M1768" s="66" t="s"/>
      <c r="N1768" s="572" t="s"/>
      <c r="O1768" s="62" t="s"/>
      <c r="P1768" s="62" t="s"/>
      <c r="Q1768" s="62" t="s"/>
      <c r="R1768" s="62" t="s"/>
    </row>
    <row r="1769" spans="1:18" ht="15.75" customHeight="true">
      <c r="A1769" s="107" t="s"/>
      <c r="B1769" s="62" t="s"/>
      <c r="C1769" s="62" t="s"/>
      <c r="D1769" s="62" t="s"/>
      <c r="E1769" s="62" t="s"/>
      <c r="F1769" s="66" t="s"/>
      <c r="G1769" s="66" t="s"/>
      <c r="H1769" s="66" t="s"/>
      <c r="I1769" s="62" t="s"/>
      <c r="J1769" s="62" t="s"/>
      <c r="K1769" s="99" t="s"/>
      <c r="L1769" s="66" t="s"/>
      <c r="M1769" s="66" t="s"/>
      <c r="N1769" s="572" t="s"/>
      <c r="O1769" s="62" t="s"/>
      <c r="P1769" s="62" t="s"/>
      <c r="Q1769" s="62" t="s"/>
      <c r="R1769" s="62" t="s"/>
    </row>
    <row r="1770" spans="1:18" ht="15.75" customHeight="true">
      <c r="A1770" s="107" t="s"/>
      <c r="B1770" s="62" t="s"/>
      <c r="C1770" s="62" t="s"/>
      <c r="D1770" s="62" t="s"/>
      <c r="E1770" s="62" t="s"/>
      <c r="F1770" s="66" t="s"/>
      <c r="G1770" s="66" t="s"/>
      <c r="H1770" s="66" t="s"/>
      <c r="I1770" s="62" t="s"/>
      <c r="J1770" s="62" t="s"/>
      <c r="K1770" s="99" t="s"/>
      <c r="L1770" s="66" t="s"/>
      <c r="M1770" s="66" t="s"/>
      <c r="N1770" s="572" t="s"/>
      <c r="O1770" s="62" t="s"/>
      <c r="P1770" s="62" t="s"/>
      <c r="Q1770" s="62" t="s"/>
      <c r="R1770" s="62" t="s"/>
    </row>
    <row r="1771" spans="1:18" ht="15.75" customHeight="true">
      <c r="A1771" s="107" t="s"/>
      <c r="B1771" s="62" t="s"/>
      <c r="C1771" s="62" t="s"/>
      <c r="D1771" s="62" t="s"/>
      <c r="E1771" s="62" t="s"/>
      <c r="F1771" s="66" t="s"/>
      <c r="G1771" s="66" t="s"/>
      <c r="H1771" s="66" t="s"/>
      <c r="I1771" s="62" t="s"/>
      <c r="J1771" s="62" t="s"/>
      <c r="K1771" s="99" t="s"/>
      <c r="L1771" s="66" t="s"/>
      <c r="M1771" s="66" t="s"/>
      <c r="N1771" s="572" t="s"/>
      <c r="O1771" s="62" t="s"/>
      <c r="P1771" s="62" t="s"/>
      <c r="Q1771" s="62" t="s"/>
      <c r="R1771" s="62" t="s"/>
    </row>
    <row r="1772" spans="1:18" ht="15.75" customHeight="true">
      <c r="A1772" s="107" t="s"/>
      <c r="B1772" s="62" t="s"/>
      <c r="C1772" s="62" t="s"/>
      <c r="D1772" s="62" t="s"/>
      <c r="E1772" s="62" t="s"/>
      <c r="F1772" s="66" t="s"/>
      <c r="G1772" s="66" t="s"/>
      <c r="H1772" s="66" t="s"/>
      <c r="I1772" s="62" t="s"/>
      <c r="J1772" s="62" t="s"/>
      <c r="K1772" s="99" t="s"/>
      <c r="L1772" s="66" t="s"/>
      <c r="M1772" s="66" t="s"/>
      <c r="N1772" s="572" t="s"/>
      <c r="O1772" s="62" t="s"/>
      <c r="P1772" s="62" t="s"/>
      <c r="Q1772" s="62" t="s"/>
      <c r="R1772" s="62" t="s"/>
    </row>
    <row r="1773" spans="1:18" ht="15.75" customHeight="true">
      <c r="A1773" s="107" t="s"/>
      <c r="B1773" s="62" t="s"/>
      <c r="C1773" s="62" t="s"/>
      <c r="D1773" s="62" t="s"/>
      <c r="E1773" s="62" t="s"/>
      <c r="F1773" s="66" t="s"/>
      <c r="G1773" s="66" t="s"/>
      <c r="H1773" s="66" t="s"/>
      <c r="I1773" s="62" t="s"/>
      <c r="J1773" s="62" t="s"/>
      <c r="K1773" s="99" t="s"/>
      <c r="L1773" s="66" t="s"/>
      <c r="M1773" s="66" t="s"/>
      <c r="N1773" s="572" t="s"/>
      <c r="O1773" s="62" t="s"/>
      <c r="P1773" s="62" t="s"/>
      <c r="Q1773" s="62" t="s"/>
      <c r="R1773" s="62" t="s"/>
    </row>
    <row r="1774" spans="1:18" ht="15.75" customHeight="true">
      <c r="A1774" s="107" t="s"/>
      <c r="B1774" s="62" t="s"/>
      <c r="C1774" s="62" t="s"/>
      <c r="D1774" s="62" t="s"/>
      <c r="E1774" s="62" t="s"/>
      <c r="F1774" s="66" t="s"/>
      <c r="G1774" s="66" t="s"/>
      <c r="H1774" s="66" t="s"/>
      <c r="I1774" s="62" t="s"/>
      <c r="J1774" s="62" t="s"/>
      <c r="K1774" s="99" t="s"/>
      <c r="L1774" s="66" t="s"/>
      <c r="M1774" s="66" t="s"/>
      <c r="N1774" s="572" t="s"/>
      <c r="O1774" s="62" t="s"/>
      <c r="P1774" s="62" t="s"/>
      <c r="Q1774" s="62" t="s"/>
      <c r="R1774" s="62" t="s"/>
    </row>
    <row r="1775" spans="1:18" ht="15.75" customHeight="true">
      <c r="A1775" s="107" t="s"/>
      <c r="B1775" s="62" t="s"/>
      <c r="C1775" s="62" t="s"/>
      <c r="D1775" s="62" t="s"/>
      <c r="E1775" s="62" t="s"/>
      <c r="F1775" s="66" t="s"/>
      <c r="G1775" s="66" t="s"/>
      <c r="H1775" s="66" t="s"/>
      <c r="I1775" s="62" t="s"/>
      <c r="J1775" s="62" t="s"/>
      <c r="K1775" s="99" t="s"/>
      <c r="L1775" s="66" t="s"/>
      <c r="M1775" s="66" t="s"/>
      <c r="N1775" s="572" t="s"/>
      <c r="O1775" s="62" t="s"/>
      <c r="P1775" s="62" t="s"/>
      <c r="Q1775" s="62" t="s"/>
      <c r="R1775" s="62" t="s"/>
    </row>
    <row r="1776" spans="1:18" ht="15.75" customHeight="true">
      <c r="A1776" s="107" t="s"/>
      <c r="B1776" s="62" t="s"/>
      <c r="C1776" s="62" t="s"/>
      <c r="D1776" s="62" t="s"/>
      <c r="E1776" s="62" t="s"/>
      <c r="F1776" s="66" t="s"/>
      <c r="G1776" s="66" t="s"/>
      <c r="H1776" s="66" t="s"/>
      <c r="I1776" s="62" t="s"/>
      <c r="J1776" s="62" t="s"/>
      <c r="K1776" s="99" t="s"/>
      <c r="L1776" s="66" t="s"/>
      <c r="M1776" s="66" t="s"/>
      <c r="N1776" s="572" t="s"/>
      <c r="O1776" s="62" t="s"/>
      <c r="P1776" s="62" t="s"/>
      <c r="Q1776" s="62" t="s"/>
      <c r="R1776" s="62" t="s"/>
    </row>
    <row r="1777" spans="1:18" ht="15.75" customHeight="true">
      <c r="A1777" s="107" t="s"/>
      <c r="B1777" s="62" t="s"/>
      <c r="C1777" s="62" t="s"/>
      <c r="D1777" s="62" t="s"/>
      <c r="E1777" s="62" t="s"/>
      <c r="F1777" s="66" t="s"/>
      <c r="G1777" s="66" t="s"/>
      <c r="H1777" s="66" t="s"/>
      <c r="I1777" s="62" t="s"/>
      <c r="J1777" s="62" t="s"/>
      <c r="K1777" s="99" t="s"/>
      <c r="L1777" s="66" t="s"/>
      <c r="M1777" s="66" t="s"/>
      <c r="N1777" s="572" t="s"/>
      <c r="O1777" s="62" t="s"/>
      <c r="P1777" s="62" t="s"/>
      <c r="Q1777" s="62" t="s"/>
      <c r="R1777" s="62" t="s"/>
    </row>
    <row r="1778" spans="1:18" ht="15.75" customHeight="true">
      <c r="A1778" s="107" t="s"/>
      <c r="B1778" s="62" t="s"/>
      <c r="C1778" s="62" t="s"/>
      <c r="D1778" s="62" t="s"/>
      <c r="E1778" s="62" t="s"/>
      <c r="F1778" s="66" t="s"/>
      <c r="G1778" s="66" t="s"/>
      <c r="H1778" s="66" t="s"/>
      <c r="I1778" s="62" t="s"/>
      <c r="J1778" s="62" t="s"/>
      <c r="K1778" s="99" t="s"/>
      <c r="L1778" s="66" t="s"/>
      <c r="M1778" s="66" t="s"/>
      <c r="N1778" s="572" t="s"/>
      <c r="O1778" s="62" t="s"/>
      <c r="P1778" s="62" t="s"/>
      <c r="Q1778" s="62" t="s"/>
      <c r="R1778" s="62" t="s"/>
    </row>
    <row r="1779" spans="1:18" ht="15.75" customHeight="true">
      <c r="A1779" s="107" t="s"/>
      <c r="B1779" s="62" t="s"/>
      <c r="C1779" s="62" t="s"/>
      <c r="D1779" s="62" t="s"/>
      <c r="E1779" s="62" t="s"/>
      <c r="F1779" s="66" t="s"/>
      <c r="G1779" s="66" t="s"/>
      <c r="H1779" s="66" t="s"/>
      <c r="I1779" s="62" t="s"/>
      <c r="J1779" s="62" t="s"/>
      <c r="K1779" s="99" t="s"/>
      <c r="L1779" s="66" t="s"/>
      <c r="M1779" s="66" t="s"/>
      <c r="N1779" s="572" t="s"/>
      <c r="O1779" s="62" t="s"/>
      <c r="P1779" s="62" t="s"/>
      <c r="Q1779" s="62" t="s"/>
      <c r="R1779" s="62" t="s"/>
    </row>
    <row r="1780" spans="1:18" ht="15.75" customHeight="true">
      <c r="A1780" s="107" t="s"/>
      <c r="B1780" s="62" t="s"/>
      <c r="C1780" s="62" t="s"/>
      <c r="D1780" s="62" t="s"/>
      <c r="E1780" s="62" t="s"/>
      <c r="F1780" s="66" t="s"/>
      <c r="G1780" s="66" t="s"/>
      <c r="H1780" s="66" t="s"/>
      <c r="I1780" s="62" t="s"/>
      <c r="J1780" s="62" t="s"/>
      <c r="K1780" s="99" t="s"/>
      <c r="L1780" s="66" t="s"/>
      <c r="M1780" s="66" t="s"/>
      <c r="N1780" s="572" t="s"/>
      <c r="O1780" s="62" t="s"/>
      <c r="P1780" s="62" t="s"/>
      <c r="Q1780" s="62" t="s"/>
      <c r="R1780" s="62" t="s"/>
    </row>
    <row r="1781" spans="1:18" ht="15.75" customHeight="true">
      <c r="A1781" s="107" t="s"/>
      <c r="B1781" s="62" t="s"/>
      <c r="C1781" s="62" t="s"/>
      <c r="D1781" s="62" t="s"/>
      <c r="E1781" s="62" t="s"/>
      <c r="F1781" s="66" t="s"/>
      <c r="G1781" s="66" t="s"/>
      <c r="H1781" s="66" t="s"/>
      <c r="I1781" s="62" t="s"/>
      <c r="J1781" s="62" t="s"/>
      <c r="K1781" s="99" t="s"/>
      <c r="L1781" s="66" t="s"/>
      <c r="M1781" s="66" t="s"/>
      <c r="N1781" s="572" t="s"/>
      <c r="O1781" s="62" t="s"/>
      <c r="P1781" s="62" t="s"/>
      <c r="Q1781" s="62" t="s"/>
      <c r="R1781" s="62" t="s"/>
    </row>
    <row r="1782" spans="1:18" ht="15.75" customHeight="true">
      <c r="A1782" s="107" t="s"/>
      <c r="B1782" s="62" t="s"/>
      <c r="C1782" s="62" t="s"/>
      <c r="D1782" s="62" t="s"/>
      <c r="E1782" s="62" t="s"/>
      <c r="F1782" s="66" t="s"/>
      <c r="G1782" s="66" t="s"/>
      <c r="H1782" s="66" t="s"/>
      <c r="I1782" s="62" t="s"/>
      <c r="J1782" s="62" t="s"/>
      <c r="K1782" s="99" t="s"/>
      <c r="L1782" s="66" t="s"/>
      <c r="M1782" s="66" t="s"/>
      <c r="N1782" s="572" t="s"/>
      <c r="O1782" s="62" t="s"/>
      <c r="P1782" s="62" t="s"/>
      <c r="Q1782" s="62" t="s"/>
      <c r="R1782" s="62" t="s"/>
    </row>
    <row r="1783" spans="1:18" ht="15.75" customHeight="true">
      <c r="A1783" s="107" t="s"/>
      <c r="B1783" s="62" t="s"/>
      <c r="C1783" s="62" t="s"/>
      <c r="D1783" s="62" t="s"/>
      <c r="E1783" s="62" t="s"/>
      <c r="F1783" s="66" t="s"/>
      <c r="G1783" s="66" t="s"/>
      <c r="H1783" s="66" t="s"/>
      <c r="I1783" s="62" t="s"/>
      <c r="J1783" s="62" t="s"/>
      <c r="K1783" s="99" t="s"/>
      <c r="L1783" s="66" t="s"/>
      <c r="M1783" s="66" t="s"/>
      <c r="N1783" s="572" t="s"/>
      <c r="O1783" s="62" t="s"/>
      <c r="P1783" s="62" t="s"/>
      <c r="Q1783" s="62" t="s"/>
      <c r="R1783" s="62" t="s"/>
    </row>
    <row r="1784" spans="1:18" ht="15.75" customHeight="true">
      <c r="A1784" s="107" t="s"/>
      <c r="B1784" s="62" t="s"/>
      <c r="C1784" s="62" t="s"/>
      <c r="D1784" s="62" t="s"/>
      <c r="E1784" s="62" t="s"/>
      <c r="F1784" s="66" t="s"/>
      <c r="G1784" s="66" t="s"/>
      <c r="H1784" s="66" t="s"/>
      <c r="I1784" s="62" t="s"/>
      <c r="J1784" s="62" t="s"/>
      <c r="K1784" s="99" t="s"/>
      <c r="L1784" s="66" t="s"/>
      <c r="M1784" s="66" t="s"/>
      <c r="N1784" s="572" t="s"/>
      <c r="O1784" s="62" t="s"/>
      <c r="P1784" s="62" t="s"/>
      <c r="Q1784" s="62" t="s"/>
      <c r="R1784" s="62" t="s"/>
    </row>
    <row r="1785" spans="1:18" ht="15.75" customHeight="true">
      <c r="A1785" s="107" t="s"/>
      <c r="B1785" s="62" t="s"/>
      <c r="C1785" s="62" t="s"/>
      <c r="D1785" s="62" t="s"/>
      <c r="E1785" s="62" t="s"/>
      <c r="F1785" s="66" t="s"/>
      <c r="G1785" s="66" t="s"/>
      <c r="H1785" s="66" t="s"/>
      <c r="I1785" s="62" t="s"/>
      <c r="J1785" s="62" t="s"/>
      <c r="K1785" s="99" t="s"/>
      <c r="L1785" s="66" t="s"/>
      <c r="M1785" s="66" t="s"/>
      <c r="N1785" s="572" t="s"/>
      <c r="O1785" s="62" t="s"/>
      <c r="P1785" s="62" t="s"/>
      <c r="Q1785" s="62" t="s"/>
      <c r="R1785" s="62" t="s"/>
    </row>
    <row r="1786" spans="1:18" ht="15.75" customHeight="true">
      <c r="A1786" s="107" t="s"/>
      <c r="B1786" s="62" t="s"/>
      <c r="C1786" s="62" t="s"/>
      <c r="D1786" s="62" t="s"/>
      <c r="E1786" s="62" t="s"/>
      <c r="F1786" s="66" t="s"/>
      <c r="G1786" s="66" t="s"/>
      <c r="H1786" s="66" t="s"/>
      <c r="I1786" s="62" t="s"/>
      <c r="J1786" s="62" t="s"/>
      <c r="K1786" s="99" t="s"/>
      <c r="L1786" s="66" t="s"/>
      <c r="M1786" s="66" t="s"/>
      <c r="N1786" s="572" t="s"/>
      <c r="O1786" s="62" t="s"/>
      <c r="P1786" s="62" t="s"/>
      <c r="Q1786" s="62" t="s"/>
      <c r="R1786" s="62" t="s"/>
    </row>
    <row r="1787" spans="1:18" ht="15.75" customHeight="true">
      <c r="A1787" s="107" t="s"/>
      <c r="B1787" s="62" t="s"/>
      <c r="C1787" s="62" t="s"/>
      <c r="D1787" s="62" t="s"/>
      <c r="E1787" s="62" t="s"/>
      <c r="F1787" s="66" t="s"/>
      <c r="G1787" s="66" t="s"/>
      <c r="H1787" s="66" t="s"/>
      <c r="I1787" s="62" t="s"/>
      <c r="J1787" s="62" t="s"/>
      <c r="K1787" s="99" t="s"/>
      <c r="L1787" s="66" t="s"/>
      <c r="M1787" s="66" t="s"/>
      <c r="N1787" s="572" t="s"/>
      <c r="O1787" s="62" t="s"/>
      <c r="P1787" s="62" t="s"/>
      <c r="Q1787" s="62" t="s"/>
      <c r="R1787" s="62" t="s"/>
    </row>
    <row r="1788" spans="1:18" ht="15.75" customHeight="true">
      <c r="A1788" s="107" t="s"/>
      <c r="B1788" s="62" t="s"/>
      <c r="C1788" s="62" t="s"/>
      <c r="D1788" s="62" t="s"/>
      <c r="E1788" s="62" t="s"/>
      <c r="F1788" s="66" t="s"/>
      <c r="G1788" s="66" t="s"/>
      <c r="H1788" s="66" t="s"/>
      <c r="I1788" s="62" t="s"/>
      <c r="J1788" s="62" t="s"/>
      <c r="K1788" s="99" t="s"/>
      <c r="L1788" s="66" t="s"/>
      <c r="M1788" s="66" t="s"/>
      <c r="N1788" s="572" t="s"/>
      <c r="O1788" s="62" t="s"/>
      <c r="P1788" s="62" t="s"/>
      <c r="Q1788" s="62" t="s"/>
      <c r="R1788" s="62" t="s"/>
    </row>
    <row r="1789" spans="1:18" ht="15.75" customHeight="true">
      <c r="A1789" s="107" t="s"/>
      <c r="B1789" s="62" t="s"/>
      <c r="C1789" s="62" t="s"/>
      <c r="D1789" s="62" t="s"/>
      <c r="E1789" s="62" t="s"/>
      <c r="F1789" s="66" t="s"/>
      <c r="G1789" s="66" t="s"/>
      <c r="H1789" s="66" t="s"/>
      <c r="I1789" s="62" t="s"/>
      <c r="J1789" s="62" t="s"/>
      <c r="K1789" s="99" t="s"/>
      <c r="L1789" s="66" t="s"/>
      <c r="M1789" s="66" t="s"/>
      <c r="N1789" s="572" t="s"/>
      <c r="O1789" s="62" t="s"/>
      <c r="P1789" s="62" t="s"/>
      <c r="Q1789" s="62" t="s"/>
      <c r="R1789" s="62" t="s"/>
    </row>
    <row r="1790" spans="1:18" ht="15.75" customHeight="true">
      <c r="A1790" s="107" t="s"/>
      <c r="B1790" s="62" t="s"/>
      <c r="C1790" s="62" t="s"/>
      <c r="D1790" s="62" t="s"/>
      <c r="E1790" s="62" t="s"/>
      <c r="F1790" s="66" t="s"/>
      <c r="G1790" s="66" t="s"/>
      <c r="H1790" s="66" t="s"/>
      <c r="I1790" s="62" t="s"/>
      <c r="J1790" s="62" t="s"/>
      <c r="K1790" s="99" t="s"/>
      <c r="L1790" s="66" t="s"/>
      <c r="M1790" s="66" t="s"/>
      <c r="N1790" s="572" t="s"/>
      <c r="O1790" s="62" t="s"/>
      <c r="P1790" s="62" t="s"/>
      <c r="Q1790" s="62" t="s"/>
      <c r="R1790" s="62" t="s"/>
    </row>
    <row r="1791" spans="1:18" ht="15.75" customHeight="true">
      <c r="A1791" s="107" t="s"/>
      <c r="B1791" s="62" t="s"/>
      <c r="C1791" s="62" t="s"/>
      <c r="D1791" s="62" t="s"/>
      <c r="E1791" s="62" t="s"/>
      <c r="F1791" s="66" t="s"/>
      <c r="G1791" s="66" t="s"/>
      <c r="H1791" s="66" t="s"/>
      <c r="I1791" s="62" t="s"/>
      <c r="J1791" s="62" t="s"/>
      <c r="K1791" s="99" t="s"/>
      <c r="L1791" s="66" t="s"/>
      <c r="M1791" s="66" t="s"/>
      <c r="N1791" s="572" t="s"/>
      <c r="O1791" s="62" t="s"/>
      <c r="P1791" s="62" t="s"/>
      <c r="Q1791" s="62" t="s"/>
      <c r="R1791" s="62" t="s"/>
    </row>
    <row r="1792" spans="1:18" ht="15.75" customHeight="true">
      <c r="A1792" s="107" t="s"/>
      <c r="B1792" s="62" t="s"/>
      <c r="C1792" s="62" t="s"/>
      <c r="D1792" s="62" t="s"/>
      <c r="E1792" s="62" t="s"/>
      <c r="F1792" s="66" t="s"/>
      <c r="G1792" s="66" t="s"/>
      <c r="H1792" s="66" t="s"/>
      <c r="I1792" s="62" t="s"/>
      <c r="J1792" s="62" t="s"/>
      <c r="K1792" s="99" t="s"/>
      <c r="L1792" s="66" t="s"/>
      <c r="M1792" s="66" t="s"/>
      <c r="N1792" s="572" t="s"/>
      <c r="O1792" s="62" t="s"/>
      <c r="P1792" s="62" t="s"/>
      <c r="Q1792" s="62" t="s"/>
      <c r="R1792" s="62" t="s"/>
    </row>
    <row r="1793" spans="1:18" ht="15.75" customHeight="true">
      <c r="A1793" s="107" t="s"/>
      <c r="B1793" s="62" t="s"/>
      <c r="C1793" s="62" t="s"/>
      <c r="D1793" s="62" t="s"/>
      <c r="E1793" s="62" t="s"/>
      <c r="F1793" s="66" t="s"/>
      <c r="G1793" s="66" t="s"/>
      <c r="H1793" s="66" t="s"/>
      <c r="I1793" s="62" t="s"/>
      <c r="J1793" s="62" t="s"/>
      <c r="K1793" s="99" t="s"/>
      <c r="L1793" s="66" t="s"/>
      <c r="M1793" s="66" t="s"/>
      <c r="N1793" s="572" t="s"/>
      <c r="O1793" s="62" t="s"/>
      <c r="P1793" s="62" t="s"/>
      <c r="Q1793" s="62" t="s"/>
      <c r="R1793" s="62" t="s"/>
    </row>
    <row r="1794" spans="1:18" ht="15.75" customHeight="true">
      <c r="A1794" s="107" t="s"/>
      <c r="B1794" s="62" t="s"/>
      <c r="C1794" s="62" t="s"/>
      <c r="D1794" s="62" t="s"/>
      <c r="E1794" s="62" t="s"/>
      <c r="F1794" s="66" t="s"/>
      <c r="G1794" s="66" t="s"/>
      <c r="H1794" s="66" t="s"/>
      <c r="I1794" s="62" t="s"/>
      <c r="J1794" s="62" t="s"/>
      <c r="K1794" s="99" t="s"/>
      <c r="L1794" s="66" t="s"/>
      <c r="M1794" s="66" t="s"/>
      <c r="N1794" s="572" t="s"/>
      <c r="O1794" s="62" t="s"/>
      <c r="P1794" s="62" t="s"/>
      <c r="Q1794" s="62" t="s"/>
      <c r="R1794" s="62" t="s"/>
    </row>
    <row r="1795" spans="1:18" ht="15.75" customHeight="true">
      <c r="A1795" s="107" t="s"/>
      <c r="B1795" s="62" t="s"/>
      <c r="C1795" s="62" t="s"/>
      <c r="D1795" s="62" t="s"/>
      <c r="E1795" s="62" t="s"/>
      <c r="F1795" s="66" t="s"/>
      <c r="G1795" s="66" t="s"/>
      <c r="H1795" s="66" t="s"/>
      <c r="I1795" s="62" t="s"/>
      <c r="J1795" s="62" t="s"/>
      <c r="K1795" s="99" t="s"/>
      <c r="L1795" s="66" t="s"/>
      <c r="M1795" s="66" t="s"/>
      <c r="N1795" s="572" t="s"/>
      <c r="O1795" s="62" t="s"/>
      <c r="P1795" s="62" t="s"/>
      <c r="Q1795" s="62" t="s"/>
      <c r="R1795" s="62" t="s"/>
    </row>
    <row r="1796" spans="1:18" ht="15.75" customHeight="true">
      <c r="A1796" s="107" t="s"/>
      <c r="B1796" s="62" t="s"/>
      <c r="C1796" s="62" t="s"/>
      <c r="D1796" s="62" t="s"/>
      <c r="E1796" s="62" t="s"/>
      <c r="F1796" s="66" t="s"/>
      <c r="G1796" s="66" t="s"/>
      <c r="H1796" s="66" t="s"/>
      <c r="I1796" s="62" t="s"/>
      <c r="J1796" s="62" t="s"/>
      <c r="K1796" s="99" t="s"/>
      <c r="L1796" s="66" t="s"/>
      <c r="M1796" s="66" t="s"/>
      <c r="N1796" s="572" t="s"/>
      <c r="O1796" s="62" t="s"/>
      <c r="P1796" s="62" t="s"/>
      <c r="Q1796" s="62" t="s"/>
      <c r="R1796" s="62" t="s"/>
    </row>
    <row r="1797" spans="1:18" ht="15.75" customHeight="true">
      <c r="A1797" s="107" t="s"/>
      <c r="B1797" s="62" t="s"/>
      <c r="C1797" s="62" t="s"/>
      <c r="D1797" s="62" t="s"/>
      <c r="E1797" s="62" t="s"/>
      <c r="F1797" s="66" t="s"/>
      <c r="G1797" s="66" t="s"/>
      <c r="H1797" s="66" t="s"/>
      <c r="I1797" s="62" t="s"/>
      <c r="J1797" s="62" t="s"/>
      <c r="K1797" s="99" t="s"/>
      <c r="L1797" s="66" t="s"/>
      <c r="M1797" s="66" t="s"/>
      <c r="N1797" s="572" t="s"/>
      <c r="O1797" s="62" t="s"/>
      <c r="P1797" s="62" t="s"/>
      <c r="Q1797" s="62" t="s"/>
      <c r="R1797" s="62" t="s"/>
    </row>
    <row r="1798" spans="1:18" ht="15.75" customHeight="true">
      <c r="A1798" s="107" t="s"/>
      <c r="B1798" s="62" t="s"/>
      <c r="C1798" s="62" t="s"/>
      <c r="D1798" s="62" t="s"/>
      <c r="E1798" s="62" t="s"/>
      <c r="F1798" s="66" t="s"/>
      <c r="G1798" s="66" t="s"/>
      <c r="H1798" s="66" t="s"/>
      <c r="I1798" s="62" t="s"/>
      <c r="J1798" s="62" t="s"/>
      <c r="K1798" s="99" t="s"/>
      <c r="L1798" s="66" t="s"/>
      <c r="M1798" s="66" t="s"/>
      <c r="N1798" s="572" t="s"/>
      <c r="O1798" s="62" t="s"/>
      <c r="P1798" s="62" t="s"/>
      <c r="Q1798" s="62" t="s"/>
      <c r="R1798" s="62" t="s"/>
    </row>
    <row r="1799" spans="1:18" ht="15.75" customHeight="true">
      <c r="A1799" s="107" t="s"/>
      <c r="B1799" s="62" t="s"/>
      <c r="C1799" s="62" t="s"/>
      <c r="D1799" s="62" t="s"/>
      <c r="E1799" s="62" t="s"/>
      <c r="F1799" s="66" t="s"/>
      <c r="G1799" s="66" t="s"/>
      <c r="H1799" s="66" t="s"/>
      <c r="I1799" s="62" t="s"/>
      <c r="J1799" s="62" t="s"/>
      <c r="K1799" s="99" t="s"/>
      <c r="L1799" s="66" t="s"/>
      <c r="M1799" s="66" t="s"/>
      <c r="N1799" s="572" t="s"/>
      <c r="O1799" s="62" t="s"/>
      <c r="P1799" s="62" t="s"/>
      <c r="Q1799" s="62" t="s"/>
      <c r="R1799" s="62" t="s"/>
    </row>
    <row r="1800" spans="1:18" ht="15.75" customHeight="true">
      <c r="A1800" s="107" t="s"/>
      <c r="B1800" s="62" t="s"/>
      <c r="C1800" s="62" t="s"/>
      <c r="D1800" s="62" t="s"/>
      <c r="E1800" s="62" t="s"/>
      <c r="F1800" s="66" t="s"/>
      <c r="G1800" s="66" t="s"/>
      <c r="H1800" s="66" t="s"/>
      <c r="I1800" s="62" t="s"/>
      <c r="J1800" s="62" t="s"/>
      <c r="K1800" s="99" t="s"/>
      <c r="L1800" s="66" t="s"/>
      <c r="M1800" s="66" t="s"/>
      <c r="N1800" s="572" t="s"/>
      <c r="O1800" s="62" t="s"/>
      <c r="P1800" s="62" t="s"/>
      <c r="Q1800" s="62" t="s"/>
      <c r="R1800" s="62" t="s"/>
    </row>
    <row r="1801" spans="1:18" ht="15.75" customHeight="true">
      <c r="A1801" s="107" t="s"/>
      <c r="B1801" s="62" t="s"/>
      <c r="C1801" s="62" t="s"/>
      <c r="D1801" s="62" t="s"/>
      <c r="E1801" s="62" t="s"/>
      <c r="F1801" s="66" t="s"/>
      <c r="G1801" s="66" t="s"/>
      <c r="H1801" s="66" t="s"/>
      <c r="I1801" s="62" t="s"/>
      <c r="J1801" s="62" t="s"/>
      <c r="K1801" s="99" t="s"/>
      <c r="L1801" s="66" t="s"/>
      <c r="M1801" s="66" t="s"/>
      <c r="N1801" s="572" t="s"/>
      <c r="O1801" s="62" t="s"/>
      <c r="P1801" s="62" t="s"/>
      <c r="Q1801" s="62" t="s"/>
      <c r="R1801" s="62" t="s"/>
    </row>
    <row r="1802" spans="1:18" ht="15.75" customHeight="true">
      <c r="A1802" s="107" t="s"/>
      <c r="B1802" s="62" t="s"/>
      <c r="C1802" s="62" t="s"/>
      <c r="D1802" s="62" t="s"/>
      <c r="E1802" s="62" t="s"/>
      <c r="F1802" s="66" t="s"/>
      <c r="G1802" s="66" t="s"/>
      <c r="H1802" s="66" t="s"/>
      <c r="I1802" s="62" t="s"/>
      <c r="J1802" s="62" t="s"/>
      <c r="K1802" s="99" t="s"/>
      <c r="L1802" s="66" t="s"/>
      <c r="M1802" s="66" t="s"/>
      <c r="N1802" s="572" t="s"/>
      <c r="O1802" s="62" t="s"/>
      <c r="P1802" s="62" t="s"/>
      <c r="Q1802" s="62" t="s"/>
      <c r="R1802" s="62" t="s"/>
    </row>
    <row r="1803" spans="1:18" ht="15.75" customHeight="true">
      <c r="A1803" s="107" t="s"/>
      <c r="B1803" s="62" t="s"/>
      <c r="C1803" s="62" t="s"/>
      <c r="D1803" s="62" t="s"/>
      <c r="E1803" s="62" t="s"/>
      <c r="F1803" s="66" t="s"/>
      <c r="G1803" s="66" t="s"/>
      <c r="H1803" s="66" t="s"/>
      <c r="I1803" s="62" t="s"/>
      <c r="J1803" s="62" t="s"/>
      <c r="K1803" s="99" t="s"/>
      <c r="L1803" s="66" t="s"/>
      <c r="M1803" s="66" t="s"/>
      <c r="N1803" s="572" t="s"/>
      <c r="O1803" s="62" t="s"/>
      <c r="P1803" s="62" t="s"/>
      <c r="Q1803" s="62" t="s"/>
      <c r="R1803" s="62" t="s"/>
    </row>
    <row r="1804" spans="1:18" ht="15.75" customHeight="true">
      <c r="A1804" s="107" t="s"/>
      <c r="B1804" s="62" t="s"/>
      <c r="C1804" s="62" t="s"/>
      <c r="D1804" s="62" t="s"/>
      <c r="E1804" s="62" t="s"/>
      <c r="F1804" s="66" t="s"/>
      <c r="G1804" s="66" t="s"/>
      <c r="H1804" s="66" t="s"/>
      <c r="I1804" s="62" t="s"/>
      <c r="J1804" s="62" t="s"/>
      <c r="K1804" s="99" t="s"/>
      <c r="L1804" s="66" t="s"/>
      <c r="M1804" s="66" t="s"/>
      <c r="N1804" s="572" t="s"/>
      <c r="O1804" s="62" t="s"/>
      <c r="P1804" s="62" t="s"/>
      <c r="Q1804" s="62" t="s"/>
      <c r="R1804" s="62" t="s"/>
    </row>
    <row r="1805" spans="1:18" ht="15.75" customHeight="true">
      <c r="A1805" s="107" t="s"/>
      <c r="B1805" s="62" t="s"/>
      <c r="C1805" s="62" t="s"/>
      <c r="D1805" s="62" t="s"/>
      <c r="E1805" s="62" t="s"/>
      <c r="F1805" s="66" t="s"/>
      <c r="G1805" s="66" t="s"/>
      <c r="H1805" s="66" t="s"/>
      <c r="I1805" s="62" t="s"/>
      <c r="J1805" s="62" t="s"/>
      <c r="K1805" s="99" t="s"/>
      <c r="L1805" s="66" t="s"/>
      <c r="M1805" s="66" t="s"/>
      <c r="N1805" s="572" t="s"/>
      <c r="O1805" s="62" t="s"/>
      <c r="P1805" s="62" t="s"/>
      <c r="Q1805" s="62" t="s"/>
      <c r="R1805" s="62" t="s"/>
    </row>
    <row r="1806" spans="1:18" ht="15.75" customHeight="true">
      <c r="A1806" s="107" t="s"/>
      <c r="B1806" s="62" t="s"/>
      <c r="C1806" s="62" t="s"/>
      <c r="D1806" s="62" t="s"/>
      <c r="E1806" s="62" t="s"/>
      <c r="F1806" s="66" t="s"/>
      <c r="G1806" s="66" t="s"/>
      <c r="H1806" s="66" t="s"/>
      <c r="I1806" s="62" t="s"/>
      <c r="J1806" s="62" t="s"/>
      <c r="K1806" s="99" t="s"/>
      <c r="L1806" s="66" t="s"/>
      <c r="M1806" s="66" t="s"/>
      <c r="N1806" s="572" t="s"/>
      <c r="O1806" s="62" t="s"/>
      <c r="P1806" s="62" t="s"/>
      <c r="Q1806" s="62" t="s"/>
      <c r="R1806" s="62" t="s"/>
    </row>
    <row r="1807" spans="1:18" ht="15.75" customHeight="true">
      <c r="A1807" s="107" t="s"/>
      <c r="B1807" s="62" t="s"/>
      <c r="C1807" s="62" t="s"/>
      <c r="D1807" s="62" t="s"/>
      <c r="E1807" s="62" t="s"/>
      <c r="F1807" s="66" t="s"/>
      <c r="G1807" s="66" t="s"/>
      <c r="H1807" s="66" t="s"/>
      <c r="I1807" s="62" t="s"/>
      <c r="J1807" s="62" t="s"/>
      <c r="K1807" s="99" t="s"/>
      <c r="L1807" s="66" t="s"/>
      <c r="M1807" s="66" t="s"/>
      <c r="N1807" s="572" t="s"/>
      <c r="O1807" s="62" t="s"/>
      <c r="P1807" s="62" t="s"/>
      <c r="Q1807" s="62" t="s"/>
      <c r="R1807" s="62" t="s"/>
    </row>
    <row r="1808" spans="1:18" ht="15.75" customHeight="true">
      <c r="A1808" s="107" t="s"/>
      <c r="B1808" s="62" t="s"/>
      <c r="C1808" s="62" t="s"/>
      <c r="D1808" s="62" t="s"/>
      <c r="E1808" s="62" t="s"/>
      <c r="F1808" s="66" t="s"/>
      <c r="G1808" s="66" t="s"/>
      <c r="H1808" s="66" t="s"/>
      <c r="I1808" s="62" t="s"/>
      <c r="J1808" s="62" t="s"/>
      <c r="K1808" s="99" t="s"/>
      <c r="L1808" s="66" t="s"/>
      <c r="M1808" s="66" t="s"/>
      <c r="N1808" s="572" t="s"/>
      <c r="O1808" s="62" t="s"/>
      <c r="P1808" s="62" t="s"/>
      <c r="Q1808" s="62" t="s"/>
      <c r="R1808" s="62" t="s"/>
    </row>
    <row r="1809" spans="1:18" ht="15.75" customHeight="true">
      <c r="A1809" s="107" t="s"/>
      <c r="B1809" s="62" t="s"/>
      <c r="C1809" s="62" t="s"/>
      <c r="D1809" s="62" t="s"/>
      <c r="E1809" s="62" t="s"/>
      <c r="F1809" s="66" t="s"/>
      <c r="G1809" s="66" t="s"/>
      <c r="H1809" s="66" t="s"/>
      <c r="I1809" s="62" t="s"/>
      <c r="J1809" s="62" t="s"/>
      <c r="K1809" s="99" t="s"/>
      <c r="L1809" s="66" t="s"/>
      <c r="M1809" s="66" t="s"/>
      <c r="N1809" s="572" t="s"/>
      <c r="O1809" s="62" t="s"/>
      <c r="P1809" s="62" t="s"/>
      <c r="Q1809" s="62" t="s"/>
      <c r="R1809" s="62" t="s"/>
    </row>
    <row r="1810" spans="1:18" ht="15.75" customHeight="true">
      <c r="A1810" s="107" t="s"/>
      <c r="B1810" s="62" t="s"/>
      <c r="C1810" s="62" t="s"/>
      <c r="D1810" s="62" t="s"/>
      <c r="E1810" s="62" t="s"/>
      <c r="F1810" s="66" t="s"/>
      <c r="G1810" s="66" t="s"/>
      <c r="H1810" s="66" t="s"/>
      <c r="I1810" s="62" t="s"/>
      <c r="J1810" s="62" t="s"/>
      <c r="K1810" s="99" t="s"/>
      <c r="L1810" s="66" t="s"/>
      <c r="M1810" s="66" t="s"/>
      <c r="N1810" s="572" t="s"/>
      <c r="O1810" s="62" t="s"/>
      <c r="P1810" s="62" t="s"/>
      <c r="Q1810" s="62" t="s"/>
      <c r="R1810" s="62" t="s"/>
    </row>
    <row r="1811" spans="1:18" ht="15.75" customHeight="true">
      <c r="A1811" s="107" t="s"/>
      <c r="B1811" s="62" t="s"/>
      <c r="C1811" s="62" t="s"/>
      <c r="D1811" s="62" t="s"/>
      <c r="E1811" s="62" t="s"/>
      <c r="F1811" s="66" t="s"/>
      <c r="G1811" s="66" t="s"/>
      <c r="H1811" s="66" t="s"/>
      <c r="I1811" s="62" t="s"/>
      <c r="J1811" s="62" t="s"/>
      <c r="K1811" s="99" t="s"/>
      <c r="L1811" s="66" t="s"/>
      <c r="M1811" s="66" t="s"/>
      <c r="N1811" s="572" t="s"/>
      <c r="O1811" s="62" t="s"/>
      <c r="P1811" s="62" t="s"/>
      <c r="Q1811" s="62" t="s"/>
      <c r="R1811" s="62" t="s"/>
    </row>
    <row r="1812" spans="1:18" ht="15.75" customHeight="true">
      <c r="A1812" s="107" t="s"/>
      <c r="B1812" s="62" t="s"/>
      <c r="C1812" s="62" t="s"/>
      <c r="D1812" s="62" t="s"/>
      <c r="E1812" s="62" t="s"/>
      <c r="F1812" s="66" t="s"/>
      <c r="G1812" s="66" t="s"/>
      <c r="H1812" s="66" t="s"/>
      <c r="I1812" s="62" t="s"/>
      <c r="J1812" s="62" t="s"/>
      <c r="K1812" s="99" t="s"/>
      <c r="L1812" s="66" t="s"/>
      <c r="M1812" s="66" t="s"/>
      <c r="N1812" s="572" t="s"/>
      <c r="O1812" s="62" t="s"/>
      <c r="P1812" s="62" t="s"/>
      <c r="Q1812" s="62" t="s"/>
      <c r="R1812" s="62" t="s"/>
    </row>
    <row r="1813" spans="1:18" ht="15.75" customHeight="true">
      <c r="A1813" s="107" t="s"/>
      <c r="B1813" s="62" t="s"/>
      <c r="C1813" s="62" t="s"/>
      <c r="D1813" s="62" t="s"/>
      <c r="E1813" s="62" t="s"/>
      <c r="F1813" s="66" t="s"/>
      <c r="G1813" s="66" t="s"/>
      <c r="H1813" s="66" t="s"/>
      <c r="I1813" s="62" t="s"/>
      <c r="J1813" s="62" t="s"/>
      <c r="K1813" s="99" t="s"/>
      <c r="L1813" s="66" t="s"/>
      <c r="M1813" s="66" t="s"/>
      <c r="N1813" s="572" t="s"/>
      <c r="O1813" s="62" t="s"/>
      <c r="P1813" s="62" t="s"/>
      <c r="Q1813" s="62" t="s"/>
      <c r="R1813" s="62" t="s"/>
    </row>
    <row r="1814" spans="1:18" ht="15.75" customHeight="true">
      <c r="A1814" s="107" t="s"/>
      <c r="B1814" s="62" t="s"/>
      <c r="C1814" s="62" t="s"/>
      <c r="D1814" s="62" t="s"/>
      <c r="E1814" s="62" t="s"/>
      <c r="F1814" s="66" t="s"/>
      <c r="G1814" s="66" t="s"/>
      <c r="H1814" s="66" t="s"/>
      <c r="I1814" s="62" t="s"/>
      <c r="J1814" s="62" t="s"/>
      <c r="K1814" s="99" t="s"/>
      <c r="L1814" s="66" t="s"/>
      <c r="M1814" s="66" t="s"/>
      <c r="N1814" s="572" t="s"/>
      <c r="O1814" s="62" t="s"/>
      <c r="P1814" s="62" t="s"/>
      <c r="Q1814" s="62" t="s"/>
      <c r="R1814" s="62" t="s"/>
    </row>
    <row r="1815" spans="1:18" ht="15.75" customHeight="true">
      <c r="A1815" s="107" t="s"/>
      <c r="B1815" s="62" t="s"/>
      <c r="C1815" s="62" t="s"/>
      <c r="D1815" s="62" t="s"/>
      <c r="E1815" s="62" t="s"/>
      <c r="F1815" s="66" t="s"/>
      <c r="G1815" s="66" t="s"/>
      <c r="H1815" s="66" t="s"/>
      <c r="I1815" s="62" t="s"/>
      <c r="J1815" s="62" t="s"/>
      <c r="K1815" s="99" t="s"/>
      <c r="L1815" s="66" t="s"/>
      <c r="M1815" s="66" t="s"/>
      <c r="N1815" s="572" t="s"/>
      <c r="O1815" s="62" t="s"/>
      <c r="P1815" s="62" t="s"/>
      <c r="Q1815" s="62" t="s"/>
      <c r="R1815" s="62" t="s"/>
    </row>
    <row r="1816" spans="1:18" ht="15.75" customHeight="true">
      <c r="A1816" s="107" t="s"/>
      <c r="B1816" s="62" t="s"/>
      <c r="C1816" s="62" t="s"/>
      <c r="D1816" s="62" t="s"/>
      <c r="E1816" s="62" t="s"/>
      <c r="F1816" s="66" t="s"/>
      <c r="G1816" s="66" t="s"/>
      <c r="H1816" s="66" t="s"/>
      <c r="I1816" s="62" t="s"/>
      <c r="J1816" s="62" t="s"/>
      <c r="K1816" s="99" t="s"/>
      <c r="L1816" s="66" t="s"/>
      <c r="M1816" s="66" t="s"/>
      <c r="N1816" s="572" t="s"/>
      <c r="O1816" s="62" t="s"/>
      <c r="P1816" s="62" t="s"/>
      <c r="Q1816" s="62" t="s"/>
      <c r="R1816" s="62" t="s"/>
    </row>
    <row r="1817" spans="1:18" ht="15.75" customHeight="true">
      <c r="A1817" s="107" t="s"/>
      <c r="B1817" s="62" t="s"/>
      <c r="C1817" s="62" t="s"/>
      <c r="D1817" s="62" t="s"/>
      <c r="E1817" s="62" t="s"/>
      <c r="F1817" s="66" t="s"/>
      <c r="G1817" s="66" t="s"/>
      <c r="H1817" s="66" t="s"/>
      <c r="I1817" s="62" t="s"/>
      <c r="J1817" s="62" t="s"/>
      <c r="K1817" s="99" t="s"/>
      <c r="L1817" s="66" t="s"/>
      <c r="M1817" s="66" t="s"/>
      <c r="N1817" s="572" t="s"/>
      <c r="O1817" s="62" t="s"/>
      <c r="P1817" s="62" t="s"/>
      <c r="Q1817" s="62" t="s"/>
      <c r="R1817" s="62" t="s"/>
    </row>
    <row r="1818" spans="1:18" ht="15.75" customHeight="true">
      <c r="A1818" s="107" t="s"/>
      <c r="B1818" s="62" t="s"/>
      <c r="C1818" s="62" t="s"/>
      <c r="D1818" s="62" t="s"/>
      <c r="E1818" s="62" t="s"/>
      <c r="F1818" s="66" t="s"/>
      <c r="G1818" s="66" t="s"/>
      <c r="H1818" s="66" t="s"/>
      <c r="I1818" s="62" t="s"/>
      <c r="J1818" s="62" t="s"/>
      <c r="K1818" s="99" t="s"/>
      <c r="L1818" s="66" t="s"/>
      <c r="M1818" s="66" t="s"/>
      <c r="N1818" s="572" t="s"/>
      <c r="O1818" s="62" t="s"/>
      <c r="P1818" s="62" t="s"/>
      <c r="Q1818" s="62" t="s"/>
      <c r="R1818" s="62" t="s"/>
    </row>
    <row r="1819" spans="1:18" ht="15.75" customHeight="true">
      <c r="A1819" s="107" t="s"/>
      <c r="B1819" s="62" t="s"/>
      <c r="C1819" s="62" t="s"/>
      <c r="D1819" s="62" t="s"/>
      <c r="E1819" s="62" t="s"/>
      <c r="F1819" s="66" t="s"/>
      <c r="G1819" s="66" t="s"/>
      <c r="H1819" s="66" t="s"/>
      <c r="I1819" s="62" t="s"/>
      <c r="J1819" s="62" t="s"/>
      <c r="K1819" s="99" t="s"/>
      <c r="L1819" s="66" t="s"/>
      <c r="M1819" s="66" t="s"/>
      <c r="N1819" s="572" t="s"/>
      <c r="O1819" s="62" t="s"/>
      <c r="P1819" s="62" t="s"/>
      <c r="Q1819" s="62" t="s"/>
      <c r="R1819" s="62" t="s"/>
    </row>
    <row r="1820" spans="1:18" ht="15.75" customHeight="true">
      <c r="A1820" s="107" t="s"/>
      <c r="B1820" s="62" t="s"/>
      <c r="C1820" s="62" t="s"/>
      <c r="D1820" s="62" t="s"/>
      <c r="E1820" s="62" t="s"/>
      <c r="F1820" s="66" t="s"/>
      <c r="G1820" s="66" t="s"/>
      <c r="H1820" s="66" t="s"/>
      <c r="I1820" s="62" t="s"/>
      <c r="J1820" s="62" t="s"/>
      <c r="K1820" s="99" t="s"/>
      <c r="L1820" s="66" t="s"/>
      <c r="M1820" s="66" t="s"/>
      <c r="N1820" s="572" t="s"/>
      <c r="O1820" s="62" t="s"/>
      <c r="P1820" s="62" t="s"/>
      <c r="Q1820" s="62" t="s"/>
      <c r="R1820" s="62" t="s"/>
    </row>
    <row r="1821" spans="1:18" ht="15.75" customHeight="true">
      <c r="A1821" s="107" t="s"/>
      <c r="B1821" s="62" t="s"/>
      <c r="C1821" s="62" t="s"/>
      <c r="D1821" s="62" t="s"/>
      <c r="E1821" s="62" t="s"/>
      <c r="F1821" s="66" t="s"/>
      <c r="G1821" s="66" t="s"/>
      <c r="H1821" s="66" t="s"/>
      <c r="I1821" s="62" t="s"/>
      <c r="J1821" s="62" t="s"/>
      <c r="K1821" s="99" t="s"/>
      <c r="L1821" s="66" t="s"/>
      <c r="M1821" s="66" t="s"/>
      <c r="N1821" s="572" t="s"/>
      <c r="O1821" s="62" t="s"/>
      <c r="P1821" s="62" t="s"/>
      <c r="Q1821" s="62" t="s"/>
      <c r="R1821" s="62" t="s"/>
    </row>
    <row r="1822" spans="1:18" ht="15.75" customHeight="true">
      <c r="A1822" s="107" t="s"/>
      <c r="B1822" s="62" t="s"/>
      <c r="C1822" s="62" t="s"/>
      <c r="D1822" s="62" t="s"/>
      <c r="E1822" s="62" t="s"/>
      <c r="F1822" s="66" t="s"/>
      <c r="G1822" s="66" t="s"/>
      <c r="H1822" s="66" t="s"/>
      <c r="I1822" s="62" t="s"/>
      <c r="J1822" s="62" t="s"/>
      <c r="K1822" s="99" t="s"/>
      <c r="L1822" s="66" t="s"/>
      <c r="M1822" s="66" t="s"/>
      <c r="N1822" s="572" t="s"/>
      <c r="O1822" s="62" t="s"/>
      <c r="P1822" s="62" t="s"/>
      <c r="Q1822" s="62" t="s"/>
      <c r="R1822" s="62" t="s"/>
    </row>
    <row r="1823" spans="1:18" ht="15.75" customHeight="true">
      <c r="A1823" s="107" t="s"/>
      <c r="B1823" s="62" t="s"/>
      <c r="C1823" s="62" t="s"/>
      <c r="D1823" s="62" t="s"/>
      <c r="E1823" s="62" t="s"/>
      <c r="F1823" s="66" t="s"/>
      <c r="G1823" s="66" t="s"/>
      <c r="H1823" s="66" t="s"/>
      <c r="I1823" s="62" t="s"/>
      <c r="J1823" s="62" t="s"/>
      <c r="K1823" s="99" t="s"/>
      <c r="L1823" s="66" t="s"/>
      <c r="M1823" s="66" t="s"/>
      <c r="N1823" s="572" t="s"/>
      <c r="O1823" s="62" t="s"/>
      <c r="P1823" s="62" t="s"/>
      <c r="Q1823" s="62" t="s"/>
      <c r="R1823" s="62" t="s"/>
    </row>
    <row r="1824" spans="1:18" ht="15.75" customHeight="true">
      <c r="A1824" s="107" t="s"/>
      <c r="B1824" s="62" t="s"/>
      <c r="C1824" s="62" t="s"/>
      <c r="D1824" s="62" t="s"/>
      <c r="E1824" s="62" t="s"/>
      <c r="F1824" s="66" t="s"/>
      <c r="G1824" s="66" t="s"/>
      <c r="H1824" s="66" t="s"/>
      <c r="I1824" s="62" t="s"/>
      <c r="J1824" s="62" t="s"/>
      <c r="K1824" s="99" t="s"/>
      <c r="L1824" s="66" t="s"/>
      <c r="M1824" s="66" t="s"/>
      <c r="N1824" s="572" t="s"/>
      <c r="O1824" s="62" t="s"/>
      <c r="P1824" s="62" t="s"/>
      <c r="Q1824" s="62" t="s"/>
      <c r="R1824" s="62" t="s"/>
    </row>
    <row r="1825" spans="1:18" ht="15.75" customHeight="true">
      <c r="A1825" s="107" t="s"/>
      <c r="B1825" s="62" t="s"/>
      <c r="C1825" s="62" t="s"/>
      <c r="D1825" s="62" t="s"/>
      <c r="E1825" s="62" t="s"/>
      <c r="F1825" s="66" t="s"/>
      <c r="G1825" s="66" t="s"/>
      <c r="H1825" s="66" t="s"/>
      <c r="I1825" s="62" t="s"/>
      <c r="J1825" s="62" t="s"/>
      <c r="K1825" s="99" t="s"/>
      <c r="L1825" s="66" t="s"/>
      <c r="M1825" s="66" t="s"/>
      <c r="N1825" s="572" t="s"/>
      <c r="O1825" s="62" t="s"/>
      <c r="P1825" s="62" t="s"/>
      <c r="Q1825" s="62" t="s"/>
      <c r="R1825" s="62" t="s"/>
    </row>
    <row r="1826" spans="1:18" ht="15.75" customHeight="true">
      <c r="A1826" s="107" t="s"/>
      <c r="B1826" s="62" t="s"/>
      <c r="C1826" s="62" t="s"/>
      <c r="D1826" s="62" t="s"/>
      <c r="E1826" s="62" t="s"/>
      <c r="F1826" s="66" t="s"/>
      <c r="G1826" s="66" t="s"/>
      <c r="H1826" s="66" t="s"/>
      <c r="I1826" s="62" t="s"/>
      <c r="J1826" s="62" t="s"/>
      <c r="K1826" s="99" t="s"/>
      <c r="L1826" s="66" t="s"/>
      <c r="M1826" s="66" t="s"/>
      <c r="N1826" s="572" t="s"/>
      <c r="O1826" s="62" t="s"/>
      <c r="P1826" s="62" t="s"/>
      <c r="Q1826" s="62" t="s"/>
      <c r="R1826" s="62" t="s"/>
    </row>
    <row r="1827" spans="1:18" ht="15.75" customHeight="true">
      <c r="A1827" s="107" t="s"/>
      <c r="B1827" s="62" t="s"/>
      <c r="C1827" s="62" t="s"/>
      <c r="D1827" s="62" t="s"/>
      <c r="E1827" s="62" t="s"/>
      <c r="F1827" s="66" t="s"/>
      <c r="G1827" s="66" t="s"/>
      <c r="H1827" s="66" t="s"/>
      <c r="I1827" s="62" t="s"/>
      <c r="J1827" s="62" t="s"/>
      <c r="K1827" s="99" t="s"/>
      <c r="L1827" s="66" t="s"/>
      <c r="M1827" s="66" t="s"/>
      <c r="N1827" s="572" t="s"/>
      <c r="O1827" s="62" t="s"/>
      <c r="P1827" s="62" t="s"/>
      <c r="Q1827" s="62" t="s"/>
      <c r="R1827" s="62" t="s"/>
    </row>
    <row r="1828" spans="1:18" ht="15.75" customHeight="true">
      <c r="A1828" s="107" t="s"/>
      <c r="B1828" s="62" t="s"/>
      <c r="C1828" s="62" t="s"/>
      <c r="D1828" s="62" t="s"/>
      <c r="E1828" s="62" t="s"/>
      <c r="F1828" s="66" t="s"/>
      <c r="G1828" s="66" t="s"/>
      <c r="H1828" s="66" t="s"/>
      <c r="I1828" s="62" t="s"/>
      <c r="J1828" s="62" t="s"/>
      <c r="K1828" s="99" t="s"/>
      <c r="L1828" s="66" t="s"/>
      <c r="M1828" s="66" t="s"/>
      <c r="N1828" s="572" t="s"/>
      <c r="O1828" s="62" t="s"/>
      <c r="P1828" s="62" t="s"/>
      <c r="Q1828" s="62" t="s"/>
      <c r="R1828" s="62" t="s"/>
    </row>
    <row r="1829" spans="1:18" ht="15.75" customHeight="true">
      <c r="A1829" s="107" t="s"/>
      <c r="B1829" s="62" t="s"/>
      <c r="C1829" s="62" t="s"/>
      <c r="D1829" s="62" t="s"/>
      <c r="E1829" s="62" t="s"/>
      <c r="F1829" s="66" t="s"/>
      <c r="G1829" s="66" t="s"/>
      <c r="H1829" s="66" t="s"/>
      <c r="I1829" s="62" t="s"/>
      <c r="J1829" s="62" t="s"/>
      <c r="K1829" s="99" t="s"/>
      <c r="L1829" s="66" t="s"/>
      <c r="M1829" s="66" t="s"/>
      <c r="N1829" s="572" t="s"/>
      <c r="O1829" s="62" t="s"/>
      <c r="P1829" s="62" t="s"/>
      <c r="Q1829" s="62" t="s"/>
      <c r="R1829" s="62" t="s"/>
    </row>
    <row r="1830" spans="1:18" ht="15.75" customHeight="true">
      <c r="A1830" s="107" t="s"/>
      <c r="B1830" s="62" t="s"/>
      <c r="C1830" s="62" t="s"/>
      <c r="D1830" s="62" t="s"/>
      <c r="E1830" s="62" t="s"/>
      <c r="F1830" s="66" t="s"/>
      <c r="G1830" s="66" t="s"/>
      <c r="H1830" s="66" t="s"/>
      <c r="I1830" s="62" t="s"/>
      <c r="J1830" s="62" t="s"/>
      <c r="K1830" s="99" t="s"/>
      <c r="L1830" s="66" t="s"/>
      <c r="M1830" s="66" t="s"/>
      <c r="N1830" s="572" t="s"/>
      <c r="O1830" s="62" t="s"/>
      <c r="P1830" s="62" t="s"/>
      <c r="Q1830" s="62" t="s"/>
      <c r="R1830" s="62" t="s"/>
    </row>
    <row r="1831" spans="1:18" ht="15.75" customHeight="true">
      <c r="A1831" s="107" t="s"/>
      <c r="B1831" s="62" t="s"/>
      <c r="C1831" s="62" t="s"/>
      <c r="D1831" s="62" t="s"/>
      <c r="E1831" s="62" t="s"/>
      <c r="F1831" s="66" t="s"/>
      <c r="G1831" s="66" t="s"/>
      <c r="H1831" s="66" t="s"/>
      <c r="I1831" s="62" t="s"/>
      <c r="J1831" s="62" t="s"/>
      <c r="K1831" s="99" t="s"/>
      <c r="L1831" s="66" t="s"/>
      <c r="M1831" s="66" t="s"/>
      <c r="N1831" s="572" t="s"/>
      <c r="O1831" s="62" t="s"/>
      <c r="P1831" s="62" t="s"/>
      <c r="Q1831" s="62" t="s"/>
      <c r="R1831" s="62" t="s"/>
    </row>
    <row r="1832" spans="1:18" ht="15.75" customHeight="true">
      <c r="A1832" s="107" t="s"/>
      <c r="B1832" s="62" t="s"/>
      <c r="C1832" s="62" t="s"/>
      <c r="D1832" s="62" t="s"/>
      <c r="E1832" s="62" t="s"/>
      <c r="F1832" s="66" t="s"/>
      <c r="G1832" s="66" t="s"/>
      <c r="H1832" s="66" t="s"/>
      <c r="I1832" s="62" t="s"/>
      <c r="J1832" s="62" t="s"/>
      <c r="K1832" s="99" t="s"/>
      <c r="L1832" s="66" t="s"/>
      <c r="M1832" s="66" t="s"/>
      <c r="N1832" s="572" t="s"/>
      <c r="O1832" s="62" t="s"/>
      <c r="P1832" s="62" t="s"/>
      <c r="Q1832" s="62" t="s"/>
      <c r="R1832" s="62" t="s"/>
    </row>
    <row r="1833" spans="1:18" ht="15.75" customHeight="true">
      <c r="A1833" s="107" t="s"/>
      <c r="B1833" s="62" t="s"/>
      <c r="C1833" s="62" t="s"/>
      <c r="D1833" s="62" t="s"/>
      <c r="E1833" s="62" t="s"/>
      <c r="F1833" s="66" t="s"/>
      <c r="G1833" s="66" t="s"/>
      <c r="H1833" s="66" t="s"/>
      <c r="I1833" s="62" t="s"/>
      <c r="J1833" s="62" t="s"/>
      <c r="K1833" s="99" t="s"/>
      <c r="L1833" s="66" t="s"/>
      <c r="M1833" s="66" t="s"/>
      <c r="N1833" s="572" t="s"/>
      <c r="O1833" s="62" t="s"/>
      <c r="P1833" s="62" t="s"/>
      <c r="Q1833" s="62" t="s"/>
      <c r="R1833" s="62" t="s"/>
    </row>
    <row r="1834" spans="1:18" ht="15.75" customHeight="true">
      <c r="A1834" s="107" t="s"/>
      <c r="B1834" s="62" t="s"/>
      <c r="C1834" s="62" t="s"/>
      <c r="D1834" s="62" t="s"/>
      <c r="E1834" s="62" t="s"/>
      <c r="F1834" s="66" t="s"/>
      <c r="G1834" s="66" t="s"/>
      <c r="H1834" s="66" t="s"/>
      <c r="I1834" s="62" t="s"/>
      <c r="J1834" s="62" t="s"/>
      <c r="K1834" s="99" t="s"/>
      <c r="L1834" s="66" t="s"/>
      <c r="M1834" s="66" t="s"/>
      <c r="N1834" s="572" t="s"/>
      <c r="O1834" s="62" t="s"/>
      <c r="P1834" s="62" t="s"/>
      <c r="Q1834" s="62" t="s"/>
      <c r="R1834" s="62" t="s"/>
    </row>
    <row r="1835" spans="1:18" ht="15.75" customHeight="true">
      <c r="A1835" s="107" t="s"/>
      <c r="B1835" s="62" t="s"/>
      <c r="C1835" s="62" t="s"/>
      <c r="D1835" s="62" t="s"/>
      <c r="E1835" s="62" t="s"/>
      <c r="F1835" s="66" t="s"/>
      <c r="G1835" s="66" t="s"/>
      <c r="H1835" s="66" t="s"/>
      <c r="I1835" s="62" t="s"/>
      <c r="J1835" s="62" t="s"/>
      <c r="K1835" s="99" t="s"/>
      <c r="L1835" s="66" t="s"/>
      <c r="M1835" s="66" t="s"/>
      <c r="N1835" s="572" t="s"/>
      <c r="O1835" s="62" t="s"/>
      <c r="P1835" s="62" t="s"/>
      <c r="Q1835" s="62" t="s"/>
      <c r="R1835" s="62" t="s"/>
    </row>
    <row r="1836" spans="1:18" ht="15.75" customHeight="true">
      <c r="A1836" s="107" t="s"/>
      <c r="B1836" s="62" t="s"/>
      <c r="C1836" s="62" t="s"/>
      <c r="D1836" s="62" t="s"/>
      <c r="E1836" s="62" t="s"/>
      <c r="F1836" s="66" t="s"/>
      <c r="G1836" s="66" t="s"/>
      <c r="H1836" s="66" t="s"/>
      <c r="I1836" s="62" t="s"/>
      <c r="J1836" s="62" t="s"/>
      <c r="K1836" s="99" t="s"/>
      <c r="L1836" s="66" t="s"/>
      <c r="M1836" s="66" t="s"/>
      <c r="N1836" s="572" t="s"/>
      <c r="O1836" s="62" t="s"/>
      <c r="P1836" s="62" t="s"/>
      <c r="Q1836" s="62" t="s"/>
      <c r="R1836" s="62" t="s"/>
    </row>
    <row r="1837" spans="1:18" ht="15.75" customHeight="true">
      <c r="A1837" s="107" t="s"/>
      <c r="B1837" s="62" t="s"/>
      <c r="C1837" s="62" t="s"/>
      <c r="D1837" s="62" t="s"/>
      <c r="E1837" s="62" t="s"/>
      <c r="F1837" s="66" t="s"/>
      <c r="G1837" s="66" t="s"/>
      <c r="H1837" s="66" t="s"/>
      <c r="I1837" s="62" t="s"/>
      <c r="J1837" s="62" t="s"/>
      <c r="K1837" s="99" t="s"/>
      <c r="L1837" s="66" t="s"/>
      <c r="M1837" s="66" t="s"/>
      <c r="N1837" s="572" t="s"/>
      <c r="O1837" s="62" t="s"/>
      <c r="P1837" s="62" t="s"/>
      <c r="Q1837" s="62" t="s"/>
      <c r="R1837" s="62" t="s"/>
    </row>
    <row r="1838" spans="1:18" ht="15.75" customHeight="true">
      <c r="A1838" s="107" t="s"/>
      <c r="B1838" s="62" t="s"/>
      <c r="C1838" s="62" t="s"/>
      <c r="D1838" s="62" t="s"/>
      <c r="E1838" s="62" t="s"/>
      <c r="F1838" s="66" t="s"/>
      <c r="G1838" s="66" t="s"/>
      <c r="H1838" s="66" t="s"/>
      <c r="I1838" s="62" t="s"/>
      <c r="J1838" s="62" t="s"/>
      <c r="K1838" s="99" t="s"/>
      <c r="L1838" s="66" t="s"/>
      <c r="M1838" s="66" t="s"/>
      <c r="N1838" s="572" t="s"/>
      <c r="O1838" s="62" t="s"/>
      <c r="P1838" s="62" t="s"/>
      <c r="Q1838" s="62" t="s"/>
      <c r="R1838" s="62" t="s"/>
    </row>
    <row r="1839" spans="1:18" ht="15.75" customHeight="true">
      <c r="A1839" s="107" t="s"/>
      <c r="B1839" s="62" t="s"/>
      <c r="C1839" s="62" t="s"/>
      <c r="D1839" s="62" t="s"/>
      <c r="E1839" s="62" t="s"/>
      <c r="F1839" s="66" t="s"/>
      <c r="G1839" s="66" t="s"/>
      <c r="H1839" s="66" t="s"/>
      <c r="I1839" s="62" t="s"/>
      <c r="J1839" s="62" t="s"/>
      <c r="K1839" s="99" t="s"/>
      <c r="L1839" s="66" t="s"/>
      <c r="M1839" s="66" t="s"/>
      <c r="N1839" s="572" t="s"/>
      <c r="O1839" s="62" t="s"/>
      <c r="P1839" s="62" t="s"/>
      <c r="Q1839" s="62" t="s"/>
      <c r="R1839" s="62" t="s"/>
    </row>
    <row r="1840" spans="1:18" ht="15.75" customHeight="true">
      <c r="A1840" s="107" t="s"/>
      <c r="B1840" s="62" t="s"/>
      <c r="C1840" s="62" t="s"/>
      <c r="D1840" s="62" t="s"/>
      <c r="E1840" s="62" t="s"/>
      <c r="F1840" s="66" t="s"/>
      <c r="G1840" s="66" t="s"/>
      <c r="H1840" s="66" t="s"/>
      <c r="I1840" s="62" t="s"/>
      <c r="J1840" s="62" t="s"/>
      <c r="K1840" s="99" t="s"/>
      <c r="L1840" s="66" t="s"/>
      <c r="M1840" s="66" t="s"/>
      <c r="N1840" s="572" t="s"/>
      <c r="O1840" s="62" t="s"/>
      <c r="P1840" s="62" t="s"/>
      <c r="Q1840" s="62" t="s"/>
      <c r="R1840" s="62" t="s"/>
    </row>
    <row r="1841" spans="1:18" ht="15.75" customHeight="true">
      <c r="A1841" s="107" t="s"/>
      <c r="B1841" s="62" t="s"/>
      <c r="C1841" s="62" t="s"/>
      <c r="D1841" s="62" t="s"/>
      <c r="E1841" s="62" t="s"/>
      <c r="F1841" s="66" t="s"/>
      <c r="G1841" s="66" t="s"/>
      <c r="H1841" s="66" t="s"/>
      <c r="I1841" s="62" t="s"/>
      <c r="J1841" s="62" t="s"/>
      <c r="K1841" s="99" t="s"/>
      <c r="L1841" s="66" t="s"/>
      <c r="M1841" s="66" t="s"/>
      <c r="N1841" s="572" t="s"/>
      <c r="O1841" s="62" t="s"/>
      <c r="P1841" s="62" t="s"/>
      <c r="Q1841" s="62" t="s"/>
      <c r="R1841" s="62" t="s"/>
    </row>
    <row r="1842" spans="1:18" ht="15.75" customHeight="true">
      <c r="A1842" s="107" t="s"/>
      <c r="B1842" s="62" t="s"/>
      <c r="C1842" s="62" t="s"/>
      <c r="D1842" s="62" t="s"/>
      <c r="E1842" s="62" t="s"/>
      <c r="F1842" s="66" t="s"/>
      <c r="G1842" s="66" t="s"/>
      <c r="H1842" s="66" t="s"/>
      <c r="I1842" s="62" t="s"/>
      <c r="J1842" s="62" t="s"/>
      <c r="K1842" s="99" t="s"/>
      <c r="L1842" s="66" t="s"/>
      <c r="M1842" s="66" t="s"/>
      <c r="N1842" s="572" t="s"/>
      <c r="O1842" s="62" t="s"/>
      <c r="P1842" s="62" t="s"/>
      <c r="Q1842" s="62" t="s"/>
      <c r="R1842" s="62" t="s"/>
    </row>
    <row r="1843" spans="1:18" ht="15.75" customHeight="true">
      <c r="A1843" s="107" t="s"/>
      <c r="B1843" s="62" t="s"/>
      <c r="C1843" s="62" t="s"/>
      <c r="D1843" s="62" t="s"/>
      <c r="E1843" s="62" t="s"/>
      <c r="F1843" s="66" t="s"/>
      <c r="G1843" s="66" t="s"/>
      <c r="H1843" s="66" t="s"/>
      <c r="I1843" s="62" t="s"/>
      <c r="J1843" s="62" t="s"/>
      <c r="K1843" s="99" t="s"/>
      <c r="L1843" s="66" t="s"/>
      <c r="M1843" s="66" t="s"/>
      <c r="N1843" s="572" t="s"/>
      <c r="O1843" s="62" t="s"/>
      <c r="P1843" s="62" t="s"/>
      <c r="Q1843" s="62" t="s"/>
      <c r="R1843" s="62" t="s"/>
    </row>
    <row r="1844" spans="1:18" ht="15.75" customHeight="true">
      <c r="A1844" s="107" t="s"/>
      <c r="B1844" s="62" t="s"/>
      <c r="C1844" s="62" t="s"/>
      <c r="D1844" s="62" t="s"/>
      <c r="E1844" s="62" t="s"/>
      <c r="F1844" s="66" t="s"/>
      <c r="G1844" s="66" t="s"/>
      <c r="H1844" s="66" t="s"/>
      <c r="I1844" s="62" t="s"/>
      <c r="J1844" s="62" t="s"/>
      <c r="K1844" s="99" t="s"/>
      <c r="L1844" s="66" t="s"/>
      <c r="M1844" s="66" t="s"/>
      <c r="N1844" s="572" t="s"/>
      <c r="O1844" s="62" t="s"/>
      <c r="P1844" s="62" t="s"/>
      <c r="Q1844" s="62" t="s"/>
      <c r="R1844" s="62" t="s"/>
    </row>
    <row r="1845" spans="1:18" ht="15.75" customHeight="true">
      <c r="A1845" s="107" t="s"/>
      <c r="B1845" s="62" t="s"/>
      <c r="C1845" s="62" t="s"/>
      <c r="D1845" s="62" t="s"/>
      <c r="E1845" s="62" t="s"/>
      <c r="F1845" s="66" t="s"/>
      <c r="G1845" s="66" t="s"/>
      <c r="H1845" s="66" t="s"/>
      <c r="I1845" s="62" t="s"/>
      <c r="J1845" s="62" t="s"/>
      <c r="K1845" s="99" t="s"/>
      <c r="L1845" s="66" t="s"/>
      <c r="M1845" s="66" t="s"/>
      <c r="N1845" s="572" t="s"/>
      <c r="O1845" s="62" t="s"/>
      <c r="P1845" s="62" t="s"/>
      <c r="Q1845" s="62" t="s"/>
      <c r="R1845" s="62" t="s"/>
    </row>
    <row r="1846" spans="1:18" ht="15.75" customHeight="true">
      <c r="A1846" s="107" t="s"/>
      <c r="B1846" s="62" t="s"/>
      <c r="C1846" s="62" t="s"/>
      <c r="D1846" s="62" t="s"/>
      <c r="E1846" s="62" t="s"/>
      <c r="F1846" s="66" t="s"/>
      <c r="G1846" s="66" t="s"/>
      <c r="H1846" s="66" t="s"/>
      <c r="I1846" s="62" t="s"/>
      <c r="J1846" s="62" t="s"/>
      <c r="K1846" s="99" t="s"/>
      <c r="L1846" s="66" t="s"/>
      <c r="M1846" s="66" t="s"/>
      <c r="N1846" s="572" t="s"/>
      <c r="O1846" s="62" t="s"/>
      <c r="P1846" s="62" t="s"/>
      <c r="Q1846" s="62" t="s"/>
      <c r="R1846" s="62" t="s"/>
    </row>
    <row r="1847" spans="1:18" ht="15.75" customHeight="true">
      <c r="A1847" s="107" t="s"/>
      <c r="B1847" s="62" t="s"/>
      <c r="C1847" s="62" t="s"/>
      <c r="D1847" s="62" t="s"/>
      <c r="E1847" s="62" t="s"/>
      <c r="F1847" s="66" t="s"/>
      <c r="G1847" s="66" t="s"/>
      <c r="H1847" s="66" t="s"/>
      <c r="I1847" s="62" t="s"/>
      <c r="J1847" s="62" t="s"/>
      <c r="K1847" s="99" t="s"/>
      <c r="L1847" s="66" t="s"/>
      <c r="M1847" s="66" t="s"/>
      <c r="N1847" s="572" t="s"/>
      <c r="O1847" s="62" t="s"/>
      <c r="P1847" s="62" t="s"/>
      <c r="Q1847" s="62" t="s"/>
      <c r="R1847" s="62" t="s"/>
    </row>
    <row r="1848" spans="1:18" ht="15.75" customHeight="true">
      <c r="A1848" s="107" t="s"/>
      <c r="B1848" s="62" t="s"/>
      <c r="C1848" s="62" t="s"/>
      <c r="D1848" s="62" t="s"/>
      <c r="E1848" s="62" t="s"/>
      <c r="F1848" s="66" t="s"/>
      <c r="G1848" s="66" t="s"/>
      <c r="H1848" s="66" t="s"/>
      <c r="I1848" s="62" t="s"/>
      <c r="J1848" s="62" t="s"/>
      <c r="K1848" s="99" t="s"/>
      <c r="L1848" s="66" t="s"/>
      <c r="M1848" s="66" t="s"/>
      <c r="N1848" s="572" t="s"/>
      <c r="O1848" s="62" t="s"/>
      <c r="P1848" s="62" t="s"/>
      <c r="Q1848" s="62" t="s"/>
      <c r="R1848" s="62" t="s"/>
    </row>
    <row r="1849" spans="1:18" ht="15.75" customHeight="true">
      <c r="A1849" s="107" t="s"/>
      <c r="B1849" s="62" t="s"/>
      <c r="C1849" s="62" t="s"/>
      <c r="D1849" s="62" t="s"/>
      <c r="E1849" s="62" t="s"/>
      <c r="F1849" s="66" t="s"/>
      <c r="G1849" s="66" t="s"/>
      <c r="H1849" s="66" t="s"/>
      <c r="I1849" s="62" t="s"/>
      <c r="J1849" s="62" t="s"/>
      <c r="K1849" s="99" t="s"/>
      <c r="L1849" s="66" t="s"/>
      <c r="M1849" s="66" t="s"/>
      <c r="N1849" s="572" t="s"/>
      <c r="O1849" s="62" t="s"/>
      <c r="P1849" s="62" t="s"/>
      <c r="Q1849" s="62" t="s"/>
      <c r="R1849" s="62" t="s"/>
    </row>
    <row r="1850" spans="1:18" ht="15.75" customHeight="true">
      <c r="A1850" s="107" t="s"/>
      <c r="B1850" s="62" t="s"/>
      <c r="C1850" s="62" t="s"/>
      <c r="D1850" s="62" t="s"/>
      <c r="E1850" s="62" t="s"/>
      <c r="F1850" s="66" t="s"/>
      <c r="G1850" s="66" t="s"/>
      <c r="H1850" s="66" t="s"/>
      <c r="I1850" s="62" t="s"/>
      <c r="J1850" s="62" t="s"/>
      <c r="K1850" s="99" t="s"/>
      <c r="L1850" s="66" t="s"/>
      <c r="M1850" s="66" t="s"/>
      <c r="N1850" s="572" t="s"/>
      <c r="O1850" s="62" t="s"/>
      <c r="P1850" s="62" t="s"/>
      <c r="Q1850" s="62" t="s"/>
      <c r="R1850" s="62" t="s"/>
    </row>
    <row r="1851" spans="1:18" ht="15.75" customHeight="true">
      <c r="A1851" s="107" t="s"/>
      <c r="B1851" s="62" t="s"/>
      <c r="C1851" s="62" t="s"/>
      <c r="D1851" s="62" t="s"/>
      <c r="E1851" s="62" t="s"/>
      <c r="F1851" s="66" t="s"/>
      <c r="G1851" s="66" t="s"/>
      <c r="H1851" s="66" t="s"/>
      <c r="I1851" s="62" t="s"/>
      <c r="J1851" s="62" t="s"/>
      <c r="K1851" s="99" t="s"/>
      <c r="L1851" s="66" t="s"/>
      <c r="M1851" s="66" t="s"/>
      <c r="N1851" s="572" t="s"/>
      <c r="O1851" s="62" t="s"/>
      <c r="P1851" s="62" t="s"/>
      <c r="Q1851" s="62" t="s"/>
      <c r="R1851" s="62" t="s"/>
    </row>
    <row r="1852" spans="1:18" ht="15.75" customHeight="true">
      <c r="A1852" s="107" t="s"/>
      <c r="B1852" s="62" t="s"/>
      <c r="C1852" s="62" t="s"/>
      <c r="D1852" s="62" t="s"/>
      <c r="E1852" s="62" t="s"/>
      <c r="F1852" s="66" t="s"/>
      <c r="G1852" s="66" t="s"/>
      <c r="H1852" s="66" t="s"/>
      <c r="I1852" s="62" t="s"/>
      <c r="J1852" s="62" t="s"/>
      <c r="K1852" s="99" t="s"/>
      <c r="L1852" s="66" t="s"/>
      <c r="M1852" s="66" t="s"/>
      <c r="N1852" s="572" t="s"/>
      <c r="O1852" s="62" t="s"/>
      <c r="P1852" s="62" t="s"/>
      <c r="Q1852" s="62" t="s"/>
      <c r="R1852" s="62" t="s"/>
    </row>
    <row r="1853" spans="1:18" ht="15.75" customHeight="true">
      <c r="A1853" s="107" t="s"/>
      <c r="B1853" s="62" t="s"/>
      <c r="C1853" s="62" t="s"/>
      <c r="D1853" s="62" t="s"/>
      <c r="E1853" s="62" t="s"/>
      <c r="F1853" s="66" t="s"/>
      <c r="G1853" s="66" t="s"/>
      <c r="H1853" s="66" t="s"/>
      <c r="I1853" s="62" t="s"/>
      <c r="J1853" s="62" t="s"/>
      <c r="K1853" s="99" t="s"/>
      <c r="L1853" s="66" t="s"/>
      <c r="M1853" s="66" t="s"/>
      <c r="N1853" s="572" t="s"/>
      <c r="O1853" s="62" t="s"/>
      <c r="P1853" s="62" t="s"/>
      <c r="Q1853" s="62" t="s"/>
      <c r="R1853" s="62" t="s"/>
    </row>
    <row r="1854" spans="1:18" ht="15.75" customHeight="true">
      <c r="A1854" s="107" t="s"/>
      <c r="B1854" s="62" t="s"/>
      <c r="C1854" s="62" t="s"/>
      <c r="D1854" s="62" t="s"/>
      <c r="E1854" s="62" t="s"/>
      <c r="F1854" s="66" t="s"/>
      <c r="G1854" s="66" t="s"/>
      <c r="H1854" s="66" t="s"/>
      <c r="I1854" s="62" t="s"/>
      <c r="J1854" s="62" t="s"/>
      <c r="K1854" s="99" t="s"/>
      <c r="L1854" s="66" t="s"/>
      <c r="M1854" s="66" t="s"/>
      <c r="N1854" s="572" t="s"/>
      <c r="O1854" s="62" t="s"/>
      <c r="P1854" s="62" t="s"/>
      <c r="Q1854" s="62" t="s"/>
      <c r="R1854" s="62" t="s"/>
    </row>
    <row r="1855" spans="1:18" ht="15.75" customHeight="true">
      <c r="A1855" s="107" t="s"/>
      <c r="B1855" s="62" t="s"/>
      <c r="C1855" s="62" t="s"/>
      <c r="D1855" s="62" t="s"/>
      <c r="E1855" s="62" t="s"/>
      <c r="F1855" s="66" t="s"/>
      <c r="G1855" s="66" t="s"/>
      <c r="H1855" s="66" t="s"/>
      <c r="I1855" s="62" t="s"/>
      <c r="J1855" s="62" t="s"/>
      <c r="K1855" s="99" t="s"/>
      <c r="L1855" s="66" t="s"/>
      <c r="M1855" s="66" t="s"/>
      <c r="N1855" s="572" t="s"/>
      <c r="O1855" s="62" t="s"/>
      <c r="P1855" s="62" t="s"/>
      <c r="Q1855" s="62" t="s"/>
      <c r="R1855" s="62" t="s"/>
    </row>
    <row r="1856" spans="1:18" ht="15.75" customHeight="true">
      <c r="A1856" s="107" t="s"/>
      <c r="B1856" s="62" t="s"/>
      <c r="C1856" s="62" t="s"/>
      <c r="D1856" s="62" t="s"/>
      <c r="E1856" s="62" t="s"/>
      <c r="F1856" s="66" t="s"/>
      <c r="G1856" s="66" t="s"/>
      <c r="H1856" s="66" t="s"/>
      <c r="I1856" s="62" t="s"/>
      <c r="J1856" s="62" t="s"/>
      <c r="K1856" s="99" t="s"/>
      <c r="L1856" s="66" t="s"/>
      <c r="M1856" s="66" t="s"/>
      <c r="N1856" s="572" t="s"/>
      <c r="O1856" s="62" t="s"/>
      <c r="P1856" s="62" t="s"/>
      <c r="Q1856" s="62" t="s"/>
      <c r="R1856" s="62" t="s"/>
    </row>
    <row r="1857" spans="1:18" ht="15.75" customHeight="true">
      <c r="A1857" s="107" t="s"/>
      <c r="B1857" s="62" t="s"/>
      <c r="C1857" s="62" t="s"/>
      <c r="D1857" s="62" t="s"/>
      <c r="E1857" s="62" t="s"/>
      <c r="F1857" s="66" t="s"/>
      <c r="G1857" s="66" t="s"/>
      <c r="H1857" s="66" t="s"/>
      <c r="I1857" s="62" t="s"/>
      <c r="J1857" s="62" t="s"/>
      <c r="K1857" s="99" t="s"/>
      <c r="L1857" s="66" t="s"/>
      <c r="M1857" s="66" t="s"/>
      <c r="N1857" s="572" t="s"/>
      <c r="O1857" s="62" t="s"/>
      <c r="P1857" s="62" t="s"/>
      <c r="Q1857" s="62" t="s"/>
      <c r="R1857" s="62" t="s"/>
    </row>
    <row r="1858" spans="1:18" ht="15.75" customHeight="true">
      <c r="A1858" s="107" t="s"/>
      <c r="B1858" s="62" t="s"/>
      <c r="C1858" s="62" t="s"/>
      <c r="D1858" s="62" t="s"/>
      <c r="E1858" s="62" t="s"/>
      <c r="F1858" s="66" t="s"/>
      <c r="G1858" s="66" t="s"/>
      <c r="H1858" s="66" t="s"/>
      <c r="I1858" s="62" t="s"/>
      <c r="J1858" s="62" t="s"/>
      <c r="K1858" s="99" t="s"/>
      <c r="L1858" s="66" t="s"/>
      <c r="M1858" s="66" t="s"/>
      <c r="N1858" s="572" t="s"/>
      <c r="O1858" s="62" t="s"/>
      <c r="P1858" s="62" t="s"/>
      <c r="Q1858" s="62" t="s"/>
      <c r="R1858" s="62" t="s"/>
    </row>
    <row r="1859" spans="1:18" ht="15.75" customHeight="true">
      <c r="A1859" s="107" t="s"/>
      <c r="B1859" s="62" t="s"/>
      <c r="C1859" s="62" t="s"/>
      <c r="D1859" s="62" t="s"/>
      <c r="E1859" s="62" t="s"/>
      <c r="F1859" s="66" t="s"/>
      <c r="G1859" s="66" t="s"/>
      <c r="H1859" s="66" t="s"/>
      <c r="I1859" s="62" t="s"/>
      <c r="J1859" s="62" t="s"/>
      <c r="K1859" s="99" t="s"/>
      <c r="L1859" s="66" t="s"/>
      <c r="M1859" s="66" t="s"/>
      <c r="N1859" s="572" t="s"/>
      <c r="O1859" s="62" t="s"/>
      <c r="P1859" s="62" t="s"/>
      <c r="Q1859" s="62" t="s"/>
      <c r="R1859" s="62" t="s"/>
    </row>
    <row r="1860" spans="1:18" ht="15.75" customHeight="true">
      <c r="A1860" s="107" t="s"/>
      <c r="B1860" s="62" t="s"/>
      <c r="C1860" s="62" t="s"/>
      <c r="D1860" s="62" t="s"/>
      <c r="E1860" s="62" t="s"/>
      <c r="F1860" s="66" t="s"/>
      <c r="G1860" s="66" t="s"/>
      <c r="H1860" s="66" t="s"/>
      <c r="I1860" s="62" t="s"/>
      <c r="J1860" s="62" t="s"/>
      <c r="K1860" s="99" t="s"/>
      <c r="L1860" s="66" t="s"/>
      <c r="M1860" s="66" t="s"/>
      <c r="N1860" s="572" t="s"/>
      <c r="O1860" s="62" t="s"/>
      <c r="P1860" s="62" t="s"/>
      <c r="Q1860" s="62" t="s"/>
      <c r="R1860" s="62" t="s"/>
    </row>
    <row r="1861" spans="1:18" ht="15.75" customHeight="true">
      <c r="A1861" s="107" t="s"/>
      <c r="B1861" s="62" t="s"/>
      <c r="C1861" s="62" t="s"/>
      <c r="D1861" s="62" t="s"/>
      <c r="E1861" s="62" t="s"/>
      <c r="F1861" s="66" t="s"/>
      <c r="G1861" s="66" t="s"/>
      <c r="H1861" s="66" t="s"/>
      <c r="I1861" s="62" t="s"/>
      <c r="J1861" s="62" t="s"/>
      <c r="K1861" s="99" t="s"/>
      <c r="L1861" s="66" t="s"/>
      <c r="M1861" s="66" t="s"/>
      <c r="N1861" s="572" t="s"/>
      <c r="O1861" s="62" t="s"/>
      <c r="P1861" s="62" t="s"/>
      <c r="Q1861" s="62" t="s"/>
      <c r="R1861" s="62" t="s"/>
    </row>
    <row r="1862" spans="1:18" ht="15.75" customHeight="true">
      <c r="A1862" s="107" t="s"/>
      <c r="B1862" s="62" t="s"/>
      <c r="C1862" s="62" t="s"/>
      <c r="D1862" s="62" t="s"/>
      <c r="E1862" s="62" t="s"/>
      <c r="F1862" s="66" t="s"/>
      <c r="G1862" s="66" t="s"/>
      <c r="H1862" s="66" t="s"/>
      <c r="I1862" s="62" t="s"/>
      <c r="J1862" s="62" t="s"/>
      <c r="K1862" s="99" t="s"/>
      <c r="L1862" s="66" t="s"/>
      <c r="M1862" s="66" t="s"/>
      <c r="N1862" s="572" t="s"/>
      <c r="O1862" s="62" t="s"/>
      <c r="P1862" s="62" t="s"/>
      <c r="Q1862" s="62" t="s"/>
      <c r="R1862" s="62" t="s"/>
    </row>
    <row r="1863" spans="1:18" ht="15.75" customHeight="true">
      <c r="A1863" s="107" t="s"/>
      <c r="B1863" s="62" t="s"/>
      <c r="C1863" s="62" t="s"/>
      <c r="D1863" s="62" t="s"/>
      <c r="E1863" s="62" t="s"/>
      <c r="F1863" s="66" t="s"/>
      <c r="G1863" s="66" t="s"/>
      <c r="H1863" s="66" t="s"/>
      <c r="I1863" s="62" t="s"/>
      <c r="J1863" s="62" t="s"/>
      <c r="K1863" s="99" t="s"/>
      <c r="L1863" s="66" t="s"/>
      <c r="M1863" s="66" t="s"/>
      <c r="N1863" s="572" t="s"/>
      <c r="O1863" s="62" t="s"/>
      <c r="P1863" s="62" t="s"/>
      <c r="Q1863" s="62" t="s"/>
      <c r="R1863" s="62" t="s"/>
    </row>
    <row r="1864" spans="1:18" ht="15.75" customHeight="true">
      <c r="A1864" s="107" t="s"/>
      <c r="B1864" s="62" t="s"/>
      <c r="C1864" s="62" t="s"/>
      <c r="D1864" s="62" t="s"/>
      <c r="E1864" s="62" t="s"/>
      <c r="F1864" s="66" t="s"/>
      <c r="G1864" s="66" t="s"/>
      <c r="H1864" s="66" t="s"/>
      <c r="I1864" s="62" t="s"/>
      <c r="J1864" s="62" t="s"/>
      <c r="K1864" s="99" t="s"/>
      <c r="L1864" s="66" t="s"/>
      <c r="M1864" s="66" t="s"/>
      <c r="N1864" s="572" t="s"/>
      <c r="O1864" s="62" t="s"/>
      <c r="P1864" s="62" t="s"/>
      <c r="Q1864" s="62" t="s"/>
      <c r="R1864" s="62" t="s"/>
    </row>
    <row r="1865" spans="1:18" ht="15.75" customHeight="true">
      <c r="A1865" s="107" t="s"/>
      <c r="B1865" s="62" t="s"/>
      <c r="C1865" s="62" t="s"/>
      <c r="D1865" s="62" t="s"/>
      <c r="E1865" s="62" t="s"/>
      <c r="F1865" s="66" t="s"/>
      <c r="G1865" s="66" t="s"/>
      <c r="H1865" s="66" t="s"/>
      <c r="I1865" s="62" t="s"/>
      <c r="J1865" s="62" t="s"/>
      <c r="K1865" s="99" t="s"/>
      <c r="L1865" s="66" t="s"/>
      <c r="M1865" s="66" t="s"/>
      <c r="N1865" s="572" t="s"/>
      <c r="O1865" s="62" t="s"/>
      <c r="P1865" s="62" t="s"/>
      <c r="Q1865" s="62" t="s"/>
      <c r="R1865" s="62" t="s"/>
    </row>
    <row r="1866" spans="1:18" ht="15.75" customHeight="true">
      <c r="A1866" s="107" t="s"/>
      <c r="B1866" s="62" t="s"/>
      <c r="C1866" s="62" t="s"/>
      <c r="D1866" s="62" t="s"/>
      <c r="E1866" s="62" t="s"/>
      <c r="F1866" s="66" t="s"/>
      <c r="G1866" s="66" t="s"/>
      <c r="H1866" s="66" t="s"/>
      <c r="I1866" s="62" t="s"/>
      <c r="J1866" s="62" t="s"/>
      <c r="K1866" s="99" t="s"/>
      <c r="L1866" s="66" t="s"/>
      <c r="M1866" s="66" t="s"/>
      <c r="N1866" s="572" t="s"/>
      <c r="O1866" s="62" t="s"/>
      <c r="P1866" s="62" t="s"/>
      <c r="Q1866" s="62" t="s"/>
      <c r="R1866" s="62" t="s"/>
    </row>
    <row r="1867" spans="1:18" ht="15.75" customHeight="true">
      <c r="A1867" s="107" t="s"/>
      <c r="B1867" s="62" t="s"/>
      <c r="C1867" s="62" t="s"/>
      <c r="D1867" s="62" t="s"/>
      <c r="E1867" s="62" t="s"/>
      <c r="F1867" s="66" t="s"/>
      <c r="G1867" s="66" t="s"/>
      <c r="H1867" s="66" t="s"/>
      <c r="I1867" s="62" t="s"/>
      <c r="J1867" s="62" t="s"/>
      <c r="K1867" s="99" t="s"/>
      <c r="L1867" s="66" t="s"/>
      <c r="M1867" s="66" t="s"/>
      <c r="N1867" s="572" t="s"/>
      <c r="O1867" s="62" t="s"/>
      <c r="P1867" s="62" t="s"/>
      <c r="Q1867" s="62" t="s"/>
      <c r="R1867" s="62" t="s"/>
    </row>
    <row r="1868" spans="1:18" ht="15.75" customHeight="true">
      <c r="A1868" s="107" t="s"/>
      <c r="B1868" s="62" t="s"/>
      <c r="C1868" s="62" t="s"/>
      <c r="D1868" s="62" t="s"/>
      <c r="E1868" s="62" t="s"/>
      <c r="F1868" s="66" t="s"/>
      <c r="G1868" s="66" t="s"/>
      <c r="H1868" s="66" t="s"/>
      <c r="I1868" s="62" t="s"/>
      <c r="J1868" s="62" t="s"/>
      <c r="K1868" s="99" t="s"/>
      <c r="L1868" s="66" t="s"/>
      <c r="M1868" s="66" t="s"/>
      <c r="N1868" s="572" t="s"/>
      <c r="O1868" s="62" t="s"/>
      <c r="P1868" s="62" t="s"/>
      <c r="Q1868" s="62" t="s"/>
      <c r="R1868" s="62" t="s"/>
    </row>
    <row r="1869" spans="1:18" ht="15.75" customHeight="true">
      <c r="A1869" s="107" t="s"/>
      <c r="B1869" s="62" t="s"/>
      <c r="C1869" s="62" t="s"/>
      <c r="D1869" s="62" t="s"/>
      <c r="E1869" s="62" t="s"/>
      <c r="F1869" s="66" t="s"/>
      <c r="G1869" s="66" t="s"/>
      <c r="H1869" s="66" t="s"/>
      <c r="I1869" s="62" t="s"/>
      <c r="J1869" s="62" t="s"/>
      <c r="K1869" s="99" t="s"/>
      <c r="L1869" s="66" t="s"/>
      <c r="M1869" s="66" t="s"/>
      <c r="N1869" s="572" t="s"/>
      <c r="O1869" s="62" t="s"/>
      <c r="P1869" s="62" t="s"/>
      <c r="Q1869" s="62" t="s"/>
      <c r="R1869" s="62" t="s"/>
    </row>
    <row r="1870" spans="1:18" ht="15.75" customHeight="true">
      <c r="A1870" s="107" t="s"/>
      <c r="B1870" s="62" t="s"/>
      <c r="C1870" s="62" t="s"/>
      <c r="D1870" s="62" t="s"/>
      <c r="E1870" s="62" t="s"/>
      <c r="F1870" s="66" t="s"/>
      <c r="G1870" s="66" t="s"/>
      <c r="H1870" s="66" t="s"/>
      <c r="I1870" s="62" t="s"/>
      <c r="J1870" s="62" t="s"/>
      <c r="K1870" s="99" t="s"/>
      <c r="L1870" s="66" t="s"/>
      <c r="M1870" s="66" t="s"/>
      <c r="N1870" s="572" t="s"/>
      <c r="O1870" s="62" t="s"/>
      <c r="P1870" s="62" t="s"/>
      <c r="Q1870" s="62" t="s"/>
      <c r="R1870" s="62" t="s"/>
    </row>
    <row r="1871" spans="1:18" ht="15.75" customHeight="true">
      <c r="A1871" s="107" t="s"/>
      <c r="B1871" s="62" t="s"/>
      <c r="C1871" s="62" t="s"/>
      <c r="D1871" s="62" t="s"/>
      <c r="E1871" s="62" t="s"/>
      <c r="F1871" s="66" t="s"/>
      <c r="G1871" s="66" t="s"/>
      <c r="H1871" s="66" t="s"/>
      <c r="I1871" s="62" t="s"/>
      <c r="J1871" s="62" t="s"/>
      <c r="K1871" s="99" t="s"/>
      <c r="L1871" s="66" t="s"/>
      <c r="M1871" s="66" t="s"/>
      <c r="N1871" s="572" t="s"/>
      <c r="O1871" s="62" t="s"/>
      <c r="P1871" s="62" t="s"/>
      <c r="Q1871" s="62" t="s"/>
      <c r="R1871" s="62" t="s"/>
    </row>
    <row r="1872" spans="1:18" ht="15.75" customHeight="true">
      <c r="A1872" s="107" t="s"/>
      <c r="B1872" s="62" t="s"/>
      <c r="C1872" s="62" t="s"/>
      <c r="D1872" s="62" t="s"/>
      <c r="E1872" s="62" t="s"/>
      <c r="F1872" s="66" t="s"/>
      <c r="G1872" s="66" t="s"/>
      <c r="H1872" s="66" t="s"/>
      <c r="I1872" s="62" t="s"/>
      <c r="J1872" s="62" t="s"/>
      <c r="K1872" s="99" t="s"/>
      <c r="L1872" s="66" t="s"/>
      <c r="M1872" s="66" t="s"/>
      <c r="N1872" s="572" t="s"/>
      <c r="O1872" s="62" t="s"/>
      <c r="P1872" s="62" t="s"/>
      <c r="Q1872" s="62" t="s"/>
      <c r="R1872" s="62" t="s"/>
    </row>
    <row r="1873" spans="1:18" ht="15.75" customHeight="true">
      <c r="A1873" s="107" t="s"/>
      <c r="B1873" s="62" t="s"/>
      <c r="C1873" s="62" t="s"/>
      <c r="D1873" s="62" t="s"/>
      <c r="E1873" s="62" t="s"/>
      <c r="F1873" s="66" t="s"/>
      <c r="G1873" s="66" t="s"/>
      <c r="H1873" s="66" t="s"/>
      <c r="I1873" s="62" t="s"/>
      <c r="J1873" s="62" t="s"/>
      <c r="K1873" s="99" t="s"/>
      <c r="L1873" s="66" t="s"/>
      <c r="M1873" s="66" t="s"/>
      <c r="N1873" s="572" t="s"/>
      <c r="O1873" s="62" t="s"/>
      <c r="P1873" s="62" t="s"/>
      <c r="Q1873" s="62" t="s"/>
      <c r="R1873" s="62" t="s"/>
    </row>
    <row r="1874" spans="1:18" ht="15.75" customHeight="true">
      <c r="A1874" s="107" t="s"/>
      <c r="B1874" s="62" t="s"/>
      <c r="C1874" s="62" t="s"/>
      <c r="D1874" s="62" t="s"/>
      <c r="E1874" s="62" t="s"/>
      <c r="F1874" s="66" t="s"/>
      <c r="G1874" s="66" t="s"/>
      <c r="H1874" s="66" t="s"/>
      <c r="I1874" s="62" t="s"/>
      <c r="J1874" s="62" t="s"/>
      <c r="K1874" s="99" t="s"/>
      <c r="L1874" s="66" t="s"/>
      <c r="M1874" s="66" t="s"/>
      <c r="N1874" s="572" t="s"/>
      <c r="O1874" s="62" t="s"/>
      <c r="P1874" s="62" t="s"/>
      <c r="Q1874" s="62" t="s"/>
      <c r="R1874" s="62" t="s"/>
    </row>
    <row r="1875" spans="1:18" ht="15.75" customHeight="true">
      <c r="A1875" s="107" t="s"/>
      <c r="B1875" s="62" t="s"/>
      <c r="C1875" s="62" t="s"/>
      <c r="D1875" s="62" t="s"/>
      <c r="E1875" s="62" t="s"/>
      <c r="F1875" s="66" t="s"/>
      <c r="G1875" s="66" t="s"/>
      <c r="H1875" s="66" t="s"/>
      <c r="I1875" s="62" t="s"/>
      <c r="J1875" s="62" t="s"/>
      <c r="K1875" s="99" t="s"/>
      <c r="L1875" s="66" t="s"/>
      <c r="M1875" s="66" t="s"/>
      <c r="N1875" s="572" t="s"/>
      <c r="O1875" s="62" t="s"/>
      <c r="P1875" s="62" t="s"/>
      <c r="Q1875" s="62" t="s"/>
      <c r="R1875" s="62" t="s"/>
    </row>
    <row r="1876" spans="1:18" ht="15.75" customHeight="true">
      <c r="A1876" s="107" t="s"/>
      <c r="B1876" s="62" t="s"/>
      <c r="C1876" s="62" t="s"/>
      <c r="D1876" s="62" t="s"/>
      <c r="E1876" s="62" t="s"/>
      <c r="F1876" s="66" t="s"/>
      <c r="G1876" s="66" t="s"/>
      <c r="H1876" s="66" t="s"/>
      <c r="I1876" s="62" t="s"/>
      <c r="J1876" s="62" t="s"/>
      <c r="K1876" s="99" t="s"/>
      <c r="L1876" s="66" t="s"/>
      <c r="M1876" s="66" t="s"/>
      <c r="N1876" s="572" t="s"/>
      <c r="O1876" s="62" t="s"/>
      <c r="P1876" s="62" t="s"/>
      <c r="Q1876" s="62" t="s"/>
      <c r="R1876" s="62" t="s"/>
    </row>
    <row r="1877" spans="1:18" ht="15.75" customHeight="true">
      <c r="A1877" s="107" t="s"/>
      <c r="B1877" s="62" t="s"/>
      <c r="C1877" s="62" t="s"/>
      <c r="D1877" s="62" t="s"/>
      <c r="E1877" s="62" t="s"/>
      <c r="F1877" s="66" t="s"/>
      <c r="G1877" s="66" t="s"/>
      <c r="H1877" s="66" t="s"/>
      <c r="I1877" s="62" t="s"/>
      <c r="J1877" s="62" t="s"/>
      <c r="K1877" s="99" t="s"/>
      <c r="L1877" s="66" t="s"/>
      <c r="M1877" s="66" t="s"/>
      <c r="N1877" s="572" t="s"/>
      <c r="O1877" s="62" t="s"/>
      <c r="P1877" s="62" t="s"/>
      <c r="Q1877" s="62" t="s"/>
      <c r="R1877" s="62" t="s"/>
    </row>
    <row r="1878" spans="1:18" ht="15.75" customHeight="true">
      <c r="A1878" s="107" t="s"/>
      <c r="B1878" s="62" t="s"/>
      <c r="C1878" s="62" t="s"/>
      <c r="D1878" s="62" t="s"/>
      <c r="E1878" s="62" t="s"/>
      <c r="F1878" s="66" t="s"/>
      <c r="G1878" s="66" t="s"/>
      <c r="H1878" s="66" t="s"/>
      <c r="I1878" s="62" t="s"/>
      <c r="J1878" s="62" t="s"/>
      <c r="K1878" s="99" t="s"/>
      <c r="L1878" s="66" t="s"/>
      <c r="M1878" s="66" t="s"/>
      <c r="N1878" s="572" t="s"/>
      <c r="O1878" s="62" t="s"/>
      <c r="P1878" s="62" t="s"/>
      <c r="Q1878" s="62" t="s"/>
      <c r="R1878" s="62" t="s"/>
    </row>
    <row r="1879" spans="1:18" ht="15.75" customHeight="true">
      <c r="A1879" s="107" t="s"/>
      <c r="B1879" s="62" t="s"/>
      <c r="C1879" s="62" t="s"/>
      <c r="D1879" s="62" t="s"/>
      <c r="E1879" s="62" t="s"/>
      <c r="F1879" s="66" t="s"/>
      <c r="G1879" s="66" t="s"/>
      <c r="H1879" s="66" t="s"/>
      <c r="I1879" s="62" t="s"/>
      <c r="J1879" s="62" t="s"/>
      <c r="K1879" s="99" t="s"/>
      <c r="L1879" s="66" t="s"/>
      <c r="M1879" s="66" t="s"/>
      <c r="N1879" s="572" t="s"/>
      <c r="O1879" s="62" t="s"/>
      <c r="P1879" s="62" t="s"/>
      <c r="Q1879" s="62" t="s"/>
      <c r="R1879" s="62" t="s"/>
    </row>
    <row r="1880" spans="1:18" ht="15.75" customHeight="true">
      <c r="A1880" s="107" t="s"/>
      <c r="B1880" s="62" t="s"/>
      <c r="C1880" s="62" t="s"/>
      <c r="D1880" s="62" t="s"/>
      <c r="E1880" s="62" t="s"/>
      <c r="F1880" s="66" t="s"/>
      <c r="G1880" s="66" t="s"/>
      <c r="H1880" s="66" t="s"/>
      <c r="I1880" s="62" t="s"/>
      <c r="J1880" s="62" t="s"/>
      <c r="K1880" s="99" t="s"/>
      <c r="L1880" s="66" t="s"/>
      <c r="M1880" s="66" t="s"/>
      <c r="N1880" s="572" t="s"/>
      <c r="O1880" s="62" t="s"/>
      <c r="P1880" s="62" t="s"/>
      <c r="Q1880" s="62" t="s"/>
      <c r="R1880" s="62" t="s"/>
    </row>
    <row r="1881" spans="1:18" ht="15.75" customHeight="true">
      <c r="A1881" s="107" t="s"/>
      <c r="B1881" s="62" t="s"/>
      <c r="C1881" s="62" t="s"/>
      <c r="D1881" s="62" t="s"/>
      <c r="E1881" s="62" t="s"/>
      <c r="F1881" s="66" t="s"/>
      <c r="G1881" s="66" t="s"/>
      <c r="H1881" s="66" t="s"/>
      <c r="I1881" s="62" t="s"/>
      <c r="J1881" s="62" t="s"/>
      <c r="K1881" s="99" t="s"/>
      <c r="L1881" s="66" t="s"/>
      <c r="M1881" s="66" t="s"/>
      <c r="N1881" s="572" t="s"/>
      <c r="O1881" s="62" t="s"/>
      <c r="P1881" s="62" t="s"/>
      <c r="Q1881" s="62" t="s"/>
      <c r="R1881" s="62" t="s"/>
    </row>
    <row r="1882" spans="1:18" ht="15.75" customHeight="true">
      <c r="A1882" s="107" t="s"/>
      <c r="B1882" s="62" t="s"/>
      <c r="C1882" s="62" t="s"/>
      <c r="D1882" s="62" t="s"/>
      <c r="E1882" s="62" t="s"/>
      <c r="F1882" s="66" t="s"/>
      <c r="G1882" s="66" t="s"/>
      <c r="H1882" s="66" t="s"/>
      <c r="I1882" s="62" t="s"/>
      <c r="J1882" s="62" t="s"/>
      <c r="K1882" s="99" t="s"/>
      <c r="L1882" s="66" t="s"/>
      <c r="M1882" s="66" t="s"/>
      <c r="N1882" s="572" t="s"/>
      <c r="O1882" s="62" t="s"/>
      <c r="P1882" s="62" t="s"/>
      <c r="Q1882" s="62" t="s"/>
      <c r="R1882" s="62" t="s"/>
    </row>
    <row r="1883" spans="1:18" ht="15.75" customHeight="true">
      <c r="A1883" s="107" t="s"/>
      <c r="B1883" s="62" t="s"/>
      <c r="C1883" s="62" t="s"/>
      <c r="D1883" s="62" t="s"/>
      <c r="E1883" s="62" t="s"/>
      <c r="F1883" s="66" t="s"/>
      <c r="G1883" s="66" t="s"/>
      <c r="H1883" s="66" t="s"/>
      <c r="I1883" s="62" t="s"/>
      <c r="J1883" s="62" t="s"/>
      <c r="K1883" s="99" t="s"/>
      <c r="L1883" s="66" t="s"/>
      <c r="M1883" s="66" t="s"/>
      <c r="N1883" s="572" t="s"/>
      <c r="O1883" s="62" t="s"/>
      <c r="P1883" s="62" t="s"/>
      <c r="Q1883" s="62" t="s"/>
      <c r="R1883" s="62" t="s"/>
    </row>
    <row r="1884" spans="1:18" ht="15.75" customHeight="true">
      <c r="A1884" s="107" t="s"/>
      <c r="B1884" s="62" t="s"/>
      <c r="C1884" s="62" t="s"/>
      <c r="D1884" s="62" t="s"/>
      <c r="E1884" s="62" t="s"/>
      <c r="F1884" s="66" t="s"/>
      <c r="G1884" s="66" t="s"/>
      <c r="H1884" s="66" t="s"/>
      <c r="I1884" s="62" t="s"/>
      <c r="J1884" s="62" t="s"/>
      <c r="K1884" s="99" t="s"/>
      <c r="L1884" s="66" t="s"/>
      <c r="M1884" s="66" t="s"/>
      <c r="N1884" s="572" t="s"/>
      <c r="O1884" s="62" t="s"/>
      <c r="P1884" s="62" t="s"/>
      <c r="Q1884" s="62" t="s"/>
      <c r="R1884" s="62" t="s"/>
    </row>
    <row r="1885" spans="1:18" ht="15.75" customHeight="true">
      <c r="A1885" s="107" t="s"/>
      <c r="B1885" s="62" t="s"/>
      <c r="C1885" s="62" t="s"/>
      <c r="D1885" s="62" t="s"/>
      <c r="E1885" s="62" t="s"/>
      <c r="F1885" s="66" t="s"/>
      <c r="G1885" s="66" t="s"/>
      <c r="H1885" s="66" t="s"/>
      <c r="I1885" s="62" t="s"/>
      <c r="J1885" s="62" t="s"/>
      <c r="K1885" s="99" t="s"/>
      <c r="L1885" s="66" t="s"/>
      <c r="M1885" s="66" t="s"/>
      <c r="N1885" s="572" t="s"/>
      <c r="O1885" s="62" t="s"/>
      <c r="P1885" s="62" t="s"/>
      <c r="Q1885" s="62" t="s"/>
      <c r="R1885" s="62" t="s"/>
    </row>
    <row r="1886" spans="1:18" ht="15.75" customHeight="true">
      <c r="A1886" s="107" t="s"/>
      <c r="B1886" s="62" t="s"/>
      <c r="C1886" s="62" t="s"/>
      <c r="D1886" s="62" t="s"/>
      <c r="E1886" s="62" t="s"/>
      <c r="F1886" s="66" t="s"/>
      <c r="G1886" s="66" t="s"/>
      <c r="H1886" s="66" t="s"/>
      <c r="I1886" s="62" t="s"/>
      <c r="J1886" s="62" t="s"/>
      <c r="K1886" s="99" t="s"/>
      <c r="L1886" s="66" t="s"/>
      <c r="M1886" s="66" t="s"/>
      <c r="N1886" s="572" t="s"/>
      <c r="O1886" s="62" t="s"/>
      <c r="P1886" s="62" t="s"/>
      <c r="Q1886" s="62" t="s"/>
      <c r="R1886" s="62" t="s"/>
    </row>
    <row r="1887" spans="1:18" ht="15.75" customHeight="true">
      <c r="A1887" s="107" t="s"/>
      <c r="B1887" s="62" t="s"/>
      <c r="C1887" s="62" t="s"/>
      <c r="D1887" s="62" t="s"/>
      <c r="E1887" s="62" t="s"/>
      <c r="F1887" s="66" t="s"/>
      <c r="G1887" s="66" t="s"/>
      <c r="H1887" s="66" t="s"/>
      <c r="I1887" s="62" t="s"/>
      <c r="J1887" s="62" t="s"/>
      <c r="K1887" s="99" t="s"/>
      <c r="L1887" s="66" t="s"/>
      <c r="M1887" s="66" t="s"/>
      <c r="N1887" s="572" t="s"/>
      <c r="O1887" s="62" t="s"/>
      <c r="P1887" s="62" t="s"/>
      <c r="Q1887" s="62" t="s"/>
      <c r="R1887" s="62" t="s"/>
    </row>
    <row r="1888" spans="1:18" ht="15.75" customHeight="true">
      <c r="A1888" s="107" t="s"/>
      <c r="B1888" s="62" t="s"/>
      <c r="C1888" s="62" t="s"/>
      <c r="D1888" s="62" t="s"/>
      <c r="E1888" s="62" t="s"/>
      <c r="F1888" s="66" t="s"/>
      <c r="G1888" s="66" t="s"/>
      <c r="H1888" s="66" t="s"/>
      <c r="I1888" s="62" t="s"/>
      <c r="J1888" s="62" t="s"/>
      <c r="K1888" s="99" t="s"/>
      <c r="L1888" s="66" t="s"/>
      <c r="M1888" s="66" t="s"/>
      <c r="N1888" s="572" t="s"/>
      <c r="O1888" s="62" t="s"/>
      <c r="P1888" s="62" t="s"/>
      <c r="Q1888" s="62" t="s"/>
      <c r="R1888" s="62" t="s"/>
    </row>
    <row r="1889" spans="1:18" ht="15.75" customHeight="true">
      <c r="A1889" s="107" t="s"/>
      <c r="B1889" s="62" t="s"/>
      <c r="C1889" s="62" t="s"/>
      <c r="D1889" s="62" t="s"/>
      <c r="E1889" s="62" t="s"/>
      <c r="F1889" s="66" t="s"/>
      <c r="G1889" s="66" t="s"/>
      <c r="H1889" s="66" t="s"/>
      <c r="I1889" s="62" t="s"/>
      <c r="J1889" s="62" t="s"/>
      <c r="K1889" s="99" t="s"/>
      <c r="L1889" s="66" t="s"/>
      <c r="M1889" s="66" t="s"/>
      <c r="N1889" s="572" t="s"/>
      <c r="O1889" s="62" t="s"/>
      <c r="P1889" s="62" t="s"/>
      <c r="Q1889" s="62" t="s"/>
      <c r="R1889" s="62" t="s"/>
    </row>
    <row r="1890" spans="1:18" ht="15.75" customHeight="true">
      <c r="A1890" s="107" t="s"/>
      <c r="B1890" s="62" t="s"/>
      <c r="C1890" s="62" t="s"/>
      <c r="D1890" s="62" t="s"/>
      <c r="E1890" s="62" t="s"/>
      <c r="F1890" s="66" t="s"/>
      <c r="G1890" s="66" t="s"/>
      <c r="H1890" s="66" t="s"/>
      <c r="I1890" s="62" t="s"/>
      <c r="J1890" s="62" t="s"/>
      <c r="K1890" s="99" t="s"/>
      <c r="L1890" s="66" t="s"/>
      <c r="M1890" s="66" t="s"/>
      <c r="N1890" s="572" t="s"/>
      <c r="O1890" s="62" t="s"/>
      <c r="P1890" s="62" t="s"/>
      <c r="Q1890" s="62" t="s"/>
      <c r="R1890" s="62" t="s"/>
    </row>
    <row r="1891" spans="1:18" ht="15.75" customHeight="true">
      <c r="A1891" s="107" t="s"/>
      <c r="B1891" s="62" t="s"/>
      <c r="C1891" s="62" t="s"/>
      <c r="D1891" s="62" t="s"/>
      <c r="E1891" s="62" t="s"/>
      <c r="F1891" s="66" t="s"/>
      <c r="G1891" s="66" t="s"/>
      <c r="H1891" s="66" t="s"/>
      <c r="I1891" s="62" t="s"/>
      <c r="J1891" s="62" t="s"/>
      <c r="K1891" s="99" t="s"/>
      <c r="L1891" s="66" t="s"/>
      <c r="M1891" s="66" t="s"/>
      <c r="N1891" s="572" t="s"/>
      <c r="O1891" s="62" t="s"/>
      <c r="P1891" s="62" t="s"/>
      <c r="Q1891" s="62" t="s"/>
      <c r="R1891" s="62" t="s"/>
    </row>
    <row r="1892" spans="1:18" ht="15.75" customHeight="true">
      <c r="A1892" s="107" t="s"/>
      <c r="B1892" s="62" t="s"/>
      <c r="C1892" s="62" t="s"/>
      <c r="D1892" s="62" t="s"/>
      <c r="E1892" s="62" t="s"/>
      <c r="F1892" s="66" t="s"/>
      <c r="G1892" s="66" t="s"/>
      <c r="H1892" s="66" t="s"/>
      <c r="I1892" s="62" t="s"/>
      <c r="J1892" s="62" t="s"/>
      <c r="K1892" s="99" t="s"/>
      <c r="L1892" s="66" t="s"/>
      <c r="M1892" s="66" t="s"/>
      <c r="N1892" s="572" t="s"/>
      <c r="O1892" s="62" t="s"/>
      <c r="P1892" s="62" t="s"/>
      <c r="Q1892" s="62" t="s"/>
      <c r="R1892" s="62" t="s"/>
    </row>
    <row r="1893" spans="1:18" ht="15.75" customHeight="true">
      <c r="A1893" s="107" t="s"/>
      <c r="B1893" s="62" t="s"/>
      <c r="C1893" s="62" t="s"/>
      <c r="D1893" s="62" t="s"/>
      <c r="E1893" s="62" t="s"/>
      <c r="F1893" s="66" t="s"/>
      <c r="G1893" s="66" t="s"/>
      <c r="H1893" s="66" t="s"/>
      <c r="I1893" s="62" t="s"/>
      <c r="J1893" s="62" t="s"/>
      <c r="K1893" s="99" t="s"/>
      <c r="L1893" s="66" t="s"/>
      <c r="M1893" s="66" t="s"/>
      <c r="N1893" s="572" t="s"/>
      <c r="O1893" s="62" t="s"/>
      <c r="P1893" s="62" t="s"/>
      <c r="Q1893" s="62" t="s"/>
      <c r="R1893" s="62" t="s"/>
    </row>
    <row r="1894" spans="1:18" ht="15.75" customHeight="true">
      <c r="A1894" s="107" t="s"/>
      <c r="B1894" s="62" t="s"/>
      <c r="C1894" s="62" t="s"/>
      <c r="D1894" s="62" t="s"/>
      <c r="E1894" s="62" t="s"/>
      <c r="F1894" s="66" t="s"/>
      <c r="G1894" s="66" t="s"/>
      <c r="H1894" s="66" t="s"/>
      <c r="I1894" s="62" t="s"/>
      <c r="J1894" s="62" t="s"/>
      <c r="K1894" s="99" t="s"/>
      <c r="L1894" s="66" t="s"/>
      <c r="M1894" s="66" t="s"/>
      <c r="N1894" s="572" t="s"/>
      <c r="O1894" s="62" t="s"/>
      <c r="P1894" s="62" t="s"/>
      <c r="Q1894" s="62" t="s"/>
      <c r="R1894" s="62" t="s"/>
    </row>
    <row r="1895" spans="1:18" ht="15.75" customHeight="true">
      <c r="A1895" s="107" t="s"/>
      <c r="B1895" s="62" t="s"/>
      <c r="C1895" s="62" t="s"/>
      <c r="D1895" s="62" t="s"/>
      <c r="E1895" s="62" t="s"/>
      <c r="F1895" s="66" t="s"/>
      <c r="G1895" s="66" t="s"/>
      <c r="H1895" s="66" t="s"/>
      <c r="I1895" s="62" t="s"/>
      <c r="J1895" s="62" t="s"/>
      <c r="K1895" s="99" t="s"/>
      <c r="L1895" s="66" t="s"/>
      <c r="M1895" s="66" t="s"/>
      <c r="N1895" s="572" t="s"/>
      <c r="O1895" s="62" t="s"/>
      <c r="P1895" s="62" t="s"/>
      <c r="Q1895" s="62" t="s"/>
      <c r="R1895" s="62" t="s"/>
    </row>
    <row r="1896" spans="1:18" ht="15.75" customHeight="true">
      <c r="A1896" s="107" t="s"/>
      <c r="B1896" s="62" t="s"/>
      <c r="C1896" s="62" t="s"/>
      <c r="D1896" s="62" t="s"/>
      <c r="E1896" s="62" t="s"/>
      <c r="F1896" s="66" t="s"/>
      <c r="G1896" s="66" t="s"/>
      <c r="H1896" s="66" t="s"/>
      <c r="I1896" s="62" t="s"/>
      <c r="J1896" s="62" t="s"/>
      <c r="K1896" s="99" t="s"/>
      <c r="L1896" s="66" t="s"/>
      <c r="M1896" s="66" t="s"/>
      <c r="N1896" s="572" t="s"/>
      <c r="O1896" s="62" t="s"/>
      <c r="P1896" s="62" t="s"/>
      <c r="Q1896" s="62" t="s"/>
      <c r="R1896" s="62" t="s"/>
    </row>
    <row r="1897" spans="1:18" ht="15.75" customHeight="true">
      <c r="A1897" s="107" t="s"/>
      <c r="B1897" s="62" t="s"/>
      <c r="C1897" s="62" t="s"/>
      <c r="D1897" s="62" t="s"/>
      <c r="E1897" s="62" t="s"/>
      <c r="F1897" s="66" t="s"/>
      <c r="G1897" s="66" t="s"/>
      <c r="H1897" s="66" t="s"/>
      <c r="I1897" s="62" t="s"/>
      <c r="J1897" s="62" t="s"/>
      <c r="K1897" s="99" t="s"/>
      <c r="L1897" s="66" t="s"/>
      <c r="M1897" s="66" t="s"/>
      <c r="N1897" s="572" t="s"/>
      <c r="O1897" s="62" t="s"/>
      <c r="P1897" s="62" t="s"/>
      <c r="Q1897" s="62" t="s"/>
      <c r="R1897" s="62" t="s"/>
    </row>
    <row r="1898" spans="1:18" ht="15.75" customHeight="true">
      <c r="A1898" s="107" t="s"/>
      <c r="B1898" s="62" t="s"/>
      <c r="C1898" s="62" t="s"/>
      <c r="D1898" s="62" t="s"/>
      <c r="E1898" s="62" t="s"/>
      <c r="F1898" s="66" t="s"/>
      <c r="G1898" s="66" t="s"/>
      <c r="H1898" s="66" t="s"/>
      <c r="I1898" s="62" t="s"/>
      <c r="J1898" s="62" t="s"/>
      <c r="K1898" s="99" t="s"/>
      <c r="L1898" s="66" t="s"/>
      <c r="M1898" s="66" t="s"/>
      <c r="N1898" s="572" t="s"/>
      <c r="O1898" s="62" t="s"/>
      <c r="P1898" s="62" t="s"/>
      <c r="Q1898" s="62" t="s"/>
      <c r="R1898" s="62" t="s"/>
    </row>
    <row r="1899" spans="1:18" ht="15.75" customHeight="true">
      <c r="A1899" s="107" t="s"/>
      <c r="B1899" s="62" t="s"/>
      <c r="C1899" s="62" t="s"/>
      <c r="D1899" s="62" t="s"/>
      <c r="E1899" s="62" t="s"/>
      <c r="F1899" s="66" t="s"/>
      <c r="G1899" s="66" t="s"/>
      <c r="H1899" s="66" t="s"/>
      <c r="I1899" s="62" t="s"/>
      <c r="J1899" s="62" t="s"/>
      <c r="K1899" s="99" t="s"/>
      <c r="L1899" s="66" t="s"/>
      <c r="M1899" s="66" t="s"/>
      <c r="N1899" s="572" t="s"/>
      <c r="O1899" s="62" t="s"/>
      <c r="P1899" s="62" t="s"/>
      <c r="Q1899" s="62" t="s"/>
      <c r="R1899" s="62" t="s"/>
    </row>
    <row r="1900" spans="1:18" ht="15.75" customHeight="true">
      <c r="A1900" s="107" t="s"/>
      <c r="B1900" s="62" t="s"/>
      <c r="C1900" s="62" t="s"/>
      <c r="D1900" s="62" t="s"/>
      <c r="E1900" s="62" t="s"/>
      <c r="F1900" s="66" t="s"/>
      <c r="G1900" s="66" t="s"/>
      <c r="H1900" s="66" t="s"/>
      <c r="I1900" s="62" t="s"/>
      <c r="J1900" s="62" t="s"/>
      <c r="K1900" s="99" t="s"/>
      <c r="L1900" s="66" t="s"/>
      <c r="M1900" s="66" t="s"/>
      <c r="N1900" s="572" t="s"/>
      <c r="O1900" s="62" t="s"/>
      <c r="P1900" s="62" t="s"/>
      <c r="Q1900" s="62" t="s"/>
      <c r="R1900" s="62" t="s"/>
    </row>
    <row r="1901" spans="1:18" ht="15.75" customHeight="true">
      <c r="A1901" s="107" t="s"/>
      <c r="B1901" s="62" t="s"/>
      <c r="C1901" s="62" t="s"/>
      <c r="D1901" s="62" t="s"/>
      <c r="E1901" s="62" t="s"/>
      <c r="F1901" s="66" t="s"/>
      <c r="G1901" s="66" t="s"/>
      <c r="H1901" s="66" t="s"/>
      <c r="I1901" s="62" t="s"/>
      <c r="J1901" s="62" t="s"/>
      <c r="K1901" s="99" t="s"/>
      <c r="L1901" s="66" t="s"/>
      <c r="M1901" s="66" t="s"/>
      <c r="N1901" s="572" t="s"/>
      <c r="O1901" s="62" t="s"/>
      <c r="P1901" s="62" t="s"/>
      <c r="Q1901" s="62" t="s"/>
      <c r="R1901" s="62" t="s"/>
    </row>
    <row r="1902" spans="1:18" ht="15.75" customHeight="true">
      <c r="A1902" s="107" t="s"/>
      <c r="B1902" s="62" t="s"/>
      <c r="C1902" s="62" t="s"/>
      <c r="D1902" s="62" t="s"/>
      <c r="E1902" s="62" t="s"/>
      <c r="F1902" s="66" t="s"/>
      <c r="G1902" s="66" t="s"/>
      <c r="H1902" s="66" t="s"/>
      <c r="I1902" s="62" t="s"/>
      <c r="J1902" s="62" t="s"/>
      <c r="K1902" s="99" t="s"/>
      <c r="L1902" s="66" t="s"/>
      <c r="M1902" s="66" t="s"/>
      <c r="N1902" s="572" t="s"/>
      <c r="O1902" s="62" t="s"/>
      <c r="P1902" s="62" t="s"/>
      <c r="Q1902" s="62" t="s"/>
      <c r="R1902" s="62" t="s"/>
    </row>
    <row r="1903" spans="1:18" ht="15.75" customHeight="true">
      <c r="A1903" s="107" t="s"/>
      <c r="B1903" s="62" t="s"/>
      <c r="C1903" s="62" t="s"/>
      <c r="D1903" s="62" t="s"/>
      <c r="E1903" s="62" t="s"/>
      <c r="F1903" s="66" t="s"/>
      <c r="G1903" s="66" t="s"/>
      <c r="H1903" s="66" t="s"/>
      <c r="I1903" s="62" t="s"/>
      <c r="J1903" s="62" t="s"/>
      <c r="K1903" s="99" t="s"/>
      <c r="L1903" s="66" t="s"/>
      <c r="M1903" s="66" t="s"/>
      <c r="N1903" s="572" t="s"/>
      <c r="O1903" s="62" t="s"/>
      <c r="P1903" s="62" t="s"/>
      <c r="Q1903" s="62" t="s"/>
      <c r="R1903" s="62" t="s"/>
    </row>
    <row r="1904" spans="1:18" ht="15.75" customHeight="true">
      <c r="A1904" s="107" t="s"/>
      <c r="B1904" s="62" t="s"/>
      <c r="C1904" s="62" t="s"/>
      <c r="D1904" s="62" t="s"/>
      <c r="E1904" s="62" t="s"/>
      <c r="F1904" s="66" t="s"/>
      <c r="G1904" s="66" t="s"/>
      <c r="H1904" s="66" t="s"/>
      <c r="I1904" s="62" t="s"/>
      <c r="J1904" s="62" t="s"/>
      <c r="K1904" s="99" t="s"/>
      <c r="L1904" s="66" t="s"/>
      <c r="M1904" s="66" t="s"/>
      <c r="N1904" s="572" t="s"/>
      <c r="O1904" s="62" t="s"/>
      <c r="P1904" s="62" t="s"/>
      <c r="Q1904" s="62" t="s"/>
      <c r="R1904" s="62" t="s"/>
    </row>
    <row r="1905" spans="1:18" ht="15.75" customHeight="true">
      <c r="A1905" s="107" t="s"/>
      <c r="B1905" s="62" t="s"/>
      <c r="C1905" s="62" t="s"/>
      <c r="D1905" s="62" t="s"/>
      <c r="E1905" s="62" t="s"/>
      <c r="F1905" s="66" t="s"/>
      <c r="G1905" s="66" t="s"/>
      <c r="H1905" s="66" t="s"/>
      <c r="I1905" s="62" t="s"/>
      <c r="J1905" s="62" t="s"/>
      <c r="K1905" s="99" t="s"/>
      <c r="L1905" s="66" t="s"/>
      <c r="M1905" s="66" t="s"/>
      <c r="N1905" s="572" t="s"/>
      <c r="O1905" s="62" t="s"/>
      <c r="P1905" s="62" t="s"/>
      <c r="Q1905" s="62" t="s"/>
      <c r="R1905" s="62" t="s"/>
    </row>
    <row r="1906" spans="1:18" ht="15.75" customHeight="true">
      <c r="A1906" s="107" t="s"/>
      <c r="B1906" s="62" t="s"/>
      <c r="C1906" s="62" t="s"/>
      <c r="D1906" s="62" t="s"/>
      <c r="E1906" s="62" t="s"/>
      <c r="F1906" s="66" t="s"/>
      <c r="G1906" s="66" t="s"/>
      <c r="H1906" s="66" t="s"/>
      <c r="I1906" s="62" t="s"/>
      <c r="J1906" s="62" t="s"/>
      <c r="K1906" s="99" t="s"/>
      <c r="L1906" s="66" t="s"/>
      <c r="M1906" s="66" t="s"/>
      <c r="N1906" s="572" t="s"/>
      <c r="O1906" s="62" t="s"/>
      <c r="P1906" s="62" t="s"/>
      <c r="Q1906" s="62" t="s"/>
      <c r="R1906" s="62" t="s"/>
    </row>
    <row r="1907" spans="1:18" ht="15.75" customHeight="true">
      <c r="A1907" s="107" t="s"/>
      <c r="B1907" s="62" t="s"/>
      <c r="C1907" s="62" t="s"/>
      <c r="D1907" s="62" t="s"/>
      <c r="E1907" s="62" t="s"/>
      <c r="F1907" s="66" t="s"/>
      <c r="G1907" s="66" t="s"/>
      <c r="H1907" s="66" t="s"/>
      <c r="I1907" s="62" t="s"/>
      <c r="J1907" s="62" t="s"/>
      <c r="K1907" s="99" t="s"/>
      <c r="L1907" s="66" t="s"/>
      <c r="M1907" s="66" t="s"/>
      <c r="N1907" s="572" t="s"/>
      <c r="O1907" s="62" t="s"/>
      <c r="P1907" s="62" t="s"/>
      <c r="Q1907" s="62" t="s"/>
      <c r="R1907" s="62" t="s"/>
    </row>
    <row r="1908" spans="1:18" ht="15.75" customHeight="true">
      <c r="A1908" s="107" t="s"/>
      <c r="B1908" s="62" t="s"/>
      <c r="C1908" s="62" t="s"/>
      <c r="D1908" s="62" t="s"/>
      <c r="E1908" s="62" t="s"/>
      <c r="F1908" s="66" t="s"/>
      <c r="G1908" s="66" t="s"/>
      <c r="H1908" s="66" t="s"/>
      <c r="I1908" s="62" t="s"/>
      <c r="J1908" s="62" t="s"/>
      <c r="K1908" s="99" t="s"/>
      <c r="L1908" s="66" t="s"/>
      <c r="M1908" s="66" t="s"/>
      <c r="N1908" s="572" t="s"/>
      <c r="O1908" s="62" t="s"/>
      <c r="P1908" s="62" t="s"/>
      <c r="Q1908" s="62" t="s"/>
      <c r="R1908" s="62" t="s"/>
    </row>
    <row r="1909" spans="1:18" ht="15.75" customHeight="true">
      <c r="A1909" s="107" t="s"/>
      <c r="B1909" s="62" t="s"/>
      <c r="C1909" s="62" t="s"/>
      <c r="D1909" s="62" t="s"/>
      <c r="E1909" s="62" t="s"/>
      <c r="F1909" s="66" t="s"/>
      <c r="G1909" s="66" t="s"/>
      <c r="H1909" s="66" t="s"/>
      <c r="I1909" s="62" t="s"/>
      <c r="J1909" s="62" t="s"/>
      <c r="K1909" s="99" t="s"/>
      <c r="L1909" s="66" t="s"/>
      <c r="M1909" s="66" t="s"/>
      <c r="N1909" s="572" t="s"/>
      <c r="O1909" s="62" t="s"/>
      <c r="P1909" s="62" t="s"/>
      <c r="Q1909" s="62" t="s"/>
      <c r="R1909" s="62" t="s"/>
    </row>
    <row r="1910" spans="1:18" ht="15.75" customHeight="true">
      <c r="A1910" s="107" t="s"/>
      <c r="B1910" s="62" t="s"/>
      <c r="C1910" s="62" t="s"/>
      <c r="D1910" s="62" t="s"/>
      <c r="E1910" s="62" t="s"/>
      <c r="F1910" s="66" t="s"/>
      <c r="G1910" s="66" t="s"/>
      <c r="H1910" s="66" t="s"/>
      <c r="I1910" s="62" t="s"/>
      <c r="J1910" s="62" t="s"/>
      <c r="K1910" s="99" t="s"/>
      <c r="L1910" s="66" t="s"/>
      <c r="M1910" s="66" t="s"/>
      <c r="N1910" s="572" t="s"/>
      <c r="O1910" s="62" t="s"/>
      <c r="P1910" s="62" t="s"/>
      <c r="Q1910" s="62" t="s"/>
      <c r="R1910" s="62" t="s"/>
    </row>
    <row r="1911" spans="1:18" ht="15.75" customHeight="true">
      <c r="A1911" s="107" t="s"/>
      <c r="B1911" s="62" t="s"/>
      <c r="C1911" s="62" t="s"/>
      <c r="D1911" s="62" t="s"/>
      <c r="E1911" s="62" t="s"/>
      <c r="F1911" s="66" t="s"/>
      <c r="G1911" s="66" t="s"/>
      <c r="H1911" s="66" t="s"/>
      <c r="I1911" s="62" t="s"/>
      <c r="J1911" s="62" t="s"/>
      <c r="K1911" s="99" t="s"/>
      <c r="L1911" s="66" t="s"/>
      <c r="M1911" s="66" t="s"/>
      <c r="N1911" s="572" t="s"/>
      <c r="O1911" s="62" t="s"/>
      <c r="P1911" s="62" t="s"/>
      <c r="Q1911" s="62" t="s"/>
      <c r="R1911" s="62" t="s"/>
    </row>
    <row r="1912" spans="1:18" ht="15.75" customHeight="true">
      <c r="A1912" s="107" t="s"/>
      <c r="B1912" s="62" t="s"/>
      <c r="C1912" s="62" t="s"/>
      <c r="D1912" s="62" t="s"/>
      <c r="E1912" s="62" t="s"/>
      <c r="F1912" s="66" t="s"/>
      <c r="G1912" s="66" t="s"/>
      <c r="H1912" s="66" t="s"/>
      <c r="I1912" s="62" t="s"/>
      <c r="J1912" s="62" t="s"/>
      <c r="K1912" s="99" t="s"/>
      <c r="L1912" s="66" t="s"/>
      <c r="M1912" s="66" t="s"/>
      <c r="N1912" s="572" t="s"/>
      <c r="O1912" s="62" t="s"/>
      <c r="P1912" s="62" t="s"/>
      <c r="Q1912" s="62" t="s"/>
      <c r="R1912" s="62" t="s"/>
    </row>
    <row r="1913" spans="1:18" ht="15.75" customHeight="true">
      <c r="A1913" s="107" t="s"/>
      <c r="B1913" s="62" t="s"/>
      <c r="C1913" s="62" t="s"/>
      <c r="D1913" s="62" t="s"/>
      <c r="E1913" s="62" t="s"/>
      <c r="F1913" s="66" t="s"/>
      <c r="G1913" s="66" t="s"/>
      <c r="H1913" s="66" t="s"/>
      <c r="I1913" s="62" t="s"/>
      <c r="J1913" s="62" t="s"/>
      <c r="K1913" s="99" t="s"/>
      <c r="L1913" s="66" t="s"/>
      <c r="M1913" s="66" t="s"/>
      <c r="N1913" s="572" t="s"/>
      <c r="O1913" s="62" t="s"/>
      <c r="P1913" s="62" t="s"/>
      <c r="Q1913" s="62" t="s"/>
      <c r="R1913" s="62" t="s"/>
    </row>
    <row r="1914" spans="1:18" ht="15.75" customHeight="true">
      <c r="A1914" s="107" t="s"/>
      <c r="B1914" s="62" t="s"/>
      <c r="C1914" s="62" t="s"/>
      <c r="D1914" s="62" t="s"/>
      <c r="E1914" s="62" t="s"/>
      <c r="F1914" s="66" t="s"/>
      <c r="G1914" s="66" t="s"/>
      <c r="H1914" s="66" t="s"/>
      <c r="I1914" s="62" t="s"/>
      <c r="J1914" s="62" t="s"/>
      <c r="K1914" s="99" t="s"/>
      <c r="L1914" s="66" t="s"/>
      <c r="M1914" s="66" t="s"/>
      <c r="N1914" s="572" t="s"/>
      <c r="O1914" s="62" t="s"/>
      <c r="P1914" s="62" t="s"/>
      <c r="Q1914" s="62" t="s"/>
      <c r="R1914" s="62" t="s"/>
    </row>
    <row r="1915" spans="1:18" ht="15.75" customHeight="true">
      <c r="A1915" s="107" t="s"/>
      <c r="B1915" s="62" t="s"/>
      <c r="C1915" s="62" t="s"/>
      <c r="D1915" s="62" t="s"/>
      <c r="E1915" s="62" t="s"/>
      <c r="F1915" s="66" t="s"/>
      <c r="G1915" s="66" t="s"/>
      <c r="H1915" s="66" t="s"/>
      <c r="I1915" s="62" t="s"/>
      <c r="J1915" s="62" t="s"/>
      <c r="K1915" s="99" t="s"/>
      <c r="L1915" s="66" t="s"/>
      <c r="M1915" s="66" t="s"/>
      <c r="N1915" s="572" t="s"/>
      <c r="O1915" s="62" t="s"/>
      <c r="P1915" s="62" t="s"/>
      <c r="Q1915" s="62" t="s"/>
      <c r="R1915" s="62" t="s"/>
    </row>
    <row r="1916" spans="1:18" ht="15.75" customHeight="true">
      <c r="A1916" s="107" t="s"/>
      <c r="B1916" s="62" t="s"/>
      <c r="C1916" s="62" t="s"/>
      <c r="D1916" s="62" t="s"/>
      <c r="E1916" s="62" t="s"/>
      <c r="F1916" s="66" t="s"/>
      <c r="G1916" s="66" t="s"/>
      <c r="H1916" s="66" t="s"/>
      <c r="I1916" s="62" t="s"/>
      <c r="J1916" s="62" t="s"/>
      <c r="K1916" s="99" t="s"/>
      <c r="L1916" s="66" t="s"/>
      <c r="M1916" s="66" t="s"/>
      <c r="N1916" s="572" t="s"/>
      <c r="O1916" s="62" t="s"/>
      <c r="P1916" s="62" t="s"/>
      <c r="Q1916" s="62" t="s"/>
      <c r="R1916" s="62" t="s"/>
    </row>
    <row r="1917" spans="1:18" ht="15.75" customHeight="true">
      <c r="A1917" s="107" t="s"/>
      <c r="B1917" s="62" t="s"/>
      <c r="C1917" s="62" t="s"/>
      <c r="D1917" s="62" t="s"/>
      <c r="E1917" s="62" t="s"/>
      <c r="F1917" s="66" t="s"/>
      <c r="G1917" s="66" t="s"/>
      <c r="H1917" s="66" t="s"/>
      <c r="I1917" s="62" t="s"/>
      <c r="J1917" s="62" t="s"/>
      <c r="K1917" s="99" t="s"/>
      <c r="L1917" s="66" t="s"/>
      <c r="M1917" s="66" t="s"/>
      <c r="N1917" s="572" t="s"/>
      <c r="O1917" s="62" t="s"/>
      <c r="P1917" s="62" t="s"/>
      <c r="Q1917" s="62" t="s"/>
      <c r="R1917" s="62" t="s"/>
    </row>
    <row r="1918" spans="1:18" ht="15.75" customHeight="true">
      <c r="A1918" s="107" t="s"/>
      <c r="B1918" s="62" t="s"/>
      <c r="C1918" s="62" t="s"/>
      <c r="D1918" s="62" t="s"/>
      <c r="E1918" s="62" t="s"/>
      <c r="F1918" s="66" t="s"/>
      <c r="G1918" s="66" t="s"/>
      <c r="H1918" s="66" t="s"/>
      <c r="I1918" s="62" t="s"/>
      <c r="J1918" s="62" t="s"/>
      <c r="K1918" s="99" t="s"/>
      <c r="L1918" s="66" t="s"/>
      <c r="M1918" s="66" t="s"/>
      <c r="N1918" s="572" t="s"/>
      <c r="O1918" s="62" t="s"/>
      <c r="P1918" s="62" t="s"/>
      <c r="Q1918" s="62" t="s"/>
      <c r="R1918" s="62" t="s"/>
    </row>
    <row r="1919" spans="1:18" ht="15.75" customHeight="true">
      <c r="A1919" s="107" t="s"/>
      <c r="B1919" s="62" t="s"/>
      <c r="C1919" s="62" t="s"/>
      <c r="D1919" s="62" t="s"/>
      <c r="E1919" s="62" t="s"/>
      <c r="F1919" s="66" t="s"/>
      <c r="G1919" s="66" t="s"/>
      <c r="H1919" s="66" t="s"/>
      <c r="I1919" s="62" t="s"/>
      <c r="J1919" s="62" t="s"/>
      <c r="K1919" s="99" t="s"/>
      <c r="L1919" s="66" t="s"/>
      <c r="M1919" s="66" t="s"/>
      <c r="N1919" s="572" t="s"/>
      <c r="O1919" s="62" t="s"/>
      <c r="P1919" s="62" t="s"/>
      <c r="Q1919" s="62" t="s"/>
      <c r="R1919" s="62" t="s"/>
    </row>
    <row r="1920" spans="1:18" ht="15.75" customHeight="true">
      <c r="A1920" s="107" t="s"/>
      <c r="B1920" s="62" t="s"/>
      <c r="C1920" s="62" t="s"/>
      <c r="D1920" s="62" t="s"/>
      <c r="E1920" s="62" t="s"/>
      <c r="F1920" s="66" t="s"/>
      <c r="G1920" s="66" t="s"/>
      <c r="H1920" s="66" t="s"/>
      <c r="I1920" s="62" t="s"/>
      <c r="J1920" s="62" t="s"/>
      <c r="K1920" s="99" t="s"/>
      <c r="L1920" s="66" t="s"/>
      <c r="M1920" s="66" t="s"/>
      <c r="N1920" s="572" t="s"/>
      <c r="O1920" s="62" t="s"/>
      <c r="P1920" s="62" t="s"/>
      <c r="Q1920" s="62" t="s"/>
      <c r="R1920" s="62" t="s"/>
    </row>
    <row r="1921" spans="1:18" ht="15.75" customHeight="true">
      <c r="A1921" s="107" t="s"/>
      <c r="B1921" s="62" t="s"/>
      <c r="C1921" s="62" t="s"/>
      <c r="D1921" s="62" t="s"/>
      <c r="E1921" s="62" t="s"/>
      <c r="F1921" s="66" t="s"/>
      <c r="G1921" s="66" t="s"/>
      <c r="H1921" s="66" t="s"/>
      <c r="I1921" s="62" t="s"/>
      <c r="J1921" s="62" t="s"/>
      <c r="K1921" s="99" t="s"/>
      <c r="L1921" s="66" t="s"/>
      <c r="M1921" s="66" t="s"/>
      <c r="N1921" s="572" t="s"/>
      <c r="O1921" s="62" t="s"/>
      <c r="P1921" s="62" t="s"/>
      <c r="Q1921" s="62" t="s"/>
      <c r="R1921" s="62" t="s"/>
    </row>
    <row r="1922" spans="1:18" ht="15.75" customHeight="true">
      <c r="A1922" s="107" t="s"/>
      <c r="B1922" s="62" t="s"/>
      <c r="C1922" s="62" t="s"/>
      <c r="D1922" s="62" t="s"/>
      <c r="E1922" s="62" t="s"/>
      <c r="F1922" s="66" t="s"/>
      <c r="G1922" s="66" t="s"/>
      <c r="H1922" s="66" t="s"/>
      <c r="I1922" s="62" t="s"/>
      <c r="J1922" s="62" t="s"/>
      <c r="K1922" s="99" t="s"/>
      <c r="L1922" s="66" t="s"/>
      <c r="M1922" s="66" t="s"/>
      <c r="N1922" s="572" t="s"/>
      <c r="O1922" s="62" t="s"/>
      <c r="P1922" s="62" t="s"/>
      <c r="Q1922" s="62" t="s"/>
      <c r="R1922" s="62" t="s"/>
    </row>
    <row r="1923" spans="1:18" ht="15.75" customHeight="true">
      <c r="A1923" s="107" t="s"/>
      <c r="B1923" s="62" t="s"/>
      <c r="C1923" s="62" t="s"/>
      <c r="D1923" s="62" t="s"/>
      <c r="E1923" s="62" t="s"/>
      <c r="F1923" s="66" t="s"/>
      <c r="G1923" s="66" t="s"/>
      <c r="H1923" s="66" t="s"/>
      <c r="I1923" s="62" t="s"/>
      <c r="J1923" s="62" t="s"/>
      <c r="K1923" s="99" t="s"/>
      <c r="L1923" s="66" t="s"/>
      <c r="M1923" s="66" t="s"/>
      <c r="N1923" s="572" t="s"/>
      <c r="O1923" s="62" t="s"/>
      <c r="P1923" s="62" t="s"/>
      <c r="Q1923" s="62" t="s"/>
      <c r="R1923" s="62" t="s"/>
    </row>
    <row r="1924" spans="1:18" ht="15.75" customHeight="true">
      <c r="A1924" s="107" t="s"/>
      <c r="B1924" s="62" t="s"/>
      <c r="C1924" s="62" t="s"/>
      <c r="D1924" s="62" t="s"/>
      <c r="E1924" s="62" t="s"/>
      <c r="F1924" s="66" t="s"/>
      <c r="G1924" s="66" t="s"/>
      <c r="H1924" s="66" t="s"/>
      <c r="I1924" s="62" t="s"/>
      <c r="J1924" s="62" t="s"/>
      <c r="K1924" s="99" t="s"/>
      <c r="L1924" s="66" t="s"/>
      <c r="M1924" s="66" t="s"/>
      <c r="N1924" s="572" t="s"/>
      <c r="O1924" s="62" t="s"/>
      <c r="P1924" s="62" t="s"/>
      <c r="Q1924" s="62" t="s"/>
      <c r="R1924" s="62" t="s"/>
    </row>
    <row r="1925" spans="1:18" ht="15.75" customHeight="true">
      <c r="A1925" s="107" t="s"/>
      <c r="B1925" s="62" t="s"/>
      <c r="C1925" s="62" t="s"/>
      <c r="D1925" s="62" t="s"/>
      <c r="E1925" s="62" t="s"/>
      <c r="F1925" s="66" t="s"/>
      <c r="G1925" s="66" t="s"/>
      <c r="H1925" s="66" t="s"/>
      <c r="I1925" s="62" t="s"/>
      <c r="J1925" s="62" t="s"/>
      <c r="K1925" s="99" t="s"/>
      <c r="L1925" s="66" t="s"/>
      <c r="M1925" s="66" t="s"/>
      <c r="N1925" s="572" t="s"/>
      <c r="O1925" s="62" t="s"/>
      <c r="P1925" s="62" t="s"/>
      <c r="Q1925" s="62" t="s"/>
      <c r="R1925" s="62" t="s"/>
    </row>
    <row r="1926" spans="1:18" ht="15.75" customHeight="true">
      <c r="A1926" s="107" t="s"/>
      <c r="B1926" s="62" t="s"/>
      <c r="C1926" s="62" t="s"/>
      <c r="D1926" s="62" t="s"/>
      <c r="E1926" s="62" t="s"/>
      <c r="F1926" s="66" t="s"/>
      <c r="G1926" s="66" t="s"/>
      <c r="H1926" s="66" t="s"/>
      <c r="I1926" s="62" t="s"/>
      <c r="J1926" s="62" t="s"/>
      <c r="K1926" s="99" t="s"/>
      <c r="L1926" s="66" t="s"/>
      <c r="M1926" s="66" t="s"/>
      <c r="N1926" s="572" t="s"/>
      <c r="O1926" s="62" t="s"/>
      <c r="P1926" s="62" t="s"/>
      <c r="Q1926" s="62" t="s"/>
      <c r="R1926" s="62" t="s"/>
    </row>
    <row r="1927" spans="1:18" ht="15.75" customHeight="true">
      <c r="A1927" s="107" t="s"/>
      <c r="B1927" s="62" t="s"/>
      <c r="C1927" s="62" t="s"/>
      <c r="D1927" s="62" t="s"/>
      <c r="E1927" s="62" t="s"/>
      <c r="F1927" s="66" t="s"/>
      <c r="G1927" s="66" t="s"/>
      <c r="H1927" s="66" t="s"/>
      <c r="I1927" s="62" t="s"/>
      <c r="J1927" s="62" t="s"/>
      <c r="K1927" s="99" t="s"/>
      <c r="L1927" s="66" t="s"/>
      <c r="M1927" s="66" t="s"/>
      <c r="N1927" s="572" t="s"/>
      <c r="O1927" s="62" t="s"/>
      <c r="P1927" s="62" t="s"/>
      <c r="Q1927" s="62" t="s"/>
      <c r="R1927" s="62" t="s"/>
    </row>
    <row r="1928" spans="1:18" ht="15.75" customHeight="true">
      <c r="A1928" s="107" t="s"/>
      <c r="B1928" s="62" t="s"/>
      <c r="C1928" s="62" t="s"/>
      <c r="D1928" s="62" t="s"/>
      <c r="E1928" s="62" t="s"/>
      <c r="F1928" s="66" t="s"/>
      <c r="G1928" s="66" t="s"/>
      <c r="H1928" s="66" t="s"/>
      <c r="I1928" s="62" t="s"/>
      <c r="J1928" s="62" t="s"/>
      <c r="K1928" s="99" t="s"/>
      <c r="L1928" s="66" t="s"/>
      <c r="M1928" s="66" t="s"/>
      <c r="N1928" s="572" t="s"/>
      <c r="O1928" s="62" t="s"/>
      <c r="P1928" s="62" t="s"/>
      <c r="Q1928" s="62" t="s"/>
      <c r="R1928" s="62" t="s"/>
    </row>
    <row r="1929" spans="1:18" ht="15.75" customHeight="true">
      <c r="A1929" s="107" t="s"/>
      <c r="B1929" s="62" t="s"/>
      <c r="C1929" s="62" t="s"/>
      <c r="D1929" s="62" t="s"/>
      <c r="E1929" s="62" t="s"/>
      <c r="F1929" s="66" t="s"/>
      <c r="G1929" s="66" t="s"/>
      <c r="H1929" s="66" t="s"/>
      <c r="I1929" s="62" t="s"/>
      <c r="J1929" s="62" t="s"/>
      <c r="K1929" s="99" t="s"/>
      <c r="L1929" s="66" t="s"/>
      <c r="M1929" s="66" t="s"/>
      <c r="N1929" s="572" t="s"/>
      <c r="O1929" s="62" t="s"/>
      <c r="P1929" s="62" t="s"/>
      <c r="Q1929" s="62" t="s"/>
      <c r="R1929" s="62" t="s"/>
    </row>
    <row r="1930" spans="1:18" ht="15.75" customHeight="true">
      <c r="A1930" s="107" t="s"/>
      <c r="B1930" s="62" t="s"/>
      <c r="C1930" s="62" t="s"/>
      <c r="D1930" s="62" t="s"/>
      <c r="E1930" s="62" t="s"/>
      <c r="F1930" s="66" t="s"/>
      <c r="G1930" s="66" t="s"/>
      <c r="H1930" s="66" t="s"/>
      <c r="I1930" s="62" t="s"/>
      <c r="J1930" s="62" t="s"/>
      <c r="K1930" s="99" t="s"/>
      <c r="L1930" s="66" t="s"/>
      <c r="M1930" s="66" t="s"/>
      <c r="N1930" s="572" t="s"/>
      <c r="O1930" s="62" t="s"/>
      <c r="P1930" s="62" t="s"/>
      <c r="Q1930" s="62" t="s"/>
      <c r="R1930" s="62" t="s"/>
    </row>
    <row r="1931" spans="1:18" ht="15.75" customHeight="true">
      <c r="A1931" s="107" t="s"/>
      <c r="B1931" s="62" t="s"/>
      <c r="C1931" s="62" t="s"/>
      <c r="D1931" s="62" t="s"/>
      <c r="E1931" s="62" t="s"/>
      <c r="F1931" s="66" t="s"/>
      <c r="G1931" s="66" t="s"/>
      <c r="H1931" s="66" t="s"/>
      <c r="I1931" s="62" t="s"/>
      <c r="J1931" s="62" t="s"/>
      <c r="K1931" s="99" t="s"/>
      <c r="L1931" s="66" t="s"/>
      <c r="M1931" s="66" t="s"/>
      <c r="N1931" s="572" t="s"/>
      <c r="O1931" s="62" t="s"/>
      <c r="P1931" s="62" t="s"/>
      <c r="Q1931" s="62" t="s"/>
      <c r="R1931" s="62" t="s"/>
    </row>
    <row r="1932" spans="1:18" ht="15.75" customHeight="true">
      <c r="A1932" s="107" t="s"/>
      <c r="B1932" s="62" t="s"/>
      <c r="C1932" s="62" t="s"/>
      <c r="D1932" s="62" t="s"/>
      <c r="E1932" s="62" t="s"/>
      <c r="F1932" s="66" t="s"/>
      <c r="G1932" s="66" t="s"/>
      <c r="H1932" s="66" t="s"/>
      <c r="I1932" s="62" t="s"/>
      <c r="J1932" s="62" t="s"/>
      <c r="K1932" s="99" t="s"/>
      <c r="L1932" s="66" t="s"/>
      <c r="M1932" s="66" t="s"/>
      <c r="N1932" s="572" t="s"/>
      <c r="O1932" s="62" t="s"/>
      <c r="P1932" s="62" t="s"/>
      <c r="Q1932" s="62" t="s"/>
      <c r="R1932" s="62" t="s"/>
    </row>
    <row r="1933" spans="1:18" ht="15.75" customHeight="true">
      <c r="A1933" s="107" t="s"/>
      <c r="B1933" s="62" t="s"/>
      <c r="C1933" s="62" t="s"/>
      <c r="D1933" s="62" t="s"/>
      <c r="E1933" s="62" t="s"/>
      <c r="F1933" s="66" t="s"/>
      <c r="G1933" s="66" t="s"/>
      <c r="H1933" s="66" t="s"/>
      <c r="I1933" s="62" t="s"/>
      <c r="J1933" s="62" t="s"/>
      <c r="K1933" s="99" t="s"/>
      <c r="L1933" s="66" t="s"/>
      <c r="M1933" s="66" t="s"/>
      <c r="N1933" s="572" t="s"/>
      <c r="O1933" s="62" t="s"/>
      <c r="P1933" s="62" t="s"/>
      <c r="Q1933" s="62" t="s"/>
      <c r="R1933" s="62" t="s"/>
    </row>
    <row r="1934" spans="1:18" ht="15.75" customHeight="true">
      <c r="A1934" s="107" t="s"/>
      <c r="B1934" s="62" t="s"/>
      <c r="C1934" s="62" t="s"/>
      <c r="D1934" s="62" t="s"/>
      <c r="E1934" s="62" t="s"/>
      <c r="F1934" s="66" t="s"/>
      <c r="G1934" s="66" t="s"/>
      <c r="H1934" s="66" t="s"/>
      <c r="I1934" s="62" t="s"/>
      <c r="J1934" s="62" t="s"/>
      <c r="K1934" s="99" t="s"/>
      <c r="L1934" s="66" t="s"/>
      <c r="M1934" s="66" t="s"/>
      <c r="N1934" s="572" t="s"/>
      <c r="O1934" s="62" t="s"/>
      <c r="P1934" s="62" t="s"/>
      <c r="Q1934" s="62" t="s"/>
      <c r="R1934" s="62" t="s"/>
    </row>
    <row r="1935" spans="1:18" ht="15.75" customHeight="true">
      <c r="A1935" s="107" t="s"/>
      <c r="B1935" s="62" t="s"/>
      <c r="C1935" s="62" t="s"/>
      <c r="D1935" s="62" t="s"/>
      <c r="E1935" s="62" t="s"/>
      <c r="F1935" s="66" t="s"/>
      <c r="G1935" s="66" t="s"/>
      <c r="H1935" s="66" t="s"/>
      <c r="I1935" s="62" t="s"/>
      <c r="J1935" s="62" t="s"/>
      <c r="K1935" s="99" t="s"/>
      <c r="L1935" s="66" t="s"/>
      <c r="M1935" s="66" t="s"/>
      <c r="N1935" s="572" t="s"/>
      <c r="O1935" s="62" t="s"/>
      <c r="P1935" s="62" t="s"/>
      <c r="Q1935" s="62" t="s"/>
      <c r="R1935" s="62" t="s"/>
    </row>
    <row r="1936" spans="1:18" ht="15.75" customHeight="true">
      <c r="A1936" s="107" t="s"/>
      <c r="B1936" s="62" t="s"/>
      <c r="C1936" s="62" t="s"/>
      <c r="D1936" s="62" t="s"/>
      <c r="E1936" s="62" t="s"/>
      <c r="F1936" s="66" t="s"/>
      <c r="G1936" s="66" t="s"/>
      <c r="H1936" s="66" t="s"/>
      <c r="I1936" s="62" t="s"/>
      <c r="J1936" s="62" t="s"/>
      <c r="K1936" s="99" t="s"/>
      <c r="L1936" s="66" t="s"/>
      <c r="M1936" s="66" t="s"/>
      <c r="N1936" s="572" t="s"/>
      <c r="O1936" s="62" t="s"/>
      <c r="P1936" s="62" t="s"/>
      <c r="Q1936" s="62" t="s"/>
      <c r="R1936" s="62" t="s"/>
    </row>
    <row r="1937" spans="1:18" ht="15.75" customHeight="true">
      <c r="A1937" s="107" t="s"/>
      <c r="B1937" s="62" t="s"/>
      <c r="C1937" s="62" t="s"/>
      <c r="D1937" s="62" t="s"/>
      <c r="E1937" s="62" t="s"/>
      <c r="F1937" s="66" t="s"/>
      <c r="G1937" s="66" t="s"/>
      <c r="H1937" s="66" t="s"/>
      <c r="I1937" s="62" t="s"/>
      <c r="J1937" s="62" t="s"/>
      <c r="K1937" s="99" t="s"/>
      <c r="L1937" s="66" t="s"/>
      <c r="M1937" s="66" t="s"/>
      <c r="N1937" s="572" t="s"/>
      <c r="O1937" s="62" t="s"/>
      <c r="P1937" s="62" t="s"/>
      <c r="Q1937" s="62" t="s"/>
      <c r="R1937" s="62" t="s"/>
    </row>
    <row r="1938" spans="1:18" ht="15.75" customHeight="true">
      <c r="A1938" s="107" t="s"/>
      <c r="B1938" s="62" t="s"/>
      <c r="C1938" s="62" t="s"/>
      <c r="D1938" s="62" t="s"/>
      <c r="E1938" s="62" t="s"/>
      <c r="F1938" s="66" t="s"/>
      <c r="G1938" s="66" t="s"/>
      <c r="H1938" s="66" t="s"/>
      <c r="I1938" s="62" t="s"/>
      <c r="J1938" s="62" t="s"/>
      <c r="K1938" s="99" t="s"/>
      <c r="L1938" s="66" t="s"/>
      <c r="M1938" s="66" t="s"/>
      <c r="N1938" s="572" t="s"/>
      <c r="O1938" s="62" t="s"/>
      <c r="P1938" s="62" t="s"/>
      <c r="Q1938" s="62" t="s"/>
      <c r="R1938" s="62" t="s"/>
    </row>
    <row r="1939" spans="1:18" ht="15.75" customHeight="true">
      <c r="A1939" s="107" t="s"/>
      <c r="B1939" s="62" t="s"/>
      <c r="C1939" s="62" t="s"/>
      <c r="D1939" s="62" t="s"/>
      <c r="E1939" s="62" t="s"/>
      <c r="F1939" s="66" t="s"/>
      <c r="G1939" s="66" t="s"/>
      <c r="H1939" s="66" t="s"/>
      <c r="I1939" s="62" t="s"/>
      <c r="J1939" s="62" t="s"/>
      <c r="K1939" s="99" t="s"/>
      <c r="L1939" s="66" t="s"/>
      <c r="M1939" s="66" t="s"/>
      <c r="N1939" s="572" t="s"/>
      <c r="O1939" s="62" t="s"/>
      <c r="P1939" s="62" t="s"/>
      <c r="Q1939" s="62" t="s"/>
      <c r="R1939" s="62" t="s"/>
    </row>
    <row r="1940" spans="1:18" ht="15.75" customHeight="true">
      <c r="A1940" s="107" t="s"/>
      <c r="B1940" s="62" t="s"/>
      <c r="C1940" s="62" t="s"/>
      <c r="D1940" s="62" t="s"/>
      <c r="E1940" s="62" t="s"/>
      <c r="F1940" s="66" t="s"/>
      <c r="G1940" s="66" t="s"/>
      <c r="H1940" s="66" t="s"/>
      <c r="I1940" s="62" t="s"/>
      <c r="J1940" s="62" t="s"/>
      <c r="K1940" s="99" t="s"/>
      <c r="L1940" s="66" t="s"/>
      <c r="M1940" s="66" t="s"/>
      <c r="N1940" s="572" t="s"/>
      <c r="O1940" s="62" t="s"/>
      <c r="P1940" s="62" t="s"/>
      <c r="Q1940" s="62" t="s"/>
      <c r="R1940" s="62" t="s"/>
    </row>
    <row r="1941" spans="1:18" ht="15.75" customHeight="true">
      <c r="A1941" s="107" t="s"/>
      <c r="B1941" s="62" t="s"/>
      <c r="C1941" s="62" t="s"/>
      <c r="D1941" s="62" t="s"/>
      <c r="E1941" s="62" t="s"/>
      <c r="F1941" s="66" t="s"/>
      <c r="G1941" s="66" t="s"/>
      <c r="H1941" s="66" t="s"/>
      <c r="I1941" s="62" t="s"/>
      <c r="J1941" s="62" t="s"/>
      <c r="K1941" s="99" t="s"/>
      <c r="L1941" s="66" t="s"/>
      <c r="M1941" s="66" t="s"/>
      <c r="N1941" s="572" t="s"/>
      <c r="O1941" s="62" t="s"/>
      <c r="P1941" s="62" t="s"/>
      <c r="Q1941" s="62" t="s"/>
      <c r="R1941" s="62" t="s"/>
    </row>
    <row r="1942" spans="1:18" ht="15.75" customHeight="true">
      <c r="A1942" s="107" t="s"/>
      <c r="B1942" s="62" t="s"/>
      <c r="C1942" s="62" t="s"/>
      <c r="D1942" s="62" t="s"/>
      <c r="E1942" s="62" t="s"/>
      <c r="F1942" s="66" t="s"/>
      <c r="G1942" s="66" t="s"/>
      <c r="H1942" s="66" t="s"/>
      <c r="I1942" s="62" t="s"/>
      <c r="J1942" s="62" t="s"/>
      <c r="K1942" s="99" t="s"/>
      <c r="L1942" s="66" t="s"/>
      <c r="M1942" s="66" t="s"/>
      <c r="N1942" s="572" t="s"/>
      <c r="O1942" s="62" t="s"/>
      <c r="P1942" s="62" t="s"/>
      <c r="Q1942" s="62" t="s"/>
      <c r="R1942" s="62" t="s"/>
    </row>
    <row r="1943" spans="1:18" ht="15.75" customHeight="true">
      <c r="A1943" s="107" t="s"/>
      <c r="B1943" s="62" t="s"/>
      <c r="C1943" s="62" t="s"/>
      <c r="D1943" s="62" t="s"/>
      <c r="E1943" s="62" t="s"/>
      <c r="F1943" s="66" t="s"/>
      <c r="G1943" s="66" t="s"/>
      <c r="H1943" s="66" t="s"/>
      <c r="I1943" s="62" t="s"/>
      <c r="J1943" s="62" t="s"/>
      <c r="K1943" s="99" t="s"/>
      <c r="L1943" s="66" t="s"/>
      <c r="M1943" s="66" t="s"/>
      <c r="N1943" s="572" t="s"/>
      <c r="O1943" s="62" t="s"/>
      <c r="P1943" s="62" t="s"/>
      <c r="Q1943" s="62" t="s"/>
      <c r="R1943" s="62" t="s"/>
    </row>
    <row r="1944" spans="1:18" ht="15.75" customHeight="true">
      <c r="A1944" s="107" t="s"/>
      <c r="B1944" s="62" t="s"/>
      <c r="C1944" s="62" t="s"/>
      <c r="D1944" s="62" t="s"/>
      <c r="E1944" s="62" t="s"/>
      <c r="F1944" s="66" t="s"/>
      <c r="G1944" s="66" t="s"/>
      <c r="H1944" s="66" t="s"/>
      <c r="I1944" s="62" t="s"/>
      <c r="J1944" s="62" t="s"/>
      <c r="K1944" s="99" t="s"/>
      <c r="L1944" s="66" t="s"/>
      <c r="M1944" s="66" t="s"/>
      <c r="N1944" s="572" t="s"/>
      <c r="O1944" s="62" t="s"/>
      <c r="P1944" s="62" t="s"/>
      <c r="Q1944" s="62" t="s"/>
      <c r="R1944" s="62" t="s"/>
    </row>
    <row r="1945" spans="1:18" ht="15.75" customHeight="true">
      <c r="A1945" s="107" t="s"/>
      <c r="B1945" s="62" t="s"/>
      <c r="C1945" s="62" t="s"/>
      <c r="D1945" s="62" t="s"/>
      <c r="E1945" s="62" t="s"/>
      <c r="F1945" s="66" t="s"/>
      <c r="G1945" s="66" t="s"/>
      <c r="H1945" s="66" t="s"/>
      <c r="I1945" s="62" t="s"/>
      <c r="J1945" s="62" t="s"/>
      <c r="K1945" s="99" t="s"/>
      <c r="L1945" s="66" t="s"/>
      <c r="M1945" s="66" t="s"/>
      <c r="N1945" s="572" t="s"/>
      <c r="O1945" s="62" t="s"/>
      <c r="P1945" s="62" t="s"/>
      <c r="Q1945" s="62" t="s"/>
      <c r="R1945" s="62" t="s"/>
    </row>
    <row r="1946" spans="1:18" ht="15.75" customHeight="true">
      <c r="A1946" s="107" t="s"/>
      <c r="B1946" s="62" t="s"/>
      <c r="C1946" s="62" t="s"/>
      <c r="D1946" s="62" t="s"/>
      <c r="E1946" s="62" t="s"/>
      <c r="F1946" s="66" t="s"/>
      <c r="G1946" s="66" t="s"/>
      <c r="H1946" s="66" t="s"/>
      <c r="I1946" s="62" t="s"/>
      <c r="J1946" s="62" t="s"/>
      <c r="K1946" s="99" t="s"/>
      <c r="L1946" s="66" t="s"/>
      <c r="M1946" s="66" t="s"/>
      <c r="N1946" s="572" t="s"/>
      <c r="O1946" s="62" t="s"/>
      <c r="P1946" s="62" t="s"/>
      <c r="Q1946" s="62" t="s"/>
      <c r="R1946" s="62" t="s"/>
    </row>
    <row r="1947" spans="1:18" ht="15.75" customHeight="true">
      <c r="A1947" s="107" t="s"/>
      <c r="B1947" s="62" t="s"/>
      <c r="C1947" s="62" t="s"/>
      <c r="D1947" s="62" t="s"/>
      <c r="E1947" s="62" t="s"/>
      <c r="F1947" s="66" t="s"/>
      <c r="G1947" s="66" t="s"/>
      <c r="H1947" s="66" t="s"/>
      <c r="I1947" s="62" t="s"/>
      <c r="J1947" s="62" t="s"/>
      <c r="K1947" s="99" t="s"/>
      <c r="L1947" s="66" t="s"/>
      <c r="M1947" s="66" t="s"/>
      <c r="N1947" s="572" t="s"/>
      <c r="O1947" s="62" t="s"/>
      <c r="P1947" s="62" t="s"/>
      <c r="Q1947" s="62" t="s"/>
      <c r="R1947" s="62" t="s"/>
    </row>
    <row r="1948" spans="1:18" ht="15.75" customHeight="true">
      <c r="A1948" s="107" t="s"/>
      <c r="B1948" s="62" t="s"/>
      <c r="C1948" s="62" t="s"/>
      <c r="D1948" s="62" t="s"/>
      <c r="E1948" s="62" t="s"/>
      <c r="F1948" s="66" t="s"/>
      <c r="G1948" s="66" t="s"/>
      <c r="H1948" s="66" t="s"/>
      <c r="I1948" s="62" t="s"/>
      <c r="J1948" s="62" t="s"/>
      <c r="K1948" s="99" t="s"/>
      <c r="L1948" s="66" t="s"/>
      <c r="M1948" s="66" t="s"/>
      <c r="N1948" s="572" t="s"/>
      <c r="O1948" s="62" t="s"/>
      <c r="P1948" s="62" t="s"/>
      <c r="Q1948" s="62" t="s"/>
      <c r="R1948" s="62" t="s"/>
    </row>
    <row r="1949" spans="1:18" ht="15.75" customHeight="true">
      <c r="A1949" s="107" t="s"/>
      <c r="B1949" s="62" t="s"/>
      <c r="C1949" s="62" t="s"/>
      <c r="D1949" s="62" t="s"/>
      <c r="E1949" s="62" t="s"/>
      <c r="F1949" s="66" t="s"/>
      <c r="G1949" s="66" t="s"/>
      <c r="H1949" s="66" t="s"/>
      <c r="I1949" s="62" t="s"/>
      <c r="J1949" s="62" t="s"/>
      <c r="K1949" s="99" t="s"/>
      <c r="L1949" s="66" t="s"/>
      <c r="M1949" s="66" t="s"/>
      <c r="N1949" s="572" t="s"/>
      <c r="O1949" s="62" t="s"/>
      <c r="P1949" s="62" t="s"/>
      <c r="Q1949" s="62" t="s"/>
      <c r="R1949" s="62" t="s"/>
    </row>
    <row r="1950" spans="1:18" ht="15.75" customHeight="true">
      <c r="A1950" s="107" t="s"/>
      <c r="B1950" s="62" t="s"/>
      <c r="C1950" s="62" t="s"/>
      <c r="D1950" s="62" t="s"/>
      <c r="E1950" s="62" t="s"/>
      <c r="F1950" s="66" t="s"/>
      <c r="G1950" s="66" t="s"/>
      <c r="H1950" s="66" t="s"/>
      <c r="I1950" s="62" t="s"/>
      <c r="J1950" s="62" t="s"/>
      <c r="K1950" s="99" t="s"/>
      <c r="L1950" s="66" t="s"/>
      <c r="M1950" s="66" t="s"/>
      <c r="N1950" s="572" t="s"/>
      <c r="O1950" s="62" t="s"/>
      <c r="P1950" s="62" t="s"/>
      <c r="Q1950" s="62" t="s"/>
      <c r="R1950" s="62" t="s"/>
    </row>
    <row r="1951" spans="1:18" ht="15.75" customHeight="true">
      <c r="A1951" s="107" t="s"/>
      <c r="B1951" s="62" t="s"/>
      <c r="C1951" s="62" t="s"/>
      <c r="D1951" s="62" t="s"/>
      <c r="E1951" s="62" t="s"/>
      <c r="F1951" s="66" t="s"/>
      <c r="G1951" s="66" t="s"/>
      <c r="H1951" s="66" t="s"/>
      <c r="I1951" s="62" t="s"/>
      <c r="J1951" s="62" t="s"/>
      <c r="K1951" s="99" t="s"/>
      <c r="L1951" s="66" t="s"/>
      <c r="M1951" s="66" t="s"/>
      <c r="N1951" s="572" t="s"/>
      <c r="O1951" s="62" t="s"/>
      <c r="P1951" s="62" t="s"/>
      <c r="Q1951" s="62" t="s"/>
      <c r="R1951" s="62" t="s"/>
    </row>
    <row r="1952" spans="1:18" ht="15.75" customHeight="true">
      <c r="A1952" s="107" t="s"/>
      <c r="B1952" s="62" t="s"/>
      <c r="C1952" s="62" t="s"/>
      <c r="D1952" s="62" t="s"/>
      <c r="E1952" s="62" t="s"/>
      <c r="F1952" s="66" t="s"/>
      <c r="G1952" s="66" t="s"/>
      <c r="H1952" s="66" t="s"/>
      <c r="I1952" s="62" t="s"/>
      <c r="J1952" s="62" t="s"/>
      <c r="K1952" s="99" t="s"/>
      <c r="L1952" s="66" t="s"/>
      <c r="M1952" s="66" t="s"/>
      <c r="N1952" s="572" t="s"/>
      <c r="O1952" s="62" t="s"/>
      <c r="P1952" s="62" t="s"/>
      <c r="Q1952" s="62" t="s"/>
      <c r="R1952" s="62" t="s"/>
    </row>
    <row r="1953" spans="1:18" ht="15.75" customHeight="true">
      <c r="A1953" s="107" t="s"/>
      <c r="B1953" s="62" t="s"/>
      <c r="C1953" s="62" t="s"/>
      <c r="D1953" s="62" t="s"/>
      <c r="E1953" s="62" t="s"/>
      <c r="F1953" s="66" t="s"/>
      <c r="G1953" s="66" t="s"/>
      <c r="H1953" s="66" t="s"/>
      <c r="I1953" s="62" t="s"/>
      <c r="J1953" s="62" t="s"/>
      <c r="K1953" s="99" t="s"/>
      <c r="L1953" s="66" t="s"/>
      <c r="M1953" s="66" t="s"/>
      <c r="N1953" s="572" t="s"/>
      <c r="O1953" s="62" t="s"/>
      <c r="P1953" s="62" t="s"/>
      <c r="Q1953" s="62" t="s"/>
      <c r="R1953" s="62" t="s"/>
    </row>
    <row r="1954" spans="1:18" ht="15.75" customHeight="true">
      <c r="A1954" s="107" t="s"/>
      <c r="B1954" s="62" t="s"/>
      <c r="C1954" s="62" t="s"/>
      <c r="D1954" s="62" t="s"/>
      <c r="E1954" s="62" t="s"/>
      <c r="F1954" s="66" t="s"/>
      <c r="G1954" s="66" t="s"/>
      <c r="H1954" s="66" t="s"/>
      <c r="I1954" s="62" t="s"/>
      <c r="J1954" s="62" t="s"/>
      <c r="K1954" s="99" t="s"/>
      <c r="L1954" s="66" t="s"/>
      <c r="M1954" s="66" t="s"/>
      <c r="N1954" s="572" t="s"/>
      <c r="O1954" s="62" t="s"/>
      <c r="P1954" s="62" t="s"/>
      <c r="Q1954" s="62" t="s"/>
      <c r="R1954" s="62" t="s"/>
    </row>
    <row r="1955" spans="1:18" ht="15.75" customHeight="true">
      <c r="A1955" s="107" t="s"/>
      <c r="B1955" s="62" t="s"/>
      <c r="C1955" s="62" t="s"/>
      <c r="D1955" s="62" t="s"/>
      <c r="E1955" s="62" t="s"/>
      <c r="F1955" s="66" t="s"/>
      <c r="G1955" s="66" t="s"/>
      <c r="H1955" s="66" t="s"/>
      <c r="I1955" s="62" t="s"/>
      <c r="J1955" s="62" t="s"/>
      <c r="K1955" s="99" t="s"/>
      <c r="L1955" s="66" t="s"/>
      <c r="M1955" s="66" t="s"/>
      <c r="N1955" s="572" t="s"/>
      <c r="O1955" s="62" t="s"/>
      <c r="P1955" s="62" t="s"/>
      <c r="Q1955" s="62" t="s"/>
      <c r="R1955" s="62" t="s"/>
    </row>
    <row r="1956" spans="1:18" ht="15.75" customHeight="true">
      <c r="A1956" s="107" t="s"/>
      <c r="B1956" s="62" t="s"/>
      <c r="C1956" s="62" t="s"/>
      <c r="D1956" s="62" t="s"/>
      <c r="E1956" s="62" t="s"/>
      <c r="F1956" s="66" t="s"/>
      <c r="G1956" s="66" t="s"/>
      <c r="H1956" s="66" t="s"/>
      <c r="I1956" s="62" t="s"/>
      <c r="J1956" s="62" t="s"/>
      <c r="K1956" s="99" t="s"/>
      <c r="L1956" s="66" t="s"/>
      <c r="M1956" s="66" t="s"/>
      <c r="N1956" s="572" t="s"/>
      <c r="O1956" s="62" t="s"/>
      <c r="P1956" s="62" t="s"/>
      <c r="Q1956" s="62" t="s"/>
      <c r="R1956" s="62" t="s"/>
    </row>
    <row r="1957" spans="1:18" ht="15.75" customHeight="true">
      <c r="A1957" s="107" t="s"/>
      <c r="B1957" s="62" t="s"/>
      <c r="C1957" s="62" t="s"/>
      <c r="D1957" s="62" t="s"/>
      <c r="E1957" s="62" t="s"/>
      <c r="F1957" s="66" t="s"/>
      <c r="G1957" s="66" t="s"/>
      <c r="H1957" s="66" t="s"/>
      <c r="I1957" s="62" t="s"/>
      <c r="J1957" s="62" t="s"/>
      <c r="K1957" s="99" t="s"/>
      <c r="L1957" s="66" t="s"/>
      <c r="M1957" s="66" t="s"/>
      <c r="N1957" s="572" t="s"/>
      <c r="O1957" s="62" t="s"/>
      <c r="P1957" s="62" t="s"/>
      <c r="Q1957" s="62" t="s"/>
      <c r="R1957" s="62" t="s"/>
    </row>
    <row r="1958" spans="1:18" ht="15.75" customHeight="true">
      <c r="A1958" s="107" t="s"/>
      <c r="B1958" s="62" t="s"/>
      <c r="C1958" s="62" t="s"/>
      <c r="D1958" s="62" t="s"/>
      <c r="E1958" s="62" t="s"/>
      <c r="F1958" s="66" t="s"/>
      <c r="G1958" s="66" t="s"/>
      <c r="H1958" s="66" t="s"/>
      <c r="I1958" s="62" t="s"/>
      <c r="J1958" s="62" t="s"/>
      <c r="K1958" s="99" t="s"/>
      <c r="L1958" s="66" t="s"/>
      <c r="M1958" s="66" t="s"/>
      <c r="N1958" s="572" t="s"/>
      <c r="O1958" s="62" t="s"/>
      <c r="P1958" s="62" t="s"/>
      <c r="Q1958" s="62" t="s"/>
      <c r="R1958" s="62" t="s"/>
    </row>
    <row r="1959" spans="1:18" ht="15.75" customHeight="true">
      <c r="A1959" s="107" t="s"/>
      <c r="B1959" s="62" t="s"/>
      <c r="C1959" s="62" t="s"/>
      <c r="D1959" s="62" t="s"/>
      <c r="E1959" s="62" t="s"/>
      <c r="F1959" s="66" t="s"/>
      <c r="G1959" s="66" t="s"/>
      <c r="H1959" s="66" t="s"/>
      <c r="I1959" s="62" t="s"/>
      <c r="J1959" s="62" t="s"/>
      <c r="K1959" s="99" t="s"/>
      <c r="L1959" s="66" t="s"/>
      <c r="M1959" s="66" t="s"/>
      <c r="N1959" s="572" t="s"/>
      <c r="O1959" s="62" t="s"/>
      <c r="P1959" s="62" t="s"/>
      <c r="Q1959" s="62" t="s"/>
      <c r="R1959" s="62" t="s"/>
    </row>
    <row r="1960" spans="1:18" ht="15.75" customHeight="true">
      <c r="A1960" s="107" t="s"/>
      <c r="B1960" s="62" t="s"/>
      <c r="C1960" s="62" t="s"/>
      <c r="D1960" s="62" t="s"/>
      <c r="E1960" s="62" t="s"/>
      <c r="F1960" s="66" t="s"/>
      <c r="G1960" s="66" t="s"/>
      <c r="H1960" s="66" t="s"/>
      <c r="I1960" s="62" t="s"/>
      <c r="J1960" s="62" t="s"/>
      <c r="K1960" s="99" t="s"/>
      <c r="L1960" s="66" t="s"/>
      <c r="M1960" s="66" t="s"/>
      <c r="N1960" s="572" t="s"/>
      <c r="O1960" s="62" t="s"/>
      <c r="P1960" s="62" t="s"/>
      <c r="Q1960" s="62" t="s"/>
      <c r="R1960" s="62" t="s"/>
    </row>
    <row r="1961" spans="1:18" ht="15.75" customHeight="true">
      <c r="A1961" s="107" t="s"/>
      <c r="B1961" s="62" t="s"/>
      <c r="C1961" s="62" t="s"/>
      <c r="D1961" s="62" t="s"/>
      <c r="E1961" s="62" t="s"/>
      <c r="F1961" s="66" t="s"/>
      <c r="G1961" s="66" t="s"/>
      <c r="H1961" s="66" t="s"/>
      <c r="I1961" s="62" t="s"/>
      <c r="J1961" s="62" t="s"/>
      <c r="K1961" s="99" t="s"/>
      <c r="L1961" s="66" t="s"/>
      <c r="M1961" s="66" t="s"/>
      <c r="N1961" s="572" t="s"/>
      <c r="O1961" s="62" t="s"/>
      <c r="P1961" s="62" t="s"/>
      <c r="Q1961" s="62" t="s"/>
      <c r="R1961" s="62" t="s"/>
    </row>
    <row r="1962" spans="1:18" ht="15.75" customHeight="true">
      <c r="A1962" s="107" t="s"/>
      <c r="B1962" s="62" t="s"/>
      <c r="C1962" s="62" t="s"/>
      <c r="D1962" s="62" t="s"/>
      <c r="E1962" s="62" t="s"/>
      <c r="F1962" s="66" t="s"/>
      <c r="G1962" s="66" t="s"/>
      <c r="H1962" s="66" t="s"/>
      <c r="I1962" s="62" t="s"/>
      <c r="J1962" s="62" t="s"/>
      <c r="K1962" s="99" t="s"/>
      <c r="L1962" s="66" t="s"/>
      <c r="M1962" s="66" t="s"/>
      <c r="N1962" s="572" t="s"/>
      <c r="O1962" s="62" t="s"/>
      <c r="P1962" s="62" t="s"/>
      <c r="Q1962" s="62" t="s"/>
      <c r="R1962" s="62" t="s"/>
    </row>
    <row r="1963" spans="1:18" ht="15.75" customHeight="true">
      <c r="A1963" s="107" t="s"/>
      <c r="B1963" s="62" t="s"/>
      <c r="C1963" s="62" t="s"/>
      <c r="D1963" s="62" t="s"/>
      <c r="E1963" s="62" t="s"/>
      <c r="F1963" s="66" t="s"/>
      <c r="G1963" s="66" t="s"/>
      <c r="H1963" s="66" t="s"/>
      <c r="I1963" s="62" t="s"/>
      <c r="J1963" s="62" t="s"/>
      <c r="K1963" s="99" t="s"/>
      <c r="L1963" s="66" t="s"/>
      <c r="M1963" s="66" t="s"/>
      <c r="N1963" s="572" t="s"/>
      <c r="O1963" s="62" t="s"/>
      <c r="P1963" s="62" t="s"/>
      <c r="Q1963" s="62" t="s"/>
      <c r="R1963" s="62" t="s"/>
    </row>
    <row r="1964" spans="1:18" ht="15.75" customHeight="true">
      <c r="A1964" s="107" t="s"/>
      <c r="B1964" s="62" t="s"/>
      <c r="C1964" s="62" t="s"/>
      <c r="D1964" s="62" t="s"/>
      <c r="E1964" s="62" t="s"/>
      <c r="F1964" s="66" t="s"/>
      <c r="G1964" s="66" t="s"/>
      <c r="H1964" s="66" t="s"/>
      <c r="I1964" s="62" t="s"/>
      <c r="J1964" s="62" t="s"/>
      <c r="K1964" s="99" t="s"/>
      <c r="L1964" s="66" t="s"/>
      <c r="M1964" s="66" t="s"/>
      <c r="N1964" s="572" t="s"/>
      <c r="O1964" s="62" t="s"/>
      <c r="P1964" s="62" t="s"/>
      <c r="Q1964" s="62" t="s"/>
      <c r="R1964" s="62" t="s"/>
    </row>
    <row r="1965" spans="1:18" ht="15.75" customHeight="true">
      <c r="A1965" s="107" t="s"/>
      <c r="B1965" s="62" t="s"/>
      <c r="C1965" s="62" t="s"/>
      <c r="D1965" s="62" t="s"/>
      <c r="E1965" s="62" t="s"/>
      <c r="F1965" s="66" t="s"/>
      <c r="G1965" s="66" t="s"/>
      <c r="H1965" s="66" t="s"/>
      <c r="I1965" s="62" t="s"/>
      <c r="J1965" s="62" t="s"/>
      <c r="K1965" s="99" t="s"/>
      <c r="L1965" s="66" t="s"/>
      <c r="M1965" s="66" t="s"/>
      <c r="N1965" s="572" t="s"/>
      <c r="O1965" s="62" t="s"/>
      <c r="P1965" s="62" t="s"/>
      <c r="Q1965" s="62" t="s"/>
      <c r="R1965" s="62" t="s"/>
    </row>
    <row r="1966" spans="1:18" ht="15.75" customHeight="true">
      <c r="A1966" s="107" t="s"/>
      <c r="B1966" s="62" t="s"/>
      <c r="C1966" s="62" t="s"/>
      <c r="D1966" s="62" t="s"/>
      <c r="E1966" s="62" t="s"/>
      <c r="F1966" s="66" t="s"/>
      <c r="G1966" s="66" t="s"/>
      <c r="H1966" s="66" t="s"/>
      <c r="I1966" s="62" t="s"/>
      <c r="J1966" s="62" t="s"/>
      <c r="K1966" s="99" t="s"/>
      <c r="L1966" s="66" t="s"/>
      <c r="M1966" s="66" t="s"/>
      <c r="N1966" s="572" t="s"/>
      <c r="O1966" s="62" t="s"/>
      <c r="P1966" s="62" t="s"/>
      <c r="Q1966" s="62" t="s"/>
      <c r="R1966" s="62" t="s"/>
    </row>
    <row r="1967" spans="1:18" ht="15.75" customHeight="true">
      <c r="A1967" s="107" t="s"/>
      <c r="B1967" s="62" t="s"/>
      <c r="C1967" s="62" t="s"/>
      <c r="D1967" s="62" t="s"/>
      <c r="E1967" s="62" t="s"/>
      <c r="F1967" s="66" t="s"/>
      <c r="G1967" s="66" t="s"/>
      <c r="H1967" s="66" t="s"/>
      <c r="I1967" s="62" t="s"/>
      <c r="J1967" s="62" t="s"/>
      <c r="K1967" s="99" t="s"/>
      <c r="L1967" s="66" t="s"/>
      <c r="M1967" s="66" t="s"/>
      <c r="N1967" s="572" t="s"/>
      <c r="O1967" s="62" t="s"/>
      <c r="P1967" s="62" t="s"/>
      <c r="Q1967" s="62" t="s"/>
      <c r="R1967" s="62" t="s"/>
    </row>
    <row r="1968" spans="1:18" ht="15.75" customHeight="true">
      <c r="A1968" s="107" t="s"/>
      <c r="B1968" s="62" t="s"/>
      <c r="C1968" s="62" t="s"/>
      <c r="D1968" s="62" t="s"/>
      <c r="E1968" s="62" t="s"/>
      <c r="F1968" s="66" t="s"/>
      <c r="G1968" s="66" t="s"/>
      <c r="H1968" s="66" t="s"/>
      <c r="I1968" s="62" t="s"/>
      <c r="J1968" s="62" t="s"/>
      <c r="K1968" s="99" t="s"/>
      <c r="L1968" s="66" t="s"/>
      <c r="M1968" s="66" t="s"/>
      <c r="N1968" s="572" t="s"/>
      <c r="O1968" s="62" t="s"/>
      <c r="P1968" s="62" t="s"/>
      <c r="Q1968" s="62" t="s"/>
      <c r="R1968" s="62" t="s"/>
    </row>
    <row r="1969" spans="1:18" ht="15.75" customHeight="true">
      <c r="A1969" s="107" t="s"/>
      <c r="B1969" s="62" t="s"/>
      <c r="C1969" s="62" t="s"/>
      <c r="D1969" s="62" t="s"/>
      <c r="E1969" s="62" t="s"/>
      <c r="F1969" s="66" t="s"/>
      <c r="G1969" s="66" t="s"/>
      <c r="H1969" s="66" t="s"/>
      <c r="I1969" s="62" t="s"/>
      <c r="J1969" s="62" t="s"/>
      <c r="K1969" s="99" t="s"/>
      <c r="L1969" s="66" t="s"/>
      <c r="M1969" s="66" t="s"/>
      <c r="N1969" s="572" t="s"/>
      <c r="O1969" s="62" t="s"/>
      <c r="P1969" s="62" t="s"/>
      <c r="Q1969" s="62" t="s"/>
      <c r="R1969" s="62" t="s"/>
    </row>
    <row r="1970" spans="1:18" ht="15.75" customHeight="true">
      <c r="A1970" s="107" t="s"/>
      <c r="B1970" s="62" t="s"/>
      <c r="C1970" s="62" t="s"/>
      <c r="D1970" s="62" t="s"/>
      <c r="E1970" s="62" t="s"/>
      <c r="F1970" s="66" t="s"/>
      <c r="G1970" s="66" t="s"/>
      <c r="H1970" s="66" t="s"/>
      <c r="I1970" s="62" t="s"/>
      <c r="J1970" s="62" t="s"/>
      <c r="K1970" s="99" t="s"/>
      <c r="L1970" s="66" t="s"/>
      <c r="M1970" s="66" t="s"/>
      <c r="N1970" s="572" t="s"/>
      <c r="O1970" s="62" t="s"/>
      <c r="P1970" s="62" t="s"/>
      <c r="Q1970" s="62" t="s"/>
      <c r="R1970" s="62" t="s"/>
    </row>
    <row r="1971" spans="1:18" ht="15.75" customHeight="true">
      <c r="A1971" s="107" t="s"/>
      <c r="B1971" s="62" t="s"/>
      <c r="C1971" s="62" t="s"/>
      <c r="D1971" s="62" t="s"/>
      <c r="E1971" s="62" t="s"/>
      <c r="F1971" s="66" t="s"/>
      <c r="G1971" s="66" t="s"/>
      <c r="H1971" s="66" t="s"/>
      <c r="I1971" s="62" t="s"/>
      <c r="J1971" s="62" t="s"/>
      <c r="K1971" s="99" t="s"/>
      <c r="L1971" s="66" t="s"/>
      <c r="M1971" s="66" t="s"/>
      <c r="N1971" s="572" t="s"/>
      <c r="O1971" s="62" t="s"/>
      <c r="P1971" s="62" t="s"/>
      <c r="Q1971" s="62" t="s"/>
      <c r="R1971" s="62" t="s"/>
    </row>
    <row r="1972" spans="1:18" ht="15.75" customHeight="true">
      <c r="A1972" s="107" t="s"/>
      <c r="B1972" s="62" t="s"/>
      <c r="C1972" s="62" t="s"/>
      <c r="D1972" s="62" t="s"/>
      <c r="E1972" s="62" t="s"/>
      <c r="F1972" s="66" t="s"/>
      <c r="G1972" s="66" t="s"/>
      <c r="H1972" s="66" t="s"/>
      <c r="I1972" s="62" t="s"/>
      <c r="J1972" s="62" t="s"/>
      <c r="K1972" s="99" t="s"/>
      <c r="L1972" s="66" t="s"/>
      <c r="M1972" s="66" t="s"/>
      <c r="N1972" s="572" t="s"/>
      <c r="O1972" s="62" t="s"/>
      <c r="P1972" s="62" t="s"/>
      <c r="Q1972" s="62" t="s"/>
      <c r="R1972" s="62" t="s"/>
    </row>
    <row r="1973" spans="1:18" ht="15.75" customHeight="true">
      <c r="A1973" s="107" t="s"/>
      <c r="B1973" s="62" t="s"/>
      <c r="C1973" s="62" t="s"/>
      <c r="D1973" s="62" t="s"/>
      <c r="E1973" s="62" t="s"/>
      <c r="F1973" s="66" t="s"/>
      <c r="G1973" s="66" t="s"/>
      <c r="H1973" s="66" t="s"/>
      <c r="I1973" s="62" t="s"/>
      <c r="J1973" s="62" t="s"/>
      <c r="K1973" s="99" t="s"/>
      <c r="L1973" s="66" t="s"/>
      <c r="M1973" s="66" t="s"/>
      <c r="N1973" s="572" t="s"/>
      <c r="O1973" s="62" t="s"/>
      <c r="P1973" s="62" t="s"/>
      <c r="Q1973" s="62" t="s"/>
      <c r="R1973" s="62" t="s"/>
    </row>
    <row r="1974" spans="1:18" ht="15.75" customHeight="true">
      <c r="A1974" s="107" t="s"/>
      <c r="B1974" s="62" t="s"/>
      <c r="C1974" s="62" t="s"/>
      <c r="D1974" s="62" t="s"/>
      <c r="E1974" s="62" t="s"/>
      <c r="F1974" s="66" t="s"/>
      <c r="G1974" s="66" t="s"/>
      <c r="H1974" s="66" t="s"/>
      <c r="I1974" s="62" t="s"/>
      <c r="J1974" s="62" t="s"/>
      <c r="K1974" s="99" t="s"/>
      <c r="L1974" s="66" t="s"/>
      <c r="M1974" s="66" t="s"/>
      <c r="N1974" s="572" t="s"/>
      <c r="O1974" s="62" t="s"/>
      <c r="P1974" s="62" t="s"/>
      <c r="Q1974" s="62" t="s"/>
      <c r="R1974" s="62" t="s"/>
    </row>
    <row r="1975" spans="1:18" ht="15.75" customHeight="true">
      <c r="A1975" s="107" t="s"/>
      <c r="B1975" s="62" t="s"/>
      <c r="C1975" s="62" t="s"/>
      <c r="D1975" s="62" t="s"/>
      <c r="E1975" s="62" t="s"/>
      <c r="F1975" s="66" t="s"/>
      <c r="G1975" s="66" t="s"/>
      <c r="H1975" s="66" t="s"/>
      <c r="I1975" s="62" t="s"/>
      <c r="J1975" s="62" t="s"/>
      <c r="K1975" s="99" t="s"/>
      <c r="L1975" s="66" t="s"/>
      <c r="M1975" s="66" t="s"/>
      <c r="N1975" s="572" t="s"/>
      <c r="O1975" s="62" t="s"/>
      <c r="P1975" s="62" t="s"/>
      <c r="Q1975" s="62" t="s"/>
      <c r="R1975" s="62" t="s"/>
    </row>
    <row r="1976" spans="1:18" ht="15.75" customHeight="true">
      <c r="A1976" s="107" t="s"/>
      <c r="B1976" s="62" t="s"/>
      <c r="C1976" s="62" t="s"/>
      <c r="D1976" s="62" t="s"/>
      <c r="E1976" s="62" t="s"/>
      <c r="F1976" s="66" t="s"/>
      <c r="G1976" s="66" t="s"/>
      <c r="H1976" s="66" t="s"/>
      <c r="I1976" s="62" t="s"/>
      <c r="J1976" s="62" t="s"/>
      <c r="K1976" s="99" t="s"/>
      <c r="L1976" s="66" t="s"/>
      <c r="M1976" s="66" t="s"/>
      <c r="N1976" s="572" t="s"/>
      <c r="O1976" s="62" t="s"/>
      <c r="P1976" s="62" t="s"/>
      <c r="Q1976" s="62" t="s"/>
      <c r="R1976" s="62" t="s"/>
    </row>
    <row r="1977" spans="1:18" ht="15.75" customHeight="true">
      <c r="A1977" s="107" t="s"/>
      <c r="B1977" s="62" t="s"/>
      <c r="C1977" s="62" t="s"/>
      <c r="D1977" s="62" t="s"/>
      <c r="E1977" s="62" t="s"/>
      <c r="F1977" s="66" t="s"/>
      <c r="G1977" s="66" t="s"/>
      <c r="H1977" s="66" t="s"/>
      <c r="I1977" s="62" t="s"/>
      <c r="J1977" s="62" t="s"/>
      <c r="K1977" s="99" t="s"/>
      <c r="L1977" s="66" t="s"/>
      <c r="M1977" s="66" t="s"/>
      <c r="N1977" s="572" t="s"/>
      <c r="O1977" s="62" t="s"/>
      <c r="P1977" s="62" t="s"/>
      <c r="Q1977" s="62" t="s"/>
      <c r="R1977" s="62" t="s"/>
    </row>
    <row r="1978" spans="1:18" ht="15.75" customHeight="true">
      <c r="A1978" s="107" t="s"/>
      <c r="B1978" s="62" t="s"/>
      <c r="C1978" s="62" t="s"/>
      <c r="D1978" s="62" t="s"/>
      <c r="E1978" s="62" t="s"/>
      <c r="F1978" s="66" t="s"/>
      <c r="G1978" s="66" t="s"/>
      <c r="H1978" s="66" t="s"/>
      <c r="I1978" s="62" t="s"/>
      <c r="J1978" s="62" t="s"/>
      <c r="K1978" s="99" t="s"/>
      <c r="L1978" s="66" t="s"/>
      <c r="M1978" s="66" t="s"/>
      <c r="N1978" s="572" t="s"/>
      <c r="O1978" s="62" t="s"/>
      <c r="P1978" s="62" t="s"/>
      <c r="Q1978" s="62" t="s"/>
      <c r="R1978" s="62" t="s"/>
    </row>
    <row r="1979" spans="1:18" ht="15.75" customHeight="true">
      <c r="A1979" s="107" t="s"/>
      <c r="B1979" s="62" t="s"/>
      <c r="C1979" s="62" t="s"/>
      <c r="D1979" s="62" t="s"/>
      <c r="E1979" s="62" t="s"/>
      <c r="F1979" s="66" t="s"/>
      <c r="G1979" s="66" t="s"/>
      <c r="H1979" s="66" t="s"/>
      <c r="I1979" s="62" t="s"/>
      <c r="J1979" s="62" t="s"/>
      <c r="K1979" s="99" t="s"/>
      <c r="L1979" s="66" t="s"/>
      <c r="M1979" s="66" t="s"/>
      <c r="N1979" s="572" t="s"/>
      <c r="O1979" s="62" t="s"/>
      <c r="P1979" s="62" t="s"/>
      <c r="Q1979" s="62" t="s"/>
      <c r="R1979" s="62" t="s"/>
    </row>
    <row r="1980" spans="1:18" ht="15.75" customHeight="true">
      <c r="A1980" s="107" t="s"/>
      <c r="B1980" s="62" t="s"/>
      <c r="C1980" s="62" t="s"/>
      <c r="D1980" s="62" t="s"/>
      <c r="E1980" s="62" t="s"/>
      <c r="F1980" s="66" t="s"/>
      <c r="G1980" s="66" t="s"/>
      <c r="H1980" s="66" t="s"/>
      <c r="I1980" s="62" t="s"/>
      <c r="J1980" s="62" t="s"/>
      <c r="K1980" s="99" t="s"/>
      <c r="L1980" s="66" t="s"/>
      <c r="M1980" s="66" t="s"/>
      <c r="N1980" s="572" t="s"/>
      <c r="O1980" s="62" t="s"/>
      <c r="P1980" s="62" t="s"/>
      <c r="Q1980" s="62" t="s"/>
      <c r="R1980" s="62" t="s"/>
    </row>
    <row r="1981" spans="1:18" ht="15.75" customHeight="true">
      <c r="A1981" s="107" t="s"/>
      <c r="B1981" s="62" t="s"/>
      <c r="C1981" s="62" t="s"/>
      <c r="D1981" s="62" t="s"/>
      <c r="E1981" s="62" t="s"/>
      <c r="F1981" s="66" t="s"/>
      <c r="G1981" s="66" t="s"/>
      <c r="H1981" s="66" t="s"/>
      <c r="I1981" s="62" t="s"/>
      <c r="J1981" s="62" t="s"/>
      <c r="K1981" s="99" t="s"/>
      <c r="L1981" s="66" t="s"/>
      <c r="M1981" s="66" t="s"/>
      <c r="N1981" s="572" t="s"/>
      <c r="O1981" s="62" t="s"/>
      <c r="P1981" s="62" t="s"/>
      <c r="Q1981" s="62" t="s"/>
      <c r="R1981" s="62" t="s"/>
    </row>
    <row r="1982" spans="1:18" ht="15.75" customHeight="true">
      <c r="A1982" s="107" t="s"/>
      <c r="B1982" s="62" t="s"/>
      <c r="C1982" s="62" t="s"/>
      <c r="D1982" s="62" t="s"/>
      <c r="E1982" s="62" t="s"/>
      <c r="F1982" s="66" t="s"/>
      <c r="G1982" s="66" t="s"/>
      <c r="H1982" s="66" t="s"/>
      <c r="I1982" s="62" t="s"/>
      <c r="J1982" s="62" t="s"/>
      <c r="K1982" s="99" t="s"/>
      <c r="L1982" s="66" t="s"/>
      <c r="M1982" s="66" t="s"/>
      <c r="N1982" s="572" t="s"/>
      <c r="O1982" s="62" t="s"/>
      <c r="P1982" s="62" t="s"/>
      <c r="Q1982" s="62" t="s"/>
      <c r="R1982" s="62" t="s"/>
    </row>
    <row r="1983" spans="1:18" ht="15.75" customHeight="true">
      <c r="A1983" s="107" t="s"/>
      <c r="B1983" s="62" t="s"/>
      <c r="C1983" s="62" t="s"/>
      <c r="D1983" s="62" t="s"/>
      <c r="E1983" s="62" t="s"/>
      <c r="F1983" s="66" t="s"/>
      <c r="G1983" s="66" t="s"/>
      <c r="H1983" s="66" t="s"/>
      <c r="I1983" s="62" t="s"/>
      <c r="J1983" s="62" t="s"/>
      <c r="K1983" s="99" t="s"/>
      <c r="L1983" s="66" t="s"/>
      <c r="M1983" s="66" t="s"/>
      <c r="N1983" s="572" t="s"/>
      <c r="O1983" s="62" t="s"/>
      <c r="P1983" s="62" t="s"/>
      <c r="Q1983" s="62" t="s"/>
      <c r="R1983" s="62" t="s"/>
    </row>
    <row r="1984" spans="1:18" ht="15.75" customHeight="true">
      <c r="A1984" s="107" t="s"/>
      <c r="B1984" s="62" t="s"/>
      <c r="C1984" s="62" t="s"/>
      <c r="D1984" s="62" t="s"/>
      <c r="E1984" s="62" t="s"/>
      <c r="F1984" s="66" t="s"/>
      <c r="G1984" s="66" t="s"/>
      <c r="H1984" s="66" t="s"/>
      <c r="I1984" s="62" t="s"/>
      <c r="J1984" s="62" t="s"/>
      <c r="K1984" s="99" t="s"/>
      <c r="L1984" s="66" t="s"/>
      <c r="M1984" s="66" t="s"/>
      <c r="N1984" s="572" t="s"/>
      <c r="O1984" s="62" t="s"/>
      <c r="P1984" s="62" t="s"/>
      <c r="Q1984" s="62" t="s"/>
      <c r="R1984" s="62" t="s"/>
    </row>
    <row r="1985" spans="1:18" ht="15.75" customHeight="true">
      <c r="A1985" s="107" t="s"/>
      <c r="B1985" s="62" t="s"/>
      <c r="C1985" s="62" t="s"/>
      <c r="D1985" s="62" t="s"/>
      <c r="E1985" s="62" t="s"/>
      <c r="F1985" s="66" t="s"/>
      <c r="G1985" s="66" t="s"/>
      <c r="H1985" s="66" t="s"/>
      <c r="I1985" s="62" t="s"/>
      <c r="J1985" s="62" t="s"/>
      <c r="K1985" s="99" t="s"/>
      <c r="L1985" s="66" t="s"/>
      <c r="M1985" s="66" t="s"/>
      <c r="N1985" s="572" t="s"/>
      <c r="O1985" s="62" t="s"/>
      <c r="P1985" s="62" t="s"/>
      <c r="Q1985" s="62" t="s"/>
      <c r="R1985" s="62" t="s"/>
    </row>
    <row r="1986" spans="1:18" ht="15.75" customHeight="true">
      <c r="A1986" s="107" t="s"/>
      <c r="B1986" s="62" t="s"/>
      <c r="C1986" s="62" t="s"/>
      <c r="D1986" s="62" t="s"/>
      <c r="E1986" s="62" t="s"/>
      <c r="F1986" s="66" t="s"/>
      <c r="G1986" s="66" t="s"/>
      <c r="H1986" s="66" t="s"/>
      <c r="I1986" s="62" t="s"/>
      <c r="J1986" s="62" t="s"/>
      <c r="K1986" s="99" t="s"/>
      <c r="L1986" s="66" t="s"/>
      <c r="M1986" s="66" t="s"/>
      <c r="N1986" s="572" t="s"/>
      <c r="O1986" s="62" t="s"/>
      <c r="P1986" s="62" t="s"/>
      <c r="Q1986" s="62" t="s"/>
      <c r="R1986" s="62" t="s"/>
    </row>
    <row r="1987" spans="1:18" ht="15.75" customHeight="true">
      <c r="A1987" s="107" t="s"/>
      <c r="B1987" s="62" t="s"/>
      <c r="C1987" s="62" t="s"/>
      <c r="D1987" s="62" t="s"/>
      <c r="E1987" s="62" t="s"/>
      <c r="F1987" s="66" t="s"/>
      <c r="G1987" s="66" t="s"/>
      <c r="H1987" s="66" t="s"/>
      <c r="I1987" s="62" t="s"/>
      <c r="J1987" s="62" t="s"/>
      <c r="K1987" s="99" t="s"/>
      <c r="L1987" s="66" t="s"/>
      <c r="M1987" s="66" t="s"/>
      <c r="N1987" s="572" t="s"/>
      <c r="O1987" s="62" t="s"/>
      <c r="P1987" s="62" t="s"/>
      <c r="Q1987" s="62" t="s"/>
      <c r="R1987" s="62" t="s"/>
    </row>
    <row r="1988" spans="1:18" ht="15.75" customHeight="true">
      <c r="A1988" s="107" t="s"/>
      <c r="B1988" s="62" t="s"/>
      <c r="C1988" s="62" t="s"/>
      <c r="D1988" s="62" t="s"/>
      <c r="E1988" s="62" t="s"/>
      <c r="F1988" s="66" t="s"/>
      <c r="G1988" s="66" t="s"/>
      <c r="H1988" s="66" t="s"/>
      <c r="I1988" s="62" t="s"/>
      <c r="J1988" s="62" t="s"/>
      <c r="K1988" s="99" t="s"/>
      <c r="L1988" s="66" t="s"/>
      <c r="M1988" s="66" t="s"/>
      <c r="N1988" s="572" t="s"/>
      <c r="O1988" s="62" t="s"/>
      <c r="P1988" s="62" t="s"/>
      <c r="Q1988" s="62" t="s"/>
      <c r="R1988" s="62" t="s"/>
    </row>
    <row r="1989" spans="1:18" ht="15.75" customHeight="true">
      <c r="A1989" s="107" t="s"/>
      <c r="B1989" s="62" t="s"/>
      <c r="C1989" s="62" t="s"/>
      <c r="D1989" s="62" t="s"/>
      <c r="E1989" s="62" t="s"/>
      <c r="F1989" s="66" t="s"/>
      <c r="G1989" s="66" t="s"/>
      <c r="H1989" s="66" t="s"/>
      <c r="I1989" s="62" t="s"/>
      <c r="J1989" s="62" t="s"/>
      <c r="K1989" s="99" t="s"/>
      <c r="L1989" s="66" t="s"/>
      <c r="M1989" s="66" t="s"/>
      <c r="N1989" s="572" t="s"/>
      <c r="O1989" s="62" t="s"/>
      <c r="P1989" s="62" t="s"/>
      <c r="Q1989" s="62" t="s"/>
      <c r="R1989" s="62" t="s"/>
    </row>
    <row r="1990" spans="1:18" ht="15.75" customHeight="true">
      <c r="A1990" s="107" t="s"/>
      <c r="B1990" s="62" t="s"/>
      <c r="C1990" s="62" t="s"/>
      <c r="D1990" s="62" t="s"/>
      <c r="E1990" s="62" t="s"/>
      <c r="F1990" s="66" t="s"/>
      <c r="G1990" s="66" t="s"/>
      <c r="H1990" s="66" t="s"/>
      <c r="I1990" s="62" t="s"/>
      <c r="J1990" s="62" t="s"/>
      <c r="K1990" s="99" t="s"/>
      <c r="L1990" s="66" t="s"/>
      <c r="M1990" s="66" t="s"/>
      <c r="N1990" s="572" t="s"/>
      <c r="O1990" s="62" t="s"/>
      <c r="P1990" s="62" t="s"/>
      <c r="Q1990" s="62" t="s"/>
      <c r="R1990" s="62" t="s"/>
    </row>
    <row r="1991" spans="1:18" ht="15.75" customHeight="true">
      <c r="A1991" s="107" t="s"/>
      <c r="B1991" s="62" t="s"/>
      <c r="C1991" s="62" t="s"/>
      <c r="D1991" s="62" t="s"/>
      <c r="E1991" s="62" t="s"/>
      <c r="F1991" s="66" t="s"/>
      <c r="G1991" s="66" t="s"/>
      <c r="H1991" s="66" t="s"/>
      <c r="I1991" s="62" t="s"/>
      <c r="J1991" s="62" t="s"/>
      <c r="K1991" s="99" t="s"/>
      <c r="L1991" s="66" t="s"/>
      <c r="M1991" s="66" t="s"/>
      <c r="N1991" s="572" t="s"/>
      <c r="O1991" s="62" t="s"/>
      <c r="P1991" s="62" t="s"/>
      <c r="Q1991" s="62" t="s"/>
      <c r="R1991" s="62" t="s"/>
    </row>
    <row r="1992" spans="1:18" ht="15.75" customHeight="true">
      <c r="A1992" s="107" t="s"/>
      <c r="B1992" s="62" t="s"/>
      <c r="C1992" s="62" t="s"/>
      <c r="D1992" s="62" t="s"/>
      <c r="E1992" s="62" t="s"/>
      <c r="F1992" s="66" t="s"/>
      <c r="G1992" s="66" t="s"/>
      <c r="H1992" s="66" t="s"/>
      <c r="I1992" s="62" t="s"/>
      <c r="J1992" s="62" t="s"/>
      <c r="K1992" s="99" t="s"/>
      <c r="L1992" s="66" t="s"/>
      <c r="M1992" s="66" t="s"/>
      <c r="N1992" s="572" t="s"/>
      <c r="O1992" s="62" t="s"/>
      <c r="P1992" s="62" t="s"/>
      <c r="Q1992" s="62" t="s"/>
      <c r="R1992" s="62" t="s"/>
    </row>
    <row r="1993" spans="1:18" ht="15.75" customHeight="true">
      <c r="A1993" s="107" t="s"/>
      <c r="B1993" s="62" t="s"/>
      <c r="C1993" s="62" t="s"/>
      <c r="D1993" s="62" t="s"/>
      <c r="E1993" s="62" t="s"/>
      <c r="F1993" s="66" t="s"/>
      <c r="G1993" s="66" t="s"/>
      <c r="H1993" s="66" t="s"/>
      <c r="I1993" s="62" t="s"/>
      <c r="J1993" s="62" t="s"/>
      <c r="K1993" s="99" t="s"/>
      <c r="L1993" s="66" t="s"/>
      <c r="M1993" s="66" t="s"/>
      <c r="N1993" s="572" t="s"/>
      <c r="O1993" s="62" t="s"/>
      <c r="P1993" s="62" t="s"/>
      <c r="Q1993" s="62" t="s"/>
      <c r="R1993" s="62" t="s"/>
    </row>
    <row r="1994" spans="1:18" ht="15.75" customHeight="true">
      <c r="A1994" s="107" t="s"/>
      <c r="B1994" s="62" t="s"/>
      <c r="C1994" s="62" t="s"/>
      <c r="D1994" s="62" t="s"/>
      <c r="E1994" s="62" t="s"/>
      <c r="F1994" s="66" t="s"/>
      <c r="G1994" s="66" t="s"/>
      <c r="H1994" s="66" t="s"/>
      <c r="I1994" s="62" t="s"/>
      <c r="J1994" s="62" t="s"/>
      <c r="K1994" s="99" t="s"/>
      <c r="L1994" s="66" t="s"/>
      <c r="M1994" s="66" t="s"/>
      <c r="N1994" s="572" t="s"/>
      <c r="O1994" s="62" t="s"/>
      <c r="P1994" s="62" t="s"/>
      <c r="Q1994" s="62" t="s"/>
      <c r="R1994" s="62" t="s"/>
    </row>
    <row r="1995" spans="1:18" ht="15.75" customHeight="true">
      <c r="A1995" s="107" t="s"/>
      <c r="B1995" s="62" t="s"/>
      <c r="C1995" s="62" t="s"/>
      <c r="D1995" s="62" t="s"/>
      <c r="E1995" s="62" t="s"/>
      <c r="F1995" s="66" t="s"/>
      <c r="G1995" s="66" t="s"/>
      <c r="H1995" s="66" t="s"/>
      <c r="I1995" s="62" t="s"/>
      <c r="J1995" s="62" t="s"/>
      <c r="K1995" s="99" t="s"/>
      <c r="L1995" s="66" t="s"/>
      <c r="M1995" s="66" t="s"/>
      <c r="N1995" s="572" t="s"/>
      <c r="O1995" s="62" t="s"/>
      <c r="P1995" s="62" t="s"/>
      <c r="Q1995" s="62" t="s"/>
      <c r="R1995" s="62" t="s"/>
    </row>
    <row r="1996" spans="1:18" ht="15.75" customHeight="true">
      <c r="A1996" s="107" t="s"/>
      <c r="B1996" s="62" t="s"/>
      <c r="C1996" s="62" t="s"/>
      <c r="D1996" s="62" t="s"/>
      <c r="E1996" s="62" t="s"/>
      <c r="F1996" s="66" t="s"/>
      <c r="G1996" s="66" t="s"/>
      <c r="H1996" s="66" t="s"/>
      <c r="I1996" s="62" t="s"/>
      <c r="J1996" s="62" t="s"/>
      <c r="K1996" s="99" t="s"/>
      <c r="L1996" s="66" t="s"/>
      <c r="M1996" s="66" t="s"/>
      <c r="N1996" s="572" t="s"/>
      <c r="O1996" s="62" t="s"/>
      <c r="P1996" s="62" t="s"/>
      <c r="Q1996" s="62" t="s"/>
      <c r="R1996" s="62" t="s"/>
    </row>
    <row r="1997" spans="1:18" ht="15.75" customHeight="true">
      <c r="A1997" s="107" t="s"/>
      <c r="B1997" s="62" t="s"/>
      <c r="C1997" s="62" t="s"/>
      <c r="D1997" s="62" t="s"/>
      <c r="E1997" s="62" t="s"/>
      <c r="F1997" s="66" t="s"/>
      <c r="G1997" s="66" t="s"/>
      <c r="H1997" s="66" t="s"/>
      <c r="I1997" s="62" t="s"/>
      <c r="J1997" s="62" t="s"/>
      <c r="K1997" s="99" t="s"/>
      <c r="L1997" s="66" t="s"/>
      <c r="M1997" s="66" t="s"/>
      <c r="N1997" s="572" t="s"/>
      <c r="O1997" s="62" t="s"/>
      <c r="P1997" s="62" t="s"/>
      <c r="Q1997" s="62" t="s"/>
      <c r="R1997" s="62" t="s"/>
    </row>
    <row r="1998" spans="1:18" ht="15.75" customHeight="true">
      <c r="A1998" s="107" t="s"/>
      <c r="B1998" s="62" t="s"/>
      <c r="C1998" s="62" t="s"/>
      <c r="D1998" s="62" t="s"/>
      <c r="E1998" s="62" t="s"/>
      <c r="F1998" s="66" t="s"/>
      <c r="G1998" s="66" t="s"/>
      <c r="H1998" s="66" t="s"/>
      <c r="I1998" s="62" t="s"/>
      <c r="J1998" s="62" t="s"/>
      <c r="K1998" s="99" t="s"/>
      <c r="L1998" s="66" t="s"/>
      <c r="M1998" s="66" t="s"/>
      <c r="N1998" s="572" t="s"/>
      <c r="O1998" s="62" t="s"/>
      <c r="P1998" s="62" t="s"/>
      <c r="Q1998" s="62" t="s"/>
      <c r="R1998" s="62" t="s"/>
    </row>
    <row r="1999" spans="1:18" ht="15.75" customHeight="true">
      <c r="A1999" s="107" t="s"/>
      <c r="B1999" s="62" t="s"/>
      <c r="C1999" s="62" t="s"/>
      <c r="D1999" s="62" t="s"/>
      <c r="E1999" s="62" t="s"/>
      <c r="F1999" s="66" t="s"/>
      <c r="G1999" s="66" t="s"/>
      <c r="H1999" s="66" t="s"/>
      <c r="I1999" s="62" t="s"/>
      <c r="J1999" s="62" t="s"/>
      <c r="K1999" s="99" t="s"/>
      <c r="L1999" s="66" t="s"/>
      <c r="M1999" s="66" t="s"/>
      <c r="N1999" s="572" t="s"/>
      <c r="O1999" s="62" t="s"/>
      <c r="P1999" s="62" t="s"/>
      <c r="Q1999" s="62" t="s"/>
      <c r="R1999" s="62" t="s"/>
    </row>
    <row r="2000" spans="1:18" ht="15.75" customHeight="true">
      <c r="A2000" s="107" t="s"/>
      <c r="B2000" s="62" t="s"/>
      <c r="C2000" s="62" t="s"/>
      <c r="D2000" s="62" t="s"/>
      <c r="E2000" s="62" t="s"/>
      <c r="F2000" s="66" t="s"/>
      <c r="G2000" s="66" t="s"/>
      <c r="H2000" s="66" t="s"/>
      <c r="I2000" s="62" t="s"/>
      <c r="J2000" s="62" t="s"/>
      <c r="K2000" s="99" t="s"/>
      <c r="L2000" s="66" t="s"/>
      <c r="M2000" s="66" t="s"/>
      <c r="N2000" s="572" t="s"/>
      <c r="O2000" s="62" t="s"/>
      <c r="P2000" s="62" t="s"/>
      <c r="Q2000" s="62" t="s"/>
      <c r="R2000" s="62" t="s"/>
    </row>
    <row r="2001" spans="1:18" ht="15.75" customHeight="true">
      <c r="A2001" s="107" t="s"/>
      <c r="B2001" s="62" t="s"/>
      <c r="C2001" s="62" t="s"/>
      <c r="D2001" s="62" t="s"/>
      <c r="E2001" s="62" t="s"/>
      <c r="F2001" s="66" t="s"/>
      <c r="G2001" s="66" t="s"/>
      <c r="H2001" s="66" t="s"/>
      <c r="I2001" s="62" t="s"/>
      <c r="J2001" s="62" t="s"/>
      <c r="K2001" s="99" t="s"/>
      <c r="L2001" s="66" t="s"/>
      <c r="M2001" s="66" t="s"/>
      <c r="N2001" s="572" t="s"/>
      <c r="O2001" s="62" t="s"/>
      <c r="P2001" s="62" t="s"/>
      <c r="Q2001" s="62" t="s"/>
      <c r="R2001" s="62" t="s"/>
    </row>
    <row r="2002" spans="1:18" ht="15.75" customHeight="true">
      <c r="A2002" s="107" t="s"/>
      <c r="B2002" s="62" t="s"/>
      <c r="C2002" s="62" t="s"/>
      <c r="D2002" s="62" t="s"/>
      <c r="E2002" s="62" t="s"/>
      <c r="F2002" s="66" t="s"/>
      <c r="G2002" s="66" t="s"/>
      <c r="H2002" s="66" t="s"/>
      <c r="I2002" s="62" t="s"/>
      <c r="J2002" s="62" t="s"/>
      <c r="K2002" s="99" t="s"/>
      <c r="L2002" s="66" t="s"/>
      <c r="M2002" s="66" t="s"/>
      <c r="N2002" s="572" t="s"/>
      <c r="O2002" s="62" t="s"/>
      <c r="P2002" s="62" t="s"/>
      <c r="Q2002" s="62" t="s"/>
      <c r="R2002" s="62" t="s"/>
    </row>
    <row r="2003" spans="1:18" ht="15.75" customHeight="true">
      <c r="A2003" s="107" t="s"/>
      <c r="B2003" s="62" t="s"/>
      <c r="C2003" s="62" t="s"/>
      <c r="D2003" s="62" t="s"/>
      <c r="E2003" s="62" t="s"/>
      <c r="F2003" s="66" t="s"/>
      <c r="G2003" s="66" t="s"/>
      <c r="H2003" s="66" t="s"/>
      <c r="I2003" s="62" t="s"/>
      <c r="J2003" s="62" t="s"/>
      <c r="K2003" s="99" t="s"/>
      <c r="L2003" s="66" t="s"/>
      <c r="M2003" s="66" t="s"/>
      <c r="N2003" s="572" t="s"/>
      <c r="O2003" s="62" t="s"/>
      <c r="P2003" s="62" t="s"/>
      <c r="Q2003" s="62" t="s"/>
      <c r="R2003" s="62" t="s"/>
    </row>
    <row r="2004" spans="1:18" ht="15.75" customHeight="true">
      <c r="A2004" s="107" t="s"/>
      <c r="B2004" s="62" t="s"/>
      <c r="C2004" s="62" t="s"/>
      <c r="D2004" s="62" t="s"/>
      <c r="E2004" s="62" t="s"/>
      <c r="F2004" s="66" t="s"/>
      <c r="G2004" s="66" t="s"/>
      <c r="H2004" s="66" t="s"/>
      <c r="I2004" s="62" t="s"/>
      <c r="J2004" s="62" t="s"/>
      <c r="K2004" s="99" t="s"/>
      <c r="L2004" s="66" t="s"/>
      <c r="M2004" s="66" t="s"/>
      <c r="N2004" s="572" t="s"/>
      <c r="O2004" s="62" t="s"/>
      <c r="P2004" s="62" t="s"/>
      <c r="Q2004" s="62" t="s"/>
      <c r="R2004" s="62" t="s"/>
    </row>
    <row r="2005" spans="1:18" ht="15.75" customHeight="true">
      <c r="A2005" s="107" t="s"/>
      <c r="B2005" s="62" t="s"/>
      <c r="C2005" s="62" t="s"/>
      <c r="D2005" s="62" t="s"/>
      <c r="E2005" s="62" t="s"/>
      <c r="F2005" s="66" t="s"/>
      <c r="G2005" s="66" t="s"/>
      <c r="H2005" s="66" t="s"/>
      <c r="I2005" s="62" t="s"/>
      <c r="J2005" s="62" t="s"/>
      <c r="K2005" s="99" t="s"/>
      <c r="L2005" s="66" t="s"/>
      <c r="M2005" s="66" t="s"/>
      <c r="N2005" s="572" t="s"/>
      <c r="O2005" s="62" t="s"/>
      <c r="P2005" s="62" t="s"/>
      <c r="Q2005" s="62" t="s"/>
      <c r="R2005" s="62" t="s"/>
    </row>
    <row r="2006" spans="1:18" ht="15.75" customHeight="true">
      <c r="A2006" s="107" t="s"/>
      <c r="B2006" s="62" t="s"/>
      <c r="C2006" s="62" t="s"/>
      <c r="D2006" s="62" t="s"/>
      <c r="E2006" s="62" t="s"/>
      <c r="F2006" s="66" t="s"/>
      <c r="G2006" s="66" t="s"/>
      <c r="H2006" s="66" t="s"/>
      <c r="I2006" s="62" t="s"/>
      <c r="J2006" s="62" t="s"/>
      <c r="K2006" s="99" t="s"/>
      <c r="L2006" s="66" t="s"/>
      <c r="M2006" s="66" t="s"/>
      <c r="N2006" s="572" t="s"/>
      <c r="O2006" s="62" t="s"/>
      <c r="P2006" s="62" t="s"/>
      <c r="Q2006" s="62" t="s"/>
      <c r="R2006" s="62" t="s"/>
    </row>
    <row r="2007" spans="1:18" ht="15.75" customHeight="true">
      <c r="A2007" s="107" t="s"/>
      <c r="B2007" s="62" t="s"/>
      <c r="C2007" s="62" t="s"/>
      <c r="D2007" s="62" t="s"/>
      <c r="E2007" s="62" t="s"/>
      <c r="F2007" s="66" t="s"/>
      <c r="G2007" s="66" t="s"/>
      <c r="H2007" s="66" t="s"/>
      <c r="I2007" s="62" t="s"/>
      <c r="J2007" s="62" t="s"/>
      <c r="K2007" s="99" t="s"/>
      <c r="L2007" s="66" t="s"/>
      <c r="M2007" s="66" t="s"/>
      <c r="N2007" s="572" t="s"/>
      <c r="O2007" s="62" t="s"/>
      <c r="P2007" s="62" t="s"/>
      <c r="Q2007" s="62" t="s"/>
      <c r="R2007" s="62" t="s"/>
    </row>
    <row r="2008" spans="1:18" ht="15.75" customHeight="true">
      <c r="A2008" s="107" t="s"/>
      <c r="B2008" s="62" t="s"/>
      <c r="C2008" s="62" t="s"/>
      <c r="D2008" s="62" t="s"/>
      <c r="E2008" s="62" t="s"/>
      <c r="F2008" s="66" t="s"/>
      <c r="G2008" s="66" t="s"/>
      <c r="H2008" s="66" t="s"/>
      <c r="I2008" s="62" t="s"/>
      <c r="J2008" s="62" t="s"/>
      <c r="K2008" s="99" t="s"/>
      <c r="L2008" s="66" t="s"/>
      <c r="M2008" s="66" t="s"/>
      <c r="N2008" s="572" t="s"/>
      <c r="O2008" s="62" t="s"/>
      <c r="P2008" s="62" t="s"/>
      <c r="Q2008" s="62" t="s"/>
      <c r="R2008" s="62" t="s"/>
    </row>
    <row r="2009" spans="1:18" ht="15.75" customHeight="true">
      <c r="A2009" s="107" t="s"/>
      <c r="B2009" s="62" t="s"/>
      <c r="C2009" s="62" t="s"/>
      <c r="D2009" s="62" t="s"/>
      <c r="E2009" s="62" t="s"/>
      <c r="F2009" s="66" t="s"/>
      <c r="G2009" s="66" t="s"/>
      <c r="H2009" s="66" t="s"/>
      <c r="I2009" s="62" t="s"/>
      <c r="J2009" s="62" t="s"/>
      <c r="K2009" s="99" t="s"/>
      <c r="L2009" s="66" t="s"/>
      <c r="M2009" s="66" t="s"/>
      <c r="N2009" s="572" t="s"/>
      <c r="O2009" s="62" t="s"/>
      <c r="P2009" s="62" t="s"/>
      <c r="Q2009" s="62" t="s"/>
      <c r="R2009" s="62" t="s"/>
    </row>
    <row r="2010" spans="1:18" ht="15.75" customHeight="true">
      <c r="A2010" s="107" t="s"/>
      <c r="B2010" s="62" t="s"/>
      <c r="C2010" s="62" t="s"/>
      <c r="D2010" s="62" t="s"/>
      <c r="E2010" s="62" t="s"/>
      <c r="F2010" s="66" t="s"/>
      <c r="G2010" s="66" t="s"/>
      <c r="H2010" s="66" t="s"/>
      <c r="I2010" s="62" t="s"/>
      <c r="J2010" s="62" t="s"/>
      <c r="K2010" s="99" t="s"/>
      <c r="L2010" s="66" t="s"/>
      <c r="M2010" s="66" t="s"/>
      <c r="N2010" s="572" t="s"/>
      <c r="O2010" s="62" t="s"/>
      <c r="P2010" s="62" t="s"/>
      <c r="Q2010" s="62" t="s"/>
      <c r="R2010" s="62" t="s"/>
    </row>
    <row r="2011" spans="1:18" ht="15.75" customHeight="true">
      <c r="A2011" s="107" t="s"/>
      <c r="B2011" s="62" t="s"/>
      <c r="C2011" s="62" t="s"/>
      <c r="D2011" s="62" t="s"/>
      <c r="E2011" s="62" t="s"/>
      <c r="F2011" s="66" t="s"/>
      <c r="G2011" s="66" t="s"/>
      <c r="H2011" s="66" t="s"/>
      <c r="I2011" s="62" t="s"/>
      <c r="J2011" s="62" t="s"/>
      <c r="K2011" s="99" t="s"/>
      <c r="L2011" s="66" t="s"/>
      <c r="M2011" s="66" t="s"/>
      <c r="N2011" s="572" t="s"/>
      <c r="O2011" s="62" t="s"/>
      <c r="P2011" s="62" t="s"/>
      <c r="Q2011" s="62" t="s"/>
      <c r="R2011" s="62" t="s"/>
    </row>
    <row r="2012" spans="1:18" ht="15.75" customHeight="true">
      <c r="A2012" s="107" t="s"/>
      <c r="B2012" s="62" t="s"/>
      <c r="C2012" s="62" t="s"/>
      <c r="D2012" s="62" t="s"/>
      <c r="E2012" s="62" t="s"/>
      <c r="F2012" s="66" t="s"/>
      <c r="G2012" s="66" t="s"/>
      <c r="H2012" s="66" t="s"/>
      <c r="I2012" s="62" t="s"/>
      <c r="J2012" s="62" t="s"/>
      <c r="K2012" s="99" t="s"/>
      <c r="L2012" s="66" t="s"/>
      <c r="M2012" s="66" t="s"/>
      <c r="N2012" s="572" t="s"/>
      <c r="O2012" s="62" t="s"/>
      <c r="P2012" s="62" t="s"/>
      <c r="Q2012" s="62" t="s"/>
      <c r="R2012" s="62" t="s"/>
    </row>
    <row r="2013" spans="1:18" ht="15.75" customHeight="true">
      <c r="A2013" s="107" t="s"/>
      <c r="B2013" s="62" t="s"/>
      <c r="C2013" s="62" t="s"/>
      <c r="D2013" s="62" t="s"/>
      <c r="E2013" s="62" t="s"/>
      <c r="F2013" s="66" t="s"/>
      <c r="G2013" s="66" t="s"/>
      <c r="H2013" s="66" t="s"/>
      <c r="I2013" s="62" t="s"/>
      <c r="J2013" s="62" t="s"/>
      <c r="K2013" s="99" t="s"/>
      <c r="L2013" s="66" t="s"/>
      <c r="M2013" s="66" t="s"/>
      <c r="N2013" s="572" t="s"/>
      <c r="O2013" s="62" t="s"/>
      <c r="P2013" s="62" t="s"/>
      <c r="Q2013" s="62" t="s"/>
      <c r="R2013" s="62" t="s"/>
    </row>
    <row r="2014" spans="1:18" ht="15.75" customHeight="true">
      <c r="A2014" s="107" t="s"/>
      <c r="B2014" s="62" t="s"/>
      <c r="C2014" s="62" t="s"/>
      <c r="D2014" s="62" t="s"/>
      <c r="E2014" s="62" t="s"/>
      <c r="F2014" s="66" t="s"/>
      <c r="G2014" s="66" t="s"/>
      <c r="H2014" s="66" t="s"/>
      <c r="I2014" s="62" t="s"/>
      <c r="J2014" s="62" t="s"/>
      <c r="K2014" s="99" t="s"/>
      <c r="L2014" s="66" t="s"/>
      <c r="M2014" s="66" t="s"/>
      <c r="N2014" s="572" t="s"/>
      <c r="O2014" s="62" t="s"/>
      <c r="P2014" s="62" t="s"/>
      <c r="Q2014" s="62" t="s"/>
      <c r="R2014" s="62" t="s"/>
    </row>
    <row r="2015" spans="1:18" ht="15.75" customHeight="true">
      <c r="A2015" s="107" t="s"/>
      <c r="B2015" s="62" t="s"/>
      <c r="C2015" s="62" t="s"/>
      <c r="D2015" s="62" t="s"/>
      <c r="E2015" s="62" t="s"/>
      <c r="F2015" s="66" t="s"/>
      <c r="G2015" s="66" t="s"/>
      <c r="H2015" s="66" t="s"/>
      <c r="I2015" s="62" t="s"/>
      <c r="J2015" s="62" t="s"/>
      <c r="K2015" s="99" t="s"/>
      <c r="L2015" s="66" t="s"/>
      <c r="M2015" s="66" t="s"/>
      <c r="N2015" s="572" t="s"/>
      <c r="O2015" s="62" t="s"/>
      <c r="P2015" s="62" t="s"/>
      <c r="Q2015" s="62" t="s"/>
      <c r="R2015" s="62" t="s"/>
    </row>
    <row r="2016" spans="1:18" ht="15.75" customHeight="true">
      <c r="A2016" s="107" t="s"/>
      <c r="B2016" s="62" t="s"/>
      <c r="C2016" s="62" t="s"/>
      <c r="D2016" s="62" t="s"/>
      <c r="E2016" s="62" t="s"/>
      <c r="F2016" s="66" t="s"/>
      <c r="G2016" s="66" t="s"/>
      <c r="H2016" s="66" t="s"/>
      <c r="I2016" s="62" t="s"/>
      <c r="J2016" s="62" t="s"/>
      <c r="K2016" s="99" t="s"/>
      <c r="L2016" s="66" t="s"/>
      <c r="M2016" s="66" t="s"/>
      <c r="N2016" s="572" t="s"/>
      <c r="O2016" s="62" t="s"/>
      <c r="P2016" s="62" t="s"/>
      <c r="Q2016" s="62" t="s"/>
      <c r="R2016" s="62" t="s"/>
    </row>
    <row r="2017" spans="1:18" ht="15.75" customHeight="true">
      <c r="A2017" s="107" t="s"/>
      <c r="B2017" s="62" t="s"/>
      <c r="C2017" s="62" t="s"/>
      <c r="D2017" s="62" t="s"/>
      <c r="E2017" s="62" t="s"/>
      <c r="F2017" s="66" t="s"/>
      <c r="G2017" s="66" t="s"/>
      <c r="H2017" s="66" t="s"/>
      <c r="I2017" s="62" t="s"/>
      <c r="J2017" s="62" t="s"/>
      <c r="K2017" s="99" t="s"/>
      <c r="L2017" s="66" t="s"/>
      <c r="M2017" s="66" t="s"/>
      <c r="N2017" s="572" t="s"/>
      <c r="O2017" s="62" t="s"/>
      <c r="P2017" s="62" t="s"/>
      <c r="Q2017" s="62" t="s"/>
      <c r="R2017" s="62" t="s"/>
    </row>
    <row r="2018" spans="1:18" ht="15.75" customHeight="true">
      <c r="A2018" s="107" t="s"/>
      <c r="B2018" s="62" t="s"/>
      <c r="C2018" s="62" t="s"/>
      <c r="D2018" s="62" t="s"/>
      <c r="E2018" s="62" t="s"/>
      <c r="F2018" s="66" t="s"/>
      <c r="G2018" s="66" t="s"/>
      <c r="H2018" s="66" t="s"/>
      <c r="I2018" s="62" t="s"/>
      <c r="J2018" s="62" t="s"/>
      <c r="K2018" s="99" t="s"/>
      <c r="L2018" s="66" t="s"/>
      <c r="M2018" s="66" t="s"/>
      <c r="N2018" s="572" t="s"/>
      <c r="O2018" s="62" t="s"/>
      <c r="P2018" s="62" t="s"/>
      <c r="Q2018" s="62" t="s"/>
      <c r="R2018" s="62" t="s"/>
    </row>
    <row r="2019" spans="1:18" ht="15.75" customHeight="true">
      <c r="A2019" s="107" t="s"/>
      <c r="B2019" s="62" t="s"/>
      <c r="C2019" s="62" t="s"/>
      <c r="D2019" s="62" t="s"/>
      <c r="E2019" s="62" t="s"/>
      <c r="F2019" s="66" t="s"/>
      <c r="G2019" s="66" t="s"/>
      <c r="H2019" s="66" t="s"/>
      <c r="I2019" s="62" t="s"/>
      <c r="J2019" s="62" t="s"/>
      <c r="K2019" s="99" t="s"/>
      <c r="L2019" s="66" t="s"/>
      <c r="M2019" s="66" t="s"/>
      <c r="N2019" s="572" t="s"/>
      <c r="O2019" s="62" t="s"/>
      <c r="P2019" s="62" t="s"/>
      <c r="Q2019" s="62" t="s"/>
      <c r="R2019" s="62" t="s"/>
    </row>
    <row r="2020" spans="1:18" ht="15.75" customHeight="true">
      <c r="A2020" s="107" t="s"/>
      <c r="B2020" s="62" t="s"/>
      <c r="C2020" s="62" t="s"/>
      <c r="D2020" s="62" t="s"/>
      <c r="E2020" s="62" t="s"/>
      <c r="F2020" s="66" t="s"/>
      <c r="G2020" s="66" t="s"/>
      <c r="H2020" s="66" t="s"/>
      <c r="I2020" s="62" t="s"/>
      <c r="J2020" s="62" t="s"/>
      <c r="K2020" s="99" t="s"/>
      <c r="L2020" s="66" t="s"/>
      <c r="M2020" s="66" t="s"/>
      <c r="N2020" s="572" t="s"/>
      <c r="O2020" s="62" t="s"/>
      <c r="P2020" s="62" t="s"/>
      <c r="Q2020" s="62" t="s"/>
      <c r="R2020" s="62" t="s"/>
    </row>
    <row r="2021" spans="1:18" ht="15.75" customHeight="true">
      <c r="A2021" s="107" t="s"/>
      <c r="B2021" s="62" t="s"/>
      <c r="C2021" s="62" t="s"/>
      <c r="D2021" s="62" t="s"/>
      <c r="E2021" s="62" t="s"/>
      <c r="F2021" s="66" t="s"/>
      <c r="G2021" s="66" t="s"/>
      <c r="H2021" s="66" t="s"/>
      <c r="I2021" s="62" t="s"/>
      <c r="J2021" s="62" t="s"/>
      <c r="K2021" s="99" t="s"/>
      <c r="L2021" s="66" t="s"/>
      <c r="M2021" s="66" t="s"/>
      <c r="N2021" s="572" t="s"/>
      <c r="O2021" s="62" t="s"/>
      <c r="P2021" s="62" t="s"/>
      <c r="Q2021" s="62" t="s"/>
      <c r="R2021" s="62" t="s"/>
    </row>
    <row r="2022" spans="1:18" ht="15.75" customHeight="true">
      <c r="A2022" s="107" t="s"/>
      <c r="B2022" s="62" t="s"/>
      <c r="C2022" s="62" t="s"/>
      <c r="D2022" s="62" t="s"/>
      <c r="E2022" s="62" t="s"/>
      <c r="F2022" s="66" t="s"/>
      <c r="G2022" s="66" t="s"/>
      <c r="H2022" s="66" t="s"/>
      <c r="I2022" s="62" t="s"/>
      <c r="J2022" s="62" t="s"/>
      <c r="K2022" s="99" t="s"/>
      <c r="L2022" s="66" t="s"/>
      <c r="M2022" s="66" t="s"/>
      <c r="N2022" s="572" t="s"/>
      <c r="O2022" s="62" t="s"/>
      <c r="P2022" s="62" t="s"/>
      <c r="Q2022" s="62" t="s"/>
      <c r="R2022" s="62" t="s"/>
    </row>
    <row r="2023" spans="1:18" ht="15.75" customHeight="true">
      <c r="A2023" s="107" t="s"/>
      <c r="B2023" s="62" t="s"/>
      <c r="C2023" s="62" t="s"/>
      <c r="D2023" s="62" t="s"/>
      <c r="E2023" s="62" t="s"/>
      <c r="F2023" s="66" t="s"/>
      <c r="G2023" s="66" t="s"/>
      <c r="H2023" s="66" t="s"/>
      <c r="I2023" s="62" t="s"/>
      <c r="J2023" s="62" t="s"/>
      <c r="K2023" s="99" t="s"/>
      <c r="L2023" s="66" t="s"/>
      <c r="M2023" s="66" t="s"/>
      <c r="N2023" s="572" t="s"/>
      <c r="O2023" s="62" t="s"/>
      <c r="P2023" s="62" t="s"/>
      <c r="Q2023" s="62" t="s"/>
      <c r="R2023" s="62" t="s"/>
    </row>
    <row r="2024" spans="1:18" ht="15.75" customHeight="true">
      <c r="A2024" s="107" t="s"/>
      <c r="B2024" s="62" t="s"/>
      <c r="C2024" s="62" t="s"/>
      <c r="D2024" s="62" t="s"/>
      <c r="E2024" s="62" t="s"/>
      <c r="F2024" s="66" t="s"/>
      <c r="G2024" s="66" t="s"/>
      <c r="H2024" s="66" t="s"/>
      <c r="I2024" s="62" t="s"/>
      <c r="J2024" s="62" t="s"/>
      <c r="K2024" s="99" t="s"/>
      <c r="L2024" s="66" t="s"/>
      <c r="M2024" s="66" t="s"/>
      <c r="N2024" s="572" t="s"/>
      <c r="O2024" s="62" t="s"/>
      <c r="P2024" s="62" t="s"/>
      <c r="Q2024" s="62" t="s"/>
      <c r="R2024" s="62" t="s"/>
    </row>
    <row r="2025" spans="1:18" ht="15.75" customHeight="true">
      <c r="A2025" s="107" t="s"/>
      <c r="B2025" s="62" t="s"/>
      <c r="C2025" s="62" t="s"/>
      <c r="D2025" s="62" t="s"/>
      <c r="E2025" s="62" t="s"/>
      <c r="F2025" s="66" t="s"/>
      <c r="G2025" s="66" t="s"/>
      <c r="H2025" s="66" t="s"/>
      <c r="I2025" s="62" t="s"/>
      <c r="J2025" s="62" t="s"/>
      <c r="K2025" s="99" t="s"/>
      <c r="L2025" s="66" t="s"/>
      <c r="M2025" s="66" t="s"/>
      <c r="N2025" s="572" t="s"/>
      <c r="O2025" s="62" t="s"/>
      <c r="P2025" s="62" t="s"/>
      <c r="Q2025" s="62" t="s"/>
      <c r="R2025" s="62" t="s"/>
    </row>
    <row r="2026" spans="1:18" ht="15.75" customHeight="true">
      <c r="A2026" s="107" t="s"/>
      <c r="B2026" s="62" t="s"/>
      <c r="C2026" s="62" t="s"/>
      <c r="D2026" s="62" t="s"/>
      <c r="E2026" s="62" t="s"/>
      <c r="F2026" s="66" t="s"/>
      <c r="G2026" s="66" t="s"/>
      <c r="H2026" s="66" t="s"/>
      <c r="I2026" s="62" t="s"/>
      <c r="J2026" s="62" t="s"/>
      <c r="K2026" s="99" t="s"/>
      <c r="L2026" s="66" t="s"/>
      <c r="M2026" s="66" t="s"/>
      <c r="N2026" s="572" t="s"/>
      <c r="O2026" s="62" t="s"/>
      <c r="P2026" s="62" t="s"/>
      <c r="Q2026" s="62" t="s"/>
      <c r="R2026" s="62" t="s"/>
    </row>
    <row r="2027" spans="1:18" ht="15.75" customHeight="true">
      <c r="A2027" s="107" t="s"/>
      <c r="B2027" s="62" t="s"/>
      <c r="C2027" s="62" t="s"/>
      <c r="D2027" s="62" t="s"/>
      <c r="E2027" s="62" t="s"/>
      <c r="F2027" s="66" t="s"/>
      <c r="G2027" s="66" t="s"/>
      <c r="H2027" s="66" t="s"/>
      <c r="I2027" s="62" t="s"/>
      <c r="J2027" s="62" t="s"/>
      <c r="K2027" s="99" t="s"/>
      <c r="L2027" s="66" t="s"/>
      <c r="M2027" s="66" t="s"/>
      <c r="N2027" s="572" t="s"/>
      <c r="O2027" s="62" t="s"/>
      <c r="P2027" s="62" t="s"/>
      <c r="Q2027" s="62" t="s"/>
      <c r="R2027" s="62" t="s"/>
    </row>
    <row r="2028" spans="1:18" ht="15.75" customHeight="true">
      <c r="A2028" s="107" t="s"/>
      <c r="B2028" s="62" t="s"/>
      <c r="C2028" s="62" t="s"/>
      <c r="D2028" s="62" t="s"/>
      <c r="E2028" s="62" t="s"/>
      <c r="F2028" s="66" t="s"/>
      <c r="G2028" s="66" t="s"/>
      <c r="H2028" s="66" t="s"/>
      <c r="I2028" s="62" t="s"/>
      <c r="J2028" s="62" t="s"/>
      <c r="K2028" s="99" t="s"/>
      <c r="L2028" s="66" t="s"/>
      <c r="M2028" s="66" t="s"/>
      <c r="N2028" s="572" t="s"/>
      <c r="O2028" s="62" t="s"/>
      <c r="P2028" s="62" t="s"/>
      <c r="Q2028" s="62" t="s"/>
      <c r="R2028" s="62" t="s"/>
    </row>
    <row r="2029" spans="1:18" ht="15.75" customHeight="true">
      <c r="A2029" s="107" t="s"/>
      <c r="B2029" s="62" t="s"/>
      <c r="C2029" s="62" t="s"/>
      <c r="D2029" s="62" t="s"/>
      <c r="E2029" s="62" t="s"/>
      <c r="F2029" s="66" t="s"/>
      <c r="G2029" s="66" t="s"/>
      <c r="H2029" s="66" t="s"/>
      <c r="I2029" s="62" t="s"/>
      <c r="J2029" s="62" t="s"/>
      <c r="K2029" s="99" t="s"/>
      <c r="L2029" s="66" t="s"/>
      <c r="M2029" s="66" t="s"/>
      <c r="N2029" s="572" t="s"/>
      <c r="O2029" s="62" t="s"/>
      <c r="P2029" s="62" t="s"/>
      <c r="Q2029" s="62" t="s"/>
      <c r="R2029" s="62" t="s"/>
    </row>
    <row r="2030" spans="1:18" ht="15.75" customHeight="true">
      <c r="A2030" s="107" t="s"/>
      <c r="B2030" s="62" t="s"/>
      <c r="C2030" s="62" t="s"/>
      <c r="D2030" s="62" t="s"/>
      <c r="E2030" s="62" t="s"/>
      <c r="F2030" s="66" t="s"/>
      <c r="G2030" s="66" t="s"/>
      <c r="H2030" s="66" t="s"/>
      <c r="I2030" s="62" t="s"/>
      <c r="J2030" s="62" t="s"/>
      <c r="K2030" s="99" t="s"/>
      <c r="L2030" s="66" t="s"/>
      <c r="M2030" s="66" t="s"/>
      <c r="N2030" s="572" t="s"/>
      <c r="O2030" s="62" t="s"/>
      <c r="P2030" s="62" t="s"/>
      <c r="Q2030" s="62" t="s"/>
      <c r="R2030" s="62" t="s"/>
    </row>
    <row r="2031" spans="1:18" ht="15.75" customHeight="true">
      <c r="A2031" s="107" t="s"/>
      <c r="B2031" s="62" t="s"/>
      <c r="C2031" s="62" t="s"/>
      <c r="D2031" s="62" t="s"/>
      <c r="E2031" s="62" t="s"/>
      <c r="F2031" s="66" t="s"/>
      <c r="G2031" s="66" t="s"/>
      <c r="H2031" s="66" t="s"/>
      <c r="I2031" s="62" t="s"/>
      <c r="J2031" s="62" t="s"/>
      <c r="K2031" s="99" t="s"/>
      <c r="L2031" s="66" t="s"/>
      <c r="M2031" s="66" t="s"/>
      <c r="N2031" s="572" t="s"/>
      <c r="O2031" s="62" t="s"/>
      <c r="P2031" s="62" t="s"/>
      <c r="Q2031" s="62" t="s"/>
      <c r="R2031" s="62" t="s"/>
    </row>
    <row r="2032" spans="1:18" ht="15.75" customHeight="true">
      <c r="A2032" s="107" t="s"/>
      <c r="B2032" s="62" t="s"/>
      <c r="C2032" s="62" t="s"/>
      <c r="D2032" s="62" t="s"/>
      <c r="E2032" s="62" t="s"/>
      <c r="F2032" s="66" t="s"/>
      <c r="G2032" s="66" t="s"/>
      <c r="H2032" s="66" t="s"/>
      <c r="I2032" s="62" t="s"/>
      <c r="J2032" s="62" t="s"/>
      <c r="K2032" s="99" t="s"/>
      <c r="L2032" s="66" t="s"/>
      <c r="M2032" s="66" t="s"/>
      <c r="N2032" s="572" t="s"/>
      <c r="O2032" s="62" t="s"/>
      <c r="P2032" s="62" t="s"/>
      <c r="Q2032" s="62" t="s"/>
      <c r="R2032" s="62" t="s"/>
    </row>
    <row r="2033" spans="1:18" ht="15.75" customHeight="true">
      <c r="A2033" s="107" t="s"/>
      <c r="B2033" s="62" t="s"/>
      <c r="C2033" s="62" t="s"/>
      <c r="D2033" s="62" t="s"/>
      <c r="E2033" s="62" t="s"/>
      <c r="F2033" s="66" t="s"/>
      <c r="G2033" s="66" t="s"/>
      <c r="H2033" s="66" t="s"/>
      <c r="I2033" s="62" t="s"/>
      <c r="J2033" s="62" t="s"/>
      <c r="K2033" s="99" t="s"/>
      <c r="L2033" s="66" t="s"/>
      <c r="M2033" s="66" t="s"/>
      <c r="N2033" s="572" t="s"/>
      <c r="O2033" s="62" t="s"/>
      <c r="P2033" s="62" t="s"/>
      <c r="Q2033" s="62" t="s"/>
      <c r="R2033" s="62" t="s"/>
    </row>
    <row r="2034" spans="1:18" ht="15.75" customHeight="true">
      <c r="A2034" s="107" t="s"/>
      <c r="B2034" s="62" t="s"/>
      <c r="C2034" s="62" t="s"/>
      <c r="D2034" s="62" t="s"/>
      <c r="E2034" s="62" t="s"/>
      <c r="F2034" s="66" t="s"/>
      <c r="G2034" s="66" t="s"/>
      <c r="H2034" s="66" t="s"/>
      <c r="I2034" s="62" t="s"/>
      <c r="J2034" s="62" t="s"/>
      <c r="K2034" s="99" t="s"/>
      <c r="L2034" s="66" t="s"/>
      <c r="M2034" s="66" t="s"/>
      <c r="N2034" s="572" t="s"/>
      <c r="O2034" s="62" t="s"/>
      <c r="P2034" s="62" t="s"/>
      <c r="Q2034" s="62" t="s"/>
      <c r="R2034" s="62" t="s"/>
    </row>
    <row r="2035" spans="1:18" ht="15.75" customHeight="true">
      <c r="A2035" s="107" t="s"/>
      <c r="B2035" s="62" t="s"/>
      <c r="C2035" s="62" t="s"/>
      <c r="D2035" s="62" t="s"/>
      <c r="E2035" s="62" t="s"/>
      <c r="F2035" s="66" t="s"/>
      <c r="G2035" s="66" t="s"/>
      <c r="H2035" s="66" t="s"/>
      <c r="I2035" s="62" t="s"/>
      <c r="J2035" s="62" t="s"/>
      <c r="K2035" s="99" t="s"/>
      <c r="L2035" s="66" t="s"/>
      <c r="M2035" s="66" t="s"/>
      <c r="N2035" s="572" t="s"/>
      <c r="O2035" s="62" t="s"/>
      <c r="P2035" s="62" t="s"/>
      <c r="Q2035" s="62" t="s"/>
      <c r="R2035" s="62" t="s"/>
    </row>
    <row r="2036" spans="1:18" ht="15.75" customHeight="true">
      <c r="A2036" s="107" t="s"/>
      <c r="B2036" s="62" t="s"/>
      <c r="C2036" s="62" t="s"/>
      <c r="D2036" s="62" t="s"/>
      <c r="E2036" s="62" t="s"/>
      <c r="F2036" s="66" t="s"/>
      <c r="G2036" s="66" t="s"/>
      <c r="H2036" s="66" t="s"/>
      <c r="I2036" s="62" t="s"/>
      <c r="J2036" s="62" t="s"/>
      <c r="K2036" s="99" t="s"/>
      <c r="L2036" s="66" t="s"/>
      <c r="M2036" s="66" t="s"/>
      <c r="N2036" s="572" t="s"/>
      <c r="O2036" s="62" t="s"/>
      <c r="P2036" s="62" t="s"/>
      <c r="Q2036" s="62" t="s"/>
      <c r="R2036" s="62" t="s"/>
    </row>
    <row r="2037" spans="1:18" ht="15.75" customHeight="true">
      <c r="A2037" s="107" t="s"/>
      <c r="B2037" s="62" t="s"/>
      <c r="C2037" s="62" t="s"/>
      <c r="D2037" s="62" t="s"/>
      <c r="E2037" s="62" t="s"/>
      <c r="F2037" s="66" t="s"/>
      <c r="G2037" s="66" t="s"/>
      <c r="H2037" s="66" t="s"/>
      <c r="I2037" s="62" t="s"/>
      <c r="J2037" s="62" t="s"/>
      <c r="K2037" s="99" t="s"/>
      <c r="L2037" s="66" t="s"/>
      <c r="M2037" s="66" t="s"/>
      <c r="N2037" s="572" t="s"/>
      <c r="O2037" s="62" t="s"/>
      <c r="P2037" s="62" t="s"/>
      <c r="Q2037" s="62" t="s"/>
      <c r="R2037" s="62" t="s"/>
    </row>
    <row r="2038" spans="1:18" ht="15.75" customHeight="true">
      <c r="A2038" s="107" t="s"/>
      <c r="B2038" s="62" t="s"/>
      <c r="C2038" s="62" t="s"/>
      <c r="D2038" s="62" t="s"/>
      <c r="E2038" s="62" t="s"/>
      <c r="F2038" s="66" t="s"/>
      <c r="G2038" s="66" t="s"/>
      <c r="H2038" s="66" t="s"/>
      <c r="I2038" s="62" t="s"/>
      <c r="J2038" s="62" t="s"/>
      <c r="K2038" s="99" t="s"/>
      <c r="L2038" s="66" t="s"/>
      <c r="M2038" s="66" t="s"/>
      <c r="N2038" s="572" t="s"/>
      <c r="O2038" s="62" t="s"/>
      <c r="P2038" s="62" t="s"/>
      <c r="Q2038" s="62" t="s"/>
      <c r="R2038" s="62" t="s"/>
    </row>
    <row r="2039" spans="1:18" ht="15.75" customHeight="true">
      <c r="A2039" s="107" t="s"/>
      <c r="B2039" s="62" t="s"/>
      <c r="C2039" s="62" t="s"/>
      <c r="D2039" s="62" t="s"/>
      <c r="E2039" s="62" t="s"/>
      <c r="F2039" s="66" t="s"/>
      <c r="G2039" s="66" t="s"/>
      <c r="H2039" s="66" t="s"/>
      <c r="I2039" s="62" t="s"/>
      <c r="J2039" s="62" t="s"/>
      <c r="K2039" s="99" t="s"/>
      <c r="L2039" s="66" t="s"/>
      <c r="M2039" s="66" t="s"/>
      <c r="N2039" s="572" t="s"/>
      <c r="O2039" s="62" t="s"/>
      <c r="P2039" s="62" t="s"/>
      <c r="Q2039" s="62" t="s"/>
      <c r="R2039" s="62" t="s"/>
    </row>
    <row r="2040" spans="1:18" ht="15.75" customHeight="true">
      <c r="A2040" s="107" t="s"/>
      <c r="B2040" s="62" t="s"/>
      <c r="C2040" s="62" t="s"/>
      <c r="D2040" s="62" t="s"/>
      <c r="E2040" s="62" t="s"/>
      <c r="F2040" s="66" t="s"/>
      <c r="G2040" s="66" t="s"/>
      <c r="H2040" s="66" t="s"/>
      <c r="I2040" s="62" t="s"/>
      <c r="J2040" s="62" t="s"/>
      <c r="K2040" s="99" t="s"/>
      <c r="L2040" s="66" t="s"/>
      <c r="M2040" s="66" t="s"/>
      <c r="N2040" s="572" t="s"/>
      <c r="O2040" s="62" t="s"/>
      <c r="P2040" s="62" t="s"/>
      <c r="Q2040" s="62" t="s"/>
      <c r="R2040" s="62" t="s"/>
    </row>
    <row r="2041" spans="1:18" ht="15.75" customHeight="true">
      <c r="A2041" s="107" t="s"/>
      <c r="B2041" s="62" t="s"/>
      <c r="C2041" s="62" t="s"/>
      <c r="D2041" s="62" t="s"/>
      <c r="E2041" s="62" t="s"/>
      <c r="F2041" s="66" t="s"/>
      <c r="G2041" s="66" t="s"/>
      <c r="H2041" s="66" t="s"/>
      <c r="I2041" s="62" t="s"/>
      <c r="J2041" s="62" t="s"/>
      <c r="K2041" s="99" t="s"/>
      <c r="L2041" s="66" t="s"/>
      <c r="M2041" s="66" t="s"/>
      <c r="N2041" s="572" t="s"/>
      <c r="O2041" s="62" t="s"/>
      <c r="P2041" s="62" t="s"/>
      <c r="Q2041" s="62" t="s"/>
      <c r="R2041" s="62" t="s"/>
    </row>
    <row r="2042" spans="1:18" ht="15.75" customHeight="true">
      <c r="A2042" s="107" t="s"/>
      <c r="B2042" s="62" t="s"/>
      <c r="C2042" s="62" t="s"/>
      <c r="D2042" s="62" t="s"/>
      <c r="E2042" s="62" t="s"/>
      <c r="F2042" s="66" t="s"/>
      <c r="G2042" s="66" t="s"/>
      <c r="H2042" s="66" t="s"/>
      <c r="I2042" s="62" t="s"/>
      <c r="J2042" s="62" t="s"/>
      <c r="K2042" s="99" t="s"/>
      <c r="L2042" s="66" t="s"/>
      <c r="M2042" s="66" t="s"/>
      <c r="N2042" s="572" t="s"/>
      <c r="O2042" s="62" t="s"/>
      <c r="P2042" s="62" t="s"/>
      <c r="Q2042" s="62" t="s"/>
      <c r="R2042" s="62" t="s"/>
    </row>
    <row r="2043" spans="1:18" ht="15.75" customHeight="true">
      <c r="A2043" s="107" t="s"/>
      <c r="B2043" s="62" t="s"/>
      <c r="C2043" s="62" t="s"/>
      <c r="D2043" s="62" t="s"/>
      <c r="E2043" s="62" t="s"/>
      <c r="F2043" s="66" t="s"/>
      <c r="G2043" s="66" t="s"/>
      <c r="H2043" s="66" t="s"/>
      <c r="I2043" s="62" t="s"/>
      <c r="J2043" s="62" t="s"/>
      <c r="K2043" s="99" t="s"/>
      <c r="L2043" s="66" t="s"/>
      <c r="M2043" s="66" t="s"/>
      <c r="N2043" s="572" t="s"/>
      <c r="O2043" s="62" t="s"/>
      <c r="P2043" s="62" t="s"/>
      <c r="Q2043" s="62" t="s"/>
      <c r="R2043" s="62" t="s"/>
    </row>
    <row r="2044" spans="1:18" ht="15.75" customHeight="true">
      <c r="A2044" s="107" t="s"/>
      <c r="B2044" s="62" t="s"/>
      <c r="C2044" s="62" t="s"/>
      <c r="D2044" s="62" t="s"/>
      <c r="E2044" s="62" t="s"/>
      <c r="F2044" s="66" t="s"/>
      <c r="G2044" s="66" t="s"/>
      <c r="H2044" s="66" t="s"/>
      <c r="I2044" s="62" t="s"/>
      <c r="J2044" s="62" t="s"/>
      <c r="K2044" s="99" t="s"/>
      <c r="L2044" s="66" t="s"/>
      <c r="M2044" s="66" t="s"/>
      <c r="N2044" s="572" t="s"/>
      <c r="O2044" s="62" t="s"/>
      <c r="P2044" s="62" t="s"/>
      <c r="Q2044" s="62" t="s"/>
      <c r="R2044" s="62" t="s"/>
    </row>
    <row r="2045" spans="1:18" ht="15.75" customHeight="true">
      <c r="A2045" s="107" t="s"/>
      <c r="B2045" s="62" t="s"/>
      <c r="C2045" s="62" t="s"/>
      <c r="D2045" s="62" t="s"/>
      <c r="E2045" s="62" t="s"/>
      <c r="F2045" s="66" t="s"/>
      <c r="G2045" s="66" t="s"/>
      <c r="H2045" s="66" t="s"/>
      <c r="I2045" s="62" t="s"/>
      <c r="J2045" s="62" t="s"/>
      <c r="K2045" s="99" t="s"/>
      <c r="L2045" s="66" t="s"/>
      <c r="M2045" s="66" t="s"/>
      <c r="N2045" s="572" t="s"/>
      <c r="O2045" s="62" t="s"/>
      <c r="P2045" s="62" t="s"/>
      <c r="Q2045" s="62" t="s"/>
      <c r="R2045" s="62" t="s"/>
    </row>
    <row r="2046" spans="1:18" ht="15.75" customHeight="true">
      <c r="A2046" s="107" t="s"/>
      <c r="B2046" s="62" t="s"/>
      <c r="C2046" s="62" t="s"/>
      <c r="D2046" s="62" t="s"/>
      <c r="E2046" s="62" t="s"/>
      <c r="F2046" s="66" t="s"/>
      <c r="G2046" s="66" t="s"/>
      <c r="H2046" s="66" t="s"/>
      <c r="I2046" s="62" t="s"/>
      <c r="J2046" s="62" t="s"/>
      <c r="K2046" s="99" t="s"/>
      <c r="L2046" s="66" t="s"/>
      <c r="M2046" s="66" t="s"/>
      <c r="N2046" s="572" t="s"/>
      <c r="O2046" s="62" t="s"/>
      <c r="P2046" s="62" t="s"/>
      <c r="Q2046" s="62" t="s"/>
      <c r="R2046" s="62" t="s"/>
    </row>
    <row r="2047" spans="1:18" ht="15.75" customHeight="true">
      <c r="A2047" s="107" t="s"/>
      <c r="B2047" s="62" t="s"/>
      <c r="C2047" s="62" t="s"/>
      <c r="D2047" s="62" t="s"/>
      <c r="E2047" s="62" t="s"/>
      <c r="F2047" s="66" t="s"/>
      <c r="G2047" s="66" t="s"/>
      <c r="H2047" s="66" t="s"/>
      <c r="I2047" s="62" t="s"/>
      <c r="J2047" s="62" t="s"/>
      <c r="K2047" s="99" t="s"/>
      <c r="L2047" s="66" t="s"/>
      <c r="M2047" s="66" t="s"/>
      <c r="N2047" s="572" t="s"/>
      <c r="O2047" s="62" t="s"/>
      <c r="P2047" s="62" t="s"/>
      <c r="Q2047" s="62" t="s"/>
      <c r="R2047" s="62" t="s"/>
    </row>
    <row r="2048" spans="1:18" ht="15.75" customHeight="true">
      <c r="A2048" s="107" t="s"/>
      <c r="B2048" s="62" t="s"/>
      <c r="C2048" s="62" t="s"/>
      <c r="D2048" s="62" t="s"/>
      <c r="E2048" s="62" t="s"/>
      <c r="F2048" s="66" t="s"/>
      <c r="G2048" s="66" t="s"/>
      <c r="H2048" s="66" t="s"/>
      <c r="I2048" s="62" t="s"/>
      <c r="J2048" s="62" t="s"/>
      <c r="K2048" s="99" t="s"/>
      <c r="L2048" s="66" t="s"/>
      <c r="M2048" s="66" t="s"/>
      <c r="N2048" s="572" t="s"/>
      <c r="O2048" s="62" t="s"/>
      <c r="P2048" s="62" t="s"/>
      <c r="Q2048" s="62" t="s"/>
      <c r="R2048" s="62" t="s"/>
    </row>
    <row r="2049" spans="1:18" ht="15.75" customHeight="true">
      <c r="A2049" s="107" t="s"/>
      <c r="B2049" s="62" t="s"/>
      <c r="C2049" s="62" t="s"/>
      <c r="D2049" s="62" t="s"/>
      <c r="E2049" s="62" t="s"/>
      <c r="F2049" s="66" t="s"/>
      <c r="G2049" s="66" t="s"/>
      <c r="H2049" s="66" t="s"/>
      <c r="I2049" s="62" t="s"/>
      <c r="J2049" s="62" t="s"/>
      <c r="K2049" s="99" t="s"/>
      <c r="L2049" s="66" t="s"/>
      <c r="M2049" s="66" t="s"/>
      <c r="N2049" s="572" t="s"/>
      <c r="O2049" s="62" t="s"/>
      <c r="P2049" s="62" t="s"/>
      <c r="Q2049" s="62" t="s"/>
      <c r="R2049" s="62" t="s"/>
    </row>
    <row r="2050" spans="1:18" ht="15.75" customHeight="true">
      <c r="A2050" s="107" t="s"/>
      <c r="B2050" s="62" t="s"/>
      <c r="C2050" s="62" t="s"/>
      <c r="D2050" s="62" t="s"/>
      <c r="E2050" s="62" t="s"/>
      <c r="F2050" s="66" t="s"/>
      <c r="G2050" s="66" t="s"/>
      <c r="H2050" s="66" t="s"/>
      <c r="I2050" s="62" t="s"/>
      <c r="J2050" s="62" t="s"/>
      <c r="K2050" s="99" t="s"/>
      <c r="L2050" s="66" t="s"/>
      <c r="M2050" s="66" t="s"/>
      <c r="N2050" s="572" t="s"/>
      <c r="O2050" s="62" t="s"/>
      <c r="P2050" s="62" t="s"/>
      <c r="Q2050" s="62" t="s"/>
      <c r="R2050" s="62" t="s"/>
    </row>
    <row r="2051" spans="1:18" ht="15.75" customHeight="true">
      <c r="A2051" s="107" t="s"/>
      <c r="B2051" s="62" t="s"/>
      <c r="C2051" s="62" t="s"/>
      <c r="D2051" s="62" t="s"/>
      <c r="E2051" s="62" t="s"/>
      <c r="F2051" s="66" t="s"/>
      <c r="G2051" s="66" t="s"/>
      <c r="H2051" s="66" t="s"/>
      <c r="I2051" s="62" t="s"/>
      <c r="J2051" s="62" t="s"/>
      <c r="K2051" s="99" t="s"/>
      <c r="L2051" s="66" t="s"/>
      <c r="M2051" s="66" t="s"/>
      <c r="N2051" s="572" t="s"/>
      <c r="O2051" s="62" t="s"/>
      <c r="P2051" s="62" t="s"/>
      <c r="Q2051" s="62" t="s"/>
      <c r="R2051" s="62" t="s"/>
    </row>
    <row r="2052" spans="1:18" ht="15.75" customHeight="true">
      <c r="A2052" s="107" t="s"/>
      <c r="B2052" s="62" t="s"/>
      <c r="C2052" s="62" t="s"/>
      <c r="D2052" s="62" t="s"/>
      <c r="E2052" s="62" t="s"/>
      <c r="F2052" s="66" t="s"/>
      <c r="G2052" s="66" t="s"/>
      <c r="H2052" s="66" t="s"/>
      <c r="I2052" s="62" t="s"/>
      <c r="J2052" s="62" t="s"/>
      <c r="K2052" s="99" t="s"/>
      <c r="L2052" s="66" t="s"/>
      <c r="M2052" s="66" t="s"/>
      <c r="N2052" s="572" t="s"/>
      <c r="O2052" s="62" t="s"/>
      <c r="P2052" s="62" t="s"/>
      <c r="Q2052" s="62" t="s"/>
      <c r="R2052" s="62" t="s"/>
    </row>
    <row r="2053" spans="1:18" ht="15.75" customHeight="true">
      <c r="A2053" s="107" t="s"/>
      <c r="B2053" s="62" t="s"/>
      <c r="C2053" s="62" t="s"/>
      <c r="D2053" s="62" t="s"/>
      <c r="E2053" s="62" t="s"/>
      <c r="F2053" s="66" t="s"/>
      <c r="G2053" s="66" t="s"/>
      <c r="H2053" s="66" t="s"/>
      <c r="I2053" s="62" t="s"/>
      <c r="J2053" s="62" t="s"/>
      <c r="K2053" s="99" t="s"/>
      <c r="L2053" s="66" t="s"/>
      <c r="M2053" s="66" t="s"/>
      <c r="N2053" s="572" t="s"/>
      <c r="O2053" s="62" t="s"/>
      <c r="P2053" s="62" t="s"/>
      <c r="Q2053" s="62" t="s"/>
      <c r="R2053" s="62" t="s"/>
    </row>
    <row r="2054" spans="1:18" ht="15.75" customHeight="true">
      <c r="A2054" s="107" t="s"/>
      <c r="B2054" s="62" t="s"/>
      <c r="C2054" s="62" t="s"/>
      <c r="D2054" s="62" t="s"/>
      <c r="E2054" s="62" t="s"/>
      <c r="F2054" s="66" t="s"/>
      <c r="G2054" s="66" t="s"/>
      <c r="H2054" s="66" t="s"/>
      <c r="I2054" s="62" t="s"/>
      <c r="J2054" s="62" t="s"/>
      <c r="K2054" s="99" t="s"/>
      <c r="L2054" s="66" t="s"/>
      <c r="M2054" s="66" t="s"/>
      <c r="N2054" s="572" t="s"/>
      <c r="O2054" s="62" t="s"/>
      <c r="P2054" s="62" t="s"/>
      <c r="Q2054" s="62" t="s"/>
      <c r="R2054" s="62" t="s"/>
    </row>
    <row r="2055" spans="1:18" ht="15.75" customHeight="true">
      <c r="A2055" s="107" t="s"/>
      <c r="B2055" s="62" t="s"/>
      <c r="C2055" s="62" t="s"/>
      <c r="D2055" s="62" t="s"/>
      <c r="E2055" s="62" t="s"/>
      <c r="F2055" s="66" t="s"/>
      <c r="G2055" s="66" t="s"/>
      <c r="H2055" s="66" t="s"/>
      <c r="I2055" s="62" t="s"/>
      <c r="J2055" s="62" t="s"/>
      <c r="K2055" s="99" t="s"/>
      <c r="L2055" s="66" t="s"/>
      <c r="M2055" s="66" t="s"/>
      <c r="N2055" s="572" t="s"/>
      <c r="O2055" s="62" t="s"/>
      <c r="P2055" s="62" t="s"/>
      <c r="Q2055" s="62" t="s"/>
      <c r="R2055" s="62" t="s"/>
    </row>
    <row r="2056" spans="1:18" ht="15.75" customHeight="true">
      <c r="A2056" s="107" t="s"/>
      <c r="B2056" s="62" t="s"/>
      <c r="C2056" s="62" t="s"/>
      <c r="D2056" s="62" t="s"/>
      <c r="E2056" s="62" t="s"/>
      <c r="F2056" s="66" t="s"/>
      <c r="G2056" s="66" t="s"/>
      <c r="H2056" s="66" t="s"/>
      <c r="I2056" s="62" t="s"/>
      <c r="J2056" s="62" t="s"/>
      <c r="K2056" s="99" t="s"/>
      <c r="L2056" s="66" t="s"/>
      <c r="M2056" s="66" t="s"/>
      <c r="N2056" s="572" t="s"/>
      <c r="O2056" s="62" t="s"/>
      <c r="P2056" s="62" t="s"/>
      <c r="Q2056" s="62" t="s"/>
      <c r="R2056" s="62" t="s"/>
    </row>
    <row r="2057" spans="1:18" ht="15.75" customHeight="true">
      <c r="A2057" s="107" t="s"/>
      <c r="B2057" s="62" t="s"/>
      <c r="C2057" s="62" t="s"/>
      <c r="D2057" s="62" t="s"/>
      <c r="E2057" s="62" t="s"/>
      <c r="F2057" s="66" t="s"/>
      <c r="G2057" s="66" t="s"/>
      <c r="H2057" s="66" t="s"/>
      <c r="I2057" s="62" t="s"/>
      <c r="J2057" s="62" t="s"/>
      <c r="K2057" s="99" t="s"/>
      <c r="L2057" s="66" t="s"/>
      <c r="M2057" s="66" t="s"/>
      <c r="N2057" s="572" t="s"/>
      <c r="O2057" s="62" t="s"/>
      <c r="P2057" s="62" t="s"/>
      <c r="Q2057" s="62" t="s"/>
      <c r="R2057" s="62" t="s"/>
    </row>
    <row r="2058" spans="1:18" ht="15.75" customHeight="true">
      <c r="A2058" s="107" t="s"/>
      <c r="B2058" s="62" t="s"/>
      <c r="C2058" s="62" t="s"/>
      <c r="D2058" s="62" t="s"/>
      <c r="E2058" s="62" t="s"/>
      <c r="F2058" s="66" t="s"/>
      <c r="G2058" s="66" t="s"/>
      <c r="H2058" s="66" t="s"/>
      <c r="I2058" s="62" t="s"/>
      <c r="J2058" s="62" t="s"/>
      <c r="K2058" s="99" t="s"/>
      <c r="L2058" s="66" t="s"/>
      <c r="M2058" s="66" t="s"/>
      <c r="N2058" s="572" t="s"/>
      <c r="O2058" s="62" t="s"/>
      <c r="P2058" s="62" t="s"/>
      <c r="Q2058" s="62" t="s"/>
      <c r="R2058" s="62" t="s"/>
    </row>
    <row r="2059" spans="1:18" ht="15.75" customHeight="true">
      <c r="A2059" s="107" t="s"/>
      <c r="B2059" s="62" t="s"/>
      <c r="C2059" s="62" t="s"/>
      <c r="D2059" s="62" t="s"/>
      <c r="E2059" s="62" t="s"/>
      <c r="F2059" s="66" t="s"/>
      <c r="G2059" s="66" t="s"/>
      <c r="H2059" s="66" t="s"/>
      <c r="I2059" s="62" t="s"/>
      <c r="J2059" s="62" t="s"/>
      <c r="K2059" s="99" t="s"/>
      <c r="L2059" s="66" t="s"/>
      <c r="M2059" s="66" t="s"/>
      <c r="N2059" s="572" t="s"/>
      <c r="O2059" s="62" t="s"/>
      <c r="P2059" s="62" t="s"/>
      <c r="Q2059" s="62" t="s"/>
      <c r="R2059" s="62" t="s"/>
    </row>
    <row r="2060" spans="1:18" ht="15.75" customHeight="true">
      <c r="A2060" s="107" t="s"/>
      <c r="B2060" s="62" t="s"/>
      <c r="C2060" s="62" t="s"/>
      <c r="D2060" s="62" t="s"/>
      <c r="E2060" s="62" t="s"/>
      <c r="F2060" s="66" t="s"/>
      <c r="G2060" s="66" t="s"/>
      <c r="H2060" s="66" t="s"/>
      <c r="I2060" s="62" t="s"/>
      <c r="J2060" s="62" t="s"/>
      <c r="K2060" s="99" t="s"/>
      <c r="L2060" s="66" t="s"/>
      <c r="M2060" s="66" t="s"/>
      <c r="N2060" s="572" t="s"/>
      <c r="O2060" s="62" t="s"/>
      <c r="P2060" s="62" t="s"/>
      <c r="Q2060" s="62" t="s"/>
      <c r="R2060" s="62" t="s"/>
    </row>
    <row r="2061" spans="1:18" ht="15.75" customHeight="true">
      <c r="A2061" s="107" t="s"/>
      <c r="B2061" s="62" t="s"/>
      <c r="C2061" s="62" t="s"/>
      <c r="D2061" s="62" t="s"/>
      <c r="E2061" s="62" t="s"/>
      <c r="F2061" s="66" t="s"/>
      <c r="G2061" s="66" t="s"/>
      <c r="H2061" s="66" t="s"/>
      <c r="I2061" s="62" t="s"/>
      <c r="J2061" s="62" t="s"/>
      <c r="K2061" s="99" t="s"/>
      <c r="L2061" s="66" t="s"/>
      <c r="M2061" s="66" t="s"/>
      <c r="N2061" s="572" t="s"/>
      <c r="O2061" s="62" t="s"/>
      <c r="P2061" s="62" t="s"/>
      <c r="Q2061" s="62" t="s"/>
      <c r="R2061" s="62" t="s"/>
    </row>
    <row r="2062" spans="1:18" ht="15.75" customHeight="true">
      <c r="A2062" s="107" t="s"/>
      <c r="B2062" s="62" t="s"/>
      <c r="C2062" s="62" t="s"/>
      <c r="D2062" s="62" t="s"/>
      <c r="E2062" s="62" t="s"/>
      <c r="F2062" s="66" t="s"/>
      <c r="G2062" s="66" t="s"/>
      <c r="H2062" s="66" t="s"/>
      <c r="I2062" s="62" t="s"/>
      <c r="J2062" s="62" t="s"/>
      <c r="K2062" s="99" t="s"/>
      <c r="L2062" s="66" t="s"/>
      <c r="M2062" s="66" t="s"/>
      <c r="N2062" s="572" t="s"/>
      <c r="O2062" s="62" t="s"/>
      <c r="P2062" s="62" t="s"/>
      <c r="Q2062" s="62" t="s"/>
      <c r="R2062" s="62" t="s"/>
    </row>
    <row r="2063" spans="1:18" ht="15.75" customHeight="true">
      <c r="A2063" s="107" t="s"/>
      <c r="B2063" s="62" t="s"/>
      <c r="C2063" s="62" t="s"/>
      <c r="D2063" s="62" t="s"/>
      <c r="E2063" s="62" t="s"/>
      <c r="F2063" s="66" t="s"/>
      <c r="G2063" s="66" t="s"/>
      <c r="H2063" s="66" t="s"/>
      <c r="I2063" s="62" t="s"/>
      <c r="J2063" s="62" t="s"/>
      <c r="K2063" s="99" t="s"/>
      <c r="L2063" s="66" t="s"/>
      <c r="M2063" s="66" t="s"/>
      <c r="N2063" s="572" t="s"/>
      <c r="O2063" s="62" t="s"/>
      <c r="P2063" s="62" t="s"/>
      <c r="Q2063" s="62" t="s"/>
      <c r="R2063" s="62" t="s"/>
    </row>
    <row r="2064" spans="1:18" ht="15.75" customHeight="true">
      <c r="A2064" s="107" t="s"/>
      <c r="B2064" s="62" t="s"/>
      <c r="C2064" s="62" t="s"/>
      <c r="D2064" s="62" t="s"/>
      <c r="E2064" s="62" t="s"/>
      <c r="F2064" s="66" t="s"/>
      <c r="G2064" s="66" t="s"/>
      <c r="H2064" s="66" t="s"/>
      <c r="I2064" s="62" t="s"/>
      <c r="J2064" s="62" t="s"/>
      <c r="K2064" s="99" t="s"/>
      <c r="L2064" s="66" t="s"/>
      <c r="M2064" s="66" t="s"/>
      <c r="N2064" s="572" t="s"/>
      <c r="O2064" s="62" t="s"/>
      <c r="P2064" s="62" t="s"/>
      <c r="Q2064" s="62" t="s"/>
      <c r="R2064" s="62" t="s"/>
    </row>
    <row r="2065" spans="1:18" ht="15.75" customHeight="true">
      <c r="A2065" s="107" t="s"/>
      <c r="B2065" s="62" t="s"/>
      <c r="C2065" s="62" t="s"/>
      <c r="D2065" s="62" t="s"/>
      <c r="E2065" s="62" t="s"/>
      <c r="F2065" s="66" t="s"/>
      <c r="G2065" s="66" t="s"/>
      <c r="H2065" s="66" t="s"/>
      <c r="I2065" s="62" t="s"/>
      <c r="J2065" s="62" t="s"/>
      <c r="K2065" s="99" t="s"/>
      <c r="L2065" s="66" t="s"/>
      <c r="M2065" s="66" t="s"/>
      <c r="N2065" s="572" t="s"/>
      <c r="O2065" s="62" t="s"/>
      <c r="P2065" s="62" t="s"/>
      <c r="Q2065" s="62" t="s"/>
      <c r="R2065" s="62" t="s"/>
    </row>
    <row r="2066" spans="1:18" ht="15.75" customHeight="true">
      <c r="A2066" s="107" t="s"/>
      <c r="B2066" s="62" t="s"/>
      <c r="C2066" s="62" t="s"/>
      <c r="D2066" s="62" t="s"/>
      <c r="E2066" s="62" t="s"/>
      <c r="F2066" s="66" t="s"/>
      <c r="G2066" s="66" t="s"/>
      <c r="H2066" s="66" t="s"/>
      <c r="I2066" s="62" t="s"/>
      <c r="J2066" s="62" t="s"/>
      <c r="K2066" s="99" t="s"/>
      <c r="L2066" s="66" t="s"/>
      <c r="M2066" s="66" t="s"/>
      <c r="N2066" s="572" t="s"/>
      <c r="O2066" s="62" t="s"/>
      <c r="P2066" s="62" t="s"/>
      <c r="Q2066" s="62" t="s"/>
      <c r="R2066" s="62" t="s"/>
    </row>
    <row r="2067" spans="1:18" ht="15.75" customHeight="true">
      <c r="A2067" s="107" t="s"/>
      <c r="B2067" s="62" t="s"/>
      <c r="C2067" s="62" t="s"/>
      <c r="D2067" s="62" t="s"/>
      <c r="E2067" s="62" t="s"/>
      <c r="F2067" s="66" t="s"/>
      <c r="G2067" s="66" t="s"/>
      <c r="H2067" s="66" t="s"/>
      <c r="I2067" s="62" t="s"/>
      <c r="J2067" s="62" t="s"/>
      <c r="K2067" s="99" t="s"/>
      <c r="L2067" s="66" t="s"/>
      <c r="M2067" s="66" t="s"/>
      <c r="N2067" s="572" t="s"/>
      <c r="O2067" s="62" t="s"/>
      <c r="P2067" s="62" t="s"/>
      <c r="Q2067" s="62" t="s"/>
      <c r="R2067" s="62" t="s"/>
    </row>
    <row r="2068" spans="1:18" ht="15.75" customHeight="true">
      <c r="A2068" s="107" t="s"/>
      <c r="B2068" s="62" t="s"/>
      <c r="C2068" s="62" t="s"/>
      <c r="D2068" s="62" t="s"/>
      <c r="E2068" s="62" t="s"/>
      <c r="F2068" s="66" t="s"/>
      <c r="G2068" s="66" t="s"/>
      <c r="H2068" s="66" t="s"/>
      <c r="I2068" s="62" t="s"/>
      <c r="J2068" s="62" t="s"/>
      <c r="K2068" s="99" t="s"/>
      <c r="L2068" s="66" t="s"/>
      <c r="M2068" s="66" t="s"/>
      <c r="N2068" s="572" t="s"/>
      <c r="O2068" s="62" t="s"/>
      <c r="P2068" s="62" t="s"/>
      <c r="Q2068" s="62" t="s"/>
      <c r="R2068" s="62" t="s"/>
    </row>
    <row r="2069" spans="1:18" ht="15.75" customHeight="true">
      <c r="A2069" s="107" t="s"/>
      <c r="B2069" s="62" t="s"/>
      <c r="C2069" s="62" t="s"/>
      <c r="D2069" s="62" t="s"/>
      <c r="E2069" s="62" t="s"/>
      <c r="F2069" s="66" t="s"/>
      <c r="G2069" s="66" t="s"/>
      <c r="H2069" s="66" t="s"/>
      <c r="I2069" s="62" t="s"/>
      <c r="J2069" s="62" t="s"/>
      <c r="K2069" s="99" t="s"/>
      <c r="L2069" s="66" t="s"/>
      <c r="M2069" s="66" t="s"/>
      <c r="N2069" s="572" t="s"/>
      <c r="O2069" s="62" t="s"/>
      <c r="P2069" s="62" t="s"/>
      <c r="Q2069" s="62" t="s"/>
      <c r="R2069" s="62" t="s"/>
    </row>
    <row r="2070" spans="1:18" ht="15.75" customHeight="true">
      <c r="A2070" s="107" t="s"/>
      <c r="B2070" s="62" t="s"/>
      <c r="C2070" s="62" t="s"/>
      <c r="D2070" s="62" t="s"/>
      <c r="E2070" s="62" t="s"/>
      <c r="F2070" s="66" t="s"/>
      <c r="G2070" s="66" t="s"/>
      <c r="H2070" s="66" t="s"/>
      <c r="I2070" s="62" t="s"/>
      <c r="J2070" s="62" t="s"/>
      <c r="K2070" s="99" t="s"/>
      <c r="L2070" s="66" t="s"/>
      <c r="M2070" s="66" t="s"/>
      <c r="N2070" s="572" t="s"/>
      <c r="O2070" s="62" t="s"/>
      <c r="P2070" s="62" t="s"/>
      <c r="Q2070" s="62" t="s"/>
      <c r="R2070" s="62" t="s"/>
    </row>
    <row r="2071" spans="1:18" ht="15.75" customHeight="true">
      <c r="A2071" s="107" t="s"/>
      <c r="B2071" s="62" t="s"/>
      <c r="C2071" s="62" t="s"/>
      <c r="D2071" s="62" t="s"/>
      <c r="E2071" s="62" t="s"/>
      <c r="F2071" s="66" t="s"/>
      <c r="G2071" s="66" t="s"/>
      <c r="H2071" s="66" t="s"/>
      <c r="I2071" s="62" t="s"/>
      <c r="J2071" s="62" t="s"/>
      <c r="K2071" s="99" t="s"/>
      <c r="L2071" s="66" t="s"/>
      <c r="M2071" s="66" t="s"/>
      <c r="N2071" s="572" t="s"/>
      <c r="O2071" s="62" t="s"/>
      <c r="P2071" s="62" t="s"/>
      <c r="Q2071" s="62" t="s"/>
      <c r="R2071" s="62" t="s"/>
    </row>
    <row r="2072" spans="1:18" ht="15.75" customHeight="true">
      <c r="A2072" s="107" t="s"/>
      <c r="B2072" s="62" t="s"/>
      <c r="C2072" s="62" t="s"/>
      <c r="D2072" s="62" t="s"/>
      <c r="E2072" s="62" t="s"/>
      <c r="F2072" s="66" t="s"/>
      <c r="G2072" s="66" t="s"/>
      <c r="H2072" s="66" t="s"/>
      <c r="I2072" s="62" t="s"/>
      <c r="J2072" s="62" t="s"/>
      <c r="K2072" s="99" t="s"/>
      <c r="L2072" s="66" t="s"/>
      <c r="M2072" s="66" t="s"/>
      <c r="N2072" s="572" t="s"/>
      <c r="O2072" s="62" t="s"/>
      <c r="P2072" s="62" t="s"/>
      <c r="Q2072" s="62" t="s"/>
      <c r="R2072" s="62" t="s"/>
    </row>
    <row r="2073" spans="1:18" ht="15.75" customHeight="true">
      <c r="A2073" s="107" t="s"/>
      <c r="B2073" s="62" t="s"/>
      <c r="C2073" s="62" t="s"/>
      <c r="D2073" s="62" t="s"/>
      <c r="E2073" s="62" t="s"/>
      <c r="F2073" s="66" t="s"/>
      <c r="G2073" s="66" t="s"/>
      <c r="H2073" s="66" t="s"/>
      <c r="I2073" s="62" t="s"/>
      <c r="J2073" s="62" t="s"/>
      <c r="K2073" s="99" t="s"/>
      <c r="L2073" s="66" t="s"/>
      <c r="M2073" s="66" t="s"/>
      <c r="N2073" s="572" t="s"/>
      <c r="O2073" s="62" t="s"/>
      <c r="P2073" s="62" t="s"/>
      <c r="Q2073" s="62" t="s"/>
      <c r="R2073" s="62" t="s"/>
    </row>
    <row r="2074" spans="1:18" ht="15.75" customHeight="true">
      <c r="A2074" s="107" t="s"/>
      <c r="B2074" s="62" t="s"/>
      <c r="C2074" s="62" t="s"/>
      <c r="D2074" s="62" t="s"/>
      <c r="E2074" s="62" t="s"/>
      <c r="F2074" s="66" t="s"/>
      <c r="G2074" s="66" t="s"/>
      <c r="H2074" s="66" t="s"/>
      <c r="I2074" s="62" t="s"/>
      <c r="J2074" s="62" t="s"/>
      <c r="K2074" s="99" t="s"/>
      <c r="L2074" s="66" t="s"/>
      <c r="M2074" s="66" t="s"/>
      <c r="N2074" s="572" t="s"/>
      <c r="O2074" s="62" t="s"/>
      <c r="P2074" s="62" t="s"/>
      <c r="Q2074" s="62" t="s"/>
      <c r="R2074" s="62" t="s"/>
    </row>
    <row r="2075" spans="1:18" ht="15.75" customHeight="true">
      <c r="A2075" s="107" t="s"/>
      <c r="B2075" s="62" t="s"/>
      <c r="C2075" s="62" t="s"/>
      <c r="D2075" s="62" t="s"/>
      <c r="E2075" s="62" t="s"/>
      <c r="F2075" s="66" t="s"/>
      <c r="G2075" s="66" t="s"/>
      <c r="H2075" s="66" t="s"/>
      <c r="I2075" s="62" t="s"/>
      <c r="J2075" s="62" t="s"/>
      <c r="K2075" s="99" t="s"/>
      <c r="L2075" s="66" t="s"/>
      <c r="M2075" s="66" t="s"/>
      <c r="N2075" s="572" t="s"/>
      <c r="O2075" s="62" t="s"/>
      <c r="P2075" s="62" t="s"/>
      <c r="Q2075" s="62" t="s"/>
      <c r="R2075" s="62" t="s"/>
    </row>
    <row r="2076" spans="1:18" ht="15.75" customHeight="true">
      <c r="A2076" s="107" t="s"/>
      <c r="B2076" s="62" t="s"/>
      <c r="C2076" s="62" t="s"/>
      <c r="D2076" s="62" t="s"/>
      <c r="E2076" s="62" t="s"/>
      <c r="F2076" s="66" t="s"/>
      <c r="G2076" s="66" t="s"/>
      <c r="H2076" s="66" t="s"/>
      <c r="I2076" s="62" t="s"/>
      <c r="J2076" s="62" t="s"/>
      <c r="K2076" s="99" t="s"/>
      <c r="L2076" s="66" t="s"/>
      <c r="M2076" s="66" t="s"/>
      <c r="N2076" s="572" t="s"/>
      <c r="O2076" s="62" t="s"/>
      <c r="P2076" s="62" t="s"/>
      <c r="Q2076" s="62" t="s"/>
      <c r="R2076" s="62" t="s"/>
    </row>
    <row r="2077" spans="1:18" ht="15.75" customHeight="true">
      <c r="A2077" s="107" t="s"/>
      <c r="B2077" s="62" t="s"/>
      <c r="C2077" s="62" t="s"/>
      <c r="D2077" s="62" t="s"/>
      <c r="E2077" s="62" t="s"/>
      <c r="F2077" s="66" t="s"/>
      <c r="G2077" s="66" t="s"/>
      <c r="H2077" s="66" t="s"/>
      <c r="I2077" s="62" t="s"/>
      <c r="J2077" s="62" t="s"/>
      <c r="K2077" s="99" t="s"/>
      <c r="L2077" s="66" t="s"/>
      <c r="M2077" s="66" t="s"/>
      <c r="N2077" s="572" t="s"/>
      <c r="O2077" s="62" t="s"/>
      <c r="P2077" s="62" t="s"/>
      <c r="Q2077" s="62" t="s"/>
      <c r="R2077" s="62" t="s"/>
    </row>
    <row r="2078" spans="1:18" ht="15.75" customHeight="true">
      <c r="A2078" s="107" t="s"/>
      <c r="B2078" s="62" t="s"/>
      <c r="C2078" s="62" t="s"/>
      <c r="D2078" s="62" t="s"/>
      <c r="E2078" s="62" t="s"/>
      <c r="F2078" s="66" t="s"/>
      <c r="G2078" s="66" t="s"/>
      <c r="H2078" s="66" t="s"/>
      <c r="I2078" s="62" t="s"/>
      <c r="J2078" s="62" t="s"/>
      <c r="K2078" s="99" t="s"/>
      <c r="L2078" s="66" t="s"/>
      <c r="M2078" s="66" t="s"/>
      <c r="N2078" s="572" t="s"/>
      <c r="O2078" s="62" t="s"/>
      <c r="P2078" s="62" t="s"/>
      <c r="Q2078" s="62" t="s"/>
      <c r="R2078" s="62" t="s"/>
    </row>
    <row r="2079" spans="1:18" ht="15.75" customHeight="true">
      <c r="A2079" s="107" t="s"/>
      <c r="B2079" s="62" t="s"/>
      <c r="C2079" s="62" t="s"/>
      <c r="D2079" s="62" t="s"/>
      <c r="E2079" s="62" t="s"/>
      <c r="F2079" s="66" t="s"/>
      <c r="G2079" s="66" t="s"/>
      <c r="H2079" s="66" t="s"/>
      <c r="I2079" s="62" t="s"/>
      <c r="J2079" s="62" t="s"/>
      <c r="K2079" s="99" t="s"/>
      <c r="L2079" s="66" t="s"/>
      <c r="M2079" s="66" t="s"/>
      <c r="N2079" s="572" t="s"/>
      <c r="O2079" s="62" t="s"/>
      <c r="P2079" s="62" t="s"/>
      <c r="Q2079" s="62" t="s"/>
      <c r="R2079" s="62" t="s"/>
    </row>
    <row r="2080" spans="1:18" ht="15.75" customHeight="true">
      <c r="A2080" s="107" t="s"/>
      <c r="B2080" s="62" t="s"/>
      <c r="C2080" s="62" t="s"/>
      <c r="D2080" s="62" t="s"/>
      <c r="E2080" s="62" t="s"/>
      <c r="F2080" s="66" t="s"/>
      <c r="G2080" s="66" t="s"/>
      <c r="H2080" s="66" t="s"/>
      <c r="I2080" s="62" t="s"/>
      <c r="J2080" s="62" t="s"/>
      <c r="K2080" s="99" t="s"/>
      <c r="L2080" s="66" t="s"/>
      <c r="M2080" s="66" t="s"/>
      <c r="N2080" s="572" t="s"/>
      <c r="O2080" s="62" t="s"/>
      <c r="P2080" s="62" t="s"/>
      <c r="Q2080" s="62" t="s"/>
      <c r="R2080" s="62" t="s"/>
    </row>
    <row r="2081" spans="1:18" ht="15.75" customHeight="true">
      <c r="A2081" s="107" t="s"/>
      <c r="B2081" s="62" t="s"/>
      <c r="C2081" s="62" t="s"/>
      <c r="D2081" s="62" t="s"/>
      <c r="E2081" s="62" t="s"/>
      <c r="F2081" s="66" t="s"/>
      <c r="G2081" s="66" t="s"/>
      <c r="H2081" s="66" t="s"/>
      <c r="I2081" s="62" t="s"/>
      <c r="J2081" s="62" t="s"/>
      <c r="K2081" s="99" t="s"/>
      <c r="L2081" s="66" t="s"/>
      <c r="M2081" s="66" t="s"/>
      <c r="N2081" s="572" t="s"/>
      <c r="O2081" s="62" t="s"/>
      <c r="P2081" s="62" t="s"/>
      <c r="Q2081" s="62" t="s"/>
      <c r="R2081" s="62" t="s"/>
    </row>
    <row r="2082" spans="1:18" ht="15.75" customHeight="true">
      <c r="A2082" s="107" t="s"/>
      <c r="B2082" s="62" t="s"/>
      <c r="C2082" s="62" t="s"/>
      <c r="D2082" s="62" t="s"/>
      <c r="E2082" s="62" t="s"/>
      <c r="F2082" s="66" t="s"/>
      <c r="G2082" s="66" t="s"/>
      <c r="H2082" s="66" t="s"/>
      <c r="I2082" s="62" t="s"/>
      <c r="J2082" s="62" t="s"/>
      <c r="K2082" s="99" t="s"/>
      <c r="L2082" s="66" t="s"/>
      <c r="M2082" s="66" t="s"/>
      <c r="N2082" s="572" t="s"/>
      <c r="O2082" s="62" t="s"/>
      <c r="P2082" s="62" t="s"/>
      <c r="Q2082" s="62" t="s"/>
      <c r="R2082" s="62" t="s"/>
    </row>
    <row r="2083" spans="1:18" ht="15.75" customHeight="true">
      <c r="A2083" s="107" t="s"/>
      <c r="B2083" s="62" t="s"/>
      <c r="C2083" s="62" t="s"/>
      <c r="D2083" s="62" t="s"/>
      <c r="E2083" s="62" t="s"/>
      <c r="F2083" s="66" t="s"/>
      <c r="G2083" s="66" t="s"/>
      <c r="H2083" s="66" t="s"/>
      <c r="I2083" s="62" t="s"/>
      <c r="J2083" s="62" t="s"/>
      <c r="K2083" s="99" t="s"/>
      <c r="L2083" s="66" t="s"/>
      <c r="M2083" s="66" t="s"/>
      <c r="N2083" s="572" t="s"/>
      <c r="O2083" s="62" t="s"/>
      <c r="P2083" s="62" t="s"/>
      <c r="Q2083" s="62" t="s"/>
      <c r="R2083" s="62" t="s"/>
    </row>
    <row r="2084" spans="1:18" ht="15.75" customHeight="true">
      <c r="A2084" s="107" t="s"/>
      <c r="B2084" s="62" t="s"/>
      <c r="C2084" s="62" t="s"/>
      <c r="D2084" s="62" t="s"/>
      <c r="E2084" s="62" t="s"/>
      <c r="F2084" s="66" t="s"/>
      <c r="G2084" s="66" t="s"/>
      <c r="H2084" s="66" t="s"/>
      <c r="I2084" s="62" t="s"/>
      <c r="J2084" s="62" t="s"/>
      <c r="K2084" s="99" t="s"/>
      <c r="L2084" s="66" t="s"/>
      <c r="M2084" s="66" t="s"/>
      <c r="N2084" s="572" t="s"/>
      <c r="O2084" s="62" t="s"/>
      <c r="P2084" s="62" t="s"/>
      <c r="Q2084" s="62" t="s"/>
      <c r="R2084" s="62" t="s"/>
    </row>
    <row r="2085" spans="1:18" ht="15.75" customHeight="true">
      <c r="A2085" s="107" t="s"/>
      <c r="B2085" s="62" t="s"/>
      <c r="C2085" s="62" t="s"/>
      <c r="D2085" s="62" t="s"/>
      <c r="E2085" s="62" t="s"/>
      <c r="F2085" s="66" t="s"/>
      <c r="G2085" s="66" t="s"/>
      <c r="H2085" s="66" t="s"/>
      <c r="I2085" s="62" t="s"/>
      <c r="J2085" s="62" t="s"/>
      <c r="K2085" s="99" t="s"/>
      <c r="L2085" s="66" t="s"/>
      <c r="M2085" s="66" t="s"/>
      <c r="N2085" s="572" t="s"/>
      <c r="O2085" s="62" t="s"/>
      <c r="P2085" s="62" t="s"/>
      <c r="Q2085" s="62" t="s"/>
      <c r="R2085" s="62" t="s"/>
    </row>
    <row r="2086" spans="1:18" ht="15.75" customHeight="true">
      <c r="A2086" s="107" t="s"/>
      <c r="B2086" s="62" t="s"/>
      <c r="C2086" s="62" t="s"/>
      <c r="D2086" s="62" t="s"/>
      <c r="E2086" s="62" t="s"/>
      <c r="F2086" s="66" t="s"/>
      <c r="G2086" s="66" t="s"/>
      <c r="H2086" s="66" t="s"/>
      <c r="I2086" s="62" t="s"/>
      <c r="J2086" s="62" t="s"/>
      <c r="K2086" s="99" t="s"/>
      <c r="L2086" s="66" t="s"/>
      <c r="M2086" s="66" t="s"/>
      <c r="N2086" s="572" t="s"/>
      <c r="O2086" s="62" t="s"/>
      <c r="P2086" s="62" t="s"/>
      <c r="Q2086" s="62" t="s"/>
      <c r="R2086" s="62" t="s"/>
    </row>
    <row r="2087" spans="1:18" ht="15.75" customHeight="true">
      <c r="A2087" s="107" t="s"/>
      <c r="B2087" s="62" t="s"/>
      <c r="C2087" s="62" t="s"/>
      <c r="D2087" s="62" t="s"/>
      <c r="E2087" s="62" t="s"/>
      <c r="F2087" s="66" t="s"/>
      <c r="G2087" s="66" t="s"/>
      <c r="H2087" s="66" t="s"/>
      <c r="I2087" s="62" t="s"/>
      <c r="J2087" s="62" t="s"/>
      <c r="K2087" s="99" t="s"/>
      <c r="L2087" s="66" t="s"/>
      <c r="M2087" s="66" t="s"/>
      <c r="N2087" s="572" t="s"/>
      <c r="O2087" s="62" t="s"/>
      <c r="P2087" s="62" t="s"/>
      <c r="Q2087" s="62" t="s"/>
      <c r="R2087" s="62" t="s"/>
    </row>
    <row r="2088" spans="1:18" ht="15.75" customHeight="true">
      <c r="A2088" s="107" t="s"/>
      <c r="B2088" s="62" t="s"/>
      <c r="C2088" s="62" t="s"/>
      <c r="D2088" s="62" t="s"/>
      <c r="E2088" s="62" t="s"/>
      <c r="F2088" s="66" t="s"/>
      <c r="G2088" s="66" t="s"/>
      <c r="H2088" s="66" t="s"/>
      <c r="I2088" s="62" t="s"/>
      <c r="J2088" s="62" t="s"/>
      <c r="K2088" s="99" t="s"/>
      <c r="L2088" s="66" t="s"/>
      <c r="M2088" s="66" t="s"/>
      <c r="N2088" s="572" t="s"/>
      <c r="O2088" s="62" t="s"/>
      <c r="P2088" s="62" t="s"/>
      <c r="Q2088" s="62" t="s"/>
      <c r="R2088" s="62" t="s"/>
    </row>
    <row r="2089" spans="1:18" ht="15.75" customHeight="true">
      <c r="A2089" s="107" t="s"/>
      <c r="B2089" s="62" t="s"/>
      <c r="C2089" s="62" t="s"/>
      <c r="D2089" s="62" t="s"/>
      <c r="E2089" s="62" t="s"/>
      <c r="F2089" s="66" t="s"/>
      <c r="G2089" s="66" t="s"/>
      <c r="H2089" s="66" t="s"/>
      <c r="I2089" s="62" t="s"/>
      <c r="J2089" s="62" t="s"/>
      <c r="K2089" s="99" t="s"/>
      <c r="L2089" s="66" t="s"/>
      <c r="M2089" s="66" t="s"/>
      <c r="N2089" s="572" t="s"/>
      <c r="O2089" s="62" t="s"/>
      <c r="P2089" s="62" t="s"/>
      <c r="Q2089" s="62" t="s"/>
      <c r="R2089" s="62" t="s"/>
    </row>
    <row r="2090" spans="1:18" ht="15.75" customHeight="true">
      <c r="A2090" s="107" t="s"/>
      <c r="B2090" s="62" t="s"/>
      <c r="C2090" s="62" t="s"/>
      <c r="D2090" s="62" t="s"/>
      <c r="E2090" s="62" t="s"/>
      <c r="F2090" s="66" t="s"/>
      <c r="G2090" s="66" t="s"/>
      <c r="H2090" s="66" t="s"/>
      <c r="I2090" s="62" t="s"/>
      <c r="J2090" s="62" t="s"/>
      <c r="K2090" s="99" t="s"/>
      <c r="L2090" s="66" t="s"/>
      <c r="M2090" s="66" t="s"/>
      <c r="N2090" s="572" t="s"/>
      <c r="O2090" s="62" t="s"/>
      <c r="P2090" s="62" t="s"/>
      <c r="Q2090" s="62" t="s"/>
      <c r="R2090" s="62" t="s"/>
    </row>
    <row r="2091" spans="1:18" ht="15.75" customHeight="true">
      <c r="A2091" s="107" t="s"/>
      <c r="B2091" s="62" t="s"/>
      <c r="C2091" s="62" t="s"/>
      <c r="D2091" s="62" t="s"/>
      <c r="E2091" s="62" t="s"/>
      <c r="F2091" s="66" t="s"/>
      <c r="G2091" s="66" t="s"/>
      <c r="H2091" s="66" t="s"/>
      <c r="I2091" s="62" t="s"/>
      <c r="J2091" s="62" t="s"/>
      <c r="K2091" s="99" t="s"/>
      <c r="L2091" s="66" t="s"/>
      <c r="M2091" s="66" t="s"/>
      <c r="N2091" s="572" t="s"/>
      <c r="O2091" s="62" t="s"/>
      <c r="P2091" s="62" t="s"/>
      <c r="Q2091" s="62" t="s"/>
      <c r="R2091" s="62" t="s"/>
    </row>
    <row r="2092" spans="1:18" ht="15.75" customHeight="true">
      <c r="A2092" s="107" t="s"/>
      <c r="B2092" s="62" t="s"/>
      <c r="C2092" s="62" t="s"/>
      <c r="D2092" s="62" t="s"/>
      <c r="E2092" s="62" t="s"/>
      <c r="F2092" s="66" t="s"/>
      <c r="G2092" s="66" t="s"/>
      <c r="H2092" s="66" t="s"/>
      <c r="I2092" s="62" t="s"/>
      <c r="J2092" s="62" t="s"/>
      <c r="K2092" s="99" t="s"/>
      <c r="L2092" s="66" t="s"/>
      <c r="M2092" s="66" t="s"/>
      <c r="N2092" s="572" t="s"/>
      <c r="O2092" s="62" t="s"/>
      <c r="P2092" s="62" t="s"/>
      <c r="Q2092" s="62" t="s"/>
      <c r="R2092" s="62" t="s"/>
    </row>
    <row r="2093" spans="1:18" ht="15.75" customHeight="true">
      <c r="A2093" s="107" t="s"/>
      <c r="B2093" s="62" t="s"/>
      <c r="C2093" s="62" t="s"/>
      <c r="D2093" s="62" t="s"/>
      <c r="E2093" s="62" t="s"/>
      <c r="F2093" s="66" t="s"/>
      <c r="G2093" s="66" t="s"/>
      <c r="H2093" s="66" t="s"/>
      <c r="I2093" s="62" t="s"/>
      <c r="J2093" s="62" t="s"/>
      <c r="K2093" s="99" t="s"/>
      <c r="L2093" s="66" t="s"/>
      <c r="M2093" s="66" t="s"/>
      <c r="N2093" s="572" t="s"/>
      <c r="O2093" s="62" t="s"/>
      <c r="P2093" s="62" t="s"/>
      <c r="Q2093" s="62" t="s"/>
      <c r="R2093" s="62" t="s"/>
    </row>
    <row r="2094" spans="1:18" ht="15.75" customHeight="true">
      <c r="A2094" s="107" t="s"/>
      <c r="B2094" s="62" t="s"/>
      <c r="C2094" s="62" t="s"/>
      <c r="D2094" s="62" t="s"/>
      <c r="E2094" s="62" t="s"/>
      <c r="F2094" s="66" t="s"/>
      <c r="G2094" s="66" t="s"/>
      <c r="H2094" s="66" t="s"/>
      <c r="I2094" s="62" t="s"/>
      <c r="J2094" s="62" t="s"/>
      <c r="K2094" s="99" t="s"/>
      <c r="L2094" s="66" t="s"/>
      <c r="M2094" s="66" t="s"/>
      <c r="N2094" s="572" t="s"/>
      <c r="O2094" s="62" t="s"/>
      <c r="P2094" s="62" t="s"/>
      <c r="Q2094" s="62" t="s"/>
      <c r="R2094" s="62" t="s"/>
    </row>
    <row r="2095" spans="1:18" ht="15.75" customHeight="true">
      <c r="A2095" s="107" t="s"/>
      <c r="B2095" s="62" t="s"/>
      <c r="C2095" s="62" t="s"/>
      <c r="D2095" s="62" t="s"/>
      <c r="E2095" s="62" t="s"/>
      <c r="F2095" s="66" t="s"/>
      <c r="G2095" s="66" t="s"/>
      <c r="H2095" s="66" t="s"/>
      <c r="I2095" s="62" t="s"/>
      <c r="J2095" s="62" t="s"/>
      <c r="K2095" s="99" t="s"/>
      <c r="L2095" s="66" t="s"/>
      <c r="M2095" s="66" t="s"/>
      <c r="N2095" s="572" t="s"/>
      <c r="O2095" s="62" t="s"/>
      <c r="P2095" s="62" t="s"/>
      <c r="Q2095" s="62" t="s"/>
      <c r="R2095" s="62" t="s"/>
    </row>
    <row r="2096" spans="1:18" ht="15.75" customHeight="true">
      <c r="A2096" s="107" t="s"/>
      <c r="B2096" s="62" t="s"/>
      <c r="C2096" s="62" t="s"/>
      <c r="D2096" s="62" t="s"/>
      <c r="E2096" s="62" t="s"/>
      <c r="F2096" s="66" t="s"/>
      <c r="G2096" s="66" t="s"/>
      <c r="H2096" s="66" t="s"/>
      <c r="I2096" s="62" t="s"/>
      <c r="J2096" s="62" t="s"/>
      <c r="K2096" s="99" t="s"/>
      <c r="L2096" s="66" t="s"/>
      <c r="M2096" s="66" t="s"/>
      <c r="N2096" s="572" t="s"/>
      <c r="O2096" s="62" t="s"/>
      <c r="P2096" s="62" t="s"/>
      <c r="Q2096" s="62" t="s"/>
      <c r="R2096" s="62" t="s"/>
    </row>
    <row r="2097" spans="1:18" ht="15.75" customHeight="true">
      <c r="A2097" s="107" t="s"/>
      <c r="B2097" s="62" t="s"/>
      <c r="C2097" s="62" t="s"/>
      <c r="D2097" s="62" t="s"/>
      <c r="E2097" s="62" t="s"/>
      <c r="F2097" s="66" t="s"/>
      <c r="G2097" s="66" t="s"/>
      <c r="H2097" s="66" t="s"/>
      <c r="I2097" s="62" t="s"/>
      <c r="J2097" s="62" t="s"/>
      <c r="K2097" s="99" t="s"/>
      <c r="L2097" s="66" t="s"/>
      <c r="M2097" s="66" t="s"/>
      <c r="N2097" s="572" t="s"/>
      <c r="O2097" s="62" t="s"/>
      <c r="P2097" s="62" t="s"/>
      <c r="Q2097" s="62" t="s"/>
      <c r="R2097" s="62" t="s"/>
    </row>
    <row r="2098" spans="1:18" ht="15.75" customHeight="true">
      <c r="A2098" s="107" t="s"/>
      <c r="B2098" s="62" t="s"/>
      <c r="C2098" s="62" t="s"/>
      <c r="D2098" s="62" t="s"/>
      <c r="E2098" s="62" t="s"/>
      <c r="F2098" s="66" t="s"/>
      <c r="G2098" s="66" t="s"/>
      <c r="H2098" s="66" t="s"/>
      <c r="I2098" s="62" t="s"/>
      <c r="J2098" s="62" t="s"/>
      <c r="K2098" s="99" t="s"/>
      <c r="L2098" s="66" t="s"/>
      <c r="M2098" s="66" t="s"/>
      <c r="N2098" s="572" t="s"/>
      <c r="O2098" s="62" t="s"/>
      <c r="P2098" s="62" t="s"/>
      <c r="Q2098" s="62" t="s"/>
      <c r="R2098" s="62" t="s"/>
    </row>
    <row r="2099" spans="1:18" ht="15.75" customHeight="true">
      <c r="A2099" s="107" t="s"/>
      <c r="B2099" s="62" t="s"/>
      <c r="C2099" s="62" t="s"/>
      <c r="D2099" s="62" t="s"/>
      <c r="E2099" s="62" t="s"/>
      <c r="F2099" s="66" t="s"/>
      <c r="G2099" s="66" t="s"/>
      <c r="H2099" s="66" t="s"/>
      <c r="I2099" s="62" t="s"/>
      <c r="J2099" s="62" t="s"/>
      <c r="K2099" s="99" t="s"/>
      <c r="L2099" s="66" t="s"/>
      <c r="M2099" s="66" t="s"/>
      <c r="N2099" s="572" t="s"/>
      <c r="O2099" s="62" t="s"/>
      <c r="P2099" s="62" t="s"/>
      <c r="Q2099" s="62" t="s"/>
      <c r="R2099" s="62" t="s"/>
    </row>
    <row r="2100" spans="1:18" ht="15.75" customHeight="true">
      <c r="A2100" s="107" t="s"/>
      <c r="B2100" s="62" t="s"/>
      <c r="C2100" s="62" t="s"/>
      <c r="D2100" s="62" t="s"/>
      <c r="E2100" s="62" t="s"/>
      <c r="F2100" s="66" t="s"/>
      <c r="G2100" s="66" t="s"/>
      <c r="H2100" s="66" t="s"/>
      <c r="I2100" s="62" t="s"/>
      <c r="J2100" s="62" t="s"/>
      <c r="K2100" s="99" t="s"/>
      <c r="L2100" s="66" t="s"/>
      <c r="M2100" s="66" t="s"/>
      <c r="N2100" s="572" t="s"/>
      <c r="O2100" s="62" t="s"/>
      <c r="P2100" s="62" t="s"/>
      <c r="Q2100" s="62" t="s"/>
      <c r="R2100" s="62" t="s"/>
    </row>
    <row r="2101" spans="1:18" ht="15.75" customHeight="true">
      <c r="A2101" s="107" t="s"/>
      <c r="B2101" s="62" t="s"/>
      <c r="C2101" s="62" t="s"/>
      <c r="D2101" s="62" t="s"/>
      <c r="E2101" s="62" t="s"/>
      <c r="F2101" s="66" t="s"/>
      <c r="G2101" s="66" t="s"/>
      <c r="H2101" s="66" t="s"/>
      <c r="I2101" s="62" t="s"/>
      <c r="J2101" s="62" t="s"/>
      <c r="K2101" s="99" t="s"/>
      <c r="L2101" s="66" t="s"/>
      <c r="M2101" s="66" t="s"/>
      <c r="N2101" s="572" t="s"/>
      <c r="O2101" s="62" t="s"/>
      <c r="P2101" s="62" t="s"/>
      <c r="Q2101" s="62" t="s"/>
      <c r="R2101" s="62" t="s"/>
    </row>
    <row r="2102" spans="1:18" ht="15.75" customHeight="true">
      <c r="A2102" s="107" t="s"/>
      <c r="B2102" s="62" t="s"/>
      <c r="C2102" s="62" t="s"/>
      <c r="D2102" s="62" t="s"/>
      <c r="E2102" s="62" t="s"/>
      <c r="F2102" s="66" t="s"/>
      <c r="G2102" s="66" t="s"/>
      <c r="H2102" s="66" t="s"/>
      <c r="I2102" s="62" t="s"/>
      <c r="J2102" s="62" t="s"/>
      <c r="K2102" s="99" t="s"/>
      <c r="L2102" s="66" t="s"/>
      <c r="M2102" s="66" t="s"/>
      <c r="N2102" s="572" t="s"/>
      <c r="O2102" s="62" t="s"/>
      <c r="P2102" s="62" t="s"/>
      <c r="Q2102" s="62" t="s"/>
      <c r="R2102" s="62" t="s"/>
    </row>
    <row r="2103" spans="1:18" ht="15.75" customHeight="true">
      <c r="A2103" s="107" t="s"/>
      <c r="B2103" s="62" t="s"/>
      <c r="C2103" s="62" t="s"/>
      <c r="D2103" s="62" t="s"/>
      <c r="E2103" s="62" t="s"/>
      <c r="F2103" s="66" t="s"/>
      <c r="G2103" s="66" t="s"/>
      <c r="H2103" s="66" t="s"/>
      <c r="I2103" s="62" t="s"/>
      <c r="J2103" s="62" t="s"/>
      <c r="K2103" s="99" t="s"/>
      <c r="L2103" s="66" t="s"/>
      <c r="M2103" s="66" t="s"/>
      <c r="N2103" s="572" t="s"/>
      <c r="O2103" s="62" t="s"/>
      <c r="P2103" s="62" t="s"/>
      <c r="Q2103" s="62" t="s"/>
      <c r="R2103" s="62" t="s"/>
    </row>
    <row r="2104" spans="1:18" ht="15.75" customHeight="true">
      <c r="A2104" s="107" t="s"/>
      <c r="B2104" s="62" t="s"/>
      <c r="C2104" s="62" t="s"/>
      <c r="D2104" s="62" t="s"/>
      <c r="E2104" s="62" t="s"/>
      <c r="F2104" s="66" t="s"/>
      <c r="G2104" s="66" t="s"/>
      <c r="H2104" s="66" t="s"/>
      <c r="I2104" s="62" t="s"/>
      <c r="J2104" s="62" t="s"/>
      <c r="K2104" s="99" t="s"/>
      <c r="L2104" s="66" t="s"/>
      <c r="M2104" s="66" t="s"/>
      <c r="N2104" s="572" t="s"/>
      <c r="O2104" s="62" t="s"/>
      <c r="P2104" s="62" t="s"/>
      <c r="Q2104" s="62" t="s"/>
      <c r="R2104" s="62" t="s"/>
    </row>
    <row r="2105" spans="1:18" ht="15.75" customHeight="true">
      <c r="A2105" s="107" t="s"/>
      <c r="B2105" s="62" t="s"/>
      <c r="C2105" s="62" t="s"/>
      <c r="D2105" s="62" t="s"/>
      <c r="E2105" s="62" t="s"/>
      <c r="F2105" s="66" t="s"/>
      <c r="G2105" s="66" t="s"/>
      <c r="H2105" s="66" t="s"/>
      <c r="I2105" s="62" t="s"/>
      <c r="J2105" s="62" t="s"/>
      <c r="K2105" s="99" t="s"/>
      <c r="L2105" s="66" t="s"/>
      <c r="M2105" s="66" t="s"/>
      <c r="N2105" s="572" t="s"/>
      <c r="O2105" s="62" t="s"/>
      <c r="P2105" s="62" t="s"/>
      <c r="Q2105" s="62" t="s"/>
      <c r="R2105" s="62" t="s"/>
    </row>
    <row r="2106" spans="1:18" ht="15.75" customHeight="true">
      <c r="A2106" s="107" t="s"/>
      <c r="B2106" s="62" t="s"/>
      <c r="C2106" s="62" t="s"/>
      <c r="D2106" s="62" t="s"/>
      <c r="E2106" s="62" t="s"/>
      <c r="F2106" s="66" t="s"/>
      <c r="G2106" s="66" t="s"/>
      <c r="H2106" s="66" t="s"/>
      <c r="I2106" s="62" t="s"/>
      <c r="J2106" s="62" t="s"/>
      <c r="K2106" s="99" t="s"/>
      <c r="L2106" s="66" t="s"/>
      <c r="M2106" s="66" t="s"/>
      <c r="N2106" s="572" t="s"/>
      <c r="O2106" s="62" t="s"/>
      <c r="P2106" s="62" t="s"/>
      <c r="Q2106" s="62" t="s"/>
      <c r="R2106" s="62" t="s"/>
    </row>
    <row r="2107" spans="1:18" ht="15.75" customHeight="true">
      <c r="A2107" s="107" t="s"/>
      <c r="B2107" s="62" t="s"/>
      <c r="C2107" s="62" t="s"/>
      <c r="D2107" s="62" t="s"/>
      <c r="E2107" s="62" t="s"/>
      <c r="F2107" s="66" t="s"/>
      <c r="G2107" s="66" t="s"/>
      <c r="H2107" s="66" t="s"/>
      <c r="I2107" s="62" t="s"/>
      <c r="J2107" s="62" t="s"/>
      <c r="K2107" s="99" t="s"/>
      <c r="L2107" s="66" t="s"/>
      <c r="M2107" s="66" t="s"/>
      <c r="N2107" s="572" t="s"/>
      <c r="O2107" s="62" t="s"/>
      <c r="P2107" s="62" t="s"/>
      <c r="Q2107" s="62" t="s"/>
      <c r="R2107" s="62" t="s"/>
    </row>
    <row r="2108" spans="1:18" ht="15.75" customHeight="true">
      <c r="A2108" s="107" t="s"/>
      <c r="B2108" s="62" t="s"/>
      <c r="C2108" s="62" t="s"/>
      <c r="D2108" s="62" t="s"/>
      <c r="E2108" s="62" t="s"/>
      <c r="F2108" s="66" t="s"/>
      <c r="G2108" s="66" t="s"/>
      <c r="H2108" s="66" t="s"/>
      <c r="I2108" s="62" t="s"/>
      <c r="J2108" s="62" t="s"/>
      <c r="K2108" s="99" t="s"/>
      <c r="L2108" s="66" t="s"/>
      <c r="M2108" s="66" t="s"/>
      <c r="N2108" s="572" t="s"/>
      <c r="O2108" s="62" t="s"/>
      <c r="P2108" s="62" t="s"/>
      <c r="Q2108" s="62" t="s"/>
      <c r="R2108" s="62" t="s"/>
    </row>
    <row r="2109" spans="1:18" ht="15.75" customHeight="true">
      <c r="A2109" s="107" t="s"/>
      <c r="B2109" s="62" t="s"/>
      <c r="C2109" s="62" t="s"/>
      <c r="D2109" s="62" t="s"/>
      <c r="E2109" s="62" t="s"/>
      <c r="F2109" s="66" t="s"/>
      <c r="G2109" s="66" t="s"/>
      <c r="H2109" s="66" t="s"/>
      <c r="I2109" s="62" t="s"/>
      <c r="J2109" s="62" t="s"/>
      <c r="K2109" s="99" t="s"/>
      <c r="L2109" s="66" t="s"/>
      <c r="M2109" s="66" t="s"/>
      <c r="N2109" s="572" t="s"/>
      <c r="O2109" s="62" t="s"/>
      <c r="P2109" s="62" t="s"/>
      <c r="Q2109" s="62" t="s"/>
      <c r="R2109" s="62" t="s"/>
    </row>
    <row r="2110" spans="1:18" ht="15.75" customHeight="true">
      <c r="A2110" s="107" t="s"/>
      <c r="B2110" s="62" t="s"/>
      <c r="C2110" s="62" t="s"/>
      <c r="D2110" s="62" t="s"/>
      <c r="E2110" s="62" t="s"/>
      <c r="F2110" s="66" t="s"/>
      <c r="G2110" s="66" t="s"/>
      <c r="H2110" s="66" t="s"/>
      <c r="I2110" s="62" t="s"/>
      <c r="J2110" s="62" t="s"/>
      <c r="K2110" s="99" t="s"/>
      <c r="L2110" s="66" t="s"/>
      <c r="M2110" s="66" t="s"/>
      <c r="N2110" s="572" t="s"/>
      <c r="O2110" s="62" t="s"/>
      <c r="P2110" s="62" t="s"/>
      <c r="Q2110" s="62" t="s"/>
      <c r="R2110" s="62" t="s"/>
    </row>
    <row r="2111" spans="1:18" ht="15.75" customHeight="true">
      <c r="A2111" s="107" t="s"/>
      <c r="B2111" s="62" t="s"/>
      <c r="C2111" s="62" t="s"/>
      <c r="D2111" s="62" t="s"/>
      <c r="E2111" s="62" t="s"/>
      <c r="F2111" s="66" t="s"/>
      <c r="G2111" s="66" t="s"/>
      <c r="H2111" s="66" t="s"/>
      <c r="I2111" s="62" t="s"/>
      <c r="J2111" s="62" t="s"/>
      <c r="K2111" s="99" t="s"/>
      <c r="L2111" s="66" t="s"/>
      <c r="M2111" s="66" t="s"/>
      <c r="N2111" s="572" t="s"/>
      <c r="O2111" s="62" t="s"/>
      <c r="P2111" s="62" t="s"/>
      <c r="Q2111" s="62" t="s"/>
      <c r="R2111" s="62" t="s"/>
    </row>
    <row r="2112" spans="1:18" ht="15.75" customHeight="true">
      <c r="A2112" s="107" t="s"/>
      <c r="B2112" s="62" t="s"/>
      <c r="C2112" s="62" t="s"/>
      <c r="D2112" s="62" t="s"/>
      <c r="E2112" s="62" t="s"/>
      <c r="F2112" s="66" t="s"/>
      <c r="G2112" s="66" t="s"/>
      <c r="H2112" s="66" t="s"/>
      <c r="I2112" s="62" t="s"/>
      <c r="J2112" s="62" t="s"/>
      <c r="K2112" s="99" t="s"/>
      <c r="L2112" s="66" t="s"/>
      <c r="M2112" s="66" t="s"/>
      <c r="N2112" s="572" t="s"/>
      <c r="O2112" s="62" t="s"/>
      <c r="P2112" s="62" t="s"/>
      <c r="Q2112" s="62" t="s"/>
      <c r="R2112" s="62" t="s"/>
    </row>
    <row r="2113" spans="1:18" ht="15.75" customHeight="true">
      <c r="A2113" s="107" t="s"/>
      <c r="B2113" s="62" t="s"/>
      <c r="C2113" s="62" t="s"/>
      <c r="D2113" s="62" t="s"/>
      <c r="E2113" s="62" t="s"/>
      <c r="F2113" s="66" t="s"/>
      <c r="G2113" s="66" t="s"/>
      <c r="H2113" s="66" t="s"/>
      <c r="I2113" s="62" t="s"/>
      <c r="J2113" s="62" t="s"/>
      <c r="K2113" s="99" t="s"/>
      <c r="L2113" s="66" t="s"/>
      <c r="M2113" s="66" t="s"/>
      <c r="N2113" s="572" t="s"/>
      <c r="O2113" s="62" t="s"/>
      <c r="P2113" s="62" t="s"/>
      <c r="Q2113" s="62" t="s"/>
      <c r="R2113" s="62" t="s"/>
    </row>
    <row r="2114" spans="1:18" ht="15.75" customHeight="true">
      <c r="A2114" s="107" t="s"/>
      <c r="B2114" s="62" t="s"/>
      <c r="C2114" s="62" t="s"/>
      <c r="D2114" s="62" t="s"/>
      <c r="E2114" s="62" t="s"/>
      <c r="F2114" s="66" t="s"/>
      <c r="G2114" s="66" t="s"/>
      <c r="H2114" s="66" t="s"/>
      <c r="I2114" s="62" t="s"/>
      <c r="J2114" s="62" t="s"/>
      <c r="K2114" s="99" t="s"/>
      <c r="L2114" s="66" t="s"/>
      <c r="M2114" s="66" t="s"/>
      <c r="N2114" s="572" t="s"/>
      <c r="O2114" s="62" t="s"/>
      <c r="P2114" s="62" t="s"/>
      <c r="Q2114" s="62" t="s"/>
      <c r="R2114" s="62" t="s"/>
    </row>
    <row r="2115" spans="1:18" ht="15.75" customHeight="true">
      <c r="A2115" s="107" t="s"/>
      <c r="B2115" s="62" t="s"/>
      <c r="C2115" s="62" t="s"/>
      <c r="D2115" s="62" t="s"/>
      <c r="E2115" s="62" t="s"/>
      <c r="F2115" s="66" t="s"/>
      <c r="G2115" s="66" t="s"/>
      <c r="H2115" s="66" t="s"/>
      <c r="I2115" s="62" t="s"/>
      <c r="J2115" s="62" t="s"/>
      <c r="K2115" s="99" t="s"/>
      <c r="L2115" s="66" t="s"/>
      <c r="M2115" s="66" t="s"/>
      <c r="N2115" s="572" t="s"/>
      <c r="O2115" s="62" t="s"/>
      <c r="P2115" s="62" t="s"/>
      <c r="Q2115" s="62" t="s"/>
      <c r="R2115" s="62" t="s"/>
    </row>
    <row r="2116" spans="1:18" ht="15.75" customHeight="true">
      <c r="A2116" s="107" t="s"/>
      <c r="B2116" s="62" t="s"/>
      <c r="C2116" s="62" t="s"/>
      <c r="D2116" s="62" t="s"/>
      <c r="E2116" s="62" t="s"/>
      <c r="F2116" s="66" t="s"/>
      <c r="G2116" s="66" t="s"/>
      <c r="H2116" s="66" t="s"/>
      <c r="I2116" s="62" t="s"/>
      <c r="J2116" s="62" t="s"/>
      <c r="K2116" s="99" t="s"/>
      <c r="L2116" s="66" t="s"/>
      <c r="M2116" s="66" t="s"/>
      <c r="N2116" s="572" t="s"/>
      <c r="O2116" s="62" t="s"/>
      <c r="P2116" s="62" t="s"/>
      <c r="Q2116" s="62" t="s"/>
      <c r="R2116" s="62" t="s"/>
    </row>
    <row r="2117" spans="1:18" ht="15.75" customHeight="true">
      <c r="A2117" s="107" t="s"/>
      <c r="B2117" s="62" t="s"/>
      <c r="C2117" s="62" t="s"/>
      <c r="D2117" s="62" t="s"/>
      <c r="E2117" s="62" t="s"/>
      <c r="F2117" s="66" t="s"/>
      <c r="G2117" s="66" t="s"/>
      <c r="H2117" s="66" t="s"/>
      <c r="I2117" s="62" t="s"/>
      <c r="J2117" s="62" t="s"/>
      <c r="K2117" s="99" t="s"/>
      <c r="L2117" s="66" t="s"/>
      <c r="M2117" s="66" t="s"/>
      <c r="N2117" s="572" t="s"/>
      <c r="O2117" s="62" t="s"/>
      <c r="P2117" s="62" t="s"/>
      <c r="Q2117" s="62" t="s"/>
      <c r="R2117" s="62" t="s"/>
    </row>
    <row r="2118" spans="1:18" ht="15.75" customHeight="true">
      <c r="A2118" s="107" t="s"/>
      <c r="B2118" s="62" t="s"/>
      <c r="C2118" s="62" t="s"/>
      <c r="D2118" s="62" t="s"/>
      <c r="E2118" s="62" t="s"/>
      <c r="F2118" s="66" t="s"/>
      <c r="G2118" s="66" t="s"/>
      <c r="H2118" s="66" t="s"/>
      <c r="I2118" s="62" t="s"/>
      <c r="J2118" s="62" t="s"/>
      <c r="K2118" s="99" t="s"/>
      <c r="L2118" s="66" t="s"/>
      <c r="M2118" s="66" t="s"/>
      <c r="N2118" s="572" t="s"/>
      <c r="O2118" s="62" t="s"/>
      <c r="P2118" s="62" t="s"/>
      <c r="Q2118" s="62" t="s"/>
      <c r="R2118" s="62" t="s"/>
    </row>
    <row r="2119" spans="1:18" ht="15.75" customHeight="true">
      <c r="A2119" s="107" t="s"/>
      <c r="B2119" s="62" t="s"/>
      <c r="C2119" s="62" t="s"/>
      <c r="D2119" s="62" t="s"/>
      <c r="E2119" s="62" t="s"/>
      <c r="F2119" s="66" t="s"/>
      <c r="G2119" s="66" t="s"/>
      <c r="H2119" s="66" t="s"/>
      <c r="I2119" s="62" t="s"/>
      <c r="J2119" s="62" t="s"/>
      <c r="K2119" s="99" t="s"/>
      <c r="L2119" s="66" t="s"/>
      <c r="M2119" s="66" t="s"/>
      <c r="N2119" s="572" t="s"/>
      <c r="O2119" s="62" t="s"/>
      <c r="P2119" s="62" t="s"/>
      <c r="Q2119" s="62" t="s"/>
      <c r="R2119" s="62" t="s"/>
    </row>
    <row r="2120" spans="1:18" ht="15.75" customHeight="true">
      <c r="A2120" s="107" t="s"/>
      <c r="B2120" s="62" t="s"/>
      <c r="C2120" s="62" t="s"/>
      <c r="D2120" s="62" t="s"/>
      <c r="E2120" s="62" t="s"/>
      <c r="F2120" s="66" t="s"/>
      <c r="G2120" s="66" t="s"/>
      <c r="H2120" s="66" t="s"/>
      <c r="I2120" s="62" t="s"/>
      <c r="J2120" s="62" t="s"/>
      <c r="K2120" s="99" t="s"/>
      <c r="L2120" s="66" t="s"/>
      <c r="M2120" s="66" t="s"/>
      <c r="N2120" s="572" t="s"/>
      <c r="O2120" s="62" t="s"/>
      <c r="P2120" s="62" t="s"/>
      <c r="Q2120" s="62" t="s"/>
      <c r="R2120" s="62" t="s"/>
    </row>
    <row r="2121" spans="1:18" ht="15.75" customHeight="true">
      <c r="A2121" s="107" t="s"/>
      <c r="B2121" s="62" t="s"/>
      <c r="C2121" s="62" t="s"/>
      <c r="D2121" s="62" t="s"/>
      <c r="E2121" s="62" t="s"/>
      <c r="F2121" s="66" t="s"/>
      <c r="G2121" s="66" t="s"/>
      <c r="H2121" s="66" t="s"/>
      <c r="I2121" s="62" t="s"/>
      <c r="J2121" s="62" t="s"/>
      <c r="K2121" s="99" t="s"/>
      <c r="L2121" s="66" t="s"/>
      <c r="M2121" s="66" t="s"/>
      <c r="N2121" s="572" t="s"/>
      <c r="O2121" s="62" t="s"/>
      <c r="P2121" s="62" t="s"/>
      <c r="Q2121" s="62" t="s"/>
      <c r="R2121" s="62" t="s"/>
    </row>
    <row r="2122" spans="1:18" ht="15.75" customHeight="true">
      <c r="A2122" s="107" t="s"/>
      <c r="B2122" s="62" t="s"/>
      <c r="C2122" s="62" t="s"/>
      <c r="D2122" s="62" t="s"/>
      <c r="E2122" s="62" t="s"/>
      <c r="F2122" s="66" t="s"/>
      <c r="G2122" s="66" t="s"/>
      <c r="H2122" s="66" t="s"/>
      <c r="I2122" s="62" t="s"/>
      <c r="J2122" s="62" t="s"/>
      <c r="K2122" s="99" t="s"/>
      <c r="L2122" s="66" t="s"/>
      <c r="M2122" s="66" t="s"/>
      <c r="N2122" s="572" t="s"/>
      <c r="O2122" s="62" t="s"/>
      <c r="P2122" s="62" t="s"/>
      <c r="Q2122" s="62" t="s"/>
      <c r="R2122" s="62" t="s"/>
    </row>
    <row r="2123" spans="1:18" ht="15.75" customHeight="true">
      <c r="A2123" s="107" t="s"/>
      <c r="B2123" s="62" t="s"/>
      <c r="C2123" s="62" t="s"/>
      <c r="D2123" s="62" t="s"/>
      <c r="E2123" s="62" t="s"/>
      <c r="F2123" s="66" t="s"/>
      <c r="G2123" s="66" t="s"/>
      <c r="H2123" s="66" t="s"/>
      <c r="I2123" s="62" t="s"/>
      <c r="J2123" s="62" t="s"/>
      <c r="K2123" s="99" t="s"/>
      <c r="L2123" s="66" t="s"/>
      <c r="M2123" s="66" t="s"/>
      <c r="N2123" s="572" t="s"/>
      <c r="O2123" s="62" t="s"/>
      <c r="P2123" s="62" t="s"/>
      <c r="Q2123" s="62" t="s"/>
      <c r="R2123" s="62" t="s"/>
    </row>
    <row r="2124" spans="1:18" ht="15.75" customHeight="true">
      <c r="A2124" s="107" t="s"/>
      <c r="B2124" s="62" t="s"/>
      <c r="C2124" s="62" t="s"/>
      <c r="D2124" s="62" t="s"/>
      <c r="E2124" s="62" t="s"/>
      <c r="F2124" s="66" t="s"/>
      <c r="G2124" s="66" t="s"/>
      <c r="H2124" s="66" t="s"/>
      <c r="I2124" s="62" t="s"/>
      <c r="J2124" s="62" t="s"/>
      <c r="K2124" s="99" t="s"/>
      <c r="L2124" s="66" t="s"/>
      <c r="M2124" s="66" t="s"/>
      <c r="N2124" s="572" t="s"/>
      <c r="O2124" s="62" t="s"/>
      <c r="P2124" s="62" t="s"/>
      <c r="Q2124" s="62" t="s"/>
      <c r="R2124" s="62" t="s"/>
    </row>
    <row r="2125" spans="1:18" ht="15.75" customHeight="true">
      <c r="A2125" s="107" t="s"/>
      <c r="B2125" s="62" t="s"/>
      <c r="C2125" s="62" t="s"/>
      <c r="D2125" s="62" t="s"/>
      <c r="E2125" s="62" t="s"/>
      <c r="F2125" s="66" t="s"/>
      <c r="G2125" s="66" t="s"/>
      <c r="H2125" s="66" t="s"/>
      <c r="I2125" s="62" t="s"/>
      <c r="J2125" s="62" t="s"/>
      <c r="K2125" s="99" t="s"/>
      <c r="L2125" s="66" t="s"/>
      <c r="M2125" s="66" t="s"/>
      <c r="N2125" s="572" t="s"/>
      <c r="O2125" s="62" t="s"/>
      <c r="P2125" s="62" t="s"/>
      <c r="Q2125" s="62" t="s"/>
      <c r="R2125" s="62" t="s"/>
    </row>
    <row r="2126" spans="1:18" ht="15.75" customHeight="true">
      <c r="A2126" s="107" t="s"/>
      <c r="B2126" s="62" t="s"/>
      <c r="C2126" s="62" t="s"/>
      <c r="D2126" s="62" t="s"/>
      <c r="E2126" s="62" t="s"/>
      <c r="F2126" s="66" t="s"/>
      <c r="G2126" s="66" t="s"/>
      <c r="H2126" s="66" t="s"/>
      <c r="I2126" s="62" t="s"/>
      <c r="J2126" s="62" t="s"/>
      <c r="K2126" s="99" t="s"/>
      <c r="L2126" s="66" t="s"/>
      <c r="M2126" s="66" t="s"/>
      <c r="N2126" s="572" t="s"/>
      <c r="O2126" s="62" t="s"/>
      <c r="P2126" s="62" t="s"/>
      <c r="Q2126" s="62" t="s"/>
      <c r="R2126" s="62" t="s"/>
    </row>
    <row r="2127" spans="1:18" ht="15.75" customHeight="true">
      <c r="A2127" s="107" t="s"/>
      <c r="B2127" s="62" t="s"/>
      <c r="C2127" s="62" t="s"/>
      <c r="D2127" s="62" t="s"/>
      <c r="E2127" s="62" t="s"/>
      <c r="F2127" s="66" t="s"/>
      <c r="G2127" s="66" t="s"/>
      <c r="H2127" s="66" t="s"/>
      <c r="I2127" s="62" t="s"/>
      <c r="J2127" s="62" t="s"/>
      <c r="K2127" s="99" t="s"/>
      <c r="L2127" s="66" t="s"/>
      <c r="M2127" s="66" t="s"/>
      <c r="N2127" s="572" t="s"/>
      <c r="O2127" s="62" t="s"/>
      <c r="P2127" s="62" t="s"/>
      <c r="Q2127" s="62" t="s"/>
      <c r="R2127" s="62" t="s"/>
    </row>
    <row r="2128" spans="1:18" ht="15.75" customHeight="true">
      <c r="A2128" s="107" t="s"/>
      <c r="B2128" s="62" t="s"/>
      <c r="C2128" s="62" t="s"/>
      <c r="D2128" s="62" t="s"/>
      <c r="E2128" s="62" t="s"/>
      <c r="F2128" s="66" t="s"/>
      <c r="G2128" s="66" t="s"/>
      <c r="H2128" s="66" t="s"/>
      <c r="I2128" s="62" t="s"/>
      <c r="J2128" s="62" t="s"/>
      <c r="K2128" s="99" t="s"/>
      <c r="L2128" s="66" t="s"/>
      <c r="M2128" s="66" t="s"/>
      <c r="N2128" s="572" t="s"/>
      <c r="O2128" s="62" t="s"/>
      <c r="P2128" s="62" t="s"/>
      <c r="Q2128" s="62" t="s"/>
      <c r="R2128" s="62" t="s"/>
    </row>
    <row r="2129" spans="1:18" ht="15.75" customHeight="true">
      <c r="A2129" s="107" t="s"/>
      <c r="B2129" s="62" t="s"/>
      <c r="C2129" s="62" t="s"/>
      <c r="D2129" s="62" t="s"/>
      <c r="E2129" s="62" t="s"/>
      <c r="F2129" s="66" t="s"/>
      <c r="G2129" s="66" t="s"/>
      <c r="H2129" s="66" t="s"/>
      <c r="I2129" s="62" t="s"/>
      <c r="J2129" s="62" t="s"/>
      <c r="K2129" s="99" t="s"/>
      <c r="L2129" s="66" t="s"/>
      <c r="M2129" s="66" t="s"/>
      <c r="N2129" s="572" t="s"/>
      <c r="O2129" s="62" t="s"/>
      <c r="P2129" s="62" t="s"/>
      <c r="Q2129" s="62" t="s"/>
      <c r="R2129" s="62" t="s"/>
    </row>
    <row r="2130" spans="1:18" ht="15.75" customHeight="true">
      <c r="A2130" s="107" t="s"/>
      <c r="B2130" s="62" t="s"/>
      <c r="C2130" s="62" t="s"/>
      <c r="D2130" s="62" t="s"/>
      <c r="E2130" s="62" t="s"/>
      <c r="F2130" s="66" t="s"/>
      <c r="G2130" s="66" t="s"/>
      <c r="H2130" s="66" t="s"/>
      <c r="I2130" s="62" t="s"/>
      <c r="J2130" s="62" t="s"/>
      <c r="K2130" s="99" t="s"/>
      <c r="L2130" s="66" t="s"/>
      <c r="M2130" s="66" t="s"/>
      <c r="N2130" s="572" t="s"/>
      <c r="O2130" s="62" t="s"/>
      <c r="P2130" s="62" t="s"/>
      <c r="Q2130" s="62" t="s"/>
      <c r="R2130" s="62" t="s"/>
    </row>
    <row r="2131" spans="1:18" ht="15.75" customHeight="true">
      <c r="A2131" s="107" t="s"/>
      <c r="B2131" s="62" t="s"/>
      <c r="C2131" s="62" t="s"/>
      <c r="D2131" s="62" t="s"/>
      <c r="E2131" s="62" t="s"/>
      <c r="F2131" s="66" t="s"/>
      <c r="G2131" s="66" t="s"/>
      <c r="H2131" s="66" t="s"/>
      <c r="I2131" s="62" t="s"/>
      <c r="J2131" s="62" t="s"/>
      <c r="K2131" s="99" t="s"/>
      <c r="L2131" s="66" t="s"/>
      <c r="M2131" s="66" t="s"/>
      <c r="N2131" s="572" t="s"/>
      <c r="O2131" s="62" t="s"/>
      <c r="P2131" s="62" t="s"/>
      <c r="Q2131" s="62" t="s"/>
      <c r="R2131" s="62" t="s"/>
    </row>
    <row r="2132" spans="1:18" ht="15.75" customHeight="true">
      <c r="A2132" s="107" t="s"/>
      <c r="B2132" s="62" t="s"/>
      <c r="C2132" s="62" t="s"/>
      <c r="D2132" s="62" t="s"/>
      <c r="E2132" s="62" t="s"/>
      <c r="F2132" s="66" t="s"/>
      <c r="G2132" s="66" t="s"/>
      <c r="H2132" s="66" t="s"/>
      <c r="I2132" s="62" t="s"/>
      <c r="J2132" s="62" t="s"/>
      <c r="K2132" s="99" t="s"/>
      <c r="L2132" s="66" t="s"/>
      <c r="M2132" s="66" t="s"/>
      <c r="N2132" s="572" t="s"/>
      <c r="O2132" s="62" t="s"/>
      <c r="P2132" s="62" t="s"/>
      <c r="Q2132" s="62" t="s"/>
      <c r="R2132" s="62" t="s"/>
    </row>
    <row r="2133" spans="1:18" ht="15.75" customHeight="true">
      <c r="A2133" s="107" t="s"/>
      <c r="B2133" s="62" t="s"/>
      <c r="C2133" s="62" t="s"/>
      <c r="D2133" s="62" t="s"/>
      <c r="E2133" s="62" t="s"/>
      <c r="F2133" s="66" t="s"/>
      <c r="G2133" s="66" t="s"/>
      <c r="H2133" s="66" t="s"/>
      <c r="I2133" s="62" t="s"/>
      <c r="J2133" s="62" t="s"/>
      <c r="K2133" s="99" t="s"/>
      <c r="L2133" s="66" t="s"/>
      <c r="M2133" s="66" t="s"/>
      <c r="N2133" s="572" t="s"/>
      <c r="O2133" s="62" t="s"/>
      <c r="P2133" s="62" t="s"/>
      <c r="Q2133" s="62" t="s"/>
      <c r="R2133" s="62" t="s"/>
    </row>
    <row r="2134" spans="1:18" ht="15.75" customHeight="true">
      <c r="A2134" s="107" t="s"/>
      <c r="B2134" s="62" t="s"/>
      <c r="C2134" s="62" t="s"/>
      <c r="D2134" s="62" t="s"/>
      <c r="E2134" s="62" t="s"/>
      <c r="F2134" s="66" t="s"/>
      <c r="G2134" s="66" t="s"/>
      <c r="H2134" s="66" t="s"/>
      <c r="I2134" s="62" t="s"/>
      <c r="J2134" s="62" t="s"/>
      <c r="K2134" s="99" t="s"/>
      <c r="L2134" s="66" t="s"/>
      <c r="M2134" s="66" t="s"/>
      <c r="N2134" s="572" t="s"/>
      <c r="O2134" s="62" t="s"/>
      <c r="P2134" s="62" t="s"/>
      <c r="Q2134" s="62" t="s"/>
      <c r="R2134" s="62" t="s"/>
    </row>
    <row r="2135" spans="1:18" ht="15.75" customHeight="true">
      <c r="A2135" s="107" t="s"/>
      <c r="B2135" s="62" t="s"/>
      <c r="C2135" s="62" t="s"/>
      <c r="D2135" s="62" t="s"/>
      <c r="E2135" s="62" t="s"/>
      <c r="F2135" s="66" t="s"/>
      <c r="G2135" s="66" t="s"/>
      <c r="H2135" s="66" t="s"/>
      <c r="I2135" s="62" t="s"/>
      <c r="J2135" s="62" t="s"/>
      <c r="K2135" s="99" t="s"/>
      <c r="L2135" s="66" t="s"/>
      <c r="M2135" s="66" t="s"/>
      <c r="N2135" s="572" t="s"/>
      <c r="O2135" s="62" t="s"/>
      <c r="P2135" s="62" t="s"/>
      <c r="Q2135" s="62" t="s"/>
      <c r="R2135" s="62" t="s"/>
    </row>
    <row r="2136" spans="1:18" ht="15.75" customHeight="true">
      <c r="A2136" s="107" t="s"/>
      <c r="B2136" s="62" t="s"/>
      <c r="C2136" s="62" t="s"/>
      <c r="D2136" s="62" t="s"/>
      <c r="E2136" s="62" t="s"/>
      <c r="F2136" s="66" t="s"/>
      <c r="G2136" s="66" t="s"/>
      <c r="H2136" s="66" t="s"/>
      <c r="I2136" s="62" t="s"/>
      <c r="J2136" s="62" t="s"/>
      <c r="K2136" s="99" t="s"/>
      <c r="L2136" s="66" t="s"/>
      <c r="M2136" s="66" t="s"/>
      <c r="N2136" s="572" t="s"/>
      <c r="O2136" s="62" t="s"/>
      <c r="P2136" s="62" t="s"/>
      <c r="Q2136" s="62" t="s"/>
      <c r="R2136" s="62" t="s"/>
    </row>
    <row r="2137" spans="1:18" ht="15.75" customHeight="true">
      <c r="A2137" s="107" t="s"/>
      <c r="B2137" s="62" t="s"/>
      <c r="C2137" s="62" t="s"/>
      <c r="D2137" s="62" t="s"/>
      <c r="E2137" s="62" t="s"/>
      <c r="F2137" s="66" t="s"/>
      <c r="G2137" s="66" t="s"/>
      <c r="H2137" s="66" t="s"/>
      <c r="I2137" s="62" t="s"/>
      <c r="J2137" s="62" t="s"/>
      <c r="K2137" s="99" t="s"/>
      <c r="L2137" s="66" t="s"/>
      <c r="M2137" s="66" t="s"/>
      <c r="N2137" s="572" t="s"/>
      <c r="O2137" s="62" t="s"/>
      <c r="P2137" s="62" t="s"/>
      <c r="Q2137" s="62" t="s"/>
      <c r="R2137" s="62" t="s"/>
    </row>
    <row r="2138" spans="1:18" ht="15.75" customHeight="true">
      <c r="A2138" s="107" t="s"/>
      <c r="B2138" s="62" t="s"/>
      <c r="C2138" s="62" t="s"/>
      <c r="D2138" s="62" t="s"/>
      <c r="E2138" s="62" t="s"/>
      <c r="F2138" s="66" t="s"/>
      <c r="G2138" s="66" t="s"/>
      <c r="H2138" s="66" t="s"/>
      <c r="I2138" s="62" t="s"/>
      <c r="J2138" s="62" t="s"/>
      <c r="K2138" s="99" t="s"/>
      <c r="L2138" s="66" t="s"/>
      <c r="M2138" s="66" t="s"/>
      <c r="N2138" s="572" t="s"/>
      <c r="O2138" s="62" t="s"/>
      <c r="P2138" s="62" t="s"/>
      <c r="Q2138" s="62" t="s"/>
      <c r="R2138" s="62" t="s"/>
    </row>
    <row r="2139" spans="1:18" ht="15.75" customHeight="true">
      <c r="A2139" s="107" t="s"/>
      <c r="B2139" s="62" t="s"/>
      <c r="C2139" s="62" t="s"/>
      <c r="D2139" s="62" t="s"/>
      <c r="E2139" s="62" t="s"/>
      <c r="F2139" s="66" t="s"/>
      <c r="G2139" s="66" t="s"/>
      <c r="H2139" s="66" t="s"/>
      <c r="I2139" s="62" t="s"/>
      <c r="J2139" s="62" t="s"/>
      <c r="K2139" s="99" t="s"/>
      <c r="L2139" s="66" t="s"/>
      <c r="M2139" s="66" t="s"/>
      <c r="N2139" s="572" t="s"/>
      <c r="O2139" s="62" t="s"/>
      <c r="P2139" s="62" t="s"/>
      <c r="Q2139" s="62" t="s"/>
      <c r="R2139" s="62" t="s"/>
    </row>
    <row r="2140" spans="1:18" ht="15.75" customHeight="true">
      <c r="A2140" s="107" t="s"/>
      <c r="B2140" s="62" t="s"/>
      <c r="C2140" s="62" t="s"/>
      <c r="D2140" s="62" t="s"/>
      <c r="E2140" s="62" t="s"/>
      <c r="F2140" s="66" t="s"/>
      <c r="G2140" s="66" t="s"/>
      <c r="H2140" s="66" t="s"/>
      <c r="I2140" s="62" t="s"/>
      <c r="J2140" s="62" t="s"/>
      <c r="K2140" s="99" t="s"/>
      <c r="L2140" s="66" t="s"/>
      <c r="M2140" s="66" t="s"/>
      <c r="N2140" s="572" t="s"/>
      <c r="O2140" s="62" t="s"/>
      <c r="P2140" s="62" t="s"/>
      <c r="Q2140" s="62" t="s"/>
      <c r="R2140" s="62" t="s"/>
    </row>
    <row r="2141" spans="1:18" ht="15.75" customHeight="true">
      <c r="A2141" s="107" t="s"/>
      <c r="B2141" s="62" t="s"/>
      <c r="C2141" s="62" t="s"/>
      <c r="D2141" s="62" t="s"/>
      <c r="E2141" s="62" t="s"/>
      <c r="F2141" s="66" t="s"/>
      <c r="G2141" s="66" t="s"/>
      <c r="H2141" s="66" t="s"/>
      <c r="I2141" s="62" t="s"/>
      <c r="J2141" s="62" t="s"/>
      <c r="K2141" s="99" t="s"/>
      <c r="L2141" s="66" t="s"/>
      <c r="M2141" s="66" t="s"/>
      <c r="N2141" s="572" t="s"/>
      <c r="O2141" s="62" t="s"/>
      <c r="P2141" s="62" t="s"/>
      <c r="Q2141" s="62" t="s"/>
      <c r="R2141" s="62" t="s"/>
    </row>
    <row r="2142" spans="1:18" ht="15.75" customHeight="true">
      <c r="A2142" s="107" t="s"/>
      <c r="B2142" s="62" t="s"/>
      <c r="C2142" s="62" t="s"/>
      <c r="D2142" s="62" t="s"/>
      <c r="E2142" s="62" t="s"/>
      <c r="F2142" s="66" t="s"/>
      <c r="G2142" s="66" t="s"/>
      <c r="H2142" s="66" t="s"/>
      <c r="I2142" s="62" t="s"/>
      <c r="J2142" s="62" t="s"/>
      <c r="K2142" s="99" t="s"/>
      <c r="L2142" s="66" t="s"/>
      <c r="M2142" s="66" t="s"/>
      <c r="N2142" s="572" t="s"/>
      <c r="O2142" s="62" t="s"/>
      <c r="P2142" s="62" t="s"/>
      <c r="Q2142" s="62" t="s"/>
      <c r="R2142" s="62" t="s"/>
    </row>
    <row r="2143" spans="1:18" ht="15.75" customHeight="true">
      <c r="A2143" s="107" t="s"/>
      <c r="B2143" s="62" t="s"/>
      <c r="C2143" s="62" t="s"/>
      <c r="D2143" s="62" t="s"/>
      <c r="E2143" s="62" t="s"/>
      <c r="F2143" s="66" t="s"/>
      <c r="G2143" s="66" t="s"/>
      <c r="H2143" s="66" t="s"/>
      <c r="I2143" s="62" t="s"/>
      <c r="J2143" s="62" t="s"/>
      <c r="K2143" s="99" t="s"/>
      <c r="L2143" s="66" t="s"/>
      <c r="M2143" s="66" t="s"/>
      <c r="N2143" s="572" t="s"/>
      <c r="O2143" s="62" t="s"/>
      <c r="P2143" s="62" t="s"/>
      <c r="Q2143" s="62" t="s"/>
      <c r="R2143" s="62" t="s"/>
    </row>
    <row r="2144" spans="1:18" ht="15.75" customHeight="true">
      <c r="A2144" s="107" t="s"/>
      <c r="B2144" s="62" t="s"/>
      <c r="C2144" s="62" t="s"/>
      <c r="D2144" s="62" t="s"/>
      <c r="E2144" s="62" t="s"/>
      <c r="F2144" s="66" t="s"/>
      <c r="G2144" s="66" t="s"/>
      <c r="H2144" s="66" t="s"/>
      <c r="I2144" s="62" t="s"/>
      <c r="J2144" s="62" t="s"/>
      <c r="K2144" s="99" t="s"/>
      <c r="L2144" s="66" t="s"/>
      <c r="M2144" s="66" t="s"/>
      <c r="N2144" s="572" t="s"/>
      <c r="O2144" s="62" t="s"/>
      <c r="P2144" s="62" t="s"/>
      <c r="Q2144" s="62" t="s"/>
      <c r="R2144" s="62" t="s"/>
    </row>
    <row r="2145" spans="1:18" ht="15.75" customHeight="true">
      <c r="A2145" s="107" t="s"/>
      <c r="B2145" s="62" t="s"/>
      <c r="C2145" s="62" t="s"/>
      <c r="D2145" s="62" t="s"/>
      <c r="E2145" s="62" t="s"/>
      <c r="F2145" s="66" t="s"/>
      <c r="G2145" s="66" t="s"/>
      <c r="H2145" s="66" t="s"/>
      <c r="I2145" s="62" t="s"/>
      <c r="J2145" s="62" t="s"/>
      <c r="K2145" s="99" t="s"/>
      <c r="L2145" s="66" t="s"/>
      <c r="M2145" s="66" t="s"/>
      <c r="N2145" s="572" t="s"/>
      <c r="O2145" s="62" t="s"/>
      <c r="P2145" s="62" t="s"/>
      <c r="Q2145" s="62" t="s"/>
      <c r="R2145" s="62" t="s"/>
    </row>
    <row r="2146" spans="1:18" ht="15.75" customHeight="true">
      <c r="A2146" s="107" t="s"/>
      <c r="B2146" s="62" t="s"/>
      <c r="C2146" s="62" t="s"/>
      <c r="D2146" s="62" t="s"/>
      <c r="E2146" s="62" t="s"/>
      <c r="F2146" s="66" t="s"/>
      <c r="G2146" s="66" t="s"/>
      <c r="H2146" s="66" t="s"/>
      <c r="I2146" s="62" t="s"/>
      <c r="J2146" s="62" t="s"/>
      <c r="K2146" s="99" t="s"/>
      <c r="L2146" s="66" t="s"/>
      <c r="M2146" s="66" t="s"/>
      <c r="N2146" s="572" t="s"/>
      <c r="O2146" s="62" t="s"/>
      <c r="P2146" s="62" t="s"/>
      <c r="Q2146" s="62" t="s"/>
      <c r="R2146" s="62" t="s"/>
    </row>
    <row r="2147" spans="1:18" ht="15.75" customHeight="true">
      <c r="A2147" s="107" t="s"/>
      <c r="B2147" s="62" t="s"/>
      <c r="C2147" s="62" t="s"/>
      <c r="D2147" s="62" t="s"/>
      <c r="E2147" s="62" t="s"/>
      <c r="F2147" s="66" t="s"/>
      <c r="G2147" s="66" t="s"/>
      <c r="H2147" s="66" t="s"/>
      <c r="I2147" s="62" t="s"/>
      <c r="J2147" s="62" t="s"/>
      <c r="K2147" s="99" t="s"/>
      <c r="L2147" s="66" t="s"/>
      <c r="M2147" s="66" t="s"/>
      <c r="N2147" s="572" t="s"/>
      <c r="O2147" s="62" t="s"/>
      <c r="P2147" s="62" t="s"/>
      <c r="Q2147" s="62" t="s"/>
      <c r="R2147" s="62" t="s"/>
    </row>
    <row r="2148" spans="1:18" ht="15.75" customHeight="true">
      <c r="A2148" s="107" t="s"/>
      <c r="B2148" s="62" t="s"/>
      <c r="C2148" s="62" t="s"/>
      <c r="D2148" s="62" t="s"/>
      <c r="E2148" s="62" t="s"/>
      <c r="F2148" s="66" t="s"/>
      <c r="G2148" s="66" t="s"/>
      <c r="H2148" s="66" t="s"/>
      <c r="I2148" s="62" t="s"/>
      <c r="J2148" s="62" t="s"/>
      <c r="K2148" s="99" t="s"/>
      <c r="L2148" s="66" t="s"/>
      <c r="M2148" s="66" t="s"/>
      <c r="N2148" s="572" t="s"/>
      <c r="O2148" s="62" t="s"/>
      <c r="P2148" s="62" t="s"/>
      <c r="Q2148" s="62" t="s"/>
      <c r="R2148" s="62" t="s"/>
    </row>
    <row r="2149" spans="1:18" ht="15.75" customHeight="true">
      <c r="A2149" s="107" t="s"/>
      <c r="B2149" s="62" t="s"/>
      <c r="C2149" s="62" t="s"/>
      <c r="D2149" s="62" t="s"/>
      <c r="E2149" s="62" t="s"/>
      <c r="F2149" s="66" t="s"/>
      <c r="G2149" s="66" t="s"/>
      <c r="H2149" s="66" t="s"/>
      <c r="I2149" s="62" t="s"/>
      <c r="J2149" s="62" t="s"/>
      <c r="K2149" s="99" t="s"/>
      <c r="L2149" s="66" t="s"/>
      <c r="M2149" s="66" t="s"/>
      <c r="N2149" s="572" t="s"/>
      <c r="O2149" s="62" t="s"/>
      <c r="P2149" s="62" t="s"/>
      <c r="Q2149" s="62" t="s"/>
      <c r="R2149" s="62" t="s"/>
    </row>
    <row r="2150" spans="1:18" ht="15.75" customHeight="true">
      <c r="A2150" s="107" t="s"/>
      <c r="B2150" s="62" t="s"/>
      <c r="C2150" s="62" t="s"/>
      <c r="D2150" s="62" t="s"/>
      <c r="E2150" s="62" t="s"/>
      <c r="F2150" s="66" t="s"/>
      <c r="G2150" s="66" t="s"/>
      <c r="H2150" s="66" t="s"/>
      <c r="I2150" s="62" t="s"/>
      <c r="J2150" s="62" t="s"/>
      <c r="K2150" s="99" t="s"/>
      <c r="L2150" s="66" t="s"/>
      <c r="M2150" s="66" t="s"/>
      <c r="N2150" s="572" t="s"/>
      <c r="O2150" s="62" t="s"/>
      <c r="P2150" s="62" t="s"/>
      <c r="Q2150" s="62" t="s"/>
      <c r="R2150" s="62" t="s"/>
    </row>
    <row r="2151" spans="1:18" ht="15.75" customHeight="true">
      <c r="A2151" s="107" t="s"/>
      <c r="B2151" s="62" t="s"/>
      <c r="C2151" s="62" t="s"/>
      <c r="D2151" s="62" t="s"/>
      <c r="E2151" s="62" t="s"/>
      <c r="F2151" s="66" t="s"/>
      <c r="G2151" s="66" t="s"/>
      <c r="H2151" s="66" t="s"/>
      <c r="I2151" s="62" t="s"/>
      <c r="J2151" s="62" t="s"/>
      <c r="K2151" s="99" t="s"/>
      <c r="L2151" s="66" t="s"/>
      <c r="M2151" s="66" t="s"/>
      <c r="N2151" s="572" t="s"/>
      <c r="O2151" s="62" t="s"/>
      <c r="P2151" s="62" t="s"/>
      <c r="Q2151" s="62" t="s"/>
      <c r="R2151" s="62" t="s"/>
    </row>
    <row r="2152" spans="1:18" ht="15.75" customHeight="true">
      <c r="A2152" s="107" t="s"/>
      <c r="B2152" s="62" t="s"/>
      <c r="C2152" s="62" t="s"/>
      <c r="D2152" s="62" t="s"/>
      <c r="E2152" s="62" t="s"/>
      <c r="F2152" s="66" t="s"/>
      <c r="G2152" s="66" t="s"/>
      <c r="H2152" s="66" t="s"/>
      <c r="I2152" s="62" t="s"/>
      <c r="J2152" s="62" t="s"/>
      <c r="K2152" s="99" t="s"/>
      <c r="L2152" s="66" t="s"/>
      <c r="M2152" s="66" t="s"/>
      <c r="N2152" s="572" t="s"/>
      <c r="O2152" s="62" t="s"/>
      <c r="P2152" s="62" t="s"/>
      <c r="Q2152" s="62" t="s"/>
      <c r="R2152" s="62" t="s"/>
    </row>
    <row r="2153" spans="1:18" ht="15.75" customHeight="true">
      <c r="A2153" s="107" t="s"/>
      <c r="B2153" s="62" t="s"/>
      <c r="C2153" s="62" t="s"/>
      <c r="D2153" s="62" t="s"/>
      <c r="E2153" s="62" t="s"/>
      <c r="F2153" s="66" t="s"/>
      <c r="G2153" s="66" t="s"/>
      <c r="H2153" s="66" t="s"/>
      <c r="I2153" s="62" t="s"/>
      <c r="J2153" s="62" t="s"/>
      <c r="K2153" s="99" t="s"/>
      <c r="L2153" s="66" t="s"/>
      <c r="M2153" s="66" t="s"/>
      <c r="N2153" s="572" t="s"/>
      <c r="O2153" s="62" t="s"/>
      <c r="P2153" s="62" t="s"/>
      <c r="Q2153" s="62" t="s"/>
      <c r="R2153" s="62" t="s"/>
    </row>
    <row r="2154" spans="1:18" ht="15.75" customHeight="true">
      <c r="A2154" s="107" t="s"/>
      <c r="B2154" s="62" t="s"/>
      <c r="C2154" s="62" t="s"/>
      <c r="D2154" s="62" t="s"/>
      <c r="E2154" s="62" t="s"/>
      <c r="F2154" s="66" t="s"/>
      <c r="G2154" s="66" t="s"/>
      <c r="H2154" s="66" t="s"/>
      <c r="I2154" s="62" t="s"/>
      <c r="J2154" s="62" t="s"/>
      <c r="K2154" s="99" t="s"/>
      <c r="L2154" s="66" t="s"/>
      <c r="M2154" s="66" t="s"/>
      <c r="N2154" s="572" t="s"/>
      <c r="O2154" s="62" t="s"/>
      <c r="P2154" s="62" t="s"/>
      <c r="Q2154" s="62" t="s"/>
      <c r="R2154" s="62" t="s"/>
    </row>
    <row r="2155" spans="1:18" ht="15.75" customHeight="true">
      <c r="A2155" s="107" t="s"/>
      <c r="B2155" s="62" t="s"/>
      <c r="C2155" s="62" t="s"/>
      <c r="D2155" s="62" t="s"/>
      <c r="E2155" s="62" t="s"/>
      <c r="F2155" s="66" t="s"/>
      <c r="G2155" s="66" t="s"/>
      <c r="H2155" s="66" t="s"/>
      <c r="I2155" s="62" t="s"/>
      <c r="J2155" s="62" t="s"/>
      <c r="K2155" s="99" t="s"/>
      <c r="L2155" s="66" t="s"/>
      <c r="M2155" s="66" t="s"/>
      <c r="N2155" s="572" t="s"/>
      <c r="O2155" s="62" t="s"/>
      <c r="P2155" s="62" t="s"/>
      <c r="Q2155" s="62" t="s"/>
      <c r="R2155" s="62" t="s"/>
    </row>
    <row r="2156" spans="1:18" ht="15.75" customHeight="true">
      <c r="A2156" s="107" t="s"/>
      <c r="B2156" s="62" t="s"/>
      <c r="C2156" s="62" t="s"/>
      <c r="D2156" s="62" t="s"/>
      <c r="E2156" s="62" t="s"/>
      <c r="F2156" s="66" t="s"/>
      <c r="G2156" s="66" t="s"/>
      <c r="H2156" s="66" t="s"/>
      <c r="I2156" s="62" t="s"/>
      <c r="J2156" s="62" t="s"/>
      <c r="K2156" s="99" t="s"/>
      <c r="L2156" s="66" t="s"/>
      <c r="M2156" s="66" t="s"/>
      <c r="N2156" s="572" t="s"/>
      <c r="O2156" s="62" t="s"/>
      <c r="P2156" s="62" t="s"/>
      <c r="Q2156" s="62" t="s"/>
      <c r="R2156" s="62" t="s"/>
    </row>
    <row r="2157" spans="1:18" ht="15.75" customHeight="true">
      <c r="A2157" s="107" t="s"/>
      <c r="B2157" s="62" t="s"/>
      <c r="C2157" s="62" t="s"/>
      <c r="D2157" s="62" t="s"/>
      <c r="E2157" s="62" t="s"/>
      <c r="F2157" s="66" t="s"/>
      <c r="G2157" s="66" t="s"/>
      <c r="H2157" s="66" t="s"/>
      <c r="I2157" s="62" t="s"/>
      <c r="J2157" s="62" t="s"/>
      <c r="K2157" s="99" t="s"/>
      <c r="L2157" s="66" t="s"/>
      <c r="M2157" s="66" t="s"/>
      <c r="N2157" s="572" t="s"/>
      <c r="O2157" s="62" t="s"/>
      <c r="P2157" s="62" t="s"/>
      <c r="Q2157" s="62" t="s"/>
      <c r="R2157" s="62" t="s"/>
    </row>
    <row r="2158" spans="1:18" ht="15.75" customHeight="true">
      <c r="A2158" s="107" t="s"/>
      <c r="B2158" s="62" t="s"/>
      <c r="C2158" s="62" t="s"/>
      <c r="D2158" s="62" t="s"/>
      <c r="E2158" s="62" t="s"/>
      <c r="F2158" s="66" t="s"/>
      <c r="G2158" s="66" t="s"/>
      <c r="H2158" s="66" t="s"/>
      <c r="I2158" s="62" t="s"/>
      <c r="J2158" s="62" t="s"/>
      <c r="K2158" s="99" t="s"/>
      <c r="L2158" s="66" t="s"/>
      <c r="M2158" s="66" t="s"/>
      <c r="N2158" s="572" t="s"/>
      <c r="O2158" s="62" t="s"/>
      <c r="P2158" s="62" t="s"/>
      <c r="Q2158" s="62" t="s"/>
      <c r="R2158" s="62" t="s"/>
    </row>
    <row r="2159" spans="1:18" ht="15.75" customHeight="true">
      <c r="A2159" s="107" t="s"/>
      <c r="B2159" s="62" t="s"/>
      <c r="C2159" s="62" t="s"/>
      <c r="D2159" s="62" t="s"/>
      <c r="E2159" s="62" t="s"/>
      <c r="F2159" s="66" t="s"/>
      <c r="G2159" s="66" t="s"/>
      <c r="H2159" s="66" t="s"/>
      <c r="I2159" s="62" t="s"/>
      <c r="J2159" s="62" t="s"/>
      <c r="K2159" s="99" t="s"/>
      <c r="L2159" s="66" t="s"/>
      <c r="M2159" s="66" t="s"/>
      <c r="N2159" s="572" t="s"/>
      <c r="O2159" s="62" t="s"/>
      <c r="P2159" s="62" t="s"/>
      <c r="Q2159" s="62" t="s"/>
      <c r="R2159" s="62" t="s"/>
    </row>
    <row r="2160" spans="1:18" ht="15.75" customHeight="true">
      <c r="A2160" s="107" t="s"/>
      <c r="B2160" s="62" t="s"/>
      <c r="C2160" s="62" t="s"/>
      <c r="D2160" s="62" t="s"/>
      <c r="E2160" s="62" t="s"/>
      <c r="F2160" s="66" t="s"/>
      <c r="G2160" s="66" t="s"/>
      <c r="H2160" s="66" t="s"/>
      <c r="I2160" s="62" t="s"/>
      <c r="J2160" s="62" t="s"/>
      <c r="K2160" s="99" t="s"/>
      <c r="L2160" s="66" t="s"/>
      <c r="M2160" s="66" t="s"/>
      <c r="N2160" s="572" t="s"/>
      <c r="O2160" s="62" t="s"/>
      <c r="P2160" s="62" t="s"/>
      <c r="Q2160" s="62" t="s"/>
      <c r="R2160" s="62" t="s"/>
    </row>
    <row r="2161" spans="1:18" ht="15.75" customHeight="true">
      <c r="A2161" s="107" t="s"/>
      <c r="B2161" s="62" t="s"/>
      <c r="C2161" s="62" t="s"/>
      <c r="D2161" s="62" t="s"/>
      <c r="E2161" s="62" t="s"/>
      <c r="F2161" s="66" t="s"/>
      <c r="G2161" s="66" t="s"/>
      <c r="H2161" s="66" t="s"/>
      <c r="I2161" s="62" t="s"/>
      <c r="J2161" s="62" t="s"/>
      <c r="K2161" s="99" t="s"/>
      <c r="L2161" s="66" t="s"/>
      <c r="M2161" s="66" t="s"/>
      <c r="N2161" s="572" t="s"/>
      <c r="O2161" s="62" t="s"/>
      <c r="P2161" s="62" t="s"/>
      <c r="Q2161" s="62" t="s"/>
      <c r="R2161" s="62" t="s"/>
    </row>
    <row r="2162" spans="1:18" ht="15.75" customHeight="true">
      <c r="A2162" s="107" t="s"/>
      <c r="B2162" s="62" t="s"/>
      <c r="C2162" s="62" t="s"/>
      <c r="D2162" s="62" t="s"/>
      <c r="E2162" s="62" t="s"/>
      <c r="F2162" s="66" t="s"/>
      <c r="G2162" s="66" t="s"/>
      <c r="H2162" s="66" t="s"/>
      <c r="I2162" s="62" t="s"/>
      <c r="J2162" s="62" t="s"/>
      <c r="K2162" s="99" t="s"/>
      <c r="L2162" s="66" t="s"/>
      <c r="M2162" s="66" t="s"/>
      <c r="N2162" s="572" t="s"/>
      <c r="O2162" s="62" t="s"/>
      <c r="P2162" s="62" t="s"/>
      <c r="Q2162" s="62" t="s"/>
      <c r="R2162" s="62" t="s"/>
    </row>
    <row r="2163" spans="1:18" ht="15.75" customHeight="true">
      <c r="A2163" s="107" t="s"/>
      <c r="B2163" s="62" t="s"/>
      <c r="C2163" s="62" t="s"/>
      <c r="D2163" s="62" t="s"/>
      <c r="E2163" s="62" t="s"/>
      <c r="F2163" s="66" t="s"/>
      <c r="G2163" s="66" t="s"/>
      <c r="H2163" s="66" t="s"/>
      <c r="I2163" s="62" t="s"/>
      <c r="J2163" s="62" t="s"/>
      <c r="K2163" s="99" t="s"/>
      <c r="L2163" s="66" t="s"/>
      <c r="M2163" s="66" t="s"/>
      <c r="N2163" s="572" t="s"/>
      <c r="O2163" s="62" t="s"/>
      <c r="P2163" s="62" t="s"/>
      <c r="Q2163" s="62" t="s"/>
      <c r="R2163" s="62" t="s"/>
    </row>
    <row r="2164" spans="1:18" ht="15.75" customHeight="true">
      <c r="A2164" s="107" t="s"/>
      <c r="B2164" s="62" t="s"/>
      <c r="C2164" s="62" t="s"/>
      <c r="D2164" s="62" t="s"/>
      <c r="E2164" s="62" t="s"/>
      <c r="F2164" s="66" t="s"/>
      <c r="G2164" s="66" t="s"/>
      <c r="H2164" s="66" t="s"/>
      <c r="I2164" s="62" t="s"/>
      <c r="J2164" s="62" t="s"/>
      <c r="K2164" s="99" t="s"/>
      <c r="L2164" s="66" t="s"/>
      <c r="M2164" s="66" t="s"/>
      <c r="N2164" s="572" t="s"/>
      <c r="O2164" s="62" t="s"/>
      <c r="P2164" s="62" t="s"/>
      <c r="Q2164" s="62" t="s"/>
      <c r="R2164" s="62" t="s"/>
    </row>
    <row r="2165" spans="1:18" ht="15.75" customHeight="true">
      <c r="A2165" s="107" t="s"/>
      <c r="B2165" s="62" t="s"/>
      <c r="C2165" s="62" t="s"/>
      <c r="D2165" s="62" t="s"/>
      <c r="E2165" s="62" t="s"/>
      <c r="F2165" s="66" t="s"/>
      <c r="G2165" s="66" t="s"/>
      <c r="H2165" s="66" t="s"/>
      <c r="I2165" s="62" t="s"/>
      <c r="J2165" s="62" t="s"/>
      <c r="K2165" s="99" t="s"/>
      <c r="L2165" s="66" t="s"/>
      <c r="M2165" s="66" t="s"/>
      <c r="N2165" s="572" t="s"/>
      <c r="O2165" s="62" t="s"/>
      <c r="P2165" s="62" t="s"/>
      <c r="Q2165" s="62" t="s"/>
      <c r="R2165" s="62" t="s"/>
    </row>
    <row r="2166" spans="1:18" ht="15.75" customHeight="true">
      <c r="A2166" s="107" t="s"/>
      <c r="B2166" s="62" t="s"/>
      <c r="C2166" s="62" t="s"/>
      <c r="D2166" s="62" t="s"/>
      <c r="E2166" s="62" t="s"/>
      <c r="F2166" s="66" t="s"/>
      <c r="G2166" s="66" t="s"/>
      <c r="H2166" s="66" t="s"/>
      <c r="I2166" s="62" t="s"/>
      <c r="J2166" s="62" t="s"/>
      <c r="K2166" s="99" t="s"/>
      <c r="L2166" s="66" t="s"/>
      <c r="M2166" s="66" t="s"/>
      <c r="N2166" s="572" t="s"/>
      <c r="O2166" s="62" t="s"/>
      <c r="P2166" s="62" t="s"/>
      <c r="Q2166" s="62" t="s"/>
      <c r="R2166" s="62" t="s"/>
    </row>
    <row r="2167" spans="1:18" ht="15.75" customHeight="true">
      <c r="A2167" s="107" t="s"/>
      <c r="B2167" s="62" t="s"/>
      <c r="C2167" s="62" t="s"/>
      <c r="D2167" s="62" t="s"/>
      <c r="E2167" s="62" t="s"/>
      <c r="F2167" s="66" t="s"/>
      <c r="G2167" s="66" t="s"/>
      <c r="H2167" s="66" t="s"/>
      <c r="I2167" s="62" t="s"/>
      <c r="J2167" s="62" t="s"/>
      <c r="K2167" s="99" t="s"/>
      <c r="L2167" s="66" t="s"/>
      <c r="M2167" s="66" t="s"/>
      <c r="N2167" s="572" t="s"/>
      <c r="O2167" s="62" t="s"/>
      <c r="P2167" s="62" t="s"/>
      <c r="Q2167" s="62" t="s"/>
      <c r="R2167" s="62" t="s"/>
    </row>
    <row r="2168" spans="1:18" ht="15.75" customHeight="true">
      <c r="A2168" s="107" t="s"/>
      <c r="B2168" s="62" t="s"/>
      <c r="C2168" s="62" t="s"/>
      <c r="D2168" s="62" t="s"/>
      <c r="E2168" s="62" t="s"/>
      <c r="F2168" s="66" t="s"/>
      <c r="G2168" s="66" t="s"/>
      <c r="H2168" s="66" t="s"/>
      <c r="I2168" s="62" t="s"/>
      <c r="J2168" s="62" t="s"/>
      <c r="K2168" s="99" t="s"/>
      <c r="L2168" s="66" t="s"/>
      <c r="M2168" s="66" t="s"/>
      <c r="N2168" s="572" t="s"/>
      <c r="O2168" s="62" t="s"/>
      <c r="P2168" s="62" t="s"/>
      <c r="Q2168" s="62" t="s"/>
      <c r="R2168" s="62" t="s"/>
    </row>
    <row r="2169" spans="1:18" ht="15.75" customHeight="true">
      <c r="A2169" s="107" t="s"/>
      <c r="B2169" s="62" t="s"/>
      <c r="C2169" s="62" t="s"/>
      <c r="D2169" s="62" t="s"/>
      <c r="E2169" s="62" t="s"/>
      <c r="F2169" s="66" t="s"/>
      <c r="G2169" s="66" t="s"/>
      <c r="H2169" s="66" t="s"/>
      <c r="I2169" s="62" t="s"/>
      <c r="J2169" s="62" t="s"/>
      <c r="K2169" s="99" t="s"/>
      <c r="L2169" s="66" t="s"/>
      <c r="M2169" s="66" t="s"/>
      <c r="N2169" s="572" t="s"/>
      <c r="O2169" s="62" t="s"/>
      <c r="P2169" s="62" t="s"/>
      <c r="Q2169" s="62" t="s"/>
      <c r="R2169" s="62" t="s"/>
    </row>
    <row r="2170" spans="1:18" ht="15.75" customHeight="true">
      <c r="A2170" s="107" t="s"/>
      <c r="B2170" s="62" t="s"/>
      <c r="C2170" s="62" t="s"/>
      <c r="D2170" s="62" t="s"/>
      <c r="E2170" s="62" t="s"/>
      <c r="F2170" s="66" t="s"/>
      <c r="G2170" s="66" t="s"/>
      <c r="H2170" s="66" t="s"/>
      <c r="I2170" s="62" t="s"/>
      <c r="J2170" s="62" t="s"/>
      <c r="K2170" s="99" t="s"/>
      <c r="L2170" s="66" t="s"/>
      <c r="M2170" s="66" t="s"/>
      <c r="N2170" s="572" t="s"/>
      <c r="O2170" s="62" t="s"/>
      <c r="P2170" s="62" t="s"/>
      <c r="Q2170" s="62" t="s"/>
      <c r="R2170" s="62" t="s"/>
    </row>
    <row r="2171" spans="1:18" ht="15.75" customHeight="true">
      <c r="A2171" s="107" t="s"/>
      <c r="B2171" s="62" t="s"/>
      <c r="C2171" s="62" t="s"/>
      <c r="D2171" s="62" t="s"/>
      <c r="E2171" s="62" t="s"/>
      <c r="F2171" s="66" t="s"/>
      <c r="G2171" s="66" t="s"/>
      <c r="H2171" s="66" t="s"/>
      <c r="I2171" s="62" t="s"/>
      <c r="J2171" s="62" t="s"/>
      <c r="K2171" s="99" t="s"/>
      <c r="L2171" s="66" t="s"/>
      <c r="M2171" s="66" t="s"/>
      <c r="N2171" s="572" t="s"/>
      <c r="O2171" s="62" t="s"/>
      <c r="P2171" s="62" t="s"/>
      <c r="Q2171" s="62" t="s"/>
      <c r="R2171" s="62" t="s"/>
    </row>
    <row r="2172" spans="1:18" ht="15.75" customHeight="true">
      <c r="A2172" s="107" t="s"/>
      <c r="B2172" s="62" t="s"/>
      <c r="C2172" s="62" t="s"/>
      <c r="D2172" s="62" t="s"/>
      <c r="E2172" s="62" t="s"/>
      <c r="F2172" s="66" t="s"/>
      <c r="G2172" s="66" t="s"/>
      <c r="H2172" s="66" t="s"/>
      <c r="I2172" s="62" t="s"/>
      <c r="J2172" s="62" t="s"/>
      <c r="K2172" s="99" t="s"/>
      <c r="L2172" s="66" t="s"/>
      <c r="M2172" s="66" t="s"/>
      <c r="N2172" s="572" t="s"/>
      <c r="O2172" s="62" t="s"/>
      <c r="P2172" s="62" t="s"/>
      <c r="Q2172" s="62" t="s"/>
      <c r="R2172" s="62" t="s"/>
    </row>
    <row r="2173" spans="1:18" ht="15.75" customHeight="true">
      <c r="A2173" s="107" t="s"/>
      <c r="B2173" s="62" t="s"/>
      <c r="C2173" s="62" t="s"/>
      <c r="D2173" s="62" t="s"/>
      <c r="E2173" s="62" t="s"/>
      <c r="F2173" s="66" t="s"/>
      <c r="G2173" s="66" t="s"/>
      <c r="H2173" s="66" t="s"/>
      <c r="I2173" s="62" t="s"/>
      <c r="J2173" s="62" t="s"/>
      <c r="K2173" s="99" t="s"/>
      <c r="L2173" s="66" t="s"/>
      <c r="M2173" s="66" t="s"/>
      <c r="N2173" s="572" t="s"/>
      <c r="O2173" s="62" t="s"/>
      <c r="P2173" s="62" t="s"/>
      <c r="Q2173" s="62" t="s"/>
      <c r="R2173" s="62" t="s"/>
    </row>
    <row r="2174" spans="1:18" ht="15.75" customHeight="true">
      <c r="A2174" s="107" t="s"/>
      <c r="B2174" s="62" t="s"/>
      <c r="C2174" s="62" t="s"/>
      <c r="D2174" s="62" t="s"/>
      <c r="E2174" s="62" t="s"/>
      <c r="F2174" s="66" t="s"/>
      <c r="G2174" s="66" t="s"/>
      <c r="H2174" s="66" t="s"/>
      <c r="I2174" s="62" t="s"/>
      <c r="J2174" s="62" t="s"/>
      <c r="K2174" s="99" t="s"/>
      <c r="L2174" s="66" t="s"/>
      <c r="M2174" s="66" t="s"/>
      <c r="N2174" s="572" t="s"/>
      <c r="O2174" s="62" t="s"/>
      <c r="P2174" s="62" t="s"/>
      <c r="Q2174" s="62" t="s"/>
      <c r="R2174" s="62" t="s"/>
    </row>
    <row r="2175" spans="1:18" ht="15.75" customHeight="true">
      <c r="A2175" s="107" t="s"/>
      <c r="B2175" s="62" t="s"/>
      <c r="C2175" s="62" t="s"/>
      <c r="D2175" s="62" t="s"/>
      <c r="E2175" s="62" t="s"/>
      <c r="F2175" s="66" t="s"/>
      <c r="G2175" s="66" t="s"/>
      <c r="H2175" s="66" t="s"/>
      <c r="I2175" s="62" t="s"/>
      <c r="J2175" s="62" t="s"/>
      <c r="K2175" s="99" t="s"/>
      <c r="L2175" s="66" t="s"/>
      <c r="M2175" s="66" t="s"/>
      <c r="N2175" s="572" t="s"/>
      <c r="O2175" s="62" t="s"/>
      <c r="P2175" s="62" t="s"/>
      <c r="Q2175" s="62" t="s"/>
      <c r="R2175" s="62" t="s"/>
    </row>
    <row r="2176" spans="1:18" ht="15.75" customHeight="true">
      <c r="A2176" s="107" t="s"/>
      <c r="B2176" s="62" t="s"/>
      <c r="C2176" s="62" t="s"/>
      <c r="D2176" s="62" t="s"/>
      <c r="E2176" s="62" t="s"/>
      <c r="F2176" s="66" t="s"/>
      <c r="G2176" s="66" t="s"/>
      <c r="H2176" s="66" t="s"/>
      <c r="I2176" s="62" t="s"/>
      <c r="J2176" s="62" t="s"/>
      <c r="K2176" s="99" t="s"/>
      <c r="L2176" s="66" t="s"/>
      <c r="M2176" s="66" t="s"/>
      <c r="N2176" s="572" t="s"/>
      <c r="O2176" s="62" t="s"/>
      <c r="P2176" s="62" t="s"/>
      <c r="Q2176" s="62" t="s"/>
      <c r="R2176" s="62" t="s"/>
    </row>
    <row r="2177" spans="1:18" ht="15.75" customHeight="true">
      <c r="A2177" s="107" t="s"/>
      <c r="B2177" s="62" t="s"/>
      <c r="C2177" s="62" t="s"/>
      <c r="D2177" s="62" t="s"/>
      <c r="E2177" s="62" t="s"/>
      <c r="F2177" s="66" t="s"/>
      <c r="G2177" s="66" t="s"/>
      <c r="H2177" s="66" t="s"/>
      <c r="I2177" s="62" t="s"/>
      <c r="J2177" s="62" t="s"/>
      <c r="K2177" s="99" t="s"/>
      <c r="L2177" s="66" t="s"/>
      <c r="M2177" s="66" t="s"/>
      <c r="N2177" s="572" t="s"/>
      <c r="O2177" s="62" t="s"/>
      <c r="P2177" s="62" t="s"/>
      <c r="Q2177" s="62" t="s"/>
      <c r="R2177" s="62" t="s"/>
    </row>
    <row r="2178" spans="1:18" ht="15.75" customHeight="true">
      <c r="A2178" s="107" t="s"/>
      <c r="B2178" s="62" t="s"/>
      <c r="C2178" s="62" t="s"/>
      <c r="D2178" s="62" t="s"/>
      <c r="E2178" s="62" t="s"/>
      <c r="F2178" s="66" t="s"/>
      <c r="G2178" s="66" t="s"/>
      <c r="H2178" s="66" t="s"/>
      <c r="I2178" s="62" t="s"/>
      <c r="J2178" s="62" t="s"/>
      <c r="K2178" s="99" t="s"/>
      <c r="L2178" s="66" t="s"/>
      <c r="M2178" s="66" t="s"/>
      <c r="N2178" s="572" t="s"/>
      <c r="O2178" s="62" t="s"/>
      <c r="P2178" s="62" t="s"/>
      <c r="Q2178" s="62" t="s"/>
      <c r="R2178" s="62" t="s"/>
    </row>
    <row r="2179" spans="1:18" ht="15.75" customHeight="true">
      <c r="A2179" s="107" t="s"/>
      <c r="B2179" s="62" t="s"/>
      <c r="C2179" s="62" t="s"/>
      <c r="D2179" s="62" t="s"/>
      <c r="E2179" s="62" t="s"/>
      <c r="F2179" s="66" t="s"/>
      <c r="G2179" s="66" t="s"/>
      <c r="H2179" s="66" t="s"/>
      <c r="I2179" s="62" t="s"/>
      <c r="J2179" s="62" t="s"/>
      <c r="K2179" s="99" t="s"/>
      <c r="L2179" s="66" t="s"/>
      <c r="M2179" s="66" t="s"/>
      <c r="N2179" s="572" t="s"/>
      <c r="O2179" s="62" t="s"/>
      <c r="P2179" s="62" t="s"/>
      <c r="Q2179" s="62" t="s"/>
      <c r="R2179" s="62" t="s"/>
    </row>
    <row r="2180" spans="1:18" ht="15.75" customHeight="true">
      <c r="A2180" s="107" t="s"/>
      <c r="B2180" s="62" t="s"/>
      <c r="C2180" s="62" t="s"/>
      <c r="D2180" s="62" t="s"/>
      <c r="E2180" s="62" t="s"/>
      <c r="F2180" s="66" t="s"/>
      <c r="G2180" s="66" t="s"/>
      <c r="H2180" s="66" t="s"/>
      <c r="I2180" s="62" t="s"/>
      <c r="J2180" s="62" t="s"/>
      <c r="K2180" s="99" t="s"/>
      <c r="L2180" s="66" t="s"/>
      <c r="M2180" s="66" t="s"/>
      <c r="N2180" s="572" t="s"/>
      <c r="O2180" s="62" t="s"/>
      <c r="P2180" s="62" t="s"/>
      <c r="Q2180" s="62" t="s"/>
      <c r="R2180" s="62" t="s"/>
    </row>
    <row r="2181" spans="1:18" ht="15.75" customHeight="true">
      <c r="A2181" s="107" t="s"/>
      <c r="B2181" s="62" t="s"/>
      <c r="C2181" s="62" t="s"/>
      <c r="D2181" s="62" t="s"/>
      <c r="E2181" s="62" t="s"/>
      <c r="F2181" s="66" t="s"/>
      <c r="G2181" s="66" t="s"/>
      <c r="H2181" s="66" t="s"/>
      <c r="I2181" s="62" t="s"/>
      <c r="J2181" s="62" t="s"/>
      <c r="K2181" s="99" t="s"/>
      <c r="L2181" s="66" t="s"/>
      <c r="M2181" s="66" t="s"/>
      <c r="N2181" s="572" t="s"/>
      <c r="O2181" s="62" t="s"/>
      <c r="P2181" s="62" t="s"/>
      <c r="Q2181" s="62" t="s"/>
      <c r="R2181" s="62" t="s"/>
    </row>
    <row r="2182" spans="1:18" ht="15.75" customHeight="true">
      <c r="A2182" s="107" t="s"/>
      <c r="B2182" s="62" t="s"/>
      <c r="C2182" s="62" t="s"/>
      <c r="D2182" s="62" t="s"/>
      <c r="E2182" s="62" t="s"/>
      <c r="F2182" s="66" t="s"/>
      <c r="G2182" s="66" t="s"/>
      <c r="H2182" s="66" t="s"/>
      <c r="I2182" s="62" t="s"/>
      <c r="J2182" s="62" t="s"/>
      <c r="K2182" s="99" t="s"/>
      <c r="L2182" s="66" t="s"/>
      <c r="M2182" s="66" t="s"/>
      <c r="N2182" s="572" t="s"/>
      <c r="O2182" s="62" t="s"/>
      <c r="P2182" s="62" t="s"/>
      <c r="Q2182" s="62" t="s"/>
      <c r="R2182" s="62" t="s"/>
    </row>
    <row r="2183" spans="1:18" ht="15.75" customHeight="true">
      <c r="A2183" s="107" t="s"/>
      <c r="B2183" s="62" t="s"/>
      <c r="C2183" s="62" t="s"/>
      <c r="D2183" s="62" t="s"/>
      <c r="E2183" s="62" t="s"/>
      <c r="F2183" s="66" t="s"/>
      <c r="G2183" s="66" t="s"/>
      <c r="H2183" s="66" t="s"/>
      <c r="I2183" s="62" t="s"/>
      <c r="J2183" s="62" t="s"/>
      <c r="K2183" s="99" t="s"/>
      <c r="L2183" s="66" t="s"/>
      <c r="M2183" s="66" t="s"/>
      <c r="N2183" s="572" t="s"/>
      <c r="O2183" s="62" t="s"/>
      <c r="P2183" s="62" t="s"/>
      <c r="Q2183" s="62" t="s"/>
      <c r="R2183" s="62" t="s"/>
    </row>
    <row r="2184" spans="1:18" ht="15.75" customHeight="true">
      <c r="A2184" s="107" t="s"/>
      <c r="B2184" s="62" t="s"/>
      <c r="C2184" s="62" t="s"/>
      <c r="D2184" s="62" t="s"/>
      <c r="E2184" s="62" t="s"/>
      <c r="F2184" s="66" t="s"/>
      <c r="G2184" s="66" t="s"/>
      <c r="H2184" s="66" t="s"/>
      <c r="I2184" s="62" t="s"/>
      <c r="J2184" s="62" t="s"/>
      <c r="K2184" s="99" t="s"/>
      <c r="L2184" s="66" t="s"/>
      <c r="M2184" s="66" t="s"/>
      <c r="N2184" s="572" t="s"/>
      <c r="O2184" s="62" t="s"/>
      <c r="P2184" s="62" t="s"/>
      <c r="Q2184" s="62" t="s"/>
      <c r="R2184" s="62" t="s"/>
    </row>
    <row r="2185" spans="1:18" ht="15.75" customHeight="true">
      <c r="A2185" s="107" t="s"/>
      <c r="B2185" s="62" t="s"/>
      <c r="C2185" s="62" t="s"/>
      <c r="D2185" s="62" t="s"/>
      <c r="E2185" s="62" t="s"/>
      <c r="F2185" s="66" t="s"/>
      <c r="G2185" s="66" t="s"/>
      <c r="H2185" s="66" t="s"/>
      <c r="I2185" s="62" t="s"/>
      <c r="J2185" s="62" t="s"/>
      <c r="K2185" s="99" t="s"/>
      <c r="L2185" s="66" t="s"/>
      <c r="M2185" s="66" t="s"/>
      <c r="N2185" s="572" t="s"/>
      <c r="O2185" s="62" t="s"/>
      <c r="P2185" s="62" t="s"/>
      <c r="Q2185" s="62" t="s"/>
      <c r="R2185" s="62" t="s"/>
    </row>
    <row r="2186" spans="1:18" ht="15.75" customHeight="true">
      <c r="A2186" s="107" t="s"/>
      <c r="B2186" s="62" t="s"/>
      <c r="C2186" s="62" t="s"/>
      <c r="D2186" s="62" t="s"/>
      <c r="E2186" s="62" t="s"/>
      <c r="F2186" s="66" t="s"/>
      <c r="G2186" s="66" t="s"/>
      <c r="H2186" s="66" t="s"/>
      <c r="I2186" s="62" t="s"/>
      <c r="J2186" s="62" t="s"/>
      <c r="K2186" s="99" t="s"/>
      <c r="L2186" s="66" t="s"/>
      <c r="M2186" s="66" t="s"/>
      <c r="N2186" s="572" t="s"/>
      <c r="O2186" s="62" t="s"/>
      <c r="P2186" s="62" t="s"/>
      <c r="Q2186" s="62" t="s"/>
      <c r="R2186" s="62" t="s"/>
    </row>
    <row r="2187" spans="1:18" ht="15.75" customHeight="true">
      <c r="A2187" s="107" t="s"/>
      <c r="B2187" s="62" t="s"/>
      <c r="C2187" s="62" t="s"/>
      <c r="D2187" s="62" t="s"/>
      <c r="E2187" s="62" t="s"/>
      <c r="F2187" s="66" t="s"/>
      <c r="G2187" s="66" t="s"/>
      <c r="H2187" s="66" t="s"/>
      <c r="I2187" s="62" t="s"/>
      <c r="J2187" s="62" t="s"/>
      <c r="K2187" s="99" t="s"/>
      <c r="L2187" s="66" t="s"/>
      <c r="M2187" s="66" t="s"/>
      <c r="N2187" s="572" t="s"/>
      <c r="O2187" s="62" t="s"/>
      <c r="P2187" s="62" t="s"/>
      <c r="Q2187" s="62" t="s"/>
      <c r="R2187" s="62" t="s"/>
    </row>
    <row r="2188" spans="1:18" ht="15.75" customHeight="true">
      <c r="A2188" s="107" t="s"/>
      <c r="B2188" s="62" t="s"/>
      <c r="C2188" s="62" t="s"/>
      <c r="D2188" s="62" t="s"/>
      <c r="E2188" s="62" t="s"/>
      <c r="F2188" s="66" t="s"/>
      <c r="G2188" s="66" t="s"/>
      <c r="H2188" s="66" t="s"/>
      <c r="I2188" s="62" t="s"/>
      <c r="J2188" s="62" t="s"/>
      <c r="K2188" s="99" t="s"/>
      <c r="L2188" s="66" t="s"/>
      <c r="M2188" s="66" t="s"/>
      <c r="N2188" s="572" t="s"/>
      <c r="O2188" s="62" t="s"/>
      <c r="P2188" s="62" t="s"/>
      <c r="Q2188" s="62" t="s"/>
      <c r="R2188" s="62" t="s"/>
    </row>
    <row r="2189" spans="1:18" ht="15.75" customHeight="true">
      <c r="A2189" s="107" t="s"/>
      <c r="B2189" s="62" t="s"/>
      <c r="C2189" s="62" t="s"/>
      <c r="D2189" s="62" t="s"/>
      <c r="E2189" s="62" t="s"/>
      <c r="F2189" s="66" t="s"/>
      <c r="G2189" s="66" t="s"/>
      <c r="H2189" s="66" t="s"/>
      <c r="I2189" s="62" t="s"/>
      <c r="J2189" s="62" t="s"/>
      <c r="K2189" s="99" t="s"/>
      <c r="L2189" s="66" t="s"/>
      <c r="M2189" s="66" t="s"/>
      <c r="N2189" s="572" t="s"/>
      <c r="O2189" s="62" t="s"/>
      <c r="P2189" s="62" t="s"/>
      <c r="Q2189" s="62" t="s"/>
      <c r="R2189" s="62" t="s"/>
    </row>
    <row r="2190" spans="1:18" ht="15.75" customHeight="true">
      <c r="A2190" s="107" t="s"/>
      <c r="B2190" s="62" t="s"/>
      <c r="C2190" s="62" t="s"/>
      <c r="D2190" s="62" t="s"/>
      <c r="E2190" s="62" t="s"/>
      <c r="F2190" s="66" t="s"/>
      <c r="G2190" s="66" t="s"/>
      <c r="H2190" s="66" t="s"/>
      <c r="I2190" s="62" t="s"/>
      <c r="J2190" s="62" t="s"/>
      <c r="K2190" s="99" t="s"/>
      <c r="L2190" s="66" t="s"/>
      <c r="M2190" s="66" t="s"/>
      <c r="N2190" s="572" t="s"/>
      <c r="O2190" s="62" t="s"/>
      <c r="P2190" s="62" t="s"/>
      <c r="Q2190" s="62" t="s"/>
      <c r="R2190" s="62" t="s"/>
    </row>
    <row r="2191" spans="1:18" ht="15.75" customHeight="true">
      <c r="A2191" s="107" t="s"/>
      <c r="B2191" s="62" t="s"/>
      <c r="C2191" s="62" t="s"/>
      <c r="D2191" s="62" t="s"/>
      <c r="E2191" s="62" t="s"/>
      <c r="F2191" s="66" t="s"/>
      <c r="G2191" s="66" t="s"/>
      <c r="H2191" s="66" t="s"/>
      <c r="I2191" s="62" t="s"/>
      <c r="J2191" s="62" t="s"/>
      <c r="K2191" s="99" t="s"/>
      <c r="L2191" s="66" t="s"/>
      <c r="M2191" s="66" t="s"/>
      <c r="N2191" s="572" t="s"/>
      <c r="O2191" s="62" t="s"/>
      <c r="P2191" s="62" t="s"/>
      <c r="Q2191" s="62" t="s"/>
      <c r="R2191" s="62" t="s"/>
    </row>
    <row r="2192" spans="1:18" ht="15.75" customHeight="true">
      <c r="A2192" s="107" t="s"/>
      <c r="B2192" s="62" t="s"/>
      <c r="C2192" s="62" t="s"/>
      <c r="D2192" s="62" t="s"/>
      <c r="E2192" s="62" t="s"/>
      <c r="F2192" s="66" t="s"/>
      <c r="G2192" s="66" t="s"/>
      <c r="H2192" s="66" t="s"/>
      <c r="I2192" s="62" t="s"/>
      <c r="J2192" s="62" t="s"/>
      <c r="K2192" s="99" t="s"/>
      <c r="L2192" s="66" t="s"/>
      <c r="M2192" s="66" t="s"/>
      <c r="N2192" s="572" t="s"/>
      <c r="O2192" s="62" t="s"/>
      <c r="P2192" s="62" t="s"/>
      <c r="Q2192" s="62" t="s"/>
      <c r="R2192" s="62" t="s"/>
    </row>
    <row r="2193" spans="1:18" ht="15.75" customHeight="true">
      <c r="A2193" s="107" t="s"/>
      <c r="B2193" s="62" t="s"/>
      <c r="C2193" s="62" t="s"/>
      <c r="D2193" s="62" t="s"/>
      <c r="E2193" s="62" t="s"/>
      <c r="F2193" s="66" t="s"/>
      <c r="G2193" s="66" t="s"/>
      <c r="H2193" s="66" t="s"/>
      <c r="I2193" s="62" t="s"/>
      <c r="J2193" s="62" t="s"/>
      <c r="K2193" s="99" t="s"/>
      <c r="L2193" s="66" t="s"/>
      <c r="M2193" s="66" t="s"/>
      <c r="N2193" s="572" t="s"/>
      <c r="O2193" s="62" t="s"/>
      <c r="P2193" s="62" t="s"/>
      <c r="Q2193" s="62" t="s"/>
      <c r="R2193" s="62" t="s"/>
    </row>
    <row r="2194" spans="1:18" ht="15.75" customHeight="true">
      <c r="A2194" s="107" t="s"/>
      <c r="B2194" s="62" t="s"/>
      <c r="C2194" s="62" t="s"/>
      <c r="D2194" s="62" t="s"/>
      <c r="E2194" s="62" t="s"/>
      <c r="F2194" s="66" t="s"/>
      <c r="G2194" s="66" t="s"/>
      <c r="H2194" s="66" t="s"/>
      <c r="I2194" s="62" t="s"/>
      <c r="J2194" s="62" t="s"/>
      <c r="K2194" s="99" t="s"/>
      <c r="L2194" s="66" t="s"/>
      <c r="M2194" s="66" t="s"/>
      <c r="N2194" s="572" t="s"/>
      <c r="O2194" s="62" t="s"/>
      <c r="P2194" s="62" t="s"/>
      <c r="Q2194" s="62" t="s"/>
      <c r="R2194" s="62" t="s"/>
    </row>
    <row r="2195" spans="1:18" ht="15.75" customHeight="true">
      <c r="A2195" s="107" t="s"/>
      <c r="B2195" s="62" t="s"/>
      <c r="C2195" s="62" t="s"/>
      <c r="D2195" s="62" t="s"/>
      <c r="E2195" s="62" t="s"/>
      <c r="F2195" s="66" t="s"/>
      <c r="G2195" s="66" t="s"/>
      <c r="H2195" s="66" t="s"/>
      <c r="I2195" s="62" t="s"/>
      <c r="J2195" s="62" t="s"/>
      <c r="K2195" s="99" t="s"/>
      <c r="L2195" s="66" t="s"/>
      <c r="M2195" s="66" t="s"/>
      <c r="N2195" s="572" t="s"/>
      <c r="O2195" s="62" t="s"/>
      <c r="P2195" s="62" t="s"/>
      <c r="Q2195" s="62" t="s"/>
      <c r="R2195" s="62" t="s"/>
    </row>
    <row r="2196" spans="1:18" ht="15.75" customHeight="true">
      <c r="A2196" s="107" t="s"/>
      <c r="B2196" s="62" t="s"/>
      <c r="C2196" s="62" t="s"/>
      <c r="D2196" s="62" t="s"/>
      <c r="E2196" s="62" t="s"/>
      <c r="F2196" s="66" t="s"/>
      <c r="G2196" s="66" t="s"/>
      <c r="H2196" s="66" t="s"/>
      <c r="I2196" s="62" t="s"/>
      <c r="J2196" s="62" t="s"/>
      <c r="K2196" s="99" t="s"/>
      <c r="L2196" s="66" t="s"/>
      <c r="M2196" s="66" t="s"/>
      <c r="N2196" s="572" t="s"/>
      <c r="O2196" s="62" t="s"/>
      <c r="P2196" s="62" t="s"/>
      <c r="Q2196" s="62" t="s"/>
      <c r="R2196" s="62" t="s"/>
    </row>
    <row r="2197" spans="1:18" ht="15.75" customHeight="true">
      <c r="A2197" s="107" t="s"/>
      <c r="B2197" s="62" t="s"/>
      <c r="C2197" s="62" t="s"/>
      <c r="D2197" s="62" t="s"/>
      <c r="E2197" s="62" t="s"/>
      <c r="F2197" s="66" t="s"/>
      <c r="G2197" s="66" t="s"/>
      <c r="H2197" s="66" t="s"/>
      <c r="I2197" s="62" t="s"/>
      <c r="J2197" s="62" t="s"/>
      <c r="K2197" s="99" t="s"/>
      <c r="L2197" s="66" t="s"/>
      <c r="M2197" s="66" t="s"/>
      <c r="N2197" s="572" t="s"/>
      <c r="O2197" s="62" t="s"/>
      <c r="P2197" s="62" t="s"/>
      <c r="Q2197" s="62" t="s"/>
      <c r="R2197" s="62" t="s"/>
    </row>
    <row r="2198" spans="1:18" ht="15.75" customHeight="true">
      <c r="A2198" s="107" t="s"/>
      <c r="B2198" s="62" t="s"/>
      <c r="C2198" s="62" t="s"/>
      <c r="D2198" s="62" t="s"/>
      <c r="E2198" s="62" t="s"/>
      <c r="F2198" s="66" t="s"/>
      <c r="G2198" s="66" t="s"/>
      <c r="H2198" s="66" t="s"/>
      <c r="I2198" s="62" t="s"/>
      <c r="J2198" s="62" t="s"/>
      <c r="K2198" s="99" t="s"/>
      <c r="L2198" s="66" t="s"/>
      <c r="M2198" s="66" t="s"/>
      <c r="N2198" s="572" t="s"/>
      <c r="O2198" s="62" t="s"/>
      <c r="P2198" s="62" t="s"/>
      <c r="Q2198" s="62" t="s"/>
      <c r="R2198" s="62" t="s"/>
    </row>
    <row r="2199" spans="1:18" ht="15.75" customHeight="true">
      <c r="A2199" s="107" t="s"/>
      <c r="B2199" s="62" t="s"/>
      <c r="C2199" s="62" t="s"/>
      <c r="D2199" s="62" t="s"/>
      <c r="E2199" s="62" t="s"/>
      <c r="F2199" s="66" t="s"/>
      <c r="G2199" s="66" t="s"/>
      <c r="H2199" s="66" t="s"/>
      <c r="I2199" s="62" t="s"/>
      <c r="J2199" s="62" t="s"/>
      <c r="K2199" s="99" t="s"/>
      <c r="L2199" s="66" t="s"/>
      <c r="M2199" s="66" t="s"/>
      <c r="N2199" s="572" t="s"/>
      <c r="O2199" s="62" t="s"/>
      <c r="P2199" s="62" t="s"/>
      <c r="Q2199" s="62" t="s"/>
      <c r="R2199" s="62" t="s"/>
    </row>
    <row r="2200" spans="1:18" ht="15.75" customHeight="true">
      <c r="A2200" s="107" t="s"/>
      <c r="B2200" s="62" t="s"/>
      <c r="C2200" s="62" t="s"/>
      <c r="D2200" s="62" t="s"/>
      <c r="E2200" s="62" t="s"/>
      <c r="F2200" s="66" t="s"/>
      <c r="G2200" s="66" t="s"/>
      <c r="H2200" s="66" t="s"/>
      <c r="I2200" s="62" t="s"/>
      <c r="J2200" s="62" t="s"/>
      <c r="K2200" s="99" t="s"/>
      <c r="L2200" s="66" t="s"/>
      <c r="M2200" s="66" t="s"/>
      <c r="N2200" s="572" t="s"/>
      <c r="O2200" s="62" t="s"/>
      <c r="P2200" s="62" t="s"/>
      <c r="Q2200" s="62" t="s"/>
      <c r="R2200" s="62" t="s"/>
    </row>
    <row r="2201" spans="1:18" ht="15.75" customHeight="true">
      <c r="A2201" s="107" t="s"/>
      <c r="B2201" s="62" t="s"/>
      <c r="C2201" s="62" t="s"/>
      <c r="D2201" s="62" t="s"/>
      <c r="E2201" s="62" t="s"/>
      <c r="F2201" s="66" t="s"/>
      <c r="G2201" s="66" t="s"/>
      <c r="H2201" s="66" t="s"/>
      <c r="I2201" s="62" t="s"/>
      <c r="J2201" s="62" t="s"/>
      <c r="K2201" s="99" t="s"/>
      <c r="L2201" s="66" t="s"/>
      <c r="M2201" s="66" t="s"/>
      <c r="N2201" s="572" t="s"/>
      <c r="O2201" s="62" t="s"/>
      <c r="P2201" s="62" t="s"/>
      <c r="Q2201" s="62" t="s"/>
      <c r="R2201" s="62" t="s"/>
    </row>
    <row r="2202" spans="1:18" ht="15.75" customHeight="true">
      <c r="A2202" s="107" t="s"/>
      <c r="B2202" s="62" t="s"/>
      <c r="C2202" s="62" t="s"/>
      <c r="D2202" s="62" t="s"/>
      <c r="E2202" s="62" t="s"/>
      <c r="F2202" s="66" t="s"/>
      <c r="G2202" s="66" t="s"/>
      <c r="H2202" s="66" t="s"/>
      <c r="I2202" s="62" t="s"/>
      <c r="J2202" s="62" t="s"/>
      <c r="K2202" s="99" t="s"/>
      <c r="L2202" s="66" t="s"/>
      <c r="M2202" s="66" t="s"/>
      <c r="N2202" s="572" t="s"/>
      <c r="O2202" s="62" t="s"/>
      <c r="P2202" s="62" t="s"/>
      <c r="Q2202" s="62" t="s"/>
      <c r="R2202" s="62" t="s"/>
    </row>
    <row r="2203" spans="1:18" ht="15.75" customHeight="true">
      <c r="A2203" s="107" t="s"/>
      <c r="B2203" s="62" t="s"/>
      <c r="C2203" s="62" t="s"/>
      <c r="D2203" s="62" t="s"/>
      <c r="E2203" s="62" t="s"/>
      <c r="F2203" s="66" t="s"/>
      <c r="G2203" s="66" t="s"/>
      <c r="H2203" s="66" t="s"/>
      <c r="I2203" s="62" t="s"/>
      <c r="J2203" s="62" t="s"/>
      <c r="K2203" s="99" t="s"/>
      <c r="L2203" s="66" t="s"/>
      <c r="M2203" s="66" t="s"/>
      <c r="N2203" s="572" t="s"/>
      <c r="O2203" s="62" t="s"/>
      <c r="P2203" s="62" t="s"/>
      <c r="Q2203" s="62" t="s"/>
      <c r="R2203" s="62" t="s"/>
    </row>
    <row r="2204" spans="1:18" ht="15.75" customHeight="true">
      <c r="A2204" s="107" t="s"/>
      <c r="B2204" s="62" t="s"/>
      <c r="C2204" s="62" t="s"/>
      <c r="D2204" s="62" t="s"/>
      <c r="E2204" s="62" t="s"/>
      <c r="F2204" s="66" t="s"/>
      <c r="G2204" s="66" t="s"/>
      <c r="H2204" s="66" t="s"/>
      <c r="I2204" s="62" t="s"/>
      <c r="J2204" s="62" t="s"/>
      <c r="K2204" s="99" t="s"/>
      <c r="L2204" s="66" t="s"/>
      <c r="M2204" s="66" t="s"/>
      <c r="N2204" s="572" t="s"/>
      <c r="O2204" s="62" t="s"/>
      <c r="P2204" s="62" t="s"/>
      <c r="Q2204" s="62" t="s"/>
      <c r="R2204" s="62" t="s"/>
    </row>
    <row r="2205" spans="1:18" ht="15.75" customHeight="true">
      <c r="A2205" s="107" t="s"/>
      <c r="B2205" s="62" t="s"/>
      <c r="C2205" s="62" t="s"/>
      <c r="D2205" s="62" t="s"/>
      <c r="E2205" s="62" t="s"/>
      <c r="F2205" s="66" t="s"/>
      <c r="G2205" s="66" t="s"/>
      <c r="H2205" s="66" t="s"/>
      <c r="I2205" s="62" t="s"/>
      <c r="J2205" s="62" t="s"/>
      <c r="K2205" s="99" t="s"/>
      <c r="L2205" s="66" t="s"/>
      <c r="M2205" s="66" t="s"/>
      <c r="N2205" s="572" t="s"/>
      <c r="O2205" s="62" t="s"/>
      <c r="P2205" s="62" t="s"/>
      <c r="Q2205" s="62" t="s"/>
      <c r="R2205" s="62" t="s"/>
    </row>
    <row r="2206" spans="1:18" ht="15.75" customHeight="true">
      <c r="A2206" s="107" t="s"/>
      <c r="B2206" s="62" t="s"/>
      <c r="C2206" s="62" t="s"/>
      <c r="D2206" s="62" t="s"/>
      <c r="E2206" s="62" t="s"/>
      <c r="F2206" s="66" t="s"/>
      <c r="G2206" s="66" t="s"/>
      <c r="H2206" s="66" t="s"/>
      <c r="I2206" s="62" t="s"/>
      <c r="J2206" s="62" t="s"/>
      <c r="K2206" s="99" t="s"/>
      <c r="L2206" s="66" t="s"/>
      <c r="M2206" s="66" t="s"/>
      <c r="N2206" s="572" t="s"/>
      <c r="O2206" s="62" t="s"/>
      <c r="P2206" s="62" t="s"/>
      <c r="Q2206" s="62" t="s"/>
      <c r="R2206" s="62" t="s"/>
    </row>
    <row r="2207" spans="1:18" ht="15.75" customHeight="true">
      <c r="A2207" s="107" t="s"/>
      <c r="B2207" s="62" t="s"/>
      <c r="C2207" s="62" t="s"/>
      <c r="D2207" s="62" t="s"/>
      <c r="E2207" s="62" t="s"/>
      <c r="F2207" s="66" t="s"/>
      <c r="G2207" s="66" t="s"/>
      <c r="H2207" s="66" t="s"/>
      <c r="I2207" s="62" t="s"/>
      <c r="J2207" s="62" t="s"/>
      <c r="K2207" s="99" t="s"/>
      <c r="L2207" s="66" t="s"/>
      <c r="M2207" s="66" t="s"/>
      <c r="N2207" s="572" t="s"/>
      <c r="O2207" s="62" t="s"/>
      <c r="P2207" s="62" t="s"/>
      <c r="Q2207" s="62" t="s"/>
      <c r="R2207" s="62" t="s"/>
    </row>
    <row r="2208" spans="1:18" ht="15.75" customHeight="true">
      <c r="A2208" s="107" t="s"/>
      <c r="B2208" s="62" t="s"/>
      <c r="C2208" s="62" t="s"/>
      <c r="D2208" s="62" t="s"/>
      <c r="E2208" s="62" t="s"/>
      <c r="F2208" s="66" t="s"/>
      <c r="G2208" s="66" t="s"/>
      <c r="H2208" s="66" t="s"/>
      <c r="I2208" s="62" t="s"/>
      <c r="J2208" s="62" t="s"/>
      <c r="K2208" s="99" t="s"/>
      <c r="L2208" s="66" t="s"/>
      <c r="M2208" s="66" t="s"/>
      <c r="N2208" s="572" t="s"/>
      <c r="O2208" s="62" t="s"/>
      <c r="P2208" s="62" t="s"/>
      <c r="Q2208" s="62" t="s"/>
      <c r="R2208" s="62" t="s"/>
    </row>
    <row r="2209" spans="1:18" ht="15.75" customHeight="true">
      <c r="A2209" s="107" t="s"/>
      <c r="B2209" s="62" t="s"/>
      <c r="C2209" s="62" t="s"/>
      <c r="D2209" s="62" t="s"/>
      <c r="E2209" s="62" t="s"/>
      <c r="F2209" s="66" t="s"/>
      <c r="G2209" s="66" t="s"/>
      <c r="H2209" s="66" t="s"/>
      <c r="I2209" s="62" t="s"/>
      <c r="J2209" s="62" t="s"/>
      <c r="K2209" s="99" t="s"/>
      <c r="L2209" s="66" t="s"/>
      <c r="M2209" s="66" t="s"/>
      <c r="N2209" s="572" t="s"/>
      <c r="O2209" s="62" t="s"/>
      <c r="P2209" s="62" t="s"/>
      <c r="Q2209" s="62" t="s"/>
      <c r="R2209" s="62" t="s"/>
    </row>
    <row r="2210" spans="1:18" ht="15.75" customHeight="true">
      <c r="A2210" s="107" t="s"/>
      <c r="B2210" s="62" t="s"/>
      <c r="C2210" s="62" t="s"/>
      <c r="D2210" s="62" t="s"/>
      <c r="E2210" s="62" t="s"/>
      <c r="F2210" s="66" t="s"/>
      <c r="G2210" s="66" t="s"/>
      <c r="H2210" s="66" t="s"/>
      <c r="I2210" s="62" t="s"/>
      <c r="J2210" s="62" t="s"/>
      <c r="K2210" s="99" t="s"/>
      <c r="L2210" s="66" t="s"/>
      <c r="M2210" s="66" t="s"/>
      <c r="N2210" s="572" t="s"/>
      <c r="O2210" s="62" t="s"/>
      <c r="P2210" s="62" t="s"/>
      <c r="Q2210" s="62" t="s"/>
      <c r="R2210" s="62" t="s"/>
    </row>
    <row r="2211" spans="1:18" ht="15.75" customHeight="true">
      <c r="A2211" s="107" t="s"/>
      <c r="B2211" s="62" t="s"/>
      <c r="C2211" s="62" t="s"/>
      <c r="D2211" s="62" t="s"/>
      <c r="E2211" s="62" t="s"/>
      <c r="F2211" s="66" t="s"/>
      <c r="G2211" s="66" t="s"/>
      <c r="H2211" s="66" t="s"/>
      <c r="I2211" s="62" t="s"/>
      <c r="J2211" s="62" t="s"/>
      <c r="K2211" s="99" t="s"/>
      <c r="L2211" s="66" t="s"/>
      <c r="M2211" s="66" t="s"/>
      <c r="N2211" s="572" t="s"/>
      <c r="O2211" s="62" t="s"/>
      <c r="P2211" s="62" t="s"/>
      <c r="Q2211" s="62" t="s"/>
      <c r="R2211" s="62" t="s"/>
    </row>
    <row r="2212" spans="1:18" ht="15.75" customHeight="true">
      <c r="A2212" s="107" t="s"/>
      <c r="B2212" s="62" t="s"/>
      <c r="C2212" s="62" t="s"/>
      <c r="D2212" s="62" t="s"/>
      <c r="E2212" s="62" t="s"/>
      <c r="F2212" s="66" t="s"/>
      <c r="G2212" s="66" t="s"/>
      <c r="H2212" s="66" t="s"/>
      <c r="I2212" s="62" t="s"/>
      <c r="J2212" s="62" t="s"/>
      <c r="K2212" s="99" t="s"/>
      <c r="L2212" s="66" t="s"/>
      <c r="M2212" s="66" t="s"/>
      <c r="N2212" s="572" t="s"/>
      <c r="O2212" s="62" t="s"/>
      <c r="P2212" s="62" t="s"/>
      <c r="Q2212" s="62" t="s"/>
      <c r="R2212" s="62" t="s"/>
    </row>
    <row r="2213" spans="1:18" ht="15.75" customHeight="true">
      <c r="A2213" s="107" t="s"/>
      <c r="B2213" s="62" t="s"/>
      <c r="C2213" s="62" t="s"/>
      <c r="D2213" s="62" t="s"/>
      <c r="E2213" s="62" t="s"/>
      <c r="F2213" s="66" t="s"/>
      <c r="G2213" s="66" t="s"/>
      <c r="H2213" s="66" t="s"/>
      <c r="I2213" s="62" t="s"/>
      <c r="J2213" s="62" t="s"/>
      <c r="K2213" s="99" t="s"/>
      <c r="L2213" s="66" t="s"/>
      <c r="M2213" s="66" t="s"/>
      <c r="N2213" s="572" t="s"/>
      <c r="O2213" s="62" t="s"/>
      <c r="P2213" s="62" t="s"/>
      <c r="Q2213" s="62" t="s"/>
      <c r="R2213" s="62" t="s"/>
    </row>
    <row r="2214" spans="1:18" ht="15.75" customHeight="true">
      <c r="A2214" s="107" t="s"/>
      <c r="B2214" s="62" t="s"/>
      <c r="C2214" s="62" t="s"/>
      <c r="D2214" s="62" t="s"/>
      <c r="E2214" s="62" t="s"/>
      <c r="F2214" s="66" t="s"/>
      <c r="G2214" s="66" t="s"/>
      <c r="H2214" s="66" t="s"/>
      <c r="I2214" s="62" t="s"/>
      <c r="J2214" s="62" t="s"/>
      <c r="K2214" s="99" t="s"/>
      <c r="L2214" s="66" t="s"/>
      <c r="M2214" s="66" t="s"/>
      <c r="N2214" s="572" t="s"/>
      <c r="O2214" s="62" t="s"/>
      <c r="P2214" s="62" t="s"/>
      <c r="Q2214" s="62" t="s"/>
      <c r="R2214" s="62" t="s"/>
    </row>
    <row r="2215" spans="1:18" ht="15.75" customHeight="true">
      <c r="A2215" s="107" t="s"/>
      <c r="B2215" s="62" t="s"/>
      <c r="C2215" s="62" t="s"/>
      <c r="D2215" s="62" t="s"/>
      <c r="E2215" s="62" t="s"/>
      <c r="F2215" s="66" t="s"/>
      <c r="G2215" s="66" t="s"/>
      <c r="H2215" s="66" t="s"/>
      <c r="I2215" s="62" t="s"/>
      <c r="J2215" s="62" t="s"/>
      <c r="K2215" s="99" t="s"/>
      <c r="L2215" s="66" t="s"/>
      <c r="M2215" s="66" t="s"/>
      <c r="N2215" s="572" t="s"/>
      <c r="O2215" s="62" t="s"/>
      <c r="P2215" s="62" t="s"/>
      <c r="Q2215" s="62" t="s"/>
      <c r="R2215" s="62" t="s"/>
    </row>
    <row r="2216" spans="1:18" ht="15.75" customHeight="true">
      <c r="A2216" s="107" t="s"/>
      <c r="B2216" s="62" t="s"/>
      <c r="C2216" s="62" t="s"/>
      <c r="D2216" s="62" t="s"/>
      <c r="E2216" s="62" t="s"/>
      <c r="F2216" s="66" t="s"/>
      <c r="G2216" s="66" t="s"/>
      <c r="H2216" s="66" t="s"/>
      <c r="I2216" s="62" t="s"/>
      <c r="J2216" s="62" t="s"/>
      <c r="K2216" s="99" t="s"/>
      <c r="L2216" s="66" t="s"/>
      <c r="M2216" s="66" t="s"/>
      <c r="N2216" s="572" t="s"/>
      <c r="O2216" s="62" t="s"/>
      <c r="P2216" s="62" t="s"/>
      <c r="Q2216" s="62" t="s"/>
      <c r="R2216" s="62" t="s"/>
    </row>
    <row r="2217" spans="1:18" ht="15.75" customHeight="true">
      <c r="A2217" s="107" t="s"/>
      <c r="B2217" s="62" t="s"/>
      <c r="C2217" s="62" t="s"/>
      <c r="D2217" s="62" t="s"/>
      <c r="E2217" s="62" t="s"/>
      <c r="F2217" s="66" t="s"/>
      <c r="G2217" s="66" t="s"/>
      <c r="H2217" s="66" t="s"/>
      <c r="I2217" s="62" t="s"/>
      <c r="J2217" s="62" t="s"/>
      <c r="K2217" s="99" t="s"/>
      <c r="L2217" s="66" t="s"/>
      <c r="M2217" s="66" t="s"/>
      <c r="N2217" s="572" t="s"/>
      <c r="O2217" s="62" t="s"/>
      <c r="P2217" s="62" t="s"/>
      <c r="Q2217" s="62" t="s"/>
      <c r="R2217" s="62" t="s"/>
    </row>
    <row r="2218" spans="1:18" ht="15.75" customHeight="true">
      <c r="A2218" s="107" t="s"/>
      <c r="B2218" s="62" t="s"/>
      <c r="C2218" s="62" t="s"/>
      <c r="D2218" s="62" t="s"/>
      <c r="E2218" s="62" t="s"/>
      <c r="F2218" s="66" t="s"/>
      <c r="G2218" s="66" t="s"/>
      <c r="H2218" s="66" t="s"/>
      <c r="I2218" s="62" t="s"/>
      <c r="J2218" s="62" t="s"/>
      <c r="K2218" s="99" t="s"/>
      <c r="L2218" s="66" t="s"/>
      <c r="M2218" s="66" t="s"/>
      <c r="N2218" s="572" t="s"/>
      <c r="O2218" s="62" t="s"/>
      <c r="P2218" s="62" t="s"/>
      <c r="Q2218" s="62" t="s"/>
      <c r="R2218" s="62" t="s"/>
    </row>
    <row r="2219" spans="1:18" ht="15.75" customHeight="true">
      <c r="A2219" s="107" t="s"/>
      <c r="B2219" s="62" t="s"/>
      <c r="C2219" s="62" t="s"/>
      <c r="D2219" s="62" t="s"/>
      <c r="E2219" s="62" t="s"/>
      <c r="F2219" s="66" t="s"/>
      <c r="G2219" s="66" t="s"/>
      <c r="H2219" s="66" t="s"/>
      <c r="I2219" s="62" t="s"/>
      <c r="J2219" s="62" t="s"/>
      <c r="K2219" s="99" t="s"/>
      <c r="L2219" s="66" t="s"/>
      <c r="M2219" s="66" t="s"/>
      <c r="N2219" s="572" t="s"/>
      <c r="O2219" s="62" t="s"/>
      <c r="P2219" s="62" t="s"/>
      <c r="Q2219" s="62" t="s"/>
      <c r="R2219" s="62" t="s"/>
    </row>
    <row r="2220" spans="1:18" ht="15.75" customHeight="true">
      <c r="A2220" s="107" t="s"/>
      <c r="B2220" s="62" t="s"/>
      <c r="C2220" s="62" t="s"/>
      <c r="D2220" s="62" t="s"/>
      <c r="E2220" s="62" t="s"/>
      <c r="F2220" s="66" t="s"/>
      <c r="G2220" s="66" t="s"/>
      <c r="H2220" s="66" t="s"/>
      <c r="I2220" s="62" t="s"/>
      <c r="J2220" s="62" t="s"/>
      <c r="K2220" s="99" t="s"/>
      <c r="L2220" s="66" t="s"/>
      <c r="M2220" s="66" t="s"/>
      <c r="N2220" s="572" t="s"/>
      <c r="O2220" s="62" t="s"/>
      <c r="P2220" s="62" t="s"/>
      <c r="Q2220" s="62" t="s"/>
      <c r="R2220" s="62" t="s"/>
    </row>
    <row r="2221" spans="1:18" ht="15.75" customHeight="true">
      <c r="A2221" s="107" t="s"/>
      <c r="B2221" s="62" t="s"/>
      <c r="C2221" s="62" t="s"/>
      <c r="D2221" s="62" t="s"/>
      <c r="E2221" s="62" t="s"/>
      <c r="F2221" s="66" t="s"/>
      <c r="G2221" s="66" t="s"/>
      <c r="H2221" s="66" t="s"/>
      <c r="I2221" s="62" t="s"/>
      <c r="J2221" s="62" t="s"/>
      <c r="K2221" s="99" t="s"/>
      <c r="L2221" s="66" t="s"/>
      <c r="M2221" s="66" t="s"/>
      <c r="N2221" s="572" t="s"/>
      <c r="O2221" s="62" t="s"/>
      <c r="P2221" s="62" t="s"/>
      <c r="Q2221" s="62" t="s"/>
      <c r="R2221" s="62" t="s"/>
    </row>
    <row r="2222" spans="1:18" ht="15.75" customHeight="true">
      <c r="A2222" s="107" t="s"/>
      <c r="B2222" s="62" t="s"/>
      <c r="C2222" s="62" t="s"/>
      <c r="D2222" s="62" t="s"/>
      <c r="E2222" s="62" t="s"/>
      <c r="F2222" s="66" t="s"/>
      <c r="G2222" s="66" t="s"/>
      <c r="H2222" s="66" t="s"/>
      <c r="I2222" s="62" t="s"/>
      <c r="J2222" s="62" t="s"/>
      <c r="K2222" s="99" t="s"/>
      <c r="L2222" s="66" t="s"/>
      <c r="M2222" s="66" t="s"/>
      <c r="N2222" s="572" t="s"/>
      <c r="O2222" s="62" t="s"/>
      <c r="P2222" s="62" t="s"/>
      <c r="Q2222" s="62" t="s"/>
      <c r="R2222" s="62" t="s"/>
    </row>
    <row r="2223" spans="1:18" ht="15.75" customHeight="true">
      <c r="A2223" s="107" t="s"/>
      <c r="B2223" s="62" t="s"/>
      <c r="C2223" s="62" t="s"/>
      <c r="D2223" s="62" t="s"/>
      <c r="E2223" s="62" t="s"/>
      <c r="F2223" s="66" t="s"/>
      <c r="G2223" s="66" t="s"/>
      <c r="H2223" s="66" t="s"/>
      <c r="I2223" s="62" t="s"/>
      <c r="J2223" s="62" t="s"/>
      <c r="K2223" s="99" t="s"/>
      <c r="L2223" s="66" t="s"/>
      <c r="M2223" s="66" t="s"/>
      <c r="N2223" s="572" t="s"/>
      <c r="O2223" s="62" t="s"/>
      <c r="P2223" s="62" t="s"/>
      <c r="Q2223" s="62" t="s"/>
      <c r="R2223" s="62" t="s"/>
    </row>
    <row r="2224" spans="1:18" ht="15.75" customHeight="true">
      <c r="A2224" s="107" t="s"/>
      <c r="B2224" s="62" t="s"/>
      <c r="C2224" s="62" t="s"/>
      <c r="D2224" s="62" t="s"/>
      <c r="E2224" s="62" t="s"/>
      <c r="F2224" s="66" t="s"/>
      <c r="G2224" s="66" t="s"/>
      <c r="H2224" s="66" t="s"/>
      <c r="I2224" s="62" t="s"/>
      <c r="J2224" s="62" t="s"/>
      <c r="K2224" s="99" t="s"/>
      <c r="L2224" s="66" t="s"/>
      <c r="M2224" s="66" t="s"/>
      <c r="N2224" s="572" t="s"/>
      <c r="O2224" s="62" t="s"/>
      <c r="P2224" s="62" t="s"/>
      <c r="Q2224" s="62" t="s"/>
      <c r="R2224" s="62" t="s"/>
    </row>
    <row r="2225" spans="1:18" ht="15.75" customHeight="true">
      <c r="A2225" s="107" t="s"/>
      <c r="B2225" s="62" t="s"/>
      <c r="C2225" s="62" t="s"/>
      <c r="D2225" s="62" t="s"/>
      <c r="E2225" s="62" t="s"/>
      <c r="F2225" s="66" t="s"/>
      <c r="G2225" s="66" t="s"/>
      <c r="H2225" s="66" t="s"/>
      <c r="I2225" s="62" t="s"/>
      <c r="J2225" s="62" t="s"/>
      <c r="K2225" s="99" t="s"/>
      <c r="L2225" s="66" t="s"/>
      <c r="M2225" s="66" t="s"/>
      <c r="N2225" s="572" t="s"/>
      <c r="O2225" s="62" t="s"/>
      <c r="P2225" s="62" t="s"/>
      <c r="Q2225" s="62" t="s"/>
      <c r="R2225" s="62" t="s"/>
    </row>
    <row r="2226" spans="1:18" ht="15.75" customHeight="true">
      <c r="A2226" s="107" t="s"/>
      <c r="B2226" s="62" t="s"/>
      <c r="C2226" s="62" t="s"/>
      <c r="D2226" s="62" t="s"/>
      <c r="E2226" s="62" t="s"/>
      <c r="F2226" s="66" t="s"/>
      <c r="G2226" s="66" t="s"/>
      <c r="H2226" s="66" t="s"/>
      <c r="I2226" s="62" t="s"/>
      <c r="J2226" s="62" t="s"/>
      <c r="K2226" s="99" t="s"/>
      <c r="L2226" s="66" t="s"/>
      <c r="M2226" s="66" t="s"/>
      <c r="N2226" s="572" t="s"/>
      <c r="O2226" s="62" t="s"/>
      <c r="P2226" s="62" t="s"/>
      <c r="Q2226" s="62" t="s"/>
      <c r="R2226" s="62" t="s"/>
    </row>
    <row r="2227" spans="1:18" ht="15.75" customHeight="true">
      <c r="A2227" s="107" t="s"/>
      <c r="B2227" s="62" t="s"/>
      <c r="C2227" s="62" t="s"/>
      <c r="D2227" s="62" t="s"/>
      <c r="E2227" s="62" t="s"/>
      <c r="F2227" s="66" t="s"/>
      <c r="G2227" s="66" t="s"/>
      <c r="H2227" s="66" t="s"/>
      <c r="I2227" s="62" t="s"/>
      <c r="J2227" s="62" t="s"/>
      <c r="K2227" s="99" t="s"/>
      <c r="L2227" s="66" t="s"/>
      <c r="M2227" s="66" t="s"/>
      <c r="N2227" s="572" t="s"/>
      <c r="O2227" s="62" t="s"/>
      <c r="P2227" s="62" t="s"/>
      <c r="Q2227" s="62" t="s"/>
      <c r="R2227" s="62" t="s"/>
    </row>
    <row r="2228" spans="1:18" ht="15.75" customHeight="true">
      <c r="A2228" s="107" t="s"/>
      <c r="B2228" s="62" t="s"/>
      <c r="C2228" s="62" t="s"/>
      <c r="D2228" s="62" t="s"/>
      <c r="E2228" s="62" t="s"/>
      <c r="F2228" s="66" t="s"/>
      <c r="G2228" s="66" t="s"/>
      <c r="H2228" s="66" t="s"/>
      <c r="I2228" s="62" t="s"/>
      <c r="J2228" s="62" t="s"/>
      <c r="K2228" s="99" t="s"/>
      <c r="L2228" s="66" t="s"/>
      <c r="M2228" s="66" t="s"/>
      <c r="N2228" s="572" t="s"/>
      <c r="O2228" s="62" t="s"/>
      <c r="P2228" s="62" t="s"/>
      <c r="Q2228" s="62" t="s"/>
      <c r="R2228" s="62" t="s"/>
    </row>
    <row r="2229" spans="1:18" ht="15.75" customHeight="true">
      <c r="A2229" s="107" t="s"/>
      <c r="B2229" s="62" t="s"/>
      <c r="C2229" s="62" t="s"/>
      <c r="D2229" s="62" t="s"/>
      <c r="E2229" s="62" t="s"/>
      <c r="F2229" s="66" t="s"/>
      <c r="G2229" s="66" t="s"/>
      <c r="H2229" s="66" t="s"/>
      <c r="I2229" s="62" t="s"/>
      <c r="J2229" s="62" t="s"/>
      <c r="K2229" s="99" t="s"/>
      <c r="L2229" s="66" t="s"/>
      <c r="M2229" s="66" t="s"/>
      <c r="N2229" s="572" t="s"/>
      <c r="O2229" s="62" t="s"/>
      <c r="P2229" s="62" t="s"/>
      <c r="Q2229" s="62" t="s"/>
      <c r="R2229" s="62" t="s"/>
    </row>
    <row r="2230" spans="1:18" ht="15.75" customHeight="true">
      <c r="A2230" s="107" t="s"/>
      <c r="B2230" s="62" t="s"/>
      <c r="C2230" s="62" t="s"/>
      <c r="D2230" s="62" t="s"/>
      <c r="E2230" s="62" t="s"/>
      <c r="F2230" s="66" t="s"/>
      <c r="G2230" s="66" t="s"/>
      <c r="H2230" s="66" t="s"/>
      <c r="I2230" s="62" t="s"/>
      <c r="J2230" s="62" t="s"/>
      <c r="K2230" s="99" t="s"/>
      <c r="L2230" s="66" t="s"/>
      <c r="M2230" s="66" t="s"/>
      <c r="N2230" s="572" t="s"/>
      <c r="O2230" s="62" t="s"/>
      <c r="P2230" s="62" t="s"/>
      <c r="Q2230" s="62" t="s"/>
      <c r="R2230" s="62" t="s"/>
    </row>
    <row r="2231" spans="1:18" ht="15.75" customHeight="true">
      <c r="A2231" s="107" t="s"/>
      <c r="B2231" s="62" t="s"/>
      <c r="C2231" s="62" t="s"/>
      <c r="D2231" s="62" t="s"/>
      <c r="E2231" s="62" t="s"/>
      <c r="F2231" s="66" t="s"/>
      <c r="G2231" s="66" t="s"/>
      <c r="H2231" s="66" t="s"/>
      <c r="I2231" s="62" t="s"/>
      <c r="J2231" s="62" t="s"/>
      <c r="K2231" s="99" t="s"/>
      <c r="L2231" s="66" t="s"/>
      <c r="M2231" s="66" t="s"/>
      <c r="N2231" s="572" t="s"/>
      <c r="O2231" s="62" t="s"/>
      <c r="P2231" s="62" t="s"/>
      <c r="Q2231" s="62" t="s"/>
      <c r="R2231" s="62" t="s"/>
    </row>
    <row r="2232" spans="1:18" ht="15.75" customHeight="true">
      <c r="A2232" s="107" t="s"/>
      <c r="B2232" s="62" t="s"/>
      <c r="C2232" s="62" t="s"/>
      <c r="D2232" s="62" t="s"/>
      <c r="E2232" s="62" t="s"/>
      <c r="F2232" s="66" t="s"/>
      <c r="G2232" s="66" t="s"/>
      <c r="H2232" s="66" t="s"/>
      <c r="I2232" s="62" t="s"/>
      <c r="J2232" s="62" t="s"/>
      <c r="K2232" s="99" t="s"/>
      <c r="L2232" s="66" t="s"/>
      <c r="M2232" s="66" t="s"/>
      <c r="N2232" s="572" t="s"/>
      <c r="O2232" s="62" t="s"/>
      <c r="P2232" s="62" t="s"/>
      <c r="Q2232" s="62" t="s"/>
      <c r="R2232" s="62" t="s"/>
    </row>
    <row r="2233" spans="1:18" ht="15.75" customHeight="true">
      <c r="A2233" s="107" t="s"/>
      <c r="B2233" s="62" t="s"/>
      <c r="C2233" s="62" t="s"/>
      <c r="D2233" s="62" t="s"/>
      <c r="E2233" s="62" t="s"/>
      <c r="F2233" s="66" t="s"/>
      <c r="G2233" s="66" t="s"/>
      <c r="H2233" s="66" t="s"/>
      <c r="I2233" s="62" t="s"/>
      <c r="J2233" s="62" t="s"/>
      <c r="K2233" s="99" t="s"/>
      <c r="L2233" s="66" t="s"/>
      <c r="M2233" s="66" t="s"/>
      <c r="N2233" s="572" t="s"/>
      <c r="O2233" s="62" t="s"/>
      <c r="P2233" s="62" t="s"/>
      <c r="Q2233" s="62" t="s"/>
      <c r="R2233" s="62" t="s"/>
    </row>
    <row r="2234" spans="1:18" ht="15.75" customHeight="true">
      <c r="A2234" s="107" t="s"/>
      <c r="B2234" s="62" t="s"/>
      <c r="C2234" s="62" t="s"/>
      <c r="D2234" s="62" t="s"/>
      <c r="E2234" s="62" t="s"/>
      <c r="F2234" s="66" t="s"/>
      <c r="G2234" s="66" t="s"/>
      <c r="H2234" s="66" t="s"/>
      <c r="I2234" s="62" t="s"/>
      <c r="J2234" s="62" t="s"/>
      <c r="K2234" s="99" t="s"/>
      <c r="L2234" s="66" t="s"/>
      <c r="M2234" s="66" t="s"/>
      <c r="N2234" s="572" t="s"/>
      <c r="O2234" s="62" t="s"/>
      <c r="P2234" s="62" t="s"/>
      <c r="Q2234" s="62" t="s"/>
      <c r="R2234" s="62" t="s"/>
    </row>
    <row r="2235" spans="1:18" ht="15.75" customHeight="true">
      <c r="A2235" s="107" t="s"/>
      <c r="B2235" s="62" t="s"/>
      <c r="C2235" s="62" t="s"/>
      <c r="D2235" s="62" t="s"/>
      <c r="E2235" s="62" t="s"/>
      <c r="F2235" s="66" t="s"/>
      <c r="G2235" s="66" t="s"/>
      <c r="H2235" s="66" t="s"/>
      <c r="I2235" s="62" t="s"/>
      <c r="J2235" s="62" t="s"/>
      <c r="K2235" s="99" t="s"/>
      <c r="L2235" s="66" t="s"/>
      <c r="M2235" s="66" t="s"/>
      <c r="N2235" s="572" t="s"/>
      <c r="O2235" s="62" t="s"/>
      <c r="P2235" s="62" t="s"/>
      <c r="Q2235" s="62" t="s"/>
      <c r="R2235" s="62" t="s"/>
    </row>
    <row r="2236" spans="1:18" ht="15.75" customHeight="true">
      <c r="A2236" s="107" t="s"/>
      <c r="B2236" s="62" t="s"/>
      <c r="C2236" s="62" t="s"/>
      <c r="D2236" s="62" t="s"/>
      <c r="E2236" s="62" t="s"/>
      <c r="F2236" s="66" t="s"/>
      <c r="G2236" s="66" t="s"/>
      <c r="H2236" s="66" t="s"/>
      <c r="I2236" s="62" t="s"/>
      <c r="J2236" s="62" t="s"/>
      <c r="K2236" s="99" t="s"/>
      <c r="L2236" s="66" t="s"/>
      <c r="M2236" s="66" t="s"/>
      <c r="N2236" s="572" t="s"/>
      <c r="O2236" s="62" t="s"/>
      <c r="P2236" s="62" t="s"/>
      <c r="Q2236" s="62" t="s"/>
      <c r="R2236" s="62" t="s"/>
    </row>
    <row r="2237" spans="1:18" ht="15.75" customHeight="true">
      <c r="A2237" s="107" t="s"/>
      <c r="B2237" s="62" t="s"/>
      <c r="C2237" s="62" t="s"/>
      <c r="D2237" s="62" t="s"/>
      <c r="E2237" s="62" t="s"/>
      <c r="F2237" s="66" t="s"/>
      <c r="G2237" s="66" t="s"/>
      <c r="H2237" s="66" t="s"/>
      <c r="I2237" s="62" t="s"/>
      <c r="J2237" s="62" t="s"/>
      <c r="K2237" s="99" t="s"/>
      <c r="L2237" s="66" t="s"/>
      <c r="M2237" s="66" t="s"/>
      <c r="N2237" s="572" t="s"/>
      <c r="O2237" s="62" t="s"/>
      <c r="P2237" s="62" t="s"/>
      <c r="Q2237" s="62" t="s"/>
      <c r="R2237" s="62" t="s"/>
    </row>
    <row r="2238" spans="1:18" ht="15.75" customHeight="true">
      <c r="A2238" s="107" t="s"/>
      <c r="B2238" s="62" t="s"/>
      <c r="C2238" s="62" t="s"/>
      <c r="D2238" s="62" t="s"/>
      <c r="E2238" s="62" t="s"/>
      <c r="F2238" s="66" t="s"/>
      <c r="G2238" s="66" t="s"/>
      <c r="H2238" s="66" t="s"/>
      <c r="I2238" s="62" t="s"/>
      <c r="J2238" s="62" t="s"/>
      <c r="K2238" s="99" t="s"/>
      <c r="L2238" s="66" t="s"/>
      <c r="M2238" s="66" t="s"/>
      <c r="N2238" s="572" t="s"/>
      <c r="O2238" s="62" t="s"/>
      <c r="P2238" s="62" t="s"/>
      <c r="Q2238" s="62" t="s"/>
      <c r="R2238" s="62" t="s"/>
    </row>
    <row r="2239" spans="1:18" ht="15.75" customHeight="true">
      <c r="A2239" s="107" t="s"/>
      <c r="B2239" s="62" t="s"/>
      <c r="C2239" s="62" t="s"/>
      <c r="D2239" s="62" t="s"/>
      <c r="E2239" s="62" t="s"/>
      <c r="F2239" s="66" t="s"/>
      <c r="G2239" s="66" t="s"/>
      <c r="H2239" s="66" t="s"/>
      <c r="I2239" s="62" t="s"/>
      <c r="J2239" s="62" t="s"/>
      <c r="K2239" s="99" t="s"/>
      <c r="L2239" s="66" t="s"/>
      <c r="M2239" s="66" t="s"/>
      <c r="N2239" s="572" t="s"/>
      <c r="O2239" s="62" t="s"/>
      <c r="P2239" s="62" t="s"/>
      <c r="Q2239" s="62" t="s"/>
      <c r="R2239" s="62" t="s"/>
    </row>
    <row r="2240" spans="1:18" ht="15.75" customHeight="true">
      <c r="A2240" s="107" t="s"/>
      <c r="B2240" s="62" t="s"/>
      <c r="C2240" s="62" t="s"/>
      <c r="D2240" s="62" t="s"/>
      <c r="E2240" s="62" t="s"/>
      <c r="F2240" s="66" t="s"/>
      <c r="G2240" s="66" t="s"/>
      <c r="H2240" s="66" t="s"/>
      <c r="I2240" s="62" t="s"/>
      <c r="J2240" s="62" t="s"/>
      <c r="K2240" s="99" t="s"/>
      <c r="L2240" s="66" t="s"/>
      <c r="M2240" s="66" t="s"/>
      <c r="N2240" s="572" t="s"/>
      <c r="O2240" s="62" t="s"/>
      <c r="P2240" s="62" t="s"/>
      <c r="Q2240" s="62" t="s"/>
      <c r="R2240" s="62" t="s"/>
    </row>
    <row r="2241" spans="1:18" ht="15.75" customHeight="true">
      <c r="A2241" s="107" t="s"/>
      <c r="B2241" s="62" t="s"/>
      <c r="C2241" s="62" t="s"/>
      <c r="D2241" s="62" t="s"/>
      <c r="E2241" s="62" t="s"/>
      <c r="F2241" s="66" t="s"/>
      <c r="G2241" s="66" t="s"/>
      <c r="H2241" s="66" t="s"/>
      <c r="I2241" s="62" t="s"/>
      <c r="J2241" s="62" t="s"/>
      <c r="K2241" s="99" t="s"/>
      <c r="L2241" s="66" t="s"/>
      <c r="M2241" s="66" t="s"/>
      <c r="N2241" s="572" t="s"/>
      <c r="O2241" s="62" t="s"/>
      <c r="P2241" s="62" t="s"/>
      <c r="Q2241" s="62" t="s"/>
      <c r="R2241" s="62" t="s"/>
    </row>
    <row r="2242" spans="1:18" ht="15.75" customHeight="true">
      <c r="A2242" s="107" t="s"/>
      <c r="B2242" s="62" t="s"/>
      <c r="C2242" s="62" t="s"/>
      <c r="D2242" s="62" t="s"/>
      <c r="E2242" s="62" t="s"/>
      <c r="F2242" s="66" t="s"/>
      <c r="G2242" s="66" t="s"/>
      <c r="H2242" s="66" t="s"/>
      <c r="I2242" s="62" t="s"/>
      <c r="J2242" s="62" t="s"/>
      <c r="K2242" s="99" t="s"/>
      <c r="L2242" s="66" t="s"/>
      <c r="M2242" s="66" t="s"/>
      <c r="N2242" s="572" t="s"/>
      <c r="O2242" s="62" t="s"/>
      <c r="P2242" s="62" t="s"/>
      <c r="Q2242" s="62" t="s"/>
      <c r="R2242" s="62" t="s"/>
    </row>
    <row r="2243" spans="1:18" ht="15.75" customHeight="true">
      <c r="A2243" s="107" t="s"/>
      <c r="B2243" s="62" t="s"/>
      <c r="C2243" s="62" t="s"/>
      <c r="D2243" s="62" t="s"/>
      <c r="E2243" s="62" t="s"/>
      <c r="F2243" s="66" t="s"/>
      <c r="G2243" s="66" t="s"/>
      <c r="H2243" s="66" t="s"/>
      <c r="I2243" s="62" t="s"/>
      <c r="J2243" s="62" t="s"/>
      <c r="K2243" s="99" t="s"/>
      <c r="L2243" s="66" t="s"/>
      <c r="M2243" s="66" t="s"/>
      <c r="N2243" s="572" t="s"/>
      <c r="O2243" s="62" t="s"/>
      <c r="P2243" s="62" t="s"/>
      <c r="Q2243" s="62" t="s"/>
      <c r="R2243" s="62" t="s"/>
    </row>
    <row r="2244" spans="1:18" ht="15.75" customHeight="true">
      <c r="A2244" s="107" t="s"/>
      <c r="B2244" s="62" t="s"/>
      <c r="C2244" s="62" t="s"/>
      <c r="D2244" s="62" t="s"/>
      <c r="E2244" s="62" t="s"/>
      <c r="F2244" s="66" t="s"/>
      <c r="G2244" s="66" t="s"/>
      <c r="H2244" s="66" t="s"/>
      <c r="I2244" s="62" t="s"/>
      <c r="J2244" s="62" t="s"/>
      <c r="K2244" s="99" t="s"/>
      <c r="L2244" s="66" t="s"/>
      <c r="M2244" s="66" t="s"/>
      <c r="N2244" s="572" t="s"/>
      <c r="O2244" s="62" t="s"/>
      <c r="P2244" s="62" t="s"/>
      <c r="Q2244" s="62" t="s"/>
      <c r="R2244" s="62" t="s"/>
    </row>
    <row r="2245" spans="1:18" ht="15.75" customHeight="true">
      <c r="A2245" s="107" t="s"/>
      <c r="B2245" s="62" t="s"/>
      <c r="C2245" s="62" t="s"/>
      <c r="D2245" s="62" t="s"/>
      <c r="E2245" s="62" t="s"/>
      <c r="F2245" s="66" t="s"/>
      <c r="G2245" s="66" t="s"/>
      <c r="H2245" s="66" t="s"/>
      <c r="I2245" s="62" t="s"/>
      <c r="J2245" s="62" t="s"/>
      <c r="K2245" s="99" t="s"/>
      <c r="L2245" s="66" t="s"/>
      <c r="M2245" s="66" t="s"/>
      <c r="N2245" s="572" t="s"/>
      <c r="O2245" s="62" t="s"/>
      <c r="P2245" s="62" t="s"/>
      <c r="Q2245" s="62" t="s"/>
      <c r="R2245" s="62" t="s"/>
    </row>
    <row r="2246" spans="1:18" ht="15.75" customHeight="true">
      <c r="A2246" s="107" t="s"/>
      <c r="B2246" s="62" t="s"/>
      <c r="C2246" s="62" t="s"/>
      <c r="D2246" s="62" t="s"/>
      <c r="E2246" s="62" t="s"/>
      <c r="F2246" s="66" t="s"/>
      <c r="G2246" s="66" t="s"/>
      <c r="H2246" s="66" t="s"/>
      <c r="I2246" s="62" t="s"/>
      <c r="J2246" s="62" t="s"/>
      <c r="K2246" s="99" t="s"/>
      <c r="L2246" s="66" t="s"/>
      <c r="M2246" s="66" t="s"/>
      <c r="N2246" s="572" t="s"/>
      <c r="O2246" s="62" t="s"/>
      <c r="P2246" s="62" t="s"/>
      <c r="Q2246" s="62" t="s"/>
      <c r="R2246" s="62" t="s"/>
    </row>
    <row r="2247" spans="1:18" ht="15.75" customHeight="true">
      <c r="A2247" s="107" t="s"/>
      <c r="B2247" s="62" t="s"/>
      <c r="C2247" s="62" t="s"/>
      <c r="D2247" s="62" t="s"/>
      <c r="E2247" s="62" t="s"/>
      <c r="F2247" s="66" t="s"/>
      <c r="G2247" s="66" t="s"/>
      <c r="H2247" s="66" t="s"/>
      <c r="I2247" s="62" t="s"/>
      <c r="J2247" s="62" t="s"/>
      <c r="K2247" s="99" t="s"/>
      <c r="L2247" s="66" t="s"/>
      <c r="M2247" s="66" t="s"/>
      <c r="N2247" s="572" t="s"/>
      <c r="O2247" s="62" t="s"/>
      <c r="P2247" s="62" t="s"/>
      <c r="Q2247" s="62" t="s"/>
      <c r="R2247" s="62" t="s"/>
    </row>
    <row r="2248" spans="1:18" ht="15.75" customHeight="true">
      <c r="A2248" s="107" t="s"/>
      <c r="B2248" s="62" t="s"/>
      <c r="C2248" s="62" t="s"/>
      <c r="D2248" s="62" t="s"/>
      <c r="E2248" s="62" t="s"/>
      <c r="F2248" s="66" t="s"/>
      <c r="G2248" s="66" t="s"/>
      <c r="H2248" s="66" t="s"/>
      <c r="I2248" s="62" t="s"/>
      <c r="J2248" s="62" t="s"/>
      <c r="K2248" s="99" t="s"/>
      <c r="L2248" s="66" t="s"/>
      <c r="M2248" s="66" t="s"/>
      <c r="N2248" s="572" t="s"/>
      <c r="O2248" s="62" t="s"/>
      <c r="P2248" s="62" t="s"/>
      <c r="Q2248" s="62" t="s"/>
      <c r="R2248" s="62" t="s"/>
    </row>
    <row r="2249" spans="1:18" ht="15.75" customHeight="true">
      <c r="A2249" s="107" t="s"/>
      <c r="B2249" s="62" t="s"/>
      <c r="C2249" s="62" t="s"/>
      <c r="D2249" s="62" t="s"/>
      <c r="E2249" s="62" t="s"/>
      <c r="F2249" s="66" t="s"/>
      <c r="G2249" s="66" t="s"/>
      <c r="H2249" s="66" t="s"/>
      <c r="I2249" s="62" t="s"/>
      <c r="J2249" s="62" t="s"/>
      <c r="K2249" s="99" t="s"/>
      <c r="L2249" s="66" t="s"/>
      <c r="M2249" s="66" t="s"/>
      <c r="N2249" s="572" t="s"/>
      <c r="O2249" s="62" t="s"/>
      <c r="P2249" s="62" t="s"/>
      <c r="Q2249" s="62" t="s"/>
      <c r="R2249" s="62" t="s"/>
    </row>
    <row r="2250" spans="1:18" ht="15.75" customHeight="true">
      <c r="A2250" s="107" t="s"/>
      <c r="B2250" s="62" t="s"/>
      <c r="C2250" s="62" t="s"/>
      <c r="D2250" s="62" t="s"/>
      <c r="E2250" s="62" t="s"/>
      <c r="F2250" s="66" t="s"/>
      <c r="G2250" s="66" t="s"/>
      <c r="H2250" s="66" t="s"/>
      <c r="I2250" s="62" t="s"/>
      <c r="J2250" s="62" t="s"/>
      <c r="K2250" s="99" t="s"/>
      <c r="L2250" s="66" t="s"/>
      <c r="M2250" s="66" t="s"/>
      <c r="N2250" s="572" t="s"/>
      <c r="O2250" s="62" t="s"/>
      <c r="P2250" s="62" t="s"/>
      <c r="Q2250" s="62" t="s"/>
      <c r="R2250" s="62" t="s"/>
    </row>
    <row r="2251" spans="1:18" ht="15.75" customHeight="true">
      <c r="A2251" s="107" t="s"/>
      <c r="B2251" s="62" t="s"/>
      <c r="C2251" s="62" t="s"/>
      <c r="D2251" s="62" t="s"/>
      <c r="E2251" s="62" t="s"/>
      <c r="F2251" s="66" t="s"/>
      <c r="G2251" s="66" t="s"/>
      <c r="H2251" s="66" t="s"/>
      <c r="I2251" s="62" t="s"/>
      <c r="J2251" s="62" t="s"/>
      <c r="K2251" s="99" t="s"/>
      <c r="L2251" s="66" t="s"/>
      <c r="M2251" s="66" t="s"/>
      <c r="N2251" s="572" t="s"/>
      <c r="O2251" s="62" t="s"/>
      <c r="P2251" s="62" t="s"/>
      <c r="Q2251" s="62" t="s"/>
      <c r="R2251" s="62" t="s"/>
    </row>
    <row r="2252" spans="1:18" ht="15.75" customHeight="true">
      <c r="A2252" s="107" t="s"/>
      <c r="B2252" s="62" t="s"/>
      <c r="C2252" s="62" t="s"/>
      <c r="D2252" s="62" t="s"/>
      <c r="E2252" s="62" t="s"/>
      <c r="F2252" s="66" t="s"/>
      <c r="G2252" s="66" t="s"/>
      <c r="H2252" s="66" t="s"/>
      <c r="I2252" s="62" t="s"/>
      <c r="J2252" s="62" t="s"/>
      <c r="K2252" s="99" t="s"/>
      <c r="L2252" s="66" t="s"/>
      <c r="M2252" s="66" t="s"/>
      <c r="N2252" s="572" t="s"/>
      <c r="O2252" s="62" t="s"/>
      <c r="P2252" s="62" t="s"/>
      <c r="Q2252" s="62" t="s"/>
      <c r="R2252" s="62" t="s"/>
    </row>
    <row r="2253" spans="1:18" ht="15.75" customHeight="true">
      <c r="A2253" s="107" t="s"/>
      <c r="B2253" s="62" t="s"/>
      <c r="C2253" s="62" t="s"/>
      <c r="D2253" s="62" t="s"/>
      <c r="E2253" s="62" t="s"/>
      <c r="F2253" s="66" t="s"/>
      <c r="G2253" s="66" t="s"/>
      <c r="H2253" s="66" t="s"/>
      <c r="I2253" s="62" t="s"/>
      <c r="J2253" s="62" t="s"/>
      <c r="K2253" s="99" t="s"/>
      <c r="L2253" s="66" t="s"/>
      <c r="M2253" s="66" t="s"/>
      <c r="N2253" s="572" t="s"/>
      <c r="O2253" s="62" t="s"/>
      <c r="P2253" s="62" t="s"/>
      <c r="Q2253" s="62" t="s"/>
      <c r="R2253" s="62" t="s"/>
    </row>
    <row r="2254" spans="1:18" ht="15.75" customHeight="true">
      <c r="A2254" s="107" t="s"/>
      <c r="B2254" s="62" t="s"/>
      <c r="C2254" s="62" t="s"/>
      <c r="D2254" s="62" t="s"/>
      <c r="E2254" s="62" t="s"/>
      <c r="F2254" s="66" t="s"/>
      <c r="G2254" s="66" t="s"/>
      <c r="H2254" s="66" t="s"/>
      <c r="I2254" s="62" t="s"/>
      <c r="J2254" s="62" t="s"/>
      <c r="K2254" s="99" t="s"/>
      <c r="L2254" s="66" t="s"/>
      <c r="M2254" s="66" t="s"/>
      <c r="N2254" s="572" t="s"/>
      <c r="O2254" s="62" t="s"/>
      <c r="P2254" s="62" t="s"/>
      <c r="Q2254" s="62" t="s"/>
      <c r="R2254" s="62" t="s"/>
    </row>
    <row r="2255" spans="1:18" ht="15.75" customHeight="true">
      <c r="A2255" s="107" t="s"/>
      <c r="B2255" s="62" t="s"/>
      <c r="C2255" s="62" t="s"/>
      <c r="D2255" s="62" t="s"/>
      <c r="E2255" s="62" t="s"/>
      <c r="F2255" s="66" t="s"/>
      <c r="G2255" s="66" t="s"/>
      <c r="H2255" s="66" t="s"/>
      <c r="I2255" s="62" t="s"/>
      <c r="J2255" s="62" t="s"/>
      <c r="K2255" s="99" t="s"/>
      <c r="L2255" s="66" t="s"/>
      <c r="M2255" s="66" t="s"/>
      <c r="N2255" s="572" t="s"/>
      <c r="O2255" s="62" t="s"/>
      <c r="P2255" s="62" t="s"/>
      <c r="Q2255" s="62" t="s"/>
      <c r="R2255" s="62" t="s"/>
    </row>
    <row r="2256" spans="1:18" ht="15.75" customHeight="true">
      <c r="A2256" s="107" t="s"/>
      <c r="B2256" s="62" t="s"/>
      <c r="C2256" s="62" t="s"/>
      <c r="D2256" s="62" t="s"/>
      <c r="E2256" s="62" t="s"/>
      <c r="F2256" s="66" t="s"/>
      <c r="G2256" s="66" t="s"/>
      <c r="H2256" s="66" t="s"/>
      <c r="I2256" s="62" t="s"/>
      <c r="J2256" s="62" t="s"/>
      <c r="K2256" s="99" t="s"/>
      <c r="L2256" s="66" t="s"/>
      <c r="M2256" s="66" t="s"/>
      <c r="N2256" s="572" t="s"/>
      <c r="O2256" s="62" t="s"/>
      <c r="P2256" s="62" t="s"/>
      <c r="Q2256" s="62" t="s"/>
      <c r="R2256" s="62" t="s"/>
    </row>
    <row r="2257" spans="1:18" ht="15.75" customHeight="true">
      <c r="A2257" s="107" t="s"/>
      <c r="B2257" s="62" t="s"/>
      <c r="C2257" s="62" t="s"/>
      <c r="D2257" s="62" t="s"/>
      <c r="E2257" s="62" t="s"/>
      <c r="F2257" s="66" t="s"/>
      <c r="G2257" s="66" t="s"/>
      <c r="H2257" s="66" t="s"/>
      <c r="I2257" s="62" t="s"/>
      <c r="J2257" s="62" t="s"/>
      <c r="K2257" s="99" t="s"/>
      <c r="L2257" s="66" t="s"/>
      <c r="M2257" s="66" t="s"/>
      <c r="N2257" s="572" t="s"/>
      <c r="O2257" s="62" t="s"/>
      <c r="P2257" s="62" t="s"/>
      <c r="Q2257" s="62" t="s"/>
      <c r="R2257" s="62" t="s"/>
    </row>
    <row r="2258" spans="1:18" ht="15.75" customHeight="true">
      <c r="A2258" s="107" t="s"/>
      <c r="B2258" s="62" t="s"/>
      <c r="C2258" s="62" t="s"/>
      <c r="D2258" s="62" t="s"/>
      <c r="E2258" s="62" t="s"/>
      <c r="F2258" s="66" t="s"/>
      <c r="G2258" s="66" t="s"/>
      <c r="H2258" s="66" t="s"/>
      <c r="I2258" s="62" t="s"/>
      <c r="J2258" s="62" t="s"/>
      <c r="K2258" s="99" t="s"/>
      <c r="L2258" s="66" t="s"/>
      <c r="M2258" s="66" t="s"/>
      <c r="N2258" s="572" t="s"/>
      <c r="O2258" s="62" t="s"/>
      <c r="P2258" s="62" t="s"/>
      <c r="Q2258" s="62" t="s"/>
      <c r="R2258" s="62" t="s"/>
    </row>
    <row r="2259" spans="1:18" ht="15.75" customHeight="true">
      <c r="A2259" s="107" t="s"/>
      <c r="B2259" s="62" t="s"/>
      <c r="C2259" s="62" t="s"/>
      <c r="D2259" s="62" t="s"/>
      <c r="E2259" s="62" t="s"/>
      <c r="F2259" s="66" t="s"/>
      <c r="G2259" s="66" t="s"/>
      <c r="H2259" s="66" t="s"/>
      <c r="I2259" s="62" t="s"/>
      <c r="J2259" s="62" t="s"/>
      <c r="K2259" s="99" t="s"/>
      <c r="L2259" s="66" t="s"/>
      <c r="M2259" s="66" t="s"/>
      <c r="N2259" s="572" t="s"/>
      <c r="O2259" s="62" t="s"/>
      <c r="P2259" s="62" t="s"/>
      <c r="Q2259" s="62" t="s"/>
      <c r="R2259" s="62" t="s"/>
    </row>
    <row r="2260" spans="1:18" ht="15.75" customHeight="true">
      <c r="A2260" s="107" t="s"/>
      <c r="B2260" s="62" t="s"/>
      <c r="C2260" s="62" t="s"/>
      <c r="D2260" s="62" t="s"/>
      <c r="E2260" s="62" t="s"/>
      <c r="F2260" s="66" t="s"/>
      <c r="G2260" s="66" t="s"/>
      <c r="H2260" s="66" t="s"/>
      <c r="I2260" s="62" t="s"/>
      <c r="J2260" s="62" t="s"/>
      <c r="K2260" s="99" t="s"/>
      <c r="L2260" s="66" t="s"/>
      <c r="M2260" s="66" t="s"/>
      <c r="N2260" s="572" t="s"/>
      <c r="O2260" s="62" t="s"/>
      <c r="P2260" s="62" t="s"/>
      <c r="Q2260" s="62" t="s"/>
      <c r="R2260" s="62" t="s"/>
    </row>
    <row r="2261" spans="1:18" ht="15.75" customHeight="true">
      <c r="A2261" s="107" t="s"/>
      <c r="B2261" s="62" t="s"/>
      <c r="C2261" s="62" t="s"/>
      <c r="D2261" s="62" t="s"/>
      <c r="E2261" s="62" t="s"/>
      <c r="F2261" s="66" t="s"/>
      <c r="G2261" s="66" t="s"/>
      <c r="H2261" s="66" t="s"/>
      <c r="I2261" s="62" t="s"/>
      <c r="J2261" s="62" t="s"/>
      <c r="K2261" s="99" t="s"/>
      <c r="L2261" s="66" t="s"/>
      <c r="M2261" s="66" t="s"/>
      <c r="N2261" s="572" t="s"/>
      <c r="O2261" s="62" t="s"/>
      <c r="P2261" s="62" t="s"/>
      <c r="Q2261" s="62" t="s"/>
      <c r="R2261" s="62" t="s"/>
    </row>
    <row r="2262" spans="1:18" ht="15.75" customHeight="true">
      <c r="A2262" s="107" t="s"/>
      <c r="B2262" s="62" t="s"/>
      <c r="C2262" s="62" t="s"/>
      <c r="D2262" s="62" t="s"/>
      <c r="E2262" s="62" t="s"/>
      <c r="F2262" s="66" t="s"/>
      <c r="G2262" s="66" t="s"/>
      <c r="H2262" s="66" t="s"/>
      <c r="I2262" s="62" t="s"/>
      <c r="J2262" s="62" t="s"/>
      <c r="K2262" s="99" t="s"/>
      <c r="L2262" s="66" t="s"/>
      <c r="M2262" s="66" t="s"/>
      <c r="N2262" s="572" t="s"/>
      <c r="O2262" s="62" t="s"/>
      <c r="P2262" s="62" t="s"/>
      <c r="Q2262" s="62" t="s"/>
      <c r="R2262" s="62" t="s"/>
    </row>
    <row r="2263" spans="1:18" ht="15.75" customHeight="true">
      <c r="A2263" s="107" t="s"/>
      <c r="B2263" s="62" t="s"/>
      <c r="C2263" s="62" t="s"/>
      <c r="D2263" s="62" t="s"/>
      <c r="E2263" s="62" t="s"/>
      <c r="F2263" s="66" t="s"/>
      <c r="G2263" s="66" t="s"/>
      <c r="H2263" s="66" t="s"/>
      <c r="I2263" s="62" t="s"/>
      <c r="J2263" s="62" t="s"/>
      <c r="K2263" s="99" t="s"/>
      <c r="L2263" s="66" t="s"/>
      <c r="M2263" s="66" t="s"/>
      <c r="N2263" s="572" t="s"/>
      <c r="O2263" s="62" t="s"/>
      <c r="P2263" s="62" t="s"/>
      <c r="Q2263" s="62" t="s"/>
      <c r="R2263" s="62" t="s"/>
    </row>
    <row r="2264" spans="1:18" ht="15.75" customHeight="true">
      <c r="A2264" s="107" t="s"/>
      <c r="B2264" s="62" t="s"/>
      <c r="C2264" s="62" t="s"/>
      <c r="D2264" s="62" t="s"/>
      <c r="E2264" s="62" t="s"/>
      <c r="F2264" s="66" t="s"/>
      <c r="G2264" s="66" t="s"/>
      <c r="H2264" s="66" t="s"/>
      <c r="I2264" s="62" t="s"/>
      <c r="J2264" s="62" t="s"/>
      <c r="K2264" s="99" t="s"/>
      <c r="L2264" s="66" t="s"/>
      <c r="M2264" s="66" t="s"/>
      <c r="N2264" s="572" t="s"/>
      <c r="O2264" s="62" t="s"/>
      <c r="P2264" s="62" t="s"/>
      <c r="Q2264" s="62" t="s"/>
      <c r="R2264" s="62" t="s"/>
    </row>
    <row r="2265" spans="1:18" ht="15.75" customHeight="true">
      <c r="A2265" s="107" t="s"/>
      <c r="B2265" s="62" t="s"/>
      <c r="C2265" s="62" t="s"/>
      <c r="D2265" s="62" t="s"/>
      <c r="E2265" s="62" t="s"/>
      <c r="F2265" s="66" t="s"/>
      <c r="G2265" s="66" t="s"/>
      <c r="H2265" s="66" t="s"/>
      <c r="I2265" s="62" t="s"/>
      <c r="J2265" s="62" t="s"/>
      <c r="K2265" s="99" t="s"/>
      <c r="L2265" s="66" t="s"/>
      <c r="M2265" s="66" t="s"/>
      <c r="N2265" s="572" t="s"/>
      <c r="O2265" s="62" t="s"/>
      <c r="P2265" s="62" t="s"/>
      <c r="Q2265" s="62" t="s"/>
      <c r="R2265" s="62" t="s"/>
    </row>
    <row r="2266" spans="1:18" ht="15.75" customHeight="true">
      <c r="A2266" s="107" t="s"/>
      <c r="B2266" s="62" t="s"/>
      <c r="C2266" s="62" t="s"/>
      <c r="D2266" s="62" t="s"/>
      <c r="E2266" s="62" t="s"/>
      <c r="F2266" s="66" t="s"/>
      <c r="G2266" s="66" t="s"/>
      <c r="H2266" s="66" t="s"/>
      <c r="I2266" s="62" t="s"/>
      <c r="J2266" s="62" t="s"/>
      <c r="K2266" s="99" t="s"/>
      <c r="L2266" s="66" t="s"/>
      <c r="M2266" s="66" t="s"/>
      <c r="N2266" s="572" t="s"/>
      <c r="O2266" s="62" t="s"/>
      <c r="P2266" s="62" t="s"/>
      <c r="Q2266" s="62" t="s"/>
      <c r="R2266" s="62" t="s"/>
    </row>
    <row r="2267" spans="1:18" ht="15.75" customHeight="true">
      <c r="A2267" s="107" t="s"/>
      <c r="B2267" s="62" t="s"/>
      <c r="C2267" s="62" t="s"/>
      <c r="D2267" s="62" t="s"/>
      <c r="E2267" s="62" t="s"/>
      <c r="F2267" s="66" t="s"/>
      <c r="G2267" s="66" t="s"/>
      <c r="H2267" s="66" t="s"/>
      <c r="I2267" s="62" t="s"/>
      <c r="J2267" s="62" t="s"/>
      <c r="K2267" s="99" t="s"/>
      <c r="L2267" s="66" t="s"/>
      <c r="M2267" s="66" t="s"/>
      <c r="N2267" s="572" t="s"/>
      <c r="O2267" s="62" t="s"/>
      <c r="P2267" s="62" t="s"/>
      <c r="Q2267" s="62" t="s"/>
      <c r="R2267" s="62" t="s"/>
    </row>
    <row r="2268" spans="1:18" ht="15.75" customHeight="true">
      <c r="A2268" s="107" t="s"/>
      <c r="B2268" s="62" t="s"/>
      <c r="C2268" s="62" t="s"/>
      <c r="D2268" s="62" t="s"/>
      <c r="E2268" s="62" t="s"/>
      <c r="F2268" s="66" t="s"/>
      <c r="G2268" s="66" t="s"/>
      <c r="H2268" s="66" t="s"/>
      <c r="I2268" s="62" t="s"/>
      <c r="J2268" s="62" t="s"/>
      <c r="K2268" s="99" t="s"/>
      <c r="L2268" s="66" t="s"/>
      <c r="M2268" s="66" t="s"/>
      <c r="N2268" s="572" t="s"/>
      <c r="O2268" s="62" t="s"/>
      <c r="P2268" s="62" t="s"/>
      <c r="Q2268" s="62" t="s"/>
      <c r="R2268" s="62" t="s"/>
    </row>
    <row r="2269" spans="1:18" ht="15.75" customHeight="true">
      <c r="A2269" s="107" t="s"/>
      <c r="B2269" s="62" t="s"/>
      <c r="C2269" s="62" t="s"/>
      <c r="D2269" s="62" t="s"/>
      <c r="E2269" s="62" t="s"/>
      <c r="F2269" s="66" t="s"/>
      <c r="G2269" s="66" t="s"/>
      <c r="H2269" s="66" t="s"/>
      <c r="I2269" s="62" t="s"/>
      <c r="J2269" s="62" t="s"/>
      <c r="K2269" s="99" t="s"/>
      <c r="L2269" s="66" t="s"/>
      <c r="M2269" s="66" t="s"/>
      <c r="N2269" s="572" t="s"/>
      <c r="O2269" s="62" t="s"/>
      <c r="P2269" s="62" t="s"/>
      <c r="Q2269" s="62" t="s"/>
      <c r="R2269" s="62" t="s"/>
    </row>
    <row r="2270" spans="1:18" ht="15.75" customHeight="true">
      <c r="A2270" s="107" t="s"/>
      <c r="B2270" s="62" t="s"/>
      <c r="C2270" s="62" t="s"/>
      <c r="D2270" s="62" t="s"/>
      <c r="E2270" s="62" t="s"/>
      <c r="F2270" s="66" t="s"/>
      <c r="G2270" s="66" t="s"/>
      <c r="H2270" s="66" t="s"/>
      <c r="I2270" s="62" t="s"/>
      <c r="J2270" s="62" t="s"/>
      <c r="K2270" s="99" t="s"/>
      <c r="L2270" s="66" t="s"/>
      <c r="M2270" s="66" t="s"/>
      <c r="N2270" s="572" t="s"/>
      <c r="O2270" s="62" t="s"/>
      <c r="P2270" s="62" t="s"/>
      <c r="Q2270" s="62" t="s"/>
      <c r="R2270" s="62" t="s"/>
    </row>
    <row r="2271" spans="1:18" ht="15.75" customHeight="true">
      <c r="A2271" s="107" t="s"/>
      <c r="B2271" s="62" t="s"/>
      <c r="C2271" s="62" t="s"/>
      <c r="D2271" s="62" t="s"/>
      <c r="E2271" s="62" t="s"/>
      <c r="F2271" s="66" t="s"/>
      <c r="G2271" s="66" t="s"/>
      <c r="H2271" s="66" t="s"/>
      <c r="I2271" s="62" t="s"/>
      <c r="J2271" s="62" t="s"/>
      <c r="K2271" s="99" t="s"/>
      <c r="L2271" s="66" t="s"/>
      <c r="M2271" s="66" t="s"/>
      <c r="N2271" s="572" t="s"/>
      <c r="O2271" s="62" t="s"/>
      <c r="P2271" s="62" t="s"/>
      <c r="Q2271" s="62" t="s"/>
      <c r="R2271" s="62" t="s"/>
    </row>
    <row r="2272" spans="1:18" ht="15.75" customHeight="true">
      <c r="A2272" s="107" t="s"/>
      <c r="B2272" s="62" t="s"/>
      <c r="C2272" s="62" t="s"/>
      <c r="D2272" s="62" t="s"/>
      <c r="E2272" s="62" t="s"/>
      <c r="F2272" s="66" t="s"/>
      <c r="G2272" s="66" t="s"/>
      <c r="H2272" s="66" t="s"/>
      <c r="I2272" s="62" t="s"/>
      <c r="J2272" s="62" t="s"/>
      <c r="K2272" s="99" t="s"/>
      <c r="L2272" s="66" t="s"/>
      <c r="M2272" s="66" t="s"/>
      <c r="N2272" s="572" t="s"/>
      <c r="O2272" s="62" t="s"/>
      <c r="P2272" s="62" t="s"/>
      <c r="Q2272" s="62" t="s"/>
      <c r="R2272" s="62" t="s"/>
    </row>
    <row r="2273" spans="1:18" ht="15.75" customHeight="true">
      <c r="A2273" s="107" t="s"/>
      <c r="B2273" s="62" t="s"/>
      <c r="C2273" s="62" t="s"/>
      <c r="D2273" s="62" t="s"/>
      <c r="E2273" s="62" t="s"/>
      <c r="F2273" s="66" t="s"/>
      <c r="G2273" s="66" t="s"/>
      <c r="H2273" s="66" t="s"/>
      <c r="I2273" s="62" t="s"/>
      <c r="J2273" s="62" t="s"/>
      <c r="K2273" s="99" t="s"/>
      <c r="L2273" s="66" t="s"/>
      <c r="M2273" s="66" t="s"/>
      <c r="N2273" s="572" t="s"/>
      <c r="O2273" s="62" t="s"/>
      <c r="P2273" s="62" t="s"/>
      <c r="Q2273" s="62" t="s"/>
      <c r="R2273" s="62" t="s"/>
    </row>
    <row r="2274" spans="1:18" ht="15.75" customHeight="true">
      <c r="A2274" s="107" t="s"/>
      <c r="B2274" s="62" t="s"/>
      <c r="C2274" s="62" t="s"/>
      <c r="D2274" s="62" t="s"/>
      <c r="E2274" s="62" t="s"/>
      <c r="F2274" s="66" t="s"/>
      <c r="G2274" s="66" t="s"/>
      <c r="H2274" s="66" t="s"/>
      <c r="I2274" s="62" t="s"/>
      <c r="J2274" s="62" t="s"/>
      <c r="K2274" s="99" t="s"/>
      <c r="L2274" s="66" t="s"/>
      <c r="M2274" s="66" t="s"/>
      <c r="N2274" s="572" t="s"/>
      <c r="O2274" s="62" t="s"/>
      <c r="P2274" s="62" t="s"/>
      <c r="Q2274" s="62" t="s"/>
      <c r="R2274" s="62" t="s"/>
    </row>
    <row r="2275" spans="1:18" ht="15.75" customHeight="true">
      <c r="A2275" s="107" t="s"/>
      <c r="B2275" s="62" t="s"/>
      <c r="C2275" s="62" t="s"/>
      <c r="D2275" s="62" t="s"/>
      <c r="E2275" s="62" t="s"/>
      <c r="F2275" s="66" t="s"/>
      <c r="G2275" s="66" t="s"/>
      <c r="H2275" s="66" t="s"/>
      <c r="I2275" s="62" t="s"/>
      <c r="J2275" s="62" t="s"/>
      <c r="K2275" s="99" t="s"/>
      <c r="L2275" s="66" t="s"/>
      <c r="M2275" s="66" t="s"/>
      <c r="N2275" s="572" t="s"/>
      <c r="O2275" s="62" t="s"/>
      <c r="P2275" s="62" t="s"/>
      <c r="Q2275" s="62" t="s"/>
      <c r="R2275" s="62" t="s"/>
    </row>
    <row r="2276" spans="1:18" ht="15.75" customHeight="true">
      <c r="A2276" s="107" t="s"/>
      <c r="B2276" s="62" t="s"/>
      <c r="C2276" s="62" t="s"/>
      <c r="D2276" s="62" t="s"/>
      <c r="E2276" s="62" t="s"/>
      <c r="F2276" s="66" t="s"/>
      <c r="G2276" s="66" t="s"/>
      <c r="H2276" s="66" t="s"/>
      <c r="I2276" s="62" t="s"/>
      <c r="J2276" s="62" t="s"/>
      <c r="K2276" s="99" t="s"/>
      <c r="L2276" s="66" t="s"/>
      <c r="M2276" s="66" t="s"/>
      <c r="N2276" s="572" t="s"/>
      <c r="O2276" s="62" t="s"/>
      <c r="P2276" s="62" t="s"/>
      <c r="Q2276" s="62" t="s"/>
      <c r="R2276" s="62" t="s"/>
    </row>
    <row r="2277" spans="1:18" ht="15.75" customHeight="true">
      <c r="A2277" s="107" t="s"/>
      <c r="B2277" s="62" t="s"/>
      <c r="C2277" s="62" t="s"/>
      <c r="D2277" s="62" t="s"/>
      <c r="E2277" s="62" t="s"/>
      <c r="F2277" s="66" t="s"/>
      <c r="G2277" s="66" t="s"/>
      <c r="H2277" s="66" t="s"/>
      <c r="I2277" s="62" t="s"/>
      <c r="J2277" s="62" t="s"/>
      <c r="K2277" s="99" t="s"/>
      <c r="L2277" s="66" t="s"/>
      <c r="M2277" s="66" t="s"/>
      <c r="N2277" s="572" t="s"/>
      <c r="O2277" s="62" t="s"/>
      <c r="P2277" s="62" t="s"/>
      <c r="Q2277" s="62" t="s"/>
      <c r="R2277" s="62" t="s"/>
    </row>
    <row r="2278" spans="1:18" ht="15.75" customHeight="true">
      <c r="A2278" s="107" t="s"/>
      <c r="B2278" s="62" t="s"/>
      <c r="C2278" s="62" t="s"/>
      <c r="D2278" s="62" t="s"/>
      <c r="E2278" s="62" t="s"/>
      <c r="F2278" s="66" t="s"/>
      <c r="G2278" s="66" t="s"/>
      <c r="H2278" s="66" t="s"/>
      <c r="I2278" s="62" t="s"/>
      <c r="J2278" s="62" t="s"/>
      <c r="K2278" s="99" t="s"/>
      <c r="L2278" s="66" t="s"/>
      <c r="M2278" s="66" t="s"/>
      <c r="N2278" s="572" t="s"/>
      <c r="O2278" s="62" t="s"/>
      <c r="P2278" s="62" t="s"/>
      <c r="Q2278" s="62" t="s"/>
      <c r="R2278" s="62" t="s"/>
    </row>
    <row r="2279" spans="1:18" ht="15.75" customHeight="true">
      <c r="A2279" s="107" t="s"/>
      <c r="B2279" s="62" t="s"/>
      <c r="C2279" s="62" t="s"/>
      <c r="D2279" s="62" t="s"/>
      <c r="E2279" s="62" t="s"/>
      <c r="F2279" s="66" t="s"/>
      <c r="G2279" s="66" t="s"/>
      <c r="H2279" s="66" t="s"/>
      <c r="I2279" s="62" t="s"/>
      <c r="J2279" s="62" t="s"/>
      <c r="K2279" s="99" t="s"/>
      <c r="L2279" s="66" t="s"/>
      <c r="M2279" s="66" t="s"/>
      <c r="N2279" s="572" t="s"/>
      <c r="O2279" s="62" t="s"/>
      <c r="P2279" s="62" t="s"/>
      <c r="Q2279" s="62" t="s"/>
      <c r="R2279" s="62" t="s"/>
    </row>
    <row r="2280" spans="1:18" ht="15.75" customHeight="true">
      <c r="A2280" s="107" t="s"/>
      <c r="B2280" s="62" t="s"/>
      <c r="C2280" s="62" t="s"/>
      <c r="D2280" s="62" t="s"/>
      <c r="E2280" s="62" t="s"/>
      <c r="F2280" s="66" t="s"/>
      <c r="G2280" s="66" t="s"/>
      <c r="H2280" s="66" t="s"/>
      <c r="I2280" s="62" t="s"/>
      <c r="J2280" s="62" t="s"/>
      <c r="K2280" s="99" t="s"/>
      <c r="L2280" s="66" t="s"/>
      <c r="M2280" s="66" t="s"/>
      <c r="N2280" s="572" t="s"/>
      <c r="O2280" s="62" t="s"/>
      <c r="P2280" s="62" t="s"/>
      <c r="Q2280" s="62" t="s"/>
      <c r="R2280" s="62" t="s"/>
    </row>
    <row r="2281" spans="1:18" ht="15.75" customHeight="true">
      <c r="A2281" s="107" t="s"/>
      <c r="B2281" s="62" t="s"/>
      <c r="C2281" s="62" t="s"/>
      <c r="D2281" s="62" t="s"/>
      <c r="E2281" s="62" t="s"/>
      <c r="F2281" s="66" t="s"/>
      <c r="G2281" s="66" t="s"/>
      <c r="H2281" s="66" t="s"/>
      <c r="I2281" s="62" t="s"/>
      <c r="J2281" s="62" t="s"/>
      <c r="K2281" s="99" t="s"/>
      <c r="L2281" s="66" t="s"/>
      <c r="M2281" s="66" t="s"/>
      <c r="N2281" s="572" t="s"/>
      <c r="O2281" s="62" t="s"/>
      <c r="P2281" s="62" t="s"/>
      <c r="Q2281" s="62" t="s"/>
      <c r="R2281" s="62" t="s"/>
    </row>
    <row r="2282" spans="1:18" ht="15.75" customHeight="true">
      <c r="A2282" s="107" t="s"/>
      <c r="B2282" s="62" t="s"/>
      <c r="C2282" s="62" t="s"/>
      <c r="D2282" s="62" t="s"/>
      <c r="E2282" s="62" t="s"/>
      <c r="F2282" s="66" t="s"/>
      <c r="G2282" s="66" t="s"/>
      <c r="H2282" s="66" t="s"/>
      <c r="I2282" s="62" t="s"/>
      <c r="J2282" s="62" t="s"/>
      <c r="K2282" s="99" t="s"/>
      <c r="L2282" s="66" t="s"/>
      <c r="M2282" s="66" t="s"/>
      <c r="N2282" s="572" t="s"/>
      <c r="O2282" s="62" t="s"/>
      <c r="P2282" s="62" t="s"/>
      <c r="Q2282" s="62" t="s"/>
      <c r="R2282" s="62" t="s"/>
    </row>
    <row r="2283" spans="1:18" ht="15.75" customHeight="true">
      <c r="A2283" s="107" t="s"/>
      <c r="B2283" s="62" t="s"/>
      <c r="C2283" s="62" t="s"/>
      <c r="D2283" s="62" t="s"/>
      <c r="E2283" s="62" t="s"/>
      <c r="F2283" s="66" t="s"/>
      <c r="G2283" s="66" t="s"/>
      <c r="H2283" s="66" t="s"/>
      <c r="I2283" s="62" t="s"/>
      <c r="J2283" s="62" t="s"/>
      <c r="K2283" s="99" t="s"/>
      <c r="L2283" s="66" t="s"/>
      <c r="M2283" s="66" t="s"/>
      <c r="N2283" s="572" t="s"/>
      <c r="O2283" s="62" t="s"/>
      <c r="P2283" s="62" t="s"/>
      <c r="Q2283" s="62" t="s"/>
      <c r="R2283" s="62" t="s"/>
    </row>
    <row r="2284" spans="1:18" ht="15.75" customHeight="true">
      <c r="A2284" s="107" t="s"/>
      <c r="B2284" s="62" t="s"/>
      <c r="C2284" s="62" t="s"/>
      <c r="D2284" s="62" t="s"/>
      <c r="E2284" s="62" t="s"/>
      <c r="F2284" s="66" t="s"/>
      <c r="G2284" s="66" t="s"/>
      <c r="H2284" s="66" t="s"/>
      <c r="I2284" s="62" t="s"/>
      <c r="J2284" s="62" t="s"/>
      <c r="K2284" s="99" t="s"/>
      <c r="L2284" s="66" t="s"/>
      <c r="M2284" s="66" t="s"/>
      <c r="N2284" s="572" t="s"/>
      <c r="O2284" s="62" t="s"/>
      <c r="P2284" s="62" t="s"/>
      <c r="Q2284" s="62" t="s"/>
      <c r="R2284" s="62" t="s"/>
    </row>
    <row r="2285" spans="1:18" ht="15.75" customHeight="true">
      <c r="A2285" s="107" t="s"/>
      <c r="B2285" s="62" t="s"/>
      <c r="C2285" s="62" t="s"/>
      <c r="D2285" s="62" t="s"/>
      <c r="E2285" s="62" t="s"/>
      <c r="F2285" s="66" t="s"/>
      <c r="G2285" s="66" t="s"/>
      <c r="H2285" s="66" t="s"/>
      <c r="I2285" s="62" t="s"/>
      <c r="J2285" s="62" t="s"/>
      <c r="K2285" s="99" t="s"/>
      <c r="L2285" s="66" t="s"/>
      <c r="M2285" s="66" t="s"/>
      <c r="N2285" s="572" t="s"/>
      <c r="O2285" s="62" t="s"/>
      <c r="P2285" s="62" t="s"/>
      <c r="Q2285" s="62" t="s"/>
      <c r="R2285" s="62" t="s"/>
    </row>
    <row r="2286" spans="1:18" ht="15.75" customHeight="true">
      <c r="A2286" s="107" t="s"/>
      <c r="B2286" s="62" t="s"/>
      <c r="C2286" s="62" t="s"/>
      <c r="D2286" s="62" t="s"/>
      <c r="E2286" s="62" t="s"/>
      <c r="F2286" s="66" t="s"/>
      <c r="G2286" s="66" t="s"/>
      <c r="H2286" s="66" t="s"/>
      <c r="I2286" s="62" t="s"/>
      <c r="J2286" s="62" t="s"/>
      <c r="K2286" s="99" t="s"/>
      <c r="L2286" s="66" t="s"/>
      <c r="M2286" s="66" t="s"/>
      <c r="N2286" s="572" t="s"/>
      <c r="O2286" s="62" t="s"/>
      <c r="P2286" s="62" t="s"/>
      <c r="Q2286" s="62" t="s"/>
      <c r="R2286" s="62" t="s"/>
    </row>
    <row r="2287" spans="1:18" ht="15.75" customHeight="true">
      <c r="A2287" s="107" t="s"/>
      <c r="B2287" s="62" t="s"/>
      <c r="C2287" s="62" t="s"/>
      <c r="D2287" s="62" t="s"/>
      <c r="E2287" s="62" t="s"/>
      <c r="F2287" s="66" t="s"/>
      <c r="G2287" s="66" t="s"/>
      <c r="H2287" s="66" t="s"/>
      <c r="I2287" s="62" t="s"/>
      <c r="J2287" s="62" t="s"/>
      <c r="K2287" s="99" t="s"/>
      <c r="L2287" s="66" t="s"/>
      <c r="M2287" s="66" t="s"/>
      <c r="N2287" s="572" t="s"/>
      <c r="O2287" s="62" t="s"/>
      <c r="P2287" s="62" t="s"/>
      <c r="Q2287" s="62" t="s"/>
      <c r="R2287" s="62" t="s"/>
    </row>
    <row r="2288" spans="1:18" ht="15.75" customHeight="true">
      <c r="A2288" s="107" t="s"/>
      <c r="B2288" s="62" t="s"/>
      <c r="C2288" s="62" t="s"/>
      <c r="D2288" s="62" t="s"/>
      <c r="E2288" s="62" t="s"/>
      <c r="F2288" s="66" t="s"/>
      <c r="G2288" s="66" t="s"/>
      <c r="H2288" s="66" t="s"/>
      <c r="I2288" s="62" t="s"/>
      <c r="J2288" s="62" t="s"/>
      <c r="K2288" s="99" t="s"/>
      <c r="L2288" s="66" t="s"/>
      <c r="M2288" s="66" t="s"/>
      <c r="N2288" s="572" t="s"/>
      <c r="O2288" s="62" t="s"/>
      <c r="P2288" s="62" t="s"/>
      <c r="Q2288" s="62" t="s"/>
      <c r="R2288" s="62" t="s"/>
    </row>
    <row r="2289" spans="1:18" ht="15.75" customHeight="true">
      <c r="A2289" s="107" t="s"/>
      <c r="B2289" s="62" t="s"/>
      <c r="C2289" s="62" t="s"/>
      <c r="D2289" s="62" t="s"/>
      <c r="E2289" s="62" t="s"/>
      <c r="F2289" s="66" t="s"/>
      <c r="G2289" s="66" t="s"/>
      <c r="H2289" s="66" t="s"/>
      <c r="I2289" s="62" t="s"/>
      <c r="J2289" s="62" t="s"/>
      <c r="K2289" s="99" t="s"/>
      <c r="L2289" s="66" t="s"/>
      <c r="M2289" s="66" t="s"/>
      <c r="N2289" s="572" t="s"/>
      <c r="O2289" s="62" t="s"/>
      <c r="P2289" s="62" t="s"/>
      <c r="Q2289" s="62" t="s"/>
      <c r="R2289" s="62" t="s"/>
    </row>
    <row r="2290" spans="1:18" ht="15.75" customHeight="true">
      <c r="A2290" s="107" t="s"/>
      <c r="B2290" s="62" t="s"/>
      <c r="C2290" s="62" t="s"/>
      <c r="D2290" s="62" t="s"/>
      <c r="E2290" s="62" t="s"/>
      <c r="F2290" s="66" t="s"/>
      <c r="G2290" s="66" t="s"/>
      <c r="H2290" s="66" t="s"/>
      <c r="I2290" s="62" t="s"/>
      <c r="J2290" s="62" t="s"/>
      <c r="K2290" s="99" t="s"/>
      <c r="L2290" s="66" t="s"/>
      <c r="M2290" s="66" t="s"/>
      <c r="N2290" s="572" t="s"/>
      <c r="O2290" s="62" t="s"/>
      <c r="P2290" s="62" t="s"/>
      <c r="Q2290" s="62" t="s"/>
      <c r="R2290" s="62" t="s"/>
    </row>
    <row r="2291" spans="1:18" ht="15.75" customHeight="true">
      <c r="A2291" s="107" t="s"/>
      <c r="B2291" s="62" t="s"/>
      <c r="C2291" s="62" t="s"/>
      <c r="D2291" s="62" t="s"/>
      <c r="E2291" s="62" t="s"/>
      <c r="F2291" s="66" t="s"/>
      <c r="G2291" s="66" t="s"/>
      <c r="H2291" s="66" t="s"/>
      <c r="I2291" s="62" t="s"/>
      <c r="J2291" s="62" t="s"/>
      <c r="K2291" s="99" t="s"/>
      <c r="L2291" s="66" t="s"/>
      <c r="M2291" s="66" t="s"/>
      <c r="N2291" s="572" t="s"/>
      <c r="O2291" s="62" t="s"/>
      <c r="P2291" s="62" t="s"/>
      <c r="Q2291" s="62" t="s"/>
      <c r="R2291" s="62" t="s"/>
    </row>
    <row r="2292" spans="1:18" ht="15.75" customHeight="true">
      <c r="A2292" s="107" t="s"/>
      <c r="B2292" s="62" t="s"/>
      <c r="C2292" s="62" t="s"/>
      <c r="D2292" s="62" t="s"/>
      <c r="E2292" s="62" t="s"/>
      <c r="F2292" s="66" t="s"/>
      <c r="G2292" s="66" t="s"/>
      <c r="H2292" s="66" t="s"/>
      <c r="I2292" s="62" t="s"/>
      <c r="J2292" s="62" t="s"/>
      <c r="K2292" s="99" t="s"/>
      <c r="L2292" s="66" t="s"/>
      <c r="M2292" s="66" t="s"/>
      <c r="N2292" s="572" t="s"/>
      <c r="O2292" s="62" t="s"/>
      <c r="P2292" s="62" t="s"/>
      <c r="Q2292" s="62" t="s"/>
      <c r="R2292" s="62" t="s"/>
    </row>
    <row r="2293" spans="1:18" ht="15.75" customHeight="true">
      <c r="A2293" s="107" t="s"/>
      <c r="B2293" s="62" t="s"/>
      <c r="C2293" s="62" t="s"/>
      <c r="D2293" s="62" t="s"/>
      <c r="E2293" s="62" t="s"/>
      <c r="F2293" s="66" t="s"/>
      <c r="G2293" s="66" t="s"/>
      <c r="H2293" s="66" t="s"/>
      <c r="I2293" s="62" t="s"/>
      <c r="J2293" s="62" t="s"/>
      <c r="K2293" s="99" t="s"/>
      <c r="L2293" s="66" t="s"/>
      <c r="M2293" s="66" t="s"/>
      <c r="N2293" s="572" t="s"/>
      <c r="O2293" s="62" t="s"/>
      <c r="P2293" s="62" t="s"/>
      <c r="Q2293" s="62" t="s"/>
      <c r="R2293" s="62" t="s"/>
    </row>
    <row r="2294" spans="1:18" ht="15.75" customHeight="true">
      <c r="A2294" s="107" t="s"/>
      <c r="B2294" s="62" t="s"/>
      <c r="C2294" s="62" t="s"/>
      <c r="D2294" s="62" t="s"/>
      <c r="E2294" s="62" t="s"/>
      <c r="F2294" s="66" t="s"/>
      <c r="G2294" s="66" t="s"/>
      <c r="H2294" s="66" t="s"/>
      <c r="I2294" s="62" t="s"/>
      <c r="J2294" s="62" t="s"/>
      <c r="K2294" s="99" t="s"/>
      <c r="L2294" s="66" t="s"/>
      <c r="M2294" s="66" t="s"/>
      <c r="N2294" s="572" t="s"/>
      <c r="O2294" s="62" t="s"/>
      <c r="P2294" s="62" t="s"/>
      <c r="Q2294" s="62" t="s"/>
      <c r="R2294" s="62" t="s"/>
    </row>
    <row r="2295" spans="1:18" ht="15.75" customHeight="true">
      <c r="A2295" s="107" t="s"/>
      <c r="B2295" s="62" t="s"/>
      <c r="C2295" s="62" t="s"/>
      <c r="D2295" s="62" t="s"/>
      <c r="E2295" s="62" t="s"/>
      <c r="F2295" s="66" t="s"/>
      <c r="G2295" s="66" t="s"/>
      <c r="H2295" s="66" t="s"/>
      <c r="I2295" s="62" t="s"/>
      <c r="J2295" s="62" t="s"/>
      <c r="K2295" s="99" t="s"/>
      <c r="L2295" s="66" t="s"/>
      <c r="M2295" s="66" t="s"/>
      <c r="N2295" s="572" t="s"/>
      <c r="O2295" s="62" t="s"/>
      <c r="P2295" s="62" t="s"/>
      <c r="Q2295" s="62" t="s"/>
      <c r="R2295" s="62" t="s"/>
    </row>
    <row r="2296" spans="1:18" ht="15.75" customHeight="true">
      <c r="A2296" s="107" t="s"/>
      <c r="B2296" s="62" t="s"/>
      <c r="C2296" s="62" t="s"/>
      <c r="D2296" s="62" t="s"/>
      <c r="E2296" s="62" t="s"/>
      <c r="F2296" s="66" t="s"/>
      <c r="G2296" s="66" t="s"/>
      <c r="H2296" s="66" t="s"/>
      <c r="I2296" s="62" t="s"/>
      <c r="J2296" s="62" t="s"/>
      <c r="K2296" s="99" t="s"/>
      <c r="L2296" s="66" t="s"/>
      <c r="M2296" s="66" t="s"/>
      <c r="N2296" s="572" t="s"/>
      <c r="O2296" s="62" t="s"/>
      <c r="P2296" s="62" t="s"/>
      <c r="Q2296" s="62" t="s"/>
      <c r="R2296" s="62" t="s"/>
    </row>
    <row r="2297" spans="1:18" ht="15.75" customHeight="true">
      <c r="A2297" s="107" t="s"/>
      <c r="B2297" s="62" t="s"/>
      <c r="C2297" s="62" t="s"/>
      <c r="D2297" s="62" t="s"/>
      <c r="E2297" s="62" t="s"/>
      <c r="F2297" s="66" t="s"/>
      <c r="G2297" s="66" t="s"/>
      <c r="H2297" s="66" t="s"/>
      <c r="I2297" s="62" t="s"/>
      <c r="J2297" s="62" t="s"/>
      <c r="K2297" s="99" t="s"/>
      <c r="L2297" s="66" t="s"/>
      <c r="M2297" s="66" t="s"/>
      <c r="N2297" s="572" t="s"/>
      <c r="O2297" s="62" t="s"/>
      <c r="P2297" s="62" t="s"/>
      <c r="Q2297" s="62" t="s"/>
      <c r="R2297" s="62" t="s"/>
    </row>
    <row r="2298" spans="1:18" ht="15.75" customHeight="true">
      <c r="A2298" s="107" t="s"/>
      <c r="B2298" s="62" t="s"/>
      <c r="C2298" s="62" t="s"/>
      <c r="D2298" s="62" t="s"/>
      <c r="E2298" s="62" t="s"/>
      <c r="F2298" s="66" t="s"/>
      <c r="G2298" s="66" t="s"/>
      <c r="H2298" s="66" t="s"/>
      <c r="I2298" s="62" t="s"/>
      <c r="J2298" s="62" t="s"/>
      <c r="K2298" s="99" t="s"/>
      <c r="L2298" s="66" t="s"/>
      <c r="M2298" s="66" t="s"/>
      <c r="N2298" s="572" t="s"/>
      <c r="O2298" s="62" t="s"/>
      <c r="P2298" s="62" t="s"/>
      <c r="Q2298" s="62" t="s"/>
      <c r="R2298" s="62" t="s"/>
    </row>
    <row r="2299" spans="1:18" ht="15.75" customHeight="true">
      <c r="A2299" s="107" t="s"/>
      <c r="B2299" s="62" t="s"/>
      <c r="C2299" s="62" t="s"/>
      <c r="D2299" s="62" t="s"/>
      <c r="E2299" s="62" t="s"/>
      <c r="F2299" s="66" t="s"/>
      <c r="G2299" s="66" t="s"/>
      <c r="H2299" s="66" t="s"/>
      <c r="I2299" s="62" t="s"/>
      <c r="J2299" s="62" t="s"/>
      <c r="K2299" s="99" t="s"/>
      <c r="L2299" s="66" t="s"/>
      <c r="M2299" s="66" t="s"/>
      <c r="N2299" s="572" t="s"/>
      <c r="O2299" s="62" t="s"/>
      <c r="P2299" s="62" t="s"/>
      <c r="Q2299" s="62" t="s"/>
      <c r="R2299" s="62" t="s"/>
    </row>
    <row r="2300" spans="1:18" ht="15.75" customHeight="true">
      <c r="A2300" s="107" t="s"/>
      <c r="B2300" s="62" t="s"/>
      <c r="C2300" s="62" t="s"/>
      <c r="D2300" s="62" t="s"/>
      <c r="E2300" s="62" t="s"/>
      <c r="F2300" s="66" t="s"/>
      <c r="G2300" s="66" t="s"/>
      <c r="H2300" s="66" t="s"/>
      <c r="I2300" s="62" t="s"/>
      <c r="J2300" s="62" t="s"/>
      <c r="K2300" s="99" t="s"/>
      <c r="L2300" s="66" t="s"/>
      <c r="M2300" s="66" t="s"/>
      <c r="N2300" s="572" t="s"/>
      <c r="O2300" s="62" t="s"/>
      <c r="P2300" s="62" t="s"/>
      <c r="Q2300" s="62" t="s"/>
      <c r="R2300" s="62" t="s"/>
    </row>
    <row r="2301" spans="1:18" ht="15.75" customHeight="true">
      <c r="A2301" s="107" t="s"/>
      <c r="B2301" s="62" t="s"/>
      <c r="C2301" s="62" t="s"/>
      <c r="D2301" s="62" t="s"/>
      <c r="E2301" s="62" t="s"/>
      <c r="F2301" s="66" t="s"/>
      <c r="G2301" s="66" t="s"/>
      <c r="H2301" s="66" t="s"/>
      <c r="I2301" s="62" t="s"/>
      <c r="J2301" s="62" t="s"/>
      <c r="K2301" s="99" t="s"/>
      <c r="L2301" s="66" t="s"/>
      <c r="M2301" s="66" t="s"/>
      <c r="N2301" s="572" t="s"/>
      <c r="O2301" s="62" t="s"/>
      <c r="P2301" s="62" t="s"/>
      <c r="Q2301" s="62" t="s"/>
      <c r="R2301" s="62" t="s"/>
    </row>
    <row r="2302" spans="1:18" ht="15.75" customHeight="true">
      <c r="A2302" s="107" t="s"/>
      <c r="B2302" s="62" t="s"/>
      <c r="C2302" s="62" t="s"/>
      <c r="D2302" s="62" t="s"/>
      <c r="E2302" s="62" t="s"/>
      <c r="F2302" s="66" t="s"/>
      <c r="G2302" s="66" t="s"/>
      <c r="H2302" s="66" t="s"/>
      <c r="I2302" s="62" t="s"/>
      <c r="J2302" s="62" t="s"/>
      <c r="K2302" s="99" t="s"/>
      <c r="L2302" s="66" t="s"/>
      <c r="M2302" s="66" t="s"/>
      <c r="N2302" s="572" t="s"/>
      <c r="O2302" s="62" t="s"/>
      <c r="P2302" s="62" t="s"/>
      <c r="Q2302" s="62" t="s"/>
      <c r="R2302" s="62" t="s"/>
    </row>
    <row r="2303" spans="1:18" ht="15.75" customHeight="true">
      <c r="A2303" s="107" t="s"/>
      <c r="B2303" s="62" t="s"/>
      <c r="C2303" s="62" t="s"/>
      <c r="D2303" s="62" t="s"/>
      <c r="E2303" s="62" t="s"/>
      <c r="F2303" s="66" t="s"/>
      <c r="G2303" s="66" t="s"/>
      <c r="H2303" s="66" t="s"/>
      <c r="I2303" s="62" t="s"/>
      <c r="J2303" s="62" t="s"/>
      <c r="K2303" s="99" t="s"/>
      <c r="L2303" s="66" t="s"/>
      <c r="M2303" s="66" t="s"/>
      <c r="N2303" s="572" t="s"/>
      <c r="O2303" s="62" t="s"/>
      <c r="P2303" s="62" t="s"/>
      <c r="Q2303" s="62" t="s"/>
      <c r="R2303" s="62" t="s"/>
    </row>
    <row r="2304" spans="1:18" ht="15.75" customHeight="true">
      <c r="A2304" s="107" t="s"/>
      <c r="B2304" s="62" t="s"/>
      <c r="C2304" s="62" t="s"/>
      <c r="D2304" s="62" t="s"/>
      <c r="E2304" s="62" t="s"/>
      <c r="F2304" s="66" t="s"/>
      <c r="G2304" s="66" t="s"/>
      <c r="H2304" s="66" t="s"/>
      <c r="I2304" s="62" t="s"/>
      <c r="J2304" s="62" t="s"/>
      <c r="K2304" s="99" t="s"/>
      <c r="L2304" s="66" t="s"/>
      <c r="M2304" s="66" t="s"/>
      <c r="N2304" s="572" t="s"/>
      <c r="O2304" s="62" t="s"/>
      <c r="P2304" s="62" t="s"/>
      <c r="Q2304" s="62" t="s"/>
      <c r="R2304" s="62" t="s"/>
    </row>
    <row r="2305" spans="1:18" ht="15.75" customHeight="true">
      <c r="A2305" s="107" t="s"/>
      <c r="B2305" s="62" t="s"/>
      <c r="C2305" s="62" t="s"/>
      <c r="D2305" s="62" t="s"/>
      <c r="E2305" s="62" t="s"/>
      <c r="F2305" s="66" t="s"/>
      <c r="G2305" s="66" t="s"/>
      <c r="H2305" s="66" t="s"/>
      <c r="I2305" s="62" t="s"/>
      <c r="J2305" s="62" t="s"/>
      <c r="K2305" s="99" t="s"/>
      <c r="L2305" s="66" t="s"/>
      <c r="M2305" s="66" t="s"/>
      <c r="N2305" s="572" t="s"/>
      <c r="O2305" s="62" t="s"/>
      <c r="P2305" s="62" t="s"/>
      <c r="Q2305" s="62" t="s"/>
      <c r="R2305" s="62" t="s"/>
    </row>
    <row r="2306" spans="1:18" ht="15.75" customHeight="true">
      <c r="A2306" s="107" t="s"/>
      <c r="B2306" s="62" t="s"/>
      <c r="C2306" s="62" t="s"/>
      <c r="D2306" s="62" t="s"/>
      <c r="E2306" s="62" t="s"/>
      <c r="F2306" s="66" t="s"/>
      <c r="G2306" s="66" t="s"/>
      <c r="H2306" s="66" t="s"/>
      <c r="I2306" s="62" t="s"/>
      <c r="J2306" s="62" t="s"/>
      <c r="K2306" s="99" t="s"/>
      <c r="L2306" s="66" t="s"/>
      <c r="M2306" s="66" t="s"/>
      <c r="N2306" s="572" t="s"/>
      <c r="O2306" s="62" t="s"/>
      <c r="P2306" s="62" t="s"/>
      <c r="Q2306" s="62" t="s"/>
      <c r="R2306" s="62" t="s"/>
    </row>
    <row r="2307" spans="1:18" ht="15.75" customHeight="true">
      <c r="A2307" s="107" t="s"/>
      <c r="B2307" s="62" t="s"/>
      <c r="C2307" s="62" t="s"/>
      <c r="D2307" s="62" t="s"/>
      <c r="E2307" s="62" t="s"/>
      <c r="F2307" s="66" t="s"/>
      <c r="G2307" s="66" t="s"/>
      <c r="H2307" s="66" t="s"/>
      <c r="I2307" s="62" t="s"/>
      <c r="J2307" s="62" t="s"/>
      <c r="K2307" s="99" t="s"/>
      <c r="L2307" s="66" t="s"/>
      <c r="M2307" s="66" t="s"/>
      <c r="N2307" s="572" t="s"/>
      <c r="O2307" s="62" t="s"/>
      <c r="P2307" s="62" t="s"/>
      <c r="Q2307" s="62" t="s"/>
      <c r="R2307" s="62" t="s"/>
    </row>
    <row r="2308" spans="1:18" ht="15.75" customHeight="true">
      <c r="A2308" s="107" t="s"/>
      <c r="B2308" s="62" t="s"/>
      <c r="C2308" s="62" t="s"/>
      <c r="D2308" s="62" t="s"/>
      <c r="E2308" s="62" t="s"/>
      <c r="F2308" s="66" t="s"/>
      <c r="G2308" s="66" t="s"/>
      <c r="H2308" s="66" t="s"/>
      <c r="I2308" s="62" t="s"/>
      <c r="J2308" s="62" t="s"/>
      <c r="K2308" s="99" t="s"/>
      <c r="L2308" s="66" t="s"/>
      <c r="M2308" s="66" t="s"/>
      <c r="N2308" s="572" t="s"/>
      <c r="O2308" s="62" t="s"/>
      <c r="P2308" s="62" t="s"/>
      <c r="Q2308" s="62" t="s"/>
      <c r="R2308" s="62" t="s"/>
    </row>
    <row r="2309" spans="1:18" ht="15.75" customHeight="true">
      <c r="A2309" s="107" t="s"/>
      <c r="B2309" s="62" t="s"/>
      <c r="C2309" s="62" t="s"/>
      <c r="D2309" s="62" t="s"/>
      <c r="E2309" s="62" t="s"/>
      <c r="F2309" s="66" t="s"/>
      <c r="G2309" s="66" t="s"/>
      <c r="H2309" s="66" t="s"/>
      <c r="I2309" s="62" t="s"/>
      <c r="J2309" s="62" t="s"/>
      <c r="K2309" s="99" t="s"/>
      <c r="L2309" s="66" t="s"/>
      <c r="M2309" s="66" t="s"/>
      <c r="N2309" s="572" t="s"/>
      <c r="O2309" s="62" t="s"/>
      <c r="P2309" s="62" t="s"/>
      <c r="Q2309" s="62" t="s"/>
      <c r="R2309" s="62" t="s"/>
    </row>
    <row r="2310" spans="1:18" ht="15.75" customHeight="true">
      <c r="A2310" s="107" t="s"/>
      <c r="B2310" s="62" t="s"/>
      <c r="C2310" s="62" t="s"/>
      <c r="D2310" s="62" t="s"/>
      <c r="E2310" s="62" t="s"/>
      <c r="F2310" s="66" t="s"/>
      <c r="G2310" s="66" t="s"/>
      <c r="H2310" s="66" t="s"/>
      <c r="I2310" s="62" t="s"/>
      <c r="J2310" s="62" t="s"/>
      <c r="K2310" s="99" t="s"/>
      <c r="L2310" s="66" t="s"/>
      <c r="M2310" s="66" t="s"/>
      <c r="N2310" s="572" t="s"/>
      <c r="O2310" s="62" t="s"/>
      <c r="P2310" s="62" t="s"/>
      <c r="Q2310" s="62" t="s"/>
      <c r="R2310" s="62" t="s"/>
    </row>
    <row r="2311" spans="1:18" ht="15.75" customHeight="true">
      <c r="A2311" s="107" t="s"/>
      <c r="B2311" s="62" t="s"/>
      <c r="C2311" s="62" t="s"/>
      <c r="D2311" s="62" t="s"/>
      <c r="E2311" s="62" t="s"/>
      <c r="F2311" s="66" t="s"/>
      <c r="G2311" s="66" t="s"/>
      <c r="H2311" s="66" t="s"/>
      <c r="I2311" s="62" t="s"/>
      <c r="J2311" s="62" t="s"/>
      <c r="K2311" s="99" t="s"/>
      <c r="L2311" s="66" t="s"/>
      <c r="M2311" s="66" t="s"/>
      <c r="N2311" s="572" t="s"/>
      <c r="O2311" s="62" t="s"/>
      <c r="P2311" s="62" t="s"/>
      <c r="Q2311" s="62" t="s"/>
      <c r="R2311" s="62" t="s"/>
    </row>
    <row r="2312" spans="1:18" ht="15.75" customHeight="true">
      <c r="A2312" s="107" t="s"/>
      <c r="B2312" s="62" t="s"/>
      <c r="C2312" s="62" t="s"/>
      <c r="D2312" s="62" t="s"/>
      <c r="E2312" s="62" t="s"/>
      <c r="F2312" s="66" t="s"/>
      <c r="G2312" s="66" t="s"/>
      <c r="H2312" s="66" t="s"/>
      <c r="I2312" s="62" t="s"/>
      <c r="J2312" s="62" t="s"/>
      <c r="K2312" s="99" t="s"/>
      <c r="L2312" s="66" t="s"/>
      <c r="M2312" s="66" t="s"/>
      <c r="N2312" s="572" t="s"/>
      <c r="O2312" s="62" t="s"/>
      <c r="P2312" s="62" t="s"/>
      <c r="Q2312" s="62" t="s"/>
      <c r="R2312" s="62" t="s"/>
    </row>
    <row r="2313" spans="1:18" ht="15.75" customHeight="true">
      <c r="A2313" s="107" t="s"/>
      <c r="B2313" s="62" t="s"/>
      <c r="C2313" s="62" t="s"/>
      <c r="D2313" s="62" t="s"/>
      <c r="E2313" s="62" t="s"/>
      <c r="F2313" s="66" t="s"/>
      <c r="G2313" s="66" t="s"/>
      <c r="H2313" s="66" t="s"/>
      <c r="I2313" s="62" t="s"/>
      <c r="J2313" s="62" t="s"/>
      <c r="K2313" s="99" t="s"/>
      <c r="L2313" s="66" t="s"/>
      <c r="M2313" s="66" t="s"/>
      <c r="N2313" s="572" t="s"/>
      <c r="O2313" s="62" t="s"/>
      <c r="P2313" s="62" t="s"/>
      <c r="Q2313" s="62" t="s"/>
      <c r="R2313" s="62" t="s"/>
    </row>
    <row r="2314" spans="1:18" ht="15.75" customHeight="true">
      <c r="A2314" s="107" t="s"/>
      <c r="B2314" s="62" t="s"/>
      <c r="C2314" s="62" t="s"/>
      <c r="D2314" s="62" t="s"/>
      <c r="E2314" s="62" t="s"/>
      <c r="F2314" s="66" t="s"/>
      <c r="G2314" s="66" t="s"/>
      <c r="H2314" s="66" t="s"/>
      <c r="I2314" s="62" t="s"/>
      <c r="J2314" s="62" t="s"/>
      <c r="K2314" s="99" t="s"/>
      <c r="L2314" s="66" t="s"/>
      <c r="M2314" s="66" t="s"/>
      <c r="N2314" s="572" t="s"/>
      <c r="O2314" s="62" t="s"/>
      <c r="P2314" s="62" t="s"/>
      <c r="Q2314" s="62" t="s"/>
      <c r="R2314" s="62" t="s"/>
    </row>
    <row r="2315" spans="1:18" ht="15.75" customHeight="true">
      <c r="A2315" s="107" t="s"/>
      <c r="B2315" s="62" t="s"/>
      <c r="C2315" s="62" t="s"/>
      <c r="D2315" s="62" t="s"/>
      <c r="E2315" s="62" t="s"/>
      <c r="F2315" s="66" t="s"/>
      <c r="G2315" s="66" t="s"/>
      <c r="H2315" s="66" t="s"/>
      <c r="I2315" s="62" t="s"/>
      <c r="J2315" s="62" t="s"/>
      <c r="K2315" s="99" t="s"/>
      <c r="L2315" s="66" t="s"/>
      <c r="M2315" s="66" t="s"/>
      <c r="N2315" s="572" t="s"/>
      <c r="O2315" s="62" t="s"/>
      <c r="P2315" s="62" t="s"/>
      <c r="Q2315" s="62" t="s"/>
      <c r="R2315" s="62" t="s"/>
    </row>
    <row r="2316" spans="1:18" ht="15.75" customHeight="true">
      <c r="A2316" s="107" t="s"/>
      <c r="B2316" s="62" t="s"/>
      <c r="C2316" s="62" t="s"/>
      <c r="D2316" s="62" t="s"/>
      <c r="E2316" s="62" t="s"/>
      <c r="F2316" s="66" t="s"/>
      <c r="G2316" s="66" t="s"/>
      <c r="H2316" s="66" t="s"/>
      <c r="I2316" s="62" t="s"/>
      <c r="J2316" s="62" t="s"/>
      <c r="K2316" s="99" t="s"/>
      <c r="L2316" s="66" t="s"/>
      <c r="M2316" s="66" t="s"/>
      <c r="N2316" s="572" t="s"/>
      <c r="O2316" s="62" t="s"/>
      <c r="P2316" s="62" t="s"/>
      <c r="Q2316" s="62" t="s"/>
      <c r="R2316" s="62" t="s"/>
    </row>
    <row r="2317" spans="1:18" ht="15.75" customHeight="true">
      <c r="A2317" s="107" t="s"/>
      <c r="B2317" s="62" t="s"/>
      <c r="C2317" s="62" t="s"/>
      <c r="D2317" s="62" t="s"/>
      <c r="E2317" s="62" t="s"/>
      <c r="F2317" s="66" t="s"/>
      <c r="G2317" s="66" t="s"/>
      <c r="H2317" s="66" t="s"/>
      <c r="I2317" s="62" t="s"/>
      <c r="J2317" s="62" t="s"/>
      <c r="K2317" s="99" t="s"/>
      <c r="L2317" s="66" t="s"/>
      <c r="M2317" s="66" t="s"/>
      <c r="N2317" s="572" t="s"/>
      <c r="O2317" s="62" t="s"/>
      <c r="P2317" s="62" t="s"/>
      <c r="Q2317" s="62" t="s"/>
      <c r="R2317" s="62" t="s"/>
    </row>
    <row r="2318" spans="1:18" ht="15.75" customHeight="true">
      <c r="A2318" s="107" t="s"/>
      <c r="B2318" s="62" t="s"/>
      <c r="C2318" s="62" t="s"/>
      <c r="D2318" s="62" t="s"/>
      <c r="E2318" s="62" t="s"/>
      <c r="F2318" s="66" t="s"/>
      <c r="G2318" s="66" t="s"/>
      <c r="H2318" s="66" t="s"/>
      <c r="I2318" s="62" t="s"/>
      <c r="J2318" s="62" t="s"/>
      <c r="K2318" s="99" t="s"/>
      <c r="L2318" s="66" t="s"/>
      <c r="M2318" s="66" t="s"/>
      <c r="N2318" s="572" t="s"/>
      <c r="O2318" s="62" t="s"/>
      <c r="P2318" s="62" t="s"/>
      <c r="Q2318" s="62" t="s"/>
      <c r="R2318" s="62" t="s"/>
    </row>
    <row r="2319" spans="1:18" ht="15.75" customHeight="true">
      <c r="A2319" s="107" t="s"/>
      <c r="B2319" s="62" t="s"/>
      <c r="C2319" s="62" t="s"/>
      <c r="D2319" s="62" t="s"/>
      <c r="E2319" s="62" t="s"/>
      <c r="F2319" s="66" t="s"/>
      <c r="G2319" s="66" t="s"/>
      <c r="H2319" s="66" t="s"/>
      <c r="I2319" s="62" t="s"/>
      <c r="J2319" s="62" t="s"/>
      <c r="K2319" s="99" t="s"/>
      <c r="L2319" s="66" t="s"/>
      <c r="M2319" s="66" t="s"/>
      <c r="N2319" s="572" t="s"/>
      <c r="O2319" s="62" t="s"/>
      <c r="P2319" s="62" t="s"/>
      <c r="Q2319" s="62" t="s"/>
      <c r="R2319" s="62" t="s"/>
    </row>
    <row r="2320" spans="1:18" ht="15.75" customHeight="true">
      <c r="A2320" s="107" t="s"/>
      <c r="B2320" s="62" t="s"/>
      <c r="C2320" s="62" t="s"/>
      <c r="D2320" s="62" t="s"/>
      <c r="E2320" s="62" t="s"/>
      <c r="F2320" s="66" t="s"/>
      <c r="G2320" s="66" t="s"/>
      <c r="H2320" s="66" t="s"/>
      <c r="I2320" s="62" t="s"/>
      <c r="J2320" s="62" t="s"/>
      <c r="K2320" s="99" t="s"/>
      <c r="L2320" s="66" t="s"/>
      <c r="M2320" s="66" t="s"/>
      <c r="N2320" s="572" t="s"/>
      <c r="O2320" s="62" t="s"/>
      <c r="P2320" s="62" t="s"/>
      <c r="Q2320" s="62" t="s"/>
      <c r="R2320" s="62" t="s"/>
    </row>
    <row r="2321" spans="1:18" ht="15.75" customHeight="true">
      <c r="A2321" s="107" t="s"/>
      <c r="B2321" s="62" t="s"/>
      <c r="C2321" s="62" t="s"/>
      <c r="D2321" s="62" t="s"/>
      <c r="E2321" s="62" t="s"/>
      <c r="F2321" s="66" t="s"/>
      <c r="G2321" s="66" t="s"/>
      <c r="H2321" s="66" t="s"/>
      <c r="I2321" s="62" t="s"/>
      <c r="J2321" s="62" t="s"/>
      <c r="K2321" s="99" t="s"/>
      <c r="L2321" s="66" t="s"/>
      <c r="M2321" s="66" t="s"/>
      <c r="N2321" s="572" t="s"/>
      <c r="O2321" s="62" t="s"/>
      <c r="P2321" s="62" t="s"/>
      <c r="Q2321" s="62" t="s"/>
      <c r="R2321" s="62" t="s"/>
    </row>
    <row r="2322" spans="1:18" ht="15.75" customHeight="true">
      <c r="A2322" s="107" t="s"/>
      <c r="B2322" s="62" t="s"/>
      <c r="C2322" s="62" t="s"/>
      <c r="D2322" s="62" t="s"/>
      <c r="E2322" s="62" t="s"/>
      <c r="F2322" s="66" t="s"/>
      <c r="G2322" s="66" t="s"/>
      <c r="H2322" s="66" t="s"/>
      <c r="I2322" s="62" t="s"/>
      <c r="J2322" s="62" t="s"/>
      <c r="K2322" s="99" t="s"/>
      <c r="L2322" s="66" t="s"/>
      <c r="M2322" s="66" t="s"/>
      <c r="N2322" s="572" t="s"/>
      <c r="O2322" s="62" t="s"/>
      <c r="P2322" s="62" t="s"/>
      <c r="Q2322" s="62" t="s"/>
      <c r="R2322" s="62" t="s"/>
    </row>
    <row r="2323" spans="1:18" ht="15.75" customHeight="true">
      <c r="A2323" s="107" t="s"/>
      <c r="B2323" s="62" t="s"/>
      <c r="C2323" s="62" t="s"/>
      <c r="D2323" s="62" t="s"/>
      <c r="E2323" s="62" t="s"/>
      <c r="F2323" s="66" t="s"/>
      <c r="G2323" s="66" t="s"/>
      <c r="H2323" s="66" t="s"/>
      <c r="I2323" s="62" t="s"/>
      <c r="J2323" s="62" t="s"/>
      <c r="K2323" s="99" t="s"/>
      <c r="L2323" s="66" t="s"/>
      <c r="M2323" s="66" t="s"/>
      <c r="N2323" s="572" t="s"/>
      <c r="O2323" s="62" t="s"/>
      <c r="P2323" s="62" t="s"/>
      <c r="Q2323" s="62" t="s"/>
      <c r="R2323" s="62" t="s"/>
    </row>
    <row r="2324" spans="1:18" ht="15.75" customHeight="true">
      <c r="A2324" s="107" t="s"/>
      <c r="B2324" s="62" t="s"/>
      <c r="C2324" s="62" t="s"/>
      <c r="D2324" s="62" t="s"/>
      <c r="E2324" s="62" t="s"/>
      <c r="F2324" s="66" t="s"/>
      <c r="G2324" s="66" t="s"/>
      <c r="H2324" s="66" t="s"/>
      <c r="I2324" s="62" t="s"/>
      <c r="J2324" s="62" t="s"/>
      <c r="K2324" s="99" t="s"/>
      <c r="L2324" s="66" t="s"/>
      <c r="M2324" s="66" t="s"/>
      <c r="N2324" s="572" t="s"/>
      <c r="O2324" s="62" t="s"/>
      <c r="P2324" s="62" t="s"/>
      <c r="Q2324" s="62" t="s"/>
      <c r="R2324" s="62" t="s"/>
    </row>
    <row r="2325" spans="1:18" ht="15.75" customHeight="true">
      <c r="A2325" s="107" t="s"/>
      <c r="B2325" s="62" t="s"/>
      <c r="C2325" s="62" t="s"/>
      <c r="D2325" s="62" t="s"/>
      <c r="E2325" s="62" t="s"/>
      <c r="F2325" s="66" t="s"/>
      <c r="G2325" s="66" t="s"/>
      <c r="H2325" s="66" t="s"/>
      <c r="I2325" s="62" t="s"/>
      <c r="J2325" s="62" t="s"/>
      <c r="K2325" s="99" t="s"/>
      <c r="L2325" s="66" t="s"/>
      <c r="M2325" s="66" t="s"/>
      <c r="N2325" s="572" t="s"/>
      <c r="O2325" s="62" t="s"/>
      <c r="P2325" s="62" t="s"/>
      <c r="Q2325" s="62" t="s"/>
      <c r="R2325" s="62" t="s"/>
    </row>
    <row r="2326" spans="1:18" ht="15.75" customHeight="true">
      <c r="A2326" s="107" t="s"/>
      <c r="B2326" s="62" t="s"/>
      <c r="C2326" s="62" t="s"/>
      <c r="D2326" s="62" t="s"/>
      <c r="E2326" s="62" t="s"/>
      <c r="F2326" s="66" t="s"/>
      <c r="G2326" s="66" t="s"/>
      <c r="H2326" s="66" t="s"/>
      <c r="I2326" s="62" t="s"/>
      <c r="J2326" s="62" t="s"/>
      <c r="K2326" s="99" t="s"/>
      <c r="L2326" s="66" t="s"/>
      <c r="M2326" s="66" t="s"/>
      <c r="N2326" s="572" t="s"/>
      <c r="O2326" s="62" t="s"/>
      <c r="P2326" s="62" t="s"/>
      <c r="Q2326" s="62" t="s"/>
      <c r="R2326" s="62" t="s"/>
    </row>
    <row r="2327" spans="1:18" ht="15.75" customHeight="true">
      <c r="A2327" s="107" t="s"/>
      <c r="B2327" s="62" t="s"/>
      <c r="C2327" s="62" t="s"/>
      <c r="D2327" s="62" t="s"/>
      <c r="E2327" s="62" t="s"/>
      <c r="F2327" s="66" t="s"/>
      <c r="G2327" s="66" t="s"/>
      <c r="H2327" s="66" t="s"/>
      <c r="I2327" s="62" t="s"/>
      <c r="J2327" s="62" t="s"/>
      <c r="K2327" s="99" t="s"/>
      <c r="L2327" s="66" t="s"/>
      <c r="M2327" s="66" t="s"/>
      <c r="N2327" s="572" t="s"/>
      <c r="O2327" s="62" t="s"/>
      <c r="P2327" s="62" t="s"/>
      <c r="Q2327" s="62" t="s"/>
      <c r="R2327" s="62" t="s"/>
    </row>
    <row r="2328" spans="1:18" ht="15.75" customHeight="true">
      <c r="A2328" s="107" t="s"/>
      <c r="B2328" s="62" t="s"/>
      <c r="C2328" s="62" t="s"/>
      <c r="D2328" s="62" t="s"/>
      <c r="E2328" s="62" t="s"/>
      <c r="F2328" s="66" t="s"/>
      <c r="G2328" s="66" t="s"/>
      <c r="H2328" s="66" t="s"/>
      <c r="I2328" s="62" t="s"/>
      <c r="J2328" s="62" t="s"/>
      <c r="K2328" s="99" t="s"/>
      <c r="L2328" s="66" t="s"/>
      <c r="M2328" s="66" t="s"/>
      <c r="N2328" s="572" t="s"/>
      <c r="O2328" s="62" t="s"/>
      <c r="P2328" s="62" t="s"/>
      <c r="Q2328" s="62" t="s"/>
      <c r="R2328" s="62" t="s"/>
    </row>
    <row r="2329" spans="1:18" ht="15.75" customHeight="true">
      <c r="A2329" s="107" t="s"/>
      <c r="B2329" s="62" t="s"/>
      <c r="C2329" s="62" t="s"/>
      <c r="D2329" s="62" t="s"/>
      <c r="E2329" s="62" t="s"/>
      <c r="F2329" s="66" t="s"/>
      <c r="G2329" s="66" t="s"/>
      <c r="H2329" s="66" t="s"/>
      <c r="I2329" s="62" t="s"/>
      <c r="J2329" s="62" t="s"/>
      <c r="K2329" s="99" t="s"/>
      <c r="L2329" s="66" t="s"/>
      <c r="M2329" s="66" t="s"/>
      <c r="N2329" s="572" t="s"/>
      <c r="O2329" s="62" t="s"/>
      <c r="P2329" s="62" t="s"/>
      <c r="Q2329" s="62" t="s"/>
      <c r="R2329" s="62" t="s"/>
    </row>
    <row r="2330" spans="1:18" ht="15.75" customHeight="true">
      <c r="A2330" s="107" t="s"/>
      <c r="B2330" s="62" t="s"/>
      <c r="C2330" s="62" t="s"/>
      <c r="D2330" s="62" t="s"/>
      <c r="E2330" s="62" t="s"/>
      <c r="F2330" s="66" t="s"/>
      <c r="G2330" s="66" t="s"/>
      <c r="H2330" s="66" t="s"/>
      <c r="I2330" s="62" t="s"/>
      <c r="J2330" s="62" t="s"/>
      <c r="K2330" s="99" t="s"/>
      <c r="L2330" s="66" t="s"/>
      <c r="M2330" s="66" t="s"/>
      <c r="N2330" s="572" t="s"/>
      <c r="O2330" s="62" t="s"/>
      <c r="P2330" s="62" t="s"/>
      <c r="Q2330" s="62" t="s"/>
      <c r="R2330" s="62" t="s"/>
    </row>
    <row r="2331" spans="1:18" ht="15.75" customHeight="true">
      <c r="A2331" s="107" t="s"/>
      <c r="B2331" s="62" t="s"/>
      <c r="C2331" s="62" t="s"/>
      <c r="D2331" s="62" t="s"/>
      <c r="E2331" s="62" t="s"/>
      <c r="F2331" s="66" t="s"/>
      <c r="G2331" s="66" t="s"/>
      <c r="H2331" s="66" t="s"/>
      <c r="I2331" s="62" t="s"/>
      <c r="J2331" s="62" t="s"/>
      <c r="K2331" s="99" t="s"/>
      <c r="L2331" s="66" t="s"/>
      <c r="M2331" s="66" t="s"/>
      <c r="N2331" s="572" t="s"/>
      <c r="O2331" s="62" t="s"/>
      <c r="P2331" s="62" t="s"/>
      <c r="Q2331" s="62" t="s"/>
      <c r="R2331" s="62" t="s"/>
    </row>
    <row r="2332" spans="1:18" ht="15.75" customHeight="true">
      <c r="A2332" s="107" t="s"/>
      <c r="B2332" s="62" t="s"/>
      <c r="C2332" s="62" t="s"/>
      <c r="D2332" s="62" t="s"/>
      <c r="E2332" s="62" t="s"/>
      <c r="F2332" s="66" t="s"/>
      <c r="G2332" s="66" t="s"/>
      <c r="H2332" s="66" t="s"/>
      <c r="I2332" s="62" t="s"/>
      <c r="J2332" s="62" t="s"/>
      <c r="K2332" s="99" t="s"/>
      <c r="L2332" s="66" t="s"/>
      <c r="M2332" s="66" t="s"/>
      <c r="N2332" s="572" t="s"/>
      <c r="O2332" s="62" t="s"/>
      <c r="P2332" s="62" t="s"/>
      <c r="Q2332" s="62" t="s"/>
      <c r="R2332" s="62" t="s"/>
    </row>
    <row r="2333" spans="1:18" ht="15.75" customHeight="true">
      <c r="A2333" s="107" t="s"/>
      <c r="B2333" s="62" t="s"/>
      <c r="C2333" s="62" t="s"/>
      <c r="D2333" s="62" t="s"/>
      <c r="E2333" s="62" t="s"/>
      <c r="F2333" s="66" t="s"/>
      <c r="G2333" s="66" t="s"/>
      <c r="H2333" s="66" t="s"/>
      <c r="I2333" s="62" t="s"/>
      <c r="J2333" s="62" t="s"/>
      <c r="K2333" s="99" t="s"/>
      <c r="L2333" s="66" t="s"/>
      <c r="M2333" s="66" t="s"/>
      <c r="N2333" s="572" t="s"/>
      <c r="O2333" s="62" t="s"/>
      <c r="P2333" s="62" t="s"/>
      <c r="Q2333" s="62" t="s"/>
      <c r="R2333" s="62" t="s"/>
    </row>
    <row r="2334" spans="1:18" ht="15.75" customHeight="true">
      <c r="A2334" s="107" t="s"/>
      <c r="B2334" s="62" t="s"/>
      <c r="C2334" s="62" t="s"/>
      <c r="D2334" s="62" t="s"/>
      <c r="E2334" s="62" t="s"/>
      <c r="F2334" s="66" t="s"/>
      <c r="G2334" s="66" t="s"/>
      <c r="H2334" s="66" t="s"/>
      <c r="I2334" s="62" t="s"/>
      <c r="J2334" s="62" t="s"/>
      <c r="K2334" s="99" t="s"/>
      <c r="L2334" s="66" t="s"/>
      <c r="M2334" s="66" t="s"/>
      <c r="N2334" s="572" t="s"/>
      <c r="O2334" s="62" t="s"/>
      <c r="P2334" s="62" t="s"/>
      <c r="Q2334" s="62" t="s"/>
      <c r="R2334" s="62" t="s"/>
    </row>
    <row r="2335" spans="1:18" ht="15.75" customHeight="true">
      <c r="A2335" s="107" t="s"/>
      <c r="B2335" s="62" t="s"/>
      <c r="C2335" s="62" t="s"/>
      <c r="D2335" s="62" t="s"/>
      <c r="E2335" s="62" t="s"/>
      <c r="F2335" s="66" t="s"/>
      <c r="G2335" s="66" t="s"/>
      <c r="H2335" s="66" t="s"/>
      <c r="I2335" s="62" t="s"/>
      <c r="J2335" s="62" t="s"/>
      <c r="K2335" s="99" t="s"/>
      <c r="L2335" s="66" t="s"/>
      <c r="M2335" s="66" t="s"/>
      <c r="N2335" s="572" t="s"/>
      <c r="O2335" s="62" t="s"/>
      <c r="P2335" s="62" t="s"/>
      <c r="Q2335" s="62" t="s"/>
      <c r="R2335" s="62" t="s"/>
    </row>
    <row r="2336" spans="1:18" ht="15.75" customHeight="true">
      <c r="A2336" s="107" t="s"/>
      <c r="B2336" s="62" t="s"/>
      <c r="C2336" s="62" t="s"/>
      <c r="D2336" s="62" t="s"/>
      <c r="E2336" s="62" t="s"/>
      <c r="F2336" s="66" t="s"/>
      <c r="G2336" s="66" t="s"/>
      <c r="H2336" s="66" t="s"/>
      <c r="I2336" s="62" t="s"/>
      <c r="J2336" s="62" t="s"/>
      <c r="K2336" s="99" t="s"/>
      <c r="L2336" s="66" t="s"/>
      <c r="M2336" s="66" t="s"/>
      <c r="N2336" s="572" t="s"/>
      <c r="O2336" s="62" t="s"/>
      <c r="P2336" s="62" t="s"/>
      <c r="Q2336" s="62" t="s"/>
      <c r="R2336" s="62" t="s"/>
    </row>
    <row r="2337" spans="1:18" ht="15.75" customHeight="true">
      <c r="A2337" s="107" t="s"/>
      <c r="B2337" s="62" t="s"/>
      <c r="C2337" s="62" t="s"/>
      <c r="D2337" s="62" t="s"/>
      <c r="E2337" s="62" t="s"/>
      <c r="F2337" s="66" t="s"/>
      <c r="G2337" s="66" t="s"/>
      <c r="H2337" s="66" t="s"/>
      <c r="I2337" s="62" t="s"/>
      <c r="J2337" s="62" t="s"/>
      <c r="K2337" s="99" t="s"/>
      <c r="L2337" s="66" t="s"/>
      <c r="M2337" s="66" t="s"/>
      <c r="N2337" s="572" t="s"/>
      <c r="O2337" s="62" t="s"/>
      <c r="P2337" s="62" t="s"/>
      <c r="Q2337" s="62" t="s"/>
      <c r="R2337" s="62" t="s"/>
    </row>
    <row r="2338" spans="1:18" ht="15.75" customHeight="true">
      <c r="A2338" s="107" t="s"/>
      <c r="B2338" s="62" t="s"/>
      <c r="C2338" s="62" t="s"/>
      <c r="D2338" s="62" t="s"/>
      <c r="E2338" s="62" t="s"/>
      <c r="F2338" s="66" t="s"/>
      <c r="G2338" s="66" t="s"/>
      <c r="H2338" s="66" t="s"/>
      <c r="I2338" s="62" t="s"/>
      <c r="J2338" s="62" t="s"/>
      <c r="K2338" s="99" t="s"/>
      <c r="L2338" s="66" t="s"/>
      <c r="M2338" s="66" t="s"/>
      <c r="N2338" s="572" t="s"/>
      <c r="O2338" s="62" t="s"/>
      <c r="P2338" s="62" t="s"/>
      <c r="Q2338" s="62" t="s"/>
      <c r="R2338" s="62" t="s"/>
    </row>
    <row r="2339" spans="1:18" ht="15.75" customHeight="true">
      <c r="A2339" s="107" t="s"/>
      <c r="B2339" s="62" t="s"/>
      <c r="C2339" s="62" t="s"/>
      <c r="D2339" s="62" t="s"/>
      <c r="E2339" s="62" t="s"/>
      <c r="F2339" s="66" t="s"/>
      <c r="G2339" s="66" t="s"/>
      <c r="H2339" s="66" t="s"/>
      <c r="I2339" s="62" t="s"/>
      <c r="J2339" s="62" t="s"/>
      <c r="K2339" s="99" t="s"/>
      <c r="L2339" s="66" t="s"/>
      <c r="M2339" s="66" t="s"/>
      <c r="N2339" s="572" t="s"/>
      <c r="O2339" s="62" t="s"/>
      <c r="P2339" s="62" t="s"/>
      <c r="Q2339" s="62" t="s"/>
      <c r="R2339" s="62" t="s"/>
    </row>
    <row r="2340" spans="1:18" ht="15.75" customHeight="true">
      <c r="A2340" s="107" t="s"/>
      <c r="B2340" s="62" t="s"/>
      <c r="C2340" s="62" t="s"/>
      <c r="D2340" s="62" t="s"/>
      <c r="E2340" s="62" t="s"/>
      <c r="F2340" s="66" t="s"/>
      <c r="G2340" s="66" t="s"/>
      <c r="H2340" s="66" t="s"/>
      <c r="I2340" s="62" t="s"/>
      <c r="J2340" s="62" t="s"/>
      <c r="K2340" s="99" t="s"/>
      <c r="L2340" s="66" t="s"/>
      <c r="M2340" s="66" t="s"/>
      <c r="N2340" s="572" t="s"/>
      <c r="O2340" s="62" t="s"/>
      <c r="P2340" s="62" t="s"/>
      <c r="Q2340" s="62" t="s"/>
      <c r="R2340" s="62" t="s"/>
    </row>
    <row r="2341" spans="1:18" ht="15.75" customHeight="true">
      <c r="A2341" s="107" t="s"/>
      <c r="B2341" s="62" t="s"/>
      <c r="C2341" s="62" t="s"/>
      <c r="D2341" s="62" t="s"/>
      <c r="E2341" s="62" t="s"/>
      <c r="F2341" s="66" t="s"/>
      <c r="G2341" s="66" t="s"/>
      <c r="H2341" s="66" t="s"/>
      <c r="I2341" s="62" t="s"/>
      <c r="J2341" s="62" t="s"/>
      <c r="K2341" s="99" t="s"/>
      <c r="L2341" s="66" t="s"/>
      <c r="M2341" s="66" t="s"/>
      <c r="N2341" s="572" t="s"/>
      <c r="O2341" s="62" t="s"/>
      <c r="P2341" s="62" t="s"/>
      <c r="Q2341" s="62" t="s"/>
      <c r="R2341" s="62" t="s"/>
    </row>
    <row r="2342" spans="1:18" ht="15.75" customHeight="true">
      <c r="A2342" s="107" t="s"/>
      <c r="B2342" s="62" t="s"/>
      <c r="C2342" s="62" t="s"/>
      <c r="D2342" s="62" t="s"/>
      <c r="E2342" s="62" t="s"/>
      <c r="F2342" s="66" t="s"/>
      <c r="G2342" s="66" t="s"/>
      <c r="H2342" s="66" t="s"/>
      <c r="I2342" s="62" t="s"/>
      <c r="J2342" s="62" t="s"/>
      <c r="K2342" s="99" t="s"/>
      <c r="L2342" s="66" t="s"/>
      <c r="M2342" s="66" t="s"/>
      <c r="N2342" s="572" t="s"/>
      <c r="O2342" s="62" t="s"/>
      <c r="P2342" s="62" t="s"/>
      <c r="Q2342" s="62" t="s"/>
      <c r="R2342" s="62" t="s"/>
    </row>
    <row r="2343" spans="1:18" ht="15.75" customHeight="true">
      <c r="A2343" s="107" t="s"/>
      <c r="B2343" s="62" t="s"/>
      <c r="C2343" s="62" t="s"/>
      <c r="D2343" s="62" t="s"/>
      <c r="E2343" s="62" t="s"/>
      <c r="F2343" s="66" t="s"/>
      <c r="G2343" s="66" t="s"/>
      <c r="H2343" s="66" t="s"/>
      <c r="I2343" s="62" t="s"/>
      <c r="J2343" s="62" t="s"/>
      <c r="K2343" s="99" t="s"/>
      <c r="L2343" s="66" t="s"/>
      <c r="M2343" s="66" t="s"/>
      <c r="N2343" s="572" t="s"/>
      <c r="O2343" s="62" t="s"/>
      <c r="P2343" s="62" t="s"/>
      <c r="Q2343" s="62" t="s"/>
      <c r="R2343" s="62" t="s"/>
    </row>
    <row r="2344" spans="1:18" ht="15.75" customHeight="true">
      <c r="A2344" s="107" t="s"/>
      <c r="B2344" s="62" t="s"/>
      <c r="C2344" s="62" t="s"/>
      <c r="D2344" s="62" t="s"/>
      <c r="E2344" s="62" t="s"/>
      <c r="F2344" s="66" t="s"/>
      <c r="G2344" s="66" t="s"/>
      <c r="H2344" s="66" t="s"/>
      <c r="I2344" s="62" t="s"/>
      <c r="J2344" s="62" t="s"/>
      <c r="K2344" s="99" t="s"/>
      <c r="L2344" s="66" t="s"/>
      <c r="M2344" s="66" t="s"/>
      <c r="N2344" s="572" t="s"/>
      <c r="O2344" s="62" t="s"/>
      <c r="P2344" s="62" t="s"/>
      <c r="Q2344" s="62" t="s"/>
      <c r="R2344" s="62" t="s"/>
    </row>
    <row r="2345" spans="1:18" ht="15.75" customHeight="true">
      <c r="A2345" s="107" t="s"/>
      <c r="B2345" s="62" t="s"/>
      <c r="C2345" s="62" t="s"/>
      <c r="D2345" s="62" t="s"/>
      <c r="E2345" s="62" t="s"/>
      <c r="F2345" s="66" t="s"/>
      <c r="G2345" s="66" t="s"/>
      <c r="H2345" s="66" t="s"/>
      <c r="I2345" s="62" t="s"/>
      <c r="J2345" s="62" t="s"/>
      <c r="K2345" s="99" t="s"/>
      <c r="L2345" s="66" t="s"/>
      <c r="M2345" s="66" t="s"/>
      <c r="N2345" s="572" t="s"/>
      <c r="O2345" s="62" t="s"/>
      <c r="P2345" s="62" t="s"/>
      <c r="Q2345" s="62" t="s"/>
      <c r="R2345" s="62" t="s"/>
    </row>
    <row r="2346" spans="1:18" ht="15.75" customHeight="true">
      <c r="A2346" s="107" t="s"/>
      <c r="B2346" s="62" t="s"/>
      <c r="C2346" s="62" t="s"/>
      <c r="D2346" s="62" t="s"/>
      <c r="E2346" s="62" t="s"/>
      <c r="F2346" s="66" t="s"/>
      <c r="G2346" s="66" t="s"/>
      <c r="H2346" s="66" t="s"/>
      <c r="I2346" s="62" t="s"/>
      <c r="J2346" s="62" t="s"/>
      <c r="K2346" s="99" t="s"/>
      <c r="L2346" s="66" t="s"/>
      <c r="M2346" s="66" t="s"/>
      <c r="N2346" s="572" t="s"/>
      <c r="O2346" s="62" t="s"/>
      <c r="P2346" s="62" t="s"/>
      <c r="Q2346" s="62" t="s"/>
      <c r="R2346" s="62" t="s"/>
    </row>
    <row r="2347" spans="1:18" ht="15.75" customHeight="true">
      <c r="A2347" s="107" t="s"/>
      <c r="B2347" s="62" t="s"/>
      <c r="C2347" s="62" t="s"/>
      <c r="D2347" s="62" t="s"/>
      <c r="E2347" s="62" t="s"/>
      <c r="F2347" s="66" t="s"/>
      <c r="G2347" s="66" t="s"/>
      <c r="H2347" s="66" t="s"/>
      <c r="I2347" s="62" t="s"/>
      <c r="J2347" s="62" t="s"/>
      <c r="K2347" s="99" t="s"/>
      <c r="L2347" s="66" t="s"/>
      <c r="M2347" s="66" t="s"/>
      <c r="N2347" s="572" t="s"/>
      <c r="O2347" s="62" t="s"/>
      <c r="P2347" s="62" t="s"/>
      <c r="Q2347" s="62" t="s"/>
      <c r="R2347" s="62" t="s"/>
    </row>
    <row r="2348" spans="1:18" ht="15.75" customHeight="true">
      <c r="A2348" s="107" t="s"/>
      <c r="B2348" s="62" t="s"/>
      <c r="C2348" s="62" t="s"/>
      <c r="D2348" s="62" t="s"/>
      <c r="E2348" s="62" t="s"/>
      <c r="F2348" s="66" t="s"/>
      <c r="G2348" s="66" t="s"/>
      <c r="H2348" s="66" t="s"/>
      <c r="I2348" s="62" t="s"/>
      <c r="J2348" s="62" t="s"/>
      <c r="K2348" s="99" t="s"/>
      <c r="L2348" s="66" t="s"/>
      <c r="M2348" s="66" t="s"/>
      <c r="N2348" s="572" t="s"/>
      <c r="O2348" s="62" t="s"/>
      <c r="P2348" s="62" t="s"/>
      <c r="Q2348" s="62" t="s"/>
      <c r="R2348" s="62" t="s"/>
    </row>
    <row r="2349" spans="1:18" ht="15.75" customHeight="true">
      <c r="A2349" s="107" t="s"/>
      <c r="B2349" s="62" t="s"/>
      <c r="C2349" s="62" t="s"/>
      <c r="D2349" s="62" t="s"/>
      <c r="E2349" s="62" t="s"/>
      <c r="F2349" s="66" t="s"/>
      <c r="G2349" s="66" t="s"/>
      <c r="H2349" s="66" t="s"/>
      <c r="I2349" s="62" t="s"/>
      <c r="J2349" s="62" t="s"/>
      <c r="K2349" s="99" t="s"/>
      <c r="L2349" s="66" t="s"/>
      <c r="M2349" s="66" t="s"/>
      <c r="N2349" s="572" t="s"/>
      <c r="O2349" s="62" t="s"/>
      <c r="P2349" s="62" t="s"/>
      <c r="Q2349" s="62" t="s"/>
      <c r="R2349" s="62" t="s"/>
    </row>
    <row r="2350" spans="1:18" ht="15.75" customHeight="true">
      <c r="A2350" s="107" t="s"/>
      <c r="B2350" s="62" t="s"/>
      <c r="C2350" s="62" t="s"/>
      <c r="D2350" s="62" t="s"/>
      <c r="E2350" s="62" t="s"/>
      <c r="F2350" s="66" t="s"/>
      <c r="G2350" s="66" t="s"/>
      <c r="H2350" s="66" t="s"/>
      <c r="I2350" s="62" t="s"/>
      <c r="J2350" s="62" t="s"/>
      <c r="K2350" s="99" t="s"/>
      <c r="L2350" s="66" t="s"/>
      <c r="M2350" s="66" t="s"/>
      <c r="N2350" s="572" t="s"/>
      <c r="O2350" s="62" t="s"/>
      <c r="P2350" s="62" t="s"/>
      <c r="Q2350" s="62" t="s"/>
      <c r="R2350" s="62" t="s"/>
    </row>
    <row r="2351" spans="1:18" ht="15.75" customHeight="true">
      <c r="A2351" s="107" t="s"/>
      <c r="B2351" s="62" t="s"/>
      <c r="C2351" s="62" t="s"/>
      <c r="D2351" s="62" t="s"/>
      <c r="E2351" s="62" t="s"/>
      <c r="F2351" s="66" t="s"/>
      <c r="G2351" s="66" t="s"/>
      <c r="H2351" s="66" t="s"/>
      <c r="I2351" s="62" t="s"/>
      <c r="J2351" s="62" t="s"/>
      <c r="K2351" s="99" t="s"/>
      <c r="L2351" s="66" t="s"/>
      <c r="M2351" s="66" t="s"/>
      <c r="N2351" s="572" t="s"/>
      <c r="O2351" s="62" t="s"/>
      <c r="P2351" s="62" t="s"/>
      <c r="Q2351" s="62" t="s"/>
      <c r="R2351" s="62" t="s"/>
    </row>
    <row r="2352" spans="1:18" ht="15.75" customHeight="true">
      <c r="A2352" s="107" t="s"/>
      <c r="B2352" s="62" t="s"/>
      <c r="C2352" s="62" t="s"/>
      <c r="D2352" s="62" t="s"/>
      <c r="E2352" s="62" t="s"/>
      <c r="F2352" s="66" t="s"/>
      <c r="G2352" s="66" t="s"/>
      <c r="H2352" s="66" t="s"/>
      <c r="I2352" s="62" t="s"/>
      <c r="J2352" s="62" t="s"/>
      <c r="K2352" s="99" t="s"/>
      <c r="L2352" s="66" t="s"/>
      <c r="M2352" s="66" t="s"/>
      <c r="N2352" s="572" t="s"/>
      <c r="O2352" s="62" t="s"/>
      <c r="P2352" s="62" t="s"/>
      <c r="Q2352" s="62" t="s"/>
      <c r="R2352" s="62" t="s"/>
    </row>
    <row r="2353" spans="1:18" ht="15.75" customHeight="true">
      <c r="A2353" s="107" t="s"/>
      <c r="B2353" s="62" t="s"/>
      <c r="C2353" s="62" t="s"/>
      <c r="D2353" s="62" t="s"/>
      <c r="E2353" s="62" t="s"/>
      <c r="F2353" s="66" t="s"/>
      <c r="G2353" s="66" t="s"/>
      <c r="H2353" s="66" t="s"/>
      <c r="I2353" s="62" t="s"/>
      <c r="J2353" s="62" t="s"/>
      <c r="K2353" s="99" t="s"/>
      <c r="L2353" s="66" t="s"/>
      <c r="M2353" s="66" t="s"/>
      <c r="N2353" s="572" t="s"/>
      <c r="O2353" s="62" t="s"/>
      <c r="P2353" s="62" t="s"/>
      <c r="Q2353" s="62" t="s"/>
      <c r="R2353" s="62" t="s"/>
    </row>
    <row r="2354" spans="1:18" ht="15.75" customHeight="true">
      <c r="A2354" s="107" t="s"/>
      <c r="B2354" s="62" t="s"/>
      <c r="C2354" s="62" t="s"/>
      <c r="D2354" s="62" t="s"/>
      <c r="E2354" s="62" t="s"/>
      <c r="F2354" s="66" t="s"/>
      <c r="G2354" s="66" t="s"/>
      <c r="H2354" s="66" t="s"/>
      <c r="I2354" s="62" t="s"/>
      <c r="J2354" s="62" t="s"/>
      <c r="K2354" s="99" t="s"/>
      <c r="L2354" s="66" t="s"/>
      <c r="M2354" s="66" t="s"/>
      <c r="N2354" s="572" t="s"/>
      <c r="O2354" s="62" t="s"/>
      <c r="P2354" s="62" t="s"/>
      <c r="Q2354" s="62" t="s"/>
      <c r="R2354" s="62" t="s"/>
    </row>
    <row r="2355" spans="1:18" ht="15.75" customHeight="true">
      <c r="A2355" s="107" t="s"/>
      <c r="B2355" s="62" t="s"/>
      <c r="C2355" s="62" t="s"/>
      <c r="D2355" s="62" t="s"/>
      <c r="E2355" s="62" t="s"/>
      <c r="F2355" s="66" t="s"/>
      <c r="G2355" s="66" t="s"/>
      <c r="H2355" s="66" t="s"/>
      <c r="I2355" s="62" t="s"/>
      <c r="J2355" s="62" t="s"/>
      <c r="K2355" s="99" t="s"/>
      <c r="L2355" s="66" t="s"/>
      <c r="M2355" s="66" t="s"/>
      <c r="N2355" s="572" t="s"/>
      <c r="O2355" s="62" t="s"/>
      <c r="P2355" s="62" t="s"/>
      <c r="Q2355" s="62" t="s"/>
      <c r="R2355" s="62" t="s"/>
    </row>
    <row r="2356" spans="1:18" ht="15.75" customHeight="true">
      <c r="A2356" s="107" t="s"/>
      <c r="B2356" s="62" t="s"/>
      <c r="C2356" s="62" t="s"/>
      <c r="D2356" s="62" t="s"/>
      <c r="E2356" s="62" t="s"/>
      <c r="F2356" s="66" t="s"/>
      <c r="G2356" s="66" t="s"/>
      <c r="H2356" s="66" t="s"/>
      <c r="I2356" s="62" t="s"/>
      <c r="J2356" s="62" t="s"/>
      <c r="K2356" s="99" t="s"/>
      <c r="L2356" s="66" t="s"/>
      <c r="M2356" s="66" t="s"/>
      <c r="N2356" s="572" t="s"/>
      <c r="O2356" s="62" t="s"/>
      <c r="P2356" s="62" t="s"/>
      <c r="Q2356" s="62" t="s"/>
      <c r="R2356" s="62" t="s"/>
    </row>
    <row r="2357" spans="1:18" ht="15.75" customHeight="true">
      <c r="A2357" s="107" t="s"/>
      <c r="B2357" s="62" t="s"/>
      <c r="C2357" s="62" t="s"/>
      <c r="D2357" s="62" t="s"/>
      <c r="E2357" s="62" t="s"/>
      <c r="F2357" s="66" t="s"/>
      <c r="G2357" s="66" t="s"/>
      <c r="H2357" s="66" t="s"/>
      <c r="I2357" s="62" t="s"/>
      <c r="J2357" s="62" t="s"/>
      <c r="K2357" s="99" t="s"/>
      <c r="L2357" s="66" t="s"/>
      <c r="M2357" s="66" t="s"/>
      <c r="N2357" s="572" t="s"/>
      <c r="O2357" s="62" t="s"/>
      <c r="P2357" s="62" t="s"/>
      <c r="Q2357" s="62" t="s"/>
      <c r="R2357" s="62" t="s"/>
    </row>
    <row r="2358" spans="1:18" ht="15.75" customHeight="true">
      <c r="A2358" s="107" t="s"/>
      <c r="B2358" s="62" t="s"/>
      <c r="C2358" s="62" t="s"/>
      <c r="D2358" s="62" t="s"/>
      <c r="E2358" s="62" t="s"/>
      <c r="F2358" s="66" t="s"/>
      <c r="G2358" s="66" t="s"/>
      <c r="H2358" s="66" t="s"/>
      <c r="I2358" s="62" t="s"/>
      <c r="J2358" s="62" t="s"/>
      <c r="K2358" s="99" t="s"/>
      <c r="L2358" s="66" t="s"/>
      <c r="M2358" s="66" t="s"/>
      <c r="N2358" s="572" t="s"/>
      <c r="O2358" s="62" t="s"/>
      <c r="P2358" s="62" t="s"/>
      <c r="Q2358" s="62" t="s"/>
      <c r="R2358" s="62" t="s"/>
    </row>
    <row r="2359" spans="1:18" ht="15.75" customHeight="true">
      <c r="A2359" s="107" t="s"/>
      <c r="B2359" s="62" t="s"/>
      <c r="C2359" s="62" t="s"/>
      <c r="D2359" s="62" t="s"/>
      <c r="E2359" s="62" t="s"/>
      <c r="F2359" s="66" t="s"/>
      <c r="G2359" s="66" t="s"/>
      <c r="H2359" s="66" t="s"/>
      <c r="I2359" s="62" t="s"/>
      <c r="J2359" s="62" t="s"/>
      <c r="K2359" s="99" t="s"/>
      <c r="L2359" s="66" t="s"/>
      <c r="M2359" s="66" t="s"/>
      <c r="N2359" s="572" t="s"/>
      <c r="O2359" s="62" t="s"/>
      <c r="P2359" s="62" t="s"/>
      <c r="Q2359" s="62" t="s"/>
      <c r="R2359" s="62" t="s"/>
    </row>
    <row r="2360" spans="1:18" ht="15.75" customHeight="true">
      <c r="A2360" s="107" t="s"/>
      <c r="B2360" s="62" t="s"/>
      <c r="C2360" s="62" t="s"/>
      <c r="D2360" s="62" t="s"/>
      <c r="E2360" s="62" t="s"/>
      <c r="F2360" s="66" t="s"/>
      <c r="G2360" s="66" t="s"/>
      <c r="H2360" s="66" t="s"/>
      <c r="I2360" s="62" t="s"/>
      <c r="J2360" s="62" t="s"/>
      <c r="K2360" s="99" t="s"/>
      <c r="L2360" s="66" t="s"/>
      <c r="M2360" s="66" t="s"/>
      <c r="N2360" s="572" t="s"/>
      <c r="O2360" s="62" t="s"/>
      <c r="P2360" s="62" t="s"/>
      <c r="Q2360" s="62" t="s"/>
      <c r="R2360" s="62" t="s"/>
    </row>
    <row r="2361" spans="1:18" ht="15.75" customHeight="true">
      <c r="A2361" s="107" t="s"/>
      <c r="B2361" s="62" t="s"/>
      <c r="C2361" s="62" t="s"/>
      <c r="D2361" s="62" t="s"/>
      <c r="E2361" s="62" t="s"/>
      <c r="F2361" s="66" t="s"/>
      <c r="G2361" s="66" t="s"/>
      <c r="H2361" s="66" t="s"/>
      <c r="I2361" s="62" t="s"/>
      <c r="J2361" s="62" t="s"/>
      <c r="K2361" s="99" t="s"/>
      <c r="L2361" s="66" t="s"/>
      <c r="M2361" s="66" t="s"/>
      <c r="N2361" s="572" t="s"/>
      <c r="O2361" s="62" t="s"/>
      <c r="P2361" s="62" t="s"/>
      <c r="Q2361" s="62" t="s"/>
      <c r="R2361" s="62" t="s"/>
    </row>
    <row r="2362" spans="1:18" ht="15.75" customHeight="true">
      <c r="A2362" s="107" t="s"/>
      <c r="B2362" s="62" t="s"/>
      <c r="C2362" s="62" t="s"/>
      <c r="D2362" s="62" t="s"/>
      <c r="E2362" s="62" t="s"/>
      <c r="F2362" s="66" t="s"/>
      <c r="G2362" s="66" t="s"/>
      <c r="H2362" s="66" t="s"/>
      <c r="I2362" s="62" t="s"/>
      <c r="J2362" s="62" t="s"/>
      <c r="K2362" s="99" t="s"/>
      <c r="L2362" s="66" t="s"/>
      <c r="M2362" s="66" t="s"/>
      <c r="N2362" s="572" t="s"/>
      <c r="O2362" s="62" t="s"/>
      <c r="P2362" s="62" t="s"/>
      <c r="Q2362" s="62" t="s"/>
      <c r="R2362" s="62" t="s"/>
    </row>
    <row r="2363" spans="1:18" ht="15.75" customHeight="true">
      <c r="A2363" s="107" t="s"/>
      <c r="B2363" s="62" t="s"/>
      <c r="C2363" s="62" t="s"/>
      <c r="D2363" s="62" t="s"/>
      <c r="E2363" s="62" t="s"/>
      <c r="F2363" s="66" t="s"/>
      <c r="G2363" s="66" t="s"/>
      <c r="H2363" s="66" t="s"/>
      <c r="I2363" s="62" t="s"/>
      <c r="J2363" s="62" t="s"/>
      <c r="K2363" s="99" t="s"/>
      <c r="L2363" s="66" t="s"/>
      <c r="M2363" s="66" t="s"/>
      <c r="N2363" s="572" t="s"/>
      <c r="O2363" s="62" t="s"/>
      <c r="P2363" s="62" t="s"/>
      <c r="Q2363" s="62" t="s"/>
      <c r="R2363" s="62" t="s"/>
    </row>
    <row r="2364" spans="1:18" ht="15.75" customHeight="true">
      <c r="A2364" s="107" t="s"/>
      <c r="B2364" s="62" t="s"/>
      <c r="C2364" s="62" t="s"/>
      <c r="D2364" s="62" t="s"/>
      <c r="E2364" s="62" t="s"/>
      <c r="F2364" s="66" t="s"/>
      <c r="G2364" s="66" t="s"/>
      <c r="H2364" s="66" t="s"/>
      <c r="I2364" s="62" t="s"/>
      <c r="J2364" s="62" t="s"/>
      <c r="K2364" s="99" t="s"/>
      <c r="L2364" s="66" t="s"/>
      <c r="M2364" s="66" t="s"/>
      <c r="N2364" s="572" t="s"/>
      <c r="O2364" s="62" t="s"/>
      <c r="P2364" s="62" t="s"/>
      <c r="Q2364" s="62" t="s"/>
      <c r="R2364" s="62" t="s"/>
    </row>
    <row r="2365" spans="1:18" ht="15.75" customHeight="true">
      <c r="A2365" s="107" t="s"/>
      <c r="B2365" s="62" t="s"/>
      <c r="C2365" s="62" t="s"/>
      <c r="D2365" s="62" t="s"/>
      <c r="E2365" s="62" t="s"/>
      <c r="F2365" s="66" t="s"/>
      <c r="G2365" s="66" t="s"/>
      <c r="H2365" s="66" t="s"/>
      <c r="I2365" s="62" t="s"/>
      <c r="J2365" s="62" t="s"/>
      <c r="K2365" s="99" t="s"/>
      <c r="L2365" s="66" t="s"/>
      <c r="M2365" s="66" t="s"/>
      <c r="N2365" s="572" t="s"/>
      <c r="O2365" s="62" t="s"/>
      <c r="P2365" s="62" t="s"/>
      <c r="Q2365" s="62" t="s"/>
      <c r="R2365" s="62" t="s"/>
    </row>
    <row r="2366" spans="1:18" ht="15.75" customHeight="true">
      <c r="A2366" s="107" t="s"/>
      <c r="B2366" s="62" t="s"/>
      <c r="C2366" s="62" t="s"/>
      <c r="D2366" s="62" t="s"/>
      <c r="E2366" s="62" t="s"/>
      <c r="F2366" s="66" t="s"/>
      <c r="G2366" s="66" t="s"/>
      <c r="H2366" s="66" t="s"/>
      <c r="I2366" s="62" t="s"/>
      <c r="J2366" s="62" t="s"/>
      <c r="K2366" s="99" t="s"/>
      <c r="L2366" s="66" t="s"/>
      <c r="M2366" s="66" t="s"/>
      <c r="N2366" s="572" t="s"/>
      <c r="O2366" s="62" t="s"/>
      <c r="P2366" s="62" t="s"/>
      <c r="Q2366" s="62" t="s"/>
      <c r="R2366" s="62" t="s"/>
    </row>
    <row r="2367" spans="1:18" ht="15.75" customHeight="true">
      <c r="A2367" s="107" t="s"/>
      <c r="B2367" s="62" t="s"/>
      <c r="C2367" s="62" t="s"/>
      <c r="D2367" s="62" t="s"/>
      <c r="E2367" s="62" t="s"/>
      <c r="F2367" s="66" t="s"/>
      <c r="G2367" s="66" t="s"/>
      <c r="H2367" s="66" t="s"/>
      <c r="I2367" s="62" t="s"/>
      <c r="J2367" s="62" t="s"/>
      <c r="K2367" s="99" t="s"/>
      <c r="L2367" s="66" t="s"/>
      <c r="M2367" s="66" t="s"/>
      <c r="N2367" s="572" t="s"/>
      <c r="O2367" s="62" t="s"/>
      <c r="P2367" s="62" t="s"/>
      <c r="Q2367" s="62" t="s"/>
      <c r="R2367" s="62" t="s"/>
    </row>
    <row r="2368" spans="1:18" ht="15.75" customHeight="true">
      <c r="A2368" s="107" t="s"/>
      <c r="B2368" s="62" t="s"/>
      <c r="C2368" s="62" t="s"/>
      <c r="D2368" s="62" t="s"/>
      <c r="E2368" s="62" t="s"/>
      <c r="F2368" s="66" t="s"/>
      <c r="G2368" s="66" t="s"/>
      <c r="H2368" s="66" t="s"/>
      <c r="I2368" s="62" t="s"/>
      <c r="J2368" s="62" t="s"/>
      <c r="K2368" s="99" t="s"/>
      <c r="L2368" s="66" t="s"/>
      <c r="M2368" s="66" t="s"/>
      <c r="N2368" s="572" t="s"/>
      <c r="O2368" s="62" t="s"/>
      <c r="P2368" s="62" t="s"/>
      <c r="Q2368" s="62" t="s"/>
      <c r="R2368" s="62" t="s"/>
    </row>
    <row r="2369" spans="1:18" ht="15.75" customHeight="true">
      <c r="A2369" s="107" t="s"/>
      <c r="B2369" s="62" t="s"/>
      <c r="C2369" s="62" t="s"/>
      <c r="D2369" s="62" t="s"/>
      <c r="E2369" s="62" t="s"/>
      <c r="F2369" s="66" t="s"/>
      <c r="G2369" s="66" t="s"/>
      <c r="H2369" s="66" t="s"/>
      <c r="I2369" s="62" t="s"/>
      <c r="J2369" s="62" t="s"/>
      <c r="K2369" s="99" t="s"/>
      <c r="L2369" s="66" t="s"/>
      <c r="M2369" s="66" t="s"/>
      <c r="N2369" s="572" t="s"/>
      <c r="O2369" s="62" t="s"/>
      <c r="P2369" s="62" t="s"/>
      <c r="Q2369" s="62" t="s"/>
      <c r="R2369" s="62" t="s"/>
    </row>
    <row r="2370" spans="1:18" ht="15.75" customHeight="true">
      <c r="A2370" s="107" t="s"/>
      <c r="B2370" s="62" t="s"/>
      <c r="C2370" s="62" t="s"/>
      <c r="D2370" s="62" t="s"/>
      <c r="E2370" s="62" t="s"/>
      <c r="F2370" s="66" t="s"/>
      <c r="G2370" s="66" t="s"/>
      <c r="H2370" s="66" t="s"/>
      <c r="I2370" s="62" t="s"/>
      <c r="J2370" s="62" t="s"/>
      <c r="K2370" s="99" t="s"/>
      <c r="L2370" s="66" t="s"/>
      <c r="M2370" s="66" t="s"/>
      <c r="N2370" s="572" t="s"/>
      <c r="O2370" s="62" t="s"/>
      <c r="P2370" s="62" t="s"/>
      <c r="Q2370" s="62" t="s"/>
      <c r="R2370" s="62" t="s"/>
    </row>
    <row r="2371" spans="1:18" ht="15.75" customHeight="true">
      <c r="A2371" s="107" t="s"/>
      <c r="B2371" s="62" t="s"/>
      <c r="C2371" s="62" t="s"/>
      <c r="D2371" s="62" t="s"/>
      <c r="E2371" s="62" t="s"/>
      <c r="F2371" s="66" t="s"/>
      <c r="G2371" s="66" t="s"/>
      <c r="H2371" s="66" t="s"/>
      <c r="I2371" s="62" t="s"/>
      <c r="J2371" s="62" t="s"/>
      <c r="K2371" s="99" t="s"/>
      <c r="L2371" s="66" t="s"/>
      <c r="M2371" s="66" t="s"/>
      <c r="N2371" s="572" t="s"/>
      <c r="O2371" s="62" t="s"/>
      <c r="P2371" s="62" t="s"/>
      <c r="Q2371" s="62" t="s"/>
      <c r="R2371" s="62" t="s"/>
    </row>
    <row r="2372" spans="1:18" ht="15.75" customHeight="true">
      <c r="A2372" s="107" t="s"/>
      <c r="B2372" s="62" t="s"/>
      <c r="C2372" s="62" t="s"/>
      <c r="D2372" s="62" t="s"/>
      <c r="E2372" s="62" t="s"/>
      <c r="F2372" s="66" t="s"/>
      <c r="G2372" s="66" t="s"/>
      <c r="H2372" s="66" t="s"/>
      <c r="I2372" s="62" t="s"/>
      <c r="J2372" s="62" t="s"/>
      <c r="K2372" s="99" t="s"/>
      <c r="L2372" s="66" t="s"/>
      <c r="M2372" s="66" t="s"/>
      <c r="N2372" s="572" t="s"/>
      <c r="O2372" s="62" t="s"/>
      <c r="P2372" s="62" t="s"/>
      <c r="Q2372" s="62" t="s"/>
      <c r="R2372" s="62" t="s"/>
    </row>
    <row r="2373" spans="1:18" ht="15.75" customHeight="true">
      <c r="A2373" s="107" t="s"/>
      <c r="B2373" s="62" t="s"/>
      <c r="C2373" s="62" t="s"/>
      <c r="D2373" s="62" t="s"/>
      <c r="E2373" s="62" t="s"/>
      <c r="F2373" s="66" t="s"/>
      <c r="G2373" s="66" t="s"/>
      <c r="H2373" s="66" t="s"/>
      <c r="I2373" s="62" t="s"/>
      <c r="J2373" s="62" t="s"/>
      <c r="K2373" s="99" t="s"/>
      <c r="L2373" s="66" t="s"/>
      <c r="M2373" s="66" t="s"/>
      <c r="N2373" s="572" t="s"/>
      <c r="O2373" s="62" t="s"/>
      <c r="P2373" s="62" t="s"/>
      <c r="Q2373" s="62" t="s"/>
      <c r="R2373" s="62" t="s"/>
    </row>
    <row r="2374" spans="1:18" ht="15.75" customHeight="true">
      <c r="A2374" s="107" t="s"/>
      <c r="B2374" s="62" t="s"/>
      <c r="C2374" s="62" t="s"/>
      <c r="D2374" s="62" t="s"/>
      <c r="E2374" s="62" t="s"/>
      <c r="F2374" s="66" t="s"/>
      <c r="G2374" s="66" t="s"/>
      <c r="H2374" s="66" t="s"/>
      <c r="I2374" s="62" t="s"/>
      <c r="J2374" s="62" t="s"/>
      <c r="K2374" s="99" t="s"/>
      <c r="L2374" s="66" t="s"/>
      <c r="M2374" s="66" t="s"/>
      <c r="N2374" s="572" t="s"/>
      <c r="O2374" s="62" t="s"/>
      <c r="P2374" s="62" t="s"/>
      <c r="Q2374" s="62" t="s"/>
      <c r="R2374" s="62" t="s"/>
    </row>
    <row r="2375" spans="1:18" ht="15.75" customHeight="true">
      <c r="A2375" s="107" t="s"/>
      <c r="B2375" s="62" t="s"/>
      <c r="C2375" s="62" t="s"/>
      <c r="D2375" s="62" t="s"/>
      <c r="E2375" s="62" t="s"/>
      <c r="F2375" s="66" t="s"/>
      <c r="G2375" s="66" t="s"/>
      <c r="H2375" s="66" t="s"/>
      <c r="I2375" s="62" t="s"/>
      <c r="J2375" s="62" t="s"/>
      <c r="K2375" s="99" t="s"/>
      <c r="L2375" s="66" t="s"/>
      <c r="M2375" s="66" t="s"/>
      <c r="N2375" s="572" t="s"/>
      <c r="O2375" s="62" t="s"/>
      <c r="P2375" s="62" t="s"/>
      <c r="Q2375" s="62" t="s"/>
      <c r="R2375" s="62" t="s"/>
    </row>
    <row r="2376" spans="1:18" ht="15.75" customHeight="true">
      <c r="A2376" s="107" t="s"/>
      <c r="B2376" s="62" t="s"/>
      <c r="C2376" s="62" t="s"/>
      <c r="D2376" s="62" t="s"/>
      <c r="E2376" s="62" t="s"/>
      <c r="F2376" s="66" t="s"/>
      <c r="G2376" s="66" t="s"/>
      <c r="H2376" s="66" t="s"/>
      <c r="I2376" s="62" t="s"/>
      <c r="J2376" s="62" t="s"/>
      <c r="K2376" s="99" t="s"/>
      <c r="L2376" s="66" t="s"/>
      <c r="M2376" s="66" t="s"/>
      <c r="N2376" s="572" t="s"/>
      <c r="O2376" s="62" t="s"/>
      <c r="P2376" s="62" t="s"/>
      <c r="Q2376" s="62" t="s"/>
      <c r="R2376" s="62" t="s"/>
    </row>
    <row r="2377" spans="1:18" ht="15.75" customHeight="true">
      <c r="A2377" s="107" t="s"/>
      <c r="B2377" s="62" t="s"/>
      <c r="C2377" s="62" t="s"/>
      <c r="D2377" s="62" t="s"/>
      <c r="E2377" s="62" t="s"/>
      <c r="F2377" s="66" t="s"/>
      <c r="G2377" s="66" t="s"/>
      <c r="H2377" s="66" t="s"/>
      <c r="I2377" s="62" t="s"/>
      <c r="J2377" s="62" t="s"/>
      <c r="K2377" s="99" t="s"/>
      <c r="L2377" s="66" t="s"/>
      <c r="M2377" s="66" t="s"/>
      <c r="N2377" s="572" t="s"/>
      <c r="O2377" s="62" t="s"/>
      <c r="P2377" s="62" t="s"/>
      <c r="Q2377" s="62" t="s"/>
      <c r="R2377" s="62" t="s"/>
    </row>
    <row r="2378" spans="1:18" ht="15.75" customHeight="true">
      <c r="A2378" s="107" t="s"/>
      <c r="B2378" s="62" t="s"/>
      <c r="C2378" s="62" t="s"/>
      <c r="D2378" s="62" t="s"/>
      <c r="E2378" s="62" t="s"/>
      <c r="F2378" s="66" t="s"/>
      <c r="G2378" s="66" t="s"/>
      <c r="H2378" s="66" t="s"/>
      <c r="I2378" s="62" t="s"/>
      <c r="J2378" s="62" t="s"/>
      <c r="K2378" s="99" t="s"/>
      <c r="L2378" s="66" t="s"/>
      <c r="M2378" s="66" t="s"/>
      <c r="N2378" s="572" t="s"/>
      <c r="O2378" s="62" t="s"/>
      <c r="P2378" s="62" t="s"/>
      <c r="Q2378" s="62" t="s"/>
      <c r="R2378" s="62" t="s"/>
    </row>
    <row r="2379" spans="1:18" ht="15.75" customHeight="true">
      <c r="A2379" s="107" t="s"/>
      <c r="B2379" s="62" t="s"/>
      <c r="C2379" s="62" t="s"/>
      <c r="D2379" s="62" t="s"/>
      <c r="E2379" s="62" t="s"/>
      <c r="F2379" s="66" t="s"/>
      <c r="G2379" s="66" t="s"/>
      <c r="H2379" s="66" t="s"/>
      <c r="I2379" s="62" t="s"/>
      <c r="J2379" s="62" t="s"/>
      <c r="K2379" s="99" t="s"/>
      <c r="L2379" s="66" t="s"/>
      <c r="M2379" s="66" t="s"/>
      <c r="N2379" s="572" t="s"/>
      <c r="O2379" s="62" t="s"/>
      <c r="P2379" s="62" t="s"/>
      <c r="Q2379" s="62" t="s"/>
      <c r="R2379" s="62" t="s"/>
    </row>
    <row r="2380" spans="1:18" ht="15.75" customHeight="true">
      <c r="A2380" s="107" t="s"/>
      <c r="B2380" s="62" t="s"/>
      <c r="C2380" s="62" t="s"/>
      <c r="D2380" s="62" t="s"/>
      <c r="E2380" s="62" t="s"/>
      <c r="F2380" s="66" t="s"/>
      <c r="G2380" s="66" t="s"/>
      <c r="H2380" s="66" t="s"/>
      <c r="I2380" s="62" t="s"/>
      <c r="J2380" s="62" t="s"/>
      <c r="K2380" s="99" t="s"/>
      <c r="L2380" s="66" t="s"/>
      <c r="M2380" s="66" t="s"/>
      <c r="N2380" s="572" t="s"/>
      <c r="O2380" s="62" t="s"/>
      <c r="P2380" s="62" t="s"/>
      <c r="Q2380" s="62" t="s"/>
      <c r="R2380" s="62" t="s"/>
    </row>
    <row r="2381" spans="1:18" ht="15.75" customHeight="true">
      <c r="A2381" s="107" t="s"/>
      <c r="B2381" s="62" t="s"/>
      <c r="C2381" s="62" t="s"/>
      <c r="D2381" s="62" t="s"/>
      <c r="E2381" s="62" t="s"/>
      <c r="F2381" s="66" t="s"/>
      <c r="G2381" s="66" t="s"/>
      <c r="H2381" s="66" t="s"/>
      <c r="I2381" s="62" t="s"/>
      <c r="J2381" s="62" t="s"/>
      <c r="K2381" s="99" t="s"/>
      <c r="L2381" s="66" t="s"/>
      <c r="M2381" s="66" t="s"/>
      <c r="N2381" s="572" t="s"/>
      <c r="O2381" s="62" t="s"/>
      <c r="P2381" s="62" t="s"/>
      <c r="Q2381" s="62" t="s"/>
      <c r="R2381" s="62" t="s"/>
    </row>
    <row r="2382" spans="1:18" ht="15.75" customHeight="true">
      <c r="A2382" s="107" t="s"/>
      <c r="B2382" s="62" t="s"/>
      <c r="C2382" s="62" t="s"/>
      <c r="D2382" s="62" t="s"/>
      <c r="E2382" s="62" t="s"/>
      <c r="F2382" s="66" t="s"/>
      <c r="G2382" s="66" t="s"/>
      <c r="H2382" s="66" t="s"/>
      <c r="I2382" s="62" t="s"/>
      <c r="J2382" s="62" t="s"/>
      <c r="K2382" s="99" t="s"/>
      <c r="L2382" s="66" t="s"/>
      <c r="M2382" s="66" t="s"/>
      <c r="N2382" s="572" t="s"/>
      <c r="O2382" s="62" t="s"/>
      <c r="P2382" s="62" t="s"/>
      <c r="Q2382" s="62" t="s"/>
      <c r="R2382" s="62" t="s"/>
    </row>
    <row r="2383" spans="1:18" ht="15.75" customHeight="true">
      <c r="A2383" s="107" t="s"/>
      <c r="B2383" s="62" t="s"/>
      <c r="C2383" s="62" t="s"/>
      <c r="D2383" s="62" t="s"/>
      <c r="E2383" s="62" t="s"/>
      <c r="F2383" s="66" t="s"/>
      <c r="G2383" s="66" t="s"/>
      <c r="H2383" s="66" t="s"/>
      <c r="I2383" s="62" t="s"/>
      <c r="J2383" s="62" t="s"/>
      <c r="K2383" s="99" t="s"/>
      <c r="L2383" s="66" t="s"/>
      <c r="M2383" s="66" t="s"/>
      <c r="N2383" s="572" t="s"/>
      <c r="O2383" s="62" t="s"/>
      <c r="P2383" s="62" t="s"/>
      <c r="Q2383" s="62" t="s"/>
      <c r="R2383" s="62" t="s"/>
    </row>
    <row r="2384" spans="1:18" ht="15.75" customHeight="true">
      <c r="A2384" s="107" t="s"/>
      <c r="B2384" s="62" t="s"/>
      <c r="C2384" s="62" t="s"/>
      <c r="D2384" s="62" t="s"/>
      <c r="E2384" s="62" t="s"/>
      <c r="F2384" s="66" t="s"/>
      <c r="G2384" s="66" t="s"/>
      <c r="H2384" s="66" t="s"/>
      <c r="I2384" s="62" t="s"/>
      <c r="J2384" s="62" t="s"/>
      <c r="K2384" s="99" t="s"/>
      <c r="L2384" s="66" t="s"/>
      <c r="M2384" s="66" t="s"/>
      <c r="N2384" s="572" t="s"/>
      <c r="O2384" s="62" t="s"/>
      <c r="P2384" s="62" t="s"/>
      <c r="Q2384" s="62" t="s"/>
      <c r="R2384" s="62" t="s"/>
    </row>
    <row r="2385" spans="1:18" ht="15.75" customHeight="true">
      <c r="A2385" s="107" t="s"/>
      <c r="B2385" s="62" t="s"/>
      <c r="C2385" s="62" t="s"/>
      <c r="D2385" s="62" t="s"/>
      <c r="E2385" s="62" t="s"/>
      <c r="F2385" s="66" t="s"/>
      <c r="G2385" s="66" t="s"/>
      <c r="H2385" s="66" t="s"/>
      <c r="I2385" s="62" t="s"/>
      <c r="J2385" s="62" t="s"/>
      <c r="K2385" s="99" t="s"/>
      <c r="L2385" s="66" t="s"/>
      <c r="M2385" s="66" t="s"/>
      <c r="N2385" s="572" t="s"/>
      <c r="O2385" s="62" t="s"/>
      <c r="P2385" s="62" t="s"/>
      <c r="Q2385" s="62" t="s"/>
      <c r="R2385" s="62" t="s"/>
    </row>
    <row r="2386" spans="1:18" ht="15.75" customHeight="true">
      <c r="A2386" s="107" t="s"/>
      <c r="B2386" s="62" t="s"/>
      <c r="C2386" s="62" t="s"/>
      <c r="D2386" s="62" t="s"/>
      <c r="E2386" s="62" t="s"/>
      <c r="F2386" s="66" t="s"/>
      <c r="G2386" s="66" t="s"/>
      <c r="H2386" s="66" t="s"/>
      <c r="I2386" s="62" t="s"/>
      <c r="J2386" s="62" t="s"/>
      <c r="K2386" s="99" t="s"/>
      <c r="L2386" s="66" t="s"/>
      <c r="M2386" s="66" t="s"/>
      <c r="N2386" s="572" t="s"/>
      <c r="O2386" s="62" t="s"/>
      <c r="P2386" s="62" t="s"/>
      <c r="Q2386" s="62" t="s"/>
      <c r="R2386" s="62" t="s"/>
    </row>
    <row r="2387" spans="1:18" ht="15.75" customHeight="true">
      <c r="A2387" s="107" t="s"/>
      <c r="B2387" s="62" t="s"/>
      <c r="C2387" s="62" t="s"/>
      <c r="D2387" s="62" t="s"/>
      <c r="E2387" s="62" t="s"/>
      <c r="F2387" s="66" t="s"/>
      <c r="G2387" s="66" t="s"/>
      <c r="H2387" s="66" t="s"/>
      <c r="I2387" s="62" t="s"/>
      <c r="J2387" s="62" t="s"/>
      <c r="K2387" s="99" t="s"/>
      <c r="L2387" s="66" t="s"/>
      <c r="M2387" s="66" t="s"/>
      <c r="N2387" s="572" t="s"/>
      <c r="O2387" s="62" t="s"/>
      <c r="P2387" s="62" t="s"/>
      <c r="Q2387" s="62" t="s"/>
      <c r="R2387" s="62" t="s"/>
    </row>
    <row r="2388" spans="1:18" ht="15.75" customHeight="true">
      <c r="A2388" s="107" t="s"/>
      <c r="B2388" s="62" t="s"/>
      <c r="C2388" s="62" t="s"/>
      <c r="D2388" s="62" t="s"/>
      <c r="E2388" s="62" t="s"/>
      <c r="F2388" s="66" t="s"/>
      <c r="G2388" s="66" t="s"/>
      <c r="H2388" s="66" t="s"/>
      <c r="I2388" s="62" t="s"/>
      <c r="J2388" s="62" t="s"/>
      <c r="K2388" s="99" t="s"/>
      <c r="L2388" s="66" t="s"/>
      <c r="M2388" s="66" t="s"/>
      <c r="N2388" s="572" t="s"/>
      <c r="O2388" s="62" t="s"/>
      <c r="P2388" s="62" t="s"/>
      <c r="Q2388" s="62" t="s"/>
      <c r="R2388" s="62" t="s"/>
    </row>
    <row r="2389" spans="1:18" ht="15.75" customHeight="true">
      <c r="A2389" s="107" t="s"/>
      <c r="B2389" s="62" t="s"/>
      <c r="C2389" s="62" t="s"/>
      <c r="D2389" s="62" t="s"/>
      <c r="E2389" s="62" t="s"/>
      <c r="F2389" s="66" t="s"/>
      <c r="G2389" s="66" t="s"/>
      <c r="H2389" s="66" t="s"/>
      <c r="I2389" s="62" t="s"/>
      <c r="J2389" s="62" t="s"/>
      <c r="K2389" s="99" t="s"/>
      <c r="L2389" s="66" t="s"/>
      <c r="M2389" s="66" t="s"/>
      <c r="N2389" s="572" t="s"/>
      <c r="O2389" s="62" t="s"/>
      <c r="P2389" s="62" t="s"/>
      <c r="Q2389" s="62" t="s"/>
      <c r="R2389" s="62" t="s"/>
    </row>
    <row r="2390" spans="1:18" ht="15.75" customHeight="true">
      <c r="A2390" s="107" t="s"/>
      <c r="B2390" s="62" t="s"/>
      <c r="C2390" s="62" t="s"/>
      <c r="D2390" s="62" t="s"/>
      <c r="E2390" s="62" t="s"/>
      <c r="F2390" s="66" t="s"/>
      <c r="G2390" s="66" t="s"/>
      <c r="H2390" s="66" t="s"/>
      <c r="I2390" s="62" t="s"/>
      <c r="J2390" s="62" t="s"/>
      <c r="K2390" s="99" t="s"/>
      <c r="L2390" s="66" t="s"/>
      <c r="M2390" s="66" t="s"/>
      <c r="N2390" s="572" t="s"/>
      <c r="O2390" s="62" t="s"/>
      <c r="P2390" s="62" t="s"/>
      <c r="Q2390" s="62" t="s"/>
      <c r="R2390" s="62" t="s"/>
    </row>
    <row r="2391" spans="1:18" ht="15.75" customHeight="true">
      <c r="A2391" s="107" t="s"/>
      <c r="B2391" s="62" t="s"/>
      <c r="C2391" s="62" t="s"/>
      <c r="D2391" s="62" t="s"/>
      <c r="E2391" s="62" t="s"/>
      <c r="F2391" s="66" t="s"/>
      <c r="G2391" s="66" t="s"/>
      <c r="H2391" s="66" t="s"/>
      <c r="I2391" s="62" t="s"/>
      <c r="J2391" s="62" t="s"/>
      <c r="K2391" s="99" t="s"/>
      <c r="L2391" s="66" t="s"/>
      <c r="M2391" s="66" t="s"/>
      <c r="N2391" s="572" t="s"/>
      <c r="O2391" s="62" t="s"/>
      <c r="P2391" s="62" t="s"/>
      <c r="Q2391" s="62" t="s"/>
      <c r="R2391" s="62" t="s"/>
    </row>
    <row r="2392" spans="1:18" ht="15.75" customHeight="true">
      <c r="A2392" s="107" t="s"/>
      <c r="B2392" s="62" t="s"/>
      <c r="C2392" s="62" t="s"/>
      <c r="D2392" s="62" t="s"/>
      <c r="E2392" s="62" t="s"/>
      <c r="F2392" s="66" t="s"/>
      <c r="G2392" s="66" t="s"/>
      <c r="H2392" s="66" t="s"/>
      <c r="I2392" s="62" t="s"/>
      <c r="J2392" s="62" t="s"/>
      <c r="K2392" s="99" t="s"/>
      <c r="L2392" s="66" t="s"/>
      <c r="M2392" s="66" t="s"/>
      <c r="N2392" s="572" t="s"/>
      <c r="O2392" s="62" t="s"/>
      <c r="P2392" s="62" t="s"/>
      <c r="Q2392" s="62" t="s"/>
      <c r="R2392" s="62" t="s"/>
    </row>
    <row r="2393" spans="1:18" ht="15.75" customHeight="true">
      <c r="A2393" s="107" t="s"/>
      <c r="B2393" s="62" t="s"/>
      <c r="C2393" s="62" t="s"/>
      <c r="D2393" s="62" t="s"/>
      <c r="E2393" s="62" t="s"/>
      <c r="F2393" s="66" t="s"/>
      <c r="G2393" s="66" t="s"/>
      <c r="H2393" s="66" t="s"/>
      <c r="I2393" s="62" t="s"/>
      <c r="J2393" s="62" t="s"/>
      <c r="K2393" s="99" t="s"/>
      <c r="L2393" s="66" t="s"/>
      <c r="M2393" s="66" t="s"/>
      <c r="N2393" s="572" t="s"/>
      <c r="O2393" s="62" t="s"/>
      <c r="P2393" s="62" t="s"/>
      <c r="Q2393" s="62" t="s"/>
      <c r="R2393" s="62" t="s"/>
    </row>
    <row r="2394" spans="1:18" ht="15.75" customHeight="true">
      <c r="A2394" s="107" t="s"/>
      <c r="B2394" s="62" t="s"/>
      <c r="C2394" s="62" t="s"/>
      <c r="D2394" s="62" t="s"/>
      <c r="E2394" s="62" t="s"/>
      <c r="F2394" s="66" t="s"/>
      <c r="G2394" s="66" t="s"/>
      <c r="H2394" s="66" t="s"/>
      <c r="I2394" s="62" t="s"/>
      <c r="J2394" s="62" t="s"/>
      <c r="K2394" s="99" t="s"/>
      <c r="L2394" s="66" t="s"/>
      <c r="M2394" s="66" t="s"/>
      <c r="N2394" s="572" t="s"/>
      <c r="O2394" s="62" t="s"/>
      <c r="P2394" s="62" t="s"/>
      <c r="Q2394" s="62" t="s"/>
      <c r="R2394" s="62" t="s"/>
    </row>
    <row r="2395" spans="1:18" ht="15.75" customHeight="true">
      <c r="A2395" s="107" t="s"/>
      <c r="B2395" s="62" t="s"/>
      <c r="C2395" s="62" t="s"/>
      <c r="D2395" s="62" t="s"/>
      <c r="E2395" s="62" t="s"/>
      <c r="F2395" s="66" t="s"/>
      <c r="G2395" s="66" t="s"/>
      <c r="H2395" s="66" t="s"/>
      <c r="I2395" s="62" t="s"/>
      <c r="J2395" s="62" t="s"/>
      <c r="K2395" s="99" t="s"/>
      <c r="L2395" s="66" t="s"/>
      <c r="M2395" s="66" t="s"/>
      <c r="N2395" s="572" t="s"/>
      <c r="O2395" s="62" t="s"/>
      <c r="P2395" s="62" t="s"/>
      <c r="Q2395" s="62" t="s"/>
      <c r="R2395" s="62" t="s"/>
    </row>
    <row r="2396" spans="1:18" ht="15.75" customHeight="true">
      <c r="A2396" s="107" t="s"/>
      <c r="B2396" s="62" t="s"/>
      <c r="C2396" s="62" t="s"/>
      <c r="D2396" s="62" t="s"/>
      <c r="E2396" s="62" t="s"/>
      <c r="F2396" s="66" t="s"/>
      <c r="G2396" s="66" t="s"/>
      <c r="H2396" s="66" t="s"/>
      <c r="I2396" s="62" t="s"/>
      <c r="J2396" s="62" t="s"/>
      <c r="K2396" s="99" t="s"/>
      <c r="L2396" s="66" t="s"/>
      <c r="M2396" s="66" t="s"/>
      <c r="N2396" s="572" t="s"/>
      <c r="O2396" s="62" t="s"/>
      <c r="P2396" s="62" t="s"/>
      <c r="Q2396" s="62" t="s"/>
      <c r="R2396" s="62" t="s"/>
    </row>
    <row r="2397" spans="1:18" ht="15.75" customHeight="true">
      <c r="A2397" s="107" t="s"/>
      <c r="B2397" s="62" t="s"/>
      <c r="C2397" s="62" t="s"/>
      <c r="D2397" s="62" t="s"/>
      <c r="E2397" s="62" t="s"/>
      <c r="F2397" s="66" t="s"/>
      <c r="G2397" s="66" t="s"/>
      <c r="H2397" s="66" t="s"/>
      <c r="I2397" s="62" t="s"/>
      <c r="J2397" s="62" t="s"/>
      <c r="K2397" s="99" t="s"/>
      <c r="L2397" s="66" t="s"/>
      <c r="M2397" s="66" t="s"/>
      <c r="N2397" s="572" t="s"/>
      <c r="O2397" s="62" t="s"/>
      <c r="P2397" s="62" t="s"/>
      <c r="Q2397" s="62" t="s"/>
      <c r="R2397" s="62" t="s"/>
    </row>
    <row r="2398" spans="1:18" ht="15.75" customHeight="true">
      <c r="A2398" s="107" t="s"/>
      <c r="B2398" s="62" t="s"/>
      <c r="C2398" s="62" t="s"/>
      <c r="D2398" s="62" t="s"/>
      <c r="E2398" s="62" t="s"/>
      <c r="F2398" s="66" t="s"/>
      <c r="G2398" s="66" t="s"/>
      <c r="H2398" s="66" t="s"/>
      <c r="I2398" s="62" t="s"/>
      <c r="J2398" s="62" t="s"/>
      <c r="K2398" s="99" t="s"/>
      <c r="L2398" s="66" t="s"/>
      <c r="M2398" s="66" t="s"/>
      <c r="N2398" s="572" t="s"/>
      <c r="O2398" s="62" t="s"/>
      <c r="P2398" s="62" t="s"/>
      <c r="Q2398" s="62" t="s"/>
      <c r="R2398" s="62" t="s"/>
    </row>
    <row r="2399" spans="1:18" ht="15.75" customHeight="true">
      <c r="A2399" s="107" t="s"/>
      <c r="B2399" s="62" t="s"/>
      <c r="C2399" s="62" t="s"/>
      <c r="D2399" s="62" t="s"/>
      <c r="E2399" s="62" t="s"/>
      <c r="F2399" s="66" t="s"/>
      <c r="G2399" s="66" t="s"/>
      <c r="H2399" s="66" t="s"/>
      <c r="I2399" s="62" t="s"/>
      <c r="J2399" s="62" t="s"/>
      <c r="K2399" s="99" t="s"/>
      <c r="L2399" s="66" t="s"/>
      <c r="M2399" s="66" t="s"/>
      <c r="N2399" s="572" t="s"/>
      <c r="O2399" s="62" t="s"/>
      <c r="P2399" s="62" t="s"/>
      <c r="Q2399" s="62" t="s"/>
      <c r="R2399" s="62" t="s"/>
    </row>
    <row r="2400" spans="1:18" ht="15.75" customHeight="true">
      <c r="A2400" s="107" t="s"/>
      <c r="B2400" s="62" t="s"/>
      <c r="C2400" s="62" t="s"/>
      <c r="D2400" s="62" t="s"/>
      <c r="E2400" s="62" t="s"/>
      <c r="F2400" s="66" t="s"/>
      <c r="G2400" s="66" t="s"/>
      <c r="H2400" s="66" t="s"/>
      <c r="I2400" s="62" t="s"/>
      <c r="J2400" s="62" t="s"/>
      <c r="K2400" s="99" t="s"/>
      <c r="L2400" s="66" t="s"/>
      <c r="M2400" s="66" t="s"/>
      <c r="N2400" s="572" t="s"/>
      <c r="O2400" s="62" t="s"/>
      <c r="P2400" s="62" t="s"/>
      <c r="Q2400" s="62" t="s"/>
      <c r="R2400" s="62" t="s"/>
    </row>
    <row r="2401" spans="1:18" ht="15.75" customHeight="true">
      <c r="A2401" s="107" t="s"/>
      <c r="B2401" s="62" t="s"/>
      <c r="C2401" s="62" t="s"/>
      <c r="D2401" s="62" t="s"/>
      <c r="E2401" s="62" t="s"/>
      <c r="F2401" s="66" t="s"/>
      <c r="G2401" s="66" t="s"/>
      <c r="H2401" s="66" t="s"/>
      <c r="I2401" s="62" t="s"/>
      <c r="J2401" s="62" t="s"/>
      <c r="K2401" s="99" t="s"/>
      <c r="L2401" s="66" t="s"/>
      <c r="M2401" s="66" t="s"/>
      <c r="N2401" s="572" t="s"/>
      <c r="O2401" s="62" t="s"/>
      <c r="P2401" s="62" t="s"/>
      <c r="Q2401" s="62" t="s"/>
      <c r="R2401" s="62" t="s"/>
    </row>
    <row r="2402" spans="1:18" ht="15.75" customHeight="true">
      <c r="A2402" s="107" t="s"/>
      <c r="B2402" s="62" t="s"/>
      <c r="C2402" s="62" t="s"/>
      <c r="D2402" s="62" t="s"/>
      <c r="E2402" s="62" t="s"/>
      <c r="F2402" s="66" t="s"/>
      <c r="G2402" s="66" t="s"/>
      <c r="H2402" s="66" t="s"/>
      <c r="I2402" s="62" t="s"/>
      <c r="J2402" s="62" t="s"/>
      <c r="K2402" s="99" t="s"/>
      <c r="L2402" s="66" t="s"/>
      <c r="M2402" s="66" t="s"/>
      <c r="N2402" s="572" t="s"/>
      <c r="O2402" s="62" t="s"/>
      <c r="P2402" s="62" t="s"/>
      <c r="Q2402" s="62" t="s"/>
      <c r="R2402" s="62" t="s"/>
    </row>
    <row r="2403" spans="1:18" ht="15.75" customHeight="true">
      <c r="A2403" s="107" t="s"/>
      <c r="B2403" s="62" t="s"/>
      <c r="C2403" s="62" t="s"/>
      <c r="D2403" s="62" t="s"/>
      <c r="E2403" s="62" t="s"/>
      <c r="F2403" s="66" t="s"/>
      <c r="G2403" s="66" t="s"/>
      <c r="H2403" s="66" t="s"/>
      <c r="I2403" s="62" t="s"/>
      <c r="J2403" s="62" t="s"/>
      <c r="K2403" s="99" t="s"/>
      <c r="L2403" s="66" t="s"/>
      <c r="M2403" s="66" t="s"/>
      <c r="N2403" s="572" t="s"/>
      <c r="O2403" s="62" t="s"/>
      <c r="P2403" s="62" t="s"/>
      <c r="Q2403" s="62" t="s"/>
      <c r="R2403" s="62" t="s"/>
    </row>
    <row r="2404" spans="1:18" ht="15.75" customHeight="true">
      <c r="A2404" s="107" t="s"/>
      <c r="B2404" s="62" t="s"/>
      <c r="C2404" s="62" t="s"/>
      <c r="D2404" s="62" t="s"/>
      <c r="E2404" s="62" t="s"/>
      <c r="F2404" s="66" t="s"/>
      <c r="G2404" s="66" t="s"/>
      <c r="H2404" s="66" t="s"/>
      <c r="I2404" s="62" t="s"/>
      <c r="J2404" s="62" t="s"/>
      <c r="K2404" s="99" t="s"/>
      <c r="L2404" s="66" t="s"/>
      <c r="M2404" s="66" t="s"/>
      <c r="N2404" s="572" t="s"/>
      <c r="O2404" s="62" t="s"/>
      <c r="P2404" s="62" t="s"/>
      <c r="Q2404" s="62" t="s"/>
      <c r="R2404" s="62" t="s"/>
    </row>
    <row r="2405" spans="1:18" ht="15.75" customHeight="true">
      <c r="A2405" s="107" t="s"/>
      <c r="B2405" s="62" t="s"/>
      <c r="C2405" s="62" t="s"/>
      <c r="D2405" s="62" t="s"/>
      <c r="E2405" s="62" t="s"/>
      <c r="F2405" s="66" t="s"/>
      <c r="G2405" s="66" t="s"/>
      <c r="H2405" s="66" t="s"/>
      <c r="I2405" s="62" t="s"/>
      <c r="J2405" s="62" t="s"/>
      <c r="K2405" s="99" t="s"/>
      <c r="L2405" s="66" t="s"/>
      <c r="M2405" s="66" t="s"/>
      <c r="N2405" s="572" t="s"/>
      <c r="O2405" s="62" t="s"/>
      <c r="P2405" s="62" t="s"/>
      <c r="Q2405" s="62" t="s"/>
      <c r="R2405" s="62" t="s"/>
    </row>
    <row r="2406" spans="1:18" ht="15.75" customHeight="true">
      <c r="A2406" s="107" t="s"/>
      <c r="B2406" s="62" t="s"/>
      <c r="C2406" s="62" t="s"/>
      <c r="D2406" s="62" t="s"/>
      <c r="E2406" s="62" t="s"/>
      <c r="F2406" s="66" t="s"/>
      <c r="G2406" s="66" t="s"/>
      <c r="H2406" s="66" t="s"/>
      <c r="I2406" s="62" t="s"/>
      <c r="J2406" s="62" t="s"/>
      <c r="K2406" s="99" t="s"/>
      <c r="L2406" s="66" t="s"/>
      <c r="M2406" s="66" t="s"/>
      <c r="N2406" s="572" t="s"/>
      <c r="O2406" s="62" t="s"/>
      <c r="P2406" s="62" t="s"/>
      <c r="Q2406" s="62" t="s"/>
      <c r="R2406" s="62" t="s"/>
    </row>
    <row r="2407" spans="1:18" ht="15.75" customHeight="true">
      <c r="A2407" s="107" t="s"/>
      <c r="B2407" s="62" t="s"/>
      <c r="C2407" s="62" t="s"/>
      <c r="D2407" s="62" t="s"/>
      <c r="E2407" s="62" t="s"/>
      <c r="F2407" s="66" t="s"/>
      <c r="G2407" s="66" t="s"/>
      <c r="H2407" s="66" t="s"/>
      <c r="I2407" s="62" t="s"/>
      <c r="J2407" s="62" t="s"/>
      <c r="K2407" s="99" t="s"/>
      <c r="L2407" s="66" t="s"/>
      <c r="M2407" s="66" t="s"/>
      <c r="N2407" s="572" t="s"/>
      <c r="O2407" s="62" t="s"/>
      <c r="P2407" s="62" t="s"/>
      <c r="Q2407" s="62" t="s"/>
      <c r="R2407" s="62" t="s"/>
    </row>
    <row r="2408" spans="1:18" ht="15.75" customHeight="true">
      <c r="A2408" s="107" t="s"/>
      <c r="B2408" s="62" t="s"/>
      <c r="C2408" s="62" t="s"/>
      <c r="D2408" s="62" t="s"/>
      <c r="E2408" s="62" t="s"/>
      <c r="F2408" s="66" t="s"/>
      <c r="G2408" s="66" t="s"/>
      <c r="H2408" s="66" t="s"/>
      <c r="I2408" s="62" t="s"/>
      <c r="J2408" s="62" t="s"/>
      <c r="K2408" s="99" t="s"/>
      <c r="L2408" s="66" t="s"/>
      <c r="M2408" s="66" t="s"/>
      <c r="N2408" s="572" t="s"/>
      <c r="O2408" s="62" t="s"/>
      <c r="P2408" s="62" t="s"/>
      <c r="Q2408" s="62" t="s"/>
      <c r="R2408" s="62" t="s"/>
    </row>
    <row r="2409" spans="1:18" ht="15.75" customHeight="true">
      <c r="A2409" s="107" t="s"/>
      <c r="B2409" s="62" t="s"/>
      <c r="C2409" s="62" t="s"/>
      <c r="D2409" s="62" t="s"/>
      <c r="E2409" s="62" t="s"/>
      <c r="F2409" s="66" t="s"/>
      <c r="G2409" s="66" t="s"/>
      <c r="H2409" s="66" t="s"/>
      <c r="I2409" s="62" t="s"/>
      <c r="J2409" s="62" t="s"/>
      <c r="K2409" s="99" t="s"/>
      <c r="L2409" s="66" t="s"/>
      <c r="M2409" s="66" t="s"/>
      <c r="N2409" s="572" t="s"/>
      <c r="O2409" s="62" t="s"/>
      <c r="P2409" s="62" t="s"/>
      <c r="Q2409" s="62" t="s"/>
      <c r="R2409" s="62" t="s"/>
    </row>
    <row r="2410" spans="1:18" ht="15.75" customHeight="true">
      <c r="A2410" s="107" t="s"/>
      <c r="B2410" s="62" t="s"/>
      <c r="C2410" s="62" t="s"/>
      <c r="D2410" s="62" t="s"/>
      <c r="E2410" s="62" t="s"/>
      <c r="F2410" s="66" t="s"/>
      <c r="G2410" s="66" t="s"/>
      <c r="H2410" s="66" t="s"/>
      <c r="I2410" s="62" t="s"/>
      <c r="J2410" s="62" t="s"/>
      <c r="K2410" s="99" t="s"/>
      <c r="L2410" s="66" t="s"/>
      <c r="M2410" s="66" t="s"/>
      <c r="N2410" s="572" t="s"/>
      <c r="O2410" s="62" t="s"/>
      <c r="P2410" s="62" t="s"/>
      <c r="Q2410" s="62" t="s"/>
      <c r="R2410" s="62" t="s"/>
    </row>
    <row r="2411" spans="1:18" ht="15.75" customHeight="true">
      <c r="A2411" s="107" t="s"/>
      <c r="B2411" s="62" t="s"/>
      <c r="C2411" s="62" t="s"/>
      <c r="D2411" s="62" t="s"/>
      <c r="E2411" s="62" t="s"/>
      <c r="F2411" s="66" t="s"/>
      <c r="G2411" s="66" t="s"/>
      <c r="H2411" s="66" t="s"/>
      <c r="I2411" s="62" t="s"/>
      <c r="J2411" s="62" t="s"/>
      <c r="K2411" s="99" t="s"/>
      <c r="L2411" s="66" t="s"/>
      <c r="M2411" s="66" t="s"/>
      <c r="N2411" s="572" t="s"/>
      <c r="O2411" s="62" t="s"/>
      <c r="P2411" s="62" t="s"/>
      <c r="Q2411" s="62" t="s"/>
      <c r="R2411" s="62" t="s"/>
    </row>
    <row r="2412" spans="1:18" ht="15.75" customHeight="true">
      <c r="A2412" s="107" t="s"/>
      <c r="B2412" s="62" t="s"/>
      <c r="C2412" s="62" t="s"/>
      <c r="D2412" s="62" t="s"/>
      <c r="E2412" s="62" t="s"/>
      <c r="F2412" s="66" t="s"/>
      <c r="G2412" s="66" t="s"/>
      <c r="H2412" s="66" t="s"/>
      <c r="I2412" s="62" t="s"/>
      <c r="J2412" s="62" t="s"/>
      <c r="K2412" s="99" t="s"/>
      <c r="L2412" s="66" t="s"/>
      <c r="M2412" s="66" t="s"/>
      <c r="N2412" s="572" t="s"/>
      <c r="O2412" s="62" t="s"/>
      <c r="P2412" s="62" t="s"/>
      <c r="Q2412" s="62" t="s"/>
      <c r="R2412" s="62" t="s"/>
    </row>
    <row r="2413" spans="1:18" ht="15.75" customHeight="true">
      <c r="A2413" s="107" t="s"/>
      <c r="B2413" s="62" t="s"/>
      <c r="C2413" s="62" t="s"/>
      <c r="D2413" s="62" t="s"/>
      <c r="E2413" s="62" t="s"/>
      <c r="F2413" s="66" t="s"/>
      <c r="G2413" s="66" t="s"/>
      <c r="H2413" s="66" t="s"/>
      <c r="I2413" s="62" t="s"/>
      <c r="J2413" s="62" t="s"/>
      <c r="K2413" s="99" t="s"/>
      <c r="L2413" s="66" t="s"/>
      <c r="M2413" s="66" t="s"/>
      <c r="N2413" s="572" t="s"/>
      <c r="O2413" s="62" t="s"/>
      <c r="P2413" s="62" t="s"/>
      <c r="Q2413" s="62" t="s"/>
      <c r="R2413" s="62" t="s"/>
    </row>
    <row r="2414" spans="1:18" ht="15.75" customHeight="true">
      <c r="A2414" s="107" t="s"/>
      <c r="B2414" s="62" t="s"/>
      <c r="C2414" s="62" t="s"/>
      <c r="D2414" s="62" t="s"/>
      <c r="E2414" s="62" t="s"/>
      <c r="F2414" s="66" t="s"/>
      <c r="G2414" s="66" t="s"/>
      <c r="H2414" s="66" t="s"/>
      <c r="I2414" s="62" t="s"/>
      <c r="J2414" s="62" t="s"/>
      <c r="K2414" s="99" t="s"/>
      <c r="L2414" s="66" t="s"/>
      <c r="M2414" s="66" t="s"/>
      <c r="N2414" s="572" t="s"/>
      <c r="O2414" s="62" t="s"/>
      <c r="P2414" s="62" t="s"/>
      <c r="Q2414" s="62" t="s"/>
      <c r="R2414" s="62" t="s"/>
    </row>
    <row r="2415" spans="1:18" ht="15.75" customHeight="true">
      <c r="A2415" s="107" t="s"/>
      <c r="B2415" s="62" t="s"/>
      <c r="C2415" s="62" t="s"/>
      <c r="D2415" s="62" t="s"/>
      <c r="E2415" s="62" t="s"/>
      <c r="F2415" s="66" t="s"/>
      <c r="G2415" s="66" t="s"/>
      <c r="H2415" s="66" t="s"/>
      <c r="I2415" s="62" t="s"/>
      <c r="J2415" s="62" t="s"/>
      <c r="K2415" s="99" t="s"/>
      <c r="L2415" s="66" t="s"/>
      <c r="M2415" s="66" t="s"/>
      <c r="N2415" s="572" t="s"/>
      <c r="O2415" s="62" t="s"/>
      <c r="P2415" s="62" t="s"/>
      <c r="Q2415" s="62" t="s"/>
      <c r="R2415" s="62" t="s"/>
    </row>
    <row r="2416" spans="1:18" ht="15.75" customHeight="true">
      <c r="A2416" s="107" t="s"/>
      <c r="B2416" s="62" t="s"/>
      <c r="C2416" s="62" t="s"/>
      <c r="D2416" s="62" t="s"/>
      <c r="E2416" s="62" t="s"/>
      <c r="F2416" s="66" t="s"/>
      <c r="G2416" s="66" t="s"/>
      <c r="H2416" s="66" t="s"/>
      <c r="I2416" s="62" t="s"/>
      <c r="J2416" s="62" t="s"/>
      <c r="K2416" s="99" t="s"/>
      <c r="L2416" s="66" t="s"/>
      <c r="M2416" s="66" t="s"/>
      <c r="N2416" s="572" t="s"/>
      <c r="O2416" s="62" t="s"/>
      <c r="P2416" s="62" t="s"/>
      <c r="Q2416" s="62" t="s"/>
      <c r="R2416" s="62" t="s"/>
    </row>
    <row r="2417" spans="1:18" ht="15.75" customHeight="true">
      <c r="A2417" s="107" t="s"/>
      <c r="B2417" s="62" t="s"/>
      <c r="C2417" s="62" t="s"/>
      <c r="D2417" s="62" t="s"/>
      <c r="E2417" s="62" t="s"/>
      <c r="F2417" s="66" t="s"/>
      <c r="G2417" s="66" t="s"/>
      <c r="H2417" s="66" t="s"/>
      <c r="I2417" s="62" t="s"/>
      <c r="J2417" s="62" t="s"/>
      <c r="K2417" s="99" t="s"/>
      <c r="L2417" s="66" t="s"/>
      <c r="M2417" s="66" t="s"/>
      <c r="N2417" s="572" t="s"/>
      <c r="O2417" s="62" t="s"/>
      <c r="P2417" s="62" t="s"/>
      <c r="Q2417" s="62" t="s"/>
      <c r="R2417" s="62" t="s"/>
    </row>
    <row r="2418" spans="1:18" ht="15.75" customHeight="true">
      <c r="A2418" s="107" t="s"/>
      <c r="B2418" s="62" t="s"/>
      <c r="C2418" s="62" t="s"/>
      <c r="D2418" s="62" t="s"/>
      <c r="E2418" s="62" t="s"/>
      <c r="F2418" s="66" t="s"/>
      <c r="G2418" s="66" t="s"/>
      <c r="H2418" s="66" t="s"/>
      <c r="I2418" s="62" t="s"/>
      <c r="J2418" s="62" t="s"/>
      <c r="K2418" s="99" t="s"/>
      <c r="L2418" s="66" t="s"/>
      <c r="M2418" s="66" t="s"/>
      <c r="N2418" s="572" t="s"/>
      <c r="O2418" s="62" t="s"/>
      <c r="P2418" s="62" t="s"/>
      <c r="Q2418" s="62" t="s"/>
      <c r="R2418" s="62" t="s"/>
    </row>
    <row r="2419" spans="1:18" ht="15.75" customHeight="true">
      <c r="A2419" s="107" t="s"/>
      <c r="B2419" s="62" t="s"/>
      <c r="C2419" s="62" t="s"/>
      <c r="D2419" s="62" t="s"/>
      <c r="E2419" s="62" t="s"/>
      <c r="F2419" s="66" t="s"/>
      <c r="G2419" s="66" t="s"/>
      <c r="H2419" s="66" t="s"/>
      <c r="I2419" s="62" t="s"/>
      <c r="J2419" s="62" t="s"/>
      <c r="K2419" s="99" t="s"/>
      <c r="L2419" s="66" t="s"/>
      <c r="M2419" s="66" t="s"/>
      <c r="N2419" s="572" t="s"/>
      <c r="O2419" s="62" t="s"/>
      <c r="P2419" s="62" t="s"/>
      <c r="Q2419" s="62" t="s"/>
      <c r="R2419" s="62" t="s"/>
    </row>
    <row r="2420" spans="1:18" ht="15.75" customHeight="true">
      <c r="A2420" s="107" t="s"/>
      <c r="B2420" s="62" t="s"/>
      <c r="C2420" s="62" t="s"/>
      <c r="D2420" s="62" t="s"/>
      <c r="E2420" s="62" t="s"/>
      <c r="F2420" s="66" t="s"/>
      <c r="G2420" s="66" t="s"/>
      <c r="H2420" s="66" t="s"/>
      <c r="I2420" s="62" t="s"/>
      <c r="J2420" s="62" t="s"/>
      <c r="K2420" s="99" t="s"/>
      <c r="L2420" s="66" t="s"/>
      <c r="M2420" s="66" t="s"/>
      <c r="N2420" s="572" t="s"/>
      <c r="O2420" s="62" t="s"/>
      <c r="P2420" s="62" t="s"/>
      <c r="Q2420" s="62" t="s"/>
      <c r="R2420" s="62" t="s"/>
    </row>
    <row r="2421" spans="1:18" ht="15.75" customHeight="true">
      <c r="A2421" s="107" t="s"/>
      <c r="B2421" s="62" t="s"/>
      <c r="C2421" s="62" t="s"/>
      <c r="D2421" s="62" t="s"/>
      <c r="E2421" s="62" t="s"/>
      <c r="F2421" s="66" t="s"/>
      <c r="G2421" s="66" t="s"/>
      <c r="H2421" s="66" t="s"/>
      <c r="I2421" s="62" t="s"/>
      <c r="J2421" s="62" t="s"/>
      <c r="K2421" s="99" t="s"/>
      <c r="L2421" s="66" t="s"/>
      <c r="M2421" s="66" t="s"/>
      <c r="N2421" s="572" t="s"/>
      <c r="O2421" s="62" t="s"/>
      <c r="P2421" s="62" t="s"/>
      <c r="Q2421" s="62" t="s"/>
      <c r="R2421" s="62" t="s"/>
    </row>
    <row r="2422" spans="1:18" ht="15.75" customHeight="true">
      <c r="A2422" s="107" t="s"/>
      <c r="B2422" s="62" t="s"/>
      <c r="C2422" s="62" t="s"/>
      <c r="D2422" s="62" t="s"/>
      <c r="E2422" s="62" t="s"/>
      <c r="F2422" s="66" t="s"/>
      <c r="G2422" s="66" t="s"/>
      <c r="H2422" s="66" t="s"/>
      <c r="I2422" s="62" t="s"/>
      <c r="J2422" s="62" t="s"/>
      <c r="K2422" s="99" t="s"/>
      <c r="L2422" s="66" t="s"/>
      <c r="M2422" s="66" t="s"/>
      <c r="N2422" s="572" t="s"/>
      <c r="O2422" s="62" t="s"/>
      <c r="P2422" s="62" t="s"/>
      <c r="Q2422" s="62" t="s"/>
      <c r="R2422" s="62" t="s"/>
    </row>
    <row r="2423" spans="1:18" ht="15.75" customHeight="true">
      <c r="A2423" s="107" t="s"/>
      <c r="B2423" s="62" t="s"/>
      <c r="C2423" s="62" t="s"/>
      <c r="D2423" s="62" t="s"/>
      <c r="E2423" s="62" t="s"/>
      <c r="F2423" s="66" t="s"/>
      <c r="G2423" s="66" t="s"/>
      <c r="H2423" s="66" t="s"/>
      <c r="I2423" s="62" t="s"/>
      <c r="J2423" s="62" t="s"/>
      <c r="K2423" s="99" t="s"/>
      <c r="L2423" s="66" t="s"/>
      <c r="M2423" s="66" t="s"/>
      <c r="N2423" s="572" t="s"/>
      <c r="O2423" s="62" t="s"/>
      <c r="P2423" s="62" t="s"/>
      <c r="Q2423" s="62" t="s"/>
      <c r="R2423" s="62" t="s"/>
    </row>
    <row r="2424" spans="1:18" ht="15.75" customHeight="true">
      <c r="A2424" s="107" t="s"/>
      <c r="B2424" s="62" t="s"/>
      <c r="C2424" s="62" t="s"/>
      <c r="D2424" s="62" t="s"/>
      <c r="E2424" s="62" t="s"/>
      <c r="F2424" s="66" t="s"/>
      <c r="G2424" s="66" t="s"/>
      <c r="H2424" s="66" t="s"/>
      <c r="I2424" s="62" t="s"/>
      <c r="J2424" s="62" t="s"/>
      <c r="K2424" s="99" t="s"/>
      <c r="L2424" s="66" t="s"/>
      <c r="M2424" s="66" t="s"/>
      <c r="N2424" s="572" t="s"/>
      <c r="O2424" s="62" t="s"/>
      <c r="P2424" s="62" t="s"/>
      <c r="Q2424" s="62" t="s"/>
      <c r="R2424" s="62" t="s"/>
    </row>
    <row r="2425" spans="1:18" ht="15.75" customHeight="true">
      <c r="A2425" s="107" t="s"/>
      <c r="B2425" s="62" t="s"/>
      <c r="C2425" s="62" t="s"/>
      <c r="D2425" s="62" t="s"/>
      <c r="E2425" s="62" t="s"/>
      <c r="F2425" s="66" t="s"/>
      <c r="G2425" s="66" t="s"/>
      <c r="H2425" s="66" t="s"/>
      <c r="I2425" s="62" t="s"/>
      <c r="J2425" s="62" t="s"/>
      <c r="K2425" s="99" t="s"/>
      <c r="L2425" s="66" t="s"/>
      <c r="M2425" s="66" t="s"/>
      <c r="N2425" s="572" t="s"/>
      <c r="O2425" s="62" t="s"/>
      <c r="P2425" s="62" t="s"/>
      <c r="Q2425" s="62" t="s"/>
      <c r="R2425" s="62" t="s"/>
    </row>
    <row r="2426" spans="1:18" ht="15.75" customHeight="true">
      <c r="A2426" s="107" t="s"/>
      <c r="B2426" s="62" t="s"/>
      <c r="C2426" s="62" t="s"/>
      <c r="D2426" s="62" t="s"/>
      <c r="E2426" s="62" t="s"/>
      <c r="F2426" s="66" t="s"/>
      <c r="G2426" s="66" t="s"/>
      <c r="H2426" s="66" t="s"/>
      <c r="I2426" s="62" t="s"/>
      <c r="J2426" s="62" t="s"/>
      <c r="K2426" s="99" t="s"/>
      <c r="L2426" s="66" t="s"/>
      <c r="M2426" s="66" t="s"/>
      <c r="N2426" s="572" t="s"/>
      <c r="O2426" s="62" t="s"/>
      <c r="P2426" s="62" t="s"/>
      <c r="Q2426" s="62" t="s"/>
      <c r="R2426" s="62" t="s"/>
    </row>
    <row r="2427" spans="1:18" ht="15.75" customHeight="true">
      <c r="A2427" s="107" t="s"/>
      <c r="B2427" s="62" t="s"/>
      <c r="C2427" s="62" t="s"/>
      <c r="D2427" s="62" t="s"/>
      <c r="E2427" s="62" t="s"/>
      <c r="F2427" s="66" t="s"/>
      <c r="G2427" s="66" t="s"/>
      <c r="H2427" s="66" t="s"/>
      <c r="I2427" s="62" t="s"/>
      <c r="J2427" s="62" t="s"/>
      <c r="K2427" s="99" t="s"/>
      <c r="L2427" s="66" t="s"/>
      <c r="M2427" s="66" t="s"/>
      <c r="N2427" s="572" t="s"/>
      <c r="O2427" s="62" t="s"/>
      <c r="P2427" s="62" t="s"/>
      <c r="Q2427" s="62" t="s"/>
      <c r="R2427" s="62" t="s"/>
    </row>
    <row r="2428" spans="1:18" ht="15.75" customHeight="true">
      <c r="A2428" s="107" t="s"/>
      <c r="B2428" s="62" t="s"/>
      <c r="C2428" s="62" t="s"/>
      <c r="D2428" s="62" t="s"/>
      <c r="E2428" s="62" t="s"/>
      <c r="F2428" s="66" t="s"/>
      <c r="G2428" s="66" t="s"/>
      <c r="H2428" s="66" t="s"/>
      <c r="I2428" s="62" t="s"/>
      <c r="J2428" s="62" t="s"/>
      <c r="K2428" s="99" t="s"/>
      <c r="L2428" s="66" t="s"/>
      <c r="M2428" s="66" t="s"/>
      <c r="N2428" s="572" t="s"/>
      <c r="O2428" s="62" t="s"/>
      <c r="P2428" s="62" t="s"/>
      <c r="Q2428" s="62" t="s"/>
      <c r="R2428" s="62" t="s"/>
    </row>
    <row r="2429" spans="1:18" ht="15.75" customHeight="true">
      <c r="A2429" s="107" t="s"/>
      <c r="B2429" s="62" t="s"/>
      <c r="C2429" s="62" t="s"/>
      <c r="D2429" s="62" t="s"/>
      <c r="E2429" s="62" t="s"/>
      <c r="F2429" s="66" t="s"/>
      <c r="G2429" s="66" t="s"/>
      <c r="H2429" s="66" t="s"/>
      <c r="I2429" s="62" t="s"/>
      <c r="J2429" s="62" t="s"/>
      <c r="K2429" s="99" t="s"/>
      <c r="L2429" s="66" t="s"/>
      <c r="M2429" s="66" t="s"/>
      <c r="N2429" s="572" t="s"/>
      <c r="O2429" s="62" t="s"/>
      <c r="P2429" s="62" t="s"/>
      <c r="Q2429" s="62" t="s"/>
      <c r="R2429" s="62" t="s"/>
    </row>
    <row r="2430" spans="1:18" ht="15.75" customHeight="true">
      <c r="A2430" s="107" t="s"/>
      <c r="B2430" s="62" t="s"/>
      <c r="C2430" s="62" t="s"/>
      <c r="D2430" s="62" t="s"/>
      <c r="E2430" s="62" t="s"/>
      <c r="F2430" s="66" t="s"/>
      <c r="G2430" s="66" t="s"/>
      <c r="H2430" s="66" t="s"/>
      <c r="I2430" s="62" t="s"/>
      <c r="J2430" s="62" t="s"/>
      <c r="K2430" s="99" t="s"/>
      <c r="L2430" s="66" t="s"/>
      <c r="M2430" s="66" t="s"/>
      <c r="N2430" s="572" t="s"/>
      <c r="O2430" s="62" t="s"/>
      <c r="P2430" s="62" t="s"/>
      <c r="Q2430" s="62" t="s"/>
      <c r="R2430" s="62" t="s"/>
    </row>
    <row r="2431" spans="1:18" ht="15.75" customHeight="true">
      <c r="A2431" s="107" t="s"/>
      <c r="B2431" s="62" t="s"/>
      <c r="C2431" s="62" t="s"/>
      <c r="D2431" s="62" t="s"/>
      <c r="E2431" s="62" t="s"/>
      <c r="F2431" s="66" t="s"/>
      <c r="G2431" s="66" t="s"/>
      <c r="H2431" s="66" t="s"/>
      <c r="I2431" s="62" t="s"/>
      <c r="J2431" s="62" t="s"/>
      <c r="K2431" s="99" t="s"/>
      <c r="L2431" s="66" t="s"/>
      <c r="M2431" s="66" t="s"/>
      <c r="N2431" s="572" t="s"/>
      <c r="O2431" s="62" t="s"/>
      <c r="P2431" s="62" t="s"/>
      <c r="Q2431" s="62" t="s"/>
      <c r="R2431" s="62" t="s"/>
    </row>
    <row r="2432" spans="1:18" ht="15.75" customHeight="true">
      <c r="A2432" s="107" t="s"/>
      <c r="B2432" s="62" t="s"/>
      <c r="C2432" s="62" t="s"/>
      <c r="D2432" s="62" t="s"/>
      <c r="E2432" s="62" t="s"/>
      <c r="F2432" s="66" t="s"/>
      <c r="G2432" s="66" t="s"/>
      <c r="H2432" s="66" t="s"/>
      <c r="I2432" s="62" t="s"/>
      <c r="J2432" s="62" t="s"/>
      <c r="K2432" s="99" t="s"/>
      <c r="L2432" s="66" t="s"/>
      <c r="M2432" s="66" t="s"/>
      <c r="N2432" s="572" t="s"/>
      <c r="O2432" s="62" t="s"/>
      <c r="P2432" s="62" t="s"/>
      <c r="Q2432" s="62" t="s"/>
      <c r="R2432" s="62" t="s"/>
    </row>
    <row r="2433" spans="1:18" ht="15.75" customHeight="true">
      <c r="A2433" s="107" t="s"/>
      <c r="B2433" s="62" t="s"/>
      <c r="C2433" s="62" t="s"/>
      <c r="D2433" s="62" t="s"/>
      <c r="E2433" s="62" t="s"/>
      <c r="F2433" s="66" t="s"/>
      <c r="G2433" s="66" t="s"/>
      <c r="H2433" s="66" t="s"/>
      <c r="I2433" s="62" t="s"/>
      <c r="J2433" s="62" t="s"/>
      <c r="K2433" s="99" t="s"/>
      <c r="L2433" s="66" t="s"/>
      <c r="M2433" s="66" t="s"/>
      <c r="N2433" s="572" t="s"/>
      <c r="O2433" s="62" t="s"/>
      <c r="P2433" s="62" t="s"/>
      <c r="Q2433" s="62" t="s"/>
      <c r="R2433" s="62" t="s"/>
    </row>
    <row r="2434" spans="1:18" ht="15.75" customHeight="true">
      <c r="A2434" s="107" t="s"/>
      <c r="B2434" s="62" t="s"/>
      <c r="C2434" s="62" t="s"/>
      <c r="D2434" s="62" t="s"/>
      <c r="E2434" s="62" t="s"/>
      <c r="F2434" s="66" t="s"/>
      <c r="G2434" s="66" t="s"/>
      <c r="H2434" s="66" t="s"/>
      <c r="I2434" s="62" t="s"/>
      <c r="J2434" s="62" t="s"/>
      <c r="K2434" s="99" t="s"/>
      <c r="L2434" s="66" t="s"/>
      <c r="M2434" s="66" t="s"/>
      <c r="N2434" s="572" t="s"/>
      <c r="O2434" s="62" t="s"/>
      <c r="P2434" s="62" t="s"/>
      <c r="Q2434" s="62" t="s"/>
      <c r="R2434" s="62" t="s"/>
    </row>
    <row r="2435" spans="1:18" ht="15.75" customHeight="true">
      <c r="A2435" s="107" t="s"/>
      <c r="B2435" s="62" t="s"/>
      <c r="C2435" s="62" t="s"/>
      <c r="D2435" s="62" t="s"/>
      <c r="E2435" s="62" t="s"/>
      <c r="F2435" s="66" t="s"/>
      <c r="G2435" s="66" t="s"/>
      <c r="H2435" s="66" t="s"/>
      <c r="I2435" s="62" t="s"/>
      <c r="J2435" s="62" t="s"/>
      <c r="K2435" s="99" t="s"/>
      <c r="L2435" s="66" t="s"/>
      <c r="M2435" s="66" t="s"/>
      <c r="N2435" s="572" t="s"/>
      <c r="O2435" s="62" t="s"/>
      <c r="P2435" s="62" t="s"/>
      <c r="Q2435" s="62" t="s"/>
      <c r="R2435" s="62" t="s"/>
    </row>
    <row r="2436" spans="1:18" ht="15.75" customHeight="true">
      <c r="A2436" s="107" t="s"/>
      <c r="B2436" s="62" t="s"/>
      <c r="C2436" s="62" t="s"/>
      <c r="D2436" s="62" t="s"/>
      <c r="E2436" s="62" t="s"/>
      <c r="F2436" s="66" t="s"/>
      <c r="G2436" s="66" t="s"/>
      <c r="H2436" s="66" t="s"/>
      <c r="I2436" s="62" t="s"/>
      <c r="J2436" s="62" t="s"/>
      <c r="K2436" s="99" t="s"/>
      <c r="L2436" s="66" t="s"/>
      <c r="M2436" s="66" t="s"/>
      <c r="N2436" s="572" t="s"/>
      <c r="O2436" s="62" t="s"/>
      <c r="P2436" s="62" t="s"/>
      <c r="Q2436" s="62" t="s"/>
      <c r="R2436" s="62" t="s"/>
    </row>
    <row r="2437" spans="1:18" ht="15.75" customHeight="true">
      <c r="A2437" s="107" t="s"/>
      <c r="B2437" s="62" t="s"/>
      <c r="C2437" s="62" t="s"/>
      <c r="D2437" s="62" t="s"/>
      <c r="E2437" s="62" t="s"/>
      <c r="F2437" s="66" t="s"/>
      <c r="G2437" s="66" t="s"/>
      <c r="H2437" s="66" t="s"/>
      <c r="I2437" s="62" t="s"/>
      <c r="J2437" s="62" t="s"/>
      <c r="K2437" s="99" t="s"/>
      <c r="L2437" s="66" t="s"/>
      <c r="M2437" s="66" t="s"/>
      <c r="N2437" s="572" t="s"/>
      <c r="O2437" s="62" t="s"/>
      <c r="P2437" s="62" t="s"/>
      <c r="Q2437" s="62" t="s"/>
      <c r="R2437" s="62" t="s"/>
    </row>
    <row r="2438" spans="1:18" ht="15.75" customHeight="true">
      <c r="A2438" s="107" t="s"/>
      <c r="B2438" s="62" t="s"/>
      <c r="C2438" s="62" t="s"/>
      <c r="D2438" s="62" t="s"/>
      <c r="E2438" s="62" t="s"/>
      <c r="F2438" s="66" t="s"/>
      <c r="G2438" s="66" t="s"/>
      <c r="H2438" s="66" t="s"/>
      <c r="I2438" s="62" t="s"/>
      <c r="J2438" s="62" t="s"/>
      <c r="K2438" s="99" t="s"/>
      <c r="L2438" s="66" t="s"/>
      <c r="M2438" s="66" t="s"/>
      <c r="N2438" s="572" t="s"/>
      <c r="O2438" s="62" t="s"/>
      <c r="P2438" s="62" t="s"/>
      <c r="Q2438" s="62" t="s"/>
      <c r="R2438" s="62" t="s"/>
    </row>
    <row r="2439" spans="1:18" ht="15.75" customHeight="true">
      <c r="A2439" s="107" t="s"/>
      <c r="B2439" s="62" t="s"/>
      <c r="C2439" s="62" t="s"/>
      <c r="D2439" s="62" t="s"/>
      <c r="E2439" s="62" t="s"/>
      <c r="F2439" s="66" t="s"/>
      <c r="G2439" s="66" t="s"/>
      <c r="H2439" s="66" t="s"/>
      <c r="I2439" s="62" t="s"/>
      <c r="J2439" s="62" t="s"/>
      <c r="K2439" s="99" t="s"/>
      <c r="L2439" s="66" t="s"/>
      <c r="M2439" s="66" t="s"/>
      <c r="N2439" s="572" t="s"/>
      <c r="O2439" s="62" t="s"/>
      <c r="P2439" s="62" t="s"/>
      <c r="Q2439" s="62" t="s"/>
      <c r="R2439" s="62" t="s"/>
    </row>
    <row r="2440" spans="1:18" ht="15.75" customHeight="true">
      <c r="A2440" s="107" t="s"/>
      <c r="B2440" s="62" t="s"/>
      <c r="C2440" s="62" t="s"/>
      <c r="D2440" s="62" t="s"/>
      <c r="E2440" s="62" t="s"/>
      <c r="F2440" s="66" t="s"/>
      <c r="G2440" s="66" t="s"/>
      <c r="H2440" s="66" t="s"/>
      <c r="I2440" s="62" t="s"/>
      <c r="J2440" s="62" t="s"/>
      <c r="K2440" s="99" t="s"/>
      <c r="L2440" s="66" t="s"/>
      <c r="M2440" s="66" t="s"/>
      <c r="N2440" s="572" t="s"/>
      <c r="O2440" s="62" t="s"/>
      <c r="P2440" s="62" t="s"/>
      <c r="Q2440" s="62" t="s"/>
      <c r="R2440" s="62" t="s"/>
    </row>
    <row r="2441" spans="1:18" ht="15.75" customHeight="true">
      <c r="A2441" s="107" t="s"/>
      <c r="B2441" s="62" t="s"/>
      <c r="C2441" s="62" t="s"/>
      <c r="D2441" s="62" t="s"/>
      <c r="E2441" s="62" t="s"/>
      <c r="F2441" s="66" t="s"/>
      <c r="G2441" s="66" t="s"/>
      <c r="H2441" s="66" t="s"/>
      <c r="I2441" s="62" t="s"/>
      <c r="J2441" s="62" t="s"/>
      <c r="K2441" s="99" t="s"/>
      <c r="L2441" s="66" t="s"/>
      <c r="M2441" s="66" t="s"/>
      <c r="N2441" s="572" t="s"/>
      <c r="O2441" s="62" t="s"/>
      <c r="P2441" s="62" t="s"/>
      <c r="Q2441" s="62" t="s"/>
      <c r="R2441" s="62" t="s"/>
    </row>
    <row r="2442" spans="1:18" ht="15.75" customHeight="true">
      <c r="A2442" s="107" t="s"/>
      <c r="B2442" s="62" t="s"/>
      <c r="C2442" s="62" t="s"/>
      <c r="D2442" s="62" t="s"/>
      <c r="E2442" s="62" t="s"/>
      <c r="F2442" s="66" t="s"/>
      <c r="G2442" s="66" t="s"/>
      <c r="H2442" s="66" t="s"/>
      <c r="I2442" s="62" t="s"/>
      <c r="J2442" s="62" t="s"/>
      <c r="K2442" s="99" t="s"/>
      <c r="L2442" s="66" t="s"/>
      <c r="M2442" s="66" t="s"/>
      <c r="N2442" s="572" t="s"/>
      <c r="O2442" s="62" t="s"/>
      <c r="P2442" s="62" t="s"/>
      <c r="Q2442" s="62" t="s"/>
      <c r="R2442" s="62" t="s"/>
    </row>
    <row r="2443" spans="1:18" ht="15.75" customHeight="true">
      <c r="A2443" s="107" t="s"/>
      <c r="B2443" s="62" t="s"/>
      <c r="C2443" s="62" t="s"/>
      <c r="D2443" s="62" t="s"/>
      <c r="E2443" s="62" t="s"/>
      <c r="F2443" s="66" t="s"/>
      <c r="G2443" s="66" t="s"/>
      <c r="H2443" s="66" t="s"/>
      <c r="I2443" s="62" t="s"/>
      <c r="J2443" s="62" t="s"/>
      <c r="K2443" s="99" t="s"/>
      <c r="L2443" s="66" t="s"/>
      <c r="M2443" s="66" t="s"/>
      <c r="N2443" s="572" t="s"/>
      <c r="O2443" s="62" t="s"/>
      <c r="P2443" s="62" t="s"/>
      <c r="Q2443" s="62" t="s"/>
      <c r="R2443" s="62" t="s"/>
    </row>
    <row r="2444" spans="1:18" ht="15.75" customHeight="true">
      <c r="A2444" s="107" t="s"/>
      <c r="B2444" s="62" t="s"/>
      <c r="C2444" s="62" t="s"/>
      <c r="D2444" s="62" t="s"/>
      <c r="E2444" s="62" t="s"/>
      <c r="F2444" s="66" t="s"/>
      <c r="G2444" s="66" t="s"/>
      <c r="H2444" s="66" t="s"/>
      <c r="I2444" s="62" t="s"/>
      <c r="J2444" s="62" t="s"/>
      <c r="K2444" s="99" t="s"/>
      <c r="L2444" s="66" t="s"/>
      <c r="M2444" s="66" t="s"/>
      <c r="N2444" s="572" t="s"/>
      <c r="O2444" s="62" t="s"/>
      <c r="P2444" s="62" t="s"/>
      <c r="Q2444" s="62" t="s"/>
      <c r="R2444" s="62" t="s"/>
    </row>
    <row r="2445" spans="1:18" ht="15.75" customHeight="true">
      <c r="A2445" s="107" t="s"/>
      <c r="B2445" s="62" t="s"/>
      <c r="C2445" s="62" t="s"/>
      <c r="D2445" s="62" t="s"/>
      <c r="E2445" s="62" t="s"/>
      <c r="F2445" s="66" t="s"/>
      <c r="G2445" s="66" t="s"/>
      <c r="H2445" s="66" t="s"/>
      <c r="I2445" s="62" t="s"/>
      <c r="J2445" s="62" t="s"/>
      <c r="K2445" s="99" t="s"/>
      <c r="L2445" s="66" t="s"/>
      <c r="M2445" s="66" t="s"/>
      <c r="N2445" s="572" t="s"/>
      <c r="O2445" s="62" t="s"/>
      <c r="P2445" s="62" t="s"/>
      <c r="Q2445" s="62" t="s"/>
      <c r="R2445" s="62" t="s"/>
    </row>
    <row r="2446" spans="1:18" ht="15.75" customHeight="true">
      <c r="A2446" s="107" t="s"/>
      <c r="B2446" s="62" t="s"/>
      <c r="C2446" s="62" t="s"/>
      <c r="D2446" s="62" t="s"/>
      <c r="E2446" s="62" t="s"/>
      <c r="F2446" s="66" t="s"/>
      <c r="G2446" s="66" t="s"/>
      <c r="H2446" s="66" t="s"/>
      <c r="I2446" s="62" t="s"/>
      <c r="J2446" s="62" t="s"/>
      <c r="K2446" s="99" t="s"/>
      <c r="L2446" s="66" t="s"/>
      <c r="M2446" s="66" t="s"/>
      <c r="N2446" s="572" t="s"/>
      <c r="O2446" s="62" t="s"/>
      <c r="P2446" s="62" t="s"/>
      <c r="Q2446" s="62" t="s"/>
      <c r="R2446" s="62" t="s"/>
    </row>
    <row r="2447" spans="1:18" ht="15.75" customHeight="true">
      <c r="A2447" s="107" t="s"/>
      <c r="B2447" s="62" t="s"/>
      <c r="C2447" s="62" t="s"/>
      <c r="D2447" s="62" t="s"/>
      <c r="E2447" s="62" t="s"/>
      <c r="F2447" s="66" t="s"/>
      <c r="G2447" s="66" t="s"/>
      <c r="H2447" s="66" t="s"/>
      <c r="I2447" s="62" t="s"/>
      <c r="J2447" s="62" t="s"/>
      <c r="K2447" s="99" t="s"/>
      <c r="L2447" s="66" t="s"/>
      <c r="M2447" s="66" t="s"/>
      <c r="N2447" s="572" t="s"/>
      <c r="O2447" s="62" t="s"/>
      <c r="P2447" s="62" t="s"/>
      <c r="Q2447" s="62" t="s"/>
      <c r="R2447" s="62" t="s"/>
    </row>
    <row r="2448" spans="1:18" ht="15.75" customHeight="true">
      <c r="A2448" s="107" t="s"/>
      <c r="B2448" s="62" t="s"/>
      <c r="C2448" s="62" t="s"/>
      <c r="D2448" s="62" t="s"/>
      <c r="E2448" s="62" t="s"/>
      <c r="F2448" s="66" t="s"/>
      <c r="G2448" s="66" t="s"/>
      <c r="H2448" s="66" t="s"/>
      <c r="I2448" s="62" t="s"/>
      <c r="J2448" s="62" t="s"/>
      <c r="K2448" s="99" t="s"/>
      <c r="L2448" s="66" t="s"/>
      <c r="M2448" s="66" t="s"/>
      <c r="N2448" s="572" t="s"/>
      <c r="O2448" s="62" t="s"/>
      <c r="P2448" s="62" t="s"/>
      <c r="Q2448" s="62" t="s"/>
      <c r="R2448" s="62" t="s"/>
    </row>
    <row r="2449" spans="1:18" ht="15.75" customHeight="true">
      <c r="A2449" s="107" t="s"/>
      <c r="B2449" s="62" t="s"/>
      <c r="C2449" s="62" t="s"/>
      <c r="D2449" s="62" t="s"/>
      <c r="E2449" s="62" t="s"/>
      <c r="F2449" s="66" t="s"/>
      <c r="G2449" s="66" t="s"/>
      <c r="H2449" s="66" t="s"/>
      <c r="I2449" s="62" t="s"/>
      <c r="J2449" s="62" t="s"/>
      <c r="K2449" s="99" t="s"/>
      <c r="L2449" s="66" t="s"/>
      <c r="M2449" s="66" t="s"/>
      <c r="N2449" s="572" t="s"/>
      <c r="O2449" s="62" t="s"/>
      <c r="P2449" s="62" t="s"/>
      <c r="Q2449" s="62" t="s"/>
      <c r="R2449" s="62" t="s"/>
    </row>
    <row r="2450" spans="1:18" ht="15.75" customHeight="true">
      <c r="A2450" s="107" t="s"/>
      <c r="B2450" s="62" t="s"/>
      <c r="C2450" s="62" t="s"/>
      <c r="D2450" s="62" t="s"/>
      <c r="E2450" s="62" t="s"/>
      <c r="F2450" s="66" t="s"/>
      <c r="G2450" s="66" t="s"/>
      <c r="H2450" s="66" t="s"/>
      <c r="I2450" s="62" t="s"/>
      <c r="J2450" s="62" t="s"/>
      <c r="K2450" s="99" t="s"/>
      <c r="L2450" s="66" t="s"/>
      <c r="M2450" s="66" t="s"/>
      <c r="N2450" s="572" t="s"/>
      <c r="O2450" s="62" t="s"/>
      <c r="P2450" s="62" t="s"/>
      <c r="Q2450" s="62" t="s"/>
      <c r="R2450" s="62" t="s"/>
    </row>
    <row r="2451" spans="1:18" ht="15.75" customHeight="true">
      <c r="A2451" s="107" t="s"/>
      <c r="B2451" s="62" t="s"/>
      <c r="C2451" s="62" t="s"/>
      <c r="D2451" s="62" t="s"/>
      <c r="E2451" s="62" t="s"/>
      <c r="F2451" s="66" t="s"/>
      <c r="G2451" s="66" t="s"/>
      <c r="H2451" s="66" t="s"/>
      <c r="I2451" s="62" t="s"/>
      <c r="J2451" s="62" t="s"/>
      <c r="K2451" s="99" t="s"/>
      <c r="L2451" s="66" t="s"/>
      <c r="M2451" s="66" t="s"/>
      <c r="N2451" s="572" t="s"/>
      <c r="O2451" s="62" t="s"/>
      <c r="P2451" s="62" t="s"/>
      <c r="Q2451" s="62" t="s"/>
      <c r="R2451" s="62" t="s"/>
    </row>
    <row r="2452" spans="1:18" ht="15.75" customHeight="true">
      <c r="A2452" s="107" t="s"/>
      <c r="B2452" s="62" t="s"/>
      <c r="C2452" s="62" t="s"/>
      <c r="D2452" s="62" t="s"/>
      <c r="E2452" s="62" t="s"/>
      <c r="F2452" s="66" t="s"/>
      <c r="G2452" s="66" t="s"/>
      <c r="H2452" s="66" t="s"/>
      <c r="I2452" s="62" t="s"/>
      <c r="J2452" s="62" t="s"/>
      <c r="K2452" s="99" t="s"/>
      <c r="L2452" s="66" t="s"/>
      <c r="M2452" s="66" t="s"/>
      <c r="N2452" s="572" t="s"/>
      <c r="O2452" s="62" t="s"/>
      <c r="P2452" s="62" t="s"/>
      <c r="Q2452" s="62" t="s"/>
      <c r="R2452" s="62" t="s"/>
    </row>
    <row r="2453" spans="1:18" ht="15.75" customHeight="true">
      <c r="A2453" s="107" t="s"/>
      <c r="B2453" s="62" t="s"/>
      <c r="C2453" s="62" t="s"/>
      <c r="D2453" s="62" t="s"/>
      <c r="E2453" s="62" t="s"/>
      <c r="F2453" s="66" t="s"/>
      <c r="G2453" s="66" t="s"/>
      <c r="H2453" s="66" t="s"/>
      <c r="I2453" s="62" t="s"/>
      <c r="J2453" s="62" t="s"/>
      <c r="K2453" s="99" t="s"/>
      <c r="L2453" s="66" t="s"/>
      <c r="M2453" s="66" t="s"/>
      <c r="N2453" s="572" t="s"/>
      <c r="O2453" s="62" t="s"/>
      <c r="P2453" s="62" t="s"/>
      <c r="Q2453" s="62" t="s"/>
      <c r="R2453" s="62" t="s"/>
    </row>
    <row r="2454" spans="1:18" ht="15.75" customHeight="true">
      <c r="A2454" s="107" t="s"/>
      <c r="B2454" s="62" t="s"/>
      <c r="C2454" s="62" t="s"/>
      <c r="D2454" s="62" t="s"/>
      <c r="E2454" s="62" t="s"/>
      <c r="F2454" s="66" t="s"/>
      <c r="G2454" s="66" t="s"/>
      <c r="H2454" s="66" t="s"/>
      <c r="I2454" s="62" t="s"/>
      <c r="J2454" s="62" t="s"/>
      <c r="K2454" s="99" t="s"/>
      <c r="L2454" s="66" t="s"/>
      <c r="M2454" s="66" t="s"/>
      <c r="N2454" s="572" t="s"/>
      <c r="O2454" s="62" t="s"/>
      <c r="P2454" s="62" t="s"/>
      <c r="Q2454" s="62" t="s"/>
      <c r="R2454" s="62" t="s"/>
    </row>
    <row r="2455" spans="1:18" ht="15.75" customHeight="true">
      <c r="A2455" s="107" t="s"/>
      <c r="B2455" s="62" t="s"/>
      <c r="C2455" s="62" t="s"/>
      <c r="D2455" s="62" t="s"/>
      <c r="E2455" s="62" t="s"/>
      <c r="F2455" s="66" t="s"/>
      <c r="G2455" s="66" t="s"/>
      <c r="H2455" s="66" t="s"/>
      <c r="I2455" s="62" t="s"/>
      <c r="J2455" s="62" t="s"/>
      <c r="K2455" s="99" t="s"/>
      <c r="L2455" s="66" t="s"/>
      <c r="M2455" s="66" t="s"/>
      <c r="N2455" s="572" t="s"/>
      <c r="O2455" s="62" t="s"/>
      <c r="P2455" s="62" t="s"/>
      <c r="Q2455" s="62" t="s"/>
      <c r="R2455" s="62" t="s"/>
    </row>
    <row r="2456" spans="1:18" ht="15.75" customHeight="true">
      <c r="A2456" s="107" t="s"/>
      <c r="B2456" s="62" t="s"/>
      <c r="C2456" s="62" t="s"/>
      <c r="D2456" s="62" t="s"/>
      <c r="E2456" s="62" t="s"/>
      <c r="F2456" s="66" t="s"/>
      <c r="G2456" s="66" t="s"/>
      <c r="H2456" s="66" t="s"/>
      <c r="I2456" s="62" t="s"/>
      <c r="J2456" s="62" t="s"/>
      <c r="K2456" s="99" t="s"/>
      <c r="L2456" s="66" t="s"/>
      <c r="M2456" s="66" t="s"/>
      <c r="N2456" s="572" t="s"/>
      <c r="O2456" s="62" t="s"/>
      <c r="P2456" s="62" t="s"/>
      <c r="Q2456" s="62" t="s"/>
      <c r="R2456" s="62" t="s"/>
    </row>
    <row r="2457" spans="1:18" ht="15.75" customHeight="true">
      <c r="A2457" s="107" t="s"/>
      <c r="B2457" s="62" t="s"/>
      <c r="C2457" s="62" t="s"/>
      <c r="D2457" s="62" t="s"/>
      <c r="E2457" s="62" t="s"/>
      <c r="F2457" s="66" t="s"/>
      <c r="G2457" s="66" t="s"/>
      <c r="H2457" s="66" t="s"/>
      <c r="I2457" s="62" t="s"/>
      <c r="J2457" s="62" t="s"/>
      <c r="K2457" s="99" t="s"/>
      <c r="L2457" s="66" t="s"/>
      <c r="M2457" s="66" t="s"/>
      <c r="N2457" s="572" t="s"/>
      <c r="O2457" s="62" t="s"/>
      <c r="P2457" s="62" t="s"/>
      <c r="Q2457" s="62" t="s"/>
      <c r="R2457" s="62" t="s"/>
    </row>
    <row r="2458" spans="1:18" ht="15.75" customHeight="true">
      <c r="A2458" s="107" t="s"/>
      <c r="B2458" s="62" t="s"/>
      <c r="C2458" s="62" t="s"/>
      <c r="D2458" s="62" t="s"/>
      <c r="E2458" s="62" t="s"/>
      <c r="F2458" s="66" t="s"/>
      <c r="G2458" s="66" t="s"/>
      <c r="H2458" s="66" t="s"/>
      <c r="I2458" s="62" t="s"/>
      <c r="J2458" s="62" t="s"/>
      <c r="K2458" s="99" t="s"/>
      <c r="L2458" s="66" t="s"/>
      <c r="M2458" s="66" t="s"/>
      <c r="N2458" s="572" t="s"/>
      <c r="O2458" s="62" t="s"/>
      <c r="P2458" s="62" t="s"/>
      <c r="Q2458" s="62" t="s"/>
      <c r="R2458" s="62" t="s"/>
    </row>
    <row r="2459" spans="1:18" ht="15.75" customHeight="true">
      <c r="A2459" s="107" t="s"/>
      <c r="B2459" s="62" t="s"/>
      <c r="C2459" s="62" t="s"/>
      <c r="D2459" s="62" t="s"/>
      <c r="E2459" s="62" t="s"/>
      <c r="F2459" s="66" t="s"/>
      <c r="G2459" s="66" t="s"/>
      <c r="H2459" s="66" t="s"/>
      <c r="I2459" s="62" t="s"/>
      <c r="J2459" s="62" t="s"/>
      <c r="K2459" s="99" t="s"/>
      <c r="L2459" s="66" t="s"/>
      <c r="M2459" s="66" t="s"/>
      <c r="N2459" s="572" t="s"/>
      <c r="O2459" s="62" t="s"/>
      <c r="P2459" s="62" t="s"/>
      <c r="Q2459" s="62" t="s"/>
      <c r="R2459" s="62" t="s"/>
    </row>
    <row r="2460" spans="1:18" ht="15.75" customHeight="true">
      <c r="A2460" s="107" t="s"/>
      <c r="B2460" s="62" t="s"/>
      <c r="C2460" s="62" t="s"/>
      <c r="D2460" s="62" t="s"/>
      <c r="E2460" s="62" t="s"/>
      <c r="F2460" s="66" t="s"/>
      <c r="G2460" s="66" t="s"/>
      <c r="H2460" s="66" t="s"/>
      <c r="I2460" s="62" t="s"/>
      <c r="J2460" s="62" t="s"/>
      <c r="K2460" s="99" t="s"/>
      <c r="L2460" s="66" t="s"/>
      <c r="M2460" s="66" t="s"/>
      <c r="N2460" s="572" t="s"/>
      <c r="O2460" s="62" t="s"/>
      <c r="P2460" s="62" t="s"/>
      <c r="Q2460" s="62" t="s"/>
      <c r="R2460" s="62" t="s"/>
    </row>
    <row r="2461" spans="1:18" ht="15.75" customHeight="true">
      <c r="A2461" s="107" t="s"/>
      <c r="B2461" s="62" t="s"/>
      <c r="C2461" s="62" t="s"/>
      <c r="D2461" s="62" t="s"/>
      <c r="E2461" s="62" t="s"/>
      <c r="F2461" s="66" t="s"/>
      <c r="G2461" s="66" t="s"/>
      <c r="H2461" s="66" t="s"/>
      <c r="I2461" s="62" t="s"/>
      <c r="J2461" s="62" t="s"/>
      <c r="K2461" s="99" t="s"/>
      <c r="L2461" s="66" t="s"/>
      <c r="M2461" s="66" t="s"/>
      <c r="N2461" s="572" t="s"/>
      <c r="O2461" s="62" t="s"/>
      <c r="P2461" s="62" t="s"/>
      <c r="Q2461" s="62" t="s"/>
      <c r="R2461" s="62" t="s"/>
    </row>
    <row r="2462" spans="1:18" ht="15.75" customHeight="true">
      <c r="A2462" s="107" t="s"/>
      <c r="B2462" s="62" t="s"/>
      <c r="C2462" s="62" t="s"/>
      <c r="D2462" s="62" t="s"/>
      <c r="E2462" s="62" t="s"/>
      <c r="F2462" s="66" t="s"/>
      <c r="G2462" s="66" t="s"/>
      <c r="H2462" s="66" t="s"/>
      <c r="I2462" s="62" t="s"/>
      <c r="J2462" s="62" t="s"/>
      <c r="K2462" s="99" t="s"/>
      <c r="L2462" s="66" t="s"/>
      <c r="M2462" s="66" t="s"/>
      <c r="N2462" s="572" t="s"/>
      <c r="O2462" s="62" t="s"/>
      <c r="P2462" s="62" t="s"/>
      <c r="Q2462" s="62" t="s"/>
      <c r="R2462" s="62" t="s"/>
    </row>
    <row r="2463" spans="1:18" ht="15.75" customHeight="true">
      <c r="A2463" s="107" t="s"/>
      <c r="B2463" s="62" t="s"/>
      <c r="C2463" s="62" t="s"/>
      <c r="D2463" s="62" t="s"/>
      <c r="E2463" s="62" t="s"/>
      <c r="F2463" s="66" t="s"/>
      <c r="G2463" s="66" t="s"/>
      <c r="H2463" s="66" t="s"/>
      <c r="I2463" s="62" t="s"/>
      <c r="J2463" s="62" t="s"/>
      <c r="K2463" s="99" t="s"/>
      <c r="L2463" s="66" t="s"/>
      <c r="M2463" s="66" t="s"/>
      <c r="N2463" s="572" t="s"/>
      <c r="O2463" s="62" t="s"/>
      <c r="P2463" s="62" t="s"/>
      <c r="Q2463" s="62" t="s"/>
      <c r="R2463" s="62" t="s"/>
    </row>
    <row r="2464" spans="1:18" ht="15.75" customHeight="true">
      <c r="A2464" s="107" t="s"/>
      <c r="B2464" s="62" t="s"/>
      <c r="C2464" s="62" t="s"/>
      <c r="D2464" s="62" t="s"/>
      <c r="E2464" s="62" t="s"/>
      <c r="F2464" s="66" t="s"/>
      <c r="G2464" s="66" t="s"/>
      <c r="H2464" s="66" t="s"/>
      <c r="I2464" s="62" t="s"/>
      <c r="J2464" s="62" t="s"/>
      <c r="K2464" s="99" t="s"/>
      <c r="L2464" s="66" t="s"/>
      <c r="M2464" s="66" t="s"/>
      <c r="N2464" s="572" t="s"/>
      <c r="O2464" s="62" t="s"/>
      <c r="P2464" s="62" t="s"/>
      <c r="Q2464" s="62" t="s"/>
      <c r="R2464" s="62" t="s"/>
    </row>
    <row r="2465" spans="1:18" ht="15.75" customHeight="true">
      <c r="A2465" s="107" t="s"/>
      <c r="B2465" s="62" t="s"/>
      <c r="C2465" s="62" t="s"/>
      <c r="D2465" s="62" t="s"/>
      <c r="E2465" s="62" t="s"/>
      <c r="F2465" s="66" t="s"/>
      <c r="G2465" s="66" t="s"/>
      <c r="H2465" s="66" t="s"/>
      <c r="I2465" s="62" t="s"/>
      <c r="J2465" s="62" t="s"/>
      <c r="K2465" s="99" t="s"/>
      <c r="L2465" s="66" t="s"/>
      <c r="M2465" s="66" t="s"/>
      <c r="N2465" s="572" t="s"/>
      <c r="O2465" s="62" t="s"/>
      <c r="P2465" s="62" t="s"/>
      <c r="Q2465" s="62" t="s"/>
      <c r="R2465" s="62" t="s"/>
    </row>
    <row r="2466" spans="1:18" ht="15.75" customHeight="true">
      <c r="A2466" s="107" t="s"/>
      <c r="B2466" s="62" t="s"/>
      <c r="C2466" s="62" t="s"/>
      <c r="D2466" s="62" t="s"/>
      <c r="E2466" s="62" t="s"/>
      <c r="F2466" s="66" t="s"/>
      <c r="G2466" s="66" t="s"/>
      <c r="H2466" s="66" t="s"/>
      <c r="I2466" s="62" t="s"/>
      <c r="J2466" s="62" t="s"/>
      <c r="K2466" s="99" t="s"/>
      <c r="L2466" s="66" t="s"/>
      <c r="M2466" s="66" t="s"/>
      <c r="N2466" s="572" t="s"/>
      <c r="O2466" s="62" t="s"/>
      <c r="P2466" s="62" t="s"/>
      <c r="Q2466" s="62" t="s"/>
      <c r="R2466" s="62" t="s"/>
    </row>
    <row r="2467" spans="1:18" ht="15.75" customHeight="true">
      <c r="A2467" s="107" t="s"/>
      <c r="B2467" s="62" t="s"/>
      <c r="C2467" s="62" t="s"/>
      <c r="D2467" s="62" t="s"/>
      <c r="E2467" s="62" t="s"/>
      <c r="F2467" s="66" t="s"/>
      <c r="G2467" s="66" t="s"/>
      <c r="H2467" s="66" t="s"/>
      <c r="I2467" s="62" t="s"/>
      <c r="J2467" s="62" t="s"/>
      <c r="K2467" s="99" t="s"/>
      <c r="L2467" s="66" t="s"/>
      <c r="M2467" s="66" t="s"/>
      <c r="N2467" s="572" t="s"/>
      <c r="O2467" s="62" t="s"/>
      <c r="P2467" s="62" t="s"/>
      <c r="Q2467" s="62" t="s"/>
      <c r="R2467" s="62" t="s"/>
    </row>
    <row r="2468" spans="1:18" ht="15.75" customHeight="true">
      <c r="A2468" s="107" t="s"/>
      <c r="B2468" s="62" t="s"/>
      <c r="C2468" s="62" t="s"/>
      <c r="D2468" s="62" t="s"/>
      <c r="E2468" s="62" t="s"/>
      <c r="F2468" s="66" t="s"/>
      <c r="G2468" s="66" t="s"/>
      <c r="H2468" s="66" t="s"/>
      <c r="I2468" s="62" t="s"/>
      <c r="J2468" s="62" t="s"/>
      <c r="K2468" s="99" t="s"/>
      <c r="L2468" s="66" t="s"/>
      <c r="M2468" s="66" t="s"/>
      <c r="N2468" s="572" t="s"/>
      <c r="O2468" s="62" t="s"/>
      <c r="P2468" s="62" t="s"/>
      <c r="Q2468" s="62" t="s"/>
      <c r="R2468" s="62" t="s"/>
    </row>
    <row r="2469" spans="1:18" ht="15.75" customHeight="true">
      <c r="A2469" s="107" t="s"/>
      <c r="B2469" s="62" t="s"/>
      <c r="C2469" s="62" t="s"/>
      <c r="D2469" s="62" t="s"/>
      <c r="E2469" s="62" t="s"/>
      <c r="F2469" s="66" t="s"/>
      <c r="G2469" s="66" t="s"/>
      <c r="H2469" s="66" t="s"/>
      <c r="I2469" s="62" t="s"/>
      <c r="J2469" s="62" t="s"/>
      <c r="K2469" s="99" t="s"/>
      <c r="L2469" s="66" t="s"/>
      <c r="M2469" s="66" t="s"/>
      <c r="N2469" s="572" t="s"/>
      <c r="O2469" s="62" t="s"/>
      <c r="P2469" s="62" t="s"/>
      <c r="Q2469" s="62" t="s"/>
      <c r="R2469" s="62" t="s"/>
    </row>
    <row r="2470" spans="1:18" ht="15.75" customHeight="true">
      <c r="A2470" s="107" t="s"/>
      <c r="B2470" s="62" t="s"/>
      <c r="C2470" s="62" t="s"/>
      <c r="D2470" s="62" t="s"/>
      <c r="E2470" s="62" t="s"/>
      <c r="F2470" s="66" t="s"/>
      <c r="G2470" s="66" t="s"/>
      <c r="H2470" s="66" t="s"/>
      <c r="I2470" s="62" t="s"/>
      <c r="J2470" s="62" t="s"/>
      <c r="K2470" s="99" t="s"/>
      <c r="L2470" s="66" t="s"/>
      <c r="M2470" s="66" t="s"/>
      <c r="N2470" s="572" t="s"/>
      <c r="O2470" s="62" t="s"/>
      <c r="P2470" s="62" t="s"/>
      <c r="Q2470" s="62" t="s"/>
      <c r="R2470" s="62" t="s"/>
    </row>
    <row r="2471" spans="1:18" ht="15.75" customHeight="true">
      <c r="A2471" s="107" t="s"/>
      <c r="B2471" s="62" t="s"/>
      <c r="C2471" s="62" t="s"/>
      <c r="D2471" s="62" t="s"/>
      <c r="E2471" s="62" t="s"/>
      <c r="F2471" s="66" t="s"/>
      <c r="G2471" s="66" t="s"/>
      <c r="H2471" s="66" t="s"/>
      <c r="I2471" s="62" t="s"/>
      <c r="J2471" s="62" t="s"/>
      <c r="K2471" s="99" t="s"/>
      <c r="L2471" s="66" t="s"/>
      <c r="M2471" s="66" t="s"/>
      <c r="N2471" s="572" t="s"/>
      <c r="O2471" s="62" t="s"/>
      <c r="P2471" s="62" t="s"/>
      <c r="Q2471" s="62" t="s"/>
      <c r="R2471" s="62" t="s"/>
    </row>
    <row r="2472" spans="1:18" ht="15.75" customHeight="true">
      <c r="A2472" s="107" t="s"/>
      <c r="B2472" s="62" t="s"/>
      <c r="C2472" s="62" t="s"/>
      <c r="D2472" s="62" t="s"/>
      <c r="E2472" s="62" t="s"/>
      <c r="F2472" s="66" t="s"/>
      <c r="G2472" s="66" t="s"/>
      <c r="H2472" s="66" t="s"/>
      <c r="I2472" s="62" t="s"/>
      <c r="J2472" s="62" t="s"/>
      <c r="K2472" s="99" t="s"/>
      <c r="L2472" s="66" t="s"/>
      <c r="M2472" s="66" t="s"/>
      <c r="N2472" s="572" t="s"/>
      <c r="O2472" s="62" t="s"/>
      <c r="P2472" s="62" t="s"/>
      <c r="Q2472" s="62" t="s"/>
      <c r="R2472" s="62" t="s"/>
    </row>
    <row r="2473" spans="1:18" ht="15.75" customHeight="true">
      <c r="A2473" s="107" t="s"/>
      <c r="B2473" s="62" t="s"/>
      <c r="C2473" s="62" t="s"/>
      <c r="D2473" s="62" t="s"/>
      <c r="E2473" s="62" t="s"/>
      <c r="F2473" s="66" t="s"/>
      <c r="G2473" s="66" t="s"/>
      <c r="H2473" s="66" t="s"/>
      <c r="I2473" s="62" t="s"/>
      <c r="J2473" s="62" t="s"/>
      <c r="K2473" s="99" t="s"/>
      <c r="L2473" s="66" t="s"/>
      <c r="M2473" s="66" t="s"/>
      <c r="N2473" s="572" t="s"/>
      <c r="O2473" s="62" t="s"/>
      <c r="P2473" s="62" t="s"/>
      <c r="Q2473" s="62" t="s"/>
      <c r="R2473" s="62" t="s"/>
    </row>
    <row r="2474" spans="1:18" ht="15.75" customHeight="true">
      <c r="A2474" s="107" t="s"/>
      <c r="B2474" s="62" t="s"/>
      <c r="C2474" s="62" t="s"/>
      <c r="D2474" s="62" t="s"/>
      <c r="E2474" s="62" t="s"/>
      <c r="F2474" s="66" t="s"/>
      <c r="G2474" s="66" t="s"/>
      <c r="H2474" s="66" t="s"/>
      <c r="I2474" s="62" t="s"/>
      <c r="J2474" s="62" t="s"/>
      <c r="K2474" s="99" t="s"/>
      <c r="L2474" s="66" t="s"/>
      <c r="M2474" s="66" t="s"/>
      <c r="N2474" s="572" t="s"/>
      <c r="O2474" s="62" t="s"/>
      <c r="P2474" s="62" t="s"/>
      <c r="Q2474" s="62" t="s"/>
      <c r="R2474" s="62" t="s"/>
    </row>
    <row r="2475" spans="1:18" ht="15.75" customHeight="true">
      <c r="A2475" s="107" t="s"/>
      <c r="B2475" s="62" t="s"/>
      <c r="C2475" s="62" t="s"/>
      <c r="D2475" s="62" t="s"/>
      <c r="E2475" s="62" t="s"/>
      <c r="F2475" s="66" t="s"/>
      <c r="G2475" s="66" t="s"/>
      <c r="H2475" s="66" t="s"/>
      <c r="I2475" s="62" t="s"/>
      <c r="J2475" s="62" t="s"/>
      <c r="K2475" s="99" t="s"/>
      <c r="L2475" s="66" t="s"/>
      <c r="M2475" s="66" t="s"/>
      <c r="N2475" s="572" t="s"/>
      <c r="O2475" s="62" t="s"/>
      <c r="P2475" s="62" t="s"/>
      <c r="Q2475" s="62" t="s"/>
      <c r="R2475" s="62" t="s"/>
    </row>
    <row r="2476" spans="1:18" ht="15.75" customHeight="true">
      <c r="A2476" s="107" t="s"/>
      <c r="B2476" s="62" t="s"/>
      <c r="C2476" s="62" t="s"/>
      <c r="D2476" s="62" t="s"/>
      <c r="E2476" s="62" t="s"/>
      <c r="F2476" s="66" t="s"/>
      <c r="G2476" s="66" t="s"/>
      <c r="H2476" s="66" t="s"/>
      <c r="I2476" s="62" t="s"/>
      <c r="J2476" s="62" t="s"/>
      <c r="K2476" s="99" t="s"/>
      <c r="L2476" s="66" t="s"/>
      <c r="M2476" s="66" t="s"/>
      <c r="N2476" s="572" t="s"/>
      <c r="O2476" s="62" t="s"/>
      <c r="P2476" s="62" t="s"/>
      <c r="Q2476" s="62" t="s"/>
      <c r="R2476" s="62" t="s"/>
    </row>
    <row r="2477" spans="1:18" ht="15.75" customHeight="true">
      <c r="A2477" s="107" t="s"/>
      <c r="B2477" s="62" t="s"/>
      <c r="C2477" s="62" t="s"/>
      <c r="D2477" s="62" t="s"/>
      <c r="E2477" s="62" t="s"/>
      <c r="F2477" s="66" t="s"/>
      <c r="G2477" s="66" t="s"/>
      <c r="H2477" s="66" t="s"/>
      <c r="I2477" s="62" t="s"/>
      <c r="J2477" s="62" t="s"/>
      <c r="K2477" s="99" t="s"/>
      <c r="L2477" s="66" t="s"/>
      <c r="M2477" s="66" t="s"/>
      <c r="N2477" s="572" t="s"/>
      <c r="O2477" s="62" t="s"/>
      <c r="P2477" s="62" t="s"/>
      <c r="Q2477" s="62" t="s"/>
      <c r="R2477" s="62" t="s"/>
    </row>
    <row r="2478" spans="1:18" ht="15.75" customHeight="true">
      <c r="A2478" s="107" t="s"/>
      <c r="B2478" s="62" t="s"/>
      <c r="C2478" s="62" t="s"/>
      <c r="D2478" s="62" t="s"/>
      <c r="E2478" s="62" t="s"/>
      <c r="F2478" s="66" t="s"/>
      <c r="G2478" s="66" t="s"/>
      <c r="H2478" s="66" t="s"/>
      <c r="I2478" s="62" t="s"/>
      <c r="J2478" s="62" t="s"/>
      <c r="K2478" s="99" t="s"/>
      <c r="L2478" s="66" t="s"/>
      <c r="M2478" s="66" t="s"/>
      <c r="N2478" s="572" t="s"/>
      <c r="O2478" s="62" t="s"/>
      <c r="P2478" s="62" t="s"/>
      <c r="Q2478" s="62" t="s"/>
      <c r="R2478" s="62" t="s"/>
    </row>
    <row r="2479" spans="1:18" ht="15.75" customHeight="true">
      <c r="A2479" s="107" t="s"/>
      <c r="B2479" s="62" t="s"/>
      <c r="C2479" s="62" t="s"/>
      <c r="D2479" s="62" t="s"/>
      <c r="E2479" s="62" t="s"/>
      <c r="F2479" s="66" t="s"/>
      <c r="G2479" s="66" t="s"/>
      <c r="H2479" s="66" t="s"/>
      <c r="I2479" s="62" t="s"/>
      <c r="J2479" s="62" t="s"/>
      <c r="K2479" s="99" t="s"/>
      <c r="L2479" s="66" t="s"/>
      <c r="M2479" s="66" t="s"/>
      <c r="N2479" s="572" t="s"/>
      <c r="O2479" s="62" t="s"/>
      <c r="P2479" s="62" t="s"/>
      <c r="Q2479" s="62" t="s"/>
      <c r="R2479" s="62" t="s"/>
    </row>
    <row r="2480" spans="1:18" ht="15.75" customHeight="true">
      <c r="A2480" s="107" t="s"/>
      <c r="B2480" s="62" t="s"/>
      <c r="C2480" s="62" t="s"/>
      <c r="D2480" s="62" t="s"/>
      <c r="E2480" s="62" t="s"/>
      <c r="F2480" s="66" t="s"/>
      <c r="G2480" s="66" t="s"/>
      <c r="H2480" s="66" t="s"/>
      <c r="I2480" s="62" t="s"/>
      <c r="J2480" s="62" t="s"/>
      <c r="K2480" s="99" t="s"/>
      <c r="L2480" s="66" t="s"/>
      <c r="M2480" s="66" t="s"/>
      <c r="N2480" s="572" t="s"/>
      <c r="O2480" s="62" t="s"/>
      <c r="P2480" s="62" t="s"/>
      <c r="Q2480" s="62" t="s"/>
      <c r="R2480" s="62" t="s"/>
    </row>
    <row r="2481" spans="1:18" ht="15.75" customHeight="true">
      <c r="A2481" s="107" t="s"/>
      <c r="B2481" s="62" t="s"/>
      <c r="C2481" s="62" t="s"/>
      <c r="D2481" s="62" t="s"/>
      <c r="E2481" s="62" t="s"/>
      <c r="F2481" s="66" t="s"/>
      <c r="G2481" s="66" t="s"/>
      <c r="H2481" s="66" t="s"/>
      <c r="I2481" s="62" t="s"/>
      <c r="J2481" s="62" t="s"/>
      <c r="K2481" s="99" t="s"/>
      <c r="L2481" s="66" t="s"/>
      <c r="M2481" s="66" t="s"/>
      <c r="N2481" s="572" t="s"/>
      <c r="O2481" s="62" t="s"/>
      <c r="P2481" s="62" t="s"/>
      <c r="Q2481" s="62" t="s"/>
      <c r="R2481" s="62" t="s"/>
    </row>
    <row r="2482" spans="1:18" ht="15.75" customHeight="true">
      <c r="A2482" s="107" t="s"/>
      <c r="B2482" s="62" t="s"/>
      <c r="C2482" s="62" t="s"/>
      <c r="D2482" s="62" t="s"/>
      <c r="E2482" s="62" t="s"/>
      <c r="F2482" s="66" t="s"/>
      <c r="G2482" s="66" t="s"/>
      <c r="H2482" s="66" t="s"/>
      <c r="I2482" s="62" t="s"/>
      <c r="J2482" s="62" t="s"/>
      <c r="K2482" s="99" t="s"/>
      <c r="L2482" s="66" t="s"/>
      <c r="M2482" s="66" t="s"/>
      <c r="N2482" s="572" t="s"/>
      <c r="O2482" s="62" t="s"/>
      <c r="P2482" s="62" t="s"/>
      <c r="Q2482" s="62" t="s"/>
      <c r="R2482" s="62" t="s"/>
    </row>
    <row r="2483" spans="1:18" ht="15.75" customHeight="true">
      <c r="A2483" s="107" t="s"/>
      <c r="B2483" s="62" t="s"/>
      <c r="C2483" s="62" t="s"/>
      <c r="D2483" s="62" t="s"/>
      <c r="E2483" s="62" t="s"/>
      <c r="F2483" s="66" t="s"/>
      <c r="G2483" s="66" t="s"/>
      <c r="H2483" s="66" t="s"/>
      <c r="I2483" s="62" t="s"/>
      <c r="J2483" s="62" t="s"/>
      <c r="K2483" s="99" t="s"/>
      <c r="L2483" s="66" t="s"/>
      <c r="M2483" s="66" t="s"/>
      <c r="N2483" s="572" t="s"/>
      <c r="O2483" s="62" t="s"/>
      <c r="P2483" s="62" t="s"/>
      <c r="Q2483" s="62" t="s"/>
      <c r="R2483" s="62" t="s"/>
    </row>
    <row r="2484" spans="1:18" ht="15.75" customHeight="true">
      <c r="A2484" s="107" t="s"/>
      <c r="B2484" s="62" t="s"/>
      <c r="C2484" s="62" t="s"/>
      <c r="D2484" s="62" t="s"/>
      <c r="E2484" s="62" t="s"/>
      <c r="F2484" s="66" t="s"/>
      <c r="G2484" s="66" t="s"/>
      <c r="H2484" s="66" t="s"/>
      <c r="I2484" s="62" t="s"/>
      <c r="J2484" s="62" t="s"/>
      <c r="K2484" s="99" t="s"/>
      <c r="L2484" s="66" t="s"/>
      <c r="M2484" s="66" t="s"/>
      <c r="N2484" s="572" t="s"/>
      <c r="O2484" s="62" t="s"/>
      <c r="P2484" s="62" t="s"/>
      <c r="Q2484" s="62" t="s"/>
      <c r="R2484" s="62" t="s"/>
    </row>
    <row r="2485" spans="1:18" ht="15.75" customHeight="true">
      <c r="A2485" s="107" t="s"/>
      <c r="B2485" s="62" t="s"/>
      <c r="C2485" s="62" t="s"/>
      <c r="D2485" s="62" t="s"/>
      <c r="E2485" s="62" t="s"/>
      <c r="F2485" s="66" t="s"/>
      <c r="G2485" s="66" t="s"/>
      <c r="H2485" s="66" t="s"/>
      <c r="I2485" s="62" t="s"/>
      <c r="J2485" s="62" t="s"/>
      <c r="K2485" s="99" t="s"/>
      <c r="L2485" s="66" t="s"/>
      <c r="M2485" s="66" t="s"/>
      <c r="N2485" s="572" t="s"/>
      <c r="O2485" s="62" t="s"/>
      <c r="P2485" s="62" t="s"/>
      <c r="Q2485" s="62" t="s"/>
      <c r="R2485" s="62" t="s"/>
    </row>
    <row r="2486" spans="1:18" ht="15.75" customHeight="true">
      <c r="A2486" s="107" t="s"/>
      <c r="B2486" s="62" t="s"/>
      <c r="C2486" s="62" t="s"/>
      <c r="D2486" s="62" t="s"/>
      <c r="E2486" s="62" t="s"/>
      <c r="F2486" s="66" t="s"/>
      <c r="G2486" s="66" t="s"/>
      <c r="H2486" s="66" t="s"/>
      <c r="I2486" s="62" t="s"/>
      <c r="J2486" s="62" t="s"/>
      <c r="K2486" s="99" t="s"/>
      <c r="L2486" s="66" t="s"/>
      <c r="M2486" s="66" t="s"/>
      <c r="N2486" s="572" t="s"/>
      <c r="O2486" s="62" t="s"/>
      <c r="P2486" s="62" t="s"/>
      <c r="Q2486" s="62" t="s"/>
      <c r="R2486" s="62" t="s"/>
    </row>
    <row r="2487" spans="1:18" ht="15.75" customHeight="true">
      <c r="A2487" s="107" t="s"/>
      <c r="B2487" s="62" t="s"/>
      <c r="C2487" s="62" t="s"/>
      <c r="D2487" s="62" t="s"/>
      <c r="E2487" s="62" t="s"/>
      <c r="F2487" s="66" t="s"/>
      <c r="G2487" s="66" t="s"/>
      <c r="H2487" s="66" t="s"/>
      <c r="I2487" s="62" t="s"/>
      <c r="J2487" s="62" t="s"/>
      <c r="K2487" s="99" t="s"/>
      <c r="L2487" s="66" t="s"/>
      <c r="M2487" s="66" t="s"/>
      <c r="N2487" s="572" t="s"/>
      <c r="O2487" s="62" t="s"/>
      <c r="P2487" s="62" t="s"/>
      <c r="Q2487" s="62" t="s"/>
      <c r="R2487" s="62" t="s"/>
    </row>
    <row r="2488" spans="1:18" ht="15.75" customHeight="true">
      <c r="A2488" s="107" t="s"/>
      <c r="B2488" s="62" t="s"/>
      <c r="C2488" s="62" t="s"/>
      <c r="D2488" s="62" t="s"/>
      <c r="E2488" s="62" t="s"/>
      <c r="F2488" s="66" t="s"/>
      <c r="G2488" s="66" t="s"/>
      <c r="H2488" s="66" t="s"/>
      <c r="I2488" s="62" t="s"/>
      <c r="J2488" s="62" t="s"/>
      <c r="K2488" s="99" t="s"/>
      <c r="L2488" s="66" t="s"/>
      <c r="M2488" s="66" t="s"/>
      <c r="N2488" s="572" t="s"/>
      <c r="O2488" s="62" t="s"/>
      <c r="P2488" s="62" t="s"/>
      <c r="Q2488" s="62" t="s"/>
      <c r="R2488" s="62" t="s"/>
    </row>
    <row r="2489" spans="1:18" ht="15.75" customHeight="true">
      <c r="A2489" s="107" t="s"/>
      <c r="B2489" s="62" t="s"/>
      <c r="C2489" s="62" t="s"/>
      <c r="D2489" s="62" t="s"/>
      <c r="E2489" s="62" t="s"/>
      <c r="F2489" s="66" t="s"/>
      <c r="G2489" s="66" t="s"/>
      <c r="H2489" s="66" t="s"/>
      <c r="I2489" s="62" t="s"/>
      <c r="J2489" s="62" t="s"/>
      <c r="K2489" s="99" t="s"/>
      <c r="L2489" s="66" t="s"/>
      <c r="M2489" s="66" t="s"/>
      <c r="N2489" s="572" t="s"/>
      <c r="O2489" s="62" t="s"/>
      <c r="P2489" s="62" t="s"/>
      <c r="Q2489" s="62" t="s"/>
      <c r="R2489" s="62" t="s"/>
    </row>
    <row r="2490" spans="1:18" ht="15.75" customHeight="true">
      <c r="A2490" s="107" t="s"/>
      <c r="B2490" s="62" t="s"/>
      <c r="C2490" s="62" t="s"/>
      <c r="D2490" s="62" t="s"/>
      <c r="E2490" s="62" t="s"/>
      <c r="F2490" s="66" t="s"/>
      <c r="G2490" s="66" t="s"/>
      <c r="H2490" s="66" t="s"/>
      <c r="I2490" s="62" t="s"/>
      <c r="J2490" s="62" t="s"/>
      <c r="K2490" s="99" t="s"/>
      <c r="L2490" s="66" t="s"/>
      <c r="M2490" s="66" t="s"/>
      <c r="N2490" s="572" t="s"/>
      <c r="O2490" s="62" t="s"/>
      <c r="P2490" s="62" t="s"/>
      <c r="Q2490" s="62" t="s"/>
      <c r="R2490" s="62" t="s"/>
    </row>
    <row r="2491" spans="1:18" ht="15.75" customHeight="true">
      <c r="A2491" s="107" t="s"/>
      <c r="B2491" s="62" t="s"/>
      <c r="C2491" s="62" t="s"/>
      <c r="D2491" s="62" t="s"/>
      <c r="E2491" s="62" t="s"/>
      <c r="F2491" s="66" t="s"/>
      <c r="G2491" s="66" t="s"/>
      <c r="H2491" s="66" t="s"/>
      <c r="I2491" s="62" t="s"/>
      <c r="J2491" s="62" t="s"/>
      <c r="K2491" s="99" t="s"/>
      <c r="L2491" s="66" t="s"/>
      <c r="M2491" s="66" t="s"/>
      <c r="N2491" s="572" t="s"/>
      <c r="O2491" s="62" t="s"/>
      <c r="P2491" s="62" t="s"/>
      <c r="Q2491" s="62" t="s"/>
      <c r="R2491" s="62" t="s"/>
    </row>
    <row r="2492" spans="1:18" ht="15.75" customHeight="true">
      <c r="A2492" s="107" t="s"/>
      <c r="B2492" s="62" t="s"/>
      <c r="C2492" s="62" t="s"/>
      <c r="D2492" s="62" t="s"/>
      <c r="E2492" s="62" t="s"/>
      <c r="F2492" s="66" t="s"/>
      <c r="G2492" s="66" t="s"/>
      <c r="H2492" s="66" t="s"/>
      <c r="I2492" s="62" t="s"/>
      <c r="J2492" s="62" t="s"/>
      <c r="K2492" s="99" t="s"/>
      <c r="L2492" s="66" t="s"/>
      <c r="M2492" s="66" t="s"/>
      <c r="N2492" s="572" t="s"/>
      <c r="O2492" s="62" t="s"/>
      <c r="P2492" s="62" t="s"/>
      <c r="Q2492" s="62" t="s"/>
      <c r="R2492" s="62" t="s"/>
    </row>
    <row r="2493" spans="1:18" ht="15.75" customHeight="true">
      <c r="A2493" s="107" t="s"/>
      <c r="B2493" s="62" t="s"/>
      <c r="C2493" s="62" t="s"/>
      <c r="D2493" s="62" t="s"/>
      <c r="E2493" s="62" t="s"/>
      <c r="F2493" s="66" t="s"/>
      <c r="G2493" s="66" t="s"/>
      <c r="H2493" s="66" t="s"/>
      <c r="I2493" s="62" t="s"/>
      <c r="J2493" s="62" t="s"/>
      <c r="K2493" s="99" t="s"/>
      <c r="L2493" s="66" t="s"/>
      <c r="M2493" s="66" t="s"/>
      <c r="N2493" s="572" t="s"/>
      <c r="O2493" s="62" t="s"/>
      <c r="P2493" s="62" t="s"/>
      <c r="Q2493" s="62" t="s"/>
      <c r="R2493" s="62" t="s"/>
    </row>
    <row r="2494" spans="1:18" ht="15.75" customHeight="true">
      <c r="A2494" s="107" t="s"/>
      <c r="B2494" s="62" t="s"/>
      <c r="C2494" s="62" t="s"/>
      <c r="D2494" s="62" t="s"/>
      <c r="E2494" s="62" t="s"/>
      <c r="F2494" s="66" t="s"/>
      <c r="G2494" s="66" t="s"/>
      <c r="H2494" s="66" t="s"/>
      <c r="I2494" s="62" t="s"/>
      <c r="J2494" s="62" t="s"/>
      <c r="K2494" s="99" t="s"/>
      <c r="L2494" s="66" t="s"/>
      <c r="M2494" s="66" t="s"/>
      <c r="N2494" s="572" t="s"/>
      <c r="O2494" s="62" t="s"/>
      <c r="P2494" s="62" t="s"/>
      <c r="Q2494" s="62" t="s"/>
      <c r="R2494" s="62" t="s"/>
    </row>
    <row r="2495" spans="1:18" ht="15.75" customHeight="true">
      <c r="A2495" s="107" t="s"/>
      <c r="B2495" s="62" t="s"/>
      <c r="C2495" s="62" t="s"/>
      <c r="D2495" s="62" t="s"/>
      <c r="E2495" s="62" t="s"/>
      <c r="F2495" s="66" t="s"/>
      <c r="G2495" s="66" t="s"/>
      <c r="H2495" s="66" t="s"/>
      <c r="I2495" s="62" t="s"/>
      <c r="J2495" s="62" t="s"/>
      <c r="K2495" s="99" t="s"/>
      <c r="L2495" s="66" t="s"/>
      <c r="M2495" s="66" t="s"/>
      <c r="N2495" s="572" t="s"/>
      <c r="O2495" s="62" t="s"/>
      <c r="P2495" s="62" t="s"/>
      <c r="Q2495" s="62" t="s"/>
      <c r="R2495" s="62" t="s"/>
    </row>
    <row r="2496" spans="1:18" ht="15.75" customHeight="true">
      <c r="A2496" s="107" t="s"/>
      <c r="B2496" s="62" t="s"/>
      <c r="C2496" s="62" t="s"/>
      <c r="D2496" s="62" t="s"/>
      <c r="E2496" s="62" t="s"/>
      <c r="F2496" s="66" t="s"/>
      <c r="G2496" s="66" t="s"/>
      <c r="H2496" s="66" t="s"/>
      <c r="I2496" s="62" t="s"/>
      <c r="J2496" s="62" t="s"/>
      <c r="K2496" s="99" t="s"/>
      <c r="L2496" s="66" t="s"/>
      <c r="M2496" s="66" t="s"/>
      <c r="N2496" s="572" t="s"/>
      <c r="O2496" s="62" t="s"/>
      <c r="P2496" s="62" t="s"/>
      <c r="Q2496" s="62" t="s"/>
      <c r="R2496" s="62" t="s"/>
    </row>
    <row r="2497" spans="1:18" ht="15.75" customHeight="true">
      <c r="A2497" s="107" t="s"/>
      <c r="B2497" s="62" t="s"/>
      <c r="C2497" s="62" t="s"/>
      <c r="D2497" s="62" t="s"/>
      <c r="E2497" s="62" t="s"/>
      <c r="F2497" s="66" t="s"/>
      <c r="G2497" s="66" t="s"/>
      <c r="H2497" s="66" t="s"/>
      <c r="I2497" s="62" t="s"/>
      <c r="J2497" s="62" t="s"/>
      <c r="K2497" s="99" t="s"/>
      <c r="L2497" s="66" t="s"/>
      <c r="M2497" s="66" t="s"/>
      <c r="N2497" s="572" t="s"/>
      <c r="O2497" s="62" t="s"/>
      <c r="P2497" s="62" t="s"/>
      <c r="Q2497" s="62" t="s"/>
      <c r="R2497" s="62" t="s"/>
    </row>
    <row r="2498" spans="1:18" ht="15.75" customHeight="true">
      <c r="A2498" s="107" t="s"/>
      <c r="B2498" s="62" t="s"/>
      <c r="C2498" s="62" t="s"/>
      <c r="D2498" s="62" t="s"/>
      <c r="E2498" s="62" t="s"/>
      <c r="F2498" s="66" t="s"/>
      <c r="G2498" s="66" t="s"/>
      <c r="H2498" s="66" t="s"/>
      <c r="I2498" s="62" t="s"/>
      <c r="J2498" s="62" t="s"/>
      <c r="K2498" s="99" t="s"/>
      <c r="L2498" s="66" t="s"/>
      <c r="M2498" s="66" t="s"/>
      <c r="N2498" s="572" t="s"/>
      <c r="O2498" s="62" t="s"/>
      <c r="P2498" s="62" t="s"/>
      <c r="Q2498" s="62" t="s"/>
      <c r="R2498" s="62" t="s"/>
    </row>
    <row r="2499" spans="1:18" ht="15.75" customHeight="true">
      <c r="A2499" s="107" t="s"/>
      <c r="B2499" s="62" t="s"/>
      <c r="C2499" s="62" t="s"/>
      <c r="D2499" s="62" t="s"/>
      <c r="E2499" s="62" t="s"/>
      <c r="F2499" s="66" t="s"/>
      <c r="G2499" s="66" t="s"/>
      <c r="H2499" s="66" t="s"/>
      <c r="I2499" s="62" t="s"/>
      <c r="J2499" s="62" t="s"/>
      <c r="K2499" s="99" t="s"/>
      <c r="L2499" s="66" t="s"/>
      <c r="M2499" s="66" t="s"/>
      <c r="N2499" s="572" t="s"/>
      <c r="O2499" s="62" t="s"/>
      <c r="P2499" s="62" t="s"/>
      <c r="Q2499" s="62" t="s"/>
      <c r="R2499" s="62" t="s"/>
    </row>
    <row r="2500" spans="1:18" ht="15.75" customHeight="true">
      <c r="A2500" s="107" t="s"/>
      <c r="B2500" s="62" t="s"/>
      <c r="C2500" s="62" t="s"/>
      <c r="D2500" s="62" t="s"/>
      <c r="E2500" s="62" t="s"/>
      <c r="F2500" s="66" t="s"/>
      <c r="G2500" s="66" t="s"/>
      <c r="H2500" s="66" t="s"/>
      <c r="I2500" s="62" t="s"/>
      <c r="J2500" s="62" t="s"/>
      <c r="K2500" s="99" t="s"/>
      <c r="L2500" s="66" t="s"/>
      <c r="M2500" s="66" t="s"/>
      <c r="N2500" s="572" t="s"/>
      <c r="O2500" s="62" t="s"/>
      <c r="P2500" s="62" t="s"/>
      <c r="Q2500" s="62" t="s"/>
      <c r="R2500" s="62" t="s"/>
    </row>
    <row r="2501" spans="1:18" ht="15.75" customHeight="true">
      <c r="A2501" s="107" t="s"/>
      <c r="B2501" s="62" t="s"/>
      <c r="C2501" s="62" t="s"/>
      <c r="D2501" s="62" t="s"/>
      <c r="E2501" s="62" t="s"/>
      <c r="F2501" s="66" t="s"/>
      <c r="G2501" s="66" t="s"/>
      <c r="H2501" s="66" t="s"/>
      <c r="I2501" s="62" t="s"/>
      <c r="J2501" s="62" t="s"/>
      <c r="K2501" s="99" t="s"/>
      <c r="L2501" s="66" t="s"/>
      <c r="M2501" s="66" t="s"/>
      <c r="N2501" s="572" t="s"/>
      <c r="O2501" s="62" t="s"/>
      <c r="P2501" s="62" t="s"/>
      <c r="Q2501" s="62" t="s"/>
      <c r="R2501" s="62" t="s"/>
    </row>
    <row r="2502" spans="1:18" ht="15.75" customHeight="true">
      <c r="A2502" s="107" t="s"/>
      <c r="B2502" s="62" t="s"/>
      <c r="C2502" s="62" t="s"/>
      <c r="D2502" s="62" t="s"/>
      <c r="E2502" s="62" t="s"/>
      <c r="F2502" s="66" t="s"/>
      <c r="G2502" s="66" t="s"/>
      <c r="H2502" s="66" t="s"/>
      <c r="I2502" s="62" t="s"/>
      <c r="J2502" s="62" t="s"/>
      <c r="K2502" s="99" t="s"/>
      <c r="L2502" s="66" t="s"/>
      <c r="M2502" s="66" t="s"/>
      <c r="N2502" s="572" t="s"/>
      <c r="O2502" s="62" t="s"/>
      <c r="P2502" s="62" t="s"/>
      <c r="Q2502" s="62" t="s"/>
      <c r="R2502" s="62" t="s"/>
    </row>
    <row r="2503" spans="1:18" ht="15.75" customHeight="true">
      <c r="A2503" s="107" t="s"/>
      <c r="B2503" s="62" t="s"/>
      <c r="C2503" s="62" t="s"/>
      <c r="D2503" s="62" t="s"/>
      <c r="E2503" s="62" t="s"/>
      <c r="F2503" s="66" t="s"/>
      <c r="G2503" s="66" t="s"/>
      <c r="H2503" s="66" t="s"/>
      <c r="I2503" s="62" t="s"/>
      <c r="J2503" s="62" t="s"/>
      <c r="K2503" s="99" t="s"/>
      <c r="L2503" s="66" t="s"/>
      <c r="M2503" s="66" t="s"/>
      <c r="N2503" s="572" t="s"/>
      <c r="O2503" s="62" t="s"/>
      <c r="P2503" s="62" t="s"/>
      <c r="Q2503" s="62" t="s"/>
      <c r="R2503" s="62" t="s"/>
    </row>
    <row r="2504" spans="1:18" ht="15.75" customHeight="true">
      <c r="A2504" s="107" t="s"/>
      <c r="B2504" s="62" t="s"/>
      <c r="C2504" s="62" t="s"/>
      <c r="D2504" s="62" t="s"/>
      <c r="E2504" s="62" t="s"/>
      <c r="F2504" s="66" t="s"/>
      <c r="G2504" s="66" t="s"/>
      <c r="H2504" s="66" t="s"/>
      <c r="I2504" s="62" t="s"/>
      <c r="J2504" s="62" t="s"/>
      <c r="K2504" s="99" t="s"/>
      <c r="L2504" s="66" t="s"/>
      <c r="M2504" s="66" t="s"/>
      <c r="N2504" s="572" t="s"/>
      <c r="O2504" s="62" t="s"/>
      <c r="P2504" s="62" t="s"/>
      <c r="Q2504" s="62" t="s"/>
      <c r="R2504" s="62" t="s"/>
    </row>
    <row r="2505" spans="1:18" ht="15.75" customHeight="true">
      <c r="A2505" s="107" t="s"/>
      <c r="B2505" s="62" t="s"/>
      <c r="C2505" s="62" t="s"/>
      <c r="D2505" s="62" t="s"/>
      <c r="E2505" s="62" t="s"/>
      <c r="F2505" s="66" t="s"/>
      <c r="G2505" s="66" t="s"/>
      <c r="H2505" s="66" t="s"/>
      <c r="I2505" s="62" t="s"/>
      <c r="J2505" s="62" t="s"/>
      <c r="K2505" s="99" t="s"/>
      <c r="L2505" s="66" t="s"/>
      <c r="M2505" s="66" t="s"/>
      <c r="N2505" s="572" t="s"/>
      <c r="O2505" s="62" t="s"/>
      <c r="P2505" s="62" t="s"/>
      <c r="Q2505" s="62" t="s"/>
      <c r="R2505" s="62" t="s"/>
    </row>
    <row r="2506" spans="1:18" ht="15.75" customHeight="true">
      <c r="A2506" s="107" t="s"/>
      <c r="B2506" s="62" t="s"/>
      <c r="C2506" s="62" t="s"/>
      <c r="D2506" s="62" t="s"/>
      <c r="E2506" s="62" t="s"/>
      <c r="F2506" s="66" t="s"/>
      <c r="G2506" s="66" t="s"/>
      <c r="H2506" s="66" t="s"/>
      <c r="I2506" s="62" t="s"/>
      <c r="J2506" s="62" t="s"/>
      <c r="K2506" s="99" t="s"/>
      <c r="L2506" s="66" t="s"/>
      <c r="M2506" s="66" t="s"/>
      <c r="N2506" s="572" t="s"/>
      <c r="O2506" s="62" t="s"/>
      <c r="P2506" s="62" t="s"/>
      <c r="Q2506" s="62" t="s"/>
      <c r="R2506" s="62" t="s"/>
    </row>
    <row r="2507" spans="1:18" ht="15.75" customHeight="true">
      <c r="A2507" s="107" t="s"/>
      <c r="B2507" s="62" t="s"/>
      <c r="C2507" s="62" t="s"/>
      <c r="D2507" s="62" t="s"/>
      <c r="E2507" s="62" t="s"/>
      <c r="F2507" s="66" t="s"/>
      <c r="G2507" s="66" t="s"/>
      <c r="H2507" s="66" t="s"/>
      <c r="I2507" s="62" t="s"/>
      <c r="J2507" s="62" t="s"/>
      <c r="K2507" s="99" t="s"/>
      <c r="L2507" s="66" t="s"/>
      <c r="M2507" s="66" t="s"/>
      <c r="N2507" s="572" t="s"/>
      <c r="O2507" s="62" t="s"/>
      <c r="P2507" s="62" t="s"/>
      <c r="Q2507" s="62" t="s"/>
      <c r="R2507" s="62" t="s"/>
    </row>
    <row r="2508" spans="1:18" ht="15.75" customHeight="true">
      <c r="A2508" s="107" t="s"/>
      <c r="B2508" s="62" t="s"/>
      <c r="C2508" s="62" t="s"/>
      <c r="D2508" s="62" t="s"/>
      <c r="E2508" s="62" t="s"/>
      <c r="F2508" s="66" t="s"/>
      <c r="G2508" s="66" t="s"/>
      <c r="H2508" s="66" t="s"/>
      <c r="I2508" s="62" t="s"/>
      <c r="J2508" s="62" t="s"/>
      <c r="K2508" s="99" t="s"/>
      <c r="L2508" s="66" t="s"/>
      <c r="M2508" s="66" t="s"/>
      <c r="N2508" s="572" t="s"/>
      <c r="O2508" s="62" t="s"/>
      <c r="P2508" s="62" t="s"/>
      <c r="Q2508" s="62" t="s"/>
      <c r="R2508" s="62" t="s"/>
    </row>
    <row r="2509" spans="1:18" ht="15.75" customHeight="true">
      <c r="A2509" s="107" t="s"/>
      <c r="B2509" s="62" t="s"/>
      <c r="C2509" s="62" t="s"/>
      <c r="D2509" s="62" t="s"/>
      <c r="E2509" s="62" t="s"/>
      <c r="F2509" s="66" t="s"/>
      <c r="G2509" s="66" t="s"/>
      <c r="H2509" s="66" t="s"/>
      <c r="I2509" s="62" t="s"/>
      <c r="J2509" s="62" t="s"/>
      <c r="K2509" s="99" t="s"/>
      <c r="L2509" s="66" t="s"/>
      <c r="M2509" s="66" t="s"/>
      <c r="N2509" s="572" t="s"/>
      <c r="O2509" s="62" t="s"/>
      <c r="P2509" s="62" t="s"/>
      <c r="Q2509" s="62" t="s"/>
      <c r="R2509" s="62" t="s"/>
    </row>
    <row r="2510" spans="1:18" ht="15.75" customHeight="true">
      <c r="A2510" s="107" t="s"/>
      <c r="B2510" s="62" t="s"/>
      <c r="C2510" s="62" t="s"/>
      <c r="D2510" s="62" t="s"/>
      <c r="E2510" s="62" t="s"/>
      <c r="F2510" s="66" t="s"/>
      <c r="G2510" s="66" t="s"/>
      <c r="H2510" s="66" t="s"/>
      <c r="I2510" s="62" t="s"/>
      <c r="J2510" s="62" t="s"/>
      <c r="K2510" s="99" t="s"/>
      <c r="L2510" s="66" t="s"/>
      <c r="M2510" s="66" t="s"/>
      <c r="N2510" s="572" t="s"/>
      <c r="O2510" s="62" t="s"/>
      <c r="P2510" s="62" t="s"/>
      <c r="Q2510" s="62" t="s"/>
      <c r="R2510" s="62" t="s"/>
    </row>
    <row r="2511" spans="1:18" ht="15.75" customHeight="true">
      <c r="A2511" s="107" t="s"/>
      <c r="B2511" s="62" t="s"/>
      <c r="C2511" s="62" t="s"/>
      <c r="D2511" s="62" t="s"/>
      <c r="E2511" s="62" t="s"/>
      <c r="F2511" s="66" t="s"/>
      <c r="G2511" s="66" t="s"/>
      <c r="H2511" s="66" t="s"/>
      <c r="I2511" s="62" t="s"/>
      <c r="J2511" s="62" t="s"/>
      <c r="K2511" s="99" t="s"/>
      <c r="L2511" s="66" t="s"/>
      <c r="M2511" s="66" t="s"/>
      <c r="N2511" s="572" t="s"/>
      <c r="O2511" s="62" t="s"/>
      <c r="P2511" s="62" t="s"/>
      <c r="Q2511" s="62" t="s"/>
      <c r="R2511" s="62" t="s"/>
    </row>
    <row r="2512" spans="1:18" ht="15.75" customHeight="true">
      <c r="A2512" s="107" t="s"/>
      <c r="B2512" s="62" t="s"/>
      <c r="C2512" s="62" t="s"/>
      <c r="D2512" s="62" t="s"/>
      <c r="E2512" s="62" t="s"/>
      <c r="F2512" s="66" t="s"/>
      <c r="G2512" s="66" t="s"/>
      <c r="H2512" s="66" t="s"/>
      <c r="I2512" s="62" t="s"/>
      <c r="J2512" s="62" t="s"/>
      <c r="K2512" s="99" t="s"/>
      <c r="L2512" s="66" t="s"/>
      <c r="M2512" s="66" t="s"/>
      <c r="N2512" s="572" t="s"/>
      <c r="O2512" s="62" t="s"/>
      <c r="P2512" s="62" t="s"/>
      <c r="Q2512" s="62" t="s"/>
      <c r="R2512" s="62" t="s"/>
    </row>
    <row r="2513" spans="1:18" ht="15.75" customHeight="true">
      <c r="A2513" s="107" t="s"/>
      <c r="B2513" s="62" t="s"/>
      <c r="C2513" s="62" t="s"/>
      <c r="D2513" s="62" t="s"/>
      <c r="E2513" s="62" t="s"/>
      <c r="F2513" s="66" t="s"/>
      <c r="G2513" s="66" t="s"/>
      <c r="H2513" s="66" t="s"/>
      <c r="I2513" s="62" t="s"/>
      <c r="J2513" s="62" t="s"/>
      <c r="K2513" s="99" t="s"/>
      <c r="L2513" s="66" t="s"/>
      <c r="M2513" s="66" t="s"/>
      <c r="N2513" s="572" t="s"/>
      <c r="O2513" s="62" t="s"/>
      <c r="P2513" s="62" t="s"/>
      <c r="Q2513" s="62" t="s"/>
      <c r="R2513" s="62" t="s"/>
    </row>
    <row r="2514" spans="1:18" ht="15.75" customHeight="true">
      <c r="A2514" s="107" t="s"/>
      <c r="B2514" s="62" t="s"/>
      <c r="C2514" s="62" t="s"/>
      <c r="D2514" s="62" t="s"/>
      <c r="E2514" s="62" t="s"/>
      <c r="F2514" s="66" t="s"/>
      <c r="G2514" s="66" t="s"/>
      <c r="H2514" s="66" t="s"/>
      <c r="I2514" s="62" t="s"/>
      <c r="J2514" s="62" t="s"/>
      <c r="K2514" s="99" t="s"/>
      <c r="L2514" s="66" t="s"/>
      <c r="M2514" s="66" t="s"/>
      <c r="N2514" s="572" t="s"/>
      <c r="O2514" s="62" t="s"/>
      <c r="P2514" s="62" t="s"/>
      <c r="Q2514" s="62" t="s"/>
      <c r="R2514" s="62" t="s"/>
    </row>
    <row r="2515" spans="1:18" ht="15.75" customHeight="true">
      <c r="A2515" s="107" t="s"/>
      <c r="B2515" s="62" t="s"/>
      <c r="C2515" s="62" t="s"/>
      <c r="D2515" s="62" t="s"/>
      <c r="E2515" s="62" t="s"/>
      <c r="F2515" s="66" t="s"/>
      <c r="G2515" s="66" t="s"/>
      <c r="H2515" s="66" t="s"/>
      <c r="I2515" s="62" t="s"/>
      <c r="J2515" s="62" t="s"/>
      <c r="K2515" s="99" t="s"/>
      <c r="L2515" s="66" t="s"/>
      <c r="M2515" s="66" t="s"/>
      <c r="N2515" s="572" t="s"/>
      <c r="O2515" s="62" t="s"/>
      <c r="P2515" s="62" t="s"/>
      <c r="Q2515" s="62" t="s"/>
      <c r="R2515" s="62" t="s"/>
    </row>
    <row r="2516" spans="1:18" ht="15.75" customHeight="true">
      <c r="A2516" s="107" t="s"/>
      <c r="B2516" s="62" t="s"/>
      <c r="C2516" s="62" t="s"/>
      <c r="D2516" s="62" t="s"/>
      <c r="E2516" s="62" t="s"/>
      <c r="F2516" s="66" t="s"/>
      <c r="G2516" s="66" t="s"/>
      <c r="H2516" s="66" t="s"/>
      <c r="I2516" s="62" t="s"/>
      <c r="J2516" s="62" t="s"/>
      <c r="K2516" s="99" t="s"/>
      <c r="L2516" s="66" t="s"/>
      <c r="M2516" s="66" t="s"/>
      <c r="N2516" s="572" t="s"/>
      <c r="O2516" s="62" t="s"/>
      <c r="P2516" s="62" t="s"/>
      <c r="Q2516" s="62" t="s"/>
      <c r="R2516" s="62" t="s"/>
    </row>
    <row r="2517" spans="1:18" ht="15.75" customHeight="true">
      <c r="A2517" s="107" t="s"/>
      <c r="B2517" s="62" t="s"/>
      <c r="C2517" s="62" t="s"/>
      <c r="D2517" s="62" t="s"/>
      <c r="E2517" s="62" t="s"/>
      <c r="F2517" s="66" t="s"/>
      <c r="G2517" s="66" t="s"/>
      <c r="H2517" s="66" t="s"/>
      <c r="I2517" s="62" t="s"/>
      <c r="J2517" s="62" t="s"/>
      <c r="K2517" s="99" t="s"/>
      <c r="L2517" s="66" t="s"/>
      <c r="M2517" s="66" t="s"/>
      <c r="N2517" s="572" t="s"/>
      <c r="O2517" s="62" t="s"/>
      <c r="P2517" s="62" t="s"/>
      <c r="Q2517" s="62" t="s"/>
      <c r="R2517" s="62" t="s"/>
    </row>
    <row r="2518" spans="1:18" ht="15.75" customHeight="true">
      <c r="A2518" s="107" t="s"/>
      <c r="B2518" s="62" t="s"/>
      <c r="C2518" s="62" t="s"/>
      <c r="D2518" s="62" t="s"/>
      <c r="E2518" s="62" t="s"/>
      <c r="F2518" s="66" t="s"/>
      <c r="G2518" s="66" t="s"/>
      <c r="H2518" s="66" t="s"/>
      <c r="I2518" s="62" t="s"/>
      <c r="J2518" s="62" t="s"/>
      <c r="K2518" s="99" t="s"/>
      <c r="L2518" s="66" t="s"/>
      <c r="M2518" s="66" t="s"/>
      <c r="N2518" s="572" t="s"/>
      <c r="O2518" s="62" t="s"/>
      <c r="P2518" s="62" t="s"/>
      <c r="Q2518" s="62" t="s"/>
      <c r="R2518" s="62" t="s"/>
    </row>
    <row r="2519" spans="1:18" ht="15.75" customHeight="true">
      <c r="A2519" s="107" t="s"/>
      <c r="B2519" s="62" t="s"/>
      <c r="C2519" s="62" t="s"/>
      <c r="D2519" s="62" t="s"/>
      <c r="E2519" s="62" t="s"/>
      <c r="F2519" s="66" t="s"/>
      <c r="G2519" s="66" t="s"/>
      <c r="H2519" s="66" t="s"/>
      <c r="I2519" s="62" t="s"/>
      <c r="J2519" s="62" t="s"/>
      <c r="K2519" s="99" t="s"/>
      <c r="L2519" s="66" t="s"/>
      <c r="M2519" s="66" t="s"/>
      <c r="N2519" s="572" t="s"/>
      <c r="O2519" s="62" t="s"/>
      <c r="P2519" s="62" t="s"/>
      <c r="Q2519" s="62" t="s"/>
      <c r="R2519" s="62" t="s"/>
    </row>
    <row r="2520" spans="1:18" ht="15.75" customHeight="true">
      <c r="A2520" s="107" t="s"/>
      <c r="B2520" s="62" t="s"/>
      <c r="C2520" s="62" t="s"/>
      <c r="D2520" s="62" t="s"/>
      <c r="E2520" s="62" t="s"/>
      <c r="F2520" s="66" t="s"/>
      <c r="G2520" s="66" t="s"/>
      <c r="H2520" s="66" t="s"/>
      <c r="I2520" s="62" t="s"/>
      <c r="J2520" s="62" t="s"/>
      <c r="K2520" s="99" t="s"/>
      <c r="L2520" s="66" t="s"/>
      <c r="M2520" s="66" t="s"/>
      <c r="N2520" s="572" t="s"/>
      <c r="O2520" s="62" t="s"/>
      <c r="P2520" s="62" t="s"/>
      <c r="Q2520" s="62" t="s"/>
      <c r="R2520" s="62" t="s"/>
    </row>
    <row r="2521" spans="1:18" ht="15.75" customHeight="true">
      <c r="A2521" s="107" t="s"/>
      <c r="B2521" s="62" t="s"/>
      <c r="C2521" s="62" t="s"/>
      <c r="D2521" s="62" t="s"/>
      <c r="E2521" s="62" t="s"/>
      <c r="F2521" s="66" t="s"/>
      <c r="G2521" s="66" t="s"/>
      <c r="H2521" s="66" t="s"/>
      <c r="I2521" s="62" t="s"/>
      <c r="J2521" s="62" t="s"/>
      <c r="K2521" s="99" t="s"/>
      <c r="L2521" s="66" t="s"/>
      <c r="M2521" s="66" t="s"/>
      <c r="N2521" s="572" t="s"/>
      <c r="O2521" s="62" t="s"/>
      <c r="P2521" s="62" t="s"/>
      <c r="Q2521" s="62" t="s"/>
      <c r="R2521" s="62" t="s"/>
    </row>
    <row r="2522" spans="1:18" ht="15.75" customHeight="true">
      <c r="A2522" s="107" t="s"/>
      <c r="B2522" s="62" t="s"/>
      <c r="C2522" s="62" t="s"/>
      <c r="D2522" s="62" t="s"/>
      <c r="E2522" s="62" t="s"/>
      <c r="F2522" s="66" t="s"/>
      <c r="G2522" s="66" t="s"/>
      <c r="H2522" s="66" t="s"/>
      <c r="I2522" s="62" t="s"/>
      <c r="J2522" s="62" t="s"/>
      <c r="K2522" s="99" t="s"/>
      <c r="L2522" s="66" t="s"/>
      <c r="M2522" s="66" t="s"/>
      <c r="N2522" s="572" t="s"/>
      <c r="O2522" s="62" t="s"/>
      <c r="P2522" s="62" t="s"/>
      <c r="Q2522" s="62" t="s"/>
      <c r="R2522" s="62" t="s"/>
    </row>
    <row r="2523" spans="1:18" ht="15.75" customHeight="true">
      <c r="A2523" s="107" t="s"/>
      <c r="B2523" s="62" t="s"/>
      <c r="C2523" s="62" t="s"/>
      <c r="D2523" s="62" t="s"/>
      <c r="E2523" s="62" t="s"/>
      <c r="F2523" s="66" t="s"/>
      <c r="G2523" s="66" t="s"/>
      <c r="H2523" s="66" t="s"/>
      <c r="I2523" s="62" t="s"/>
      <c r="J2523" s="62" t="s"/>
      <c r="K2523" s="99" t="s"/>
      <c r="L2523" s="66" t="s"/>
      <c r="M2523" s="66" t="s"/>
      <c r="N2523" s="572" t="s"/>
      <c r="O2523" s="62" t="s"/>
      <c r="P2523" s="62" t="s"/>
      <c r="Q2523" s="62" t="s"/>
      <c r="R2523" s="62" t="s"/>
    </row>
    <row r="2524" spans="1:18" ht="15.75" customHeight="true">
      <c r="A2524" s="107" t="s"/>
      <c r="B2524" s="62" t="s"/>
      <c r="C2524" s="62" t="s"/>
      <c r="D2524" s="62" t="s"/>
      <c r="E2524" s="62" t="s"/>
      <c r="F2524" s="66" t="s"/>
      <c r="G2524" s="66" t="s"/>
      <c r="H2524" s="66" t="s"/>
      <c r="I2524" s="62" t="s"/>
      <c r="J2524" s="62" t="s"/>
      <c r="K2524" s="99" t="s"/>
      <c r="L2524" s="66" t="s"/>
      <c r="M2524" s="66" t="s"/>
      <c r="N2524" s="572" t="s"/>
      <c r="O2524" s="62" t="s"/>
      <c r="P2524" s="62" t="s"/>
      <c r="Q2524" s="62" t="s"/>
      <c r="R2524" s="62" t="s"/>
    </row>
    <row r="2525" spans="1:18" ht="15.75" customHeight="true">
      <c r="A2525" s="107" t="s"/>
      <c r="B2525" s="62" t="s"/>
      <c r="C2525" s="62" t="s"/>
      <c r="D2525" s="62" t="s"/>
      <c r="E2525" s="62" t="s"/>
      <c r="F2525" s="66" t="s"/>
      <c r="G2525" s="66" t="s"/>
      <c r="H2525" s="66" t="s"/>
      <c r="I2525" s="62" t="s"/>
      <c r="J2525" s="62" t="s"/>
      <c r="K2525" s="99" t="s"/>
      <c r="L2525" s="66" t="s"/>
      <c r="M2525" s="66" t="s"/>
      <c r="N2525" s="572" t="s"/>
      <c r="O2525" s="62" t="s"/>
      <c r="P2525" s="62" t="s"/>
      <c r="Q2525" s="62" t="s"/>
      <c r="R2525" s="62" t="s"/>
    </row>
    <row r="2526" spans="1:18" ht="15.75" customHeight="true">
      <c r="A2526" s="107" t="s"/>
      <c r="B2526" s="62" t="s"/>
      <c r="C2526" s="62" t="s"/>
      <c r="D2526" s="62" t="s"/>
      <c r="E2526" s="62" t="s"/>
      <c r="F2526" s="66" t="s"/>
      <c r="G2526" s="66" t="s"/>
      <c r="H2526" s="66" t="s"/>
      <c r="I2526" s="62" t="s"/>
      <c r="J2526" s="62" t="s"/>
      <c r="K2526" s="99" t="s"/>
      <c r="L2526" s="66" t="s"/>
      <c r="M2526" s="66" t="s"/>
      <c r="N2526" s="572" t="s"/>
      <c r="O2526" s="62" t="s"/>
      <c r="P2526" s="62" t="s"/>
      <c r="Q2526" s="62" t="s"/>
      <c r="R2526" s="62" t="s"/>
    </row>
    <row r="2527" spans="1:18" ht="15.75" customHeight="true">
      <c r="A2527" s="107" t="s"/>
      <c r="B2527" s="62" t="s"/>
      <c r="C2527" s="62" t="s"/>
      <c r="D2527" s="62" t="s"/>
      <c r="E2527" s="62" t="s"/>
      <c r="F2527" s="66" t="s"/>
      <c r="G2527" s="66" t="s"/>
      <c r="H2527" s="66" t="s"/>
      <c r="I2527" s="62" t="s"/>
      <c r="J2527" s="62" t="s"/>
      <c r="K2527" s="99" t="s"/>
      <c r="L2527" s="66" t="s"/>
      <c r="M2527" s="66" t="s"/>
      <c r="N2527" s="572" t="s"/>
      <c r="O2527" s="62" t="s"/>
      <c r="P2527" s="62" t="s"/>
      <c r="Q2527" s="62" t="s"/>
      <c r="R2527" s="62" t="s"/>
    </row>
    <row r="2528" spans="1:18" ht="15.75" customHeight="true">
      <c r="A2528" s="107" t="s"/>
      <c r="B2528" s="62" t="s"/>
      <c r="C2528" s="62" t="s"/>
      <c r="D2528" s="62" t="s"/>
      <c r="E2528" s="62" t="s"/>
      <c r="F2528" s="66" t="s"/>
      <c r="G2528" s="66" t="s"/>
      <c r="H2528" s="66" t="s"/>
      <c r="I2528" s="62" t="s"/>
      <c r="J2528" s="62" t="s"/>
      <c r="K2528" s="99" t="s"/>
      <c r="L2528" s="66" t="s"/>
      <c r="M2528" s="66" t="s"/>
      <c r="N2528" s="572" t="s"/>
      <c r="O2528" s="62" t="s"/>
      <c r="P2528" s="62" t="s"/>
      <c r="Q2528" s="62" t="s"/>
      <c r="R2528" s="62" t="s"/>
    </row>
    <row r="2529" spans="1:18" ht="15.75" customHeight="true">
      <c r="A2529" s="107" t="s"/>
      <c r="B2529" s="62" t="s"/>
      <c r="C2529" s="62" t="s"/>
      <c r="D2529" s="62" t="s"/>
      <c r="E2529" s="62" t="s"/>
      <c r="F2529" s="66" t="s"/>
      <c r="G2529" s="66" t="s"/>
      <c r="H2529" s="66" t="s"/>
      <c r="I2529" s="62" t="s"/>
      <c r="J2529" s="62" t="s"/>
      <c r="K2529" s="99" t="s"/>
      <c r="L2529" s="66" t="s"/>
      <c r="M2529" s="66" t="s"/>
      <c r="N2529" s="572" t="s"/>
      <c r="O2529" s="62" t="s"/>
      <c r="P2529" s="62" t="s"/>
      <c r="Q2529" s="62" t="s"/>
      <c r="R2529" s="62" t="s"/>
    </row>
    <row r="2530" spans="1:18" ht="15.75" customHeight="true">
      <c r="A2530" s="107" t="s"/>
      <c r="B2530" s="62" t="s"/>
      <c r="C2530" s="62" t="s"/>
      <c r="D2530" s="62" t="s"/>
      <c r="E2530" s="62" t="s"/>
      <c r="F2530" s="66" t="s"/>
      <c r="G2530" s="66" t="s"/>
      <c r="H2530" s="66" t="s"/>
      <c r="I2530" s="62" t="s"/>
      <c r="J2530" s="62" t="s"/>
      <c r="K2530" s="99" t="s"/>
      <c r="L2530" s="66" t="s"/>
      <c r="M2530" s="66" t="s"/>
      <c r="N2530" s="572" t="s"/>
      <c r="O2530" s="62" t="s"/>
      <c r="P2530" s="62" t="s"/>
      <c r="Q2530" s="62" t="s"/>
      <c r="R2530" s="62" t="s"/>
    </row>
    <row r="2531" spans="1:18" ht="15.75" customHeight="true">
      <c r="A2531" s="107" t="s"/>
      <c r="B2531" s="62" t="s"/>
      <c r="C2531" s="62" t="s"/>
      <c r="D2531" s="62" t="s"/>
      <c r="E2531" s="62" t="s"/>
      <c r="F2531" s="66" t="s"/>
      <c r="G2531" s="66" t="s"/>
      <c r="H2531" s="66" t="s"/>
      <c r="I2531" s="62" t="s"/>
      <c r="J2531" s="62" t="s"/>
      <c r="K2531" s="99" t="s"/>
      <c r="L2531" s="66" t="s"/>
      <c r="M2531" s="66" t="s"/>
      <c r="N2531" s="572" t="s"/>
      <c r="O2531" s="62" t="s"/>
      <c r="P2531" s="62" t="s"/>
      <c r="Q2531" s="62" t="s"/>
      <c r="R2531" s="62" t="s"/>
    </row>
    <row r="2532" spans="1:18" ht="15.75" customHeight="true">
      <c r="A2532" s="107" t="s"/>
      <c r="B2532" s="62" t="s"/>
      <c r="C2532" s="62" t="s"/>
      <c r="D2532" s="62" t="s"/>
      <c r="E2532" s="62" t="s"/>
      <c r="F2532" s="66" t="s"/>
      <c r="G2532" s="66" t="s"/>
      <c r="H2532" s="66" t="s"/>
      <c r="I2532" s="62" t="s"/>
      <c r="J2532" s="62" t="s"/>
      <c r="K2532" s="99" t="s"/>
      <c r="L2532" s="66" t="s"/>
      <c r="M2532" s="66" t="s"/>
      <c r="N2532" s="572" t="s"/>
      <c r="O2532" s="62" t="s"/>
      <c r="P2532" s="62" t="s"/>
      <c r="Q2532" s="62" t="s"/>
      <c r="R2532" s="62" t="s"/>
    </row>
    <row r="2533" spans="1:18" ht="15.75" customHeight="true">
      <c r="A2533" s="107" t="s"/>
      <c r="B2533" s="62" t="s"/>
      <c r="C2533" s="62" t="s"/>
      <c r="D2533" s="62" t="s"/>
      <c r="E2533" s="62" t="s"/>
      <c r="F2533" s="66" t="s"/>
      <c r="G2533" s="66" t="s"/>
      <c r="H2533" s="66" t="s"/>
      <c r="I2533" s="62" t="s"/>
      <c r="J2533" s="62" t="s"/>
      <c r="K2533" s="99" t="s"/>
      <c r="L2533" s="66" t="s"/>
      <c r="M2533" s="66" t="s"/>
      <c r="N2533" s="572" t="s"/>
      <c r="O2533" s="62" t="s"/>
      <c r="P2533" s="62" t="s"/>
      <c r="Q2533" s="62" t="s"/>
      <c r="R2533" s="62" t="s"/>
    </row>
    <row r="2534" spans="1:18" ht="15.75" customHeight="true">
      <c r="A2534" s="107" t="s"/>
      <c r="B2534" s="62" t="s"/>
      <c r="C2534" s="62" t="s"/>
      <c r="D2534" s="62" t="s"/>
      <c r="E2534" s="62" t="s"/>
      <c r="F2534" s="66" t="s"/>
      <c r="G2534" s="66" t="s"/>
      <c r="H2534" s="66" t="s"/>
      <c r="I2534" s="62" t="s"/>
      <c r="J2534" s="62" t="s"/>
      <c r="K2534" s="99" t="s"/>
      <c r="L2534" s="66" t="s"/>
      <c r="M2534" s="66" t="s"/>
      <c r="N2534" s="572" t="s"/>
      <c r="O2534" s="62" t="s"/>
      <c r="P2534" s="62" t="s"/>
      <c r="Q2534" s="62" t="s"/>
      <c r="R2534" s="62" t="s"/>
    </row>
    <row r="2535" spans="1:18" ht="15.75" customHeight="true">
      <c r="A2535" s="107" t="s"/>
      <c r="B2535" s="62" t="s"/>
      <c r="C2535" s="62" t="s"/>
      <c r="D2535" s="62" t="s"/>
      <c r="E2535" s="62" t="s"/>
      <c r="F2535" s="66" t="s"/>
      <c r="G2535" s="66" t="s"/>
      <c r="H2535" s="66" t="s"/>
      <c r="I2535" s="62" t="s"/>
      <c r="J2535" s="62" t="s"/>
      <c r="K2535" s="99" t="s"/>
      <c r="L2535" s="66" t="s"/>
      <c r="M2535" s="66" t="s"/>
      <c r="N2535" s="572" t="s"/>
      <c r="O2535" s="62" t="s"/>
      <c r="P2535" s="62" t="s"/>
      <c r="Q2535" s="62" t="s"/>
      <c r="R2535" s="62" t="s"/>
    </row>
    <row r="2536" spans="1:18" ht="15.75" customHeight="true">
      <c r="A2536" s="107" t="s"/>
      <c r="B2536" s="62" t="s"/>
      <c r="C2536" s="62" t="s"/>
      <c r="D2536" s="62" t="s"/>
      <c r="E2536" s="62" t="s"/>
      <c r="F2536" s="66" t="s"/>
      <c r="G2536" s="66" t="s"/>
      <c r="H2536" s="66" t="s"/>
      <c r="I2536" s="62" t="s"/>
      <c r="J2536" s="62" t="s"/>
      <c r="K2536" s="99" t="s"/>
      <c r="L2536" s="66" t="s"/>
      <c r="M2536" s="66" t="s"/>
      <c r="N2536" s="572" t="s"/>
      <c r="O2536" s="62" t="s"/>
      <c r="P2536" s="62" t="s"/>
      <c r="Q2536" s="62" t="s"/>
      <c r="R2536" s="62" t="s"/>
    </row>
    <row r="2537" spans="1:18" ht="15.75" customHeight="true">
      <c r="A2537" s="107" t="s"/>
      <c r="B2537" s="62" t="s"/>
      <c r="C2537" s="62" t="s"/>
      <c r="D2537" s="62" t="s"/>
      <c r="E2537" s="62" t="s"/>
      <c r="F2537" s="66" t="s"/>
      <c r="G2537" s="66" t="s"/>
      <c r="H2537" s="66" t="s"/>
      <c r="I2537" s="62" t="s"/>
      <c r="J2537" s="62" t="s"/>
      <c r="K2537" s="99" t="s"/>
      <c r="L2537" s="66" t="s"/>
      <c r="M2537" s="66" t="s"/>
      <c r="N2537" s="572" t="s"/>
      <c r="O2537" s="62" t="s"/>
      <c r="P2537" s="62" t="s"/>
      <c r="Q2537" s="62" t="s"/>
      <c r="R2537" s="62" t="s"/>
    </row>
    <row r="2538" spans="1:18" ht="15.75" customHeight="true">
      <c r="A2538" s="107" t="s"/>
      <c r="B2538" s="62" t="s"/>
      <c r="C2538" s="62" t="s"/>
      <c r="D2538" s="62" t="s"/>
      <c r="E2538" s="62" t="s"/>
      <c r="F2538" s="66" t="s"/>
      <c r="G2538" s="66" t="s"/>
      <c r="H2538" s="66" t="s"/>
      <c r="I2538" s="62" t="s"/>
      <c r="J2538" s="62" t="s"/>
      <c r="K2538" s="99" t="s"/>
      <c r="L2538" s="66" t="s"/>
      <c r="M2538" s="66" t="s"/>
      <c r="N2538" s="572" t="s"/>
      <c r="O2538" s="62" t="s"/>
      <c r="P2538" s="62" t="s"/>
      <c r="Q2538" s="62" t="s"/>
      <c r="R2538" s="62" t="s"/>
    </row>
    <row r="2539" spans="1:18" ht="15.75" customHeight="true">
      <c r="A2539" s="107" t="s"/>
      <c r="B2539" s="62" t="s"/>
      <c r="C2539" s="62" t="s"/>
      <c r="D2539" s="62" t="s"/>
      <c r="E2539" s="62" t="s"/>
      <c r="F2539" s="66" t="s"/>
      <c r="G2539" s="66" t="s"/>
      <c r="H2539" s="66" t="s"/>
      <c r="I2539" s="62" t="s"/>
      <c r="J2539" s="62" t="s"/>
      <c r="K2539" s="99" t="s"/>
      <c r="L2539" s="66" t="s"/>
      <c r="M2539" s="66" t="s"/>
      <c r="N2539" s="572" t="s"/>
      <c r="O2539" s="62" t="s"/>
      <c r="P2539" s="62" t="s"/>
      <c r="Q2539" s="62" t="s"/>
      <c r="R2539" s="62" t="s"/>
    </row>
    <row r="2540" spans="1:18" ht="15.75" customHeight="true">
      <c r="A2540" s="107" t="s"/>
      <c r="B2540" s="62" t="s"/>
      <c r="C2540" s="62" t="s"/>
      <c r="D2540" s="62" t="s"/>
      <c r="E2540" s="62" t="s"/>
      <c r="F2540" s="66" t="s"/>
      <c r="G2540" s="66" t="s"/>
      <c r="H2540" s="66" t="s"/>
      <c r="I2540" s="62" t="s"/>
      <c r="J2540" s="62" t="s"/>
      <c r="K2540" s="99" t="s"/>
      <c r="L2540" s="66" t="s"/>
      <c r="M2540" s="66" t="s"/>
      <c r="N2540" s="572" t="s"/>
      <c r="O2540" s="62" t="s"/>
      <c r="P2540" s="62" t="s"/>
      <c r="Q2540" s="62" t="s"/>
      <c r="R2540" s="62" t="s"/>
    </row>
    <row r="2541" spans="1:18" ht="15.75" customHeight="true">
      <c r="A2541" s="107" t="s"/>
      <c r="B2541" s="62" t="s"/>
      <c r="C2541" s="62" t="s"/>
      <c r="D2541" s="62" t="s"/>
      <c r="E2541" s="62" t="s"/>
      <c r="F2541" s="66" t="s"/>
      <c r="G2541" s="66" t="s"/>
      <c r="H2541" s="66" t="s"/>
      <c r="I2541" s="62" t="s"/>
      <c r="J2541" s="62" t="s"/>
      <c r="K2541" s="99" t="s"/>
      <c r="L2541" s="66" t="s"/>
      <c r="M2541" s="66" t="s"/>
      <c r="N2541" s="572" t="s"/>
      <c r="O2541" s="62" t="s"/>
      <c r="P2541" s="62" t="s"/>
      <c r="Q2541" s="62" t="s"/>
      <c r="R2541" s="62" t="s"/>
    </row>
    <row r="2542" spans="1:18" ht="15.75" customHeight="true">
      <c r="A2542" s="107" t="s"/>
      <c r="B2542" s="62" t="s"/>
      <c r="C2542" s="62" t="s"/>
      <c r="D2542" s="62" t="s"/>
      <c r="E2542" s="62" t="s"/>
      <c r="F2542" s="66" t="s"/>
      <c r="G2542" s="66" t="s"/>
      <c r="H2542" s="66" t="s"/>
      <c r="I2542" s="62" t="s"/>
      <c r="J2542" s="62" t="s"/>
      <c r="K2542" s="99" t="s"/>
      <c r="L2542" s="66" t="s"/>
      <c r="M2542" s="66" t="s"/>
      <c r="N2542" s="572" t="s"/>
      <c r="O2542" s="62" t="s"/>
      <c r="P2542" s="62" t="s"/>
      <c r="Q2542" s="62" t="s"/>
      <c r="R2542" s="62" t="s"/>
    </row>
    <row r="2543" spans="1:18" ht="15.75" customHeight="true">
      <c r="A2543" s="107" t="s"/>
      <c r="B2543" s="62" t="s"/>
      <c r="C2543" s="62" t="s"/>
      <c r="D2543" s="62" t="s"/>
      <c r="E2543" s="62" t="s"/>
      <c r="F2543" s="66" t="s"/>
      <c r="G2543" s="66" t="s"/>
      <c r="H2543" s="66" t="s"/>
      <c r="I2543" s="62" t="s"/>
      <c r="J2543" s="62" t="s"/>
      <c r="K2543" s="99" t="s"/>
      <c r="L2543" s="66" t="s"/>
      <c r="M2543" s="66" t="s"/>
      <c r="N2543" s="572" t="s"/>
      <c r="O2543" s="62" t="s"/>
      <c r="P2543" s="62" t="s"/>
      <c r="Q2543" s="62" t="s"/>
      <c r="R2543" s="62" t="s"/>
    </row>
    <row r="2544" spans="1:18" ht="15.75" customHeight="true">
      <c r="A2544" s="107" t="s"/>
      <c r="B2544" s="62" t="s"/>
      <c r="C2544" s="62" t="s"/>
      <c r="D2544" s="62" t="s"/>
      <c r="E2544" s="62" t="s"/>
      <c r="F2544" s="66" t="s"/>
      <c r="G2544" s="66" t="s"/>
      <c r="H2544" s="66" t="s"/>
      <c r="I2544" s="62" t="s"/>
      <c r="J2544" s="62" t="s"/>
      <c r="K2544" s="99" t="s"/>
      <c r="L2544" s="66" t="s"/>
      <c r="M2544" s="66" t="s"/>
      <c r="N2544" s="572" t="s"/>
      <c r="O2544" s="62" t="s"/>
      <c r="P2544" s="62" t="s"/>
      <c r="Q2544" s="62" t="s"/>
      <c r="R2544" s="62" t="s"/>
    </row>
    <row r="2545" spans="1:18" ht="15.75" customHeight="true">
      <c r="A2545" s="107" t="s"/>
      <c r="B2545" s="62" t="s"/>
      <c r="C2545" s="62" t="s"/>
      <c r="D2545" s="62" t="s"/>
      <c r="E2545" s="62" t="s"/>
      <c r="F2545" s="66" t="s"/>
      <c r="G2545" s="66" t="s"/>
      <c r="H2545" s="66" t="s"/>
      <c r="I2545" s="62" t="s"/>
      <c r="J2545" s="62" t="s"/>
      <c r="K2545" s="99" t="s"/>
      <c r="L2545" s="66" t="s"/>
      <c r="M2545" s="66" t="s"/>
      <c r="N2545" s="572" t="s"/>
      <c r="O2545" s="62" t="s"/>
      <c r="P2545" s="62" t="s"/>
      <c r="Q2545" s="62" t="s"/>
      <c r="R2545" s="62" t="s"/>
    </row>
    <row r="2546" spans="1:18" ht="15.75" customHeight="true">
      <c r="A2546" s="107" t="s"/>
      <c r="B2546" s="62" t="s"/>
      <c r="C2546" s="62" t="s"/>
      <c r="D2546" s="62" t="s"/>
      <c r="E2546" s="62" t="s"/>
      <c r="F2546" s="66" t="s"/>
      <c r="G2546" s="66" t="s"/>
      <c r="H2546" s="66" t="s"/>
      <c r="I2546" s="62" t="s"/>
      <c r="J2546" s="62" t="s"/>
      <c r="K2546" s="99" t="s"/>
      <c r="L2546" s="66" t="s"/>
      <c r="M2546" s="66" t="s"/>
      <c r="N2546" s="572" t="s"/>
      <c r="O2546" s="62" t="s"/>
      <c r="P2546" s="62" t="s"/>
      <c r="Q2546" s="62" t="s"/>
      <c r="R2546" s="62" t="s"/>
    </row>
    <row r="2547" spans="1:18" ht="15.75" customHeight="true">
      <c r="A2547" s="107" t="s"/>
      <c r="B2547" s="62" t="s"/>
      <c r="C2547" s="62" t="s"/>
      <c r="D2547" s="62" t="s"/>
      <c r="E2547" s="62" t="s"/>
      <c r="F2547" s="66" t="s"/>
      <c r="G2547" s="66" t="s"/>
      <c r="H2547" s="66" t="s"/>
      <c r="I2547" s="62" t="s"/>
      <c r="J2547" s="62" t="s"/>
      <c r="K2547" s="99" t="s"/>
      <c r="L2547" s="66" t="s"/>
      <c r="M2547" s="66" t="s"/>
      <c r="N2547" s="572" t="s"/>
      <c r="O2547" s="62" t="s"/>
      <c r="P2547" s="62" t="s"/>
      <c r="Q2547" s="62" t="s"/>
      <c r="R2547" s="62" t="s"/>
    </row>
    <row r="2548" spans="1:18" ht="15.75" customHeight="true">
      <c r="A2548" s="107" t="s"/>
      <c r="B2548" s="62" t="s"/>
      <c r="C2548" s="62" t="s"/>
      <c r="D2548" s="62" t="s"/>
      <c r="E2548" s="62" t="s"/>
      <c r="F2548" s="66" t="s"/>
      <c r="G2548" s="66" t="s"/>
      <c r="H2548" s="66" t="s"/>
      <c r="I2548" s="62" t="s"/>
      <c r="J2548" s="62" t="s"/>
      <c r="K2548" s="99" t="s"/>
      <c r="L2548" s="66" t="s"/>
      <c r="M2548" s="66" t="s"/>
      <c r="N2548" s="572" t="s"/>
      <c r="O2548" s="62" t="s"/>
      <c r="P2548" s="62" t="s"/>
      <c r="Q2548" s="62" t="s"/>
      <c r="R2548" s="62" t="s"/>
    </row>
    <row r="2549" spans="1:18" ht="15.75" customHeight="true">
      <c r="A2549" s="107" t="s"/>
      <c r="B2549" s="62" t="s"/>
      <c r="C2549" s="62" t="s"/>
      <c r="D2549" s="62" t="s"/>
      <c r="E2549" s="62" t="s"/>
      <c r="F2549" s="66" t="s"/>
      <c r="G2549" s="66" t="s"/>
      <c r="H2549" s="66" t="s"/>
      <c r="I2549" s="62" t="s"/>
      <c r="J2549" s="62" t="s"/>
      <c r="K2549" s="99" t="s"/>
      <c r="L2549" s="66" t="s"/>
      <c r="M2549" s="66" t="s"/>
      <c r="N2549" s="572" t="s"/>
      <c r="O2549" s="62" t="s"/>
      <c r="P2549" s="62" t="s"/>
      <c r="Q2549" s="62" t="s"/>
      <c r="R2549" s="62" t="s"/>
    </row>
    <row r="2550" spans="1:18" ht="15.75" customHeight="true">
      <c r="A2550" s="107" t="s"/>
      <c r="B2550" s="62" t="s"/>
      <c r="C2550" s="62" t="s"/>
      <c r="D2550" s="62" t="s"/>
      <c r="E2550" s="62" t="s"/>
      <c r="F2550" s="66" t="s"/>
      <c r="G2550" s="66" t="s"/>
      <c r="H2550" s="66" t="s"/>
      <c r="I2550" s="62" t="s"/>
      <c r="J2550" s="62" t="s"/>
      <c r="K2550" s="99" t="s"/>
      <c r="L2550" s="66" t="s"/>
      <c r="M2550" s="66" t="s"/>
      <c r="N2550" s="572" t="s"/>
      <c r="O2550" s="62" t="s"/>
      <c r="P2550" s="62" t="s"/>
      <c r="Q2550" s="62" t="s"/>
      <c r="R2550" s="62" t="s"/>
    </row>
    <row r="2551" spans="1:18" ht="15.75" customHeight="true">
      <c r="A2551" s="107" t="s"/>
      <c r="B2551" s="62" t="s"/>
      <c r="C2551" s="62" t="s"/>
      <c r="D2551" s="62" t="s"/>
      <c r="E2551" s="62" t="s"/>
      <c r="F2551" s="66" t="s"/>
      <c r="G2551" s="66" t="s"/>
      <c r="H2551" s="66" t="s"/>
      <c r="I2551" s="62" t="s"/>
      <c r="J2551" s="62" t="s"/>
      <c r="K2551" s="99" t="s"/>
      <c r="L2551" s="66" t="s"/>
      <c r="M2551" s="66" t="s"/>
      <c r="N2551" s="572" t="s"/>
      <c r="O2551" s="62" t="s"/>
      <c r="P2551" s="62" t="s"/>
      <c r="Q2551" s="62" t="s"/>
      <c r="R2551" s="62" t="s"/>
    </row>
    <row r="2552" spans="1:18" ht="15.75" customHeight="true">
      <c r="A2552" s="107" t="s"/>
      <c r="B2552" s="62" t="s"/>
      <c r="C2552" s="62" t="s"/>
      <c r="D2552" s="62" t="s"/>
      <c r="E2552" s="62" t="s"/>
      <c r="F2552" s="66" t="s"/>
      <c r="G2552" s="66" t="s"/>
      <c r="H2552" s="66" t="s"/>
      <c r="I2552" s="62" t="s"/>
      <c r="J2552" s="62" t="s"/>
      <c r="K2552" s="99" t="s"/>
      <c r="L2552" s="66" t="s"/>
      <c r="M2552" s="66" t="s"/>
      <c r="N2552" s="572" t="s"/>
      <c r="O2552" s="62" t="s"/>
      <c r="P2552" s="62" t="s"/>
      <c r="Q2552" s="62" t="s"/>
      <c r="R2552" s="62" t="s"/>
    </row>
    <row r="2553" spans="1:18" ht="15.75" customHeight="true">
      <c r="A2553" s="107" t="s"/>
      <c r="B2553" s="62" t="s"/>
      <c r="C2553" s="62" t="s"/>
      <c r="D2553" s="62" t="s"/>
      <c r="E2553" s="62" t="s"/>
      <c r="F2553" s="66" t="s"/>
      <c r="G2553" s="66" t="s"/>
      <c r="H2553" s="66" t="s"/>
      <c r="I2553" s="62" t="s"/>
      <c r="J2553" s="62" t="s"/>
      <c r="K2553" s="99" t="s"/>
      <c r="L2553" s="66" t="s"/>
      <c r="M2553" s="66" t="s"/>
      <c r="N2553" s="572" t="s"/>
      <c r="O2553" s="62" t="s"/>
      <c r="P2553" s="62" t="s"/>
      <c r="Q2553" s="62" t="s"/>
      <c r="R2553" s="62" t="s"/>
    </row>
    <row r="2554" spans="1:18" ht="15.75" customHeight="true">
      <c r="A2554" s="107" t="s"/>
      <c r="B2554" s="62" t="s"/>
      <c r="C2554" s="62" t="s"/>
      <c r="D2554" s="62" t="s"/>
      <c r="E2554" s="62" t="s"/>
      <c r="F2554" s="66" t="s"/>
      <c r="G2554" s="66" t="s"/>
      <c r="H2554" s="66" t="s"/>
      <c r="I2554" s="62" t="s"/>
      <c r="J2554" s="62" t="s"/>
      <c r="K2554" s="99" t="s"/>
      <c r="L2554" s="66" t="s"/>
      <c r="M2554" s="66" t="s"/>
      <c r="N2554" s="572" t="s"/>
      <c r="O2554" s="62" t="s"/>
      <c r="P2554" s="62" t="s"/>
      <c r="Q2554" s="62" t="s"/>
      <c r="R2554" s="62" t="s"/>
    </row>
    <row r="2555" spans="1:18" ht="15.75" customHeight="true">
      <c r="A2555" s="107" t="s"/>
      <c r="B2555" s="62" t="s"/>
      <c r="C2555" s="62" t="s"/>
      <c r="D2555" s="62" t="s"/>
      <c r="E2555" s="62" t="s"/>
      <c r="F2555" s="66" t="s"/>
      <c r="G2555" s="66" t="s"/>
      <c r="H2555" s="66" t="s"/>
      <c r="I2555" s="62" t="s"/>
      <c r="J2555" s="62" t="s"/>
      <c r="K2555" s="99" t="s"/>
      <c r="L2555" s="66" t="s"/>
      <c r="M2555" s="66" t="s"/>
      <c r="N2555" s="572" t="s"/>
      <c r="O2555" s="62" t="s"/>
      <c r="P2555" s="62" t="s"/>
      <c r="Q2555" s="62" t="s"/>
      <c r="R2555" s="62" t="s"/>
    </row>
    <row r="2556" spans="1:18" ht="15.75" customHeight="true">
      <c r="A2556" s="107" t="s"/>
      <c r="B2556" s="62" t="s"/>
      <c r="C2556" s="62" t="s"/>
      <c r="D2556" s="62" t="s"/>
      <c r="E2556" s="62" t="s"/>
      <c r="F2556" s="66" t="s"/>
      <c r="G2556" s="66" t="s"/>
      <c r="H2556" s="66" t="s"/>
      <c r="I2556" s="62" t="s"/>
      <c r="J2556" s="62" t="s"/>
      <c r="K2556" s="99" t="s"/>
      <c r="L2556" s="66" t="s"/>
      <c r="M2556" s="66" t="s"/>
      <c r="N2556" s="572" t="s"/>
      <c r="O2556" s="62" t="s"/>
      <c r="P2556" s="62" t="s"/>
      <c r="Q2556" s="62" t="s"/>
      <c r="R2556" s="62" t="s"/>
    </row>
    <row r="2557" spans="1:18" ht="15.75" customHeight="true">
      <c r="A2557" s="107" t="s"/>
      <c r="B2557" s="62" t="s"/>
      <c r="C2557" s="62" t="s"/>
      <c r="D2557" s="62" t="s"/>
      <c r="E2557" s="62" t="s"/>
      <c r="F2557" s="66" t="s"/>
      <c r="G2557" s="66" t="s"/>
      <c r="H2557" s="66" t="s"/>
      <c r="I2557" s="62" t="s"/>
      <c r="J2557" s="62" t="s"/>
      <c r="K2557" s="99" t="s"/>
      <c r="L2557" s="66" t="s"/>
      <c r="M2557" s="66" t="s"/>
      <c r="N2557" s="572" t="s"/>
      <c r="O2557" s="62" t="s"/>
      <c r="P2557" s="62" t="s"/>
      <c r="Q2557" s="62" t="s"/>
      <c r="R2557" s="62" t="s"/>
    </row>
    <row r="2558" spans="1:18" ht="15.75" customHeight="true">
      <c r="A2558" s="107" t="s"/>
      <c r="B2558" s="62" t="s"/>
      <c r="C2558" s="62" t="s"/>
      <c r="D2558" s="62" t="s"/>
      <c r="E2558" s="62" t="s"/>
      <c r="F2558" s="66" t="s"/>
      <c r="G2558" s="66" t="s"/>
      <c r="H2558" s="66" t="s"/>
      <c r="I2558" s="62" t="s"/>
      <c r="J2558" s="62" t="s"/>
      <c r="K2558" s="99" t="s"/>
      <c r="L2558" s="66" t="s"/>
      <c r="M2558" s="66" t="s"/>
      <c r="N2558" s="572" t="s"/>
      <c r="O2558" s="62" t="s"/>
      <c r="P2558" s="62" t="s"/>
      <c r="Q2558" s="62" t="s"/>
      <c r="R2558" s="62" t="s"/>
    </row>
    <row r="2559" spans="1:18" ht="15.75" customHeight="true">
      <c r="A2559" s="107" t="s"/>
      <c r="B2559" s="62" t="s"/>
      <c r="C2559" s="62" t="s"/>
      <c r="D2559" s="62" t="s"/>
      <c r="E2559" s="62" t="s"/>
      <c r="F2559" s="66" t="s"/>
      <c r="G2559" s="66" t="s"/>
      <c r="H2559" s="66" t="s"/>
      <c r="I2559" s="62" t="s"/>
      <c r="J2559" s="62" t="s"/>
      <c r="K2559" s="99" t="s"/>
      <c r="L2559" s="66" t="s"/>
      <c r="M2559" s="66" t="s"/>
      <c r="N2559" s="572" t="s"/>
      <c r="O2559" s="62" t="s"/>
      <c r="P2559" s="62" t="s"/>
      <c r="Q2559" s="62" t="s"/>
      <c r="R2559" s="62" t="s"/>
    </row>
    <row r="2560" spans="1:18" ht="15.75" customHeight="true">
      <c r="A2560" s="107" t="s"/>
      <c r="B2560" s="62" t="s"/>
      <c r="C2560" s="62" t="s"/>
      <c r="D2560" s="62" t="s"/>
      <c r="E2560" s="62" t="s"/>
      <c r="F2560" s="66" t="s"/>
      <c r="G2560" s="66" t="s"/>
      <c r="H2560" s="66" t="s"/>
      <c r="I2560" s="62" t="s"/>
      <c r="J2560" s="62" t="s"/>
      <c r="K2560" s="99" t="s"/>
      <c r="L2560" s="66" t="s"/>
      <c r="M2560" s="66" t="s"/>
      <c r="N2560" s="572" t="s"/>
      <c r="O2560" s="62" t="s"/>
      <c r="P2560" s="62" t="s"/>
      <c r="Q2560" s="62" t="s"/>
      <c r="R2560" s="62" t="s"/>
    </row>
    <row r="2561" spans="1:18" ht="15.75" customHeight="true">
      <c r="A2561" s="107" t="s"/>
      <c r="B2561" s="62" t="s"/>
      <c r="C2561" s="62" t="s"/>
      <c r="D2561" s="62" t="s"/>
      <c r="E2561" s="62" t="s"/>
      <c r="F2561" s="66" t="s"/>
      <c r="G2561" s="66" t="s"/>
      <c r="H2561" s="66" t="s"/>
      <c r="I2561" s="62" t="s"/>
      <c r="J2561" s="62" t="s"/>
      <c r="K2561" s="99" t="s"/>
      <c r="L2561" s="66" t="s"/>
      <c r="M2561" s="66" t="s"/>
      <c r="N2561" s="572" t="s"/>
      <c r="O2561" s="62" t="s"/>
      <c r="P2561" s="62" t="s"/>
      <c r="Q2561" s="62" t="s"/>
      <c r="R2561" s="62" t="s"/>
    </row>
    <row r="2562" spans="1:18" ht="15.75" customHeight="true">
      <c r="A2562" s="107" t="s"/>
      <c r="B2562" s="62" t="s"/>
      <c r="C2562" s="62" t="s"/>
      <c r="D2562" s="62" t="s"/>
      <c r="E2562" s="62" t="s"/>
      <c r="F2562" s="66" t="s"/>
      <c r="G2562" s="66" t="s"/>
      <c r="H2562" s="66" t="s"/>
      <c r="I2562" s="62" t="s"/>
      <c r="J2562" s="62" t="s"/>
      <c r="K2562" s="99" t="s"/>
      <c r="L2562" s="66" t="s"/>
      <c r="M2562" s="66" t="s"/>
      <c r="N2562" s="572" t="s"/>
      <c r="O2562" s="62" t="s"/>
      <c r="P2562" s="62" t="s"/>
      <c r="Q2562" s="62" t="s"/>
      <c r="R2562" s="62" t="s"/>
    </row>
    <row r="2563" spans="1:18" ht="15.75" customHeight="true">
      <c r="A2563" s="107" t="s"/>
      <c r="B2563" s="62" t="s"/>
      <c r="C2563" s="62" t="s"/>
      <c r="D2563" s="62" t="s"/>
      <c r="E2563" s="62" t="s"/>
      <c r="F2563" s="66" t="s"/>
      <c r="G2563" s="66" t="s"/>
      <c r="H2563" s="66" t="s"/>
      <c r="I2563" s="62" t="s"/>
      <c r="J2563" s="62" t="s"/>
      <c r="K2563" s="99" t="s"/>
      <c r="L2563" s="66" t="s"/>
      <c r="M2563" s="66" t="s"/>
      <c r="N2563" s="572" t="s"/>
      <c r="O2563" s="62" t="s"/>
      <c r="P2563" s="62" t="s"/>
      <c r="Q2563" s="62" t="s"/>
      <c r="R2563" s="62" t="s"/>
    </row>
    <row r="2564" spans="1:18" ht="15.75" customHeight="true">
      <c r="A2564" s="107" t="s"/>
      <c r="B2564" s="62" t="s"/>
      <c r="C2564" s="62" t="s"/>
      <c r="D2564" s="62" t="s"/>
      <c r="E2564" s="62" t="s"/>
      <c r="F2564" s="66" t="s"/>
      <c r="G2564" s="66" t="s"/>
      <c r="H2564" s="66" t="s"/>
      <c r="I2564" s="62" t="s"/>
      <c r="J2564" s="62" t="s"/>
      <c r="K2564" s="99" t="s"/>
      <c r="L2564" s="66" t="s"/>
      <c r="M2564" s="66" t="s"/>
      <c r="N2564" s="572" t="s"/>
      <c r="O2564" s="62" t="s"/>
      <c r="P2564" s="62" t="s"/>
      <c r="Q2564" s="62" t="s"/>
      <c r="R2564" s="62" t="s"/>
    </row>
    <row r="2565" spans="1:18" ht="15.75" customHeight="true">
      <c r="A2565" s="107" t="s"/>
      <c r="B2565" s="62" t="s"/>
      <c r="C2565" s="62" t="s"/>
      <c r="D2565" s="62" t="s"/>
      <c r="E2565" s="62" t="s"/>
      <c r="F2565" s="66" t="s"/>
      <c r="G2565" s="66" t="s"/>
      <c r="H2565" s="66" t="s"/>
      <c r="I2565" s="62" t="s"/>
      <c r="J2565" s="62" t="s"/>
      <c r="K2565" s="99" t="s"/>
      <c r="L2565" s="66" t="s"/>
      <c r="M2565" s="66" t="s"/>
      <c r="N2565" s="572" t="s"/>
      <c r="O2565" s="62" t="s"/>
      <c r="P2565" s="62" t="s"/>
      <c r="Q2565" s="62" t="s"/>
      <c r="R2565" s="62" t="s"/>
    </row>
    <row r="2566" spans="1:18" ht="15.75" customHeight="true">
      <c r="A2566" s="107" t="s"/>
      <c r="B2566" s="62" t="s"/>
      <c r="C2566" s="62" t="s"/>
      <c r="D2566" s="62" t="s"/>
      <c r="E2566" s="62" t="s"/>
      <c r="F2566" s="66" t="s"/>
      <c r="G2566" s="66" t="s"/>
      <c r="H2566" s="66" t="s"/>
      <c r="I2566" s="62" t="s"/>
      <c r="J2566" s="62" t="s"/>
      <c r="K2566" s="99" t="s"/>
      <c r="L2566" s="66" t="s"/>
      <c r="M2566" s="66" t="s"/>
      <c r="N2566" s="572" t="s"/>
      <c r="O2566" s="62" t="s"/>
      <c r="P2566" s="62" t="s"/>
      <c r="Q2566" s="62" t="s"/>
      <c r="R2566" s="62" t="s"/>
    </row>
    <row r="2567" spans="1:18" ht="15.75" customHeight="true">
      <c r="A2567" s="107" t="s"/>
      <c r="B2567" s="62" t="s"/>
      <c r="C2567" s="62" t="s"/>
      <c r="D2567" s="62" t="s"/>
      <c r="E2567" s="62" t="s"/>
      <c r="F2567" s="66" t="s"/>
      <c r="G2567" s="66" t="s"/>
      <c r="H2567" s="66" t="s"/>
      <c r="I2567" s="62" t="s"/>
      <c r="J2567" s="62" t="s"/>
      <c r="K2567" s="99" t="s"/>
      <c r="L2567" s="66" t="s"/>
      <c r="M2567" s="66" t="s"/>
      <c r="N2567" s="572" t="s"/>
      <c r="O2567" s="62" t="s"/>
      <c r="P2567" s="62" t="s"/>
      <c r="Q2567" s="62" t="s"/>
      <c r="R2567" s="62" t="s"/>
    </row>
    <row r="2568" spans="1:18" ht="15.75" customHeight="true">
      <c r="A2568" s="107" t="s"/>
      <c r="B2568" s="62" t="s"/>
      <c r="C2568" s="62" t="s"/>
      <c r="D2568" s="62" t="s"/>
      <c r="E2568" s="62" t="s"/>
      <c r="F2568" s="66" t="s"/>
      <c r="G2568" s="66" t="s"/>
      <c r="H2568" s="66" t="s"/>
      <c r="I2568" s="62" t="s"/>
      <c r="J2568" s="62" t="s"/>
      <c r="K2568" s="99" t="s"/>
      <c r="L2568" s="66" t="s"/>
      <c r="M2568" s="66" t="s"/>
      <c r="N2568" s="572" t="s"/>
      <c r="O2568" s="62" t="s"/>
      <c r="P2568" s="62" t="s"/>
      <c r="Q2568" s="62" t="s"/>
      <c r="R2568" s="62" t="s"/>
    </row>
    <row r="2569" spans="1:18" ht="15.75" customHeight="true">
      <c r="A2569" s="107" t="s"/>
      <c r="B2569" s="62" t="s"/>
      <c r="C2569" s="62" t="s"/>
      <c r="D2569" s="62" t="s"/>
      <c r="E2569" s="62" t="s"/>
      <c r="F2569" s="66" t="s"/>
      <c r="G2569" s="66" t="s"/>
      <c r="H2569" s="66" t="s"/>
      <c r="I2569" s="62" t="s"/>
      <c r="J2569" s="62" t="s"/>
      <c r="K2569" s="99" t="s"/>
      <c r="L2569" s="66" t="s"/>
      <c r="M2569" s="66" t="s"/>
      <c r="N2569" s="572" t="s"/>
      <c r="O2569" s="62" t="s"/>
      <c r="P2569" s="62" t="s"/>
      <c r="Q2569" s="62" t="s"/>
      <c r="R2569" s="62" t="s"/>
    </row>
    <row r="2570" spans="1:18" ht="15.75" customHeight="true">
      <c r="A2570" s="107" t="s"/>
      <c r="B2570" s="62" t="s"/>
      <c r="C2570" s="62" t="s"/>
      <c r="D2570" s="62" t="s"/>
      <c r="E2570" s="62" t="s"/>
      <c r="F2570" s="66" t="s"/>
      <c r="G2570" s="66" t="s"/>
      <c r="H2570" s="66" t="s"/>
      <c r="I2570" s="62" t="s"/>
      <c r="J2570" s="62" t="s"/>
      <c r="K2570" s="99" t="s"/>
      <c r="L2570" s="66" t="s"/>
      <c r="M2570" s="66" t="s"/>
      <c r="N2570" s="572" t="s"/>
      <c r="O2570" s="62" t="s"/>
      <c r="P2570" s="62" t="s"/>
      <c r="Q2570" s="62" t="s"/>
      <c r="R2570" s="62" t="s"/>
    </row>
    <row r="2571" spans="1:18" ht="15.75" customHeight="true">
      <c r="A2571" s="107" t="s"/>
      <c r="B2571" s="62" t="s"/>
      <c r="C2571" s="62" t="s"/>
      <c r="D2571" s="62" t="s"/>
      <c r="E2571" s="62" t="s"/>
      <c r="F2571" s="66" t="s"/>
      <c r="G2571" s="66" t="s"/>
      <c r="H2571" s="66" t="s"/>
      <c r="I2571" s="62" t="s"/>
      <c r="J2571" s="62" t="s"/>
      <c r="K2571" s="99" t="s"/>
      <c r="L2571" s="66" t="s"/>
      <c r="M2571" s="66" t="s"/>
      <c r="N2571" s="572" t="s"/>
      <c r="O2571" s="62" t="s"/>
      <c r="P2571" s="62" t="s"/>
      <c r="Q2571" s="62" t="s"/>
      <c r="R2571" s="62" t="s"/>
    </row>
    <row r="2572" spans="1:18" ht="15.75" customHeight="true">
      <c r="A2572" s="107" t="s"/>
      <c r="B2572" s="62" t="s"/>
      <c r="C2572" s="62" t="s"/>
      <c r="D2572" s="62" t="s"/>
      <c r="E2572" s="62" t="s"/>
      <c r="F2572" s="66" t="s"/>
      <c r="G2572" s="66" t="s"/>
      <c r="H2572" s="66" t="s"/>
      <c r="I2572" s="62" t="s"/>
      <c r="J2572" s="62" t="s"/>
      <c r="K2572" s="99" t="s"/>
      <c r="L2572" s="66" t="s"/>
      <c r="M2572" s="66" t="s"/>
      <c r="N2572" s="572" t="s"/>
      <c r="O2572" s="62" t="s"/>
      <c r="P2572" s="62" t="s"/>
      <c r="Q2572" s="62" t="s"/>
      <c r="R2572" s="62" t="s"/>
    </row>
    <row r="2573" spans="1:18" ht="15.75" customHeight="true">
      <c r="A2573" s="107" t="s"/>
      <c r="B2573" s="62" t="s"/>
      <c r="C2573" s="62" t="s"/>
      <c r="D2573" s="62" t="s"/>
      <c r="E2573" s="62" t="s"/>
      <c r="F2573" s="66" t="s"/>
      <c r="G2573" s="66" t="s"/>
      <c r="H2573" s="66" t="s"/>
      <c r="I2573" s="62" t="s"/>
      <c r="J2573" s="62" t="s"/>
      <c r="K2573" s="99" t="s"/>
      <c r="L2573" s="66" t="s"/>
      <c r="M2573" s="66" t="s"/>
      <c r="N2573" s="572" t="s"/>
      <c r="O2573" s="62" t="s"/>
      <c r="P2573" s="62" t="s"/>
      <c r="Q2573" s="62" t="s"/>
      <c r="R2573" s="62" t="s"/>
    </row>
    <row r="2574" spans="1:18" ht="15.75" customHeight="true">
      <c r="A2574" s="107" t="s"/>
      <c r="B2574" s="62" t="s"/>
      <c r="C2574" s="62" t="s"/>
      <c r="D2574" s="62" t="s"/>
      <c r="E2574" s="62" t="s"/>
      <c r="F2574" s="66" t="s"/>
      <c r="G2574" s="66" t="s"/>
      <c r="H2574" s="66" t="s"/>
      <c r="I2574" s="62" t="s"/>
      <c r="J2574" s="62" t="s"/>
      <c r="K2574" s="99" t="s"/>
      <c r="L2574" s="66" t="s"/>
      <c r="M2574" s="66" t="s"/>
      <c r="N2574" s="572" t="s"/>
      <c r="O2574" s="62" t="s"/>
      <c r="P2574" s="62" t="s"/>
      <c r="Q2574" s="62" t="s"/>
      <c r="R2574" s="62" t="s"/>
    </row>
    <row r="2575" spans="1:18" ht="15.75" customHeight="true">
      <c r="A2575" s="107" t="s"/>
      <c r="B2575" s="62" t="s"/>
      <c r="C2575" s="62" t="s"/>
      <c r="D2575" s="62" t="s"/>
      <c r="E2575" s="62" t="s"/>
      <c r="F2575" s="66" t="s"/>
      <c r="G2575" s="66" t="s"/>
      <c r="H2575" s="66" t="s"/>
      <c r="I2575" s="62" t="s"/>
      <c r="J2575" s="62" t="s"/>
      <c r="K2575" s="99" t="s"/>
      <c r="L2575" s="66" t="s"/>
      <c r="M2575" s="66" t="s"/>
      <c r="N2575" s="572" t="s"/>
      <c r="O2575" s="62" t="s"/>
      <c r="P2575" s="62" t="s"/>
      <c r="Q2575" s="62" t="s"/>
      <c r="R2575" s="62" t="s"/>
    </row>
    <row r="2576" spans="1:18" ht="15.75" customHeight="true">
      <c r="A2576" s="107" t="s"/>
      <c r="B2576" s="62" t="s"/>
      <c r="C2576" s="62" t="s"/>
      <c r="D2576" s="62" t="s"/>
      <c r="E2576" s="62" t="s"/>
      <c r="F2576" s="66" t="s"/>
      <c r="G2576" s="66" t="s"/>
      <c r="H2576" s="66" t="s"/>
      <c r="I2576" s="62" t="s"/>
      <c r="J2576" s="62" t="s"/>
      <c r="K2576" s="99" t="s"/>
      <c r="L2576" s="66" t="s"/>
      <c r="M2576" s="66" t="s"/>
      <c r="N2576" s="572" t="s"/>
      <c r="O2576" s="62" t="s"/>
      <c r="P2576" s="62" t="s"/>
      <c r="Q2576" s="62" t="s"/>
      <c r="R2576" s="62" t="s"/>
    </row>
    <row r="2577" spans="1:18" ht="15.75" customHeight="true">
      <c r="A2577" s="107" t="s"/>
      <c r="B2577" s="62" t="s"/>
      <c r="C2577" s="62" t="s"/>
      <c r="D2577" s="62" t="s"/>
      <c r="E2577" s="62" t="s"/>
      <c r="F2577" s="66" t="s"/>
      <c r="G2577" s="66" t="s"/>
      <c r="H2577" s="66" t="s"/>
      <c r="I2577" s="62" t="s"/>
      <c r="J2577" s="62" t="s"/>
      <c r="K2577" s="99" t="s"/>
      <c r="L2577" s="66" t="s"/>
      <c r="M2577" s="66" t="s"/>
      <c r="N2577" s="572" t="s"/>
      <c r="O2577" s="62" t="s"/>
      <c r="P2577" s="62" t="s"/>
      <c r="Q2577" s="62" t="s"/>
      <c r="R2577" s="62" t="s"/>
    </row>
    <row r="2578" spans="1:18" ht="15.75" customHeight="true">
      <c r="A2578" s="107" t="s"/>
      <c r="B2578" s="62" t="s"/>
      <c r="C2578" s="62" t="s"/>
      <c r="D2578" s="62" t="s"/>
      <c r="E2578" s="62" t="s"/>
      <c r="F2578" s="66" t="s"/>
      <c r="G2578" s="66" t="s"/>
      <c r="H2578" s="66" t="s"/>
      <c r="I2578" s="62" t="s"/>
      <c r="J2578" s="62" t="s"/>
      <c r="K2578" s="99" t="s"/>
      <c r="L2578" s="66" t="s"/>
      <c r="M2578" s="66" t="s"/>
      <c r="N2578" s="572" t="s"/>
      <c r="O2578" s="62" t="s"/>
      <c r="P2578" s="62" t="s"/>
      <c r="Q2578" s="62" t="s"/>
      <c r="R2578" s="62" t="s"/>
    </row>
    <row r="2579" spans="1:18" ht="15.75" customHeight="true">
      <c r="A2579" s="107" t="s"/>
      <c r="B2579" s="62" t="s"/>
      <c r="C2579" s="62" t="s"/>
      <c r="D2579" s="62" t="s"/>
      <c r="E2579" s="62" t="s"/>
      <c r="F2579" s="66" t="s"/>
      <c r="G2579" s="66" t="s"/>
      <c r="H2579" s="66" t="s"/>
      <c r="I2579" s="62" t="s"/>
      <c r="J2579" s="62" t="s"/>
      <c r="K2579" s="99" t="s"/>
      <c r="L2579" s="66" t="s"/>
      <c r="M2579" s="66" t="s"/>
      <c r="N2579" s="572" t="s"/>
      <c r="O2579" s="62" t="s"/>
      <c r="P2579" s="62" t="s"/>
      <c r="Q2579" s="62" t="s"/>
      <c r="R2579" s="62" t="s"/>
    </row>
    <row r="2580" spans="1:18" ht="15.75" customHeight="true">
      <c r="A2580" s="107" t="s"/>
      <c r="B2580" s="62" t="s"/>
      <c r="C2580" s="62" t="s"/>
      <c r="D2580" s="62" t="s"/>
      <c r="E2580" s="62" t="s"/>
      <c r="F2580" s="66" t="s"/>
      <c r="G2580" s="66" t="s"/>
      <c r="H2580" s="66" t="s"/>
      <c r="I2580" s="62" t="s"/>
      <c r="J2580" s="62" t="s"/>
      <c r="K2580" s="99" t="s"/>
      <c r="L2580" s="66" t="s"/>
      <c r="M2580" s="66" t="s"/>
      <c r="N2580" s="572" t="s"/>
      <c r="O2580" s="62" t="s"/>
      <c r="P2580" s="62" t="s"/>
      <c r="Q2580" s="62" t="s"/>
      <c r="R2580" s="62" t="s"/>
    </row>
    <row r="2581" spans="1:18" ht="15.75" customHeight="true">
      <c r="A2581" s="107" t="s"/>
      <c r="B2581" s="62" t="s"/>
      <c r="C2581" s="62" t="s"/>
      <c r="D2581" s="62" t="s"/>
      <c r="E2581" s="62" t="s"/>
      <c r="F2581" s="66" t="s"/>
      <c r="G2581" s="66" t="s"/>
      <c r="H2581" s="66" t="s"/>
      <c r="I2581" s="62" t="s"/>
      <c r="J2581" s="62" t="s"/>
      <c r="K2581" s="99" t="s"/>
      <c r="L2581" s="66" t="s"/>
      <c r="M2581" s="66" t="s"/>
      <c r="N2581" s="572" t="s"/>
      <c r="O2581" s="62" t="s"/>
      <c r="P2581" s="62" t="s"/>
      <c r="Q2581" s="62" t="s"/>
      <c r="R2581" s="62" t="s"/>
    </row>
    <row r="2582" spans="1:18" ht="15.75" customHeight="true">
      <c r="A2582" s="107" t="s"/>
      <c r="B2582" s="62" t="s"/>
      <c r="C2582" s="62" t="s"/>
      <c r="D2582" s="62" t="s"/>
      <c r="E2582" s="62" t="s"/>
      <c r="F2582" s="66" t="s"/>
      <c r="G2582" s="66" t="s"/>
      <c r="H2582" s="66" t="s"/>
      <c r="I2582" s="62" t="s"/>
      <c r="J2582" s="62" t="s"/>
      <c r="K2582" s="99" t="s"/>
      <c r="L2582" s="66" t="s"/>
      <c r="M2582" s="66" t="s"/>
      <c r="N2582" s="572" t="s"/>
      <c r="O2582" s="62" t="s"/>
      <c r="P2582" s="62" t="s"/>
      <c r="Q2582" s="62" t="s"/>
      <c r="R2582" s="62" t="s"/>
    </row>
    <row r="2583" spans="1:18" ht="15.75" customHeight="true">
      <c r="A2583" s="107" t="s"/>
      <c r="B2583" s="62" t="s"/>
      <c r="C2583" s="62" t="s"/>
      <c r="D2583" s="62" t="s"/>
      <c r="E2583" s="62" t="s"/>
      <c r="F2583" s="66" t="s"/>
      <c r="G2583" s="66" t="s"/>
      <c r="H2583" s="66" t="s"/>
      <c r="I2583" s="62" t="s"/>
      <c r="J2583" s="62" t="s"/>
      <c r="K2583" s="99" t="s"/>
      <c r="L2583" s="66" t="s"/>
      <c r="M2583" s="66" t="s"/>
      <c r="N2583" s="572" t="s"/>
      <c r="O2583" s="62" t="s"/>
      <c r="P2583" s="62" t="s"/>
      <c r="Q2583" s="62" t="s"/>
      <c r="R2583" s="62" t="s"/>
    </row>
    <row r="2584" spans="1:18" ht="15.75" customHeight="true">
      <c r="A2584" s="107" t="s"/>
      <c r="B2584" s="62" t="s"/>
      <c r="C2584" s="62" t="s"/>
      <c r="D2584" s="62" t="s"/>
      <c r="E2584" s="62" t="s"/>
      <c r="F2584" s="66" t="s"/>
      <c r="G2584" s="66" t="s"/>
      <c r="H2584" s="66" t="s"/>
      <c r="I2584" s="62" t="s"/>
      <c r="J2584" s="62" t="s"/>
      <c r="K2584" s="99" t="s"/>
      <c r="L2584" s="66" t="s"/>
      <c r="M2584" s="66" t="s"/>
      <c r="N2584" s="572" t="s"/>
      <c r="O2584" s="62" t="s"/>
      <c r="P2584" s="62" t="s"/>
      <c r="Q2584" s="62" t="s"/>
      <c r="R2584" s="62" t="s"/>
    </row>
    <row r="2585" spans="1:18" ht="15.75" customHeight="true">
      <c r="A2585" s="107" t="s"/>
      <c r="B2585" s="62" t="s"/>
      <c r="C2585" s="62" t="s"/>
      <c r="D2585" s="62" t="s"/>
      <c r="E2585" s="62" t="s"/>
      <c r="F2585" s="66" t="s"/>
      <c r="G2585" s="66" t="s"/>
      <c r="H2585" s="66" t="s"/>
      <c r="I2585" s="62" t="s"/>
      <c r="J2585" s="62" t="s"/>
      <c r="K2585" s="99" t="s"/>
      <c r="L2585" s="66" t="s"/>
      <c r="M2585" s="66" t="s"/>
      <c r="N2585" s="572" t="s"/>
      <c r="O2585" s="62" t="s"/>
      <c r="P2585" s="62" t="s"/>
      <c r="Q2585" s="62" t="s"/>
      <c r="R2585" s="62" t="s"/>
    </row>
    <row r="2586" spans="1:18" ht="15.75" customHeight="true">
      <c r="A2586" s="107" t="s"/>
      <c r="B2586" s="62" t="s"/>
      <c r="C2586" s="62" t="s"/>
      <c r="D2586" s="62" t="s"/>
      <c r="E2586" s="62" t="s"/>
      <c r="F2586" s="66" t="s"/>
      <c r="G2586" s="66" t="s"/>
      <c r="H2586" s="66" t="s"/>
      <c r="I2586" s="62" t="s"/>
      <c r="J2586" s="62" t="s"/>
      <c r="K2586" s="99" t="s"/>
      <c r="L2586" s="66" t="s"/>
      <c r="M2586" s="66" t="s"/>
      <c r="N2586" s="572" t="s"/>
      <c r="O2586" s="62" t="s"/>
      <c r="P2586" s="62" t="s"/>
      <c r="Q2586" s="62" t="s"/>
      <c r="R2586" s="62" t="s"/>
    </row>
    <row r="2587" spans="1:18" ht="15.75" customHeight="true">
      <c r="A2587" s="107" t="s"/>
      <c r="B2587" s="62" t="s"/>
      <c r="C2587" s="62" t="s"/>
      <c r="D2587" s="62" t="s"/>
      <c r="E2587" s="62" t="s"/>
      <c r="F2587" s="66" t="s"/>
      <c r="G2587" s="66" t="s"/>
      <c r="H2587" s="66" t="s"/>
      <c r="I2587" s="62" t="s"/>
      <c r="J2587" s="62" t="s"/>
      <c r="K2587" s="99" t="s"/>
      <c r="L2587" s="66" t="s"/>
      <c r="M2587" s="66" t="s"/>
      <c r="N2587" s="572" t="s"/>
      <c r="O2587" s="62" t="s"/>
      <c r="P2587" s="62" t="s"/>
      <c r="Q2587" s="62" t="s"/>
      <c r="R2587" s="62" t="s"/>
    </row>
    <row r="2588" spans="1:18" ht="15.75" customHeight="true">
      <c r="A2588" s="107" t="s"/>
      <c r="B2588" s="62" t="s"/>
      <c r="C2588" s="62" t="s"/>
      <c r="D2588" s="62" t="s"/>
      <c r="E2588" s="62" t="s"/>
      <c r="F2588" s="66" t="s"/>
      <c r="G2588" s="66" t="s"/>
      <c r="H2588" s="66" t="s"/>
      <c r="I2588" s="62" t="s"/>
      <c r="J2588" s="62" t="s"/>
      <c r="K2588" s="99" t="s"/>
      <c r="L2588" s="66" t="s"/>
      <c r="M2588" s="66" t="s"/>
      <c r="N2588" s="572" t="s"/>
      <c r="O2588" s="62" t="s"/>
      <c r="P2588" s="62" t="s"/>
      <c r="Q2588" s="62" t="s"/>
      <c r="R2588" s="62" t="s"/>
    </row>
    <row r="2589" spans="1:18" ht="15.75" customHeight="true">
      <c r="A2589" s="107" t="s"/>
      <c r="B2589" s="62" t="s"/>
      <c r="C2589" s="62" t="s"/>
      <c r="D2589" s="62" t="s"/>
      <c r="E2589" s="62" t="s"/>
      <c r="F2589" s="66" t="s"/>
      <c r="G2589" s="66" t="s"/>
      <c r="H2589" s="66" t="s"/>
      <c r="I2589" s="62" t="s"/>
      <c r="J2589" s="62" t="s"/>
      <c r="K2589" s="99" t="s"/>
      <c r="L2589" s="66" t="s"/>
      <c r="M2589" s="66" t="s"/>
      <c r="N2589" s="572" t="s"/>
      <c r="O2589" s="62" t="s"/>
      <c r="P2589" s="62" t="s"/>
      <c r="Q2589" s="62" t="s"/>
      <c r="R2589" s="62" t="s"/>
    </row>
    <row r="2590" spans="1:18" ht="15.75" customHeight="true">
      <c r="A2590" s="107" t="s"/>
      <c r="B2590" s="62" t="s"/>
      <c r="C2590" s="62" t="s"/>
      <c r="D2590" s="62" t="s"/>
      <c r="E2590" s="62" t="s"/>
      <c r="F2590" s="66" t="s"/>
      <c r="G2590" s="66" t="s"/>
      <c r="H2590" s="66" t="s"/>
      <c r="I2590" s="62" t="s"/>
      <c r="J2590" s="62" t="s"/>
      <c r="K2590" s="99" t="s"/>
      <c r="L2590" s="66" t="s"/>
      <c r="M2590" s="66" t="s"/>
      <c r="N2590" s="572" t="s"/>
      <c r="O2590" s="62" t="s"/>
      <c r="P2590" s="62" t="s"/>
      <c r="Q2590" s="62" t="s"/>
      <c r="R2590" s="62" t="s"/>
    </row>
    <row r="2591" spans="1:18" ht="15.75" customHeight="true">
      <c r="A2591" s="107" t="s"/>
      <c r="B2591" s="62" t="s"/>
      <c r="C2591" s="62" t="s"/>
      <c r="D2591" s="62" t="s"/>
      <c r="E2591" s="62" t="s"/>
      <c r="F2591" s="66" t="s"/>
      <c r="G2591" s="66" t="s"/>
      <c r="H2591" s="66" t="s"/>
      <c r="I2591" s="62" t="s"/>
      <c r="J2591" s="62" t="s"/>
      <c r="K2591" s="99" t="s"/>
      <c r="L2591" s="66" t="s"/>
      <c r="M2591" s="66" t="s"/>
      <c r="N2591" s="572" t="s"/>
      <c r="O2591" s="62" t="s"/>
      <c r="P2591" s="62" t="s"/>
      <c r="Q2591" s="62" t="s"/>
      <c r="R2591" s="62" t="s"/>
    </row>
    <row r="2592" spans="1:18" ht="15.75" customHeight="true">
      <c r="A2592" s="107" t="s"/>
      <c r="B2592" s="62" t="s"/>
      <c r="C2592" s="62" t="s"/>
      <c r="D2592" s="62" t="s"/>
      <c r="E2592" s="62" t="s"/>
      <c r="F2592" s="66" t="s"/>
      <c r="G2592" s="66" t="s"/>
      <c r="H2592" s="66" t="s"/>
      <c r="I2592" s="62" t="s"/>
      <c r="J2592" s="62" t="s"/>
      <c r="K2592" s="99" t="s"/>
      <c r="L2592" s="66" t="s"/>
      <c r="M2592" s="66" t="s"/>
      <c r="N2592" s="572" t="s"/>
      <c r="O2592" s="62" t="s"/>
      <c r="P2592" s="62" t="s"/>
      <c r="Q2592" s="62" t="s"/>
      <c r="R2592" s="62" t="s"/>
    </row>
    <row r="2593" spans="1:18" ht="15.75" customHeight="true">
      <c r="A2593" s="107" t="s"/>
      <c r="B2593" s="62" t="s"/>
      <c r="C2593" s="62" t="s"/>
      <c r="D2593" s="62" t="s"/>
      <c r="E2593" s="62" t="s"/>
      <c r="F2593" s="66" t="s"/>
      <c r="G2593" s="66" t="s"/>
      <c r="H2593" s="66" t="s"/>
      <c r="I2593" s="62" t="s"/>
      <c r="J2593" s="62" t="s"/>
      <c r="K2593" s="99" t="s"/>
      <c r="L2593" s="66" t="s"/>
      <c r="M2593" s="66" t="s"/>
      <c r="N2593" s="572" t="s"/>
      <c r="O2593" s="62" t="s"/>
      <c r="P2593" s="62" t="s"/>
      <c r="Q2593" s="62" t="s"/>
      <c r="R2593" s="62" t="s"/>
    </row>
    <row r="2594" spans="1:18" ht="15.75" customHeight="true">
      <c r="A2594" s="107" t="s"/>
      <c r="B2594" s="62" t="s"/>
      <c r="C2594" s="62" t="s"/>
      <c r="D2594" s="62" t="s"/>
      <c r="E2594" s="62" t="s"/>
      <c r="F2594" s="66" t="s"/>
      <c r="G2594" s="66" t="s"/>
      <c r="H2594" s="66" t="s"/>
      <c r="I2594" s="62" t="s"/>
      <c r="J2594" s="62" t="s"/>
      <c r="K2594" s="99" t="s"/>
      <c r="L2594" s="66" t="s"/>
      <c r="M2594" s="66" t="s"/>
      <c r="N2594" s="572" t="s"/>
      <c r="O2594" s="62" t="s"/>
      <c r="P2594" s="62" t="s"/>
      <c r="Q2594" s="62" t="s"/>
      <c r="R2594" s="62" t="s"/>
    </row>
    <row r="2595" spans="1:18" ht="15.75" customHeight="true">
      <c r="A2595" s="107" t="s"/>
      <c r="B2595" s="62" t="s"/>
      <c r="C2595" s="62" t="s"/>
      <c r="D2595" s="62" t="s"/>
      <c r="E2595" s="62" t="s"/>
      <c r="F2595" s="66" t="s"/>
      <c r="G2595" s="66" t="s"/>
      <c r="H2595" s="66" t="s"/>
      <c r="I2595" s="62" t="s"/>
      <c r="J2595" s="62" t="s"/>
      <c r="K2595" s="99" t="s"/>
      <c r="L2595" s="66" t="s"/>
      <c r="M2595" s="66" t="s"/>
      <c r="N2595" s="572" t="s"/>
      <c r="O2595" s="62" t="s"/>
      <c r="P2595" s="62" t="s"/>
      <c r="Q2595" s="62" t="s"/>
      <c r="R2595" s="62" t="s"/>
    </row>
    <row r="2596" spans="1:18" ht="15.75" customHeight="true">
      <c r="A2596" s="107" t="s"/>
      <c r="B2596" s="62" t="s"/>
      <c r="C2596" s="62" t="s"/>
      <c r="D2596" s="62" t="s"/>
      <c r="E2596" s="62" t="s"/>
      <c r="F2596" s="66" t="s"/>
      <c r="G2596" s="66" t="s"/>
      <c r="H2596" s="66" t="s"/>
      <c r="I2596" s="62" t="s"/>
      <c r="J2596" s="62" t="s"/>
      <c r="K2596" s="99" t="s"/>
      <c r="L2596" s="66" t="s"/>
      <c r="M2596" s="66" t="s"/>
      <c r="N2596" s="572" t="s"/>
      <c r="O2596" s="62" t="s"/>
      <c r="P2596" s="62" t="s"/>
      <c r="Q2596" s="62" t="s"/>
      <c r="R2596" s="62" t="s"/>
    </row>
    <row r="2597" spans="1:18" ht="15.75" customHeight="true">
      <c r="A2597" s="107" t="s"/>
      <c r="B2597" s="62" t="s"/>
      <c r="C2597" s="62" t="s"/>
      <c r="D2597" s="62" t="s"/>
      <c r="E2597" s="62" t="s"/>
      <c r="F2597" s="66" t="s"/>
      <c r="G2597" s="66" t="s"/>
      <c r="H2597" s="66" t="s"/>
      <c r="I2597" s="62" t="s"/>
      <c r="J2597" s="62" t="s"/>
      <c r="K2597" s="99" t="s"/>
      <c r="L2597" s="66" t="s"/>
      <c r="M2597" s="66" t="s"/>
      <c r="N2597" s="572" t="s"/>
      <c r="O2597" s="62" t="s"/>
      <c r="P2597" s="62" t="s"/>
      <c r="Q2597" s="62" t="s"/>
      <c r="R2597" s="62" t="s"/>
    </row>
    <row r="2598" spans="1:18" ht="15.75" customHeight="true">
      <c r="A2598" s="107" t="s"/>
      <c r="B2598" s="62" t="s"/>
      <c r="C2598" s="62" t="s"/>
      <c r="D2598" s="62" t="s"/>
      <c r="E2598" s="62" t="s"/>
      <c r="F2598" s="66" t="s"/>
      <c r="G2598" s="66" t="s"/>
      <c r="H2598" s="66" t="s"/>
      <c r="I2598" s="62" t="s"/>
      <c r="J2598" s="62" t="s"/>
      <c r="K2598" s="99" t="s"/>
      <c r="L2598" s="66" t="s"/>
      <c r="M2598" s="66" t="s"/>
      <c r="N2598" s="572" t="s"/>
      <c r="O2598" s="62" t="s"/>
      <c r="P2598" s="62" t="s"/>
      <c r="Q2598" s="62" t="s"/>
      <c r="R2598" s="62" t="s"/>
    </row>
    <row r="2599" spans="1:18" ht="15.75" customHeight="true">
      <c r="A2599" s="107" t="s"/>
      <c r="B2599" s="62" t="s"/>
      <c r="C2599" s="62" t="s"/>
      <c r="D2599" s="62" t="s"/>
      <c r="E2599" s="62" t="s"/>
      <c r="F2599" s="66" t="s"/>
      <c r="G2599" s="66" t="s"/>
      <c r="H2599" s="66" t="s"/>
      <c r="I2599" s="62" t="s"/>
      <c r="J2599" s="62" t="s"/>
      <c r="K2599" s="99" t="s"/>
      <c r="L2599" s="66" t="s"/>
      <c r="M2599" s="66" t="s"/>
      <c r="N2599" s="572" t="s"/>
      <c r="O2599" s="62" t="s"/>
      <c r="P2599" s="62" t="s"/>
      <c r="Q2599" s="62" t="s"/>
      <c r="R2599" s="62" t="s"/>
    </row>
    <row r="2600" spans="1:18" ht="15.75" customHeight="true">
      <c r="A2600" s="107" t="s"/>
      <c r="B2600" s="62" t="s"/>
      <c r="C2600" s="62" t="s"/>
      <c r="D2600" s="62" t="s"/>
      <c r="E2600" s="62" t="s"/>
      <c r="F2600" s="66" t="s"/>
      <c r="G2600" s="66" t="s"/>
      <c r="H2600" s="66" t="s"/>
      <c r="I2600" s="62" t="s"/>
      <c r="J2600" s="62" t="s"/>
      <c r="K2600" s="99" t="s"/>
      <c r="L2600" s="66" t="s"/>
      <c r="M2600" s="66" t="s"/>
      <c r="N2600" s="572" t="s"/>
      <c r="O2600" s="62" t="s"/>
      <c r="P2600" s="62" t="s"/>
      <c r="Q2600" s="62" t="s"/>
      <c r="R2600" s="62" t="s"/>
    </row>
    <row r="2601" spans="1:18" ht="15.75" customHeight="true">
      <c r="A2601" s="107" t="s"/>
      <c r="B2601" s="62" t="s"/>
      <c r="C2601" s="62" t="s"/>
      <c r="D2601" s="62" t="s"/>
      <c r="E2601" s="62" t="s"/>
      <c r="F2601" s="66" t="s"/>
      <c r="G2601" s="66" t="s"/>
      <c r="H2601" s="66" t="s"/>
      <c r="I2601" s="62" t="s"/>
      <c r="J2601" s="62" t="s"/>
      <c r="K2601" s="99" t="s"/>
      <c r="L2601" s="66" t="s"/>
      <c r="M2601" s="66" t="s"/>
      <c r="N2601" s="572" t="s"/>
      <c r="O2601" s="62" t="s"/>
      <c r="P2601" s="62" t="s"/>
      <c r="Q2601" s="62" t="s"/>
      <c r="R2601" s="62" t="s"/>
    </row>
    <row r="2602" spans="1:18" ht="15.75" customHeight="true">
      <c r="A2602" s="107" t="s"/>
      <c r="B2602" s="62" t="s"/>
      <c r="C2602" s="62" t="s"/>
      <c r="D2602" s="62" t="s"/>
      <c r="E2602" s="62" t="s"/>
      <c r="F2602" s="66" t="s"/>
      <c r="G2602" s="66" t="s"/>
      <c r="H2602" s="66" t="s"/>
      <c r="I2602" s="62" t="s"/>
      <c r="J2602" s="62" t="s"/>
      <c r="K2602" s="99" t="s"/>
      <c r="L2602" s="66" t="s"/>
      <c r="M2602" s="66" t="s"/>
      <c r="N2602" s="572" t="s"/>
      <c r="O2602" s="62" t="s"/>
      <c r="P2602" s="62" t="s"/>
      <c r="Q2602" s="62" t="s"/>
      <c r="R2602" s="62" t="s"/>
    </row>
    <row r="2603" spans="1:18" ht="15.75" customHeight="true">
      <c r="A2603" s="107" t="s"/>
      <c r="B2603" s="62" t="s"/>
      <c r="C2603" s="62" t="s"/>
      <c r="D2603" s="62" t="s"/>
      <c r="E2603" s="62" t="s"/>
      <c r="F2603" s="66" t="s"/>
      <c r="G2603" s="66" t="s"/>
      <c r="H2603" s="66" t="s"/>
      <c r="I2603" s="62" t="s"/>
      <c r="J2603" s="62" t="s"/>
      <c r="K2603" s="99" t="s"/>
      <c r="L2603" s="66" t="s"/>
      <c r="M2603" s="66" t="s"/>
      <c r="N2603" s="572" t="s"/>
      <c r="O2603" s="62" t="s"/>
      <c r="P2603" s="62" t="s"/>
      <c r="Q2603" s="62" t="s"/>
      <c r="R2603" s="62" t="s"/>
    </row>
    <row r="2604" spans="1:18" ht="15.75" customHeight="true">
      <c r="A2604" s="107" t="s"/>
      <c r="B2604" s="62" t="s"/>
      <c r="C2604" s="62" t="s"/>
      <c r="D2604" s="62" t="s"/>
      <c r="E2604" s="62" t="s"/>
      <c r="F2604" s="66" t="s"/>
      <c r="G2604" s="66" t="s"/>
      <c r="H2604" s="66" t="s"/>
      <c r="I2604" s="62" t="s"/>
      <c r="J2604" s="62" t="s"/>
      <c r="K2604" s="99" t="s"/>
      <c r="L2604" s="66" t="s"/>
      <c r="M2604" s="66" t="s"/>
      <c r="N2604" s="572" t="s"/>
      <c r="O2604" s="62" t="s"/>
      <c r="P2604" s="62" t="s"/>
      <c r="Q2604" s="62" t="s"/>
      <c r="R2604" s="62" t="s"/>
    </row>
    <row r="2605" spans="1:18" ht="15.75" customHeight="true">
      <c r="A2605" s="107" t="s"/>
      <c r="B2605" s="62" t="s"/>
      <c r="C2605" s="62" t="s"/>
      <c r="D2605" s="62" t="s"/>
      <c r="E2605" s="62" t="s"/>
      <c r="F2605" s="66" t="s"/>
      <c r="G2605" s="66" t="s"/>
      <c r="H2605" s="66" t="s"/>
      <c r="I2605" s="62" t="s"/>
      <c r="J2605" s="62" t="s"/>
      <c r="K2605" s="99" t="s"/>
      <c r="L2605" s="66" t="s"/>
      <c r="M2605" s="66" t="s"/>
      <c r="N2605" s="572" t="s"/>
      <c r="O2605" s="62" t="s"/>
      <c r="P2605" s="62" t="s"/>
      <c r="Q2605" s="62" t="s"/>
      <c r="R2605" s="62" t="s"/>
    </row>
    <row r="2606" spans="1:18" ht="15.75" customHeight="true">
      <c r="A2606" s="107" t="s"/>
      <c r="B2606" s="62" t="s"/>
      <c r="C2606" s="62" t="s"/>
      <c r="D2606" s="62" t="s"/>
      <c r="E2606" s="62" t="s"/>
      <c r="F2606" s="66" t="s"/>
      <c r="G2606" s="66" t="s"/>
      <c r="H2606" s="66" t="s"/>
      <c r="I2606" s="62" t="s"/>
      <c r="J2606" s="62" t="s"/>
      <c r="K2606" s="99" t="s"/>
      <c r="L2606" s="66" t="s"/>
      <c r="M2606" s="66" t="s"/>
      <c r="N2606" s="572" t="s"/>
      <c r="O2606" s="62" t="s"/>
      <c r="P2606" s="62" t="s"/>
      <c r="Q2606" s="62" t="s"/>
      <c r="R2606" s="62" t="s"/>
    </row>
    <row r="2607" spans="1:18" ht="15.75" customHeight="true">
      <c r="A2607" s="107" t="s"/>
      <c r="B2607" s="62" t="s"/>
      <c r="C2607" s="62" t="s"/>
      <c r="D2607" s="62" t="s"/>
      <c r="E2607" s="62" t="s"/>
      <c r="F2607" s="66" t="s"/>
      <c r="G2607" s="66" t="s"/>
      <c r="H2607" s="66" t="s"/>
      <c r="I2607" s="62" t="s"/>
      <c r="J2607" s="62" t="s"/>
      <c r="K2607" s="99" t="s"/>
      <c r="L2607" s="66" t="s"/>
      <c r="M2607" s="66" t="s"/>
      <c r="N2607" s="572" t="s"/>
      <c r="O2607" s="62" t="s"/>
      <c r="P2607" s="62" t="s"/>
      <c r="Q2607" s="62" t="s"/>
      <c r="R2607" s="62" t="s"/>
    </row>
    <row r="2608" spans="1:18" ht="15.75" customHeight="true">
      <c r="A2608" s="107" t="s"/>
      <c r="B2608" s="62" t="s"/>
      <c r="C2608" s="62" t="s"/>
      <c r="D2608" s="62" t="s"/>
      <c r="E2608" s="62" t="s"/>
      <c r="F2608" s="66" t="s"/>
      <c r="G2608" s="66" t="s"/>
      <c r="H2608" s="66" t="s"/>
      <c r="I2608" s="62" t="s"/>
      <c r="J2608" s="62" t="s"/>
      <c r="K2608" s="99" t="s"/>
      <c r="L2608" s="66" t="s"/>
      <c r="M2608" s="66" t="s"/>
      <c r="N2608" s="572" t="s"/>
      <c r="O2608" s="62" t="s"/>
      <c r="P2608" s="62" t="s"/>
      <c r="Q2608" s="62" t="s"/>
      <c r="R2608" s="62" t="s"/>
    </row>
    <row r="2609" spans="1:18" ht="15.75" customHeight="true">
      <c r="A2609" s="107" t="s"/>
      <c r="B2609" s="62" t="s"/>
      <c r="C2609" s="62" t="s"/>
      <c r="D2609" s="62" t="s"/>
      <c r="E2609" s="62" t="s"/>
      <c r="F2609" s="66" t="s"/>
      <c r="G2609" s="66" t="s"/>
      <c r="H2609" s="66" t="s"/>
      <c r="I2609" s="62" t="s"/>
      <c r="J2609" s="62" t="s"/>
      <c r="K2609" s="99" t="s"/>
      <c r="L2609" s="66" t="s"/>
      <c r="M2609" s="66" t="s"/>
      <c r="N2609" s="572" t="s"/>
      <c r="O2609" s="62" t="s"/>
      <c r="P2609" s="62" t="s"/>
      <c r="Q2609" s="62" t="s"/>
      <c r="R2609" s="62" t="s"/>
    </row>
    <row r="2610" spans="1:18" ht="15.75" customHeight="true">
      <c r="A2610" s="107" t="s"/>
      <c r="B2610" s="62" t="s"/>
      <c r="C2610" s="62" t="s"/>
      <c r="D2610" s="62" t="s"/>
      <c r="E2610" s="62" t="s"/>
      <c r="F2610" s="66" t="s"/>
      <c r="G2610" s="66" t="s"/>
      <c r="H2610" s="66" t="s"/>
      <c r="I2610" s="62" t="s"/>
      <c r="J2610" s="62" t="s"/>
      <c r="K2610" s="99" t="s"/>
      <c r="L2610" s="66" t="s"/>
      <c r="M2610" s="66" t="s"/>
      <c r="N2610" s="572" t="s"/>
      <c r="O2610" s="62" t="s"/>
      <c r="P2610" s="62" t="s"/>
      <c r="Q2610" s="62" t="s"/>
      <c r="R2610" s="62" t="s"/>
    </row>
    <row r="2611" spans="1:18" ht="15.75" customHeight="true">
      <c r="A2611" s="107" t="s"/>
      <c r="B2611" s="62" t="s"/>
      <c r="C2611" s="62" t="s"/>
      <c r="D2611" s="62" t="s"/>
      <c r="E2611" s="62" t="s"/>
      <c r="F2611" s="66" t="s"/>
      <c r="G2611" s="66" t="s"/>
      <c r="H2611" s="66" t="s"/>
      <c r="I2611" s="62" t="s"/>
      <c r="J2611" s="62" t="s"/>
      <c r="K2611" s="99" t="s"/>
      <c r="L2611" s="66" t="s"/>
      <c r="M2611" s="66" t="s"/>
      <c r="N2611" s="572" t="s"/>
      <c r="O2611" s="62" t="s"/>
      <c r="P2611" s="62" t="s"/>
      <c r="Q2611" s="62" t="s"/>
      <c r="R2611" s="62" t="s"/>
    </row>
    <row r="2612" spans="1:18" ht="15.75" customHeight="true">
      <c r="A2612" s="107" t="s"/>
      <c r="B2612" s="62" t="s"/>
      <c r="C2612" s="62" t="s"/>
      <c r="D2612" s="62" t="s"/>
      <c r="E2612" s="62" t="s"/>
      <c r="F2612" s="66" t="s"/>
      <c r="G2612" s="66" t="s"/>
      <c r="H2612" s="66" t="s"/>
      <c r="I2612" s="62" t="s"/>
      <c r="J2612" s="62" t="s"/>
      <c r="K2612" s="99" t="s"/>
      <c r="L2612" s="66" t="s"/>
      <c r="M2612" s="66" t="s"/>
      <c r="N2612" s="572" t="s"/>
      <c r="O2612" s="62" t="s"/>
      <c r="P2612" s="62" t="s"/>
      <c r="Q2612" s="62" t="s"/>
      <c r="R2612" s="62" t="s"/>
    </row>
    <row r="2613" spans="1:18" ht="15.75" customHeight="true">
      <c r="A2613" s="107" t="s"/>
      <c r="B2613" s="62" t="s"/>
      <c r="C2613" s="62" t="s"/>
      <c r="D2613" s="62" t="s"/>
      <c r="E2613" s="62" t="s"/>
      <c r="F2613" s="66" t="s"/>
      <c r="G2613" s="66" t="s"/>
      <c r="H2613" s="66" t="s"/>
      <c r="I2613" s="62" t="s"/>
      <c r="J2613" s="62" t="s"/>
      <c r="K2613" s="99" t="s"/>
      <c r="L2613" s="66" t="s"/>
      <c r="M2613" s="66" t="s"/>
      <c r="N2613" s="572" t="s"/>
      <c r="O2613" s="62" t="s"/>
      <c r="P2613" s="62" t="s"/>
      <c r="Q2613" s="62" t="s"/>
      <c r="R2613" s="62" t="s"/>
    </row>
    <row r="2614" spans="1:18" ht="15.75" customHeight="true">
      <c r="A2614" s="107" t="s"/>
      <c r="B2614" s="62" t="s"/>
      <c r="C2614" s="62" t="s"/>
      <c r="D2614" s="62" t="s"/>
      <c r="E2614" s="62" t="s"/>
      <c r="F2614" s="66" t="s"/>
      <c r="G2614" s="66" t="s"/>
      <c r="H2614" s="66" t="s"/>
      <c r="I2614" s="62" t="s"/>
      <c r="J2614" s="62" t="s"/>
      <c r="K2614" s="99" t="s"/>
      <c r="L2614" s="66" t="s"/>
      <c r="M2614" s="66" t="s"/>
      <c r="N2614" s="572" t="s"/>
      <c r="O2614" s="62" t="s"/>
      <c r="P2614" s="62" t="s"/>
      <c r="Q2614" s="62" t="s"/>
      <c r="R2614" s="62" t="s"/>
    </row>
    <row r="2615" spans="1:18" ht="15.75" customHeight="true">
      <c r="A2615" s="107" t="s"/>
      <c r="B2615" s="62" t="s"/>
      <c r="C2615" s="62" t="s"/>
      <c r="D2615" s="62" t="s"/>
      <c r="E2615" s="62" t="s"/>
      <c r="F2615" s="66" t="s"/>
      <c r="G2615" s="66" t="s"/>
      <c r="H2615" s="66" t="s"/>
      <c r="I2615" s="62" t="s"/>
      <c r="J2615" s="62" t="s"/>
      <c r="K2615" s="99" t="s"/>
      <c r="L2615" s="66" t="s"/>
      <c r="M2615" s="66" t="s"/>
      <c r="N2615" s="572" t="s"/>
      <c r="O2615" s="62" t="s"/>
      <c r="P2615" s="62" t="s"/>
      <c r="Q2615" s="62" t="s"/>
      <c r="R2615" s="62" t="s"/>
    </row>
    <row r="2616" spans="1:18" ht="15.75" customHeight="true">
      <c r="A2616" s="107" t="s"/>
      <c r="B2616" s="62" t="s"/>
      <c r="C2616" s="62" t="s"/>
      <c r="D2616" s="62" t="s"/>
      <c r="E2616" s="62" t="s"/>
      <c r="F2616" s="66" t="s"/>
      <c r="G2616" s="66" t="s"/>
      <c r="H2616" s="66" t="s"/>
      <c r="I2616" s="62" t="s"/>
      <c r="J2616" s="62" t="s"/>
      <c r="K2616" s="99" t="s"/>
      <c r="L2616" s="66" t="s"/>
      <c r="M2616" s="66" t="s"/>
      <c r="N2616" s="572" t="s"/>
      <c r="O2616" s="62" t="s"/>
      <c r="P2616" s="62" t="s"/>
      <c r="Q2616" s="62" t="s"/>
      <c r="R2616" s="62" t="s"/>
    </row>
    <row r="2617" spans="1:18" ht="15.75" customHeight="true">
      <c r="A2617" s="107" t="s"/>
      <c r="B2617" s="62" t="s"/>
      <c r="C2617" s="62" t="s"/>
      <c r="D2617" s="62" t="s"/>
      <c r="E2617" s="62" t="s"/>
      <c r="F2617" s="66" t="s"/>
      <c r="G2617" s="66" t="s"/>
      <c r="H2617" s="66" t="s"/>
      <c r="I2617" s="62" t="s"/>
      <c r="J2617" s="62" t="s"/>
      <c r="K2617" s="99" t="s"/>
      <c r="L2617" s="66" t="s"/>
      <c r="M2617" s="66" t="s"/>
      <c r="N2617" s="572" t="s"/>
      <c r="O2617" s="62" t="s"/>
      <c r="P2617" s="62" t="s"/>
      <c r="Q2617" s="62" t="s"/>
      <c r="R2617" s="62" t="s"/>
    </row>
    <row r="2618" spans="1:18" ht="15.75" customHeight="true">
      <c r="A2618" s="107" t="s"/>
      <c r="B2618" s="62" t="s"/>
      <c r="C2618" s="62" t="s"/>
      <c r="D2618" s="62" t="s"/>
      <c r="E2618" s="62" t="s"/>
      <c r="F2618" s="66" t="s"/>
      <c r="G2618" s="66" t="s"/>
      <c r="H2618" s="66" t="s"/>
      <c r="I2618" s="62" t="s"/>
      <c r="J2618" s="62" t="s"/>
      <c r="K2618" s="99" t="s"/>
      <c r="L2618" s="66" t="s"/>
      <c r="M2618" s="66" t="s"/>
      <c r="N2618" s="572" t="s"/>
      <c r="O2618" s="62" t="s"/>
      <c r="P2618" s="62" t="s"/>
      <c r="Q2618" s="62" t="s"/>
      <c r="R2618" s="62" t="s"/>
    </row>
    <row r="2619" spans="1:18" ht="15.75" customHeight="true">
      <c r="A2619" s="107" t="s"/>
      <c r="B2619" s="62" t="s"/>
      <c r="C2619" s="62" t="s"/>
      <c r="D2619" s="62" t="s"/>
      <c r="E2619" s="62" t="s"/>
      <c r="F2619" s="66" t="s"/>
      <c r="G2619" s="66" t="s"/>
      <c r="H2619" s="66" t="s"/>
      <c r="I2619" s="62" t="s"/>
      <c r="J2619" s="62" t="s"/>
      <c r="K2619" s="99" t="s"/>
      <c r="L2619" s="66" t="s"/>
      <c r="M2619" s="66" t="s"/>
      <c r="N2619" s="572" t="s"/>
      <c r="O2619" s="62" t="s"/>
      <c r="P2619" s="62" t="s"/>
      <c r="Q2619" s="62" t="s"/>
      <c r="R2619" s="62" t="s"/>
    </row>
    <row r="2620" spans="1:18" ht="15.75" customHeight="true">
      <c r="A2620" s="107" t="s"/>
      <c r="B2620" s="62" t="s"/>
      <c r="C2620" s="62" t="s"/>
      <c r="D2620" s="62" t="s"/>
      <c r="E2620" s="62" t="s"/>
      <c r="F2620" s="66" t="s"/>
      <c r="G2620" s="66" t="s"/>
      <c r="H2620" s="66" t="s"/>
      <c r="I2620" s="62" t="s"/>
      <c r="J2620" s="62" t="s"/>
      <c r="K2620" s="99" t="s"/>
      <c r="L2620" s="66" t="s"/>
      <c r="M2620" s="66" t="s"/>
      <c r="N2620" s="572" t="s"/>
      <c r="O2620" s="62" t="s"/>
      <c r="P2620" s="62" t="s"/>
      <c r="Q2620" s="62" t="s"/>
      <c r="R2620" s="62" t="s"/>
    </row>
    <row r="2621" spans="1:18" ht="15.75" customHeight="true">
      <c r="A2621" s="107" t="s"/>
      <c r="B2621" s="62" t="s"/>
      <c r="C2621" s="62" t="s"/>
      <c r="D2621" s="62" t="s"/>
      <c r="E2621" s="62" t="s"/>
      <c r="F2621" s="66" t="s"/>
      <c r="G2621" s="66" t="s"/>
      <c r="H2621" s="66" t="s"/>
      <c r="I2621" s="62" t="s"/>
      <c r="J2621" s="62" t="s"/>
      <c r="K2621" s="99" t="s"/>
      <c r="L2621" s="66" t="s"/>
      <c r="M2621" s="66" t="s"/>
      <c r="N2621" s="572" t="s"/>
      <c r="O2621" s="62" t="s"/>
      <c r="P2621" s="62" t="s"/>
      <c r="Q2621" s="62" t="s"/>
      <c r="R2621" s="62" t="s"/>
    </row>
    <row r="2622" spans="1:18" ht="15.75" customHeight="true">
      <c r="A2622" s="107" t="s"/>
      <c r="B2622" s="62" t="s"/>
      <c r="C2622" s="62" t="s"/>
      <c r="D2622" s="62" t="s"/>
      <c r="E2622" s="62" t="s"/>
      <c r="F2622" s="66" t="s"/>
      <c r="G2622" s="66" t="s"/>
      <c r="H2622" s="66" t="s"/>
      <c r="I2622" s="62" t="s"/>
      <c r="J2622" s="62" t="s"/>
      <c r="K2622" s="99" t="s"/>
      <c r="L2622" s="66" t="s"/>
      <c r="M2622" s="66" t="s"/>
      <c r="N2622" s="572" t="s"/>
      <c r="O2622" s="62" t="s"/>
      <c r="P2622" s="62" t="s"/>
      <c r="Q2622" s="62" t="s"/>
      <c r="R2622" s="62" t="s"/>
    </row>
    <row r="2623" spans="1:18" ht="15.75" customHeight="true">
      <c r="A2623" s="107" t="s"/>
      <c r="B2623" s="62" t="s"/>
      <c r="C2623" s="62" t="s"/>
      <c r="D2623" s="62" t="s"/>
      <c r="E2623" s="62" t="s"/>
      <c r="F2623" s="66" t="s"/>
      <c r="G2623" s="66" t="s"/>
      <c r="H2623" s="66" t="s"/>
      <c r="I2623" s="62" t="s"/>
      <c r="J2623" s="62" t="s"/>
      <c r="K2623" s="99" t="s"/>
      <c r="L2623" s="66" t="s"/>
      <c r="M2623" s="66" t="s"/>
      <c r="N2623" s="572" t="s"/>
      <c r="O2623" s="62" t="s"/>
      <c r="P2623" s="62" t="s"/>
      <c r="Q2623" s="62" t="s"/>
      <c r="R2623" s="62" t="s"/>
    </row>
    <row r="2624" spans="1:18" ht="15.75" customHeight="true">
      <c r="A2624" s="107" t="s"/>
      <c r="B2624" s="62" t="s"/>
      <c r="C2624" s="62" t="s"/>
      <c r="D2624" s="62" t="s"/>
      <c r="E2624" s="62" t="s"/>
      <c r="F2624" s="66" t="s"/>
      <c r="G2624" s="66" t="s"/>
      <c r="H2624" s="66" t="s"/>
      <c r="I2624" s="62" t="s"/>
      <c r="J2624" s="62" t="s"/>
      <c r="K2624" s="99" t="s"/>
      <c r="L2624" s="66" t="s"/>
      <c r="M2624" s="66" t="s"/>
      <c r="N2624" s="572" t="s"/>
      <c r="O2624" s="62" t="s"/>
      <c r="P2624" s="62" t="s"/>
      <c r="Q2624" s="62" t="s"/>
      <c r="R2624" s="62" t="s"/>
    </row>
    <row r="2625" spans="1:18" ht="15.75" customHeight="true">
      <c r="A2625" s="107" t="s"/>
      <c r="B2625" s="62" t="s"/>
      <c r="C2625" s="62" t="s"/>
      <c r="D2625" s="62" t="s"/>
      <c r="E2625" s="62" t="s"/>
      <c r="F2625" s="66" t="s"/>
      <c r="G2625" s="66" t="s"/>
      <c r="H2625" s="66" t="s"/>
      <c r="I2625" s="62" t="s"/>
      <c r="J2625" s="62" t="s"/>
      <c r="K2625" s="99" t="s"/>
      <c r="L2625" s="66" t="s"/>
      <c r="M2625" s="66" t="s"/>
      <c r="N2625" s="572" t="s"/>
      <c r="O2625" s="62" t="s"/>
      <c r="P2625" s="62" t="s"/>
      <c r="Q2625" s="62" t="s"/>
      <c r="R2625" s="62" t="s"/>
    </row>
    <row r="2626" spans="1:18" ht="15.75" customHeight="true">
      <c r="A2626" s="107" t="s"/>
      <c r="B2626" s="62" t="s"/>
      <c r="C2626" s="62" t="s"/>
      <c r="D2626" s="62" t="s"/>
      <c r="E2626" s="62" t="s"/>
      <c r="F2626" s="66" t="s"/>
      <c r="G2626" s="66" t="s"/>
      <c r="H2626" s="66" t="s"/>
      <c r="I2626" s="62" t="s"/>
      <c r="J2626" s="62" t="s"/>
      <c r="K2626" s="99" t="s"/>
      <c r="L2626" s="66" t="s"/>
      <c r="M2626" s="66" t="s"/>
      <c r="N2626" s="572" t="s"/>
      <c r="O2626" s="62" t="s"/>
      <c r="P2626" s="62" t="s"/>
      <c r="Q2626" s="62" t="s"/>
      <c r="R2626" s="62" t="s"/>
    </row>
    <row r="2627" spans="1:18" ht="15.75" customHeight="true">
      <c r="A2627" s="107" t="s"/>
      <c r="B2627" s="62" t="s"/>
      <c r="C2627" s="62" t="s"/>
      <c r="D2627" s="62" t="s"/>
      <c r="E2627" s="62" t="s"/>
      <c r="F2627" s="66" t="s"/>
      <c r="G2627" s="66" t="s"/>
      <c r="H2627" s="66" t="s"/>
      <c r="I2627" s="62" t="s"/>
      <c r="J2627" s="62" t="s"/>
      <c r="K2627" s="99" t="s"/>
      <c r="L2627" s="66" t="s"/>
      <c r="M2627" s="66" t="s"/>
      <c r="N2627" s="572" t="s"/>
      <c r="O2627" s="62" t="s"/>
      <c r="P2627" s="62" t="s"/>
      <c r="Q2627" s="62" t="s"/>
      <c r="R2627" s="62" t="s"/>
    </row>
    <row r="2628" spans="1:18" ht="15.75" customHeight="true">
      <c r="A2628" s="107" t="s"/>
      <c r="B2628" s="62" t="s"/>
      <c r="C2628" s="62" t="s"/>
      <c r="D2628" s="62" t="s"/>
      <c r="E2628" s="62" t="s"/>
      <c r="F2628" s="66" t="s"/>
      <c r="G2628" s="66" t="s"/>
      <c r="H2628" s="66" t="s"/>
      <c r="I2628" s="62" t="s"/>
      <c r="J2628" s="62" t="s"/>
      <c r="K2628" s="99" t="s"/>
      <c r="L2628" s="66" t="s"/>
      <c r="M2628" s="66" t="s"/>
      <c r="N2628" s="572" t="s"/>
      <c r="O2628" s="62" t="s"/>
      <c r="P2628" s="62" t="s"/>
      <c r="Q2628" s="62" t="s"/>
      <c r="R2628" s="62" t="s"/>
    </row>
    <row r="2629" spans="1:18" ht="15.75" customHeight="true">
      <c r="A2629" s="107" t="s"/>
      <c r="B2629" s="62" t="s"/>
      <c r="C2629" s="62" t="s"/>
      <c r="D2629" s="62" t="s"/>
      <c r="E2629" s="62" t="s"/>
      <c r="F2629" s="66" t="s"/>
      <c r="G2629" s="66" t="s"/>
      <c r="H2629" s="66" t="s"/>
      <c r="I2629" s="62" t="s"/>
      <c r="J2629" s="62" t="s"/>
      <c r="K2629" s="99" t="s"/>
      <c r="L2629" s="66" t="s"/>
      <c r="M2629" s="66" t="s"/>
      <c r="N2629" s="572" t="s"/>
      <c r="O2629" s="62" t="s"/>
      <c r="P2629" s="62" t="s"/>
      <c r="Q2629" s="62" t="s"/>
      <c r="R2629" s="62" t="s"/>
    </row>
    <row r="2630" spans="1:18" ht="15.75" customHeight="true">
      <c r="A2630" s="107" t="s"/>
      <c r="B2630" s="62" t="s"/>
      <c r="C2630" s="62" t="s"/>
      <c r="D2630" s="62" t="s"/>
      <c r="E2630" s="62" t="s"/>
      <c r="F2630" s="66" t="s"/>
      <c r="G2630" s="66" t="s"/>
      <c r="H2630" s="66" t="s"/>
      <c r="I2630" s="62" t="s"/>
      <c r="J2630" s="62" t="s"/>
      <c r="K2630" s="99" t="s"/>
      <c r="L2630" s="66" t="s"/>
      <c r="M2630" s="66" t="s"/>
      <c r="N2630" s="572" t="s"/>
      <c r="O2630" s="62" t="s"/>
      <c r="P2630" s="62" t="s"/>
      <c r="Q2630" s="62" t="s"/>
      <c r="R2630" s="62" t="s"/>
    </row>
    <row r="2631" spans="1:18" ht="15.75" customHeight="true">
      <c r="A2631" s="107" t="s"/>
      <c r="B2631" s="62" t="s"/>
      <c r="C2631" s="62" t="s"/>
      <c r="D2631" s="62" t="s"/>
      <c r="E2631" s="62" t="s"/>
      <c r="F2631" s="66" t="s"/>
      <c r="G2631" s="66" t="s"/>
      <c r="H2631" s="66" t="s"/>
      <c r="I2631" s="62" t="s"/>
      <c r="J2631" s="62" t="s"/>
      <c r="K2631" s="99" t="s"/>
      <c r="L2631" s="66" t="s"/>
      <c r="M2631" s="66" t="s"/>
      <c r="N2631" s="572" t="s"/>
      <c r="O2631" s="62" t="s"/>
      <c r="P2631" s="62" t="s"/>
      <c r="Q2631" s="62" t="s"/>
      <c r="R2631" s="62" t="s"/>
    </row>
    <row r="2632" spans="1:18" ht="15.75" customHeight="true">
      <c r="A2632" s="107" t="s"/>
      <c r="B2632" s="62" t="s"/>
      <c r="C2632" s="62" t="s"/>
      <c r="D2632" s="62" t="s"/>
      <c r="E2632" s="62" t="s"/>
      <c r="F2632" s="66" t="s"/>
      <c r="G2632" s="66" t="s"/>
      <c r="H2632" s="66" t="s"/>
      <c r="I2632" s="62" t="s"/>
      <c r="J2632" s="62" t="s"/>
      <c r="K2632" s="99" t="s"/>
      <c r="L2632" s="66" t="s"/>
      <c r="M2632" s="66" t="s"/>
      <c r="N2632" s="572" t="s"/>
      <c r="O2632" s="62" t="s"/>
      <c r="P2632" s="62" t="s"/>
      <c r="Q2632" s="62" t="s"/>
      <c r="R2632" s="62" t="s"/>
    </row>
    <row r="2633" spans="1:18" ht="15.75" customHeight="true">
      <c r="A2633" s="107" t="s"/>
      <c r="B2633" s="62" t="s"/>
      <c r="C2633" s="62" t="s"/>
      <c r="D2633" s="62" t="s"/>
      <c r="E2633" s="62" t="s"/>
      <c r="F2633" s="66" t="s"/>
      <c r="G2633" s="66" t="s"/>
      <c r="H2633" s="66" t="s"/>
      <c r="I2633" s="62" t="s"/>
      <c r="J2633" s="62" t="s"/>
      <c r="K2633" s="99" t="s"/>
      <c r="L2633" s="66" t="s"/>
      <c r="M2633" s="66" t="s"/>
      <c r="N2633" s="572" t="s"/>
      <c r="O2633" s="62" t="s"/>
      <c r="P2633" s="62" t="s"/>
      <c r="Q2633" s="62" t="s"/>
      <c r="R2633" s="62" t="s"/>
    </row>
    <row r="2634" spans="1:18" ht="15.75" customHeight="true">
      <c r="A2634" s="107" t="s"/>
      <c r="B2634" s="62" t="s"/>
      <c r="C2634" s="62" t="s"/>
      <c r="D2634" s="62" t="s"/>
      <c r="E2634" s="62" t="s"/>
      <c r="F2634" s="66" t="s"/>
      <c r="G2634" s="66" t="s"/>
      <c r="H2634" s="66" t="s"/>
      <c r="I2634" s="62" t="s"/>
      <c r="J2634" s="62" t="s"/>
      <c r="K2634" s="99" t="s"/>
      <c r="L2634" s="66" t="s"/>
      <c r="M2634" s="66" t="s"/>
      <c r="N2634" s="572" t="s"/>
      <c r="O2634" s="62" t="s"/>
      <c r="P2634" s="62" t="s"/>
      <c r="Q2634" s="62" t="s"/>
      <c r="R2634" s="62" t="s"/>
    </row>
    <row r="2635" spans="1:18" ht="15.75" customHeight="true">
      <c r="A2635" s="107" t="s"/>
      <c r="B2635" s="62" t="s"/>
      <c r="C2635" s="62" t="s"/>
      <c r="D2635" s="62" t="s"/>
      <c r="E2635" s="62" t="s"/>
      <c r="F2635" s="66" t="s"/>
      <c r="G2635" s="66" t="s"/>
      <c r="H2635" s="66" t="s"/>
      <c r="I2635" s="62" t="s"/>
      <c r="J2635" s="62" t="s"/>
      <c r="K2635" s="99" t="s"/>
      <c r="L2635" s="66" t="s"/>
      <c r="M2635" s="66" t="s"/>
      <c r="N2635" s="572" t="s"/>
      <c r="O2635" s="62" t="s"/>
      <c r="P2635" s="62" t="s"/>
      <c r="Q2635" s="62" t="s"/>
      <c r="R2635" s="62" t="s"/>
    </row>
    <row r="2636" spans="1:18" ht="15.75" customHeight="true">
      <c r="A2636" s="107" t="s"/>
      <c r="B2636" s="62" t="s"/>
      <c r="C2636" s="62" t="s"/>
      <c r="D2636" s="62" t="s"/>
      <c r="E2636" s="62" t="s"/>
      <c r="F2636" s="66" t="s"/>
      <c r="G2636" s="66" t="s"/>
      <c r="H2636" s="66" t="s"/>
      <c r="I2636" s="62" t="s"/>
      <c r="J2636" s="62" t="s"/>
      <c r="K2636" s="99" t="s"/>
      <c r="L2636" s="66" t="s"/>
      <c r="M2636" s="66" t="s"/>
      <c r="N2636" s="572" t="s"/>
      <c r="O2636" s="62" t="s"/>
      <c r="P2636" s="62" t="s"/>
      <c r="Q2636" s="62" t="s"/>
      <c r="R2636" s="62" t="s"/>
    </row>
    <row r="2637" spans="1:18" ht="15.75" customHeight="true">
      <c r="A2637" s="107" t="s"/>
      <c r="B2637" s="62" t="s"/>
      <c r="C2637" s="62" t="s"/>
      <c r="D2637" s="62" t="s"/>
      <c r="E2637" s="62" t="s"/>
      <c r="F2637" s="66" t="s"/>
      <c r="G2637" s="66" t="s"/>
      <c r="H2637" s="66" t="s"/>
      <c r="I2637" s="62" t="s"/>
      <c r="J2637" s="62" t="s"/>
      <c r="K2637" s="99" t="s"/>
      <c r="L2637" s="66" t="s"/>
      <c r="M2637" s="66" t="s"/>
      <c r="N2637" s="572" t="s"/>
      <c r="O2637" s="62" t="s"/>
      <c r="P2637" s="62" t="s"/>
      <c r="Q2637" s="62" t="s"/>
      <c r="R2637" s="62" t="s"/>
    </row>
    <row r="2638" spans="1:18" ht="15.75" customHeight="true">
      <c r="A2638" s="107" t="s"/>
      <c r="B2638" s="62" t="s"/>
      <c r="C2638" s="62" t="s"/>
      <c r="D2638" s="62" t="s"/>
      <c r="E2638" s="62" t="s"/>
      <c r="F2638" s="66" t="s"/>
      <c r="G2638" s="66" t="s"/>
      <c r="H2638" s="66" t="s"/>
      <c r="I2638" s="62" t="s"/>
      <c r="J2638" s="62" t="s"/>
      <c r="K2638" s="99" t="s"/>
      <c r="L2638" s="66" t="s"/>
      <c r="M2638" s="66" t="s"/>
      <c r="N2638" s="572" t="s"/>
      <c r="O2638" s="62" t="s"/>
      <c r="P2638" s="62" t="s"/>
      <c r="Q2638" s="62" t="s"/>
      <c r="R2638" s="62" t="s"/>
    </row>
    <row r="2639" spans="1:18" ht="15.75" customHeight="true">
      <c r="A2639" s="107" t="s"/>
      <c r="B2639" s="62" t="s"/>
      <c r="C2639" s="62" t="s"/>
      <c r="D2639" s="62" t="s"/>
      <c r="E2639" s="62" t="s"/>
      <c r="F2639" s="66" t="s"/>
      <c r="G2639" s="66" t="s"/>
      <c r="H2639" s="66" t="s"/>
      <c r="I2639" s="62" t="s"/>
      <c r="J2639" s="62" t="s"/>
      <c r="K2639" s="99" t="s"/>
      <c r="L2639" s="66" t="s"/>
      <c r="M2639" s="66" t="s"/>
      <c r="N2639" s="572" t="s"/>
      <c r="O2639" s="62" t="s"/>
      <c r="P2639" s="62" t="s"/>
      <c r="Q2639" s="62" t="s"/>
      <c r="R2639" s="62" t="s"/>
    </row>
    <row r="2640" spans="1:18" ht="15.75" customHeight="true">
      <c r="A2640" s="107" t="s"/>
      <c r="B2640" s="62" t="s"/>
      <c r="C2640" s="62" t="s"/>
      <c r="D2640" s="62" t="s"/>
      <c r="E2640" s="62" t="s"/>
      <c r="F2640" s="66" t="s"/>
      <c r="G2640" s="66" t="s"/>
      <c r="H2640" s="66" t="s"/>
      <c r="I2640" s="62" t="s"/>
      <c r="J2640" s="62" t="s"/>
      <c r="K2640" s="99" t="s"/>
      <c r="L2640" s="66" t="s"/>
      <c r="M2640" s="66" t="s"/>
      <c r="N2640" s="572" t="s"/>
      <c r="O2640" s="62" t="s"/>
      <c r="P2640" s="62" t="s"/>
      <c r="Q2640" s="62" t="s"/>
      <c r="R2640" s="62" t="s"/>
    </row>
    <row r="2641" spans="1:18" ht="15.75" customHeight="true">
      <c r="A2641" s="107" t="s"/>
      <c r="B2641" s="62" t="s"/>
      <c r="C2641" s="62" t="s"/>
      <c r="D2641" s="62" t="s"/>
      <c r="E2641" s="62" t="s"/>
      <c r="F2641" s="66" t="s"/>
      <c r="G2641" s="66" t="s"/>
      <c r="H2641" s="66" t="s"/>
      <c r="I2641" s="62" t="s"/>
      <c r="J2641" s="62" t="s"/>
      <c r="K2641" s="99" t="s"/>
      <c r="L2641" s="66" t="s"/>
      <c r="M2641" s="66" t="s"/>
      <c r="N2641" s="572" t="s"/>
      <c r="O2641" s="62" t="s"/>
      <c r="P2641" s="62" t="s"/>
      <c r="Q2641" s="62" t="s"/>
      <c r="R2641" s="62" t="s"/>
    </row>
    <row r="2642" spans="1:18" ht="15.75" customHeight="true">
      <c r="A2642" s="107" t="s"/>
      <c r="B2642" s="62" t="s"/>
      <c r="C2642" s="62" t="s"/>
      <c r="D2642" s="62" t="s"/>
      <c r="E2642" s="62" t="s"/>
      <c r="F2642" s="66" t="s"/>
      <c r="G2642" s="66" t="s"/>
      <c r="H2642" s="66" t="s"/>
      <c r="I2642" s="62" t="s"/>
      <c r="J2642" s="62" t="s"/>
      <c r="K2642" s="99" t="s"/>
      <c r="L2642" s="66" t="s"/>
      <c r="M2642" s="66" t="s"/>
      <c r="N2642" s="572" t="s"/>
      <c r="O2642" s="62" t="s"/>
      <c r="P2642" s="62" t="s"/>
      <c r="Q2642" s="62" t="s"/>
      <c r="R2642" s="62" t="s"/>
    </row>
    <row r="2643" spans="1:18" ht="15.75" customHeight="true">
      <c r="A2643" s="107" t="s"/>
      <c r="B2643" s="62" t="s"/>
      <c r="C2643" s="62" t="s"/>
      <c r="D2643" s="62" t="s"/>
      <c r="E2643" s="62" t="s"/>
      <c r="F2643" s="66" t="s"/>
      <c r="G2643" s="66" t="s"/>
      <c r="H2643" s="66" t="s"/>
      <c r="I2643" s="62" t="s"/>
      <c r="J2643" s="62" t="s"/>
      <c r="K2643" s="99" t="s"/>
      <c r="L2643" s="66" t="s"/>
      <c r="M2643" s="66" t="s"/>
      <c r="N2643" s="572" t="s"/>
      <c r="O2643" s="62" t="s"/>
      <c r="P2643" s="62" t="s"/>
      <c r="Q2643" s="62" t="s"/>
      <c r="R2643" s="62" t="s"/>
    </row>
    <row r="2644" spans="1:18" ht="15.75" customHeight="true">
      <c r="A2644" s="107" t="s"/>
      <c r="B2644" s="62" t="s"/>
      <c r="C2644" s="62" t="s"/>
      <c r="D2644" s="62" t="s"/>
      <c r="E2644" s="62" t="s"/>
      <c r="F2644" s="66" t="s"/>
      <c r="G2644" s="66" t="s"/>
      <c r="H2644" s="66" t="s"/>
      <c r="I2644" s="62" t="s"/>
      <c r="J2644" s="62" t="s"/>
      <c r="K2644" s="99" t="s"/>
      <c r="L2644" s="66" t="s"/>
      <c r="M2644" s="66" t="s"/>
      <c r="N2644" s="572" t="s"/>
      <c r="O2644" s="62" t="s"/>
      <c r="P2644" s="62" t="s"/>
      <c r="Q2644" s="62" t="s"/>
      <c r="R2644" s="62" t="s"/>
    </row>
    <row r="2645" spans="1:18" ht="15.75" customHeight="true">
      <c r="A2645" s="107" t="s"/>
      <c r="B2645" s="62" t="s"/>
      <c r="C2645" s="62" t="s"/>
      <c r="D2645" s="62" t="s"/>
      <c r="E2645" s="62" t="s"/>
      <c r="F2645" s="66" t="s"/>
      <c r="G2645" s="66" t="s"/>
      <c r="H2645" s="66" t="s"/>
      <c r="I2645" s="62" t="s"/>
      <c r="J2645" s="62" t="s"/>
      <c r="K2645" s="99" t="s"/>
      <c r="L2645" s="66" t="s"/>
      <c r="M2645" s="66" t="s"/>
      <c r="N2645" s="572" t="s"/>
      <c r="O2645" s="62" t="s"/>
      <c r="P2645" s="62" t="s"/>
      <c r="Q2645" s="62" t="s"/>
      <c r="R2645" s="62" t="s"/>
    </row>
    <row r="2646" spans="1:18" ht="15.75" customHeight="true">
      <c r="A2646" s="107" t="s"/>
      <c r="B2646" s="62" t="s"/>
      <c r="C2646" s="62" t="s"/>
      <c r="D2646" s="62" t="s"/>
      <c r="E2646" s="62" t="s"/>
      <c r="F2646" s="66" t="s"/>
      <c r="G2646" s="66" t="s"/>
      <c r="H2646" s="66" t="s"/>
      <c r="I2646" s="62" t="s"/>
      <c r="J2646" s="62" t="s"/>
      <c r="K2646" s="99" t="s"/>
      <c r="L2646" s="66" t="s"/>
      <c r="M2646" s="66" t="s"/>
      <c r="N2646" s="572" t="s"/>
      <c r="O2646" s="62" t="s"/>
      <c r="P2646" s="62" t="s"/>
      <c r="Q2646" s="62" t="s"/>
      <c r="R2646" s="62" t="s"/>
    </row>
    <row r="2647" spans="1:18" ht="15.75" customHeight="true">
      <c r="A2647" s="107" t="s"/>
      <c r="B2647" s="62" t="s"/>
      <c r="C2647" s="62" t="s"/>
      <c r="D2647" s="62" t="s"/>
      <c r="E2647" s="62" t="s"/>
      <c r="F2647" s="66" t="s"/>
      <c r="G2647" s="66" t="s"/>
      <c r="H2647" s="66" t="s"/>
      <c r="I2647" s="62" t="s"/>
      <c r="J2647" s="62" t="s"/>
      <c r="K2647" s="99" t="s"/>
      <c r="L2647" s="66" t="s"/>
      <c r="M2647" s="66" t="s"/>
      <c r="N2647" s="572" t="s"/>
      <c r="O2647" s="62" t="s"/>
      <c r="P2647" s="62" t="s"/>
      <c r="Q2647" s="62" t="s"/>
      <c r="R2647" s="62" t="s"/>
    </row>
    <row r="2648" spans="1:18" ht="15.75" customHeight="true">
      <c r="A2648" s="107" t="s"/>
      <c r="B2648" s="62" t="s"/>
      <c r="C2648" s="62" t="s"/>
      <c r="D2648" s="62" t="s"/>
      <c r="E2648" s="62" t="s"/>
      <c r="F2648" s="66" t="s"/>
      <c r="G2648" s="66" t="s"/>
      <c r="H2648" s="66" t="s"/>
      <c r="I2648" s="62" t="s"/>
      <c r="J2648" s="62" t="s"/>
      <c r="K2648" s="99" t="s"/>
      <c r="L2648" s="66" t="s"/>
      <c r="M2648" s="66" t="s"/>
      <c r="N2648" s="572" t="s"/>
      <c r="O2648" s="62" t="s"/>
      <c r="P2648" s="62" t="s"/>
      <c r="Q2648" s="62" t="s"/>
      <c r="R2648" s="62" t="s"/>
    </row>
    <row r="2649" spans="1:18" ht="15.75" customHeight="true">
      <c r="A2649" s="107" t="s"/>
      <c r="B2649" s="62" t="s"/>
      <c r="C2649" s="62" t="s"/>
      <c r="D2649" s="62" t="s"/>
      <c r="E2649" s="62" t="s"/>
      <c r="F2649" s="66" t="s"/>
      <c r="G2649" s="66" t="s"/>
      <c r="H2649" s="66" t="s"/>
      <c r="I2649" s="62" t="s"/>
      <c r="J2649" s="62" t="s"/>
      <c r="K2649" s="99" t="s"/>
      <c r="L2649" s="66" t="s"/>
      <c r="M2649" s="66" t="s"/>
      <c r="N2649" s="572" t="s"/>
      <c r="O2649" s="62" t="s"/>
      <c r="P2649" s="62" t="s"/>
      <c r="Q2649" s="62" t="s"/>
      <c r="R2649" s="62" t="s"/>
    </row>
    <row r="2650" spans="1:18" ht="15.75" customHeight="true">
      <c r="A2650" s="107" t="s"/>
      <c r="B2650" s="62" t="s"/>
      <c r="C2650" s="62" t="s"/>
      <c r="D2650" s="62" t="s"/>
      <c r="E2650" s="62" t="s"/>
      <c r="F2650" s="66" t="s"/>
      <c r="G2650" s="66" t="s"/>
      <c r="H2650" s="66" t="s"/>
      <c r="I2650" s="62" t="s"/>
      <c r="J2650" s="62" t="s"/>
      <c r="K2650" s="99" t="s"/>
      <c r="L2650" s="66" t="s"/>
      <c r="M2650" s="66" t="s"/>
      <c r="N2650" s="572" t="s"/>
      <c r="O2650" s="62" t="s"/>
      <c r="P2650" s="62" t="s"/>
      <c r="Q2650" s="62" t="s"/>
      <c r="R2650" s="62" t="s"/>
    </row>
    <row r="2651" spans="1:18" ht="15.75" customHeight="true">
      <c r="A2651" s="107" t="s"/>
      <c r="B2651" s="62" t="s"/>
      <c r="C2651" s="62" t="s"/>
      <c r="D2651" s="62" t="s"/>
      <c r="E2651" s="62" t="s"/>
      <c r="F2651" s="66" t="s"/>
      <c r="G2651" s="66" t="s"/>
      <c r="H2651" s="66" t="s"/>
      <c r="I2651" s="62" t="s"/>
      <c r="J2651" s="62" t="s"/>
      <c r="K2651" s="99" t="s"/>
      <c r="L2651" s="66" t="s"/>
      <c r="M2651" s="66" t="s"/>
      <c r="N2651" s="572" t="s"/>
      <c r="O2651" s="62" t="s"/>
      <c r="P2651" s="62" t="s"/>
      <c r="Q2651" s="62" t="s"/>
      <c r="R2651" s="62" t="s"/>
    </row>
    <row r="2652" spans="1:18" ht="15.75" customHeight="true">
      <c r="A2652" s="107" t="s"/>
      <c r="B2652" s="62" t="s"/>
      <c r="C2652" s="62" t="s"/>
      <c r="D2652" s="62" t="s"/>
      <c r="E2652" s="62" t="s"/>
      <c r="F2652" s="66" t="s"/>
      <c r="G2652" s="66" t="s"/>
      <c r="H2652" s="66" t="s"/>
      <c r="I2652" s="62" t="s"/>
      <c r="J2652" s="62" t="s"/>
      <c r="K2652" s="99" t="s"/>
      <c r="L2652" s="66" t="s"/>
      <c r="M2652" s="66" t="s"/>
      <c r="N2652" s="572" t="s"/>
      <c r="O2652" s="62" t="s"/>
      <c r="P2652" s="62" t="s"/>
      <c r="Q2652" s="62" t="s"/>
      <c r="R2652" s="62" t="s"/>
    </row>
    <row r="2653" spans="1:18" ht="15.75" customHeight="true">
      <c r="A2653" s="107" t="s"/>
      <c r="B2653" s="62" t="s"/>
      <c r="C2653" s="62" t="s"/>
      <c r="D2653" s="62" t="s"/>
      <c r="E2653" s="62" t="s"/>
      <c r="F2653" s="66" t="s"/>
      <c r="G2653" s="66" t="s"/>
      <c r="H2653" s="66" t="s"/>
      <c r="I2653" s="62" t="s"/>
      <c r="J2653" s="62" t="s"/>
      <c r="K2653" s="99" t="s"/>
      <c r="L2653" s="66" t="s"/>
      <c r="M2653" s="66" t="s"/>
      <c r="N2653" s="572" t="s"/>
      <c r="O2653" s="62" t="s"/>
      <c r="P2653" s="62" t="s"/>
      <c r="Q2653" s="62" t="s"/>
      <c r="R2653" s="62" t="s"/>
    </row>
    <row r="2654" spans="1:18" ht="15.75" customHeight="true">
      <c r="A2654" s="107" t="s"/>
      <c r="B2654" s="62" t="s"/>
      <c r="C2654" s="62" t="s"/>
      <c r="D2654" s="62" t="s"/>
      <c r="E2654" s="62" t="s"/>
      <c r="F2654" s="66" t="s"/>
      <c r="G2654" s="66" t="s"/>
      <c r="H2654" s="66" t="s"/>
      <c r="I2654" s="62" t="s"/>
      <c r="J2654" s="62" t="s"/>
      <c r="K2654" s="99" t="s"/>
      <c r="L2654" s="66" t="s"/>
      <c r="M2654" s="66" t="s"/>
      <c r="N2654" s="572" t="s"/>
      <c r="O2654" s="62" t="s"/>
      <c r="P2654" s="62" t="s"/>
      <c r="Q2654" s="62" t="s"/>
      <c r="R2654" s="62" t="s"/>
    </row>
    <row r="2655" spans="1:18" ht="15.75" customHeight="true">
      <c r="A2655" s="107" t="s"/>
      <c r="B2655" s="62" t="s"/>
      <c r="C2655" s="62" t="s"/>
      <c r="D2655" s="62" t="s"/>
      <c r="E2655" s="62" t="s"/>
      <c r="F2655" s="66" t="s"/>
      <c r="G2655" s="66" t="s"/>
      <c r="H2655" s="66" t="s"/>
      <c r="I2655" s="62" t="s"/>
      <c r="J2655" s="62" t="s"/>
      <c r="K2655" s="99" t="s"/>
      <c r="L2655" s="66" t="s"/>
      <c r="M2655" s="66" t="s"/>
      <c r="N2655" s="572" t="s"/>
      <c r="O2655" s="62" t="s"/>
      <c r="P2655" s="62" t="s"/>
      <c r="Q2655" s="62" t="s"/>
      <c r="R2655" s="62" t="s"/>
    </row>
    <row r="2656" spans="1:18" ht="15.75" customHeight="true">
      <c r="A2656" s="107" t="s"/>
      <c r="B2656" s="62" t="s"/>
      <c r="C2656" s="62" t="s"/>
      <c r="D2656" s="62" t="s"/>
      <c r="E2656" s="62" t="s"/>
      <c r="F2656" s="66" t="s"/>
      <c r="G2656" s="66" t="s"/>
      <c r="H2656" s="66" t="s"/>
      <c r="I2656" s="62" t="s"/>
      <c r="J2656" s="62" t="s"/>
      <c r="K2656" s="99" t="s"/>
      <c r="L2656" s="66" t="s"/>
      <c r="M2656" s="66" t="s"/>
      <c r="N2656" s="572" t="s"/>
      <c r="O2656" s="62" t="s"/>
      <c r="P2656" s="62" t="s"/>
      <c r="Q2656" s="62" t="s"/>
      <c r="R2656" s="62" t="s"/>
    </row>
    <row r="2657" spans="1:18" ht="15.75" customHeight="true">
      <c r="A2657" s="107" t="s"/>
      <c r="B2657" s="62" t="s"/>
      <c r="C2657" s="62" t="s"/>
      <c r="D2657" s="62" t="s"/>
      <c r="E2657" s="62" t="s"/>
      <c r="F2657" s="66" t="s"/>
      <c r="G2657" s="66" t="s"/>
      <c r="H2657" s="66" t="s"/>
      <c r="I2657" s="62" t="s"/>
      <c r="J2657" s="62" t="s"/>
      <c r="K2657" s="99" t="s"/>
      <c r="L2657" s="66" t="s"/>
      <c r="M2657" s="66" t="s"/>
      <c r="N2657" s="572" t="s"/>
      <c r="O2657" s="62" t="s"/>
      <c r="P2657" s="62" t="s"/>
      <c r="Q2657" s="62" t="s"/>
      <c r="R2657" s="62" t="s"/>
    </row>
    <row r="2658" spans="1:18" ht="15.75" customHeight="true">
      <c r="A2658" s="107" t="s"/>
      <c r="B2658" s="62" t="s"/>
      <c r="C2658" s="62" t="s"/>
      <c r="D2658" s="62" t="s"/>
      <c r="E2658" s="62" t="s"/>
      <c r="F2658" s="66" t="s"/>
      <c r="G2658" s="66" t="s"/>
      <c r="H2658" s="66" t="s"/>
      <c r="I2658" s="62" t="s"/>
      <c r="J2658" s="62" t="s"/>
      <c r="K2658" s="99" t="s"/>
      <c r="L2658" s="66" t="s"/>
      <c r="M2658" s="66" t="s"/>
      <c r="N2658" s="572" t="s"/>
      <c r="O2658" s="62" t="s"/>
      <c r="P2658" s="62" t="s"/>
      <c r="Q2658" s="62" t="s"/>
      <c r="R2658" s="62" t="s"/>
    </row>
    <row r="2659" spans="1:18" ht="15.75" customHeight="true">
      <c r="A2659" s="107" t="s"/>
      <c r="B2659" s="62" t="s"/>
      <c r="C2659" s="62" t="s"/>
      <c r="D2659" s="62" t="s"/>
      <c r="E2659" s="62" t="s"/>
      <c r="F2659" s="66" t="s"/>
      <c r="G2659" s="66" t="s"/>
      <c r="H2659" s="66" t="s"/>
      <c r="I2659" s="62" t="s"/>
      <c r="J2659" s="62" t="s"/>
      <c r="K2659" s="99" t="s"/>
      <c r="L2659" s="66" t="s"/>
      <c r="M2659" s="66" t="s"/>
      <c r="N2659" s="572" t="s"/>
      <c r="O2659" s="62" t="s"/>
      <c r="P2659" s="62" t="s"/>
      <c r="Q2659" s="62" t="s"/>
      <c r="R2659" s="62" t="s"/>
    </row>
    <row r="2660" spans="1:18" ht="15.75" customHeight="true">
      <c r="A2660" s="107" t="s"/>
      <c r="B2660" s="62" t="s"/>
      <c r="C2660" s="62" t="s"/>
      <c r="D2660" s="62" t="s"/>
      <c r="E2660" s="62" t="s"/>
      <c r="F2660" s="66" t="s"/>
      <c r="G2660" s="66" t="s"/>
      <c r="H2660" s="66" t="s"/>
      <c r="I2660" s="62" t="s"/>
      <c r="J2660" s="62" t="s"/>
      <c r="K2660" s="99" t="s"/>
      <c r="L2660" s="66" t="s"/>
      <c r="M2660" s="66" t="s"/>
      <c r="N2660" s="572" t="s"/>
      <c r="O2660" s="62" t="s"/>
      <c r="P2660" s="62" t="s"/>
      <c r="Q2660" s="62" t="s"/>
      <c r="R2660" s="62" t="s"/>
    </row>
    <row r="2661" spans="1:18" ht="15.75" customHeight="true">
      <c r="A2661" s="107" t="s"/>
      <c r="B2661" s="62" t="s"/>
      <c r="C2661" s="62" t="s"/>
      <c r="D2661" s="62" t="s"/>
      <c r="E2661" s="62" t="s"/>
      <c r="F2661" s="66" t="s"/>
      <c r="G2661" s="66" t="s"/>
      <c r="H2661" s="66" t="s"/>
      <c r="I2661" s="62" t="s"/>
      <c r="J2661" s="62" t="s"/>
      <c r="K2661" s="99" t="s"/>
      <c r="L2661" s="66" t="s"/>
      <c r="M2661" s="66" t="s"/>
      <c r="N2661" s="572" t="s"/>
      <c r="O2661" s="62" t="s"/>
      <c r="P2661" s="62" t="s"/>
      <c r="Q2661" s="62" t="s"/>
      <c r="R2661" s="62" t="s"/>
    </row>
    <row r="2662" spans="1:18" ht="15.75" customHeight="true">
      <c r="A2662" s="107" t="s"/>
      <c r="B2662" s="62" t="s"/>
      <c r="C2662" s="62" t="s"/>
      <c r="D2662" s="62" t="s"/>
      <c r="E2662" s="62" t="s"/>
      <c r="F2662" s="66" t="s"/>
      <c r="G2662" s="66" t="s"/>
      <c r="H2662" s="66" t="s"/>
      <c r="I2662" s="62" t="s"/>
      <c r="J2662" s="62" t="s"/>
      <c r="K2662" s="99" t="s"/>
      <c r="L2662" s="66" t="s"/>
      <c r="M2662" s="66" t="s"/>
      <c r="N2662" s="572" t="s"/>
      <c r="O2662" s="62" t="s"/>
      <c r="P2662" s="62" t="s"/>
      <c r="Q2662" s="62" t="s"/>
      <c r="R2662" s="62" t="s"/>
    </row>
    <row r="2663" spans="1:18" ht="15.75" customHeight="true">
      <c r="A2663" s="107" t="s"/>
      <c r="B2663" s="62" t="s"/>
      <c r="C2663" s="62" t="s"/>
      <c r="D2663" s="62" t="s"/>
      <c r="E2663" s="62" t="s"/>
      <c r="F2663" s="66" t="s"/>
      <c r="G2663" s="66" t="s"/>
      <c r="H2663" s="66" t="s"/>
      <c r="I2663" s="62" t="s"/>
      <c r="J2663" s="62" t="s"/>
      <c r="K2663" s="99" t="s"/>
      <c r="L2663" s="66" t="s"/>
      <c r="M2663" s="66" t="s"/>
      <c r="N2663" s="572" t="s"/>
      <c r="O2663" s="62" t="s"/>
      <c r="P2663" s="62" t="s"/>
      <c r="Q2663" s="62" t="s"/>
      <c r="R2663" s="62" t="s"/>
    </row>
    <row r="2664" spans="1:18" ht="15.75" customHeight="true">
      <c r="A2664" s="107" t="s"/>
      <c r="B2664" s="62" t="s"/>
      <c r="C2664" s="62" t="s"/>
      <c r="D2664" s="62" t="s"/>
      <c r="E2664" s="62" t="s"/>
      <c r="F2664" s="66" t="s"/>
      <c r="G2664" s="66" t="s"/>
      <c r="H2664" s="66" t="s"/>
      <c r="I2664" s="62" t="s"/>
      <c r="J2664" s="62" t="s"/>
      <c r="K2664" s="99" t="s"/>
      <c r="L2664" s="66" t="s"/>
      <c r="M2664" s="66" t="s"/>
      <c r="N2664" s="572" t="s"/>
      <c r="O2664" s="62" t="s"/>
      <c r="P2664" s="62" t="s"/>
      <c r="Q2664" s="62" t="s"/>
      <c r="R2664" s="62" t="s"/>
    </row>
    <row r="2665" spans="1:18" ht="15.75" customHeight="true">
      <c r="A2665" s="107" t="s"/>
      <c r="B2665" s="62" t="s"/>
      <c r="C2665" s="62" t="s"/>
      <c r="D2665" s="62" t="s"/>
      <c r="E2665" s="62" t="s"/>
      <c r="F2665" s="66" t="s"/>
      <c r="G2665" s="66" t="s"/>
      <c r="H2665" s="66" t="s"/>
      <c r="I2665" s="62" t="s"/>
      <c r="J2665" s="62" t="s"/>
      <c r="K2665" s="99" t="s"/>
      <c r="L2665" s="66" t="s"/>
      <c r="M2665" s="66" t="s"/>
      <c r="N2665" s="572" t="s"/>
      <c r="O2665" s="62" t="s"/>
      <c r="P2665" s="62" t="s"/>
      <c r="Q2665" s="62" t="s"/>
      <c r="R2665" s="62" t="s"/>
    </row>
    <row r="2666" spans="1:18" ht="15.75" customHeight="true">
      <c r="A2666" s="107" t="s"/>
      <c r="B2666" s="62" t="s"/>
      <c r="C2666" s="62" t="s"/>
      <c r="D2666" s="62" t="s"/>
      <c r="E2666" s="62" t="s"/>
      <c r="F2666" s="66" t="s"/>
      <c r="G2666" s="66" t="s"/>
      <c r="H2666" s="66" t="s"/>
      <c r="I2666" s="62" t="s"/>
      <c r="J2666" s="62" t="s"/>
      <c r="K2666" s="99" t="s"/>
      <c r="L2666" s="66" t="s"/>
      <c r="M2666" s="66" t="s"/>
      <c r="N2666" s="572" t="s"/>
      <c r="O2666" s="62" t="s"/>
      <c r="P2666" s="62" t="s"/>
      <c r="Q2666" s="62" t="s"/>
      <c r="R2666" s="62" t="s"/>
    </row>
    <row r="2667" spans="1:18" ht="15.75" customHeight="true">
      <c r="A2667" s="107" t="s"/>
      <c r="B2667" s="62" t="s"/>
      <c r="C2667" s="62" t="s"/>
      <c r="D2667" s="62" t="s"/>
      <c r="E2667" s="62" t="s"/>
      <c r="F2667" s="66" t="s"/>
      <c r="G2667" s="66" t="s"/>
      <c r="H2667" s="66" t="s"/>
      <c r="I2667" s="62" t="s"/>
      <c r="J2667" s="62" t="s"/>
      <c r="K2667" s="99" t="s"/>
      <c r="L2667" s="66" t="s"/>
      <c r="M2667" s="66" t="s"/>
      <c r="N2667" s="572" t="s"/>
      <c r="O2667" s="62" t="s"/>
      <c r="P2667" s="62" t="s"/>
      <c r="Q2667" s="62" t="s"/>
      <c r="R2667" s="62" t="s"/>
    </row>
    <row r="2668" spans="1:18" ht="15.75" customHeight="true">
      <c r="A2668" s="107" t="s"/>
      <c r="B2668" s="62" t="s"/>
      <c r="C2668" s="62" t="s"/>
      <c r="D2668" s="62" t="s"/>
      <c r="E2668" s="62" t="s"/>
      <c r="F2668" s="66" t="s"/>
      <c r="G2668" s="66" t="s"/>
      <c r="H2668" s="66" t="s"/>
      <c r="I2668" s="62" t="s"/>
      <c r="J2668" s="62" t="s"/>
      <c r="K2668" s="99" t="s"/>
      <c r="L2668" s="66" t="s"/>
      <c r="M2668" s="66" t="s"/>
      <c r="N2668" s="572" t="s"/>
      <c r="O2668" s="62" t="s"/>
      <c r="P2668" s="62" t="s"/>
      <c r="Q2668" s="62" t="s"/>
      <c r="R2668" s="62" t="s"/>
    </row>
    <row r="2669" spans="1:18" ht="15.75" customHeight="true">
      <c r="A2669" s="107" t="s"/>
      <c r="B2669" s="62" t="s"/>
      <c r="C2669" s="62" t="s"/>
      <c r="D2669" s="62" t="s"/>
      <c r="E2669" s="62" t="s"/>
      <c r="F2669" s="66" t="s"/>
      <c r="G2669" s="66" t="s"/>
      <c r="H2669" s="66" t="s"/>
      <c r="I2669" s="62" t="s"/>
      <c r="J2669" s="62" t="s"/>
      <c r="K2669" s="99" t="s"/>
      <c r="L2669" s="66" t="s"/>
      <c r="M2669" s="66" t="s"/>
      <c r="N2669" s="572" t="s"/>
      <c r="O2669" s="62" t="s"/>
      <c r="P2669" s="62" t="s"/>
      <c r="Q2669" s="62" t="s"/>
      <c r="R2669" s="62" t="s"/>
    </row>
    <row r="2670" spans="1:18" ht="15.75" customHeight="true">
      <c r="A2670" s="107" t="s"/>
      <c r="B2670" s="62" t="s"/>
      <c r="C2670" s="62" t="s"/>
      <c r="D2670" s="62" t="s"/>
      <c r="E2670" s="62" t="s"/>
      <c r="F2670" s="66" t="s"/>
      <c r="G2670" s="66" t="s"/>
      <c r="H2670" s="66" t="s"/>
      <c r="I2670" s="62" t="s"/>
      <c r="J2670" s="62" t="s"/>
      <c r="K2670" s="99" t="s"/>
      <c r="L2670" s="66" t="s"/>
      <c r="M2670" s="66" t="s"/>
      <c r="N2670" s="572" t="s"/>
      <c r="O2670" s="62" t="s"/>
      <c r="P2670" s="62" t="s"/>
      <c r="Q2670" s="62" t="s"/>
      <c r="R2670" s="62" t="s"/>
    </row>
    <row r="2671" spans="1:18" ht="15.75" customHeight="true">
      <c r="A2671" s="107" t="s"/>
      <c r="B2671" s="62" t="s"/>
      <c r="C2671" s="62" t="s"/>
      <c r="D2671" s="62" t="s"/>
      <c r="E2671" s="62" t="s"/>
      <c r="F2671" s="66" t="s"/>
      <c r="G2671" s="66" t="s"/>
      <c r="H2671" s="66" t="s"/>
      <c r="I2671" s="62" t="s"/>
      <c r="J2671" s="62" t="s"/>
      <c r="K2671" s="99" t="s"/>
      <c r="L2671" s="66" t="s"/>
      <c r="M2671" s="66" t="s"/>
      <c r="N2671" s="572" t="s"/>
      <c r="O2671" s="62" t="s"/>
      <c r="P2671" s="62" t="s"/>
      <c r="Q2671" s="62" t="s"/>
      <c r="R2671" s="62" t="s"/>
    </row>
    <row r="2672" spans="1:18" ht="15.75" customHeight="true">
      <c r="A2672" s="107" t="s"/>
      <c r="B2672" s="62" t="s"/>
      <c r="C2672" s="62" t="s"/>
      <c r="D2672" s="62" t="s"/>
      <c r="E2672" s="62" t="s"/>
      <c r="F2672" s="66" t="s"/>
      <c r="G2672" s="66" t="s"/>
      <c r="H2672" s="66" t="s"/>
      <c r="I2672" s="62" t="s"/>
      <c r="J2672" s="62" t="s"/>
      <c r="K2672" s="99" t="s"/>
      <c r="L2672" s="66" t="s"/>
      <c r="M2672" s="66" t="s"/>
      <c r="N2672" s="572" t="s"/>
      <c r="O2672" s="62" t="s"/>
      <c r="P2672" s="62" t="s"/>
      <c r="Q2672" s="62" t="s"/>
      <c r="R2672" s="62" t="s"/>
    </row>
    <row r="2673" spans="1:18" ht="15.75" customHeight="true">
      <c r="A2673" s="107" t="s"/>
      <c r="B2673" s="62" t="s"/>
      <c r="C2673" s="62" t="s"/>
      <c r="D2673" s="62" t="s"/>
      <c r="E2673" s="62" t="s"/>
      <c r="F2673" s="66" t="s"/>
      <c r="G2673" s="66" t="s"/>
      <c r="H2673" s="66" t="s"/>
      <c r="I2673" s="62" t="s"/>
      <c r="J2673" s="62" t="s"/>
      <c r="K2673" s="99" t="s"/>
      <c r="L2673" s="66" t="s"/>
      <c r="M2673" s="66" t="s"/>
      <c r="N2673" s="572" t="s"/>
      <c r="O2673" s="62" t="s"/>
      <c r="P2673" s="62" t="s"/>
      <c r="Q2673" s="62" t="s"/>
      <c r="R2673" s="62" t="s"/>
    </row>
    <row r="2674" spans="1:18" ht="15.75" customHeight="true">
      <c r="A2674" s="107" t="s"/>
      <c r="B2674" s="62" t="s"/>
      <c r="C2674" s="62" t="s"/>
      <c r="D2674" s="62" t="s"/>
      <c r="E2674" s="62" t="s"/>
      <c r="F2674" s="66" t="s"/>
      <c r="G2674" s="66" t="s"/>
      <c r="H2674" s="66" t="s"/>
      <c r="I2674" s="62" t="s"/>
      <c r="J2674" s="62" t="s"/>
      <c r="K2674" s="99" t="s"/>
      <c r="L2674" s="66" t="s"/>
      <c r="M2674" s="66" t="s"/>
      <c r="N2674" s="572" t="s"/>
      <c r="O2674" s="62" t="s"/>
      <c r="P2674" s="62" t="s"/>
      <c r="Q2674" s="62" t="s"/>
      <c r="R2674" s="62" t="s"/>
    </row>
    <row r="2675" spans="1:18" ht="15.75" customHeight="true">
      <c r="A2675" s="107" t="s"/>
      <c r="B2675" s="62" t="s"/>
      <c r="C2675" s="62" t="s"/>
      <c r="D2675" s="62" t="s"/>
      <c r="E2675" s="62" t="s"/>
      <c r="F2675" s="66" t="s"/>
      <c r="G2675" s="66" t="s"/>
      <c r="H2675" s="66" t="s"/>
      <c r="I2675" s="62" t="s"/>
      <c r="J2675" s="62" t="s"/>
      <c r="K2675" s="99" t="s"/>
      <c r="L2675" s="66" t="s"/>
      <c r="M2675" s="66" t="s"/>
      <c r="N2675" s="572" t="s"/>
      <c r="O2675" s="62" t="s"/>
      <c r="P2675" s="62" t="s"/>
      <c r="Q2675" s="62" t="s"/>
      <c r="R2675" s="62" t="s"/>
    </row>
    <row r="2676" spans="1:18" ht="15.75" customHeight="true">
      <c r="A2676" s="107" t="s"/>
      <c r="B2676" s="62" t="s"/>
      <c r="C2676" s="62" t="s"/>
      <c r="D2676" s="62" t="s"/>
      <c r="E2676" s="62" t="s"/>
      <c r="F2676" s="66" t="s"/>
      <c r="G2676" s="66" t="s"/>
      <c r="H2676" s="66" t="s"/>
      <c r="I2676" s="62" t="s"/>
      <c r="J2676" s="62" t="s"/>
      <c r="K2676" s="99" t="s"/>
      <c r="L2676" s="66" t="s"/>
      <c r="M2676" s="66" t="s"/>
      <c r="N2676" s="572" t="s"/>
      <c r="O2676" s="62" t="s"/>
      <c r="P2676" s="62" t="s"/>
      <c r="Q2676" s="62" t="s"/>
      <c r="R2676" s="62" t="s"/>
    </row>
    <row r="2677" spans="1:18" ht="15.75" customHeight="true">
      <c r="A2677" s="107" t="s"/>
      <c r="B2677" s="62" t="s"/>
      <c r="C2677" s="62" t="s"/>
      <c r="D2677" s="62" t="s"/>
      <c r="E2677" s="62" t="s"/>
      <c r="F2677" s="66" t="s"/>
      <c r="G2677" s="66" t="s"/>
      <c r="H2677" s="66" t="s"/>
      <c r="I2677" s="62" t="s"/>
      <c r="J2677" s="62" t="s"/>
      <c r="K2677" s="99" t="s"/>
      <c r="L2677" s="66" t="s"/>
      <c r="M2677" s="66" t="s"/>
      <c r="N2677" s="572" t="s"/>
      <c r="O2677" s="62" t="s"/>
      <c r="P2677" s="62" t="s"/>
      <c r="Q2677" s="62" t="s"/>
      <c r="R2677" s="62" t="s"/>
    </row>
    <row r="2678" spans="1:18" ht="15.75" customHeight="true">
      <c r="A2678" s="107" t="s"/>
      <c r="B2678" s="62" t="s"/>
      <c r="C2678" s="62" t="s"/>
      <c r="D2678" s="62" t="s"/>
      <c r="E2678" s="62" t="s"/>
      <c r="F2678" s="66" t="s"/>
      <c r="G2678" s="66" t="s"/>
      <c r="H2678" s="66" t="s"/>
      <c r="I2678" s="62" t="s"/>
      <c r="J2678" s="62" t="s"/>
      <c r="K2678" s="99" t="s"/>
      <c r="L2678" s="66" t="s"/>
      <c r="M2678" s="66" t="s"/>
      <c r="N2678" s="572" t="s"/>
      <c r="O2678" s="62" t="s"/>
      <c r="P2678" s="62" t="s"/>
      <c r="Q2678" s="62" t="s"/>
      <c r="R2678" s="62" t="s"/>
    </row>
    <row r="2679" spans="1:18" ht="15.75" customHeight="true">
      <c r="A2679" s="107" t="s"/>
      <c r="B2679" s="62" t="s"/>
      <c r="C2679" s="62" t="s"/>
      <c r="D2679" s="62" t="s"/>
      <c r="E2679" s="62" t="s"/>
      <c r="F2679" s="66" t="s"/>
      <c r="G2679" s="66" t="s"/>
      <c r="H2679" s="66" t="s"/>
      <c r="I2679" s="62" t="s"/>
      <c r="J2679" s="62" t="s"/>
      <c r="K2679" s="99" t="s"/>
      <c r="L2679" s="66" t="s"/>
      <c r="M2679" s="66" t="s"/>
      <c r="N2679" s="572" t="s"/>
      <c r="O2679" s="62" t="s"/>
      <c r="P2679" s="62" t="s"/>
      <c r="Q2679" s="62" t="s"/>
      <c r="R2679" s="62" t="s"/>
    </row>
    <row r="2680" spans="1:18" ht="15.75" customHeight="true">
      <c r="A2680" s="107" t="s"/>
      <c r="B2680" s="62" t="s"/>
      <c r="C2680" s="62" t="s"/>
      <c r="D2680" s="62" t="s"/>
      <c r="E2680" s="62" t="s"/>
      <c r="F2680" s="66" t="s"/>
      <c r="G2680" s="66" t="s"/>
      <c r="H2680" s="66" t="s"/>
      <c r="I2680" s="62" t="s"/>
      <c r="J2680" s="62" t="s"/>
      <c r="K2680" s="99" t="s"/>
      <c r="L2680" s="66" t="s"/>
      <c r="M2680" s="66" t="s"/>
      <c r="N2680" s="572" t="s"/>
      <c r="O2680" s="62" t="s"/>
      <c r="P2680" s="62" t="s"/>
      <c r="Q2680" s="62" t="s"/>
      <c r="R2680" s="62" t="s"/>
    </row>
    <row r="2681" spans="1:18" ht="15.75" customHeight="true">
      <c r="A2681" s="107" t="s"/>
      <c r="B2681" s="62" t="s"/>
      <c r="C2681" s="62" t="s"/>
      <c r="D2681" s="62" t="s"/>
      <c r="E2681" s="62" t="s"/>
      <c r="F2681" s="66" t="s"/>
      <c r="G2681" s="66" t="s"/>
      <c r="H2681" s="66" t="s"/>
      <c r="I2681" s="62" t="s"/>
      <c r="J2681" s="62" t="s"/>
      <c r="K2681" s="99" t="s"/>
      <c r="L2681" s="66" t="s"/>
      <c r="M2681" s="66" t="s"/>
      <c r="N2681" s="572" t="s"/>
      <c r="O2681" s="62" t="s"/>
      <c r="P2681" s="62" t="s"/>
      <c r="Q2681" s="62" t="s"/>
      <c r="R2681" s="62" t="s"/>
    </row>
    <row r="2682" spans="1:18" ht="15.75" customHeight="true">
      <c r="A2682" s="107" t="s"/>
      <c r="B2682" s="62" t="s"/>
      <c r="C2682" s="62" t="s"/>
      <c r="D2682" s="62" t="s"/>
      <c r="E2682" s="62" t="s"/>
      <c r="F2682" s="66" t="s"/>
      <c r="G2682" s="66" t="s"/>
      <c r="H2682" s="66" t="s"/>
      <c r="I2682" s="62" t="s"/>
      <c r="J2682" s="62" t="s"/>
      <c r="K2682" s="99" t="s"/>
      <c r="L2682" s="66" t="s"/>
      <c r="M2682" s="66" t="s"/>
      <c r="N2682" s="572" t="s"/>
      <c r="O2682" s="62" t="s"/>
      <c r="P2682" s="62" t="s"/>
      <c r="Q2682" s="62" t="s"/>
      <c r="R2682" s="62" t="s"/>
    </row>
    <row r="2683" spans="1:18" ht="15.75" customHeight="true">
      <c r="A2683" s="107" t="s"/>
      <c r="B2683" s="62" t="s"/>
      <c r="C2683" s="62" t="s"/>
      <c r="D2683" s="62" t="s"/>
      <c r="E2683" s="62" t="s"/>
      <c r="F2683" s="66" t="s"/>
      <c r="G2683" s="66" t="s"/>
      <c r="H2683" s="66" t="s"/>
      <c r="I2683" s="62" t="s"/>
      <c r="J2683" s="62" t="s"/>
      <c r="K2683" s="99" t="s"/>
      <c r="L2683" s="66" t="s"/>
      <c r="M2683" s="66" t="s"/>
      <c r="N2683" s="572" t="s"/>
      <c r="O2683" s="62" t="s"/>
      <c r="P2683" s="62" t="s"/>
      <c r="Q2683" s="62" t="s"/>
      <c r="R2683" s="62" t="s"/>
    </row>
    <row r="2684" spans="1:18" ht="15.75" customHeight="true">
      <c r="A2684" s="107" t="s"/>
      <c r="B2684" s="62" t="s"/>
      <c r="C2684" s="62" t="s"/>
      <c r="D2684" s="62" t="s"/>
      <c r="E2684" s="62" t="s"/>
      <c r="F2684" s="66" t="s"/>
      <c r="G2684" s="66" t="s"/>
      <c r="H2684" s="66" t="s"/>
      <c r="I2684" s="62" t="s"/>
      <c r="J2684" s="62" t="s"/>
      <c r="K2684" s="99" t="s"/>
      <c r="L2684" s="66" t="s"/>
      <c r="M2684" s="66" t="s"/>
      <c r="N2684" s="572" t="s"/>
      <c r="O2684" s="62" t="s"/>
      <c r="P2684" s="62" t="s"/>
      <c r="Q2684" s="62" t="s"/>
      <c r="R2684" s="62" t="s"/>
    </row>
    <row r="2685" spans="1:18" ht="15.75" customHeight="true">
      <c r="A2685" s="107" t="s"/>
      <c r="B2685" s="62" t="s"/>
      <c r="C2685" s="62" t="s"/>
      <c r="D2685" s="62" t="s"/>
      <c r="E2685" s="62" t="s"/>
      <c r="F2685" s="66" t="s"/>
      <c r="G2685" s="66" t="s"/>
      <c r="H2685" s="66" t="s"/>
      <c r="I2685" s="62" t="s"/>
      <c r="J2685" s="62" t="s"/>
      <c r="K2685" s="99" t="s"/>
      <c r="L2685" s="66" t="s"/>
      <c r="M2685" s="66" t="s"/>
      <c r="N2685" s="572" t="s"/>
      <c r="O2685" s="62" t="s"/>
      <c r="P2685" s="62" t="s"/>
      <c r="Q2685" s="62" t="s"/>
      <c r="R2685" s="62" t="s"/>
    </row>
    <row r="2686" spans="1:18" ht="15.75" customHeight="true">
      <c r="A2686" s="107" t="s"/>
      <c r="B2686" s="62" t="s"/>
      <c r="C2686" s="62" t="s"/>
      <c r="D2686" s="62" t="s"/>
      <c r="E2686" s="62" t="s"/>
      <c r="F2686" s="66" t="s"/>
      <c r="G2686" s="66" t="s"/>
      <c r="H2686" s="66" t="s"/>
      <c r="I2686" s="62" t="s"/>
      <c r="J2686" s="62" t="s"/>
      <c r="K2686" s="99" t="s"/>
      <c r="L2686" s="66" t="s"/>
      <c r="M2686" s="66" t="s"/>
      <c r="N2686" s="572" t="s"/>
      <c r="O2686" s="62" t="s"/>
      <c r="P2686" s="62" t="s"/>
      <c r="Q2686" s="62" t="s"/>
      <c r="R2686" s="62" t="s"/>
    </row>
    <row r="2687" spans="1:18" ht="15.75" customHeight="true">
      <c r="A2687" s="107" t="s"/>
      <c r="B2687" s="62" t="s"/>
      <c r="C2687" s="62" t="s"/>
      <c r="D2687" s="62" t="s"/>
      <c r="E2687" s="62" t="s"/>
      <c r="F2687" s="66" t="s"/>
      <c r="G2687" s="66" t="s"/>
      <c r="H2687" s="66" t="s"/>
      <c r="I2687" s="62" t="s"/>
      <c r="J2687" s="62" t="s"/>
      <c r="K2687" s="99" t="s"/>
      <c r="L2687" s="66" t="s"/>
      <c r="M2687" s="66" t="s"/>
      <c r="N2687" s="572" t="s"/>
      <c r="O2687" s="62" t="s"/>
      <c r="P2687" s="62" t="s"/>
      <c r="Q2687" s="62" t="s"/>
      <c r="R2687" s="62" t="s"/>
    </row>
    <row r="2688" spans="1:18" ht="15.75" customHeight="true">
      <c r="A2688" s="107" t="s"/>
      <c r="B2688" s="62" t="s"/>
      <c r="C2688" s="62" t="s"/>
      <c r="D2688" s="62" t="s"/>
      <c r="E2688" s="62" t="s"/>
      <c r="F2688" s="66" t="s"/>
      <c r="G2688" s="66" t="s"/>
      <c r="H2688" s="66" t="s"/>
      <c r="I2688" s="62" t="s"/>
      <c r="J2688" s="62" t="s"/>
      <c r="K2688" s="99" t="s"/>
      <c r="L2688" s="66" t="s"/>
      <c r="M2688" s="66" t="s"/>
      <c r="N2688" s="572" t="s"/>
      <c r="O2688" s="62" t="s"/>
      <c r="P2688" s="62" t="s"/>
      <c r="Q2688" s="62" t="s"/>
      <c r="R2688" s="62" t="s"/>
    </row>
    <row r="2689" spans="1:18" ht="15.75" customHeight="true">
      <c r="A2689" s="107" t="s"/>
      <c r="B2689" s="62" t="s"/>
      <c r="C2689" s="62" t="s"/>
      <c r="D2689" s="62" t="s"/>
      <c r="E2689" s="62" t="s"/>
      <c r="F2689" s="66" t="s"/>
      <c r="G2689" s="66" t="s"/>
      <c r="H2689" s="66" t="s"/>
      <c r="I2689" s="62" t="s"/>
      <c r="J2689" s="62" t="s"/>
      <c r="K2689" s="99" t="s"/>
      <c r="L2689" s="66" t="s"/>
      <c r="M2689" s="66" t="s"/>
      <c r="N2689" s="572" t="s"/>
      <c r="O2689" s="62" t="s"/>
      <c r="P2689" s="62" t="s"/>
      <c r="Q2689" s="62" t="s"/>
      <c r="R2689" s="62" t="s"/>
    </row>
    <row r="2690" spans="1:18" ht="15.75" customHeight="true">
      <c r="A2690" s="107" t="s"/>
      <c r="B2690" s="62" t="s"/>
      <c r="C2690" s="62" t="s"/>
      <c r="D2690" s="62" t="s"/>
      <c r="E2690" s="62" t="s"/>
      <c r="F2690" s="66" t="s"/>
      <c r="G2690" s="66" t="s"/>
      <c r="H2690" s="66" t="s"/>
      <c r="I2690" s="62" t="s"/>
      <c r="J2690" s="62" t="s"/>
      <c r="K2690" s="99" t="s"/>
      <c r="L2690" s="66" t="s"/>
      <c r="M2690" s="66" t="s"/>
      <c r="N2690" s="572" t="s"/>
      <c r="O2690" s="62" t="s"/>
      <c r="P2690" s="62" t="s"/>
      <c r="Q2690" s="62" t="s"/>
      <c r="R2690" s="62" t="s"/>
    </row>
    <row r="2691" spans="1:18" ht="15.75" customHeight="true">
      <c r="A2691" s="107" t="s"/>
      <c r="B2691" s="62" t="s"/>
      <c r="C2691" s="62" t="s"/>
      <c r="D2691" s="62" t="s"/>
      <c r="E2691" s="62" t="s"/>
      <c r="F2691" s="66" t="s"/>
      <c r="G2691" s="66" t="s"/>
      <c r="H2691" s="66" t="s"/>
      <c r="I2691" s="62" t="s"/>
      <c r="J2691" s="62" t="s"/>
      <c r="K2691" s="99" t="s"/>
      <c r="L2691" s="66" t="s"/>
      <c r="M2691" s="66" t="s"/>
      <c r="N2691" s="572" t="s"/>
      <c r="O2691" s="62" t="s"/>
      <c r="P2691" s="62" t="s"/>
      <c r="Q2691" s="62" t="s"/>
      <c r="R2691" s="62" t="s"/>
    </row>
    <row r="2692" spans="1:18" ht="15.75" customHeight="true">
      <c r="A2692" s="107" t="s"/>
      <c r="B2692" s="62" t="s"/>
      <c r="C2692" s="62" t="s"/>
      <c r="D2692" s="62" t="s"/>
      <c r="E2692" s="62" t="s"/>
      <c r="F2692" s="66" t="s"/>
      <c r="G2692" s="66" t="s"/>
      <c r="H2692" s="66" t="s"/>
      <c r="I2692" s="62" t="s"/>
      <c r="J2692" s="62" t="s"/>
      <c r="K2692" s="99" t="s"/>
      <c r="L2692" s="66" t="s"/>
      <c r="M2692" s="66" t="s"/>
      <c r="N2692" s="572" t="s"/>
      <c r="O2692" s="62" t="s"/>
      <c r="P2692" s="62" t="s"/>
      <c r="Q2692" s="62" t="s"/>
      <c r="R2692" s="62" t="s"/>
    </row>
    <row r="2693" spans="1:18" ht="15.75" customHeight="true">
      <c r="A2693" s="107" t="s"/>
      <c r="B2693" s="62" t="s"/>
      <c r="C2693" s="62" t="s"/>
      <c r="D2693" s="62" t="s"/>
      <c r="E2693" s="62" t="s"/>
      <c r="F2693" s="66" t="s"/>
      <c r="G2693" s="66" t="s"/>
      <c r="H2693" s="66" t="s"/>
      <c r="I2693" s="62" t="s"/>
      <c r="J2693" s="62" t="s"/>
      <c r="K2693" s="99" t="s"/>
      <c r="L2693" s="66" t="s"/>
      <c r="M2693" s="66" t="s"/>
      <c r="N2693" s="572" t="s"/>
      <c r="O2693" s="62" t="s"/>
      <c r="P2693" s="62" t="s"/>
      <c r="Q2693" s="62" t="s"/>
      <c r="R2693" s="62" t="s"/>
    </row>
    <row r="2694" spans="1:18" ht="15.75" customHeight="true">
      <c r="A2694" s="107" t="s"/>
      <c r="B2694" s="62" t="s"/>
      <c r="C2694" s="62" t="s"/>
      <c r="D2694" s="62" t="s"/>
      <c r="E2694" s="62" t="s"/>
      <c r="F2694" s="66" t="s"/>
      <c r="G2694" s="66" t="s"/>
      <c r="H2694" s="66" t="s"/>
      <c r="I2694" s="62" t="s"/>
      <c r="J2694" s="62" t="s"/>
      <c r="K2694" s="99" t="s"/>
      <c r="L2694" s="66" t="s"/>
      <c r="M2694" s="66" t="s"/>
      <c r="N2694" s="572" t="s"/>
      <c r="O2694" s="62" t="s"/>
      <c r="P2694" s="62" t="s"/>
      <c r="Q2694" s="62" t="s"/>
      <c r="R2694" s="62" t="s"/>
    </row>
    <row r="2695" spans="1:18" ht="15.75" customHeight="true">
      <c r="A2695" s="107" t="s"/>
      <c r="B2695" s="62" t="s"/>
      <c r="C2695" s="62" t="s"/>
      <c r="D2695" s="62" t="s"/>
      <c r="E2695" s="62" t="s"/>
      <c r="F2695" s="66" t="s"/>
      <c r="G2695" s="66" t="s"/>
      <c r="H2695" s="66" t="s"/>
      <c r="I2695" s="62" t="s"/>
      <c r="J2695" s="62" t="s"/>
      <c r="K2695" s="99" t="s"/>
      <c r="L2695" s="66" t="s"/>
      <c r="M2695" s="66" t="s"/>
      <c r="N2695" s="572" t="s"/>
      <c r="O2695" s="62" t="s"/>
      <c r="P2695" s="62" t="s"/>
      <c r="Q2695" s="62" t="s"/>
      <c r="R2695" s="62" t="s"/>
    </row>
    <row r="2696" spans="1:18" ht="15.75" customHeight="true">
      <c r="A2696" s="107" t="s"/>
      <c r="B2696" s="62" t="s"/>
      <c r="C2696" s="62" t="s"/>
      <c r="D2696" s="62" t="s"/>
      <c r="E2696" s="62" t="s"/>
      <c r="F2696" s="66" t="s"/>
      <c r="G2696" s="66" t="s"/>
      <c r="H2696" s="66" t="s"/>
      <c r="I2696" s="62" t="s"/>
      <c r="J2696" s="62" t="s"/>
      <c r="K2696" s="99" t="s"/>
      <c r="L2696" s="66" t="s"/>
      <c r="M2696" s="66" t="s"/>
      <c r="N2696" s="572" t="s"/>
      <c r="O2696" s="62" t="s"/>
      <c r="P2696" s="62" t="s"/>
      <c r="Q2696" s="62" t="s"/>
      <c r="R2696" s="62" t="s"/>
    </row>
    <row r="2697" spans="1:18" ht="15.75" customHeight="true">
      <c r="A2697" s="107" t="s"/>
      <c r="B2697" s="62" t="s"/>
      <c r="C2697" s="62" t="s"/>
      <c r="D2697" s="62" t="s"/>
      <c r="E2697" s="62" t="s"/>
      <c r="F2697" s="66" t="s"/>
      <c r="G2697" s="66" t="s"/>
      <c r="H2697" s="66" t="s"/>
      <c r="I2697" s="62" t="s"/>
      <c r="J2697" s="62" t="s"/>
      <c r="K2697" s="99" t="s"/>
      <c r="L2697" s="66" t="s"/>
      <c r="M2697" s="66" t="s"/>
      <c r="N2697" s="572" t="s"/>
      <c r="O2697" s="62" t="s"/>
      <c r="P2697" s="62" t="s"/>
      <c r="Q2697" s="62" t="s"/>
      <c r="R2697" s="62" t="s"/>
    </row>
    <row r="2698" spans="1:18" ht="15.75" customHeight="true">
      <c r="A2698" s="107" t="s"/>
      <c r="B2698" s="62" t="s"/>
      <c r="C2698" s="62" t="s"/>
      <c r="D2698" s="62" t="s"/>
      <c r="E2698" s="62" t="s"/>
      <c r="F2698" s="66" t="s"/>
      <c r="G2698" s="66" t="s"/>
      <c r="H2698" s="66" t="s"/>
      <c r="I2698" s="62" t="s"/>
      <c r="J2698" s="62" t="s"/>
      <c r="K2698" s="99" t="s"/>
      <c r="L2698" s="66" t="s"/>
      <c r="M2698" s="66" t="s"/>
      <c r="N2698" s="572" t="s"/>
      <c r="O2698" s="62" t="s"/>
      <c r="P2698" s="62" t="s"/>
      <c r="Q2698" s="62" t="s"/>
      <c r="R2698" s="62" t="s"/>
    </row>
    <row r="2699" spans="1:18" ht="15.75" customHeight="true">
      <c r="A2699" s="107" t="s"/>
      <c r="B2699" s="62" t="s"/>
      <c r="C2699" s="62" t="s"/>
      <c r="D2699" s="62" t="s"/>
      <c r="E2699" s="62" t="s"/>
      <c r="F2699" s="66" t="s"/>
      <c r="G2699" s="66" t="s"/>
      <c r="H2699" s="66" t="s"/>
      <c r="I2699" s="62" t="s"/>
      <c r="J2699" s="62" t="s"/>
      <c r="K2699" s="99" t="s"/>
      <c r="L2699" s="66" t="s"/>
      <c r="M2699" s="66" t="s"/>
      <c r="N2699" s="572" t="s"/>
      <c r="O2699" s="62" t="s"/>
      <c r="P2699" s="62" t="s"/>
      <c r="Q2699" s="62" t="s"/>
      <c r="R2699" s="62" t="s"/>
    </row>
    <row r="2700" spans="1:18" ht="15.75" customHeight="true">
      <c r="A2700" s="107" t="s"/>
      <c r="B2700" s="62" t="s"/>
      <c r="C2700" s="62" t="s"/>
      <c r="D2700" s="62" t="s"/>
      <c r="E2700" s="62" t="s"/>
      <c r="F2700" s="66" t="s"/>
      <c r="G2700" s="66" t="s"/>
      <c r="H2700" s="66" t="s"/>
      <c r="I2700" s="62" t="s"/>
      <c r="J2700" s="62" t="s"/>
      <c r="K2700" s="99" t="s"/>
      <c r="L2700" s="66" t="s"/>
      <c r="M2700" s="66" t="s"/>
      <c r="N2700" s="572" t="s"/>
      <c r="O2700" s="62" t="s"/>
      <c r="P2700" s="62" t="s"/>
      <c r="Q2700" s="62" t="s"/>
      <c r="R2700" s="62" t="s"/>
    </row>
    <row r="2701" spans="1:18" ht="15.75" customHeight="true">
      <c r="A2701" s="107" t="s"/>
      <c r="B2701" s="62" t="s"/>
      <c r="C2701" s="62" t="s"/>
      <c r="D2701" s="62" t="s"/>
      <c r="E2701" s="62" t="s"/>
      <c r="F2701" s="66" t="s"/>
      <c r="G2701" s="66" t="s"/>
      <c r="H2701" s="66" t="s"/>
      <c r="I2701" s="62" t="s"/>
      <c r="J2701" s="62" t="s"/>
      <c r="K2701" s="99" t="s"/>
      <c r="L2701" s="66" t="s"/>
      <c r="M2701" s="66" t="s"/>
      <c r="N2701" s="572" t="s"/>
      <c r="O2701" s="62" t="s"/>
      <c r="P2701" s="62" t="s"/>
      <c r="Q2701" s="62" t="s"/>
      <c r="R2701" s="62" t="s"/>
    </row>
    <row r="2702" spans="1:18" ht="15.75" customHeight="true">
      <c r="A2702" s="107" t="s"/>
      <c r="B2702" s="62" t="s"/>
      <c r="C2702" s="62" t="s"/>
      <c r="D2702" s="62" t="s"/>
      <c r="E2702" s="62" t="s"/>
      <c r="F2702" s="66" t="s"/>
      <c r="G2702" s="66" t="s"/>
      <c r="H2702" s="66" t="s"/>
      <c r="I2702" s="62" t="s"/>
      <c r="J2702" s="62" t="s"/>
      <c r="K2702" s="99" t="s"/>
      <c r="L2702" s="66" t="s"/>
      <c r="M2702" s="66" t="s"/>
      <c r="N2702" s="572" t="s"/>
      <c r="O2702" s="62" t="s"/>
      <c r="P2702" s="62" t="s"/>
      <c r="Q2702" s="62" t="s"/>
      <c r="R2702" s="62" t="s"/>
    </row>
    <row r="2703" spans="1:18" ht="15.75" customHeight="true">
      <c r="A2703" s="107" t="s"/>
      <c r="B2703" s="62" t="s"/>
      <c r="C2703" s="62" t="s"/>
      <c r="D2703" s="62" t="s"/>
      <c r="E2703" s="62" t="s"/>
      <c r="F2703" s="66" t="s"/>
      <c r="G2703" s="66" t="s"/>
      <c r="H2703" s="66" t="s"/>
      <c r="I2703" s="62" t="s"/>
      <c r="J2703" s="62" t="s"/>
      <c r="K2703" s="99" t="s"/>
      <c r="L2703" s="66" t="s"/>
      <c r="M2703" s="66" t="s"/>
      <c r="N2703" s="572" t="s"/>
      <c r="O2703" s="62" t="s"/>
      <c r="P2703" s="62" t="s"/>
      <c r="Q2703" s="62" t="s"/>
      <c r="R2703" s="62" t="s"/>
    </row>
    <row r="2704" spans="1:18" ht="15.75" customHeight="true">
      <c r="A2704" s="107" t="s"/>
      <c r="B2704" s="62" t="s"/>
      <c r="C2704" s="62" t="s"/>
      <c r="D2704" s="62" t="s"/>
      <c r="E2704" s="62" t="s"/>
      <c r="F2704" s="66" t="s"/>
      <c r="G2704" s="66" t="s"/>
      <c r="H2704" s="66" t="s"/>
      <c r="I2704" s="62" t="s"/>
      <c r="J2704" s="62" t="s"/>
      <c r="K2704" s="99" t="s"/>
      <c r="L2704" s="66" t="s"/>
      <c r="M2704" s="66" t="s"/>
      <c r="N2704" s="572" t="s"/>
      <c r="O2704" s="62" t="s"/>
      <c r="P2704" s="62" t="s"/>
      <c r="Q2704" s="62" t="s"/>
      <c r="R2704" s="62" t="s"/>
    </row>
    <row r="2705" spans="1:18" ht="15.75" customHeight="true">
      <c r="A2705" s="107" t="s"/>
      <c r="B2705" s="62" t="s"/>
      <c r="C2705" s="62" t="s"/>
      <c r="D2705" s="62" t="s"/>
      <c r="E2705" s="62" t="s"/>
      <c r="F2705" s="66" t="s"/>
      <c r="G2705" s="66" t="s"/>
      <c r="H2705" s="66" t="s"/>
      <c r="I2705" s="62" t="s"/>
      <c r="J2705" s="62" t="s"/>
      <c r="K2705" s="99" t="s"/>
      <c r="L2705" s="66" t="s"/>
      <c r="M2705" s="66" t="s"/>
      <c r="N2705" s="572" t="s"/>
      <c r="O2705" s="62" t="s"/>
      <c r="P2705" s="62" t="s"/>
      <c r="Q2705" s="62" t="s"/>
      <c r="R2705" s="62" t="s"/>
    </row>
    <row r="2706" spans="1:18" ht="15.75" customHeight="true">
      <c r="A2706" s="107" t="s"/>
      <c r="B2706" s="62" t="s"/>
      <c r="C2706" s="62" t="s"/>
      <c r="D2706" s="62" t="s"/>
      <c r="E2706" s="62" t="s"/>
      <c r="F2706" s="66" t="s"/>
      <c r="G2706" s="66" t="s"/>
      <c r="H2706" s="66" t="s"/>
      <c r="I2706" s="62" t="s"/>
      <c r="J2706" s="62" t="s"/>
      <c r="K2706" s="99" t="s"/>
      <c r="L2706" s="66" t="s"/>
      <c r="M2706" s="66" t="s"/>
      <c r="N2706" s="572" t="s"/>
      <c r="O2706" s="62" t="s"/>
      <c r="P2706" s="62" t="s"/>
      <c r="Q2706" s="62" t="s"/>
      <c r="R2706" s="62" t="s"/>
    </row>
    <row r="2707" spans="1:18" ht="15.75" customHeight="true">
      <c r="A2707" s="107" t="s"/>
      <c r="B2707" s="62" t="s"/>
      <c r="C2707" s="62" t="s"/>
      <c r="D2707" s="62" t="s"/>
      <c r="E2707" s="62" t="s"/>
      <c r="F2707" s="66" t="s"/>
      <c r="G2707" s="66" t="s"/>
      <c r="H2707" s="66" t="s"/>
      <c r="I2707" s="62" t="s"/>
      <c r="J2707" s="62" t="s"/>
      <c r="K2707" s="99" t="s"/>
      <c r="L2707" s="66" t="s"/>
      <c r="M2707" s="66" t="s"/>
      <c r="N2707" s="572" t="s"/>
      <c r="O2707" s="62" t="s"/>
      <c r="P2707" s="62" t="s"/>
      <c r="Q2707" s="62" t="s"/>
      <c r="R2707" s="62" t="s"/>
    </row>
    <row r="2708" spans="1:18" ht="15.75" customHeight="true">
      <c r="A2708" s="107" t="s"/>
      <c r="B2708" s="62" t="s"/>
      <c r="C2708" s="62" t="s"/>
      <c r="D2708" s="62" t="s"/>
      <c r="E2708" s="62" t="s"/>
      <c r="F2708" s="66" t="s"/>
      <c r="G2708" s="66" t="s"/>
      <c r="H2708" s="66" t="s"/>
      <c r="I2708" s="62" t="s"/>
      <c r="J2708" s="62" t="s"/>
      <c r="K2708" s="99" t="s"/>
      <c r="L2708" s="66" t="s"/>
      <c r="M2708" s="66" t="s"/>
      <c r="N2708" s="572" t="s"/>
      <c r="O2708" s="62" t="s"/>
      <c r="P2708" s="62" t="s"/>
      <c r="Q2708" s="62" t="s"/>
      <c r="R2708" s="62" t="s"/>
    </row>
    <row r="2709" spans="1:18" ht="15.75" customHeight="true">
      <c r="A2709" s="107" t="s"/>
      <c r="B2709" s="62" t="s"/>
      <c r="C2709" s="62" t="s"/>
      <c r="D2709" s="62" t="s"/>
      <c r="E2709" s="62" t="s"/>
      <c r="F2709" s="66" t="s"/>
      <c r="G2709" s="66" t="s"/>
      <c r="H2709" s="66" t="s"/>
      <c r="I2709" s="62" t="s"/>
      <c r="J2709" s="62" t="s"/>
      <c r="K2709" s="99" t="s"/>
      <c r="L2709" s="66" t="s"/>
      <c r="M2709" s="66" t="s"/>
      <c r="N2709" s="572" t="s"/>
      <c r="O2709" s="62" t="s"/>
      <c r="P2709" s="62" t="s"/>
      <c r="Q2709" s="62" t="s"/>
      <c r="R2709" s="62" t="s"/>
    </row>
    <row r="2710" spans="1:18" ht="15.75" customHeight="true">
      <c r="A2710" s="107" t="s"/>
      <c r="B2710" s="62" t="s"/>
      <c r="C2710" s="62" t="s"/>
      <c r="D2710" s="62" t="s"/>
      <c r="E2710" s="62" t="s"/>
      <c r="F2710" s="66" t="s"/>
      <c r="G2710" s="66" t="s"/>
      <c r="H2710" s="66" t="s"/>
      <c r="I2710" s="62" t="s"/>
      <c r="J2710" s="62" t="s"/>
      <c r="K2710" s="99" t="s"/>
      <c r="L2710" s="66" t="s"/>
      <c r="M2710" s="66" t="s"/>
      <c r="N2710" s="572" t="s"/>
      <c r="O2710" s="62" t="s"/>
      <c r="P2710" s="62" t="s"/>
      <c r="Q2710" s="62" t="s"/>
      <c r="R2710" s="62" t="s"/>
    </row>
    <row r="2711" spans="1:18" ht="15.75" customHeight="true">
      <c r="A2711" s="107" t="s"/>
      <c r="B2711" s="62" t="s"/>
      <c r="C2711" s="62" t="s"/>
      <c r="D2711" s="62" t="s"/>
      <c r="E2711" s="62" t="s"/>
      <c r="F2711" s="66" t="s"/>
      <c r="G2711" s="66" t="s"/>
      <c r="H2711" s="66" t="s"/>
      <c r="I2711" s="62" t="s"/>
      <c r="J2711" s="62" t="s"/>
      <c r="K2711" s="99" t="s"/>
      <c r="L2711" s="66" t="s"/>
      <c r="M2711" s="66" t="s"/>
      <c r="N2711" s="572" t="s"/>
      <c r="O2711" s="62" t="s"/>
      <c r="P2711" s="62" t="s"/>
      <c r="Q2711" s="62" t="s"/>
      <c r="R2711" s="62" t="s"/>
    </row>
    <row r="2712" spans="1:18" ht="15.75" customHeight="true">
      <c r="A2712" s="107" t="s"/>
      <c r="B2712" s="62" t="s"/>
      <c r="C2712" s="62" t="s"/>
      <c r="D2712" s="62" t="s"/>
      <c r="E2712" s="62" t="s"/>
      <c r="F2712" s="66" t="s"/>
      <c r="G2712" s="66" t="s"/>
      <c r="H2712" s="66" t="s"/>
      <c r="I2712" s="62" t="s"/>
      <c r="J2712" s="62" t="s"/>
      <c r="K2712" s="99" t="s"/>
      <c r="L2712" s="66" t="s"/>
      <c r="M2712" s="66" t="s"/>
      <c r="N2712" s="572" t="s"/>
      <c r="O2712" s="62" t="s"/>
      <c r="P2712" s="62" t="s"/>
      <c r="Q2712" s="62" t="s"/>
      <c r="R2712" s="62" t="s"/>
    </row>
    <row r="2713" spans="1:18" ht="15.75" customHeight="true">
      <c r="A2713" s="107" t="s"/>
      <c r="B2713" s="62" t="s"/>
      <c r="C2713" s="62" t="s"/>
      <c r="D2713" s="62" t="s"/>
      <c r="E2713" s="62" t="s"/>
      <c r="F2713" s="66" t="s"/>
      <c r="G2713" s="66" t="s"/>
      <c r="H2713" s="66" t="s"/>
      <c r="I2713" s="62" t="s"/>
      <c r="J2713" s="62" t="s"/>
      <c r="K2713" s="99" t="s"/>
      <c r="L2713" s="66" t="s"/>
      <c r="M2713" s="66" t="s"/>
      <c r="N2713" s="572" t="s"/>
      <c r="O2713" s="62" t="s"/>
      <c r="P2713" s="62" t="s"/>
      <c r="Q2713" s="62" t="s"/>
      <c r="R2713" s="62" t="s"/>
    </row>
    <row r="2714" spans="1:18" ht="15.75" customHeight="true">
      <c r="A2714" s="107" t="s"/>
      <c r="B2714" s="62" t="s"/>
      <c r="C2714" s="62" t="s"/>
      <c r="D2714" s="62" t="s"/>
      <c r="E2714" s="62" t="s"/>
      <c r="F2714" s="66" t="s"/>
      <c r="G2714" s="66" t="s"/>
      <c r="H2714" s="66" t="s"/>
      <c r="I2714" s="62" t="s"/>
      <c r="J2714" s="62" t="s"/>
      <c r="K2714" s="99" t="s"/>
      <c r="L2714" s="66" t="s"/>
      <c r="M2714" s="66" t="s"/>
      <c r="N2714" s="572" t="s"/>
      <c r="O2714" s="62" t="s"/>
      <c r="P2714" s="62" t="s"/>
      <c r="Q2714" s="62" t="s"/>
      <c r="R2714" s="62" t="s"/>
    </row>
    <row r="2715" spans="1:18" ht="15.75" customHeight="true">
      <c r="A2715" s="107" t="s"/>
      <c r="B2715" s="62" t="s"/>
      <c r="C2715" s="62" t="s"/>
      <c r="D2715" s="62" t="s"/>
      <c r="E2715" s="62" t="s"/>
      <c r="F2715" s="66" t="s"/>
      <c r="G2715" s="66" t="s"/>
      <c r="H2715" s="66" t="s"/>
      <c r="I2715" s="62" t="s"/>
      <c r="J2715" s="62" t="s"/>
      <c r="K2715" s="99" t="s"/>
      <c r="L2715" s="66" t="s"/>
      <c r="M2715" s="66" t="s"/>
      <c r="N2715" s="572" t="s"/>
      <c r="O2715" s="62" t="s"/>
      <c r="P2715" s="62" t="s"/>
      <c r="Q2715" s="62" t="s"/>
      <c r="R2715" s="62" t="s"/>
    </row>
    <row r="2716" spans="1:18" ht="15.75" customHeight="true">
      <c r="A2716" s="107" t="s"/>
      <c r="B2716" s="62" t="s"/>
      <c r="C2716" s="62" t="s"/>
      <c r="D2716" s="62" t="s"/>
      <c r="E2716" s="62" t="s"/>
      <c r="F2716" s="66" t="s"/>
      <c r="G2716" s="66" t="s"/>
      <c r="H2716" s="66" t="s"/>
      <c r="I2716" s="62" t="s"/>
      <c r="J2716" s="62" t="s"/>
      <c r="K2716" s="99" t="s"/>
      <c r="L2716" s="66" t="s"/>
      <c r="M2716" s="66" t="s"/>
      <c r="N2716" s="572" t="s"/>
      <c r="O2716" s="62" t="s"/>
      <c r="P2716" s="62" t="s"/>
      <c r="Q2716" s="62" t="s"/>
      <c r="R2716" s="62" t="s"/>
    </row>
    <row r="2717" spans="1:18" ht="15.75" customHeight="true">
      <c r="A2717" s="107" t="s"/>
      <c r="B2717" s="62" t="s"/>
      <c r="C2717" s="62" t="s"/>
      <c r="D2717" s="62" t="s"/>
      <c r="E2717" s="62" t="s"/>
      <c r="F2717" s="66" t="s"/>
      <c r="G2717" s="66" t="s"/>
      <c r="H2717" s="66" t="s"/>
      <c r="I2717" s="62" t="s"/>
      <c r="J2717" s="62" t="s"/>
      <c r="K2717" s="99" t="s"/>
      <c r="L2717" s="66" t="s"/>
      <c r="M2717" s="66" t="s"/>
      <c r="N2717" s="572" t="s"/>
      <c r="O2717" s="62" t="s"/>
      <c r="P2717" s="62" t="s"/>
      <c r="Q2717" s="62" t="s"/>
      <c r="R2717" s="62" t="s"/>
    </row>
    <row r="2718" spans="1:18" ht="15.75" customHeight="true">
      <c r="A2718" s="107" t="s"/>
      <c r="B2718" s="62" t="s"/>
      <c r="C2718" s="62" t="s"/>
      <c r="D2718" s="62" t="s"/>
      <c r="E2718" s="62" t="s"/>
      <c r="F2718" s="66" t="s"/>
      <c r="G2718" s="66" t="s"/>
      <c r="H2718" s="66" t="s"/>
      <c r="I2718" s="62" t="s"/>
      <c r="J2718" s="62" t="s"/>
      <c r="K2718" s="99" t="s"/>
      <c r="L2718" s="66" t="s"/>
      <c r="M2718" s="66" t="s"/>
      <c r="N2718" s="572" t="s"/>
      <c r="O2718" s="62" t="s"/>
      <c r="P2718" s="62" t="s"/>
      <c r="Q2718" s="62" t="s"/>
      <c r="R2718" s="62" t="s"/>
    </row>
    <row r="2719" spans="1:18" ht="15.75" customHeight="true">
      <c r="A2719" s="107" t="s"/>
      <c r="B2719" s="62" t="s"/>
      <c r="C2719" s="62" t="s"/>
      <c r="D2719" s="62" t="s"/>
      <c r="E2719" s="62" t="s"/>
      <c r="F2719" s="66" t="s"/>
      <c r="G2719" s="66" t="s"/>
      <c r="H2719" s="66" t="s"/>
      <c r="I2719" s="62" t="s"/>
      <c r="J2719" s="62" t="s"/>
      <c r="K2719" s="99" t="s"/>
      <c r="L2719" s="66" t="s"/>
      <c r="M2719" s="66" t="s"/>
      <c r="N2719" s="572" t="s"/>
      <c r="O2719" s="62" t="s"/>
      <c r="P2719" s="62" t="s"/>
      <c r="Q2719" s="62" t="s"/>
      <c r="R2719" s="62" t="s"/>
    </row>
    <row r="2720" spans="1:18" ht="15.75" customHeight="true">
      <c r="A2720" s="107" t="s"/>
      <c r="B2720" s="62" t="s"/>
      <c r="C2720" s="62" t="s"/>
      <c r="D2720" s="62" t="s"/>
      <c r="E2720" s="62" t="s"/>
      <c r="F2720" s="66" t="s"/>
      <c r="G2720" s="66" t="s"/>
      <c r="H2720" s="66" t="s"/>
      <c r="I2720" s="62" t="s"/>
      <c r="J2720" s="62" t="s"/>
      <c r="K2720" s="99" t="s"/>
      <c r="L2720" s="66" t="s"/>
      <c r="M2720" s="66" t="s"/>
      <c r="N2720" s="572" t="s"/>
      <c r="O2720" s="62" t="s"/>
      <c r="P2720" s="62" t="s"/>
      <c r="Q2720" s="62" t="s"/>
      <c r="R2720" s="62" t="s"/>
    </row>
    <row r="2721" spans="1:18" ht="15.75" customHeight="true">
      <c r="A2721" s="107" t="s"/>
      <c r="B2721" s="62" t="s"/>
      <c r="C2721" s="62" t="s"/>
      <c r="D2721" s="62" t="s"/>
      <c r="E2721" s="62" t="s"/>
      <c r="F2721" s="66" t="s"/>
      <c r="G2721" s="66" t="s"/>
      <c r="H2721" s="66" t="s"/>
      <c r="I2721" s="62" t="s"/>
      <c r="J2721" s="62" t="s"/>
      <c r="K2721" s="99" t="s"/>
      <c r="L2721" s="66" t="s"/>
      <c r="M2721" s="66" t="s"/>
      <c r="N2721" s="572" t="s"/>
      <c r="O2721" s="62" t="s"/>
      <c r="P2721" s="62" t="s"/>
      <c r="Q2721" s="62" t="s"/>
      <c r="R2721" s="62" t="s"/>
    </row>
    <row r="2722" spans="1:18" ht="15.75" customHeight="true">
      <c r="A2722" s="107" t="s"/>
      <c r="B2722" s="62" t="s"/>
      <c r="C2722" s="62" t="s"/>
      <c r="D2722" s="62" t="s"/>
      <c r="E2722" s="62" t="s"/>
      <c r="F2722" s="66" t="s"/>
      <c r="G2722" s="66" t="s"/>
      <c r="H2722" s="66" t="s"/>
      <c r="I2722" s="62" t="s"/>
      <c r="J2722" s="62" t="s"/>
      <c r="K2722" s="99" t="s"/>
      <c r="L2722" s="66" t="s"/>
      <c r="M2722" s="66" t="s"/>
      <c r="N2722" s="572" t="s"/>
      <c r="O2722" s="62" t="s"/>
      <c r="P2722" s="62" t="s"/>
      <c r="Q2722" s="62" t="s"/>
      <c r="R2722" s="62" t="s"/>
    </row>
    <row r="2723" spans="1:18" ht="15.75" customHeight="true">
      <c r="A2723" s="107" t="s"/>
      <c r="B2723" s="62" t="s"/>
      <c r="C2723" s="62" t="s"/>
      <c r="D2723" s="62" t="s"/>
      <c r="E2723" s="62" t="s"/>
      <c r="F2723" s="66" t="s"/>
      <c r="G2723" s="66" t="s"/>
      <c r="H2723" s="66" t="s"/>
      <c r="I2723" s="62" t="s"/>
      <c r="J2723" s="62" t="s"/>
      <c r="K2723" s="99" t="s"/>
      <c r="L2723" s="66" t="s"/>
      <c r="M2723" s="66" t="s"/>
      <c r="N2723" s="572" t="s"/>
      <c r="O2723" s="62" t="s"/>
      <c r="P2723" s="62" t="s"/>
      <c r="Q2723" s="62" t="s"/>
      <c r="R2723" s="62" t="s"/>
    </row>
    <row r="2724" spans="1:18" ht="15.75" customHeight="true">
      <c r="A2724" s="107" t="s"/>
      <c r="B2724" s="62" t="s"/>
      <c r="C2724" s="62" t="s"/>
      <c r="D2724" s="62" t="s"/>
      <c r="E2724" s="62" t="s"/>
      <c r="F2724" s="66" t="s"/>
      <c r="G2724" s="66" t="s"/>
      <c r="H2724" s="66" t="s"/>
      <c r="I2724" s="62" t="s"/>
      <c r="J2724" s="62" t="s"/>
      <c r="K2724" s="99" t="s"/>
      <c r="L2724" s="66" t="s"/>
      <c r="M2724" s="66" t="s"/>
      <c r="N2724" s="572" t="s"/>
      <c r="O2724" s="62" t="s"/>
      <c r="P2724" s="62" t="s"/>
      <c r="Q2724" s="62" t="s"/>
      <c r="R2724" s="62" t="s"/>
    </row>
    <row r="2725" spans="1:18" ht="15.75" customHeight="true">
      <c r="A2725" s="107" t="s"/>
      <c r="B2725" s="62" t="s"/>
      <c r="C2725" s="62" t="s"/>
      <c r="D2725" s="62" t="s"/>
      <c r="E2725" s="62" t="s"/>
      <c r="F2725" s="66" t="s"/>
      <c r="G2725" s="66" t="s"/>
      <c r="H2725" s="66" t="s"/>
      <c r="I2725" s="62" t="s"/>
      <c r="J2725" s="62" t="s"/>
      <c r="K2725" s="99" t="s"/>
      <c r="L2725" s="66" t="s"/>
      <c r="M2725" s="66" t="s"/>
      <c r="N2725" s="572" t="s"/>
      <c r="O2725" s="62" t="s"/>
      <c r="P2725" s="62" t="s"/>
      <c r="Q2725" s="62" t="s"/>
      <c r="R2725" s="62" t="s"/>
    </row>
    <row r="2726" spans="1:18" ht="15.75" customHeight="true">
      <c r="A2726" s="107" t="s"/>
      <c r="B2726" s="62" t="s"/>
      <c r="C2726" s="62" t="s"/>
      <c r="D2726" s="62" t="s"/>
      <c r="E2726" s="62" t="s"/>
      <c r="F2726" s="66" t="s"/>
      <c r="G2726" s="66" t="s"/>
      <c r="H2726" s="66" t="s"/>
      <c r="I2726" s="62" t="s"/>
      <c r="J2726" s="62" t="s"/>
      <c r="K2726" s="99" t="s"/>
      <c r="L2726" s="66" t="s"/>
      <c r="M2726" s="66" t="s"/>
      <c r="N2726" s="572" t="s"/>
      <c r="O2726" s="62" t="s"/>
      <c r="P2726" s="62" t="s"/>
      <c r="Q2726" s="62" t="s"/>
      <c r="R2726" s="62" t="s"/>
    </row>
    <row r="2727" spans="1:18" ht="15.75" customHeight="true">
      <c r="A2727" s="107" t="s"/>
      <c r="B2727" s="62" t="s"/>
      <c r="C2727" s="62" t="s"/>
      <c r="D2727" s="62" t="s"/>
      <c r="E2727" s="62" t="s"/>
      <c r="F2727" s="66" t="s"/>
      <c r="G2727" s="66" t="s"/>
      <c r="H2727" s="66" t="s"/>
      <c r="I2727" s="62" t="s"/>
      <c r="J2727" s="62" t="s"/>
      <c r="K2727" s="99" t="s"/>
      <c r="L2727" s="66" t="s"/>
      <c r="M2727" s="66" t="s"/>
      <c r="N2727" s="572" t="s"/>
      <c r="O2727" s="62" t="s"/>
      <c r="P2727" s="62" t="s"/>
      <c r="Q2727" s="62" t="s"/>
      <c r="R2727" s="62" t="s"/>
    </row>
    <row r="2728" spans="1:18" ht="15.75" customHeight="true">
      <c r="A2728" s="107" t="s"/>
      <c r="B2728" s="62" t="s"/>
      <c r="C2728" s="62" t="s"/>
      <c r="D2728" s="62" t="s"/>
      <c r="E2728" s="62" t="s"/>
      <c r="F2728" s="66" t="s"/>
      <c r="G2728" s="66" t="s"/>
      <c r="H2728" s="66" t="s"/>
      <c r="I2728" s="62" t="s"/>
      <c r="J2728" s="62" t="s"/>
      <c r="K2728" s="99" t="s"/>
      <c r="L2728" s="66" t="s"/>
      <c r="M2728" s="66" t="s"/>
      <c r="N2728" s="572" t="s"/>
      <c r="O2728" s="62" t="s"/>
      <c r="P2728" s="62" t="s"/>
      <c r="Q2728" s="62" t="s"/>
      <c r="R2728" s="62" t="s"/>
    </row>
    <row r="2729" spans="1:18" ht="15.75" customHeight="true">
      <c r="A2729" s="107" t="s"/>
      <c r="B2729" s="62" t="s"/>
      <c r="C2729" s="62" t="s"/>
      <c r="D2729" s="62" t="s"/>
      <c r="E2729" s="62" t="s"/>
      <c r="F2729" s="66" t="s"/>
      <c r="G2729" s="66" t="s"/>
      <c r="H2729" s="66" t="s"/>
      <c r="I2729" s="62" t="s"/>
      <c r="J2729" s="62" t="s"/>
      <c r="K2729" s="99" t="s"/>
      <c r="L2729" s="66" t="s"/>
      <c r="M2729" s="66" t="s"/>
      <c r="N2729" s="572" t="s"/>
      <c r="O2729" s="62" t="s"/>
      <c r="P2729" s="62" t="s"/>
      <c r="Q2729" s="62" t="s"/>
      <c r="R2729" s="62" t="s"/>
    </row>
    <row r="2730" spans="1:18" ht="15.75" customHeight="true">
      <c r="A2730" s="107" t="s"/>
      <c r="B2730" s="62" t="s"/>
      <c r="C2730" s="62" t="s"/>
      <c r="D2730" s="62" t="s"/>
      <c r="E2730" s="62" t="s"/>
      <c r="F2730" s="66" t="s"/>
      <c r="G2730" s="66" t="s"/>
      <c r="H2730" s="66" t="s"/>
      <c r="I2730" s="62" t="s"/>
      <c r="J2730" s="62" t="s"/>
      <c r="K2730" s="99" t="s"/>
      <c r="L2730" s="66" t="s"/>
      <c r="M2730" s="66" t="s"/>
      <c r="N2730" s="572" t="s"/>
      <c r="O2730" s="62" t="s"/>
      <c r="P2730" s="62" t="s"/>
      <c r="Q2730" s="62" t="s"/>
      <c r="R2730" s="62" t="s"/>
    </row>
    <row r="2731" spans="1:18" ht="15.75" customHeight="true">
      <c r="A2731" s="107" t="s"/>
      <c r="B2731" s="62" t="s"/>
      <c r="C2731" s="62" t="s"/>
      <c r="D2731" s="62" t="s"/>
      <c r="E2731" s="62" t="s"/>
      <c r="F2731" s="66" t="s"/>
      <c r="G2731" s="66" t="s"/>
      <c r="H2731" s="66" t="s"/>
      <c r="I2731" s="62" t="s"/>
      <c r="J2731" s="62" t="s"/>
      <c r="K2731" s="99" t="s"/>
      <c r="L2731" s="66" t="s"/>
      <c r="M2731" s="66" t="s"/>
      <c r="N2731" s="572" t="s"/>
      <c r="O2731" s="62" t="s"/>
      <c r="P2731" s="62" t="s"/>
      <c r="Q2731" s="62" t="s"/>
      <c r="R2731" s="62" t="s"/>
    </row>
    <row r="2732" spans="1:18" ht="15.75" customHeight="true">
      <c r="A2732" s="107" t="s"/>
      <c r="B2732" s="62" t="s"/>
      <c r="C2732" s="62" t="s"/>
      <c r="D2732" s="62" t="s"/>
      <c r="E2732" s="62" t="s"/>
      <c r="F2732" s="66" t="s"/>
      <c r="G2732" s="66" t="s"/>
      <c r="H2732" s="66" t="s"/>
      <c r="I2732" s="62" t="s"/>
      <c r="J2732" s="62" t="s"/>
      <c r="K2732" s="99" t="s"/>
      <c r="L2732" s="66" t="s"/>
      <c r="M2732" s="66" t="s"/>
      <c r="N2732" s="572" t="s"/>
      <c r="O2732" s="62" t="s"/>
      <c r="P2732" s="62" t="s"/>
      <c r="Q2732" s="62" t="s"/>
      <c r="R2732" s="62" t="s"/>
    </row>
    <row r="2733" spans="1:18" ht="15.75" customHeight="true">
      <c r="A2733" s="107" t="s"/>
      <c r="B2733" s="62" t="s"/>
      <c r="C2733" s="62" t="s"/>
      <c r="D2733" s="62" t="s"/>
      <c r="E2733" s="62" t="s"/>
      <c r="F2733" s="66" t="s"/>
      <c r="G2733" s="66" t="s"/>
      <c r="H2733" s="66" t="s"/>
      <c r="I2733" s="62" t="s"/>
      <c r="J2733" s="62" t="s"/>
      <c r="K2733" s="99" t="s"/>
      <c r="L2733" s="66" t="s"/>
      <c r="M2733" s="66" t="s"/>
      <c r="N2733" s="572" t="s"/>
      <c r="O2733" s="62" t="s"/>
      <c r="P2733" s="62" t="s"/>
      <c r="Q2733" s="62" t="s"/>
      <c r="R2733" s="62" t="s"/>
    </row>
    <row r="2734" spans="1:18" ht="15.75" customHeight="true">
      <c r="A2734" s="107" t="s"/>
      <c r="B2734" s="62" t="s"/>
      <c r="C2734" s="62" t="s"/>
      <c r="D2734" s="62" t="s"/>
      <c r="E2734" s="62" t="s"/>
      <c r="F2734" s="66" t="s"/>
      <c r="G2734" s="66" t="s"/>
      <c r="H2734" s="66" t="s"/>
      <c r="I2734" s="62" t="s"/>
      <c r="J2734" s="62" t="s"/>
      <c r="K2734" s="99" t="s"/>
      <c r="L2734" s="66" t="s"/>
      <c r="M2734" s="66" t="s"/>
      <c r="N2734" s="572" t="s"/>
      <c r="O2734" s="62" t="s"/>
      <c r="P2734" s="62" t="s"/>
      <c r="Q2734" s="62" t="s"/>
      <c r="R2734" s="62" t="s"/>
    </row>
    <row r="2735" spans="1:18" ht="15.75" customHeight="true">
      <c r="A2735" s="107" t="s"/>
      <c r="B2735" s="62" t="s"/>
      <c r="C2735" s="62" t="s"/>
      <c r="D2735" s="62" t="s"/>
      <c r="E2735" s="62" t="s"/>
      <c r="F2735" s="66" t="s"/>
      <c r="G2735" s="66" t="s"/>
      <c r="H2735" s="66" t="s"/>
      <c r="I2735" s="62" t="s"/>
      <c r="J2735" s="62" t="s"/>
      <c r="K2735" s="99" t="s"/>
      <c r="L2735" s="66" t="s"/>
      <c r="M2735" s="66" t="s"/>
      <c r="N2735" s="572" t="s"/>
      <c r="O2735" s="62" t="s"/>
      <c r="P2735" s="62" t="s"/>
      <c r="Q2735" s="62" t="s"/>
      <c r="R2735" s="62" t="s"/>
    </row>
    <row r="2736" spans="1:18" ht="15.75" customHeight="true">
      <c r="A2736" s="107" t="s"/>
      <c r="B2736" s="62" t="s"/>
      <c r="C2736" s="62" t="s"/>
      <c r="D2736" s="62" t="s"/>
      <c r="E2736" s="62" t="s"/>
      <c r="F2736" s="66" t="s"/>
      <c r="G2736" s="66" t="s"/>
      <c r="H2736" s="66" t="s"/>
      <c r="I2736" s="62" t="s"/>
      <c r="J2736" s="62" t="s"/>
      <c r="K2736" s="99" t="s"/>
      <c r="L2736" s="66" t="s"/>
      <c r="M2736" s="66" t="s"/>
      <c r="N2736" s="572" t="s"/>
      <c r="O2736" s="62" t="s"/>
      <c r="P2736" s="62" t="s"/>
      <c r="Q2736" s="62" t="s"/>
      <c r="R2736" s="62" t="s"/>
    </row>
    <row r="2737" spans="1:18" ht="15.75" customHeight="true">
      <c r="A2737" s="107" t="s"/>
      <c r="B2737" s="62" t="s"/>
      <c r="C2737" s="62" t="s"/>
      <c r="D2737" s="62" t="s"/>
      <c r="E2737" s="62" t="s"/>
      <c r="F2737" s="66" t="s"/>
      <c r="G2737" s="66" t="s"/>
      <c r="H2737" s="66" t="s"/>
      <c r="I2737" s="62" t="s"/>
      <c r="J2737" s="62" t="s"/>
      <c r="K2737" s="99" t="s"/>
      <c r="L2737" s="66" t="s"/>
      <c r="M2737" s="66" t="s"/>
      <c r="N2737" s="572" t="s"/>
      <c r="O2737" s="62" t="s"/>
      <c r="P2737" s="62" t="s"/>
      <c r="Q2737" s="62" t="s"/>
      <c r="R2737" s="62" t="s"/>
    </row>
    <row r="2738" spans="1:18" ht="15.75" customHeight="true">
      <c r="A2738" s="107" t="s"/>
      <c r="B2738" s="62" t="s"/>
      <c r="C2738" s="62" t="s"/>
      <c r="D2738" s="62" t="s"/>
      <c r="E2738" s="62" t="s"/>
      <c r="F2738" s="66" t="s"/>
      <c r="G2738" s="66" t="s"/>
      <c r="H2738" s="66" t="s"/>
      <c r="I2738" s="62" t="s"/>
      <c r="J2738" s="62" t="s"/>
      <c r="K2738" s="99" t="s"/>
      <c r="L2738" s="66" t="s"/>
      <c r="M2738" s="66" t="s"/>
      <c r="N2738" s="572" t="s"/>
      <c r="O2738" s="62" t="s"/>
      <c r="P2738" s="62" t="s"/>
      <c r="Q2738" s="62" t="s"/>
      <c r="R2738" s="62" t="s"/>
    </row>
    <row r="2739" spans="1:18" ht="15.75" customHeight="true">
      <c r="A2739" s="107" t="s"/>
      <c r="B2739" s="62" t="s"/>
      <c r="C2739" s="62" t="s"/>
      <c r="D2739" s="62" t="s"/>
      <c r="E2739" s="62" t="s"/>
      <c r="F2739" s="66" t="s"/>
      <c r="G2739" s="66" t="s"/>
      <c r="H2739" s="66" t="s"/>
      <c r="I2739" s="62" t="s"/>
      <c r="J2739" s="62" t="s"/>
      <c r="K2739" s="99" t="s"/>
      <c r="L2739" s="66" t="s"/>
      <c r="M2739" s="66" t="s"/>
      <c r="N2739" s="572" t="s"/>
      <c r="O2739" s="62" t="s"/>
      <c r="P2739" s="62" t="s"/>
      <c r="Q2739" s="62" t="s"/>
      <c r="R2739" s="62" t="s"/>
    </row>
    <row r="2740" spans="1:18" ht="15.75" customHeight="true">
      <c r="A2740" s="107" t="s"/>
      <c r="B2740" s="62" t="s"/>
      <c r="C2740" s="62" t="s"/>
      <c r="D2740" s="62" t="s"/>
      <c r="E2740" s="62" t="s"/>
      <c r="F2740" s="66" t="s"/>
      <c r="G2740" s="66" t="s"/>
      <c r="H2740" s="66" t="s"/>
      <c r="I2740" s="62" t="s"/>
      <c r="J2740" s="62" t="s"/>
      <c r="K2740" s="99" t="s"/>
      <c r="L2740" s="66" t="s"/>
      <c r="M2740" s="66" t="s"/>
      <c r="N2740" s="572" t="s"/>
      <c r="O2740" s="62" t="s"/>
      <c r="P2740" s="62" t="s"/>
      <c r="Q2740" s="62" t="s"/>
      <c r="R2740" s="62" t="s"/>
    </row>
    <row r="2741" spans="1:18" ht="15.75" customHeight="true">
      <c r="A2741" s="107" t="s"/>
      <c r="B2741" s="62" t="s"/>
      <c r="C2741" s="62" t="s"/>
      <c r="D2741" s="62" t="s"/>
      <c r="E2741" s="62" t="s"/>
      <c r="F2741" s="66" t="s"/>
      <c r="G2741" s="66" t="s"/>
      <c r="H2741" s="66" t="s"/>
      <c r="I2741" s="62" t="s"/>
      <c r="J2741" s="62" t="s"/>
      <c r="K2741" s="99" t="s"/>
      <c r="L2741" s="66" t="s"/>
      <c r="M2741" s="66" t="s"/>
      <c r="N2741" s="572" t="s"/>
      <c r="O2741" s="62" t="s"/>
      <c r="P2741" s="62" t="s"/>
      <c r="Q2741" s="62" t="s"/>
      <c r="R2741" s="62" t="s"/>
    </row>
    <row r="2742" spans="1:18" ht="15.75" customHeight="true">
      <c r="A2742" s="107" t="s"/>
      <c r="B2742" s="62" t="s"/>
      <c r="C2742" s="62" t="s"/>
      <c r="D2742" s="62" t="s"/>
      <c r="E2742" s="62" t="s"/>
      <c r="F2742" s="66" t="s"/>
      <c r="G2742" s="66" t="s"/>
      <c r="H2742" s="66" t="s"/>
      <c r="I2742" s="62" t="s"/>
      <c r="J2742" s="62" t="s"/>
      <c r="K2742" s="99" t="s"/>
      <c r="L2742" s="66" t="s"/>
      <c r="M2742" s="66" t="s"/>
      <c r="N2742" s="572" t="s"/>
      <c r="O2742" s="62" t="s"/>
      <c r="P2742" s="62" t="s"/>
      <c r="Q2742" s="62" t="s"/>
      <c r="R2742" s="62" t="s"/>
    </row>
    <row r="2743" spans="1:18" ht="15.75" customHeight="true">
      <c r="A2743" s="107" t="s"/>
      <c r="B2743" s="62" t="s"/>
      <c r="C2743" s="62" t="s"/>
      <c r="D2743" s="62" t="s"/>
      <c r="E2743" s="62" t="s"/>
      <c r="F2743" s="66" t="s"/>
      <c r="G2743" s="66" t="s"/>
      <c r="H2743" s="66" t="s"/>
      <c r="I2743" s="62" t="s"/>
      <c r="J2743" s="62" t="s"/>
      <c r="K2743" s="99" t="s"/>
      <c r="L2743" s="66" t="s"/>
      <c r="M2743" s="66" t="s"/>
      <c r="N2743" s="572" t="s"/>
      <c r="O2743" s="62" t="s"/>
      <c r="P2743" s="62" t="s"/>
      <c r="Q2743" s="62" t="s"/>
      <c r="R2743" s="62" t="s"/>
    </row>
    <row r="2744" spans="1:18" ht="15.75" customHeight="true">
      <c r="A2744" s="107" t="s"/>
      <c r="B2744" s="62" t="s"/>
      <c r="C2744" s="62" t="s"/>
      <c r="D2744" s="62" t="s"/>
      <c r="E2744" s="62" t="s"/>
      <c r="F2744" s="66" t="s"/>
      <c r="G2744" s="66" t="s"/>
      <c r="H2744" s="66" t="s"/>
      <c r="I2744" s="62" t="s"/>
      <c r="J2744" s="62" t="s"/>
      <c r="K2744" s="99" t="s"/>
      <c r="L2744" s="66" t="s"/>
      <c r="M2744" s="66" t="s"/>
      <c r="N2744" s="572" t="s"/>
      <c r="O2744" s="62" t="s"/>
      <c r="P2744" s="62" t="s"/>
      <c r="Q2744" s="62" t="s"/>
      <c r="R2744" s="62" t="s"/>
    </row>
    <row r="2745" spans="1:18" ht="15.75" customHeight="true">
      <c r="A2745" s="107" t="s"/>
      <c r="B2745" s="62" t="s"/>
      <c r="C2745" s="62" t="s"/>
      <c r="D2745" s="62" t="s"/>
      <c r="E2745" s="62" t="s"/>
      <c r="F2745" s="66" t="s"/>
      <c r="G2745" s="66" t="s"/>
      <c r="H2745" s="66" t="s"/>
      <c r="I2745" s="62" t="s"/>
      <c r="J2745" s="62" t="s"/>
      <c r="K2745" s="99" t="s"/>
      <c r="L2745" s="66" t="s"/>
      <c r="M2745" s="66" t="s"/>
      <c r="N2745" s="572" t="s"/>
      <c r="O2745" s="62" t="s"/>
      <c r="P2745" s="62" t="s"/>
      <c r="Q2745" s="62" t="s"/>
      <c r="R2745" s="62" t="s"/>
    </row>
    <row r="2746" spans="1:18" ht="15.75" customHeight="true">
      <c r="A2746" s="107" t="s"/>
      <c r="B2746" s="62" t="s"/>
      <c r="C2746" s="62" t="s"/>
      <c r="D2746" s="62" t="s"/>
      <c r="E2746" s="62" t="s"/>
      <c r="F2746" s="66" t="s"/>
      <c r="G2746" s="66" t="s"/>
      <c r="H2746" s="66" t="s"/>
      <c r="I2746" s="62" t="s"/>
      <c r="J2746" s="62" t="s"/>
      <c r="K2746" s="99" t="s"/>
      <c r="L2746" s="66" t="s"/>
      <c r="M2746" s="66" t="s"/>
      <c r="N2746" s="572" t="s"/>
      <c r="O2746" s="62" t="s"/>
      <c r="P2746" s="62" t="s"/>
      <c r="Q2746" s="62" t="s"/>
      <c r="R2746" s="62" t="s"/>
    </row>
    <row r="2747" spans="1:18" ht="15.75" customHeight="true">
      <c r="A2747" s="107" t="s"/>
      <c r="B2747" s="62" t="s"/>
      <c r="C2747" s="62" t="s"/>
      <c r="D2747" s="62" t="s"/>
      <c r="E2747" s="62" t="s"/>
      <c r="F2747" s="66" t="s"/>
      <c r="G2747" s="66" t="s"/>
      <c r="H2747" s="66" t="s"/>
      <c r="I2747" s="62" t="s"/>
      <c r="J2747" s="62" t="s"/>
      <c r="K2747" s="99" t="s"/>
      <c r="L2747" s="66" t="s"/>
      <c r="M2747" s="66" t="s"/>
      <c r="N2747" s="572" t="s"/>
      <c r="O2747" s="62" t="s"/>
      <c r="P2747" s="62" t="s"/>
      <c r="Q2747" s="62" t="s"/>
      <c r="R2747" s="62" t="s"/>
    </row>
    <row r="2748" spans="1:18" ht="15.75" customHeight="true">
      <c r="A2748" s="107" t="s"/>
      <c r="B2748" s="62" t="s"/>
      <c r="C2748" s="62" t="s"/>
      <c r="D2748" s="62" t="s"/>
      <c r="E2748" s="62" t="s"/>
      <c r="F2748" s="66" t="s"/>
      <c r="G2748" s="66" t="s"/>
      <c r="H2748" s="66" t="s"/>
      <c r="I2748" s="62" t="s"/>
      <c r="J2748" s="62" t="s"/>
      <c r="K2748" s="99" t="s"/>
      <c r="L2748" s="66" t="s"/>
      <c r="M2748" s="66" t="s"/>
      <c r="N2748" s="572" t="s"/>
      <c r="O2748" s="62" t="s"/>
      <c r="P2748" s="62" t="s"/>
      <c r="Q2748" s="62" t="s"/>
      <c r="R2748" s="62" t="s"/>
    </row>
    <row r="2749" spans="1:18" ht="15.75" customHeight="true">
      <c r="A2749" s="107" t="s"/>
      <c r="B2749" s="62" t="s"/>
      <c r="C2749" s="62" t="s"/>
      <c r="D2749" s="62" t="s"/>
      <c r="E2749" s="62" t="s"/>
      <c r="F2749" s="66" t="s"/>
      <c r="G2749" s="66" t="s"/>
      <c r="H2749" s="66" t="s"/>
      <c r="I2749" s="62" t="s"/>
      <c r="J2749" s="62" t="s"/>
      <c r="K2749" s="99" t="s"/>
      <c r="L2749" s="66" t="s"/>
      <c r="M2749" s="66" t="s"/>
      <c r="N2749" s="572" t="s"/>
      <c r="O2749" s="62" t="s"/>
      <c r="P2749" s="62" t="s"/>
      <c r="Q2749" s="62" t="s"/>
      <c r="R2749" s="62" t="s"/>
    </row>
    <row r="2750" spans="1:18" ht="15.75" customHeight="true">
      <c r="A2750" s="107" t="s"/>
      <c r="B2750" s="62" t="s"/>
      <c r="C2750" s="62" t="s"/>
      <c r="D2750" s="62" t="s"/>
      <c r="E2750" s="62" t="s"/>
      <c r="F2750" s="66" t="s"/>
      <c r="G2750" s="66" t="s"/>
      <c r="H2750" s="66" t="s"/>
      <c r="I2750" s="62" t="s"/>
      <c r="J2750" s="62" t="s"/>
      <c r="K2750" s="99" t="s"/>
      <c r="L2750" s="66" t="s"/>
      <c r="M2750" s="66" t="s"/>
      <c r="N2750" s="572" t="s"/>
      <c r="O2750" s="62" t="s"/>
      <c r="P2750" s="62" t="s"/>
      <c r="Q2750" s="62" t="s"/>
      <c r="R2750" s="62" t="s"/>
    </row>
    <row r="2751" spans="1:18" ht="15.75" customHeight="true">
      <c r="A2751" s="107" t="s"/>
      <c r="B2751" s="62" t="s"/>
      <c r="C2751" s="62" t="s"/>
      <c r="D2751" s="62" t="s"/>
      <c r="E2751" s="62" t="s"/>
      <c r="F2751" s="66" t="s"/>
      <c r="G2751" s="66" t="s"/>
      <c r="H2751" s="66" t="s"/>
      <c r="I2751" s="62" t="s"/>
      <c r="J2751" s="62" t="s"/>
      <c r="K2751" s="99" t="s"/>
      <c r="L2751" s="66" t="s"/>
      <c r="M2751" s="66" t="s"/>
      <c r="N2751" s="572" t="s"/>
      <c r="O2751" s="62" t="s"/>
      <c r="P2751" s="62" t="s"/>
      <c r="Q2751" s="62" t="s"/>
      <c r="R2751" s="62" t="s"/>
    </row>
    <row r="2752" spans="1:18" ht="15.75" customHeight="true">
      <c r="A2752" s="107" t="s"/>
      <c r="B2752" s="62" t="s"/>
      <c r="C2752" s="62" t="s"/>
      <c r="D2752" s="62" t="s"/>
      <c r="E2752" s="62" t="s"/>
      <c r="F2752" s="66" t="s"/>
      <c r="G2752" s="66" t="s"/>
      <c r="H2752" s="66" t="s"/>
      <c r="I2752" s="62" t="s"/>
      <c r="J2752" s="62" t="s"/>
      <c r="K2752" s="99" t="s"/>
      <c r="L2752" s="66" t="s"/>
      <c r="M2752" s="66" t="s"/>
      <c r="N2752" s="572" t="s"/>
      <c r="O2752" s="62" t="s"/>
      <c r="P2752" s="62" t="s"/>
      <c r="Q2752" s="62" t="s"/>
      <c r="R2752" s="62" t="s"/>
    </row>
    <row r="2753" spans="1:18" ht="15.75" customHeight="true">
      <c r="A2753" s="107" t="s"/>
      <c r="B2753" s="62" t="s"/>
      <c r="C2753" s="62" t="s"/>
      <c r="D2753" s="62" t="s"/>
      <c r="E2753" s="62" t="s"/>
      <c r="F2753" s="66" t="s"/>
      <c r="G2753" s="66" t="s"/>
      <c r="H2753" s="66" t="s"/>
      <c r="I2753" s="62" t="s"/>
      <c r="J2753" s="62" t="s"/>
      <c r="K2753" s="99" t="s"/>
      <c r="L2753" s="66" t="s"/>
      <c r="M2753" s="66" t="s"/>
      <c r="N2753" s="572" t="s"/>
      <c r="O2753" s="62" t="s"/>
      <c r="P2753" s="62" t="s"/>
      <c r="Q2753" s="62" t="s"/>
      <c r="R2753" s="62" t="s"/>
    </row>
    <row r="2754" spans="1:18" ht="15.75" customHeight="true">
      <c r="A2754" s="107" t="s"/>
      <c r="B2754" s="62" t="s"/>
      <c r="C2754" s="62" t="s"/>
      <c r="D2754" s="62" t="s"/>
      <c r="E2754" s="62" t="s"/>
      <c r="F2754" s="66" t="s"/>
      <c r="G2754" s="66" t="s"/>
      <c r="H2754" s="66" t="s"/>
      <c r="I2754" s="62" t="s"/>
      <c r="J2754" s="62" t="s"/>
      <c r="K2754" s="99" t="s"/>
      <c r="L2754" s="66" t="s"/>
      <c r="M2754" s="66" t="s"/>
      <c r="N2754" s="572" t="s"/>
      <c r="O2754" s="62" t="s"/>
      <c r="P2754" s="62" t="s"/>
      <c r="Q2754" s="62" t="s"/>
      <c r="R2754" s="62" t="s"/>
    </row>
    <row r="2755" spans="1:18" ht="15.75" customHeight="true">
      <c r="A2755" s="107" t="s"/>
      <c r="B2755" s="62" t="s"/>
      <c r="C2755" s="62" t="s"/>
      <c r="D2755" s="62" t="s"/>
      <c r="E2755" s="62" t="s"/>
      <c r="F2755" s="66" t="s"/>
      <c r="G2755" s="66" t="s"/>
      <c r="H2755" s="66" t="s"/>
      <c r="I2755" s="62" t="s"/>
      <c r="J2755" s="62" t="s"/>
      <c r="K2755" s="99" t="s"/>
      <c r="L2755" s="66" t="s"/>
      <c r="M2755" s="66" t="s"/>
      <c r="N2755" s="572" t="s"/>
      <c r="O2755" s="62" t="s"/>
      <c r="P2755" s="62" t="s"/>
      <c r="Q2755" s="62" t="s"/>
      <c r="R2755" s="62" t="s"/>
    </row>
    <row r="2756" spans="1:18" ht="15.75" customHeight="true">
      <c r="A2756" s="107" t="s"/>
      <c r="B2756" s="62" t="s"/>
      <c r="C2756" s="62" t="s"/>
      <c r="D2756" s="62" t="s"/>
      <c r="E2756" s="62" t="s"/>
      <c r="F2756" s="66" t="s"/>
      <c r="G2756" s="66" t="s"/>
      <c r="H2756" s="66" t="s"/>
      <c r="I2756" s="62" t="s"/>
      <c r="J2756" s="62" t="s"/>
      <c r="K2756" s="99" t="s"/>
      <c r="L2756" s="66" t="s"/>
      <c r="M2756" s="66" t="s"/>
      <c r="N2756" s="572" t="s"/>
      <c r="O2756" s="62" t="s"/>
      <c r="P2756" s="62" t="s"/>
      <c r="Q2756" s="62" t="s"/>
      <c r="R2756" s="62" t="s"/>
    </row>
    <row r="2757" spans="1:18" ht="15.75" customHeight="true">
      <c r="A2757" s="107" t="s"/>
      <c r="B2757" s="62" t="s"/>
      <c r="C2757" s="62" t="s"/>
      <c r="D2757" s="62" t="s"/>
      <c r="E2757" s="62" t="s"/>
      <c r="F2757" s="66" t="s"/>
      <c r="G2757" s="66" t="s"/>
      <c r="H2757" s="66" t="s"/>
      <c r="I2757" s="62" t="s"/>
      <c r="J2757" s="62" t="s"/>
      <c r="K2757" s="99" t="s"/>
      <c r="L2757" s="66" t="s"/>
      <c r="M2757" s="66" t="s"/>
      <c r="N2757" s="572" t="s"/>
      <c r="O2757" s="62" t="s"/>
      <c r="P2757" s="62" t="s"/>
      <c r="Q2757" s="62" t="s"/>
      <c r="R2757" s="62" t="s"/>
    </row>
    <row r="2758" spans="1:18" ht="15.75" customHeight="true">
      <c r="A2758" s="107" t="s"/>
      <c r="B2758" s="62" t="s"/>
      <c r="C2758" s="62" t="s"/>
      <c r="D2758" s="62" t="s"/>
      <c r="E2758" s="62" t="s"/>
      <c r="F2758" s="66" t="s"/>
      <c r="G2758" s="66" t="s"/>
      <c r="H2758" s="66" t="s"/>
      <c r="I2758" s="62" t="s"/>
      <c r="J2758" s="62" t="s"/>
      <c r="K2758" s="99" t="s"/>
      <c r="L2758" s="66" t="s"/>
      <c r="M2758" s="66" t="s"/>
      <c r="N2758" s="572" t="s"/>
      <c r="O2758" s="62" t="s"/>
      <c r="P2758" s="62" t="s"/>
      <c r="Q2758" s="62" t="s"/>
      <c r="R2758" s="62" t="s"/>
    </row>
    <row r="2759" spans="1:18" ht="15.75" customHeight="true">
      <c r="A2759" s="107" t="s"/>
      <c r="B2759" s="62" t="s"/>
      <c r="C2759" s="62" t="s"/>
      <c r="D2759" s="62" t="s"/>
      <c r="E2759" s="62" t="s"/>
      <c r="F2759" s="66" t="s"/>
      <c r="G2759" s="66" t="s"/>
      <c r="H2759" s="66" t="s"/>
      <c r="I2759" s="62" t="s"/>
      <c r="J2759" s="62" t="s"/>
      <c r="K2759" s="99" t="s"/>
      <c r="L2759" s="66" t="s"/>
      <c r="M2759" s="66" t="s"/>
      <c r="N2759" s="572" t="s"/>
      <c r="O2759" s="62" t="s"/>
      <c r="P2759" s="62" t="s"/>
      <c r="Q2759" s="62" t="s"/>
      <c r="R2759" s="62" t="s"/>
    </row>
    <row r="2760" spans="1:18" ht="15.75" customHeight="true">
      <c r="A2760" s="107" t="s"/>
      <c r="B2760" s="62" t="s"/>
      <c r="C2760" s="62" t="s"/>
      <c r="D2760" s="62" t="s"/>
      <c r="E2760" s="62" t="s"/>
      <c r="F2760" s="66" t="s"/>
      <c r="G2760" s="66" t="s"/>
      <c r="H2760" s="66" t="s"/>
      <c r="I2760" s="62" t="s"/>
      <c r="J2760" s="62" t="s"/>
      <c r="K2760" s="99" t="s"/>
      <c r="L2760" s="66" t="s"/>
      <c r="M2760" s="66" t="s"/>
      <c r="N2760" s="572" t="s"/>
      <c r="O2760" s="62" t="s"/>
      <c r="P2760" s="62" t="s"/>
      <c r="Q2760" s="62" t="s"/>
      <c r="R2760" s="62" t="s"/>
    </row>
    <row r="2761" spans="1:18" ht="15.75" customHeight="true">
      <c r="A2761" s="107" t="s"/>
      <c r="B2761" s="62" t="s"/>
      <c r="C2761" s="62" t="s"/>
      <c r="D2761" s="62" t="s"/>
      <c r="E2761" s="62" t="s"/>
      <c r="F2761" s="66" t="s"/>
      <c r="G2761" s="66" t="s"/>
      <c r="H2761" s="66" t="s"/>
      <c r="I2761" s="62" t="s"/>
      <c r="J2761" s="62" t="s"/>
      <c r="K2761" s="99" t="s"/>
      <c r="L2761" s="66" t="s"/>
      <c r="M2761" s="66" t="s"/>
      <c r="N2761" s="572" t="s"/>
      <c r="O2761" s="62" t="s"/>
      <c r="P2761" s="62" t="s"/>
      <c r="Q2761" s="62" t="s"/>
      <c r="R2761" s="62" t="s"/>
    </row>
    <row r="2762" spans="1:18" ht="15.75" customHeight="true">
      <c r="A2762" s="107" t="s"/>
      <c r="B2762" s="62" t="s"/>
      <c r="C2762" s="62" t="s"/>
      <c r="D2762" s="62" t="s"/>
      <c r="E2762" s="62" t="s"/>
      <c r="F2762" s="66" t="s"/>
      <c r="G2762" s="66" t="s"/>
      <c r="H2762" s="66" t="s"/>
      <c r="I2762" s="62" t="s"/>
      <c r="J2762" s="62" t="s"/>
      <c r="K2762" s="99" t="s"/>
      <c r="L2762" s="66" t="s"/>
      <c r="M2762" s="66" t="s"/>
      <c r="N2762" s="572" t="s"/>
      <c r="O2762" s="62" t="s"/>
      <c r="P2762" s="62" t="s"/>
      <c r="Q2762" s="62" t="s"/>
      <c r="R2762" s="62" t="s"/>
    </row>
    <row r="2763" spans="1:18" ht="15.75" customHeight="true">
      <c r="A2763" s="107" t="s"/>
      <c r="B2763" s="62" t="s"/>
      <c r="C2763" s="62" t="s"/>
      <c r="D2763" s="62" t="s"/>
      <c r="E2763" s="62" t="s"/>
      <c r="F2763" s="66" t="s"/>
      <c r="G2763" s="66" t="s"/>
      <c r="H2763" s="66" t="s"/>
      <c r="I2763" s="62" t="s"/>
      <c r="J2763" s="62" t="s"/>
      <c r="K2763" s="99" t="s"/>
      <c r="L2763" s="66" t="s"/>
      <c r="M2763" s="66" t="s"/>
      <c r="N2763" s="572" t="s"/>
      <c r="O2763" s="62" t="s"/>
      <c r="P2763" s="62" t="s"/>
      <c r="Q2763" s="62" t="s"/>
      <c r="R2763" s="62" t="s"/>
    </row>
    <row r="2764" spans="1:18" ht="15.75" customHeight="true">
      <c r="A2764" s="107" t="s"/>
      <c r="B2764" s="62" t="s"/>
      <c r="C2764" s="62" t="s"/>
      <c r="D2764" s="62" t="s"/>
      <c r="E2764" s="62" t="s"/>
      <c r="F2764" s="66" t="s"/>
      <c r="G2764" s="66" t="s"/>
      <c r="H2764" s="66" t="s"/>
      <c r="I2764" s="62" t="s"/>
      <c r="J2764" s="62" t="s"/>
      <c r="K2764" s="99" t="s"/>
      <c r="L2764" s="66" t="s"/>
      <c r="M2764" s="66" t="s"/>
      <c r="N2764" s="572" t="s"/>
      <c r="O2764" s="62" t="s"/>
      <c r="P2764" s="62" t="s"/>
      <c r="Q2764" s="62" t="s"/>
      <c r="R2764" s="62" t="s"/>
    </row>
    <row r="2765" spans="1:18" ht="15.75" customHeight="true">
      <c r="A2765" s="107" t="s"/>
      <c r="B2765" s="62" t="s"/>
      <c r="C2765" s="62" t="s"/>
      <c r="D2765" s="62" t="s"/>
      <c r="E2765" s="62" t="s"/>
      <c r="F2765" s="66" t="s"/>
      <c r="G2765" s="66" t="s"/>
      <c r="H2765" s="66" t="s"/>
      <c r="I2765" s="62" t="s"/>
      <c r="J2765" s="62" t="s"/>
      <c r="K2765" s="99" t="s"/>
      <c r="L2765" s="66" t="s"/>
      <c r="M2765" s="66" t="s"/>
      <c r="N2765" s="572" t="s"/>
      <c r="O2765" s="62" t="s"/>
      <c r="P2765" s="62" t="s"/>
      <c r="Q2765" s="62" t="s"/>
      <c r="R2765" s="62" t="s"/>
    </row>
    <row r="2766" spans="1:18" ht="15.75" customHeight="true">
      <c r="A2766" s="107" t="s"/>
      <c r="B2766" s="62" t="s"/>
      <c r="C2766" s="62" t="s"/>
      <c r="D2766" s="62" t="s"/>
      <c r="E2766" s="62" t="s"/>
      <c r="F2766" s="66" t="s"/>
      <c r="G2766" s="66" t="s"/>
      <c r="H2766" s="66" t="s"/>
      <c r="I2766" s="62" t="s"/>
      <c r="J2766" s="62" t="s"/>
      <c r="K2766" s="99" t="s"/>
      <c r="L2766" s="66" t="s"/>
      <c r="M2766" s="66" t="s"/>
      <c r="N2766" s="572" t="s"/>
      <c r="O2766" s="62" t="s"/>
      <c r="P2766" s="62" t="s"/>
      <c r="Q2766" s="62" t="s"/>
      <c r="R2766" s="62" t="s"/>
    </row>
    <row r="2767" spans="1:18" ht="15.75" customHeight="true">
      <c r="A2767" s="107" t="s"/>
      <c r="B2767" s="62" t="s"/>
      <c r="C2767" s="62" t="s"/>
      <c r="D2767" s="62" t="s"/>
      <c r="E2767" s="62" t="s"/>
      <c r="F2767" s="66" t="s"/>
      <c r="G2767" s="66" t="s"/>
      <c r="H2767" s="66" t="s"/>
      <c r="I2767" s="62" t="s"/>
      <c r="J2767" s="62" t="s"/>
      <c r="K2767" s="99" t="s"/>
      <c r="L2767" s="66" t="s"/>
      <c r="M2767" s="66" t="s"/>
      <c r="N2767" s="572" t="s"/>
      <c r="O2767" s="62" t="s"/>
      <c r="P2767" s="62" t="s"/>
      <c r="Q2767" s="62" t="s"/>
      <c r="R2767" s="62" t="s"/>
    </row>
    <row r="2768" spans="1:18" ht="15.75" customHeight="true">
      <c r="A2768" s="107" t="s"/>
      <c r="B2768" s="62" t="s"/>
      <c r="C2768" s="62" t="s"/>
      <c r="D2768" s="62" t="s"/>
      <c r="E2768" s="62" t="s"/>
      <c r="F2768" s="66" t="s"/>
      <c r="G2768" s="66" t="s"/>
      <c r="H2768" s="66" t="s"/>
      <c r="I2768" s="62" t="s"/>
      <c r="J2768" s="62" t="s"/>
      <c r="K2768" s="99" t="s"/>
      <c r="L2768" s="66" t="s"/>
      <c r="M2768" s="66" t="s"/>
      <c r="N2768" s="572" t="s"/>
      <c r="O2768" s="62" t="s"/>
      <c r="P2768" s="62" t="s"/>
      <c r="Q2768" s="62" t="s"/>
      <c r="R2768" s="62" t="s"/>
    </row>
    <row r="2769" spans="1:18" ht="15.75" customHeight="true">
      <c r="A2769" s="107" t="s"/>
      <c r="B2769" s="62" t="s"/>
      <c r="C2769" s="62" t="s"/>
      <c r="D2769" s="62" t="s"/>
      <c r="E2769" s="62" t="s"/>
      <c r="F2769" s="66" t="s"/>
      <c r="G2769" s="66" t="s"/>
      <c r="H2769" s="66" t="s"/>
      <c r="I2769" s="62" t="s"/>
      <c r="J2769" s="62" t="s"/>
      <c r="K2769" s="99" t="s"/>
      <c r="L2769" s="66" t="s"/>
      <c r="M2769" s="66" t="s"/>
      <c r="N2769" s="572" t="s"/>
      <c r="O2769" s="62" t="s"/>
      <c r="P2769" s="62" t="s"/>
      <c r="Q2769" s="62" t="s"/>
      <c r="R2769" s="62" t="s"/>
    </row>
    <row r="2770" spans="1:18" ht="15.75" customHeight="true">
      <c r="A2770" s="107" t="s"/>
      <c r="B2770" s="62" t="s"/>
      <c r="C2770" s="62" t="s"/>
      <c r="D2770" s="62" t="s"/>
      <c r="E2770" s="62" t="s"/>
      <c r="F2770" s="66" t="s"/>
      <c r="G2770" s="66" t="s"/>
      <c r="H2770" s="66" t="s"/>
      <c r="I2770" s="62" t="s"/>
      <c r="J2770" s="62" t="s"/>
      <c r="K2770" s="99" t="s"/>
      <c r="L2770" s="66" t="s"/>
      <c r="M2770" s="66" t="s"/>
      <c r="N2770" s="572" t="s"/>
      <c r="O2770" s="62" t="s"/>
      <c r="P2770" s="62" t="s"/>
      <c r="Q2770" s="62" t="s"/>
      <c r="R2770" s="62" t="s"/>
    </row>
    <row r="2771" spans="1:18" ht="15.75" customHeight="true">
      <c r="A2771" s="107" t="s"/>
      <c r="B2771" s="62" t="s"/>
      <c r="C2771" s="62" t="s"/>
      <c r="D2771" s="62" t="s"/>
      <c r="E2771" s="62" t="s"/>
      <c r="F2771" s="66" t="s"/>
      <c r="G2771" s="66" t="s"/>
      <c r="H2771" s="66" t="s"/>
      <c r="I2771" s="62" t="s"/>
      <c r="J2771" s="62" t="s"/>
      <c r="K2771" s="99" t="s"/>
      <c r="L2771" s="66" t="s"/>
      <c r="M2771" s="66" t="s"/>
      <c r="N2771" s="572" t="s"/>
      <c r="O2771" s="62" t="s"/>
      <c r="P2771" s="62" t="s"/>
      <c r="Q2771" s="62" t="s"/>
      <c r="R2771" s="62" t="s"/>
    </row>
    <row r="2772" spans="1:18" ht="15.75" customHeight="true">
      <c r="A2772" s="107" t="s"/>
      <c r="B2772" s="62" t="s"/>
      <c r="C2772" s="62" t="s"/>
      <c r="D2772" s="62" t="s"/>
      <c r="E2772" s="62" t="s"/>
      <c r="F2772" s="66" t="s"/>
      <c r="G2772" s="66" t="s"/>
      <c r="H2772" s="66" t="s"/>
      <c r="I2772" s="62" t="s"/>
      <c r="J2772" s="62" t="s"/>
      <c r="K2772" s="99" t="s"/>
      <c r="L2772" s="66" t="s"/>
      <c r="M2772" s="66" t="s"/>
      <c r="N2772" s="572" t="s"/>
      <c r="O2772" s="62" t="s"/>
      <c r="P2772" s="62" t="s"/>
      <c r="Q2772" s="62" t="s"/>
      <c r="R2772" s="62" t="s"/>
    </row>
    <row r="2773" spans="1:18" ht="15.75" customHeight="true">
      <c r="A2773" s="107" t="s"/>
      <c r="B2773" s="62" t="s"/>
      <c r="C2773" s="62" t="s"/>
      <c r="D2773" s="62" t="s"/>
      <c r="E2773" s="62" t="s"/>
      <c r="F2773" s="66" t="s"/>
      <c r="G2773" s="66" t="s"/>
      <c r="H2773" s="66" t="s"/>
      <c r="I2773" s="62" t="s"/>
      <c r="J2773" s="62" t="s"/>
      <c r="K2773" s="99" t="s"/>
      <c r="L2773" s="66" t="s"/>
      <c r="M2773" s="66" t="s"/>
      <c r="N2773" s="572" t="s"/>
      <c r="O2773" s="62" t="s"/>
      <c r="P2773" s="62" t="s"/>
      <c r="Q2773" s="62" t="s"/>
      <c r="R2773" s="62" t="s"/>
    </row>
    <row r="2774" spans="1:18" ht="15.75" customHeight="true">
      <c r="A2774" s="107" t="s"/>
      <c r="B2774" s="62" t="s"/>
      <c r="C2774" s="62" t="s"/>
      <c r="D2774" s="62" t="s"/>
      <c r="E2774" s="62" t="s"/>
      <c r="F2774" s="66" t="s"/>
      <c r="G2774" s="66" t="s"/>
      <c r="H2774" s="66" t="s"/>
      <c r="I2774" s="62" t="s"/>
      <c r="J2774" s="62" t="s"/>
      <c r="K2774" s="99" t="s"/>
      <c r="L2774" s="66" t="s"/>
      <c r="M2774" s="66" t="s"/>
      <c r="N2774" s="572" t="s"/>
      <c r="O2774" s="62" t="s"/>
      <c r="P2774" s="62" t="s"/>
      <c r="Q2774" s="62" t="s"/>
      <c r="R2774" s="62" t="s"/>
    </row>
    <row r="2775" spans="1:18" ht="15.75" customHeight="true">
      <c r="A2775" s="107" t="s"/>
      <c r="B2775" s="62" t="s"/>
      <c r="C2775" s="62" t="s"/>
      <c r="D2775" s="62" t="s"/>
      <c r="E2775" s="62" t="s"/>
      <c r="F2775" s="66" t="s"/>
      <c r="G2775" s="66" t="s"/>
      <c r="H2775" s="66" t="s"/>
      <c r="I2775" s="62" t="s"/>
      <c r="J2775" s="62" t="s"/>
      <c r="K2775" s="99" t="s"/>
      <c r="L2775" s="66" t="s"/>
      <c r="M2775" s="66" t="s"/>
      <c r="N2775" s="572" t="s"/>
      <c r="O2775" s="62" t="s"/>
      <c r="P2775" s="62" t="s"/>
      <c r="Q2775" s="62" t="s"/>
      <c r="R2775" s="62" t="s"/>
    </row>
    <row r="2776" spans="1:18" ht="15.75" customHeight="true">
      <c r="A2776" s="107" t="s"/>
      <c r="B2776" s="62" t="s"/>
      <c r="C2776" s="62" t="s"/>
      <c r="D2776" s="62" t="s"/>
      <c r="E2776" s="62" t="s"/>
      <c r="F2776" s="66" t="s"/>
      <c r="G2776" s="66" t="s"/>
      <c r="H2776" s="66" t="s"/>
      <c r="I2776" s="62" t="s"/>
      <c r="J2776" s="62" t="s"/>
      <c r="K2776" s="99" t="s"/>
      <c r="L2776" s="66" t="s"/>
      <c r="M2776" s="66" t="s"/>
      <c r="N2776" s="572" t="s"/>
      <c r="O2776" s="62" t="s"/>
      <c r="P2776" s="62" t="s"/>
      <c r="Q2776" s="62" t="s"/>
      <c r="R2776" s="62" t="s"/>
    </row>
    <row r="2777" spans="1:18" ht="15.75" customHeight="true">
      <c r="A2777" s="107" t="s"/>
      <c r="B2777" s="62" t="s"/>
      <c r="C2777" s="62" t="s"/>
      <c r="D2777" s="62" t="s"/>
      <c r="E2777" s="62" t="s"/>
      <c r="F2777" s="66" t="s"/>
      <c r="G2777" s="66" t="s"/>
      <c r="H2777" s="66" t="s"/>
      <c r="I2777" s="62" t="s"/>
      <c r="J2777" s="62" t="s"/>
      <c r="K2777" s="99" t="s"/>
      <c r="L2777" s="66" t="s"/>
      <c r="M2777" s="66" t="s"/>
      <c r="N2777" s="572" t="s"/>
      <c r="O2777" s="62" t="s"/>
      <c r="P2777" s="62" t="s"/>
      <c r="Q2777" s="62" t="s"/>
      <c r="R2777" s="62" t="s"/>
    </row>
    <row r="2778" spans="1:18" ht="15.75" customHeight="true">
      <c r="A2778" s="107" t="s"/>
      <c r="B2778" s="62" t="s"/>
      <c r="C2778" s="62" t="s"/>
      <c r="D2778" s="62" t="s"/>
      <c r="E2778" s="62" t="s"/>
      <c r="F2778" s="66" t="s"/>
      <c r="G2778" s="66" t="s"/>
      <c r="H2778" s="66" t="s"/>
      <c r="I2778" s="62" t="s"/>
      <c r="J2778" s="62" t="s"/>
      <c r="K2778" s="99" t="s"/>
      <c r="L2778" s="66" t="s"/>
      <c r="M2778" s="66" t="s"/>
      <c r="N2778" s="572" t="s"/>
      <c r="O2778" s="62" t="s"/>
      <c r="P2778" s="62" t="s"/>
      <c r="Q2778" s="62" t="s"/>
      <c r="R2778" s="62" t="s"/>
    </row>
    <row r="2779" spans="1:18" ht="15.75" customHeight="true">
      <c r="A2779" s="107" t="s"/>
      <c r="B2779" s="62" t="s"/>
      <c r="C2779" s="62" t="s"/>
      <c r="D2779" s="62" t="s"/>
      <c r="E2779" s="62" t="s"/>
      <c r="F2779" s="66" t="s"/>
      <c r="G2779" s="66" t="s"/>
      <c r="H2779" s="66" t="s"/>
      <c r="I2779" s="62" t="s"/>
      <c r="J2779" s="62" t="s"/>
      <c r="K2779" s="99" t="s"/>
      <c r="L2779" s="66" t="s"/>
      <c r="M2779" s="66" t="s"/>
      <c r="N2779" s="572" t="s"/>
      <c r="O2779" s="62" t="s"/>
      <c r="P2779" s="62" t="s"/>
      <c r="Q2779" s="62" t="s"/>
      <c r="R2779" s="62" t="s"/>
    </row>
    <row r="2780" spans="1:18" ht="15.75" customHeight="true">
      <c r="A2780" s="107" t="s"/>
      <c r="B2780" s="62" t="s"/>
      <c r="C2780" s="62" t="s"/>
      <c r="D2780" s="62" t="s"/>
      <c r="E2780" s="62" t="s"/>
      <c r="F2780" s="66" t="s"/>
      <c r="G2780" s="66" t="s"/>
      <c r="H2780" s="66" t="s"/>
      <c r="I2780" s="62" t="s"/>
      <c r="J2780" s="62" t="s"/>
      <c r="K2780" s="99" t="s"/>
      <c r="L2780" s="66" t="s"/>
      <c r="M2780" s="66" t="s"/>
      <c r="N2780" s="572" t="s"/>
      <c r="O2780" s="62" t="s"/>
      <c r="P2780" s="62" t="s"/>
      <c r="Q2780" s="62" t="s"/>
      <c r="R2780" s="62" t="s"/>
    </row>
    <row r="2781" spans="1:18" ht="15.75" customHeight="true">
      <c r="A2781" s="107" t="s"/>
      <c r="B2781" s="62" t="s"/>
      <c r="C2781" s="62" t="s"/>
      <c r="D2781" s="62" t="s"/>
      <c r="E2781" s="62" t="s"/>
      <c r="F2781" s="66" t="s"/>
      <c r="G2781" s="66" t="s"/>
      <c r="H2781" s="66" t="s"/>
      <c r="I2781" s="62" t="s"/>
      <c r="J2781" s="62" t="s"/>
      <c r="K2781" s="99" t="s"/>
      <c r="L2781" s="66" t="s"/>
      <c r="M2781" s="66" t="s"/>
      <c r="N2781" s="572" t="s"/>
      <c r="O2781" s="62" t="s"/>
      <c r="P2781" s="62" t="s"/>
      <c r="Q2781" s="62" t="s"/>
      <c r="R2781" s="62" t="s"/>
    </row>
    <row r="2782" spans="1:18" ht="15.75" customHeight="true">
      <c r="A2782" s="107" t="s"/>
      <c r="B2782" s="62" t="s"/>
      <c r="C2782" s="62" t="s"/>
      <c r="D2782" s="62" t="s"/>
      <c r="E2782" s="62" t="s"/>
      <c r="F2782" s="66" t="s"/>
      <c r="G2782" s="66" t="s"/>
      <c r="H2782" s="66" t="s"/>
      <c r="I2782" s="62" t="s"/>
      <c r="J2782" s="62" t="s"/>
      <c r="K2782" s="99" t="s"/>
      <c r="L2782" s="66" t="s"/>
      <c r="M2782" s="66" t="s"/>
      <c r="N2782" s="572" t="s"/>
      <c r="O2782" s="62" t="s"/>
      <c r="P2782" s="62" t="s"/>
      <c r="Q2782" s="62" t="s"/>
      <c r="R2782" s="62" t="s"/>
    </row>
    <row r="2783" spans="1:18" ht="15.75" customHeight="true">
      <c r="A2783" s="107" t="s"/>
      <c r="B2783" s="62" t="s"/>
      <c r="C2783" s="62" t="s"/>
      <c r="D2783" s="62" t="s"/>
      <c r="E2783" s="62" t="s"/>
      <c r="F2783" s="66" t="s"/>
      <c r="G2783" s="66" t="s"/>
      <c r="H2783" s="66" t="s"/>
      <c r="I2783" s="62" t="s"/>
      <c r="J2783" s="62" t="s"/>
      <c r="K2783" s="99" t="s"/>
      <c r="L2783" s="66" t="s"/>
      <c r="M2783" s="66" t="s"/>
      <c r="N2783" s="572" t="s"/>
      <c r="O2783" s="62" t="s"/>
      <c r="P2783" s="62" t="s"/>
      <c r="Q2783" s="62" t="s"/>
      <c r="R2783" s="62" t="s"/>
    </row>
    <row r="2784" spans="1:18" ht="15.75" customHeight="true">
      <c r="A2784" s="107" t="s"/>
      <c r="B2784" s="62" t="s"/>
      <c r="C2784" s="62" t="s"/>
      <c r="D2784" s="62" t="s"/>
      <c r="E2784" s="62" t="s"/>
      <c r="F2784" s="66" t="s"/>
      <c r="G2784" s="66" t="s"/>
      <c r="H2784" s="66" t="s"/>
      <c r="I2784" s="62" t="s"/>
      <c r="J2784" s="62" t="s"/>
      <c r="K2784" s="99" t="s"/>
      <c r="L2784" s="66" t="s"/>
      <c r="M2784" s="66" t="s"/>
      <c r="N2784" s="572" t="s"/>
      <c r="O2784" s="62" t="s"/>
      <c r="P2784" s="62" t="s"/>
      <c r="Q2784" s="62" t="s"/>
      <c r="R2784" s="62" t="s"/>
    </row>
    <row r="2785" spans="1:18" ht="15.75" customHeight="true">
      <c r="A2785" s="107" t="s"/>
      <c r="B2785" s="62" t="s"/>
      <c r="C2785" s="62" t="s"/>
      <c r="D2785" s="62" t="s"/>
      <c r="E2785" s="62" t="s"/>
      <c r="F2785" s="66" t="s"/>
      <c r="G2785" s="66" t="s"/>
      <c r="H2785" s="66" t="s"/>
      <c r="I2785" s="62" t="s"/>
      <c r="J2785" s="62" t="s"/>
      <c r="K2785" s="99" t="s"/>
      <c r="L2785" s="66" t="s"/>
      <c r="M2785" s="66" t="s"/>
      <c r="N2785" s="572" t="s"/>
      <c r="O2785" s="62" t="s"/>
      <c r="P2785" s="62" t="s"/>
      <c r="Q2785" s="62" t="s"/>
      <c r="R2785" s="62" t="s"/>
    </row>
    <row r="2786" spans="1:18" ht="15.75" customHeight="true">
      <c r="A2786" s="107" t="s"/>
      <c r="B2786" s="62" t="s"/>
      <c r="C2786" s="62" t="s"/>
      <c r="D2786" s="62" t="s"/>
      <c r="E2786" s="62" t="s"/>
      <c r="F2786" s="66" t="s"/>
      <c r="G2786" s="66" t="s"/>
      <c r="H2786" s="66" t="s"/>
      <c r="I2786" s="62" t="s"/>
      <c r="J2786" s="62" t="s"/>
      <c r="K2786" s="99" t="s"/>
      <c r="L2786" s="66" t="s"/>
      <c r="M2786" s="66" t="s"/>
      <c r="N2786" s="572" t="s"/>
      <c r="O2786" s="62" t="s"/>
      <c r="P2786" s="62" t="s"/>
      <c r="Q2786" s="62" t="s"/>
      <c r="R2786" s="62" t="s"/>
    </row>
    <row r="2787" spans="1:18" ht="15.75" customHeight="true">
      <c r="A2787" s="107" t="s"/>
      <c r="B2787" s="62" t="s"/>
      <c r="C2787" s="62" t="s"/>
      <c r="D2787" s="62" t="s"/>
      <c r="E2787" s="62" t="s"/>
      <c r="F2787" s="66" t="s"/>
      <c r="G2787" s="66" t="s"/>
      <c r="H2787" s="66" t="s"/>
      <c r="I2787" s="62" t="s"/>
      <c r="J2787" s="62" t="s"/>
      <c r="K2787" s="99" t="s"/>
      <c r="L2787" s="66" t="s"/>
      <c r="M2787" s="66" t="s"/>
      <c r="N2787" s="572" t="s"/>
      <c r="O2787" s="62" t="s"/>
      <c r="P2787" s="62" t="s"/>
      <c r="Q2787" s="62" t="s"/>
      <c r="R2787" s="62" t="s"/>
    </row>
    <row r="2788" spans="1:18" ht="15.75" customHeight="true">
      <c r="A2788" s="107" t="s"/>
      <c r="B2788" s="62" t="s"/>
      <c r="C2788" s="62" t="s"/>
      <c r="D2788" s="62" t="s"/>
      <c r="E2788" s="62" t="s"/>
      <c r="F2788" s="66" t="s"/>
      <c r="G2788" s="66" t="s"/>
      <c r="H2788" s="66" t="s"/>
      <c r="I2788" s="62" t="s"/>
      <c r="J2788" s="62" t="s"/>
      <c r="K2788" s="99" t="s"/>
      <c r="L2788" s="66" t="s"/>
      <c r="M2788" s="66" t="s"/>
      <c r="N2788" s="572" t="s"/>
      <c r="O2788" s="62" t="s"/>
      <c r="P2788" s="62" t="s"/>
      <c r="Q2788" s="62" t="s"/>
      <c r="R2788" s="62" t="s"/>
    </row>
    <row r="2789" spans="1:18" ht="15.75" customHeight="true">
      <c r="A2789" s="107" t="s"/>
      <c r="B2789" s="62" t="s"/>
      <c r="C2789" s="62" t="s"/>
      <c r="D2789" s="62" t="s"/>
      <c r="E2789" s="62" t="s"/>
      <c r="F2789" s="66" t="s"/>
      <c r="G2789" s="66" t="s"/>
      <c r="H2789" s="66" t="s"/>
      <c r="I2789" s="62" t="s"/>
      <c r="J2789" s="62" t="s"/>
      <c r="K2789" s="99" t="s"/>
      <c r="L2789" s="66" t="s"/>
      <c r="M2789" s="66" t="s"/>
      <c r="N2789" s="572" t="s"/>
      <c r="O2789" s="62" t="s"/>
      <c r="P2789" s="62" t="s"/>
      <c r="Q2789" s="62" t="s"/>
      <c r="R2789" s="62" t="s"/>
    </row>
    <row r="2790" spans="1:18" ht="15.75" customHeight="true">
      <c r="A2790" s="107" t="s"/>
      <c r="B2790" s="62" t="s"/>
      <c r="C2790" s="62" t="s"/>
      <c r="D2790" s="62" t="s"/>
      <c r="E2790" s="62" t="s"/>
      <c r="F2790" s="66" t="s"/>
      <c r="G2790" s="66" t="s"/>
      <c r="H2790" s="66" t="s"/>
      <c r="I2790" s="62" t="s"/>
      <c r="J2790" s="62" t="s"/>
      <c r="K2790" s="99" t="s"/>
      <c r="L2790" s="66" t="s"/>
      <c r="M2790" s="66" t="s"/>
      <c r="N2790" s="572" t="s"/>
      <c r="O2790" s="62" t="s"/>
      <c r="P2790" s="62" t="s"/>
      <c r="Q2790" s="62" t="s"/>
      <c r="R2790" s="62" t="s"/>
    </row>
    <row r="2791" spans="1:18" ht="15.75" customHeight="true">
      <c r="A2791" s="107" t="s"/>
      <c r="B2791" s="62" t="s"/>
      <c r="C2791" s="62" t="s"/>
      <c r="D2791" s="62" t="s"/>
      <c r="E2791" s="62" t="s"/>
      <c r="F2791" s="66" t="s"/>
      <c r="G2791" s="66" t="s"/>
      <c r="H2791" s="66" t="s"/>
      <c r="I2791" s="62" t="s"/>
      <c r="J2791" s="62" t="s"/>
      <c r="K2791" s="99" t="s"/>
      <c r="L2791" s="66" t="s"/>
      <c r="M2791" s="66" t="s"/>
      <c r="N2791" s="572" t="s"/>
      <c r="O2791" s="62" t="s"/>
      <c r="P2791" s="62" t="s"/>
      <c r="Q2791" s="62" t="s"/>
      <c r="R2791" s="62" t="s"/>
    </row>
    <row r="2792" spans="1:18" ht="15.75" customHeight="true">
      <c r="A2792" s="107" t="s"/>
      <c r="B2792" s="62" t="s"/>
      <c r="C2792" s="62" t="s"/>
      <c r="D2792" s="62" t="s"/>
      <c r="E2792" s="62" t="s"/>
      <c r="F2792" s="66" t="s"/>
      <c r="G2792" s="66" t="s"/>
      <c r="H2792" s="66" t="s"/>
      <c r="I2792" s="62" t="s"/>
      <c r="J2792" s="62" t="s"/>
      <c r="K2792" s="99" t="s"/>
      <c r="L2792" s="66" t="s"/>
      <c r="M2792" s="66" t="s"/>
      <c r="N2792" s="572" t="s"/>
      <c r="O2792" s="62" t="s"/>
      <c r="P2792" s="62" t="s"/>
      <c r="Q2792" s="62" t="s"/>
      <c r="R2792" s="62" t="s"/>
    </row>
    <row r="2793" spans="1:18" ht="15.75" customHeight="true">
      <c r="A2793" s="107" t="s"/>
      <c r="B2793" s="62" t="s"/>
      <c r="C2793" s="62" t="s"/>
      <c r="D2793" s="62" t="s"/>
      <c r="E2793" s="62" t="s"/>
      <c r="F2793" s="66" t="s"/>
      <c r="G2793" s="66" t="s"/>
      <c r="H2793" s="66" t="s"/>
      <c r="I2793" s="62" t="s"/>
      <c r="J2793" s="62" t="s"/>
      <c r="K2793" s="99" t="s"/>
      <c r="L2793" s="66" t="s"/>
      <c r="M2793" s="66" t="s"/>
      <c r="N2793" s="572" t="s"/>
      <c r="O2793" s="62" t="s"/>
      <c r="P2793" s="62" t="s"/>
      <c r="Q2793" s="62" t="s"/>
      <c r="R2793" s="62" t="s"/>
    </row>
    <row r="2794" spans="1:18" ht="15.75" customHeight="true">
      <c r="A2794" s="107" t="s"/>
      <c r="B2794" s="62" t="s"/>
      <c r="C2794" s="62" t="s"/>
      <c r="D2794" s="62" t="s"/>
      <c r="E2794" s="62" t="s"/>
      <c r="F2794" s="66" t="s"/>
      <c r="G2794" s="66" t="s"/>
      <c r="H2794" s="66" t="s"/>
      <c r="I2794" s="62" t="s"/>
      <c r="J2794" s="62" t="s"/>
      <c r="K2794" s="99" t="s"/>
      <c r="L2794" s="66" t="s"/>
      <c r="M2794" s="66" t="s"/>
      <c r="N2794" s="572" t="s"/>
      <c r="O2794" s="62" t="s"/>
      <c r="P2794" s="62" t="s"/>
      <c r="Q2794" s="62" t="s"/>
      <c r="R2794" s="62" t="s"/>
    </row>
    <row r="2795" spans="1:18" ht="15.75" customHeight="true">
      <c r="A2795" s="107" t="s"/>
      <c r="B2795" s="62" t="s"/>
      <c r="C2795" s="62" t="s"/>
      <c r="D2795" s="62" t="s"/>
      <c r="E2795" s="62" t="s"/>
      <c r="F2795" s="66" t="s"/>
      <c r="G2795" s="66" t="s"/>
      <c r="H2795" s="66" t="s"/>
      <c r="I2795" s="62" t="s"/>
      <c r="J2795" s="62" t="s"/>
      <c r="K2795" s="99" t="s"/>
      <c r="L2795" s="66" t="s"/>
      <c r="M2795" s="66" t="s"/>
      <c r="N2795" s="572" t="s"/>
      <c r="O2795" s="62" t="s"/>
      <c r="P2795" s="62" t="s"/>
      <c r="Q2795" s="62" t="s"/>
      <c r="R2795" s="62" t="s"/>
    </row>
    <row r="2796" spans="1:18" ht="15.75" customHeight="true">
      <c r="A2796" s="107" t="s"/>
      <c r="B2796" s="62" t="s"/>
      <c r="C2796" s="62" t="s"/>
      <c r="D2796" s="62" t="s"/>
      <c r="E2796" s="62" t="s"/>
      <c r="F2796" s="66" t="s"/>
      <c r="G2796" s="66" t="s"/>
      <c r="H2796" s="66" t="s"/>
      <c r="I2796" s="62" t="s"/>
      <c r="J2796" s="62" t="s"/>
      <c r="K2796" s="99" t="s"/>
      <c r="L2796" s="66" t="s"/>
      <c r="M2796" s="66" t="s"/>
      <c r="N2796" s="572" t="s"/>
      <c r="O2796" s="62" t="s"/>
      <c r="P2796" s="62" t="s"/>
      <c r="Q2796" s="62" t="s"/>
      <c r="R2796" s="62" t="s"/>
    </row>
    <row r="2797" spans="1:18" ht="15.75" customHeight="true">
      <c r="A2797" s="107" t="s"/>
      <c r="B2797" s="62" t="s"/>
      <c r="C2797" s="62" t="s"/>
      <c r="D2797" s="62" t="s"/>
      <c r="E2797" s="62" t="s"/>
      <c r="F2797" s="66" t="s"/>
      <c r="G2797" s="66" t="s"/>
      <c r="H2797" s="66" t="s"/>
      <c r="I2797" s="62" t="s"/>
      <c r="J2797" s="62" t="s"/>
      <c r="K2797" s="99" t="s"/>
      <c r="L2797" s="66" t="s"/>
      <c r="M2797" s="66" t="s"/>
      <c r="N2797" s="572" t="s"/>
      <c r="O2797" s="62" t="s"/>
      <c r="P2797" s="62" t="s"/>
      <c r="Q2797" s="62" t="s"/>
      <c r="R2797" s="62" t="s"/>
    </row>
    <row r="2798" spans="1:18" ht="15.75" customHeight="true">
      <c r="A2798" s="107" t="s"/>
      <c r="B2798" s="62" t="s"/>
      <c r="C2798" s="62" t="s"/>
      <c r="D2798" s="62" t="s"/>
      <c r="E2798" s="62" t="s"/>
      <c r="F2798" s="66" t="s"/>
      <c r="G2798" s="66" t="s"/>
      <c r="H2798" s="66" t="s"/>
      <c r="I2798" s="62" t="s"/>
      <c r="J2798" s="62" t="s"/>
      <c r="K2798" s="99" t="s"/>
      <c r="L2798" s="66" t="s"/>
      <c r="M2798" s="66" t="s"/>
      <c r="N2798" s="572" t="s"/>
      <c r="O2798" s="62" t="s"/>
      <c r="P2798" s="62" t="s"/>
      <c r="Q2798" s="62" t="s"/>
      <c r="R2798" s="62" t="s"/>
    </row>
    <row r="2799" spans="1:18" ht="15.75" customHeight="true">
      <c r="A2799" s="107" t="s"/>
      <c r="B2799" s="62" t="s"/>
      <c r="C2799" s="62" t="s"/>
      <c r="D2799" s="62" t="s"/>
      <c r="E2799" s="62" t="s"/>
      <c r="F2799" s="66" t="s"/>
      <c r="G2799" s="66" t="s"/>
      <c r="H2799" s="66" t="s"/>
      <c r="I2799" s="62" t="s"/>
      <c r="J2799" s="62" t="s"/>
      <c r="K2799" s="99" t="s"/>
      <c r="L2799" s="66" t="s"/>
      <c r="M2799" s="66" t="s"/>
      <c r="N2799" s="572" t="s"/>
      <c r="O2799" s="62" t="s"/>
      <c r="P2799" s="62" t="s"/>
      <c r="Q2799" s="62" t="s"/>
      <c r="R2799" s="62" t="s"/>
    </row>
    <row r="2800" spans="1:18" ht="15.75" customHeight="true">
      <c r="A2800" s="107" t="s"/>
      <c r="B2800" s="62" t="s"/>
      <c r="C2800" s="62" t="s"/>
      <c r="D2800" s="62" t="s"/>
      <c r="E2800" s="62" t="s"/>
      <c r="F2800" s="66" t="s"/>
      <c r="G2800" s="66" t="s"/>
      <c r="H2800" s="66" t="s"/>
      <c r="I2800" s="62" t="s"/>
      <c r="J2800" s="62" t="s"/>
      <c r="K2800" s="99" t="s"/>
      <c r="L2800" s="66" t="s"/>
      <c r="M2800" s="66" t="s"/>
      <c r="N2800" s="572" t="s"/>
      <c r="O2800" s="62" t="s"/>
      <c r="P2800" s="62" t="s"/>
      <c r="Q2800" s="62" t="s"/>
      <c r="R2800" s="62" t="s"/>
    </row>
    <row r="2801" spans="1:18" ht="15.75" customHeight="true">
      <c r="A2801" s="107" t="s"/>
      <c r="B2801" s="62" t="s"/>
      <c r="C2801" s="62" t="s"/>
      <c r="D2801" s="62" t="s"/>
      <c r="E2801" s="62" t="s"/>
      <c r="F2801" s="66" t="s"/>
      <c r="G2801" s="66" t="s"/>
      <c r="H2801" s="66" t="s"/>
      <c r="I2801" s="62" t="s"/>
      <c r="J2801" s="62" t="s"/>
      <c r="K2801" s="99" t="s"/>
      <c r="L2801" s="66" t="s"/>
      <c r="M2801" s="66" t="s"/>
      <c r="N2801" s="572" t="s"/>
      <c r="O2801" s="62" t="s"/>
      <c r="P2801" s="62" t="s"/>
      <c r="Q2801" s="62" t="s"/>
      <c r="R2801" s="62" t="s"/>
    </row>
    <row r="2802" spans="1:18" ht="15.75" customHeight="true">
      <c r="A2802" s="107" t="s"/>
      <c r="B2802" s="62" t="s"/>
      <c r="C2802" s="62" t="s"/>
      <c r="D2802" s="62" t="s"/>
      <c r="E2802" s="62" t="s"/>
      <c r="F2802" s="66" t="s"/>
      <c r="G2802" s="66" t="s"/>
      <c r="H2802" s="66" t="s"/>
      <c r="I2802" s="62" t="s"/>
      <c r="J2802" s="62" t="s"/>
      <c r="K2802" s="99" t="s"/>
      <c r="L2802" s="66" t="s"/>
      <c r="M2802" s="66" t="s"/>
      <c r="N2802" s="572" t="s"/>
      <c r="O2802" s="62" t="s"/>
      <c r="P2802" s="62" t="s"/>
      <c r="Q2802" s="62" t="s"/>
      <c r="R2802" s="62" t="s"/>
    </row>
    <row r="2803" spans="1:18" ht="15.75" customHeight="true">
      <c r="A2803" s="107" t="s"/>
      <c r="B2803" s="62" t="s"/>
      <c r="C2803" s="62" t="s"/>
      <c r="D2803" s="62" t="s"/>
      <c r="E2803" s="62" t="s"/>
      <c r="F2803" s="66" t="s"/>
      <c r="G2803" s="66" t="s"/>
      <c r="H2803" s="66" t="s"/>
      <c r="I2803" s="62" t="s"/>
      <c r="J2803" s="62" t="s"/>
      <c r="K2803" s="99" t="s"/>
      <c r="L2803" s="66" t="s"/>
      <c r="M2803" s="66" t="s"/>
      <c r="N2803" s="572" t="s"/>
      <c r="O2803" s="62" t="s"/>
      <c r="P2803" s="62" t="s"/>
      <c r="Q2803" s="62" t="s"/>
      <c r="R2803" s="62" t="s"/>
    </row>
    <row r="2804" spans="1:18" ht="15.75" customHeight="true">
      <c r="A2804" s="107" t="s"/>
      <c r="B2804" s="62" t="s"/>
      <c r="C2804" s="62" t="s"/>
      <c r="D2804" s="62" t="s"/>
      <c r="E2804" s="62" t="s"/>
      <c r="F2804" s="66" t="s"/>
      <c r="G2804" s="66" t="s"/>
      <c r="H2804" s="66" t="s"/>
      <c r="I2804" s="62" t="s"/>
      <c r="J2804" s="62" t="s"/>
      <c r="K2804" s="99" t="s"/>
      <c r="L2804" s="66" t="s"/>
      <c r="M2804" s="66" t="s"/>
      <c r="N2804" s="572" t="s"/>
      <c r="O2804" s="62" t="s"/>
      <c r="P2804" s="62" t="s"/>
      <c r="Q2804" s="62" t="s"/>
      <c r="R2804" s="62" t="s"/>
    </row>
    <row r="2805" spans="1:18" ht="15.75" customHeight="true">
      <c r="A2805" s="107" t="s"/>
      <c r="B2805" s="62" t="s"/>
      <c r="C2805" s="62" t="s"/>
      <c r="D2805" s="62" t="s"/>
      <c r="E2805" s="62" t="s"/>
      <c r="F2805" s="66" t="s"/>
      <c r="G2805" s="66" t="s"/>
      <c r="H2805" s="66" t="s"/>
      <c r="I2805" s="62" t="s"/>
      <c r="J2805" s="62" t="s"/>
      <c r="K2805" s="99" t="s"/>
      <c r="L2805" s="66" t="s"/>
      <c r="M2805" s="66" t="s"/>
      <c r="N2805" s="572" t="s"/>
      <c r="O2805" s="62" t="s"/>
      <c r="P2805" s="62" t="s"/>
      <c r="Q2805" s="62" t="s"/>
      <c r="R2805" s="62" t="s"/>
    </row>
    <row r="2806" spans="1:18" ht="15.75" customHeight="true">
      <c r="A2806" s="107" t="s"/>
      <c r="B2806" s="62" t="s"/>
      <c r="C2806" s="62" t="s"/>
      <c r="D2806" s="62" t="s"/>
      <c r="E2806" s="62" t="s"/>
      <c r="F2806" s="66" t="s"/>
      <c r="G2806" s="66" t="s"/>
      <c r="H2806" s="66" t="s"/>
      <c r="I2806" s="62" t="s"/>
      <c r="J2806" s="62" t="s"/>
      <c r="K2806" s="99" t="s"/>
      <c r="L2806" s="66" t="s"/>
      <c r="M2806" s="66" t="s"/>
      <c r="N2806" s="572" t="s"/>
      <c r="O2806" s="62" t="s"/>
      <c r="P2806" s="62" t="s"/>
      <c r="Q2806" s="62" t="s"/>
      <c r="R2806" s="62" t="s"/>
    </row>
    <row r="2807" spans="1:18" ht="15.75" customHeight="true">
      <c r="A2807" s="107" t="s"/>
      <c r="B2807" s="62" t="s"/>
      <c r="C2807" s="62" t="s"/>
      <c r="D2807" s="62" t="s"/>
      <c r="E2807" s="62" t="s"/>
      <c r="F2807" s="66" t="s"/>
      <c r="G2807" s="66" t="s"/>
      <c r="H2807" s="66" t="s"/>
      <c r="I2807" s="62" t="s"/>
      <c r="J2807" s="62" t="s"/>
      <c r="K2807" s="99" t="s"/>
      <c r="L2807" s="66" t="s"/>
      <c r="M2807" s="66" t="s"/>
      <c r="N2807" s="572" t="s"/>
      <c r="O2807" s="62" t="s"/>
      <c r="P2807" s="62" t="s"/>
      <c r="Q2807" s="62" t="s"/>
      <c r="R2807" s="62" t="s"/>
    </row>
    <row r="2808" spans="1:18" ht="15.75" customHeight="true">
      <c r="A2808" s="107" t="s"/>
      <c r="B2808" s="62" t="s"/>
      <c r="C2808" s="62" t="s"/>
      <c r="D2808" s="62" t="s"/>
      <c r="E2808" s="62" t="s"/>
      <c r="F2808" s="66" t="s"/>
      <c r="G2808" s="66" t="s"/>
      <c r="H2808" s="66" t="s"/>
      <c r="I2808" s="62" t="s"/>
      <c r="J2808" s="62" t="s"/>
      <c r="K2808" s="99" t="s"/>
      <c r="L2808" s="66" t="s"/>
      <c r="M2808" s="66" t="s"/>
      <c r="N2808" s="572" t="s"/>
      <c r="O2808" s="62" t="s"/>
      <c r="P2808" s="62" t="s"/>
      <c r="Q2808" s="62" t="s"/>
      <c r="R2808" s="62" t="s"/>
    </row>
    <row r="2809" spans="1:18" ht="15.75" customHeight="true">
      <c r="A2809" s="107" t="s"/>
      <c r="B2809" s="62" t="s"/>
      <c r="C2809" s="62" t="s"/>
      <c r="D2809" s="62" t="s"/>
      <c r="E2809" s="62" t="s"/>
      <c r="F2809" s="66" t="s"/>
      <c r="G2809" s="66" t="s"/>
      <c r="H2809" s="66" t="s"/>
      <c r="I2809" s="62" t="s"/>
      <c r="J2809" s="62" t="s"/>
      <c r="K2809" s="99" t="s"/>
      <c r="L2809" s="66" t="s"/>
      <c r="M2809" s="66" t="s"/>
      <c r="N2809" s="572" t="s"/>
      <c r="O2809" s="62" t="s"/>
      <c r="P2809" s="62" t="s"/>
      <c r="Q2809" s="62" t="s"/>
      <c r="R2809" s="62" t="s"/>
    </row>
    <row r="2810" spans="1:18" ht="15.75" customHeight="true">
      <c r="A2810" s="107" t="s"/>
      <c r="B2810" s="62" t="s"/>
      <c r="C2810" s="62" t="s"/>
      <c r="D2810" s="62" t="s"/>
      <c r="E2810" s="62" t="s"/>
      <c r="F2810" s="66" t="s"/>
      <c r="G2810" s="66" t="s"/>
      <c r="H2810" s="66" t="s"/>
      <c r="I2810" s="62" t="s"/>
      <c r="J2810" s="62" t="s"/>
      <c r="K2810" s="99" t="s"/>
      <c r="L2810" s="66" t="s"/>
      <c r="M2810" s="66" t="s"/>
      <c r="N2810" s="572" t="s"/>
      <c r="O2810" s="62" t="s"/>
      <c r="P2810" s="62" t="s"/>
      <c r="Q2810" s="62" t="s"/>
      <c r="R2810" s="62" t="s"/>
    </row>
    <row r="2811" spans="1:18" ht="15.75" customHeight="true">
      <c r="A2811" s="107" t="s"/>
      <c r="B2811" s="62" t="s"/>
      <c r="C2811" s="62" t="s"/>
      <c r="D2811" s="62" t="s"/>
      <c r="E2811" s="62" t="s"/>
      <c r="F2811" s="66" t="s"/>
      <c r="G2811" s="66" t="s"/>
      <c r="H2811" s="66" t="s"/>
      <c r="I2811" s="62" t="s"/>
      <c r="J2811" s="62" t="s"/>
      <c r="K2811" s="99" t="s"/>
      <c r="L2811" s="66" t="s"/>
      <c r="M2811" s="66" t="s"/>
      <c r="N2811" s="572" t="s"/>
      <c r="O2811" s="62" t="s"/>
      <c r="P2811" s="62" t="s"/>
      <c r="Q2811" s="62" t="s"/>
      <c r="R2811" s="62" t="s"/>
    </row>
    <row r="2812" spans="1:18" ht="15.75" customHeight="true">
      <c r="A2812" s="107" t="s"/>
      <c r="B2812" s="62" t="s"/>
      <c r="C2812" s="62" t="s"/>
      <c r="D2812" s="62" t="s"/>
      <c r="E2812" s="62" t="s"/>
      <c r="F2812" s="66" t="s"/>
      <c r="G2812" s="66" t="s"/>
      <c r="H2812" s="66" t="s"/>
      <c r="I2812" s="62" t="s"/>
      <c r="J2812" s="62" t="s"/>
      <c r="K2812" s="99" t="s"/>
      <c r="L2812" s="66" t="s"/>
      <c r="M2812" s="66" t="s"/>
      <c r="N2812" s="572" t="s"/>
      <c r="O2812" s="62" t="s"/>
      <c r="P2812" s="62" t="s"/>
      <c r="Q2812" s="62" t="s"/>
      <c r="R2812" s="62" t="s"/>
    </row>
    <row r="2813" spans="1:18" ht="15.75" customHeight="true">
      <c r="A2813" s="107" t="s"/>
      <c r="B2813" s="62" t="s"/>
      <c r="C2813" s="62" t="s"/>
      <c r="D2813" s="62" t="s"/>
      <c r="E2813" s="62" t="s"/>
      <c r="F2813" s="66" t="s"/>
      <c r="G2813" s="66" t="s"/>
      <c r="H2813" s="66" t="s"/>
      <c r="I2813" s="62" t="s"/>
      <c r="J2813" s="62" t="s"/>
      <c r="K2813" s="99" t="s"/>
      <c r="L2813" s="66" t="s"/>
      <c r="M2813" s="66" t="s"/>
      <c r="N2813" s="572" t="s"/>
      <c r="O2813" s="62" t="s"/>
      <c r="P2813" s="62" t="s"/>
      <c r="Q2813" s="62" t="s"/>
      <c r="R2813" s="62" t="s"/>
    </row>
    <row r="2814" spans="1:18" ht="15.75" customHeight="true">
      <c r="A2814" s="107" t="s"/>
      <c r="B2814" s="62" t="s"/>
      <c r="C2814" s="62" t="s"/>
      <c r="D2814" s="62" t="s"/>
      <c r="E2814" s="62" t="s"/>
      <c r="F2814" s="66" t="s"/>
      <c r="G2814" s="66" t="s"/>
      <c r="H2814" s="66" t="s"/>
      <c r="I2814" s="62" t="s"/>
      <c r="J2814" s="62" t="s"/>
      <c r="K2814" s="99" t="s"/>
      <c r="L2814" s="66" t="s"/>
      <c r="M2814" s="66" t="s"/>
      <c r="N2814" s="572" t="s"/>
      <c r="O2814" s="62" t="s"/>
      <c r="P2814" s="62" t="s"/>
      <c r="Q2814" s="62" t="s"/>
      <c r="R2814" s="62" t="s"/>
    </row>
    <row r="2815" spans="1:18" ht="15.75" customHeight="true">
      <c r="A2815" s="107" t="s"/>
      <c r="B2815" s="62" t="s"/>
      <c r="C2815" s="62" t="s"/>
      <c r="D2815" s="62" t="s"/>
      <c r="E2815" s="62" t="s"/>
      <c r="F2815" s="66" t="s"/>
      <c r="G2815" s="66" t="s"/>
      <c r="H2815" s="66" t="s"/>
      <c r="I2815" s="62" t="s"/>
      <c r="J2815" s="62" t="s"/>
      <c r="K2815" s="99" t="s"/>
      <c r="L2815" s="66" t="s"/>
      <c r="M2815" s="66" t="s"/>
      <c r="N2815" s="572" t="s"/>
      <c r="O2815" s="62" t="s"/>
      <c r="P2815" s="62" t="s"/>
      <c r="Q2815" s="62" t="s"/>
      <c r="R2815" s="62" t="s"/>
    </row>
    <row r="2816" spans="1:18" ht="15.75" customHeight="true">
      <c r="A2816" s="107" t="s"/>
      <c r="B2816" s="62" t="s"/>
      <c r="C2816" s="62" t="s"/>
      <c r="D2816" s="62" t="s"/>
      <c r="E2816" s="62" t="s"/>
      <c r="F2816" s="66" t="s"/>
      <c r="G2816" s="66" t="s"/>
      <c r="H2816" s="66" t="s"/>
      <c r="I2816" s="62" t="s"/>
      <c r="J2816" s="62" t="s"/>
      <c r="K2816" s="99" t="s"/>
      <c r="L2816" s="66" t="s"/>
      <c r="M2816" s="66" t="s"/>
      <c r="N2816" s="572" t="s"/>
      <c r="O2816" s="62" t="s"/>
      <c r="P2816" s="62" t="s"/>
      <c r="Q2816" s="62" t="s"/>
      <c r="R2816" s="62" t="s"/>
    </row>
    <row r="2817" spans="1:18" ht="15.75" customHeight="true">
      <c r="A2817" s="107" t="s"/>
      <c r="B2817" s="62" t="s"/>
      <c r="C2817" s="62" t="s"/>
      <c r="D2817" s="62" t="s"/>
      <c r="E2817" s="62" t="s"/>
      <c r="F2817" s="66" t="s"/>
      <c r="G2817" s="66" t="s"/>
      <c r="H2817" s="66" t="s"/>
      <c r="I2817" s="62" t="s"/>
      <c r="J2817" s="62" t="s"/>
      <c r="K2817" s="99" t="s"/>
      <c r="L2817" s="66" t="s"/>
      <c r="M2817" s="66" t="s"/>
      <c r="N2817" s="572" t="s"/>
      <c r="O2817" s="62" t="s"/>
      <c r="P2817" s="62" t="s"/>
      <c r="Q2817" s="62" t="s"/>
      <c r="R2817" s="62" t="s"/>
    </row>
    <row r="2818" spans="1:18" ht="15.75" customHeight="true">
      <c r="A2818" s="107" t="s"/>
      <c r="B2818" s="62" t="s"/>
      <c r="C2818" s="62" t="s"/>
      <c r="D2818" s="62" t="s"/>
      <c r="E2818" s="62" t="s"/>
      <c r="F2818" s="66" t="s"/>
      <c r="G2818" s="66" t="s"/>
      <c r="H2818" s="66" t="s"/>
      <c r="I2818" s="62" t="s"/>
      <c r="J2818" s="62" t="s"/>
      <c r="K2818" s="99" t="s"/>
      <c r="L2818" s="66" t="s"/>
      <c r="M2818" s="66" t="s"/>
      <c r="N2818" s="572" t="s"/>
      <c r="O2818" s="62" t="s"/>
      <c r="P2818" s="62" t="s"/>
      <c r="Q2818" s="62" t="s"/>
      <c r="R2818" s="62" t="s"/>
    </row>
    <row r="2819" spans="1:18" ht="15.75" customHeight="true">
      <c r="A2819" s="107" t="s"/>
      <c r="B2819" s="62" t="s"/>
      <c r="C2819" s="62" t="s"/>
      <c r="D2819" s="62" t="s"/>
      <c r="E2819" s="62" t="s"/>
      <c r="F2819" s="66" t="s"/>
      <c r="G2819" s="66" t="s"/>
      <c r="H2819" s="66" t="s"/>
      <c r="I2819" s="62" t="s"/>
      <c r="J2819" s="62" t="s"/>
      <c r="K2819" s="99" t="s"/>
      <c r="L2819" s="66" t="s"/>
      <c r="M2819" s="66" t="s"/>
      <c r="N2819" s="572" t="s"/>
      <c r="O2819" s="62" t="s"/>
      <c r="P2819" s="62" t="s"/>
      <c r="Q2819" s="62" t="s"/>
      <c r="R2819" s="62" t="s"/>
    </row>
    <row r="2820" spans="1:18" ht="15.75" customHeight="true">
      <c r="A2820" s="107" t="s"/>
      <c r="B2820" s="62" t="s"/>
      <c r="C2820" s="62" t="s"/>
      <c r="D2820" s="62" t="s"/>
      <c r="E2820" s="62" t="s"/>
      <c r="F2820" s="66" t="s"/>
      <c r="G2820" s="66" t="s"/>
      <c r="H2820" s="66" t="s"/>
      <c r="I2820" s="62" t="s"/>
      <c r="J2820" s="62" t="s"/>
      <c r="K2820" s="99" t="s"/>
      <c r="L2820" s="66" t="s"/>
      <c r="M2820" s="66" t="s"/>
      <c r="N2820" s="572" t="s"/>
      <c r="O2820" s="62" t="s"/>
      <c r="P2820" s="62" t="s"/>
      <c r="Q2820" s="62" t="s"/>
      <c r="R2820" s="62" t="s"/>
    </row>
    <row r="2821" spans="1:18" ht="15.75" customHeight="true">
      <c r="A2821" s="107" t="s"/>
      <c r="B2821" s="62" t="s"/>
      <c r="C2821" s="62" t="s"/>
      <c r="D2821" s="62" t="s"/>
      <c r="E2821" s="62" t="s"/>
      <c r="F2821" s="66" t="s"/>
      <c r="G2821" s="66" t="s"/>
      <c r="H2821" s="66" t="s"/>
      <c r="I2821" s="62" t="s"/>
      <c r="J2821" s="62" t="s"/>
      <c r="K2821" s="99" t="s"/>
      <c r="L2821" s="66" t="s"/>
      <c r="M2821" s="66" t="s"/>
      <c r="N2821" s="572" t="s"/>
      <c r="O2821" s="62" t="s"/>
      <c r="P2821" s="62" t="s"/>
      <c r="Q2821" s="62" t="s"/>
      <c r="R2821" s="62" t="s"/>
    </row>
    <row r="2822" spans="1:18" ht="15.75" customHeight="true">
      <c r="A2822" s="107" t="s"/>
      <c r="B2822" s="62" t="s"/>
      <c r="C2822" s="62" t="s"/>
      <c r="D2822" s="62" t="s"/>
      <c r="E2822" s="62" t="s"/>
      <c r="F2822" s="66" t="s"/>
      <c r="G2822" s="66" t="s"/>
      <c r="H2822" s="66" t="s"/>
      <c r="I2822" s="62" t="s"/>
      <c r="J2822" s="62" t="s"/>
      <c r="K2822" s="99" t="s"/>
      <c r="L2822" s="66" t="s"/>
      <c r="M2822" s="66" t="s"/>
      <c r="N2822" s="572" t="s"/>
      <c r="O2822" s="62" t="s"/>
      <c r="P2822" s="62" t="s"/>
      <c r="Q2822" s="62" t="s"/>
      <c r="R2822" s="62" t="s"/>
    </row>
    <row r="2823" spans="1:18" ht="15.75" customHeight="true">
      <c r="A2823" s="107" t="s"/>
      <c r="B2823" s="62" t="s"/>
      <c r="C2823" s="62" t="s"/>
      <c r="D2823" s="62" t="s"/>
      <c r="E2823" s="62" t="s"/>
      <c r="F2823" s="66" t="s"/>
      <c r="G2823" s="66" t="s"/>
      <c r="H2823" s="66" t="s"/>
      <c r="I2823" s="62" t="s"/>
      <c r="J2823" s="62" t="s"/>
      <c r="K2823" s="99" t="s"/>
      <c r="L2823" s="66" t="s"/>
      <c r="M2823" s="66" t="s"/>
      <c r="N2823" s="572" t="s"/>
      <c r="O2823" s="62" t="s"/>
      <c r="P2823" s="62" t="s"/>
      <c r="Q2823" s="62" t="s"/>
      <c r="R2823" s="62" t="s"/>
    </row>
    <row r="2824" spans="1:18" ht="15.75" customHeight="true">
      <c r="A2824" s="107" t="s"/>
      <c r="B2824" s="62" t="s"/>
      <c r="C2824" s="62" t="s"/>
      <c r="D2824" s="62" t="s"/>
      <c r="E2824" s="62" t="s"/>
      <c r="F2824" s="66" t="s"/>
      <c r="G2824" s="66" t="s"/>
      <c r="H2824" s="66" t="s"/>
      <c r="I2824" s="62" t="s"/>
      <c r="J2824" s="62" t="s"/>
      <c r="K2824" s="99" t="s"/>
      <c r="L2824" s="66" t="s"/>
      <c r="M2824" s="66" t="s"/>
      <c r="N2824" s="572" t="s"/>
      <c r="O2824" s="62" t="s"/>
      <c r="P2824" s="62" t="s"/>
      <c r="Q2824" s="62" t="s"/>
      <c r="R2824" s="62" t="s"/>
    </row>
    <row r="2825" spans="1:18" ht="15.75" customHeight="true">
      <c r="A2825" s="107" t="s"/>
      <c r="B2825" s="62" t="s"/>
      <c r="C2825" s="62" t="s"/>
      <c r="D2825" s="62" t="s"/>
      <c r="E2825" s="62" t="s"/>
      <c r="F2825" s="66" t="s"/>
      <c r="G2825" s="66" t="s"/>
      <c r="H2825" s="66" t="s"/>
      <c r="I2825" s="62" t="s"/>
      <c r="J2825" s="62" t="s"/>
      <c r="K2825" s="99" t="s"/>
      <c r="L2825" s="66" t="s"/>
      <c r="M2825" s="66" t="s"/>
      <c r="N2825" s="572" t="s"/>
      <c r="O2825" s="62" t="s"/>
      <c r="P2825" s="62" t="s"/>
      <c r="Q2825" s="62" t="s"/>
      <c r="R2825" s="62" t="s"/>
    </row>
    <row r="2826" spans="1:18" ht="15.75" customHeight="true">
      <c r="A2826" s="107" t="s"/>
      <c r="B2826" s="62" t="s"/>
      <c r="C2826" s="62" t="s"/>
      <c r="D2826" s="62" t="s"/>
      <c r="E2826" s="62" t="s"/>
      <c r="F2826" s="66" t="s"/>
      <c r="G2826" s="66" t="s"/>
      <c r="H2826" s="66" t="s"/>
      <c r="I2826" s="62" t="s"/>
      <c r="J2826" s="62" t="s"/>
      <c r="K2826" s="99" t="s"/>
      <c r="L2826" s="66" t="s"/>
      <c r="M2826" s="66" t="s"/>
      <c r="N2826" s="572" t="s"/>
      <c r="O2826" s="62" t="s"/>
      <c r="P2826" s="62" t="s"/>
      <c r="Q2826" s="62" t="s"/>
      <c r="R2826" s="62" t="s"/>
    </row>
    <row r="2827" spans="1:18" ht="15.75" customHeight="true">
      <c r="A2827" s="107" t="s"/>
      <c r="B2827" s="62" t="s"/>
      <c r="C2827" s="62" t="s"/>
      <c r="D2827" s="62" t="s"/>
      <c r="E2827" s="62" t="s"/>
      <c r="F2827" s="66" t="s"/>
      <c r="G2827" s="66" t="s"/>
      <c r="H2827" s="66" t="s"/>
      <c r="I2827" s="62" t="s"/>
      <c r="J2827" s="62" t="s"/>
      <c r="K2827" s="99" t="s"/>
      <c r="L2827" s="66" t="s"/>
      <c r="M2827" s="66" t="s"/>
      <c r="N2827" s="572" t="s"/>
      <c r="O2827" s="62" t="s"/>
      <c r="P2827" s="62" t="s"/>
      <c r="Q2827" s="62" t="s"/>
      <c r="R2827" s="62" t="s"/>
    </row>
    <row r="2828" spans="1:18" ht="15.75" customHeight="true">
      <c r="A2828" s="107" t="s"/>
      <c r="B2828" s="62" t="s"/>
      <c r="C2828" s="62" t="s"/>
      <c r="D2828" s="62" t="s"/>
      <c r="E2828" s="62" t="s"/>
      <c r="F2828" s="66" t="s"/>
      <c r="G2828" s="66" t="s"/>
      <c r="H2828" s="66" t="s"/>
      <c r="I2828" s="62" t="s"/>
      <c r="J2828" s="62" t="s"/>
      <c r="K2828" s="99" t="s"/>
      <c r="L2828" s="66" t="s"/>
      <c r="M2828" s="66" t="s"/>
      <c r="N2828" s="572" t="s"/>
      <c r="O2828" s="62" t="s"/>
      <c r="P2828" s="62" t="s"/>
      <c r="Q2828" s="62" t="s"/>
      <c r="R2828" s="62" t="s"/>
    </row>
    <row r="2829" spans="1:18" ht="15.75" customHeight="true">
      <c r="A2829" s="107" t="s"/>
      <c r="B2829" s="62" t="s"/>
      <c r="C2829" s="62" t="s"/>
      <c r="D2829" s="62" t="s"/>
      <c r="E2829" s="62" t="s"/>
      <c r="F2829" s="66" t="s"/>
      <c r="G2829" s="66" t="s"/>
      <c r="H2829" s="66" t="s"/>
      <c r="I2829" s="62" t="s"/>
      <c r="J2829" s="62" t="s"/>
      <c r="K2829" s="99" t="s"/>
      <c r="L2829" s="66" t="s"/>
      <c r="M2829" s="66" t="s"/>
      <c r="N2829" s="572" t="s"/>
      <c r="O2829" s="62" t="s"/>
      <c r="P2829" s="62" t="s"/>
      <c r="Q2829" s="62" t="s"/>
      <c r="R2829" s="62" t="s"/>
    </row>
    <row r="2830" spans="1:18" ht="15.75" customHeight="true">
      <c r="A2830" s="107" t="s"/>
      <c r="B2830" s="62" t="s"/>
      <c r="C2830" s="62" t="s"/>
      <c r="D2830" s="62" t="s"/>
      <c r="E2830" s="62" t="s"/>
      <c r="F2830" s="66" t="s"/>
      <c r="G2830" s="66" t="s"/>
      <c r="H2830" s="66" t="s"/>
      <c r="I2830" s="62" t="s"/>
      <c r="J2830" s="62" t="s"/>
      <c r="K2830" s="99" t="s"/>
      <c r="L2830" s="66" t="s"/>
      <c r="M2830" s="66" t="s"/>
      <c r="N2830" s="572" t="s"/>
      <c r="O2830" s="62" t="s"/>
      <c r="P2830" s="62" t="s"/>
      <c r="Q2830" s="62" t="s"/>
      <c r="R2830" s="62" t="s"/>
    </row>
    <row r="2831" spans="1:18" ht="15.75" customHeight="true">
      <c r="A2831" s="107" t="s"/>
      <c r="B2831" s="62" t="s"/>
      <c r="C2831" s="62" t="s"/>
      <c r="D2831" s="62" t="s"/>
      <c r="E2831" s="62" t="s"/>
      <c r="F2831" s="66" t="s"/>
      <c r="G2831" s="66" t="s"/>
      <c r="H2831" s="66" t="s"/>
      <c r="I2831" s="62" t="s"/>
      <c r="J2831" s="62" t="s"/>
      <c r="K2831" s="99" t="s"/>
      <c r="L2831" s="66" t="s"/>
      <c r="M2831" s="66" t="s"/>
      <c r="N2831" s="572" t="s"/>
      <c r="O2831" s="62" t="s"/>
      <c r="P2831" s="62" t="s"/>
      <c r="Q2831" s="62" t="s"/>
      <c r="R2831" s="62" t="s"/>
    </row>
    <row r="2832" spans="1:18" ht="15.75" customHeight="true">
      <c r="A2832" s="107" t="s"/>
      <c r="B2832" s="62" t="s"/>
      <c r="C2832" s="62" t="s"/>
      <c r="D2832" s="62" t="s"/>
      <c r="E2832" s="62" t="s"/>
      <c r="F2832" s="66" t="s"/>
      <c r="G2832" s="66" t="s"/>
      <c r="H2832" s="66" t="s"/>
      <c r="I2832" s="62" t="s"/>
      <c r="J2832" s="62" t="s"/>
      <c r="K2832" s="99" t="s"/>
      <c r="L2832" s="66" t="s"/>
      <c r="M2832" s="66" t="s"/>
      <c r="N2832" s="572" t="s"/>
      <c r="O2832" s="62" t="s"/>
      <c r="P2832" s="62" t="s"/>
      <c r="Q2832" s="62" t="s"/>
      <c r="R2832" s="62" t="s"/>
    </row>
    <row r="2833" spans="1:18" ht="15.75" customHeight="true">
      <c r="A2833" s="107" t="s"/>
      <c r="B2833" s="62" t="s"/>
      <c r="C2833" s="62" t="s"/>
      <c r="D2833" s="62" t="s"/>
      <c r="E2833" s="62" t="s"/>
      <c r="F2833" s="66" t="s"/>
      <c r="G2833" s="66" t="s"/>
      <c r="H2833" s="66" t="s"/>
      <c r="I2833" s="62" t="s"/>
      <c r="J2833" s="62" t="s"/>
      <c r="K2833" s="99" t="s"/>
      <c r="L2833" s="66" t="s"/>
      <c r="M2833" s="66" t="s"/>
      <c r="N2833" s="572" t="s"/>
      <c r="O2833" s="62" t="s"/>
      <c r="P2833" s="62" t="s"/>
      <c r="Q2833" s="62" t="s"/>
      <c r="R2833" s="62" t="s"/>
    </row>
    <row r="2834" spans="1:18" ht="15.75" customHeight="true">
      <c r="A2834" s="107" t="s"/>
      <c r="B2834" s="62" t="s"/>
      <c r="C2834" s="62" t="s"/>
      <c r="D2834" s="62" t="s"/>
      <c r="E2834" s="62" t="s"/>
      <c r="F2834" s="66" t="s"/>
      <c r="G2834" s="66" t="s"/>
      <c r="H2834" s="66" t="s"/>
      <c r="I2834" s="62" t="s"/>
      <c r="J2834" s="62" t="s"/>
      <c r="K2834" s="99" t="s"/>
      <c r="L2834" s="66" t="s"/>
      <c r="M2834" s="66" t="s"/>
      <c r="N2834" s="572" t="s"/>
      <c r="O2834" s="62" t="s"/>
      <c r="P2834" s="62" t="s"/>
      <c r="Q2834" s="62" t="s"/>
      <c r="R2834" s="62" t="s"/>
    </row>
    <row r="2835" spans="1:18" ht="15.75" customHeight="true">
      <c r="A2835" s="107" t="s"/>
      <c r="B2835" s="62" t="s"/>
      <c r="C2835" s="62" t="s"/>
      <c r="D2835" s="62" t="s"/>
      <c r="E2835" s="62" t="s"/>
      <c r="F2835" s="66" t="s"/>
      <c r="G2835" s="66" t="s"/>
      <c r="H2835" s="66" t="s"/>
      <c r="I2835" s="62" t="s"/>
      <c r="J2835" s="62" t="s"/>
      <c r="K2835" s="99" t="s"/>
      <c r="L2835" s="66" t="s"/>
      <c r="M2835" s="66" t="s"/>
      <c r="N2835" s="572" t="s"/>
      <c r="O2835" s="62" t="s"/>
      <c r="P2835" s="62" t="s"/>
      <c r="Q2835" s="62" t="s"/>
      <c r="R2835" s="62" t="s"/>
    </row>
    <row r="2836" spans="1:18" ht="15.75" customHeight="true">
      <c r="A2836" s="107" t="s"/>
      <c r="B2836" s="62" t="s"/>
      <c r="C2836" s="62" t="s"/>
      <c r="D2836" s="62" t="s"/>
      <c r="E2836" s="62" t="s"/>
      <c r="F2836" s="66" t="s"/>
      <c r="G2836" s="66" t="s"/>
      <c r="H2836" s="66" t="s"/>
      <c r="I2836" s="62" t="s"/>
      <c r="J2836" s="62" t="s"/>
      <c r="K2836" s="99" t="s"/>
      <c r="L2836" s="66" t="s"/>
      <c r="M2836" s="66" t="s"/>
      <c r="N2836" s="572" t="s"/>
      <c r="O2836" s="62" t="s"/>
      <c r="P2836" s="62" t="s"/>
      <c r="Q2836" s="62" t="s"/>
      <c r="R2836" s="62" t="s"/>
    </row>
    <row r="2837" spans="1:18" ht="15.75" customHeight="true">
      <c r="A2837" s="107" t="s"/>
      <c r="B2837" s="62" t="s"/>
      <c r="C2837" s="62" t="s"/>
      <c r="D2837" s="62" t="s"/>
      <c r="E2837" s="62" t="s"/>
      <c r="F2837" s="66" t="s"/>
      <c r="G2837" s="66" t="s"/>
      <c r="H2837" s="66" t="s"/>
      <c r="I2837" s="62" t="s"/>
      <c r="J2837" s="62" t="s"/>
      <c r="K2837" s="99" t="s"/>
      <c r="L2837" s="66" t="s"/>
      <c r="M2837" s="66" t="s"/>
      <c r="N2837" s="572" t="s"/>
      <c r="O2837" s="62" t="s"/>
      <c r="P2837" s="62" t="s"/>
      <c r="Q2837" s="62" t="s"/>
      <c r="R2837" s="62" t="s"/>
    </row>
    <row r="2838" spans="1:18" ht="15.75" customHeight="true">
      <c r="A2838" s="107" t="s"/>
      <c r="B2838" s="62" t="s"/>
      <c r="C2838" s="62" t="s"/>
      <c r="D2838" s="62" t="s"/>
      <c r="E2838" s="62" t="s"/>
      <c r="F2838" s="66" t="s"/>
      <c r="G2838" s="66" t="s"/>
      <c r="H2838" s="66" t="s"/>
      <c r="I2838" s="62" t="s"/>
      <c r="J2838" s="62" t="s"/>
      <c r="K2838" s="99" t="s"/>
      <c r="L2838" s="66" t="s"/>
      <c r="M2838" s="66" t="s"/>
      <c r="N2838" s="572" t="s"/>
      <c r="O2838" s="62" t="s"/>
      <c r="P2838" s="62" t="s"/>
      <c r="Q2838" s="62" t="s"/>
      <c r="R2838" s="62" t="s"/>
    </row>
    <row r="2839" spans="1:18" ht="15.75" customHeight="true">
      <c r="A2839" s="107" t="s"/>
      <c r="B2839" s="62" t="s"/>
      <c r="C2839" s="62" t="s"/>
      <c r="D2839" s="62" t="s"/>
      <c r="E2839" s="62" t="s"/>
      <c r="F2839" s="66" t="s"/>
      <c r="G2839" s="66" t="s"/>
      <c r="H2839" s="66" t="s"/>
      <c r="I2839" s="62" t="s"/>
      <c r="J2839" s="62" t="s"/>
      <c r="K2839" s="99" t="s"/>
      <c r="L2839" s="66" t="s"/>
      <c r="M2839" s="66" t="s"/>
      <c r="N2839" s="572" t="s"/>
      <c r="O2839" s="62" t="s"/>
      <c r="P2839" s="62" t="s"/>
      <c r="Q2839" s="62" t="s"/>
      <c r="R2839" s="62" t="s"/>
    </row>
    <row r="2840" spans="1:18" ht="15.75" customHeight="true">
      <c r="A2840" s="107" t="s"/>
      <c r="B2840" s="62" t="s"/>
      <c r="C2840" s="62" t="s"/>
      <c r="D2840" s="62" t="s"/>
      <c r="E2840" s="62" t="s"/>
      <c r="F2840" s="66" t="s"/>
      <c r="G2840" s="66" t="s"/>
      <c r="H2840" s="66" t="s"/>
      <c r="I2840" s="62" t="s"/>
      <c r="J2840" s="62" t="s"/>
      <c r="K2840" s="99" t="s"/>
      <c r="L2840" s="66" t="s"/>
      <c r="M2840" s="66" t="s"/>
      <c r="N2840" s="572" t="s"/>
      <c r="O2840" s="62" t="s"/>
      <c r="P2840" s="62" t="s"/>
      <c r="Q2840" s="62" t="s"/>
      <c r="R2840" s="62" t="s"/>
    </row>
    <row r="2841" spans="1:18" ht="15.75" customHeight="true">
      <c r="A2841" s="107" t="s"/>
      <c r="B2841" s="62" t="s"/>
      <c r="C2841" s="62" t="s"/>
      <c r="D2841" s="62" t="s"/>
      <c r="E2841" s="62" t="s"/>
      <c r="F2841" s="66" t="s"/>
      <c r="G2841" s="66" t="s"/>
      <c r="H2841" s="66" t="s"/>
      <c r="I2841" s="62" t="s"/>
      <c r="J2841" s="62" t="s"/>
      <c r="K2841" s="99" t="s"/>
      <c r="L2841" s="66" t="s"/>
      <c r="M2841" s="66" t="s"/>
      <c r="N2841" s="572" t="s"/>
      <c r="O2841" s="62" t="s"/>
      <c r="P2841" s="62" t="s"/>
      <c r="Q2841" s="62" t="s"/>
      <c r="R2841" s="62" t="s"/>
    </row>
    <row r="2842" spans="1:18" ht="15.75" customHeight="true">
      <c r="A2842" s="107" t="s"/>
      <c r="B2842" s="62" t="s"/>
      <c r="C2842" s="62" t="s"/>
      <c r="D2842" s="62" t="s"/>
      <c r="E2842" s="62" t="s"/>
      <c r="F2842" s="66" t="s"/>
      <c r="G2842" s="66" t="s"/>
      <c r="H2842" s="66" t="s"/>
      <c r="I2842" s="62" t="s"/>
      <c r="J2842" s="62" t="s"/>
      <c r="K2842" s="99" t="s"/>
      <c r="L2842" s="66" t="s"/>
      <c r="M2842" s="66" t="s"/>
      <c r="N2842" s="572" t="s"/>
      <c r="O2842" s="62" t="s"/>
      <c r="P2842" s="62" t="s"/>
      <c r="Q2842" s="62" t="s"/>
      <c r="R2842" s="62" t="s"/>
    </row>
    <row r="2843" spans="1:18" ht="15.75" customHeight="true">
      <c r="A2843" s="107" t="s"/>
      <c r="B2843" s="62" t="s"/>
      <c r="C2843" s="62" t="s"/>
      <c r="D2843" s="62" t="s"/>
      <c r="E2843" s="62" t="s"/>
      <c r="F2843" s="66" t="s"/>
      <c r="G2843" s="66" t="s"/>
      <c r="H2843" s="66" t="s"/>
      <c r="I2843" s="62" t="s"/>
      <c r="J2843" s="62" t="s"/>
      <c r="K2843" s="99" t="s"/>
      <c r="L2843" s="66" t="s"/>
      <c r="M2843" s="66" t="s"/>
      <c r="N2843" s="572" t="s"/>
      <c r="O2843" s="62" t="s"/>
      <c r="P2843" s="62" t="s"/>
      <c r="Q2843" s="62" t="s"/>
      <c r="R2843" s="62" t="s"/>
    </row>
    <row r="2844" spans="1:18" ht="15.75" customHeight="true">
      <c r="A2844" s="107" t="s"/>
      <c r="B2844" s="62" t="s"/>
      <c r="C2844" s="62" t="s"/>
      <c r="D2844" s="62" t="s"/>
      <c r="E2844" s="62" t="s"/>
      <c r="F2844" s="66" t="s"/>
      <c r="G2844" s="66" t="s"/>
      <c r="H2844" s="66" t="s"/>
      <c r="I2844" s="62" t="s"/>
      <c r="J2844" s="62" t="s"/>
      <c r="K2844" s="99" t="s"/>
      <c r="L2844" s="66" t="s"/>
      <c r="M2844" s="66" t="s"/>
      <c r="N2844" s="572" t="s"/>
      <c r="O2844" s="62" t="s"/>
      <c r="P2844" s="62" t="s"/>
      <c r="Q2844" s="62" t="s"/>
      <c r="R2844" s="62" t="s"/>
    </row>
    <row r="2845" spans="1:18" ht="15.75" customHeight="true">
      <c r="A2845" s="107" t="s"/>
      <c r="B2845" s="62" t="s"/>
      <c r="C2845" s="62" t="s"/>
      <c r="D2845" s="62" t="s"/>
      <c r="E2845" s="62" t="s"/>
      <c r="F2845" s="66" t="s"/>
      <c r="G2845" s="66" t="s"/>
      <c r="H2845" s="66" t="s"/>
      <c r="I2845" s="62" t="s"/>
      <c r="J2845" s="62" t="s"/>
      <c r="K2845" s="99" t="s"/>
      <c r="L2845" s="66" t="s"/>
      <c r="M2845" s="66" t="s"/>
      <c r="N2845" s="572" t="s"/>
      <c r="O2845" s="62" t="s"/>
      <c r="P2845" s="62" t="s"/>
      <c r="Q2845" s="62" t="s"/>
      <c r="R2845" s="62" t="s"/>
    </row>
    <row r="2846" spans="1:18" ht="15.75" customHeight="true">
      <c r="A2846" s="107" t="s"/>
      <c r="B2846" s="62" t="s"/>
      <c r="C2846" s="62" t="s"/>
      <c r="D2846" s="62" t="s"/>
      <c r="E2846" s="62" t="s"/>
      <c r="F2846" s="66" t="s"/>
      <c r="G2846" s="66" t="s"/>
      <c r="H2846" s="66" t="s"/>
      <c r="I2846" s="62" t="s"/>
      <c r="J2846" s="62" t="s"/>
      <c r="K2846" s="99" t="s"/>
      <c r="L2846" s="66" t="s"/>
      <c r="M2846" s="66" t="s"/>
      <c r="N2846" s="572" t="s"/>
      <c r="O2846" s="62" t="s"/>
      <c r="P2846" s="62" t="s"/>
      <c r="Q2846" s="62" t="s"/>
      <c r="R2846" s="62" t="s"/>
    </row>
    <row r="2847" spans="1:18" ht="15.75" customHeight="true">
      <c r="A2847" s="107" t="s"/>
      <c r="B2847" s="62" t="s"/>
      <c r="C2847" s="62" t="s"/>
      <c r="D2847" s="62" t="s"/>
      <c r="E2847" s="62" t="s"/>
      <c r="F2847" s="66" t="s"/>
      <c r="G2847" s="66" t="s"/>
      <c r="H2847" s="66" t="s"/>
      <c r="I2847" s="62" t="s"/>
      <c r="J2847" s="62" t="s"/>
      <c r="K2847" s="99" t="s"/>
      <c r="L2847" s="66" t="s"/>
      <c r="M2847" s="66" t="s"/>
      <c r="N2847" s="572" t="s"/>
      <c r="O2847" s="62" t="s"/>
      <c r="P2847" s="62" t="s"/>
      <c r="Q2847" s="62" t="s"/>
      <c r="R2847" s="62" t="s"/>
    </row>
    <row r="2848" spans="1:18" ht="15.75" customHeight="true">
      <c r="A2848" s="107" t="s"/>
      <c r="B2848" s="62" t="s"/>
      <c r="C2848" s="62" t="s"/>
      <c r="D2848" s="62" t="s"/>
      <c r="E2848" s="62" t="s"/>
      <c r="F2848" s="66" t="s"/>
      <c r="G2848" s="66" t="s"/>
      <c r="H2848" s="66" t="s"/>
      <c r="I2848" s="62" t="s"/>
      <c r="J2848" s="62" t="s"/>
      <c r="K2848" s="99" t="s"/>
      <c r="L2848" s="66" t="s"/>
      <c r="M2848" s="66" t="s"/>
      <c r="N2848" s="572" t="s"/>
      <c r="O2848" s="62" t="s"/>
      <c r="P2848" s="62" t="s"/>
      <c r="Q2848" s="62" t="s"/>
      <c r="R2848" s="62" t="s"/>
    </row>
    <row r="2849" spans="1:18" ht="15.75" customHeight="true">
      <c r="A2849" s="107" t="s"/>
      <c r="B2849" s="62" t="s"/>
      <c r="C2849" s="62" t="s"/>
      <c r="D2849" s="62" t="s"/>
      <c r="E2849" s="62" t="s"/>
      <c r="F2849" s="66" t="s"/>
      <c r="G2849" s="66" t="s"/>
      <c r="H2849" s="66" t="s"/>
      <c r="I2849" s="62" t="s"/>
      <c r="J2849" s="62" t="s"/>
      <c r="K2849" s="99" t="s"/>
      <c r="L2849" s="66" t="s"/>
      <c r="M2849" s="66" t="s"/>
      <c r="N2849" s="572" t="s"/>
      <c r="O2849" s="62" t="s"/>
      <c r="P2849" s="62" t="s"/>
      <c r="Q2849" s="62" t="s"/>
      <c r="R2849" s="62" t="s"/>
    </row>
    <row r="2850" spans="1:18" ht="15.75" customHeight="true">
      <c r="A2850" s="107" t="s"/>
      <c r="B2850" s="62" t="s"/>
      <c r="C2850" s="62" t="s"/>
      <c r="D2850" s="62" t="s"/>
      <c r="E2850" s="62" t="s"/>
      <c r="F2850" s="66" t="s"/>
      <c r="G2850" s="66" t="s"/>
      <c r="H2850" s="66" t="s"/>
      <c r="I2850" s="62" t="s"/>
      <c r="J2850" s="62" t="s"/>
      <c r="K2850" s="99" t="s"/>
      <c r="L2850" s="66" t="s"/>
      <c r="M2850" s="66" t="s"/>
      <c r="N2850" s="572" t="s"/>
      <c r="O2850" s="62" t="s"/>
      <c r="P2850" s="62" t="s"/>
      <c r="Q2850" s="62" t="s"/>
      <c r="R2850" s="62" t="s"/>
    </row>
    <row r="2851" spans="1:18" ht="15.75" customHeight="true">
      <c r="A2851" s="107" t="s"/>
      <c r="B2851" s="62" t="s"/>
      <c r="C2851" s="62" t="s"/>
      <c r="D2851" s="62" t="s"/>
      <c r="E2851" s="62" t="s"/>
      <c r="F2851" s="66" t="s"/>
      <c r="G2851" s="66" t="s"/>
      <c r="H2851" s="66" t="s"/>
      <c r="I2851" s="62" t="s"/>
      <c r="J2851" s="62" t="s"/>
      <c r="K2851" s="99" t="s"/>
      <c r="L2851" s="66" t="s"/>
      <c r="M2851" s="66" t="s"/>
      <c r="N2851" s="572" t="s"/>
      <c r="O2851" s="62" t="s"/>
      <c r="P2851" s="62" t="s"/>
      <c r="Q2851" s="62" t="s"/>
      <c r="R2851" s="62" t="s"/>
    </row>
    <row r="2852" spans="1:18" ht="15.75" customHeight="true">
      <c r="A2852" s="107" t="s"/>
      <c r="B2852" s="62" t="s"/>
      <c r="C2852" s="62" t="s"/>
      <c r="D2852" s="62" t="s"/>
      <c r="E2852" s="62" t="s"/>
      <c r="F2852" s="66" t="s"/>
      <c r="G2852" s="66" t="s"/>
      <c r="H2852" s="66" t="s"/>
      <c r="I2852" s="62" t="s"/>
      <c r="J2852" s="62" t="s"/>
      <c r="K2852" s="99" t="s"/>
      <c r="L2852" s="66" t="s"/>
      <c r="M2852" s="66" t="s"/>
      <c r="N2852" s="572" t="s"/>
      <c r="O2852" s="62" t="s"/>
      <c r="P2852" s="62" t="s"/>
      <c r="Q2852" s="62" t="s"/>
      <c r="R2852" s="62" t="s"/>
    </row>
    <row r="2853" spans="1:18" ht="15.75" customHeight="true">
      <c r="A2853" s="107" t="s"/>
      <c r="B2853" s="62" t="s"/>
      <c r="C2853" s="62" t="s"/>
      <c r="D2853" s="62" t="s"/>
      <c r="E2853" s="62" t="s"/>
      <c r="F2853" s="66" t="s"/>
      <c r="G2853" s="66" t="s"/>
      <c r="H2853" s="66" t="s"/>
      <c r="I2853" s="62" t="s"/>
      <c r="J2853" s="62" t="s"/>
      <c r="K2853" s="99" t="s"/>
      <c r="L2853" s="66" t="s"/>
      <c r="M2853" s="66" t="s"/>
      <c r="N2853" s="572" t="s"/>
      <c r="O2853" s="62" t="s"/>
      <c r="P2853" s="62" t="s"/>
      <c r="Q2853" s="62" t="s"/>
      <c r="R2853" s="62" t="s"/>
    </row>
    <row r="2854" spans="1:18" ht="15.75" customHeight="true">
      <c r="A2854" s="107" t="s"/>
      <c r="B2854" s="62" t="s"/>
      <c r="C2854" s="62" t="s"/>
      <c r="D2854" s="62" t="s"/>
      <c r="E2854" s="62" t="s"/>
      <c r="F2854" s="66" t="s"/>
      <c r="G2854" s="66" t="s"/>
      <c r="H2854" s="66" t="s"/>
      <c r="I2854" s="62" t="s"/>
      <c r="J2854" s="62" t="s"/>
      <c r="K2854" s="99" t="s"/>
      <c r="L2854" s="66" t="s"/>
      <c r="M2854" s="66" t="s"/>
      <c r="N2854" s="572" t="s"/>
      <c r="O2854" s="62" t="s"/>
      <c r="P2854" s="62" t="s"/>
      <c r="Q2854" s="62" t="s"/>
      <c r="R2854" s="62" t="s"/>
    </row>
    <row r="2855" spans="1:18" ht="15.75" customHeight="true">
      <c r="A2855" s="107" t="s"/>
      <c r="B2855" s="62" t="s"/>
      <c r="C2855" s="62" t="s"/>
      <c r="D2855" s="62" t="s"/>
      <c r="E2855" s="62" t="s"/>
      <c r="F2855" s="66" t="s"/>
      <c r="G2855" s="66" t="s"/>
      <c r="H2855" s="66" t="s"/>
      <c r="I2855" s="62" t="s"/>
      <c r="J2855" s="62" t="s"/>
      <c r="K2855" s="99" t="s"/>
      <c r="L2855" s="66" t="s"/>
      <c r="M2855" s="66" t="s"/>
      <c r="N2855" s="572" t="s"/>
      <c r="O2855" s="62" t="s"/>
      <c r="P2855" s="62" t="s"/>
      <c r="Q2855" s="62" t="s"/>
      <c r="R2855" s="62" t="s"/>
    </row>
    <row r="2856" spans="1:18" ht="15.75" customHeight="true">
      <c r="A2856" s="107" t="s"/>
      <c r="B2856" s="62" t="s"/>
      <c r="C2856" s="62" t="s"/>
      <c r="D2856" s="62" t="s"/>
      <c r="E2856" s="62" t="s"/>
      <c r="F2856" s="66" t="s"/>
      <c r="G2856" s="66" t="s"/>
      <c r="H2856" s="66" t="s"/>
      <c r="I2856" s="62" t="s"/>
      <c r="J2856" s="62" t="s"/>
      <c r="K2856" s="99" t="s"/>
      <c r="L2856" s="66" t="s"/>
      <c r="M2856" s="66" t="s"/>
      <c r="N2856" s="572" t="s"/>
      <c r="O2856" s="62" t="s"/>
      <c r="P2856" s="62" t="s"/>
      <c r="Q2856" s="62" t="s"/>
      <c r="R2856" s="62" t="s"/>
    </row>
    <row r="2857" spans="1:18" ht="15.75" customHeight="true">
      <c r="A2857" s="107" t="s"/>
      <c r="B2857" s="62" t="s"/>
      <c r="C2857" s="62" t="s"/>
      <c r="D2857" s="62" t="s"/>
      <c r="E2857" s="62" t="s"/>
      <c r="F2857" s="66" t="s"/>
      <c r="G2857" s="66" t="s"/>
      <c r="H2857" s="66" t="s"/>
      <c r="I2857" s="62" t="s"/>
      <c r="J2857" s="62" t="s"/>
      <c r="K2857" s="99" t="s"/>
      <c r="L2857" s="66" t="s"/>
      <c r="M2857" s="66" t="s"/>
      <c r="N2857" s="572" t="s"/>
      <c r="O2857" s="62" t="s"/>
      <c r="P2857" s="62" t="s"/>
      <c r="Q2857" s="62" t="s"/>
      <c r="R2857" s="62" t="s"/>
    </row>
    <row r="2858" spans="1:18" ht="15.75" customHeight="true">
      <c r="A2858" s="107" t="s"/>
      <c r="B2858" s="62" t="s"/>
      <c r="C2858" s="62" t="s"/>
      <c r="D2858" s="62" t="s"/>
      <c r="E2858" s="62" t="s"/>
      <c r="F2858" s="66" t="s"/>
      <c r="G2858" s="66" t="s"/>
      <c r="H2858" s="66" t="s"/>
      <c r="I2858" s="62" t="s"/>
      <c r="J2858" s="62" t="s"/>
      <c r="K2858" s="99" t="s"/>
      <c r="L2858" s="66" t="s"/>
      <c r="M2858" s="66" t="s"/>
      <c r="N2858" s="572" t="s"/>
      <c r="O2858" s="62" t="s"/>
      <c r="P2858" s="62" t="s"/>
      <c r="Q2858" s="62" t="s"/>
      <c r="R2858" s="62" t="s"/>
    </row>
    <row r="2859" spans="1:18" ht="15.75" customHeight="true">
      <c r="A2859" s="107" t="s"/>
      <c r="B2859" s="62" t="s"/>
      <c r="C2859" s="62" t="s"/>
      <c r="D2859" s="62" t="s"/>
      <c r="E2859" s="62" t="s"/>
      <c r="F2859" s="66" t="s"/>
      <c r="G2859" s="66" t="s"/>
      <c r="H2859" s="66" t="s"/>
      <c r="I2859" s="62" t="s"/>
      <c r="J2859" s="62" t="s"/>
      <c r="K2859" s="99" t="s"/>
      <c r="L2859" s="66" t="s"/>
      <c r="M2859" s="66" t="s"/>
      <c r="N2859" s="572" t="s"/>
      <c r="O2859" s="62" t="s"/>
      <c r="P2859" s="62" t="s"/>
      <c r="Q2859" s="62" t="s"/>
      <c r="R2859" s="62" t="s"/>
    </row>
    <row r="2860" spans="1:18" ht="15.75" customHeight="true">
      <c r="A2860" s="107" t="s"/>
      <c r="B2860" s="62" t="s"/>
      <c r="C2860" s="62" t="s"/>
      <c r="D2860" s="62" t="s"/>
      <c r="E2860" s="62" t="s"/>
      <c r="F2860" s="66" t="s"/>
      <c r="G2860" s="66" t="s"/>
      <c r="H2860" s="66" t="s"/>
      <c r="I2860" s="62" t="s"/>
      <c r="J2860" s="62" t="s"/>
      <c r="K2860" s="99" t="s"/>
      <c r="L2860" s="66" t="s"/>
      <c r="M2860" s="66" t="s"/>
      <c r="N2860" s="572" t="s"/>
      <c r="O2860" s="62" t="s"/>
      <c r="P2860" s="62" t="s"/>
      <c r="Q2860" s="62" t="s"/>
      <c r="R2860" s="62" t="s"/>
    </row>
    <row r="2861" spans="1:18" ht="15.75" customHeight="true">
      <c r="A2861" s="107" t="s"/>
      <c r="B2861" s="62" t="s"/>
      <c r="C2861" s="62" t="s"/>
      <c r="D2861" s="62" t="s"/>
      <c r="E2861" s="62" t="s"/>
      <c r="F2861" s="66" t="s"/>
      <c r="G2861" s="66" t="s"/>
      <c r="H2861" s="66" t="s"/>
      <c r="I2861" s="62" t="s"/>
      <c r="J2861" s="62" t="s"/>
      <c r="K2861" s="99" t="s"/>
      <c r="L2861" s="66" t="s"/>
      <c r="M2861" s="66" t="s"/>
      <c r="N2861" s="572" t="s"/>
      <c r="O2861" s="62" t="s"/>
      <c r="P2861" s="62" t="s"/>
      <c r="Q2861" s="62" t="s"/>
      <c r="R2861" s="62" t="s"/>
    </row>
    <row r="2862" spans="1:18" ht="15.75" customHeight="true">
      <c r="A2862" s="107" t="s"/>
      <c r="B2862" s="62" t="s"/>
      <c r="C2862" s="62" t="s"/>
      <c r="D2862" s="62" t="s"/>
      <c r="E2862" s="62" t="s"/>
      <c r="F2862" s="66" t="s"/>
      <c r="G2862" s="66" t="s"/>
      <c r="H2862" s="66" t="s"/>
      <c r="I2862" s="62" t="s"/>
      <c r="J2862" s="62" t="s"/>
      <c r="K2862" s="99" t="s"/>
      <c r="L2862" s="66" t="s"/>
      <c r="M2862" s="66" t="s"/>
      <c r="N2862" s="572" t="s"/>
      <c r="O2862" s="62" t="s"/>
      <c r="P2862" s="62" t="s"/>
      <c r="Q2862" s="62" t="s"/>
      <c r="R2862" s="62" t="s"/>
    </row>
    <row r="2863" spans="1:18" ht="15.75" customHeight="true">
      <c r="A2863" s="107" t="s"/>
      <c r="B2863" s="62" t="s"/>
      <c r="C2863" s="62" t="s"/>
      <c r="D2863" s="62" t="s"/>
      <c r="E2863" s="62" t="s"/>
      <c r="F2863" s="66" t="s"/>
      <c r="G2863" s="66" t="s"/>
      <c r="H2863" s="66" t="s"/>
      <c r="I2863" s="62" t="s"/>
      <c r="J2863" s="62" t="s"/>
      <c r="K2863" s="99" t="s"/>
      <c r="L2863" s="66" t="s"/>
      <c r="M2863" s="66" t="s"/>
      <c r="N2863" s="572" t="s"/>
      <c r="O2863" s="62" t="s"/>
      <c r="P2863" s="62" t="s"/>
      <c r="Q2863" s="62" t="s"/>
      <c r="R2863" s="62" t="s"/>
    </row>
    <row r="2864" spans="1:18" ht="15.75" customHeight="true">
      <c r="A2864" s="107" t="s"/>
      <c r="B2864" s="62" t="s"/>
      <c r="C2864" s="62" t="s"/>
      <c r="D2864" s="62" t="s"/>
      <c r="E2864" s="62" t="s"/>
      <c r="F2864" s="66" t="s"/>
      <c r="G2864" s="66" t="s"/>
      <c r="H2864" s="66" t="s"/>
      <c r="I2864" s="62" t="s"/>
      <c r="J2864" s="62" t="s"/>
      <c r="K2864" s="99" t="s"/>
      <c r="L2864" s="66" t="s"/>
      <c r="M2864" s="66" t="s"/>
      <c r="N2864" s="572" t="s"/>
      <c r="O2864" s="62" t="s"/>
      <c r="P2864" s="62" t="s"/>
      <c r="Q2864" s="62" t="s"/>
      <c r="R2864" s="62" t="s"/>
    </row>
    <row r="2865" spans="1:18" ht="15.75" customHeight="true">
      <c r="A2865" s="107" t="s"/>
      <c r="B2865" s="62" t="s"/>
      <c r="C2865" s="62" t="s"/>
      <c r="D2865" s="62" t="s"/>
      <c r="E2865" s="62" t="s"/>
      <c r="F2865" s="66" t="s"/>
      <c r="G2865" s="66" t="s"/>
      <c r="H2865" s="66" t="s"/>
      <c r="I2865" s="62" t="s"/>
      <c r="J2865" s="62" t="s"/>
      <c r="K2865" s="99" t="s"/>
      <c r="L2865" s="66" t="s"/>
      <c r="M2865" s="66" t="s"/>
      <c r="N2865" s="572" t="s"/>
      <c r="O2865" s="62" t="s"/>
      <c r="P2865" s="62" t="s"/>
      <c r="Q2865" s="62" t="s"/>
      <c r="R2865" s="62" t="s"/>
    </row>
    <row r="2866" spans="1:18" ht="15.75" customHeight="true">
      <c r="A2866" s="107" t="s"/>
      <c r="B2866" s="62" t="s"/>
      <c r="C2866" s="62" t="s"/>
      <c r="D2866" s="62" t="s"/>
      <c r="E2866" s="62" t="s"/>
      <c r="F2866" s="66" t="s"/>
      <c r="G2866" s="66" t="s"/>
      <c r="H2866" s="66" t="s"/>
      <c r="I2866" s="62" t="s"/>
      <c r="J2866" s="62" t="s"/>
      <c r="K2866" s="99" t="s"/>
      <c r="L2866" s="66" t="s"/>
      <c r="M2866" s="66" t="s"/>
      <c r="N2866" s="572" t="s"/>
      <c r="O2866" s="62" t="s"/>
      <c r="P2866" s="62" t="s"/>
      <c r="Q2866" s="62" t="s"/>
      <c r="R2866" s="62" t="s"/>
    </row>
    <row r="2867" spans="1:18" ht="15.75" customHeight="true">
      <c r="A2867" s="107" t="s"/>
      <c r="B2867" s="62" t="s"/>
      <c r="C2867" s="62" t="s"/>
      <c r="D2867" s="62" t="s"/>
      <c r="E2867" s="62" t="s"/>
      <c r="F2867" s="66" t="s"/>
      <c r="G2867" s="66" t="s"/>
      <c r="H2867" s="66" t="s"/>
      <c r="I2867" s="62" t="s"/>
      <c r="J2867" s="62" t="s"/>
      <c r="K2867" s="99" t="s"/>
      <c r="L2867" s="66" t="s"/>
      <c r="M2867" s="66" t="s"/>
      <c r="N2867" s="572" t="s"/>
      <c r="O2867" s="62" t="s"/>
      <c r="P2867" s="62" t="s"/>
      <c r="Q2867" s="62" t="s"/>
      <c r="R2867" s="62" t="s"/>
    </row>
    <row r="2868" spans="1:18" ht="15.75" customHeight="true">
      <c r="A2868" s="107" t="s"/>
      <c r="B2868" s="62" t="s"/>
      <c r="C2868" s="62" t="s"/>
      <c r="D2868" s="62" t="s"/>
      <c r="E2868" s="62" t="s"/>
      <c r="F2868" s="66" t="s"/>
      <c r="G2868" s="66" t="s"/>
      <c r="H2868" s="66" t="s"/>
      <c r="I2868" s="62" t="s"/>
      <c r="J2868" s="62" t="s"/>
      <c r="K2868" s="99" t="s"/>
      <c r="L2868" s="66" t="s"/>
      <c r="M2868" s="66" t="s"/>
      <c r="N2868" s="572" t="s"/>
      <c r="O2868" s="62" t="s"/>
      <c r="P2868" s="62" t="s"/>
      <c r="Q2868" s="62" t="s"/>
      <c r="R2868" s="62" t="s"/>
    </row>
    <row r="2869" spans="1:18" ht="15.75" customHeight="true">
      <c r="A2869" s="107" t="s"/>
      <c r="B2869" s="62" t="s"/>
      <c r="C2869" s="62" t="s"/>
      <c r="D2869" s="62" t="s"/>
      <c r="E2869" s="62" t="s"/>
      <c r="F2869" s="66" t="s"/>
      <c r="G2869" s="66" t="s"/>
      <c r="H2869" s="66" t="s"/>
      <c r="I2869" s="62" t="s"/>
      <c r="J2869" s="62" t="s"/>
      <c r="K2869" s="99" t="s"/>
      <c r="L2869" s="66" t="s"/>
      <c r="M2869" s="66" t="s"/>
      <c r="N2869" s="572" t="s"/>
      <c r="O2869" s="62" t="s"/>
      <c r="P2869" s="62" t="s"/>
      <c r="Q2869" s="62" t="s"/>
      <c r="R2869" s="62" t="s"/>
    </row>
    <row r="2870" spans="1:18" ht="15.75" customHeight="true">
      <c r="A2870" s="107" t="s"/>
      <c r="B2870" s="62" t="s"/>
      <c r="C2870" s="62" t="s"/>
      <c r="D2870" s="62" t="s"/>
      <c r="E2870" s="62" t="s"/>
      <c r="F2870" s="66" t="s"/>
      <c r="G2870" s="66" t="s"/>
      <c r="H2870" s="66" t="s"/>
      <c r="I2870" s="62" t="s"/>
      <c r="J2870" s="62" t="s"/>
      <c r="K2870" s="99" t="s"/>
      <c r="L2870" s="66" t="s"/>
      <c r="M2870" s="66" t="s"/>
      <c r="N2870" s="572" t="s"/>
      <c r="O2870" s="62" t="s"/>
      <c r="P2870" s="62" t="s"/>
      <c r="Q2870" s="62" t="s"/>
      <c r="R2870" s="62" t="s"/>
    </row>
    <row r="2871" spans="1:18" ht="15.75" customHeight="true">
      <c r="A2871" s="107" t="s"/>
      <c r="B2871" s="62" t="s"/>
      <c r="C2871" s="62" t="s"/>
      <c r="D2871" s="62" t="s"/>
      <c r="E2871" s="62" t="s"/>
      <c r="F2871" s="66" t="s"/>
      <c r="G2871" s="66" t="s"/>
      <c r="H2871" s="66" t="s"/>
      <c r="I2871" s="62" t="s"/>
      <c r="J2871" s="62" t="s"/>
      <c r="K2871" s="99" t="s"/>
      <c r="L2871" s="66" t="s"/>
      <c r="M2871" s="66" t="s"/>
      <c r="N2871" s="572" t="s"/>
      <c r="O2871" s="62" t="s"/>
      <c r="P2871" s="62" t="s"/>
      <c r="Q2871" s="62" t="s"/>
      <c r="R2871" s="62" t="s"/>
    </row>
    <row r="2872" spans="1:18" ht="15.75" customHeight="true">
      <c r="A2872" s="107" t="s"/>
      <c r="B2872" s="62" t="s"/>
      <c r="C2872" s="62" t="s"/>
      <c r="D2872" s="62" t="s"/>
      <c r="E2872" s="62" t="s"/>
      <c r="F2872" s="66" t="s"/>
      <c r="G2872" s="66" t="s"/>
      <c r="H2872" s="66" t="s"/>
      <c r="I2872" s="62" t="s"/>
      <c r="J2872" s="62" t="s"/>
      <c r="K2872" s="99" t="s"/>
      <c r="L2872" s="66" t="s"/>
      <c r="M2872" s="66" t="s"/>
      <c r="N2872" s="572" t="s"/>
      <c r="O2872" s="62" t="s"/>
      <c r="P2872" s="62" t="s"/>
      <c r="Q2872" s="62" t="s"/>
      <c r="R2872" s="62" t="s"/>
    </row>
    <row r="2873" spans="1:18" ht="15.75" customHeight="true">
      <c r="A2873" s="107" t="s"/>
      <c r="B2873" s="62" t="s"/>
      <c r="C2873" s="62" t="s"/>
      <c r="D2873" s="62" t="s"/>
      <c r="E2873" s="62" t="s"/>
      <c r="F2873" s="66" t="s"/>
      <c r="G2873" s="66" t="s"/>
      <c r="H2873" s="66" t="s"/>
      <c r="I2873" s="62" t="s"/>
      <c r="J2873" s="62" t="s"/>
      <c r="K2873" s="99" t="s"/>
      <c r="L2873" s="66" t="s"/>
      <c r="M2873" s="66" t="s"/>
      <c r="N2873" s="572" t="s"/>
      <c r="O2873" s="62" t="s"/>
      <c r="P2873" s="62" t="s"/>
      <c r="Q2873" s="62" t="s"/>
      <c r="R2873" s="62" t="s"/>
    </row>
    <row r="2874" spans="1:18" ht="15.75" customHeight="true">
      <c r="A2874" s="107" t="s"/>
      <c r="B2874" s="62" t="s"/>
      <c r="C2874" s="62" t="s"/>
      <c r="D2874" s="62" t="s"/>
      <c r="E2874" s="62" t="s"/>
      <c r="F2874" s="66" t="s"/>
      <c r="G2874" s="66" t="s"/>
      <c r="H2874" s="66" t="s"/>
      <c r="I2874" s="62" t="s"/>
      <c r="J2874" s="62" t="s"/>
      <c r="K2874" s="99" t="s"/>
      <c r="L2874" s="66" t="s"/>
      <c r="M2874" s="66" t="s"/>
      <c r="N2874" s="572" t="s"/>
      <c r="O2874" s="62" t="s"/>
      <c r="P2874" s="62" t="s"/>
      <c r="Q2874" s="62" t="s"/>
      <c r="R2874" s="62" t="s"/>
    </row>
    <row r="2875" spans="1:18" ht="15.75" customHeight="true">
      <c r="A2875" s="107" t="s"/>
      <c r="B2875" s="62" t="s"/>
      <c r="C2875" s="62" t="s"/>
      <c r="D2875" s="62" t="s"/>
      <c r="E2875" s="62" t="s"/>
      <c r="F2875" s="66" t="s"/>
      <c r="G2875" s="66" t="s"/>
      <c r="H2875" s="66" t="s"/>
      <c r="I2875" s="62" t="s"/>
      <c r="J2875" s="62" t="s"/>
      <c r="K2875" s="99" t="s"/>
      <c r="L2875" s="66" t="s"/>
      <c r="M2875" s="66" t="s"/>
      <c r="N2875" s="572" t="s"/>
      <c r="O2875" s="62" t="s"/>
      <c r="P2875" s="62" t="s"/>
      <c r="Q2875" s="62" t="s"/>
      <c r="R2875" s="62" t="s"/>
    </row>
    <row r="2876" spans="1:18" ht="15.75" customHeight="true">
      <c r="A2876" s="107" t="s"/>
      <c r="B2876" s="62" t="s"/>
      <c r="C2876" s="62" t="s"/>
      <c r="D2876" s="62" t="s"/>
      <c r="E2876" s="62" t="s"/>
      <c r="F2876" s="66" t="s"/>
      <c r="G2876" s="66" t="s"/>
      <c r="H2876" s="66" t="s"/>
      <c r="I2876" s="62" t="s"/>
      <c r="J2876" s="62" t="s"/>
      <c r="K2876" s="99" t="s"/>
      <c r="L2876" s="66" t="s"/>
      <c r="M2876" s="66" t="s"/>
      <c r="N2876" s="572" t="s"/>
      <c r="O2876" s="62" t="s"/>
      <c r="P2876" s="62" t="s"/>
      <c r="Q2876" s="62" t="s"/>
      <c r="R2876" s="62" t="s"/>
    </row>
    <row r="2877" spans="1:18" ht="15.75" customHeight="true">
      <c r="A2877" s="107" t="s"/>
      <c r="B2877" s="62" t="s"/>
      <c r="C2877" s="62" t="s"/>
      <c r="D2877" s="62" t="s"/>
      <c r="E2877" s="62" t="s"/>
      <c r="F2877" s="66" t="s"/>
      <c r="G2877" s="66" t="s"/>
      <c r="H2877" s="66" t="s"/>
      <c r="I2877" s="62" t="s"/>
      <c r="J2877" s="62" t="s"/>
      <c r="K2877" s="99" t="s"/>
      <c r="L2877" s="66" t="s"/>
      <c r="M2877" s="66" t="s"/>
      <c r="N2877" s="572" t="s"/>
      <c r="O2877" s="62" t="s"/>
      <c r="P2877" s="62" t="s"/>
      <c r="Q2877" s="62" t="s"/>
      <c r="R2877" s="62" t="s"/>
    </row>
    <row r="2878" spans="1:18" ht="15.75" customHeight="true">
      <c r="A2878" s="107" t="s"/>
      <c r="B2878" s="62" t="s"/>
      <c r="C2878" s="62" t="s"/>
      <c r="D2878" s="62" t="s"/>
      <c r="E2878" s="62" t="s"/>
      <c r="F2878" s="66" t="s"/>
      <c r="G2878" s="66" t="s"/>
      <c r="H2878" s="66" t="s"/>
      <c r="I2878" s="62" t="s"/>
      <c r="J2878" s="62" t="s"/>
      <c r="K2878" s="99" t="s"/>
      <c r="L2878" s="66" t="s"/>
      <c r="M2878" s="66" t="s"/>
      <c r="N2878" s="572" t="s"/>
      <c r="O2878" s="62" t="s"/>
      <c r="P2878" s="62" t="s"/>
      <c r="Q2878" s="62" t="s"/>
      <c r="R2878" s="62" t="s"/>
    </row>
    <row r="2879" spans="1:18" ht="15.75" customHeight="true">
      <c r="A2879" s="107" t="s"/>
      <c r="B2879" s="62" t="s"/>
      <c r="C2879" s="62" t="s"/>
      <c r="D2879" s="62" t="s"/>
      <c r="E2879" s="62" t="s"/>
      <c r="F2879" s="66" t="s"/>
      <c r="G2879" s="66" t="s"/>
      <c r="H2879" s="66" t="s"/>
      <c r="I2879" s="62" t="s"/>
      <c r="J2879" s="62" t="s"/>
      <c r="K2879" s="99" t="s"/>
      <c r="L2879" s="66" t="s"/>
      <c r="M2879" s="66" t="s"/>
      <c r="N2879" s="572" t="s"/>
      <c r="O2879" s="62" t="s"/>
      <c r="P2879" s="62" t="s"/>
      <c r="Q2879" s="62" t="s"/>
      <c r="R2879" s="62" t="s"/>
    </row>
    <row r="2880" spans="1:18" ht="15.75" customHeight="true">
      <c r="A2880" s="107" t="s"/>
      <c r="B2880" s="62" t="s"/>
      <c r="C2880" s="62" t="s"/>
      <c r="D2880" s="62" t="s"/>
      <c r="E2880" s="62" t="s"/>
      <c r="F2880" s="66" t="s"/>
      <c r="G2880" s="66" t="s"/>
      <c r="H2880" s="66" t="s"/>
      <c r="I2880" s="62" t="s"/>
      <c r="J2880" s="62" t="s"/>
      <c r="K2880" s="99" t="s"/>
      <c r="L2880" s="66" t="s"/>
      <c r="M2880" s="66" t="s"/>
      <c r="N2880" s="572" t="s"/>
      <c r="O2880" s="62" t="s"/>
      <c r="P2880" s="62" t="s"/>
      <c r="Q2880" s="62" t="s"/>
      <c r="R2880" s="62" t="s"/>
    </row>
    <row r="2881" spans="1:18" ht="15.75" customHeight="true">
      <c r="A2881" s="107" t="s"/>
      <c r="B2881" s="62" t="s"/>
      <c r="C2881" s="62" t="s"/>
      <c r="D2881" s="62" t="s"/>
      <c r="E2881" s="62" t="s"/>
      <c r="F2881" s="66" t="s"/>
      <c r="G2881" s="66" t="s"/>
      <c r="H2881" s="66" t="s"/>
      <c r="I2881" s="62" t="s"/>
      <c r="J2881" s="62" t="s"/>
      <c r="K2881" s="99" t="s"/>
      <c r="L2881" s="66" t="s"/>
      <c r="M2881" s="66" t="s"/>
      <c r="N2881" s="572" t="s"/>
      <c r="O2881" s="62" t="s"/>
      <c r="P2881" s="62" t="s"/>
      <c r="Q2881" s="62" t="s"/>
      <c r="R2881" s="62" t="s"/>
    </row>
    <row r="2882" spans="1:18" ht="15.75" customHeight="true">
      <c r="A2882" s="107" t="s"/>
      <c r="B2882" s="62" t="s"/>
      <c r="C2882" s="62" t="s"/>
      <c r="D2882" s="62" t="s"/>
      <c r="E2882" s="62" t="s"/>
      <c r="F2882" s="66" t="s"/>
      <c r="G2882" s="66" t="s"/>
      <c r="H2882" s="66" t="s"/>
      <c r="I2882" s="62" t="s"/>
      <c r="J2882" s="62" t="s"/>
      <c r="K2882" s="99" t="s"/>
      <c r="L2882" s="66" t="s"/>
      <c r="M2882" s="66" t="s"/>
      <c r="N2882" s="572" t="s"/>
      <c r="O2882" s="62" t="s"/>
      <c r="P2882" s="62" t="s"/>
      <c r="Q2882" s="62" t="s"/>
      <c r="R2882" s="62" t="s"/>
    </row>
    <row r="2883" spans="1:18" ht="15.75" customHeight="true">
      <c r="A2883" s="107" t="s"/>
      <c r="B2883" s="62" t="s"/>
      <c r="C2883" s="62" t="s"/>
      <c r="D2883" s="62" t="s"/>
      <c r="E2883" s="62" t="s"/>
      <c r="F2883" s="66" t="s"/>
      <c r="G2883" s="66" t="s"/>
      <c r="H2883" s="66" t="s"/>
      <c r="I2883" s="62" t="s"/>
      <c r="J2883" s="62" t="s"/>
      <c r="K2883" s="99" t="s"/>
      <c r="L2883" s="66" t="s"/>
      <c r="M2883" s="66" t="s"/>
      <c r="N2883" s="572" t="s"/>
      <c r="O2883" s="62" t="s"/>
      <c r="P2883" s="62" t="s"/>
      <c r="Q2883" s="62" t="s"/>
      <c r="R2883" s="62" t="s"/>
    </row>
    <row r="2884" spans="1:18" ht="15.75" customHeight="true">
      <c r="A2884" s="107" t="s"/>
      <c r="B2884" s="62" t="s"/>
      <c r="C2884" s="62" t="s"/>
      <c r="D2884" s="62" t="s"/>
      <c r="E2884" s="62" t="s"/>
      <c r="F2884" s="66" t="s"/>
      <c r="G2884" s="66" t="s"/>
      <c r="H2884" s="66" t="s"/>
      <c r="I2884" s="62" t="s"/>
      <c r="J2884" s="62" t="s"/>
      <c r="K2884" s="99" t="s"/>
      <c r="L2884" s="66" t="s"/>
      <c r="M2884" s="66" t="s"/>
      <c r="N2884" s="572" t="s"/>
      <c r="O2884" s="62" t="s"/>
      <c r="P2884" s="62" t="s"/>
      <c r="Q2884" s="62" t="s"/>
      <c r="R2884" s="62" t="s"/>
    </row>
    <row r="2885" spans="1:18" ht="15.75" customHeight="true">
      <c r="A2885" s="107" t="s"/>
      <c r="B2885" s="62" t="s"/>
      <c r="C2885" s="62" t="s"/>
      <c r="D2885" s="62" t="s"/>
      <c r="E2885" s="62" t="s"/>
      <c r="F2885" s="66" t="s"/>
      <c r="G2885" s="66" t="s"/>
      <c r="H2885" s="66" t="s"/>
      <c r="I2885" s="62" t="s"/>
      <c r="J2885" s="62" t="s"/>
      <c r="K2885" s="99" t="s"/>
      <c r="L2885" s="66" t="s"/>
      <c r="M2885" s="66" t="s"/>
      <c r="N2885" s="572" t="s"/>
      <c r="O2885" s="62" t="s"/>
      <c r="P2885" s="62" t="s"/>
      <c r="Q2885" s="62" t="s"/>
      <c r="R2885" s="62" t="s"/>
    </row>
    <row r="2886" spans="1:18" ht="15.75" customHeight="true">
      <c r="A2886" s="107" t="s"/>
      <c r="B2886" s="62" t="s"/>
      <c r="C2886" s="62" t="s"/>
      <c r="D2886" s="62" t="s"/>
      <c r="E2886" s="62" t="s"/>
      <c r="F2886" s="66" t="s"/>
      <c r="G2886" s="66" t="s"/>
      <c r="H2886" s="66" t="s"/>
      <c r="I2886" s="62" t="s"/>
      <c r="J2886" s="62" t="s"/>
      <c r="K2886" s="99" t="s"/>
      <c r="L2886" s="66" t="s"/>
      <c r="M2886" s="66" t="s"/>
      <c r="N2886" s="572" t="s"/>
      <c r="O2886" s="62" t="s"/>
      <c r="P2886" s="62" t="s"/>
      <c r="Q2886" s="62" t="s"/>
      <c r="R2886" s="62" t="s"/>
    </row>
    <row r="2887" spans="1:18" ht="15.75" customHeight="true">
      <c r="A2887" s="107" t="s"/>
      <c r="B2887" s="62" t="s"/>
      <c r="C2887" s="62" t="s"/>
      <c r="D2887" s="62" t="s"/>
      <c r="E2887" s="62" t="s"/>
      <c r="F2887" s="66" t="s"/>
      <c r="G2887" s="66" t="s"/>
      <c r="H2887" s="66" t="s"/>
      <c r="I2887" s="62" t="s"/>
      <c r="J2887" s="62" t="s"/>
      <c r="K2887" s="99" t="s"/>
      <c r="L2887" s="66" t="s"/>
      <c r="M2887" s="66" t="s"/>
      <c r="N2887" s="572" t="s"/>
      <c r="O2887" s="62" t="s"/>
      <c r="P2887" s="62" t="s"/>
      <c r="Q2887" s="62" t="s"/>
      <c r="R2887" s="62" t="s"/>
    </row>
    <row r="2888" spans="1:18" ht="15.75" customHeight="true">
      <c r="A2888" s="107" t="s"/>
      <c r="B2888" s="62" t="s"/>
      <c r="C2888" s="62" t="s"/>
      <c r="D2888" s="62" t="s"/>
      <c r="E2888" s="62" t="s"/>
      <c r="F2888" s="66" t="s"/>
      <c r="G2888" s="66" t="s"/>
      <c r="H2888" s="66" t="s"/>
      <c r="I2888" s="62" t="s"/>
      <c r="J2888" s="62" t="s"/>
      <c r="K2888" s="99" t="s"/>
      <c r="L2888" s="66" t="s"/>
      <c r="M2888" s="66" t="s"/>
      <c r="N2888" s="572" t="s"/>
      <c r="O2888" s="62" t="s"/>
      <c r="P2888" s="62" t="s"/>
      <c r="Q2888" s="62" t="s"/>
      <c r="R2888" s="62" t="s"/>
    </row>
    <row r="2889" spans="1:18" ht="15.75" customHeight="true">
      <c r="A2889" s="107" t="s"/>
      <c r="B2889" s="62" t="s"/>
      <c r="C2889" s="62" t="s"/>
      <c r="D2889" s="62" t="s"/>
      <c r="E2889" s="62" t="s"/>
      <c r="F2889" s="66" t="s"/>
      <c r="G2889" s="66" t="s"/>
      <c r="H2889" s="66" t="s"/>
      <c r="I2889" s="62" t="s"/>
      <c r="J2889" s="62" t="s"/>
      <c r="K2889" s="99" t="s"/>
      <c r="L2889" s="66" t="s"/>
      <c r="M2889" s="66" t="s"/>
      <c r="N2889" s="572" t="s"/>
      <c r="O2889" s="62" t="s"/>
      <c r="P2889" s="62" t="s"/>
      <c r="Q2889" s="62" t="s"/>
      <c r="R2889" s="62" t="s"/>
    </row>
    <row r="2890" spans="1:18" ht="15.75" customHeight="true">
      <c r="A2890" s="107" t="s"/>
      <c r="B2890" s="62" t="s"/>
      <c r="C2890" s="62" t="s"/>
      <c r="D2890" s="62" t="s"/>
      <c r="E2890" s="62" t="s"/>
      <c r="F2890" s="66" t="s"/>
      <c r="G2890" s="66" t="s"/>
      <c r="H2890" s="66" t="s"/>
      <c r="I2890" s="62" t="s"/>
      <c r="J2890" s="62" t="s"/>
      <c r="K2890" s="99" t="s"/>
      <c r="L2890" s="66" t="s"/>
      <c r="M2890" s="66" t="s"/>
      <c r="N2890" s="572" t="s"/>
      <c r="O2890" s="62" t="s"/>
      <c r="P2890" s="62" t="s"/>
      <c r="Q2890" s="62" t="s"/>
      <c r="R2890" s="62" t="s"/>
    </row>
    <row r="2891" spans="1:18" ht="15.75" customHeight="true">
      <c r="A2891" s="107" t="s"/>
      <c r="B2891" s="62" t="s"/>
      <c r="C2891" s="62" t="s"/>
      <c r="D2891" s="62" t="s"/>
      <c r="E2891" s="62" t="s"/>
      <c r="F2891" s="66" t="s"/>
      <c r="G2891" s="66" t="s"/>
      <c r="H2891" s="66" t="s"/>
      <c r="I2891" s="62" t="s"/>
      <c r="J2891" s="62" t="s"/>
      <c r="K2891" s="99" t="s"/>
      <c r="L2891" s="66" t="s"/>
      <c r="M2891" s="66" t="s"/>
      <c r="N2891" s="572" t="s"/>
      <c r="O2891" s="62" t="s"/>
      <c r="P2891" s="62" t="s"/>
      <c r="Q2891" s="62" t="s"/>
      <c r="R2891" s="62" t="s"/>
    </row>
    <row r="2892" spans="1:18" ht="15.75" customHeight="true">
      <c r="A2892" s="107" t="s"/>
      <c r="B2892" s="62" t="s"/>
      <c r="C2892" s="62" t="s"/>
      <c r="D2892" s="62" t="s"/>
      <c r="E2892" s="62" t="s"/>
      <c r="F2892" s="66" t="s"/>
      <c r="G2892" s="66" t="s"/>
      <c r="H2892" s="66" t="s"/>
      <c r="I2892" s="62" t="s"/>
      <c r="J2892" s="62" t="s"/>
      <c r="K2892" s="99" t="s"/>
      <c r="L2892" s="66" t="s"/>
      <c r="M2892" s="66" t="s"/>
      <c r="N2892" s="572" t="s"/>
      <c r="O2892" s="62" t="s"/>
      <c r="P2892" s="62" t="s"/>
      <c r="Q2892" s="62" t="s"/>
      <c r="R2892" s="62" t="s"/>
    </row>
    <row r="2893" spans="1:18" ht="15.75" customHeight="true">
      <c r="A2893" s="107" t="s"/>
      <c r="B2893" s="62" t="s"/>
      <c r="C2893" s="62" t="s"/>
      <c r="D2893" s="62" t="s"/>
      <c r="E2893" s="62" t="s"/>
      <c r="F2893" s="66" t="s"/>
      <c r="G2893" s="66" t="s"/>
      <c r="H2893" s="66" t="s"/>
      <c r="I2893" s="62" t="s"/>
      <c r="J2893" s="62" t="s"/>
      <c r="K2893" s="99" t="s"/>
      <c r="L2893" s="66" t="s"/>
      <c r="M2893" s="66" t="s"/>
      <c r="N2893" s="572" t="s"/>
      <c r="O2893" s="62" t="s"/>
      <c r="P2893" s="62" t="s"/>
      <c r="Q2893" s="62" t="s"/>
      <c r="R2893" s="62" t="s"/>
    </row>
    <row r="2894" spans="1:18" ht="15.75" customHeight="true">
      <c r="A2894" s="107" t="s"/>
      <c r="B2894" s="62" t="s"/>
      <c r="C2894" s="62" t="s"/>
      <c r="D2894" s="62" t="s"/>
      <c r="E2894" s="62" t="s"/>
      <c r="F2894" s="66" t="s"/>
      <c r="G2894" s="66" t="s"/>
      <c r="H2894" s="66" t="s"/>
      <c r="I2894" s="62" t="s"/>
      <c r="J2894" s="62" t="s"/>
      <c r="K2894" s="99" t="s"/>
      <c r="L2894" s="66" t="s"/>
      <c r="M2894" s="66" t="s"/>
      <c r="N2894" s="572" t="s"/>
      <c r="O2894" s="62" t="s"/>
      <c r="P2894" s="62" t="s"/>
      <c r="Q2894" s="62" t="s"/>
      <c r="R2894" s="62" t="s"/>
    </row>
    <row r="2895" spans="1:18" ht="15.75" customHeight="true">
      <c r="A2895" s="107" t="s"/>
      <c r="B2895" s="62" t="s"/>
      <c r="C2895" s="62" t="s"/>
      <c r="D2895" s="62" t="s"/>
      <c r="E2895" s="62" t="s"/>
      <c r="F2895" s="66" t="s"/>
      <c r="G2895" s="66" t="s"/>
      <c r="H2895" s="66" t="s"/>
      <c r="I2895" s="62" t="s"/>
      <c r="J2895" s="62" t="s"/>
      <c r="K2895" s="99" t="s"/>
      <c r="L2895" s="66" t="s"/>
      <c r="M2895" s="66" t="s"/>
      <c r="N2895" s="572" t="s"/>
      <c r="O2895" s="62" t="s"/>
      <c r="P2895" s="62" t="s"/>
      <c r="Q2895" s="62" t="s"/>
      <c r="R2895" s="62" t="s"/>
    </row>
    <row r="2896" spans="1:18" ht="15.75" customHeight="true">
      <c r="A2896" s="107" t="s"/>
      <c r="B2896" s="62" t="s"/>
      <c r="C2896" s="62" t="s"/>
      <c r="D2896" s="62" t="s"/>
      <c r="E2896" s="62" t="s"/>
      <c r="F2896" s="66" t="s"/>
      <c r="G2896" s="66" t="s"/>
      <c r="H2896" s="66" t="s"/>
      <c r="I2896" s="62" t="s"/>
      <c r="J2896" s="62" t="s"/>
      <c r="K2896" s="99" t="s"/>
      <c r="L2896" s="66" t="s"/>
      <c r="M2896" s="66" t="s"/>
      <c r="N2896" s="572" t="s"/>
      <c r="O2896" s="62" t="s"/>
      <c r="P2896" s="62" t="s"/>
      <c r="Q2896" s="62" t="s"/>
      <c r="R2896" s="62" t="s"/>
    </row>
    <row r="2897" spans="1:18" ht="15.75" customHeight="true">
      <c r="A2897" s="107" t="s"/>
      <c r="B2897" s="62" t="s"/>
      <c r="C2897" s="62" t="s"/>
      <c r="D2897" s="62" t="s"/>
      <c r="E2897" s="62" t="s"/>
      <c r="F2897" s="66" t="s"/>
      <c r="G2897" s="66" t="s"/>
      <c r="H2897" s="66" t="s"/>
      <c r="I2897" s="62" t="s"/>
      <c r="J2897" s="62" t="s"/>
      <c r="K2897" s="99" t="s"/>
      <c r="L2897" s="66" t="s"/>
      <c r="M2897" s="66" t="s"/>
      <c r="N2897" s="572" t="s"/>
      <c r="O2897" s="62" t="s"/>
      <c r="P2897" s="62" t="s"/>
      <c r="Q2897" s="62" t="s"/>
      <c r="R2897" s="62" t="s"/>
    </row>
    <row r="2898" spans="1:18" ht="15.75" customHeight="true">
      <c r="A2898" s="107" t="s"/>
      <c r="B2898" s="62" t="s"/>
      <c r="C2898" s="62" t="s"/>
      <c r="D2898" s="62" t="s"/>
      <c r="E2898" s="62" t="s"/>
      <c r="F2898" s="66" t="s"/>
      <c r="G2898" s="66" t="s"/>
      <c r="H2898" s="66" t="s"/>
      <c r="I2898" s="62" t="s"/>
      <c r="J2898" s="62" t="s"/>
      <c r="K2898" s="99" t="s"/>
      <c r="L2898" s="66" t="s"/>
      <c r="M2898" s="66" t="s"/>
      <c r="N2898" s="572" t="s"/>
      <c r="O2898" s="62" t="s"/>
      <c r="P2898" s="62" t="s"/>
      <c r="Q2898" s="62" t="s"/>
      <c r="R2898" s="62" t="s"/>
    </row>
    <row r="2899" spans="1:18" ht="15.75" customHeight="true">
      <c r="A2899" s="107" t="s"/>
      <c r="B2899" s="62" t="s"/>
      <c r="C2899" s="62" t="s"/>
      <c r="D2899" s="62" t="s"/>
      <c r="E2899" s="62" t="s"/>
      <c r="F2899" s="66" t="s"/>
      <c r="G2899" s="66" t="s"/>
      <c r="H2899" s="66" t="s"/>
      <c r="I2899" s="62" t="s"/>
      <c r="J2899" s="62" t="s"/>
      <c r="K2899" s="99" t="s"/>
      <c r="L2899" s="66" t="s"/>
      <c r="M2899" s="66" t="s"/>
      <c r="N2899" s="572" t="s"/>
      <c r="O2899" s="62" t="s"/>
      <c r="P2899" s="62" t="s"/>
      <c r="Q2899" s="62" t="s"/>
      <c r="R2899" s="62" t="s"/>
    </row>
    <row r="2900" spans="1:18" ht="15.75" customHeight="true">
      <c r="A2900" s="107" t="s"/>
      <c r="B2900" s="62" t="s"/>
      <c r="C2900" s="62" t="s"/>
      <c r="D2900" s="62" t="s"/>
      <c r="E2900" s="62" t="s"/>
      <c r="F2900" s="66" t="s"/>
      <c r="G2900" s="66" t="s"/>
      <c r="H2900" s="66" t="s"/>
      <c r="I2900" s="62" t="s"/>
      <c r="J2900" s="62" t="s"/>
      <c r="K2900" s="99" t="s"/>
      <c r="L2900" s="66" t="s"/>
      <c r="M2900" s="66" t="s"/>
      <c r="N2900" s="572" t="s"/>
      <c r="O2900" s="62" t="s"/>
      <c r="P2900" s="62" t="s"/>
      <c r="Q2900" s="62" t="s"/>
      <c r="R2900" s="62" t="s"/>
    </row>
    <row r="2901" spans="1:18" ht="15.75" customHeight="true">
      <c r="A2901" s="107" t="s"/>
      <c r="B2901" s="62" t="s"/>
      <c r="C2901" s="62" t="s"/>
      <c r="D2901" s="62" t="s"/>
      <c r="E2901" s="62" t="s"/>
      <c r="F2901" s="66" t="s"/>
      <c r="G2901" s="66" t="s"/>
      <c r="H2901" s="66" t="s"/>
      <c r="I2901" s="62" t="s"/>
      <c r="J2901" s="62" t="s"/>
      <c r="K2901" s="99" t="s"/>
      <c r="L2901" s="66" t="s"/>
      <c r="M2901" s="66" t="s"/>
      <c r="N2901" s="572" t="s"/>
      <c r="O2901" s="62" t="s"/>
      <c r="P2901" s="62" t="s"/>
      <c r="Q2901" s="62" t="s"/>
      <c r="R2901" s="62" t="s"/>
    </row>
    <row r="2902" spans="1:18" ht="15.75" customHeight="true">
      <c r="A2902" s="107" t="s"/>
      <c r="B2902" s="62" t="s"/>
      <c r="C2902" s="62" t="s"/>
      <c r="D2902" s="62" t="s"/>
      <c r="E2902" s="62" t="s"/>
      <c r="F2902" s="66" t="s"/>
      <c r="G2902" s="66" t="s"/>
      <c r="H2902" s="66" t="s"/>
      <c r="I2902" s="62" t="s"/>
      <c r="J2902" s="62" t="s"/>
      <c r="K2902" s="99" t="s"/>
      <c r="L2902" s="66" t="s"/>
      <c r="M2902" s="66" t="s"/>
      <c r="N2902" s="572" t="s"/>
      <c r="O2902" s="62" t="s"/>
      <c r="P2902" s="62" t="s"/>
      <c r="Q2902" s="62" t="s"/>
      <c r="R2902" s="62" t="s"/>
    </row>
    <row r="2903" spans="1:18" ht="15.75" customHeight="true">
      <c r="A2903" s="107" t="s"/>
      <c r="B2903" s="62" t="s"/>
      <c r="C2903" s="62" t="s"/>
      <c r="D2903" s="62" t="s"/>
      <c r="E2903" s="62" t="s"/>
      <c r="F2903" s="66" t="s"/>
      <c r="G2903" s="66" t="s"/>
      <c r="H2903" s="66" t="s"/>
      <c r="I2903" s="62" t="s"/>
      <c r="J2903" s="62" t="s"/>
      <c r="K2903" s="99" t="s"/>
      <c r="L2903" s="66" t="s"/>
      <c r="M2903" s="66" t="s"/>
      <c r="N2903" s="572" t="s"/>
      <c r="O2903" s="62" t="s"/>
      <c r="P2903" s="62" t="s"/>
      <c r="Q2903" s="62" t="s"/>
      <c r="R2903" s="62" t="s"/>
    </row>
    <row r="2904" spans="1:18" ht="15.75" customHeight="true">
      <c r="A2904" s="107" t="s"/>
      <c r="B2904" s="62" t="s"/>
      <c r="C2904" s="62" t="s"/>
      <c r="D2904" s="62" t="s"/>
      <c r="E2904" s="62" t="s"/>
      <c r="F2904" s="66" t="s"/>
      <c r="G2904" s="66" t="s"/>
      <c r="H2904" s="66" t="s"/>
      <c r="I2904" s="62" t="s"/>
      <c r="J2904" s="62" t="s"/>
      <c r="K2904" s="99" t="s"/>
      <c r="L2904" s="66" t="s"/>
      <c r="M2904" s="66" t="s"/>
      <c r="N2904" s="572" t="s"/>
      <c r="O2904" s="62" t="s"/>
      <c r="P2904" s="62" t="s"/>
      <c r="Q2904" s="62" t="s"/>
      <c r="R2904" s="62" t="s"/>
    </row>
    <row r="2905" spans="1:18" ht="15.75" customHeight="true">
      <c r="A2905" s="107" t="s"/>
      <c r="B2905" s="62" t="s"/>
      <c r="C2905" s="62" t="s"/>
      <c r="D2905" s="62" t="s"/>
      <c r="E2905" s="62" t="s"/>
      <c r="F2905" s="66" t="s"/>
      <c r="G2905" s="66" t="s"/>
      <c r="H2905" s="66" t="s"/>
      <c r="I2905" s="62" t="s"/>
      <c r="J2905" s="62" t="s"/>
      <c r="K2905" s="99" t="s"/>
      <c r="L2905" s="66" t="s"/>
      <c r="M2905" s="66" t="s"/>
      <c r="N2905" s="572" t="s"/>
      <c r="O2905" s="62" t="s"/>
      <c r="P2905" s="62" t="s"/>
      <c r="Q2905" s="62" t="s"/>
      <c r="R2905" s="62" t="s"/>
    </row>
    <row r="2906" spans="1:18" ht="15.75" customHeight="true">
      <c r="A2906" s="107" t="s"/>
      <c r="B2906" s="62" t="s"/>
      <c r="C2906" s="62" t="s"/>
      <c r="D2906" s="62" t="s"/>
      <c r="E2906" s="62" t="s"/>
      <c r="F2906" s="66" t="s"/>
      <c r="G2906" s="66" t="s"/>
      <c r="H2906" s="66" t="s"/>
      <c r="I2906" s="62" t="s"/>
      <c r="J2906" s="62" t="s"/>
      <c r="K2906" s="99" t="s"/>
      <c r="L2906" s="66" t="s"/>
      <c r="M2906" s="66" t="s"/>
      <c r="N2906" s="572" t="s"/>
      <c r="O2906" s="62" t="s"/>
      <c r="P2906" s="62" t="s"/>
      <c r="Q2906" s="62" t="s"/>
      <c r="R2906" s="62" t="s"/>
    </row>
    <row r="2907" spans="1:18" ht="15.75" customHeight="true">
      <c r="A2907" s="107" t="s"/>
      <c r="B2907" s="62" t="s"/>
      <c r="C2907" s="62" t="s"/>
      <c r="D2907" s="62" t="s"/>
      <c r="E2907" s="62" t="s"/>
      <c r="F2907" s="66" t="s"/>
      <c r="G2907" s="66" t="s"/>
      <c r="H2907" s="66" t="s"/>
      <c r="I2907" s="62" t="s"/>
      <c r="J2907" s="62" t="s"/>
      <c r="K2907" s="99" t="s"/>
      <c r="L2907" s="66" t="s"/>
      <c r="M2907" s="66" t="s"/>
      <c r="N2907" s="572" t="s"/>
      <c r="O2907" s="62" t="s"/>
      <c r="P2907" s="62" t="s"/>
      <c r="Q2907" s="62" t="s"/>
      <c r="R2907" s="62" t="s"/>
    </row>
    <row r="2908" spans="1:18" ht="15.75" customHeight="true">
      <c r="A2908" s="107" t="s"/>
      <c r="B2908" s="62" t="s"/>
      <c r="C2908" s="62" t="s"/>
      <c r="D2908" s="62" t="s"/>
      <c r="E2908" s="62" t="s"/>
      <c r="F2908" s="66" t="s"/>
      <c r="G2908" s="66" t="s"/>
      <c r="H2908" s="66" t="s"/>
      <c r="I2908" s="62" t="s"/>
      <c r="J2908" s="62" t="s"/>
      <c r="K2908" s="99" t="s"/>
      <c r="L2908" s="66" t="s"/>
      <c r="M2908" s="66" t="s"/>
      <c r="N2908" s="572" t="s"/>
      <c r="O2908" s="62" t="s"/>
      <c r="P2908" s="62" t="s"/>
      <c r="Q2908" s="62" t="s"/>
      <c r="R2908" s="62" t="s"/>
    </row>
    <row r="2909" spans="1:18" ht="15.75" customHeight="true">
      <c r="A2909" s="107" t="s"/>
      <c r="B2909" s="62" t="s"/>
      <c r="C2909" s="62" t="s"/>
      <c r="D2909" s="62" t="s"/>
      <c r="E2909" s="62" t="s"/>
      <c r="F2909" s="66" t="s"/>
      <c r="G2909" s="66" t="s"/>
      <c r="H2909" s="66" t="s"/>
      <c r="I2909" s="62" t="s"/>
      <c r="J2909" s="62" t="s"/>
      <c r="K2909" s="99" t="s"/>
      <c r="L2909" s="66" t="s"/>
      <c r="M2909" s="66" t="s"/>
      <c r="N2909" s="572" t="s"/>
      <c r="O2909" s="62" t="s"/>
      <c r="P2909" s="62" t="s"/>
      <c r="Q2909" s="62" t="s"/>
      <c r="R2909" s="62" t="s"/>
    </row>
    <row r="2910" spans="1:18" ht="15.75" customHeight="true">
      <c r="A2910" s="107" t="s"/>
      <c r="B2910" s="62" t="s"/>
      <c r="C2910" s="62" t="s"/>
      <c r="D2910" s="62" t="s"/>
      <c r="E2910" s="62" t="s"/>
      <c r="F2910" s="66" t="s"/>
      <c r="G2910" s="66" t="s"/>
      <c r="H2910" s="66" t="s"/>
      <c r="I2910" s="62" t="s"/>
      <c r="J2910" s="62" t="s"/>
      <c r="K2910" s="99" t="s"/>
      <c r="L2910" s="66" t="s"/>
      <c r="M2910" s="66" t="s"/>
      <c r="N2910" s="572" t="s"/>
      <c r="O2910" s="62" t="s"/>
      <c r="P2910" s="62" t="s"/>
      <c r="Q2910" s="62" t="s"/>
      <c r="R2910" s="62" t="s"/>
    </row>
    <row r="2911" spans="1:18" ht="15.75" customHeight="true">
      <c r="A2911" s="107" t="s"/>
      <c r="B2911" s="62" t="s"/>
      <c r="C2911" s="62" t="s"/>
      <c r="D2911" s="62" t="s"/>
      <c r="E2911" s="62" t="s"/>
      <c r="F2911" s="66" t="s"/>
      <c r="G2911" s="66" t="s"/>
      <c r="H2911" s="66" t="s"/>
      <c r="I2911" s="62" t="s"/>
      <c r="J2911" s="62" t="s"/>
      <c r="K2911" s="99" t="s"/>
      <c r="L2911" s="66" t="s"/>
      <c r="M2911" s="66" t="s"/>
      <c r="N2911" s="572" t="s"/>
      <c r="O2911" s="62" t="s"/>
      <c r="P2911" s="62" t="s"/>
      <c r="Q2911" s="62" t="s"/>
      <c r="R2911" s="62" t="s"/>
    </row>
    <row r="2912" spans="1:18" ht="15.75" customHeight="true">
      <c r="A2912" s="107" t="s"/>
      <c r="B2912" s="62" t="s"/>
      <c r="C2912" s="62" t="s"/>
      <c r="D2912" s="62" t="s"/>
      <c r="E2912" s="62" t="s"/>
      <c r="F2912" s="66" t="s"/>
      <c r="G2912" s="66" t="s"/>
      <c r="H2912" s="66" t="s"/>
      <c r="I2912" s="62" t="s"/>
      <c r="J2912" s="62" t="s"/>
      <c r="K2912" s="99" t="s"/>
      <c r="L2912" s="66" t="s"/>
      <c r="M2912" s="66" t="s"/>
      <c r="N2912" s="572" t="s"/>
      <c r="O2912" s="62" t="s"/>
      <c r="P2912" s="62" t="s"/>
      <c r="Q2912" s="62" t="s"/>
      <c r="R2912" s="62" t="s"/>
    </row>
    <row r="2913" spans="1:18" ht="15.75" customHeight="true">
      <c r="A2913" s="107" t="s"/>
      <c r="B2913" s="62" t="s"/>
      <c r="C2913" s="62" t="s"/>
      <c r="D2913" s="62" t="s"/>
      <c r="E2913" s="62" t="s"/>
      <c r="F2913" s="66" t="s"/>
      <c r="G2913" s="66" t="s"/>
      <c r="H2913" s="66" t="s"/>
      <c r="I2913" s="62" t="s"/>
      <c r="J2913" s="62" t="s"/>
      <c r="K2913" s="99" t="s"/>
      <c r="L2913" s="66" t="s"/>
      <c r="M2913" s="66" t="s"/>
      <c r="N2913" s="572" t="s"/>
      <c r="O2913" s="62" t="s"/>
      <c r="P2913" s="62" t="s"/>
      <c r="Q2913" s="62" t="s"/>
      <c r="R2913" s="62" t="s"/>
    </row>
    <row r="2914" spans="1:18" ht="15.75" customHeight="true">
      <c r="A2914" s="107" t="s"/>
      <c r="B2914" s="62" t="s"/>
      <c r="C2914" s="62" t="s"/>
      <c r="D2914" s="62" t="s"/>
      <c r="E2914" s="62" t="s"/>
      <c r="F2914" s="66" t="s"/>
      <c r="G2914" s="66" t="s"/>
      <c r="H2914" s="66" t="s"/>
      <c r="I2914" s="62" t="s"/>
      <c r="J2914" s="62" t="s"/>
      <c r="K2914" s="99" t="s"/>
      <c r="L2914" s="66" t="s"/>
      <c r="M2914" s="66" t="s"/>
      <c r="N2914" s="572" t="s"/>
      <c r="O2914" s="62" t="s"/>
      <c r="P2914" s="62" t="s"/>
      <c r="Q2914" s="62" t="s"/>
      <c r="R2914" s="62" t="s"/>
    </row>
    <row r="2915" spans="1:18" ht="15.75" customHeight="true">
      <c r="A2915" s="107" t="s"/>
      <c r="B2915" s="62" t="s"/>
      <c r="C2915" s="62" t="s"/>
      <c r="D2915" s="62" t="s"/>
      <c r="E2915" s="62" t="s"/>
      <c r="F2915" s="66" t="s"/>
      <c r="G2915" s="66" t="s"/>
      <c r="H2915" s="66" t="s"/>
      <c r="I2915" s="62" t="s"/>
      <c r="J2915" s="62" t="s"/>
      <c r="K2915" s="99" t="s"/>
      <c r="L2915" s="66" t="s"/>
      <c r="M2915" s="66" t="s"/>
      <c r="N2915" s="572" t="s"/>
      <c r="O2915" s="62" t="s"/>
      <c r="P2915" s="62" t="s"/>
      <c r="Q2915" s="62" t="s"/>
      <c r="R2915" s="62" t="s"/>
    </row>
    <row r="2916" spans="1:18" ht="15.75" customHeight="true">
      <c r="A2916" s="107" t="s"/>
      <c r="B2916" s="62" t="s"/>
      <c r="C2916" s="62" t="s"/>
      <c r="D2916" s="62" t="s"/>
      <c r="E2916" s="62" t="s"/>
      <c r="F2916" s="66" t="s"/>
      <c r="G2916" s="66" t="s"/>
      <c r="H2916" s="66" t="s"/>
      <c r="I2916" s="62" t="s"/>
      <c r="J2916" s="62" t="s"/>
      <c r="K2916" s="99" t="s"/>
      <c r="L2916" s="66" t="s"/>
      <c r="M2916" s="66" t="s"/>
      <c r="N2916" s="572" t="s"/>
      <c r="O2916" s="62" t="s"/>
      <c r="P2916" s="62" t="s"/>
      <c r="Q2916" s="62" t="s"/>
      <c r="R2916" s="62" t="s"/>
    </row>
    <row r="2917" spans="1:18" ht="15.75" customHeight="true">
      <c r="A2917" s="107" t="s"/>
      <c r="B2917" s="62" t="s"/>
      <c r="C2917" s="62" t="s"/>
      <c r="D2917" s="62" t="s"/>
      <c r="E2917" s="62" t="s"/>
      <c r="F2917" s="66" t="s"/>
      <c r="G2917" s="66" t="s"/>
      <c r="H2917" s="66" t="s"/>
      <c r="I2917" s="62" t="s"/>
      <c r="J2917" s="62" t="s"/>
      <c r="K2917" s="99" t="s"/>
      <c r="L2917" s="66" t="s"/>
      <c r="M2917" s="66" t="s"/>
      <c r="N2917" s="572" t="s"/>
      <c r="O2917" s="62" t="s"/>
      <c r="P2917" s="62" t="s"/>
      <c r="Q2917" s="62" t="s"/>
      <c r="R2917" s="62" t="s"/>
    </row>
    <row r="2918" spans="1:18" ht="15.75" customHeight="true">
      <c r="A2918" s="107" t="s"/>
      <c r="B2918" s="62" t="s"/>
      <c r="C2918" s="62" t="s"/>
      <c r="D2918" s="62" t="s"/>
      <c r="E2918" s="62" t="s"/>
      <c r="F2918" s="66" t="s"/>
      <c r="G2918" s="66" t="s"/>
      <c r="H2918" s="66" t="s"/>
      <c r="I2918" s="62" t="s"/>
      <c r="J2918" s="62" t="s"/>
      <c r="K2918" s="99" t="s"/>
      <c r="L2918" s="66" t="s"/>
      <c r="M2918" s="66" t="s"/>
      <c r="N2918" s="572" t="s"/>
      <c r="O2918" s="62" t="s"/>
      <c r="P2918" s="62" t="s"/>
      <c r="Q2918" s="62" t="s"/>
      <c r="R2918" s="62" t="s"/>
    </row>
    <row r="2919" spans="1:18" ht="15.75" customHeight="true">
      <c r="A2919" s="107" t="s"/>
      <c r="B2919" s="62" t="s"/>
      <c r="C2919" s="62" t="s"/>
      <c r="D2919" s="62" t="s"/>
      <c r="E2919" s="62" t="s"/>
      <c r="F2919" s="66" t="s"/>
      <c r="G2919" s="66" t="s"/>
      <c r="H2919" s="66" t="s"/>
      <c r="I2919" s="62" t="s"/>
      <c r="J2919" s="62" t="s"/>
      <c r="K2919" s="99" t="s"/>
      <c r="L2919" s="66" t="s"/>
      <c r="M2919" s="66" t="s"/>
      <c r="N2919" s="572" t="s"/>
      <c r="O2919" s="62" t="s"/>
      <c r="P2919" s="62" t="s"/>
      <c r="Q2919" s="62" t="s"/>
      <c r="R2919" s="62" t="s"/>
    </row>
    <row r="2920" spans="1:18" ht="15.75" customHeight="true">
      <c r="A2920" s="107" t="s"/>
      <c r="B2920" s="62" t="s"/>
      <c r="C2920" s="62" t="s"/>
      <c r="D2920" s="62" t="s"/>
      <c r="E2920" s="62" t="s"/>
      <c r="F2920" s="66" t="s"/>
      <c r="G2920" s="66" t="s"/>
      <c r="H2920" s="66" t="s"/>
      <c r="I2920" s="62" t="s"/>
      <c r="J2920" s="62" t="s"/>
      <c r="K2920" s="99" t="s"/>
      <c r="L2920" s="66" t="s"/>
      <c r="M2920" s="66" t="s"/>
      <c r="N2920" s="572" t="s"/>
      <c r="O2920" s="62" t="s"/>
      <c r="P2920" s="62" t="s"/>
      <c r="Q2920" s="62" t="s"/>
      <c r="R2920" s="62" t="s"/>
    </row>
    <row r="2921" spans="1:18" ht="15.75" customHeight="true">
      <c r="A2921" s="107" t="s"/>
      <c r="B2921" s="62" t="s"/>
      <c r="C2921" s="62" t="s"/>
      <c r="D2921" s="62" t="s"/>
      <c r="E2921" s="62" t="s"/>
      <c r="F2921" s="66" t="s"/>
      <c r="G2921" s="66" t="s"/>
      <c r="H2921" s="66" t="s"/>
      <c r="I2921" s="62" t="s"/>
      <c r="J2921" s="62" t="s"/>
      <c r="K2921" s="99" t="s"/>
      <c r="L2921" s="66" t="s"/>
      <c r="M2921" s="66" t="s"/>
      <c r="N2921" s="572" t="s"/>
      <c r="O2921" s="62" t="s"/>
      <c r="P2921" s="62" t="s"/>
      <c r="Q2921" s="62" t="s"/>
      <c r="R2921" s="62" t="s"/>
    </row>
    <row r="2922" spans="1:18" ht="15.75" customHeight="true">
      <c r="A2922" s="107" t="s"/>
      <c r="B2922" s="62" t="s"/>
      <c r="C2922" s="62" t="s"/>
      <c r="D2922" s="62" t="s"/>
      <c r="E2922" s="62" t="s"/>
      <c r="F2922" s="66" t="s"/>
      <c r="G2922" s="66" t="s"/>
      <c r="H2922" s="66" t="s"/>
      <c r="I2922" s="62" t="s"/>
      <c r="J2922" s="62" t="s"/>
      <c r="K2922" s="99" t="s"/>
      <c r="L2922" s="66" t="s"/>
      <c r="M2922" s="66" t="s"/>
      <c r="N2922" s="572" t="s"/>
      <c r="O2922" s="62" t="s"/>
      <c r="P2922" s="62" t="s"/>
      <c r="Q2922" s="62" t="s"/>
      <c r="R2922" s="62" t="s"/>
    </row>
    <row r="2923" spans="1:18" ht="15.75" customHeight="true">
      <c r="A2923" s="107" t="s"/>
      <c r="B2923" s="62" t="s"/>
      <c r="C2923" s="62" t="s"/>
      <c r="D2923" s="62" t="s"/>
      <c r="E2923" s="62" t="s"/>
      <c r="F2923" s="66" t="s"/>
      <c r="G2923" s="66" t="s"/>
      <c r="H2923" s="66" t="s"/>
      <c r="I2923" s="62" t="s"/>
      <c r="J2923" s="62" t="s"/>
      <c r="K2923" s="99" t="s"/>
      <c r="L2923" s="66" t="s"/>
      <c r="M2923" s="66" t="s"/>
      <c r="N2923" s="572" t="s"/>
      <c r="O2923" s="62" t="s"/>
      <c r="P2923" s="62" t="s"/>
      <c r="Q2923" s="62" t="s"/>
      <c r="R2923" s="62" t="s"/>
    </row>
    <row r="2924" spans="1:18" ht="15.75" customHeight="true">
      <c r="A2924" s="107" t="s"/>
      <c r="B2924" s="62" t="s"/>
      <c r="C2924" s="62" t="s"/>
      <c r="D2924" s="62" t="s"/>
      <c r="E2924" s="62" t="s"/>
      <c r="F2924" s="66" t="s"/>
      <c r="G2924" s="66" t="s"/>
      <c r="H2924" s="66" t="s"/>
      <c r="I2924" s="62" t="s"/>
      <c r="J2924" s="62" t="s"/>
      <c r="K2924" s="99" t="s"/>
      <c r="L2924" s="66" t="s"/>
      <c r="M2924" s="66" t="s"/>
      <c r="N2924" s="572" t="s"/>
      <c r="O2924" s="62" t="s"/>
      <c r="P2924" s="62" t="s"/>
      <c r="Q2924" s="62" t="s"/>
      <c r="R2924" s="62" t="s"/>
    </row>
    <row r="2925" spans="1:18" ht="15.75" customHeight="true">
      <c r="A2925" s="107" t="s"/>
      <c r="B2925" s="62" t="s"/>
      <c r="C2925" s="62" t="s"/>
      <c r="D2925" s="62" t="s"/>
      <c r="E2925" s="62" t="s"/>
      <c r="F2925" s="66" t="s"/>
      <c r="G2925" s="66" t="s"/>
      <c r="H2925" s="66" t="s"/>
      <c r="I2925" s="62" t="s"/>
      <c r="J2925" s="62" t="s"/>
      <c r="K2925" s="99" t="s"/>
      <c r="L2925" s="66" t="s"/>
      <c r="M2925" s="66" t="s"/>
      <c r="N2925" s="572" t="s"/>
      <c r="O2925" s="62" t="s"/>
      <c r="P2925" s="62" t="s"/>
      <c r="Q2925" s="62" t="s"/>
      <c r="R2925" s="62" t="s"/>
    </row>
    <row r="2926" spans="1:18" ht="15.75" customHeight="true">
      <c r="A2926" s="107" t="s"/>
      <c r="B2926" s="62" t="s"/>
      <c r="C2926" s="62" t="s"/>
      <c r="D2926" s="62" t="s"/>
      <c r="E2926" s="62" t="s"/>
      <c r="F2926" s="66" t="s"/>
      <c r="G2926" s="66" t="s"/>
      <c r="H2926" s="66" t="s"/>
      <c r="I2926" s="62" t="s"/>
      <c r="J2926" s="62" t="s"/>
      <c r="K2926" s="99" t="s"/>
      <c r="L2926" s="66" t="s"/>
      <c r="M2926" s="66" t="s"/>
      <c r="N2926" s="572" t="s"/>
      <c r="O2926" s="62" t="s"/>
      <c r="P2926" s="62" t="s"/>
      <c r="Q2926" s="62" t="s"/>
      <c r="R2926" s="62" t="s"/>
    </row>
    <row r="2927" spans="1:18" ht="15.75" customHeight="true">
      <c r="A2927" s="107" t="s"/>
      <c r="B2927" s="62" t="s"/>
      <c r="C2927" s="62" t="s"/>
      <c r="D2927" s="62" t="s"/>
      <c r="E2927" s="62" t="s"/>
      <c r="F2927" s="66" t="s"/>
      <c r="G2927" s="66" t="s"/>
      <c r="H2927" s="66" t="s"/>
      <c r="I2927" s="62" t="s"/>
      <c r="J2927" s="62" t="s"/>
      <c r="K2927" s="99" t="s"/>
      <c r="L2927" s="66" t="s"/>
      <c r="M2927" s="66" t="s"/>
      <c r="N2927" s="572" t="s"/>
      <c r="O2927" s="62" t="s"/>
      <c r="P2927" s="62" t="s"/>
      <c r="Q2927" s="62" t="s"/>
      <c r="R2927" s="62" t="s"/>
    </row>
    <row r="2928" spans="1:18" ht="15.75" customHeight="true">
      <c r="A2928" s="107" t="s"/>
      <c r="B2928" s="62" t="s"/>
      <c r="C2928" s="62" t="s"/>
      <c r="D2928" s="62" t="s"/>
      <c r="E2928" s="62" t="s"/>
      <c r="F2928" s="66" t="s"/>
      <c r="G2928" s="66" t="s"/>
      <c r="H2928" s="66" t="s"/>
      <c r="I2928" s="62" t="s"/>
      <c r="J2928" s="62" t="s"/>
      <c r="K2928" s="99" t="s"/>
      <c r="L2928" s="66" t="s"/>
      <c r="M2928" s="66" t="s"/>
      <c r="N2928" s="572" t="s"/>
      <c r="O2928" s="62" t="s"/>
      <c r="P2928" s="62" t="s"/>
      <c r="Q2928" s="62" t="s"/>
      <c r="R2928" s="62" t="s"/>
    </row>
    <row r="2929" spans="1:18" ht="15.75" customHeight="true">
      <c r="A2929" s="107" t="s"/>
      <c r="B2929" s="62" t="s"/>
      <c r="C2929" s="62" t="s"/>
      <c r="D2929" s="62" t="s"/>
      <c r="E2929" s="62" t="s"/>
      <c r="F2929" s="66" t="s"/>
      <c r="G2929" s="66" t="s"/>
      <c r="H2929" s="66" t="s"/>
      <c r="I2929" s="62" t="s"/>
      <c r="J2929" s="62" t="s"/>
      <c r="K2929" s="99" t="s"/>
      <c r="L2929" s="66" t="s"/>
      <c r="M2929" s="66" t="s"/>
      <c r="N2929" s="572" t="s"/>
      <c r="O2929" s="62" t="s"/>
      <c r="P2929" s="62" t="s"/>
      <c r="Q2929" s="62" t="s"/>
      <c r="R2929" s="62" t="s"/>
    </row>
    <row r="2930" spans="1:18" ht="15.75" customHeight="true">
      <c r="A2930" s="107" t="s"/>
      <c r="B2930" s="62" t="s"/>
      <c r="C2930" s="62" t="s"/>
      <c r="D2930" s="62" t="s"/>
      <c r="E2930" s="62" t="s"/>
      <c r="F2930" s="66" t="s"/>
      <c r="G2930" s="66" t="s"/>
      <c r="H2930" s="66" t="s"/>
      <c r="I2930" s="62" t="s"/>
      <c r="J2930" s="62" t="s"/>
      <c r="K2930" s="99" t="s"/>
      <c r="L2930" s="66" t="s"/>
      <c r="M2930" s="66" t="s"/>
      <c r="N2930" s="572" t="s"/>
      <c r="O2930" s="62" t="s"/>
      <c r="P2930" s="62" t="s"/>
      <c r="Q2930" s="62" t="s"/>
      <c r="R2930" s="62" t="s"/>
    </row>
    <row r="2931" spans="1:18" ht="15.75" customHeight="true">
      <c r="A2931" s="107" t="s"/>
      <c r="B2931" s="62" t="s"/>
      <c r="C2931" s="62" t="s"/>
      <c r="D2931" s="62" t="s"/>
      <c r="E2931" s="62" t="s"/>
      <c r="F2931" s="66" t="s"/>
      <c r="G2931" s="66" t="s"/>
      <c r="H2931" s="66" t="s"/>
      <c r="I2931" s="62" t="s"/>
      <c r="J2931" s="62" t="s"/>
      <c r="K2931" s="99" t="s"/>
      <c r="L2931" s="66" t="s"/>
      <c r="M2931" s="66" t="s"/>
      <c r="N2931" s="572" t="s"/>
      <c r="O2931" s="62" t="s"/>
      <c r="P2931" s="62" t="s"/>
      <c r="Q2931" s="62" t="s"/>
      <c r="R2931" s="62" t="s"/>
    </row>
    <row r="2932" spans="1:18" ht="15.75" customHeight="true">
      <c r="A2932" s="107" t="s"/>
      <c r="B2932" s="62" t="s"/>
      <c r="C2932" s="62" t="s"/>
      <c r="D2932" s="62" t="s"/>
      <c r="E2932" s="62" t="s"/>
      <c r="F2932" s="66" t="s"/>
      <c r="G2932" s="66" t="s"/>
      <c r="H2932" s="66" t="s"/>
      <c r="I2932" s="62" t="s"/>
      <c r="J2932" s="62" t="s"/>
      <c r="K2932" s="99" t="s"/>
      <c r="L2932" s="66" t="s"/>
      <c r="M2932" s="66" t="s"/>
      <c r="N2932" s="572" t="s"/>
      <c r="O2932" s="62" t="s"/>
      <c r="P2932" s="62" t="s"/>
      <c r="Q2932" s="62" t="s"/>
      <c r="R2932" s="62" t="s"/>
    </row>
    <row r="2933" spans="1:18" ht="15.75" customHeight="true">
      <c r="A2933" s="107" t="s"/>
      <c r="B2933" s="62" t="s"/>
      <c r="C2933" s="62" t="s"/>
      <c r="D2933" s="62" t="s"/>
      <c r="E2933" s="62" t="s"/>
      <c r="F2933" s="66" t="s"/>
      <c r="G2933" s="66" t="s"/>
      <c r="H2933" s="66" t="s"/>
      <c r="I2933" s="62" t="s"/>
      <c r="J2933" s="62" t="s"/>
      <c r="K2933" s="99" t="s"/>
      <c r="L2933" s="66" t="s"/>
      <c r="M2933" s="66" t="s"/>
      <c r="N2933" s="572" t="s"/>
      <c r="O2933" s="62" t="s"/>
      <c r="P2933" s="62" t="s"/>
      <c r="Q2933" s="62" t="s"/>
      <c r="R2933" s="62" t="s"/>
    </row>
    <row r="2934" spans="1:18" ht="15.75" customHeight="true">
      <c r="A2934" s="107" t="s"/>
      <c r="B2934" s="62" t="s"/>
      <c r="C2934" s="62" t="s"/>
      <c r="D2934" s="62" t="s"/>
      <c r="E2934" s="62" t="s"/>
      <c r="F2934" s="66" t="s"/>
      <c r="G2934" s="66" t="s"/>
      <c r="H2934" s="66" t="s"/>
      <c r="I2934" s="62" t="s"/>
      <c r="J2934" s="62" t="s"/>
      <c r="K2934" s="99" t="s"/>
      <c r="L2934" s="66" t="s"/>
      <c r="M2934" s="66" t="s"/>
      <c r="N2934" s="572" t="s"/>
      <c r="O2934" s="62" t="s"/>
      <c r="P2934" s="62" t="s"/>
      <c r="Q2934" s="62" t="s"/>
      <c r="R2934" s="62" t="s"/>
    </row>
    <row r="2935" spans="1:18" ht="15.75" customHeight="true">
      <c r="A2935" s="107" t="s"/>
      <c r="B2935" s="62" t="s"/>
      <c r="C2935" s="62" t="s"/>
      <c r="D2935" s="62" t="s"/>
      <c r="E2935" s="62" t="s"/>
      <c r="F2935" s="66" t="s"/>
      <c r="G2935" s="66" t="s"/>
      <c r="H2935" s="66" t="s"/>
      <c r="I2935" s="62" t="s"/>
      <c r="J2935" s="62" t="s"/>
      <c r="K2935" s="99" t="s"/>
      <c r="L2935" s="66" t="s"/>
      <c r="M2935" s="66" t="s"/>
      <c r="N2935" s="572" t="s"/>
      <c r="O2935" s="62" t="s"/>
      <c r="P2935" s="62" t="s"/>
      <c r="Q2935" s="62" t="s"/>
      <c r="R2935" s="62" t="s"/>
    </row>
    <row r="2936" spans="1:18" ht="15.75" customHeight="true">
      <c r="A2936" s="107" t="s"/>
      <c r="B2936" s="62" t="s"/>
      <c r="C2936" s="62" t="s"/>
      <c r="D2936" s="62" t="s"/>
      <c r="E2936" s="62" t="s"/>
      <c r="F2936" s="66" t="s"/>
      <c r="G2936" s="66" t="s"/>
      <c r="H2936" s="66" t="s"/>
      <c r="I2936" s="62" t="s"/>
      <c r="J2936" s="62" t="s"/>
      <c r="K2936" s="99" t="s"/>
      <c r="L2936" s="66" t="s"/>
      <c r="M2936" s="66" t="s"/>
      <c r="N2936" s="572" t="s"/>
      <c r="O2936" s="62" t="s"/>
      <c r="P2936" s="62" t="s"/>
      <c r="Q2936" s="62" t="s"/>
      <c r="R2936" s="62" t="s"/>
    </row>
    <row r="2937" spans="1:18" ht="15.75" customHeight="true">
      <c r="A2937" s="107" t="s"/>
      <c r="B2937" s="62" t="s"/>
      <c r="C2937" s="62" t="s"/>
      <c r="D2937" s="62" t="s"/>
      <c r="E2937" s="62" t="s"/>
      <c r="F2937" s="66" t="s"/>
      <c r="G2937" s="66" t="s"/>
      <c r="H2937" s="66" t="s"/>
      <c r="I2937" s="62" t="s"/>
      <c r="J2937" s="62" t="s"/>
      <c r="K2937" s="99" t="s"/>
      <c r="L2937" s="66" t="s"/>
      <c r="M2937" s="66" t="s"/>
      <c r="N2937" s="572" t="s"/>
      <c r="O2937" s="62" t="s"/>
      <c r="P2937" s="62" t="s"/>
      <c r="Q2937" s="62" t="s"/>
      <c r="R2937" s="62" t="s"/>
    </row>
    <row r="2938" spans="1:18" ht="15.75" customHeight="true">
      <c r="A2938" s="107" t="s"/>
      <c r="B2938" s="62" t="s"/>
      <c r="C2938" s="62" t="s"/>
      <c r="D2938" s="62" t="s"/>
      <c r="E2938" s="62" t="s"/>
      <c r="F2938" s="66" t="s"/>
      <c r="G2938" s="66" t="s"/>
      <c r="H2938" s="66" t="s"/>
      <c r="I2938" s="62" t="s"/>
      <c r="J2938" s="62" t="s"/>
      <c r="K2938" s="99" t="s"/>
      <c r="L2938" s="66" t="s"/>
      <c r="M2938" s="66" t="s"/>
      <c r="N2938" s="572" t="s"/>
      <c r="O2938" s="62" t="s"/>
      <c r="P2938" s="62" t="s"/>
      <c r="Q2938" s="62" t="s"/>
      <c r="R2938" s="62" t="s"/>
    </row>
    <row r="2939" spans="1:18" ht="15.75" customHeight="true">
      <c r="A2939" s="107" t="s"/>
      <c r="B2939" s="62" t="s"/>
      <c r="C2939" s="62" t="s"/>
      <c r="D2939" s="62" t="s"/>
      <c r="E2939" s="62" t="s"/>
      <c r="F2939" s="66" t="s"/>
      <c r="G2939" s="66" t="s"/>
      <c r="H2939" s="66" t="s"/>
      <c r="I2939" s="62" t="s"/>
      <c r="J2939" s="62" t="s"/>
      <c r="K2939" s="99" t="s"/>
      <c r="L2939" s="66" t="s"/>
      <c r="M2939" s="66" t="s"/>
      <c r="N2939" s="572" t="s"/>
      <c r="O2939" s="62" t="s"/>
      <c r="P2939" s="62" t="s"/>
      <c r="Q2939" s="62" t="s"/>
      <c r="R2939" s="62" t="s"/>
    </row>
    <row r="2940" spans="1:18" ht="15.75" customHeight="true">
      <c r="A2940" s="107" t="s"/>
      <c r="B2940" s="62" t="s"/>
      <c r="C2940" s="62" t="s"/>
      <c r="D2940" s="62" t="s"/>
      <c r="E2940" s="62" t="s"/>
      <c r="F2940" s="66" t="s"/>
      <c r="G2940" s="66" t="s"/>
      <c r="H2940" s="66" t="s"/>
      <c r="I2940" s="62" t="s"/>
      <c r="J2940" s="62" t="s"/>
      <c r="K2940" s="99" t="s"/>
      <c r="L2940" s="66" t="s"/>
      <c r="M2940" s="66" t="s"/>
      <c r="N2940" s="572" t="s"/>
      <c r="O2940" s="62" t="s"/>
      <c r="P2940" s="62" t="s"/>
      <c r="Q2940" s="62" t="s"/>
      <c r="R2940" s="62" t="s"/>
    </row>
    <row r="2941" spans="1:18" ht="15.75" customHeight="true">
      <c r="A2941" s="107" t="s"/>
      <c r="B2941" s="62" t="s"/>
      <c r="C2941" s="62" t="s"/>
      <c r="D2941" s="62" t="s"/>
      <c r="E2941" s="62" t="s"/>
      <c r="F2941" s="66" t="s"/>
      <c r="G2941" s="66" t="s"/>
      <c r="H2941" s="66" t="s"/>
      <c r="I2941" s="62" t="s"/>
      <c r="J2941" s="62" t="s"/>
      <c r="K2941" s="99" t="s"/>
      <c r="L2941" s="66" t="s"/>
      <c r="M2941" s="66" t="s"/>
      <c r="N2941" s="572" t="s"/>
      <c r="O2941" s="62" t="s"/>
      <c r="P2941" s="62" t="s"/>
      <c r="Q2941" s="62" t="s"/>
      <c r="R2941" s="62" t="s"/>
    </row>
    <row r="2942" spans="1:18" ht="15.75" customHeight="true">
      <c r="A2942" s="107" t="s"/>
      <c r="B2942" s="62" t="s"/>
      <c r="C2942" s="62" t="s"/>
      <c r="D2942" s="62" t="s"/>
      <c r="E2942" s="62" t="s"/>
      <c r="F2942" s="66" t="s"/>
      <c r="G2942" s="66" t="s"/>
      <c r="H2942" s="66" t="s"/>
      <c r="I2942" s="62" t="s"/>
      <c r="J2942" s="62" t="s"/>
      <c r="K2942" s="99" t="s"/>
      <c r="L2942" s="66" t="s"/>
      <c r="M2942" s="66" t="s"/>
      <c r="N2942" s="572" t="s"/>
      <c r="O2942" s="62" t="s"/>
      <c r="P2942" s="62" t="s"/>
      <c r="Q2942" s="62" t="s"/>
      <c r="R2942" s="62" t="s"/>
    </row>
    <row r="2943" spans="1:18" ht="15.75" customHeight="true">
      <c r="A2943" s="107" t="s"/>
      <c r="B2943" s="62" t="s"/>
      <c r="C2943" s="62" t="s"/>
      <c r="D2943" s="62" t="s"/>
      <c r="E2943" s="62" t="s"/>
      <c r="F2943" s="66" t="s"/>
      <c r="G2943" s="66" t="s"/>
      <c r="H2943" s="66" t="s"/>
      <c r="I2943" s="62" t="s"/>
      <c r="J2943" s="62" t="s"/>
      <c r="K2943" s="99" t="s"/>
      <c r="L2943" s="66" t="s"/>
      <c r="M2943" s="66" t="s"/>
      <c r="N2943" s="572" t="s"/>
      <c r="O2943" s="62" t="s"/>
      <c r="P2943" s="62" t="s"/>
      <c r="Q2943" s="62" t="s"/>
      <c r="R2943" s="62" t="s"/>
    </row>
    <row r="2944" spans="1:18" ht="15.75" customHeight="true">
      <c r="A2944" s="107" t="s"/>
      <c r="B2944" s="62" t="s"/>
      <c r="C2944" s="62" t="s"/>
      <c r="D2944" s="62" t="s"/>
      <c r="E2944" s="62" t="s"/>
      <c r="F2944" s="66" t="s"/>
      <c r="G2944" s="66" t="s"/>
      <c r="H2944" s="66" t="s"/>
      <c r="I2944" s="62" t="s"/>
      <c r="J2944" s="62" t="s"/>
      <c r="K2944" s="99" t="s"/>
      <c r="L2944" s="66" t="s"/>
      <c r="M2944" s="66" t="s"/>
      <c r="N2944" s="572" t="s"/>
      <c r="O2944" s="62" t="s"/>
      <c r="P2944" s="62" t="s"/>
      <c r="Q2944" s="62" t="s"/>
      <c r="R2944" s="62" t="s"/>
    </row>
    <row r="2945" spans="1:18" ht="15.75" customHeight="true">
      <c r="A2945" s="107" t="s"/>
      <c r="B2945" s="62" t="s"/>
      <c r="C2945" s="62" t="s"/>
      <c r="D2945" s="62" t="s"/>
      <c r="E2945" s="62" t="s"/>
      <c r="F2945" s="66" t="s"/>
      <c r="G2945" s="66" t="s"/>
      <c r="H2945" s="66" t="s"/>
      <c r="I2945" s="62" t="s"/>
      <c r="J2945" s="62" t="s"/>
      <c r="K2945" s="99" t="s"/>
      <c r="L2945" s="66" t="s"/>
      <c r="M2945" s="66" t="s"/>
      <c r="N2945" s="572" t="s"/>
      <c r="O2945" s="62" t="s"/>
      <c r="P2945" s="62" t="s"/>
      <c r="Q2945" s="62" t="s"/>
      <c r="R2945" s="62" t="s"/>
    </row>
    <row r="2946" spans="1:18" ht="15.75" customHeight="true">
      <c r="A2946" s="107" t="s"/>
      <c r="B2946" s="62" t="s"/>
      <c r="C2946" s="62" t="s"/>
      <c r="D2946" s="62" t="s"/>
      <c r="E2946" s="62" t="s"/>
      <c r="F2946" s="66" t="s"/>
      <c r="G2946" s="66" t="s"/>
      <c r="H2946" s="66" t="s"/>
      <c r="I2946" s="62" t="s"/>
      <c r="J2946" s="62" t="s"/>
      <c r="K2946" s="99" t="s"/>
      <c r="L2946" s="66" t="s"/>
      <c r="M2946" s="66" t="s"/>
      <c r="N2946" s="572" t="s"/>
      <c r="O2946" s="62" t="s"/>
      <c r="P2946" s="62" t="s"/>
      <c r="Q2946" s="62" t="s"/>
      <c r="R2946" s="62" t="s"/>
    </row>
    <row r="2947" spans="1:18" ht="15.75" customHeight="true">
      <c r="A2947" s="107" t="s"/>
      <c r="B2947" s="62" t="s"/>
      <c r="C2947" s="62" t="s"/>
      <c r="D2947" s="62" t="s"/>
      <c r="E2947" s="62" t="s"/>
      <c r="F2947" s="66" t="s"/>
      <c r="G2947" s="66" t="s"/>
      <c r="H2947" s="66" t="s"/>
      <c r="I2947" s="62" t="s"/>
      <c r="J2947" s="62" t="s"/>
      <c r="K2947" s="99" t="s"/>
      <c r="L2947" s="66" t="s"/>
      <c r="M2947" s="66" t="s"/>
      <c r="N2947" s="572" t="s"/>
      <c r="O2947" s="62" t="s"/>
      <c r="P2947" s="62" t="s"/>
      <c r="Q2947" s="62" t="s"/>
      <c r="R2947" s="62" t="s"/>
    </row>
    <row r="2948" spans="1:18" ht="15.75" customHeight="true">
      <c r="A2948" s="107" t="s"/>
      <c r="B2948" s="62" t="s"/>
      <c r="C2948" s="62" t="s"/>
      <c r="D2948" s="62" t="s"/>
      <c r="E2948" s="62" t="s"/>
      <c r="F2948" s="66" t="s"/>
      <c r="G2948" s="66" t="s"/>
      <c r="H2948" s="66" t="s"/>
      <c r="I2948" s="62" t="s"/>
      <c r="J2948" s="62" t="s"/>
      <c r="K2948" s="99" t="s"/>
      <c r="L2948" s="66" t="s"/>
      <c r="M2948" s="66" t="s"/>
      <c r="N2948" s="572" t="s"/>
      <c r="O2948" s="62" t="s"/>
      <c r="P2948" s="62" t="s"/>
      <c r="Q2948" s="62" t="s"/>
      <c r="R2948" s="62" t="s"/>
    </row>
    <row r="2949" spans="1:18" ht="15.75" customHeight="true">
      <c r="A2949" s="107" t="s"/>
      <c r="B2949" s="62" t="s"/>
      <c r="C2949" s="62" t="s"/>
      <c r="D2949" s="62" t="s"/>
      <c r="E2949" s="62" t="s"/>
      <c r="F2949" s="66" t="s"/>
      <c r="G2949" s="66" t="s"/>
      <c r="H2949" s="66" t="s"/>
      <c r="I2949" s="62" t="s"/>
      <c r="J2949" s="62" t="s"/>
      <c r="K2949" s="99" t="s"/>
      <c r="L2949" s="66" t="s"/>
      <c r="M2949" s="66" t="s"/>
      <c r="N2949" s="572" t="s"/>
      <c r="O2949" s="62" t="s"/>
      <c r="P2949" s="62" t="s"/>
      <c r="Q2949" s="62" t="s"/>
      <c r="R2949" s="62" t="s"/>
    </row>
    <row r="2950" spans="1:18" ht="15.75" customHeight="true">
      <c r="A2950" s="107" t="s"/>
      <c r="B2950" s="62" t="s"/>
      <c r="C2950" s="62" t="s"/>
      <c r="D2950" s="62" t="s"/>
      <c r="E2950" s="62" t="s"/>
      <c r="F2950" s="66" t="s"/>
      <c r="G2950" s="66" t="s"/>
      <c r="H2950" s="66" t="s"/>
      <c r="I2950" s="62" t="s"/>
      <c r="J2950" s="62" t="s"/>
      <c r="K2950" s="99" t="s"/>
      <c r="L2950" s="66" t="s"/>
      <c r="M2950" s="66" t="s"/>
      <c r="N2950" s="572" t="s"/>
      <c r="O2950" s="62" t="s"/>
      <c r="P2950" s="62" t="s"/>
      <c r="Q2950" s="62" t="s"/>
      <c r="R2950" s="62" t="s"/>
    </row>
    <row r="2951" spans="1:18" ht="15.75" customHeight="true">
      <c r="A2951" s="107" t="s"/>
      <c r="B2951" s="62" t="s"/>
      <c r="C2951" s="62" t="s"/>
      <c r="D2951" s="62" t="s"/>
      <c r="E2951" s="62" t="s"/>
      <c r="F2951" s="66" t="s"/>
      <c r="G2951" s="66" t="s"/>
      <c r="H2951" s="66" t="s"/>
      <c r="I2951" s="62" t="s"/>
      <c r="J2951" s="62" t="s"/>
      <c r="K2951" s="99" t="s"/>
      <c r="L2951" s="66" t="s"/>
      <c r="M2951" s="66" t="s"/>
      <c r="N2951" s="572" t="s"/>
      <c r="O2951" s="62" t="s"/>
      <c r="P2951" s="62" t="s"/>
      <c r="Q2951" s="62" t="s"/>
      <c r="R2951" s="62" t="s"/>
    </row>
    <row r="2952" spans="1:18" ht="15.75" customHeight="true">
      <c r="A2952" s="107" t="s"/>
      <c r="B2952" s="62" t="s"/>
      <c r="C2952" s="62" t="s"/>
      <c r="D2952" s="62" t="s"/>
      <c r="E2952" s="62" t="s"/>
      <c r="F2952" s="66" t="s"/>
      <c r="G2952" s="66" t="s"/>
      <c r="H2952" s="66" t="s"/>
      <c r="I2952" s="62" t="s"/>
      <c r="J2952" s="62" t="s"/>
      <c r="K2952" s="99" t="s"/>
      <c r="L2952" s="66" t="s"/>
      <c r="M2952" s="66" t="s"/>
      <c r="N2952" s="572" t="s"/>
      <c r="O2952" s="62" t="s"/>
      <c r="P2952" s="62" t="s"/>
      <c r="Q2952" s="62" t="s"/>
      <c r="R2952" s="62" t="s"/>
    </row>
    <row r="2953" spans="1:18" ht="15.75" customHeight="true">
      <c r="A2953" s="107" t="s"/>
      <c r="B2953" s="62" t="s"/>
      <c r="C2953" s="62" t="s"/>
      <c r="D2953" s="62" t="s"/>
      <c r="E2953" s="62" t="s"/>
      <c r="F2953" s="66" t="s"/>
      <c r="G2953" s="66" t="s"/>
      <c r="H2953" s="66" t="s"/>
      <c r="I2953" s="62" t="s"/>
      <c r="J2953" s="62" t="s"/>
      <c r="K2953" s="99" t="s"/>
      <c r="L2953" s="66" t="s"/>
      <c r="M2953" s="66" t="s"/>
      <c r="N2953" s="572" t="s"/>
      <c r="O2953" s="62" t="s"/>
      <c r="P2953" s="62" t="s"/>
      <c r="Q2953" s="62" t="s"/>
      <c r="R2953" s="62" t="s"/>
    </row>
    <row r="2954" spans="1:18" ht="15.75" customHeight="true">
      <c r="A2954" s="107" t="s"/>
      <c r="B2954" s="62" t="s"/>
      <c r="C2954" s="62" t="s"/>
      <c r="D2954" s="62" t="s"/>
      <c r="E2954" s="62" t="s"/>
      <c r="F2954" s="66" t="s"/>
      <c r="G2954" s="66" t="s"/>
      <c r="H2954" s="66" t="s"/>
      <c r="I2954" s="62" t="s"/>
      <c r="J2954" s="62" t="s"/>
      <c r="K2954" s="99" t="s"/>
      <c r="L2954" s="66" t="s"/>
      <c r="M2954" s="66" t="s"/>
      <c r="N2954" s="572" t="s"/>
      <c r="O2954" s="62" t="s"/>
      <c r="P2954" s="62" t="s"/>
      <c r="Q2954" s="62" t="s"/>
      <c r="R2954" s="62" t="s"/>
    </row>
    <row r="2955" spans="1:18" ht="15.75" customHeight="true">
      <c r="A2955" s="107" t="s"/>
      <c r="B2955" s="62" t="s"/>
      <c r="C2955" s="62" t="s"/>
      <c r="D2955" s="62" t="s"/>
      <c r="E2955" s="62" t="s"/>
      <c r="F2955" s="66" t="s"/>
      <c r="G2955" s="66" t="s"/>
      <c r="H2955" s="66" t="s"/>
      <c r="I2955" s="62" t="s"/>
      <c r="J2955" s="62" t="s"/>
      <c r="K2955" s="99" t="s"/>
      <c r="L2955" s="66" t="s"/>
      <c r="M2955" s="66" t="s"/>
      <c r="N2955" s="572" t="s"/>
      <c r="O2955" s="62" t="s"/>
      <c r="P2955" s="62" t="s"/>
      <c r="Q2955" s="62" t="s"/>
      <c r="R2955" s="62" t="s"/>
    </row>
    <row r="2956" spans="1:18" ht="15.75" customHeight="true">
      <c r="A2956" s="107" t="s"/>
      <c r="B2956" s="62" t="s"/>
      <c r="C2956" s="62" t="s"/>
      <c r="D2956" s="62" t="s"/>
      <c r="E2956" s="62" t="s"/>
      <c r="F2956" s="66" t="s"/>
      <c r="G2956" s="66" t="s"/>
      <c r="H2956" s="66" t="s"/>
      <c r="I2956" s="62" t="s"/>
      <c r="J2956" s="62" t="s"/>
      <c r="K2956" s="99" t="s"/>
      <c r="L2956" s="66" t="s"/>
      <c r="M2956" s="66" t="s"/>
      <c r="N2956" s="572" t="s"/>
      <c r="O2956" s="62" t="s"/>
      <c r="P2956" s="62" t="s"/>
      <c r="Q2956" s="62" t="s"/>
      <c r="R2956" s="62" t="s"/>
    </row>
    <row r="2957" spans="1:18" ht="15.75" customHeight="true">
      <c r="A2957" s="107" t="s"/>
      <c r="B2957" s="62" t="s"/>
      <c r="C2957" s="62" t="s"/>
      <c r="D2957" s="62" t="s"/>
      <c r="E2957" s="62" t="s"/>
      <c r="F2957" s="66" t="s"/>
      <c r="G2957" s="66" t="s"/>
      <c r="H2957" s="66" t="s"/>
      <c r="I2957" s="62" t="s"/>
      <c r="J2957" s="62" t="s"/>
      <c r="K2957" s="99" t="s"/>
      <c r="L2957" s="66" t="s"/>
      <c r="M2957" s="66" t="s"/>
      <c r="N2957" s="572" t="s"/>
      <c r="O2957" s="62" t="s"/>
      <c r="P2957" s="62" t="s"/>
      <c r="Q2957" s="62" t="s"/>
      <c r="R2957" s="62" t="s"/>
    </row>
    <row r="2958" spans="1:18" ht="15.75" customHeight="true">
      <c r="A2958" s="107" t="s"/>
      <c r="B2958" s="62" t="s"/>
      <c r="C2958" s="62" t="s"/>
      <c r="D2958" s="62" t="s"/>
      <c r="E2958" s="62" t="s"/>
      <c r="F2958" s="66" t="s"/>
      <c r="G2958" s="66" t="s"/>
      <c r="H2958" s="66" t="s"/>
      <c r="I2958" s="62" t="s"/>
      <c r="J2958" s="62" t="s"/>
      <c r="K2958" s="99" t="s"/>
      <c r="L2958" s="66" t="s"/>
      <c r="M2958" s="66" t="s"/>
      <c r="N2958" s="572" t="s"/>
      <c r="O2958" s="62" t="s"/>
      <c r="P2958" s="62" t="s"/>
      <c r="Q2958" s="62" t="s"/>
      <c r="R2958" s="62" t="s"/>
    </row>
    <row r="2959" spans="1:18" ht="15.75" customHeight="true">
      <c r="A2959" s="107" t="s"/>
      <c r="B2959" s="62" t="s"/>
      <c r="C2959" s="62" t="s"/>
      <c r="D2959" s="62" t="s"/>
      <c r="E2959" s="62" t="s"/>
      <c r="F2959" s="66" t="s"/>
      <c r="G2959" s="66" t="s"/>
      <c r="H2959" s="66" t="s"/>
      <c r="I2959" s="62" t="s"/>
      <c r="J2959" s="62" t="s"/>
      <c r="K2959" s="99" t="s"/>
      <c r="L2959" s="66" t="s"/>
      <c r="M2959" s="66" t="s"/>
      <c r="N2959" s="572" t="s"/>
      <c r="O2959" s="62" t="s"/>
      <c r="P2959" s="62" t="s"/>
      <c r="Q2959" s="62" t="s"/>
      <c r="R2959" s="62" t="s"/>
    </row>
    <row r="2960" spans="1:18" ht="15.75" customHeight="true">
      <c r="A2960" s="107" t="s"/>
      <c r="B2960" s="62" t="s"/>
      <c r="C2960" s="62" t="s"/>
      <c r="D2960" s="62" t="s"/>
      <c r="E2960" s="62" t="s"/>
      <c r="F2960" s="66" t="s"/>
      <c r="G2960" s="66" t="s"/>
      <c r="H2960" s="66" t="s"/>
      <c r="I2960" s="62" t="s"/>
      <c r="J2960" s="62" t="s"/>
      <c r="K2960" s="99" t="s"/>
      <c r="L2960" s="66" t="s"/>
      <c r="M2960" s="66" t="s"/>
      <c r="N2960" s="572" t="s"/>
      <c r="O2960" s="62" t="s"/>
      <c r="P2960" s="62" t="s"/>
      <c r="Q2960" s="62" t="s"/>
      <c r="R2960" s="62" t="s"/>
    </row>
    <row r="2961" spans="1:18" ht="15.75" customHeight="true">
      <c r="A2961" s="107" t="s"/>
      <c r="B2961" s="62" t="s"/>
      <c r="C2961" s="62" t="s"/>
      <c r="D2961" s="62" t="s"/>
      <c r="E2961" s="62" t="s"/>
      <c r="F2961" s="66" t="s"/>
      <c r="G2961" s="66" t="s"/>
      <c r="H2961" s="66" t="s"/>
      <c r="I2961" s="62" t="s"/>
      <c r="J2961" s="62" t="s"/>
      <c r="K2961" s="99" t="s"/>
      <c r="L2961" s="66" t="s"/>
      <c r="M2961" s="66" t="s"/>
      <c r="N2961" s="572" t="s"/>
      <c r="O2961" s="62" t="s"/>
      <c r="P2961" s="62" t="s"/>
      <c r="Q2961" s="62" t="s"/>
      <c r="R2961" s="62" t="s"/>
    </row>
    <row r="2962" spans="1:18" ht="15.75" customHeight="true">
      <c r="A2962" s="107" t="s"/>
      <c r="B2962" s="62" t="s"/>
      <c r="C2962" s="62" t="s"/>
      <c r="D2962" s="62" t="s"/>
      <c r="E2962" s="62" t="s"/>
      <c r="F2962" s="66" t="s"/>
      <c r="G2962" s="66" t="s"/>
      <c r="H2962" s="66" t="s"/>
      <c r="I2962" s="62" t="s"/>
      <c r="J2962" s="62" t="s"/>
      <c r="K2962" s="99" t="s"/>
      <c r="L2962" s="66" t="s"/>
      <c r="M2962" s="66" t="s"/>
      <c r="N2962" s="572" t="s"/>
      <c r="O2962" s="62" t="s"/>
      <c r="P2962" s="62" t="s"/>
      <c r="Q2962" s="62" t="s"/>
      <c r="R2962" s="62" t="s"/>
    </row>
    <row r="2963" spans="1:18" ht="15.75" customHeight="true">
      <c r="A2963" s="107" t="s"/>
      <c r="B2963" s="62" t="s"/>
      <c r="C2963" s="62" t="s"/>
      <c r="D2963" s="62" t="s"/>
      <c r="E2963" s="62" t="s"/>
      <c r="F2963" s="66" t="s"/>
      <c r="G2963" s="66" t="s"/>
      <c r="H2963" s="66" t="s"/>
      <c r="I2963" s="62" t="s"/>
      <c r="J2963" s="62" t="s"/>
      <c r="K2963" s="99" t="s"/>
      <c r="L2963" s="66" t="s"/>
      <c r="M2963" s="66" t="s"/>
      <c r="N2963" s="572" t="s"/>
      <c r="O2963" s="62" t="s"/>
      <c r="P2963" s="62" t="s"/>
      <c r="Q2963" s="62" t="s"/>
      <c r="R2963" s="62" t="s"/>
    </row>
    <row r="2964" spans="1:18" ht="15.75" customHeight="true">
      <c r="A2964" s="107" t="s"/>
      <c r="B2964" s="62" t="s"/>
      <c r="C2964" s="62" t="s"/>
      <c r="D2964" s="62" t="s"/>
      <c r="E2964" s="62" t="s"/>
      <c r="F2964" s="66" t="s"/>
      <c r="G2964" s="66" t="s"/>
      <c r="H2964" s="66" t="s"/>
      <c r="I2964" s="62" t="s"/>
      <c r="J2964" s="62" t="s"/>
      <c r="K2964" s="99" t="s"/>
      <c r="L2964" s="66" t="s"/>
      <c r="M2964" s="66" t="s"/>
      <c r="N2964" s="572" t="s"/>
      <c r="O2964" s="62" t="s"/>
      <c r="P2964" s="62" t="s"/>
      <c r="Q2964" s="62" t="s"/>
      <c r="R2964" s="62" t="s"/>
    </row>
    <row r="2965" spans="1:18" ht="15.75" customHeight="true">
      <c r="A2965" s="107" t="s"/>
      <c r="B2965" s="62" t="s"/>
      <c r="C2965" s="62" t="s"/>
      <c r="D2965" s="62" t="s"/>
      <c r="E2965" s="62" t="s"/>
      <c r="F2965" s="66" t="s"/>
      <c r="G2965" s="66" t="s"/>
      <c r="H2965" s="66" t="s"/>
      <c r="I2965" s="62" t="s"/>
      <c r="J2965" s="62" t="s"/>
      <c r="K2965" s="99" t="s"/>
      <c r="L2965" s="66" t="s"/>
      <c r="M2965" s="66" t="s"/>
      <c r="N2965" s="572" t="s"/>
      <c r="O2965" s="62" t="s"/>
      <c r="P2965" s="62" t="s"/>
      <c r="Q2965" s="62" t="s"/>
      <c r="R2965" s="62" t="s"/>
    </row>
    <row r="2966" spans="1:18" ht="15.75" customHeight="true">
      <c r="A2966" s="107" t="s"/>
      <c r="B2966" s="62" t="s"/>
      <c r="C2966" s="62" t="s"/>
      <c r="D2966" s="62" t="s"/>
      <c r="E2966" s="62" t="s"/>
      <c r="F2966" s="66" t="s"/>
      <c r="G2966" s="66" t="s"/>
      <c r="H2966" s="66" t="s"/>
      <c r="I2966" s="62" t="s"/>
      <c r="J2966" s="62" t="s"/>
      <c r="K2966" s="99" t="s"/>
      <c r="L2966" s="66" t="s"/>
      <c r="M2966" s="66" t="s"/>
      <c r="N2966" s="572" t="s"/>
      <c r="O2966" s="62" t="s"/>
      <c r="P2966" s="62" t="s"/>
      <c r="Q2966" s="62" t="s"/>
      <c r="R2966" s="62" t="s"/>
    </row>
    <row r="2967" spans="1:18" ht="15.75" customHeight="true">
      <c r="A2967" s="107" t="s"/>
      <c r="B2967" s="62" t="s"/>
      <c r="C2967" s="62" t="s"/>
      <c r="D2967" s="62" t="s"/>
      <c r="E2967" s="62" t="s"/>
      <c r="F2967" s="66" t="s"/>
      <c r="G2967" s="66" t="s"/>
      <c r="H2967" s="66" t="s"/>
      <c r="I2967" s="62" t="s"/>
      <c r="J2967" s="62" t="s"/>
      <c r="K2967" s="99" t="s"/>
      <c r="L2967" s="66" t="s"/>
      <c r="M2967" s="66" t="s"/>
      <c r="N2967" s="572" t="s"/>
      <c r="O2967" s="62" t="s"/>
      <c r="P2967" s="62" t="s"/>
      <c r="Q2967" s="62" t="s"/>
      <c r="R2967" s="62" t="s"/>
    </row>
    <row r="2968" spans="1:18" ht="15.75" customHeight="true">
      <c r="A2968" s="107" t="s"/>
      <c r="B2968" s="62" t="s"/>
      <c r="C2968" s="62" t="s"/>
      <c r="D2968" s="62" t="s"/>
      <c r="E2968" s="62" t="s"/>
      <c r="F2968" s="66" t="s"/>
      <c r="G2968" s="66" t="s"/>
      <c r="H2968" s="66" t="s"/>
      <c r="I2968" s="62" t="s"/>
      <c r="J2968" s="62" t="s"/>
      <c r="K2968" s="99" t="s"/>
      <c r="L2968" s="66" t="s"/>
      <c r="M2968" s="66" t="s"/>
      <c r="N2968" s="572" t="s"/>
      <c r="O2968" s="62" t="s"/>
      <c r="P2968" s="62" t="s"/>
      <c r="Q2968" s="62" t="s"/>
      <c r="R2968" s="62" t="s"/>
    </row>
    <row r="2969" spans="1:18" ht="15.75" customHeight="true">
      <c r="A2969" s="107" t="s"/>
      <c r="B2969" s="62" t="s"/>
      <c r="C2969" s="62" t="s"/>
      <c r="D2969" s="62" t="s"/>
      <c r="E2969" s="62" t="s"/>
      <c r="F2969" s="66" t="s"/>
      <c r="G2969" s="66" t="s"/>
      <c r="H2969" s="66" t="s"/>
      <c r="I2969" s="62" t="s"/>
      <c r="J2969" s="62" t="s"/>
      <c r="K2969" s="99" t="s"/>
      <c r="L2969" s="66" t="s"/>
      <c r="M2969" s="66" t="s"/>
      <c r="N2969" s="572" t="s"/>
      <c r="O2969" s="62" t="s"/>
      <c r="P2969" s="62" t="s"/>
      <c r="Q2969" s="62" t="s"/>
      <c r="R2969" s="62" t="s"/>
    </row>
    <row r="2970" spans="1:18" ht="15.75" customHeight="true">
      <c r="A2970" s="107" t="s"/>
      <c r="B2970" s="62" t="s"/>
      <c r="C2970" s="62" t="s"/>
      <c r="D2970" s="62" t="s"/>
      <c r="E2970" s="62" t="s"/>
      <c r="F2970" s="66" t="s"/>
      <c r="G2970" s="66" t="s"/>
      <c r="H2970" s="66" t="s"/>
      <c r="I2970" s="62" t="s"/>
      <c r="J2970" s="62" t="s"/>
      <c r="K2970" s="99" t="s"/>
      <c r="L2970" s="66" t="s"/>
      <c r="M2970" s="66" t="s"/>
      <c r="N2970" s="572" t="s"/>
      <c r="O2970" s="62" t="s"/>
      <c r="P2970" s="62" t="s"/>
      <c r="Q2970" s="62" t="s"/>
      <c r="R2970" s="62" t="s"/>
    </row>
    <row r="2971" spans="1:18" ht="15.75" customHeight="true">
      <c r="A2971" s="107" t="s"/>
      <c r="B2971" s="62" t="s"/>
      <c r="C2971" s="62" t="s"/>
      <c r="D2971" s="62" t="s"/>
      <c r="E2971" s="62" t="s"/>
      <c r="F2971" s="66" t="s"/>
      <c r="G2971" s="66" t="s"/>
      <c r="H2971" s="66" t="s"/>
      <c r="I2971" s="62" t="s"/>
      <c r="J2971" s="62" t="s"/>
      <c r="K2971" s="99" t="s"/>
      <c r="L2971" s="66" t="s"/>
      <c r="M2971" s="66" t="s"/>
      <c r="N2971" s="572" t="s"/>
      <c r="O2971" s="62" t="s"/>
      <c r="P2971" s="62" t="s"/>
      <c r="Q2971" s="62" t="s"/>
      <c r="R2971" s="62" t="s"/>
    </row>
    <row r="2972" spans="1:18" ht="15.75" customHeight="true">
      <c r="A2972" s="107" t="s"/>
      <c r="B2972" s="62" t="s"/>
      <c r="C2972" s="62" t="s"/>
      <c r="D2972" s="62" t="s"/>
      <c r="E2972" s="62" t="s"/>
      <c r="F2972" s="66" t="s"/>
      <c r="G2972" s="66" t="s"/>
      <c r="H2972" s="66" t="s"/>
      <c r="I2972" s="62" t="s"/>
      <c r="J2972" s="62" t="s"/>
      <c r="K2972" s="99" t="s"/>
      <c r="L2972" s="66" t="s"/>
      <c r="M2972" s="66" t="s"/>
      <c r="N2972" s="572" t="s"/>
      <c r="O2972" s="62" t="s"/>
      <c r="P2972" s="62" t="s"/>
      <c r="Q2972" s="62" t="s"/>
      <c r="R2972" s="62" t="s"/>
    </row>
    <row r="2973" spans="1:18" ht="15.75" customHeight="true">
      <c r="A2973" s="107" t="s"/>
      <c r="B2973" s="62" t="s"/>
      <c r="C2973" s="62" t="s"/>
      <c r="D2973" s="62" t="s"/>
      <c r="E2973" s="62" t="s"/>
      <c r="F2973" s="66" t="s"/>
      <c r="G2973" s="66" t="s"/>
      <c r="H2973" s="66" t="s"/>
      <c r="I2973" s="62" t="s"/>
      <c r="J2973" s="62" t="s"/>
      <c r="K2973" s="99" t="s"/>
      <c r="L2973" s="66" t="s"/>
      <c r="M2973" s="66" t="s"/>
      <c r="N2973" s="572" t="s"/>
      <c r="O2973" s="62" t="s"/>
      <c r="P2973" s="62" t="s"/>
      <c r="Q2973" s="62" t="s"/>
      <c r="R2973" s="62" t="s"/>
    </row>
    <row r="2974" spans="1:18" ht="15.75" customHeight="true">
      <c r="A2974" s="107" t="s"/>
      <c r="B2974" s="62" t="s"/>
      <c r="C2974" s="62" t="s"/>
      <c r="D2974" s="62" t="s"/>
      <c r="E2974" s="62" t="s"/>
      <c r="F2974" s="66" t="s"/>
      <c r="G2974" s="66" t="s"/>
      <c r="H2974" s="66" t="s"/>
      <c r="I2974" s="62" t="s"/>
      <c r="J2974" s="62" t="s"/>
      <c r="K2974" s="99" t="s"/>
      <c r="L2974" s="66" t="s"/>
      <c r="M2974" s="66" t="s"/>
      <c r="N2974" s="572" t="s"/>
      <c r="O2974" s="62" t="s"/>
      <c r="P2974" s="62" t="s"/>
      <c r="Q2974" s="62" t="s"/>
      <c r="R2974" s="62" t="s"/>
    </row>
    <row r="2975" spans="1:18" ht="15.75" customHeight="true">
      <c r="A2975" s="107" t="s"/>
      <c r="B2975" s="62" t="s"/>
      <c r="C2975" s="62" t="s"/>
      <c r="D2975" s="62" t="s"/>
      <c r="E2975" s="62" t="s"/>
      <c r="F2975" s="66" t="s"/>
      <c r="G2975" s="66" t="s"/>
      <c r="H2975" s="66" t="s"/>
      <c r="I2975" s="62" t="s"/>
      <c r="J2975" s="62" t="s"/>
      <c r="K2975" s="99" t="s"/>
      <c r="L2975" s="66" t="s"/>
      <c r="M2975" s="66" t="s"/>
      <c r="N2975" s="572" t="s"/>
      <c r="O2975" s="62" t="s"/>
      <c r="P2975" s="62" t="s"/>
      <c r="Q2975" s="62" t="s"/>
      <c r="R2975" s="62" t="s"/>
    </row>
    <row r="2976" spans="1:18" ht="15.75" customHeight="true">
      <c r="A2976" s="107" t="s"/>
      <c r="B2976" s="62" t="s"/>
      <c r="C2976" s="62" t="s"/>
      <c r="D2976" s="62" t="s"/>
      <c r="E2976" s="62" t="s"/>
      <c r="F2976" s="66" t="s"/>
      <c r="G2976" s="66" t="s"/>
      <c r="H2976" s="66" t="s"/>
      <c r="I2976" s="62" t="s"/>
      <c r="J2976" s="62" t="s"/>
      <c r="K2976" s="99" t="s"/>
      <c r="L2976" s="66" t="s"/>
      <c r="M2976" s="66" t="s"/>
      <c r="N2976" s="572" t="s"/>
      <c r="O2976" s="62" t="s"/>
      <c r="P2976" s="62" t="s"/>
      <c r="Q2976" s="62" t="s"/>
      <c r="R2976" s="62" t="s"/>
    </row>
    <row r="2977" spans="1:18" ht="15.75" customHeight="true">
      <c r="A2977" s="107" t="s"/>
      <c r="B2977" s="62" t="s"/>
      <c r="C2977" s="62" t="s"/>
      <c r="D2977" s="62" t="s"/>
      <c r="E2977" s="62" t="s"/>
      <c r="F2977" s="66" t="s"/>
      <c r="G2977" s="66" t="s"/>
      <c r="H2977" s="66" t="s"/>
      <c r="I2977" s="62" t="s"/>
      <c r="J2977" s="62" t="s"/>
      <c r="K2977" s="99" t="s"/>
      <c r="L2977" s="66" t="s"/>
      <c r="M2977" s="66" t="s"/>
      <c r="N2977" s="572" t="s"/>
      <c r="O2977" s="62" t="s"/>
      <c r="P2977" s="62" t="s"/>
      <c r="Q2977" s="62" t="s"/>
      <c r="R2977" s="62" t="s"/>
    </row>
    <row r="2978" spans="1:18" ht="15.75" customHeight="true">
      <c r="A2978" s="107" t="s"/>
      <c r="B2978" s="62" t="s"/>
      <c r="C2978" s="62" t="s"/>
      <c r="D2978" s="62" t="s"/>
      <c r="E2978" s="62" t="s"/>
      <c r="F2978" s="66" t="s"/>
      <c r="G2978" s="66" t="s"/>
      <c r="H2978" s="66" t="s"/>
      <c r="I2978" s="62" t="s"/>
      <c r="J2978" s="62" t="s"/>
      <c r="K2978" s="99" t="s"/>
      <c r="L2978" s="66" t="s"/>
      <c r="M2978" s="66" t="s"/>
      <c r="N2978" s="572" t="s"/>
      <c r="O2978" s="62" t="s"/>
      <c r="P2978" s="62" t="s"/>
      <c r="Q2978" s="62" t="s"/>
      <c r="R2978" s="62" t="s"/>
    </row>
    <row r="2979" spans="1:18" ht="15.75" customHeight="true">
      <c r="A2979" s="107" t="s"/>
      <c r="B2979" s="62" t="s"/>
      <c r="C2979" s="62" t="s"/>
      <c r="D2979" s="62" t="s"/>
      <c r="E2979" s="62" t="s"/>
      <c r="F2979" s="66" t="s"/>
      <c r="G2979" s="66" t="s"/>
      <c r="H2979" s="66" t="s"/>
      <c r="I2979" s="62" t="s"/>
      <c r="J2979" s="62" t="s"/>
      <c r="K2979" s="99" t="s"/>
      <c r="L2979" s="66" t="s"/>
      <c r="M2979" s="66" t="s"/>
      <c r="N2979" s="572" t="s"/>
      <c r="O2979" s="62" t="s"/>
      <c r="P2979" s="62" t="s"/>
      <c r="Q2979" s="62" t="s"/>
      <c r="R2979" s="62" t="s"/>
    </row>
    <row r="2980" spans="1:18" ht="15.75" customHeight="true">
      <c r="A2980" s="107" t="s"/>
      <c r="B2980" s="62" t="s"/>
      <c r="C2980" s="62" t="s"/>
      <c r="D2980" s="62" t="s"/>
      <c r="E2980" s="62" t="s"/>
      <c r="F2980" s="66" t="s"/>
      <c r="G2980" s="66" t="s"/>
      <c r="H2980" s="66" t="s"/>
      <c r="I2980" s="62" t="s"/>
      <c r="J2980" s="62" t="s"/>
      <c r="K2980" s="99" t="s"/>
      <c r="L2980" s="66" t="s"/>
      <c r="M2980" s="66" t="s"/>
      <c r="N2980" s="572" t="s"/>
      <c r="O2980" s="62" t="s"/>
      <c r="P2980" s="62" t="s"/>
      <c r="Q2980" s="62" t="s"/>
      <c r="R2980" s="62" t="s"/>
    </row>
    <row r="2981" spans="1:18" ht="15.75" customHeight="true">
      <c r="A2981" s="107" t="s"/>
      <c r="B2981" s="62" t="s"/>
      <c r="C2981" s="62" t="s"/>
      <c r="D2981" s="62" t="s"/>
      <c r="E2981" s="62" t="s"/>
      <c r="F2981" s="66" t="s"/>
      <c r="G2981" s="66" t="s"/>
      <c r="H2981" s="66" t="s"/>
      <c r="I2981" s="62" t="s"/>
      <c r="J2981" s="62" t="s"/>
      <c r="K2981" s="99" t="s"/>
      <c r="L2981" s="66" t="s"/>
      <c r="M2981" s="66" t="s"/>
      <c r="N2981" s="572" t="s"/>
      <c r="O2981" s="62" t="s"/>
      <c r="P2981" s="62" t="s"/>
      <c r="Q2981" s="62" t="s"/>
      <c r="R2981" s="62" t="s"/>
    </row>
    <row r="2982" spans="1:18" ht="15.75" customHeight="true">
      <c r="A2982" s="107" t="s"/>
      <c r="B2982" s="62" t="s"/>
      <c r="C2982" s="62" t="s"/>
      <c r="D2982" s="62" t="s"/>
      <c r="E2982" s="62" t="s"/>
      <c r="F2982" s="66" t="s"/>
      <c r="G2982" s="66" t="s"/>
      <c r="H2982" s="66" t="s"/>
      <c r="I2982" s="62" t="s"/>
      <c r="J2982" s="62" t="s"/>
      <c r="K2982" s="99" t="s"/>
      <c r="L2982" s="66" t="s"/>
      <c r="M2982" s="66" t="s"/>
      <c r="N2982" s="572" t="s"/>
      <c r="O2982" s="62" t="s"/>
      <c r="P2982" s="62" t="s"/>
      <c r="Q2982" s="62" t="s"/>
      <c r="R2982" s="62" t="s"/>
    </row>
    <row r="2983" spans="1:18" ht="15.75" customHeight="true">
      <c r="A2983" s="107" t="s"/>
      <c r="B2983" s="62" t="s"/>
      <c r="C2983" s="62" t="s"/>
      <c r="D2983" s="62" t="s"/>
      <c r="E2983" s="62" t="s"/>
      <c r="F2983" s="66" t="s"/>
      <c r="G2983" s="66" t="s"/>
      <c r="H2983" s="66" t="s"/>
      <c r="I2983" s="62" t="s"/>
      <c r="J2983" s="62" t="s"/>
      <c r="K2983" s="99" t="s"/>
      <c r="L2983" s="66" t="s"/>
      <c r="M2983" s="66" t="s"/>
      <c r="N2983" s="572" t="s"/>
      <c r="O2983" s="62" t="s"/>
      <c r="P2983" s="62" t="s"/>
      <c r="Q2983" s="62" t="s"/>
      <c r="R2983" s="62" t="s"/>
    </row>
    <row r="2984" spans="1:18" ht="15.75" customHeight="true">
      <c r="A2984" s="107" t="s"/>
      <c r="B2984" s="62" t="s"/>
      <c r="C2984" s="62" t="s"/>
      <c r="D2984" s="62" t="s"/>
      <c r="E2984" s="62" t="s"/>
      <c r="F2984" s="66" t="s"/>
      <c r="G2984" s="66" t="s"/>
      <c r="H2984" s="66" t="s"/>
      <c r="I2984" s="62" t="s"/>
      <c r="J2984" s="62" t="s"/>
      <c r="K2984" s="99" t="s"/>
      <c r="L2984" s="66" t="s"/>
      <c r="M2984" s="66" t="s"/>
      <c r="N2984" s="572" t="s"/>
      <c r="O2984" s="62" t="s"/>
      <c r="P2984" s="62" t="s"/>
      <c r="Q2984" s="62" t="s"/>
      <c r="R2984" s="62" t="s"/>
    </row>
    <row r="2985" spans="1:18" ht="15.75" customHeight="true">
      <c r="A2985" s="107" t="s"/>
      <c r="B2985" s="62" t="s"/>
      <c r="C2985" s="62" t="s"/>
      <c r="D2985" s="62" t="s"/>
      <c r="E2985" s="62" t="s"/>
      <c r="F2985" s="66" t="s"/>
      <c r="G2985" s="66" t="s"/>
      <c r="H2985" s="66" t="s"/>
      <c r="I2985" s="62" t="s"/>
      <c r="J2985" s="62" t="s"/>
      <c r="K2985" s="99" t="s"/>
      <c r="L2985" s="66" t="s"/>
      <c r="M2985" s="66" t="s"/>
      <c r="N2985" s="572" t="s"/>
      <c r="O2985" s="62" t="s"/>
      <c r="P2985" s="62" t="s"/>
      <c r="Q2985" s="62" t="s"/>
      <c r="R2985" s="62" t="s"/>
    </row>
    <row r="2986" spans="1:18" ht="15.75" customHeight="true">
      <c r="A2986" s="107" t="s"/>
      <c r="B2986" s="62" t="s"/>
      <c r="C2986" s="62" t="s"/>
      <c r="D2986" s="62" t="s"/>
      <c r="E2986" s="62" t="s"/>
      <c r="F2986" s="66" t="s"/>
      <c r="G2986" s="66" t="s"/>
      <c r="H2986" s="66" t="s"/>
      <c r="I2986" s="62" t="s"/>
      <c r="J2986" s="62" t="s"/>
      <c r="K2986" s="99" t="s"/>
      <c r="L2986" s="66" t="s"/>
      <c r="M2986" s="66" t="s"/>
      <c r="N2986" s="572" t="s"/>
      <c r="O2986" s="62" t="s"/>
      <c r="P2986" s="62" t="s"/>
      <c r="Q2986" s="62" t="s"/>
      <c r="R2986" s="62" t="s"/>
    </row>
    <row r="2987" spans="1:18" ht="15.75" customHeight="true">
      <c r="A2987" s="107" t="s"/>
      <c r="B2987" s="62" t="s"/>
      <c r="C2987" s="62" t="s"/>
      <c r="D2987" s="62" t="s"/>
      <c r="E2987" s="62" t="s"/>
      <c r="F2987" s="66" t="s"/>
      <c r="G2987" s="66" t="s"/>
      <c r="H2987" s="66" t="s"/>
      <c r="I2987" s="62" t="s"/>
      <c r="J2987" s="62" t="s"/>
      <c r="K2987" s="99" t="s"/>
      <c r="L2987" s="66" t="s"/>
      <c r="M2987" s="66" t="s"/>
      <c r="N2987" s="572" t="s"/>
      <c r="O2987" s="62" t="s"/>
      <c r="P2987" s="62" t="s"/>
      <c r="Q2987" s="62" t="s"/>
      <c r="R2987" s="62" t="s"/>
    </row>
    <row r="2988" spans="1:18" ht="15.75" customHeight="true">
      <c r="A2988" s="107" t="s"/>
      <c r="B2988" s="62" t="s"/>
      <c r="C2988" s="62" t="s"/>
      <c r="D2988" s="62" t="s"/>
      <c r="E2988" s="62" t="s"/>
      <c r="F2988" s="66" t="s"/>
      <c r="G2988" s="66" t="s"/>
      <c r="H2988" s="66" t="s"/>
      <c r="I2988" s="62" t="s"/>
      <c r="J2988" s="62" t="s"/>
      <c r="K2988" s="99" t="s"/>
      <c r="L2988" s="66" t="s"/>
      <c r="M2988" s="66" t="s"/>
      <c r="N2988" s="572" t="s"/>
      <c r="O2988" s="62" t="s"/>
      <c r="P2988" s="62" t="s"/>
      <c r="Q2988" s="62" t="s"/>
      <c r="R2988" s="62" t="s"/>
    </row>
    <row r="2989" spans="1:18" ht="15.75" customHeight="true">
      <c r="A2989" s="107" t="s"/>
      <c r="B2989" s="62" t="s"/>
      <c r="C2989" s="62" t="s"/>
      <c r="D2989" s="62" t="s"/>
      <c r="E2989" s="62" t="s"/>
      <c r="F2989" s="66" t="s"/>
      <c r="G2989" s="66" t="s"/>
      <c r="H2989" s="66" t="s"/>
      <c r="I2989" s="62" t="s"/>
      <c r="J2989" s="62" t="s"/>
      <c r="K2989" s="99" t="s"/>
      <c r="L2989" s="66" t="s"/>
      <c r="M2989" s="66" t="s"/>
      <c r="N2989" s="572" t="s"/>
      <c r="O2989" s="62" t="s"/>
      <c r="P2989" s="62" t="s"/>
      <c r="Q2989" s="62" t="s"/>
      <c r="R2989" s="62" t="s"/>
    </row>
    <row r="2990" spans="1:18" ht="15.75" customHeight="true">
      <c r="A2990" s="107" t="s"/>
      <c r="B2990" s="62" t="s"/>
      <c r="C2990" s="62" t="s"/>
      <c r="D2990" s="62" t="s"/>
      <c r="E2990" s="62" t="s"/>
      <c r="F2990" s="66" t="s"/>
      <c r="G2990" s="66" t="s"/>
      <c r="H2990" s="66" t="s"/>
      <c r="I2990" s="62" t="s"/>
      <c r="J2990" s="62" t="s"/>
      <c r="K2990" s="99" t="s"/>
      <c r="L2990" s="66" t="s"/>
      <c r="M2990" s="66" t="s"/>
      <c r="N2990" s="572" t="s"/>
      <c r="O2990" s="62" t="s"/>
      <c r="P2990" s="62" t="s"/>
      <c r="Q2990" s="62" t="s"/>
      <c r="R2990" s="62" t="s"/>
    </row>
    <row r="2991" spans="1:18" ht="15.75" customHeight="true">
      <c r="A2991" s="107" t="s"/>
      <c r="B2991" s="62" t="s"/>
      <c r="C2991" s="62" t="s"/>
      <c r="D2991" s="62" t="s"/>
      <c r="E2991" s="62" t="s"/>
      <c r="F2991" s="66" t="s"/>
      <c r="G2991" s="66" t="s"/>
      <c r="H2991" s="66" t="s"/>
      <c r="I2991" s="62" t="s"/>
      <c r="J2991" s="62" t="s"/>
      <c r="K2991" s="99" t="s"/>
      <c r="L2991" s="66" t="s"/>
      <c r="M2991" s="66" t="s"/>
      <c r="N2991" s="572" t="s"/>
      <c r="O2991" s="62" t="s"/>
      <c r="P2991" s="62" t="s"/>
      <c r="Q2991" s="62" t="s"/>
      <c r="R2991" s="62" t="s"/>
    </row>
    <row r="2992" spans="1:18" ht="15.75" customHeight="true">
      <c r="A2992" s="107" t="s"/>
      <c r="B2992" s="62" t="s"/>
      <c r="C2992" s="62" t="s"/>
      <c r="D2992" s="62" t="s"/>
      <c r="E2992" s="62" t="s"/>
      <c r="F2992" s="66" t="s"/>
      <c r="G2992" s="66" t="s"/>
      <c r="H2992" s="66" t="s"/>
      <c r="I2992" s="62" t="s"/>
      <c r="J2992" s="62" t="s"/>
      <c r="K2992" s="99" t="s"/>
      <c r="L2992" s="66" t="s"/>
      <c r="M2992" s="66" t="s"/>
      <c r="N2992" s="572" t="s"/>
      <c r="O2992" s="62" t="s"/>
      <c r="P2992" s="62" t="s"/>
      <c r="Q2992" s="62" t="s"/>
      <c r="R2992" s="62" t="s"/>
    </row>
    <row r="2993" spans="1:18" ht="15.75" customHeight="true">
      <c r="A2993" s="107" t="s"/>
      <c r="B2993" s="62" t="s"/>
      <c r="C2993" s="62" t="s"/>
      <c r="D2993" s="62" t="s"/>
      <c r="E2993" s="62" t="s"/>
      <c r="F2993" s="66" t="s"/>
      <c r="G2993" s="66" t="s"/>
      <c r="H2993" s="66" t="s"/>
      <c r="I2993" s="62" t="s"/>
      <c r="J2993" s="62" t="s"/>
      <c r="K2993" s="99" t="s"/>
      <c r="L2993" s="66" t="s"/>
      <c r="M2993" s="66" t="s"/>
      <c r="N2993" s="572" t="s"/>
      <c r="O2993" s="62" t="s"/>
      <c r="P2993" s="62" t="s"/>
      <c r="Q2993" s="62" t="s"/>
      <c r="R2993" s="62" t="s"/>
    </row>
    <row r="2994" spans="1:18" ht="15.75" customHeight="true">
      <c r="A2994" s="107" t="s"/>
      <c r="B2994" s="62" t="s"/>
      <c r="C2994" s="62" t="s"/>
      <c r="D2994" s="62" t="s"/>
      <c r="E2994" s="62" t="s"/>
      <c r="F2994" s="66" t="s"/>
      <c r="G2994" s="66" t="s"/>
      <c r="H2994" s="66" t="s"/>
      <c r="I2994" s="62" t="s"/>
      <c r="J2994" s="62" t="s"/>
      <c r="K2994" s="99" t="s"/>
      <c r="L2994" s="66" t="s"/>
      <c r="M2994" s="66" t="s"/>
      <c r="N2994" s="572" t="s"/>
      <c r="O2994" s="62" t="s"/>
      <c r="P2994" s="62" t="s"/>
      <c r="Q2994" s="62" t="s"/>
      <c r="R2994" s="62" t="s"/>
    </row>
    <row r="2995" spans="1:18" ht="15.75" customHeight="true">
      <c r="A2995" s="107" t="s"/>
      <c r="B2995" s="62" t="s"/>
      <c r="C2995" s="62" t="s"/>
      <c r="D2995" s="62" t="s"/>
      <c r="E2995" s="62" t="s"/>
      <c r="F2995" s="66" t="s"/>
      <c r="G2995" s="66" t="s"/>
      <c r="H2995" s="66" t="s"/>
      <c r="I2995" s="62" t="s"/>
      <c r="J2995" s="62" t="s"/>
      <c r="K2995" s="99" t="s"/>
      <c r="L2995" s="66" t="s"/>
      <c r="M2995" s="66" t="s"/>
      <c r="N2995" s="572" t="s"/>
      <c r="O2995" s="62" t="s"/>
      <c r="P2995" s="62" t="s"/>
      <c r="Q2995" s="62" t="s"/>
      <c r="R2995" s="62" t="s"/>
    </row>
    <row r="2996" spans="1:18" ht="15.75" customHeight="true">
      <c r="A2996" s="107" t="s"/>
      <c r="B2996" s="62" t="s"/>
      <c r="C2996" s="62" t="s"/>
      <c r="D2996" s="62" t="s"/>
      <c r="E2996" s="62" t="s"/>
      <c r="F2996" s="66" t="s"/>
      <c r="G2996" s="66" t="s"/>
      <c r="H2996" s="66" t="s"/>
      <c r="I2996" s="62" t="s"/>
      <c r="J2996" s="62" t="s"/>
      <c r="K2996" s="99" t="s"/>
      <c r="L2996" s="66" t="s"/>
      <c r="M2996" s="66" t="s"/>
      <c r="N2996" s="572" t="s"/>
      <c r="O2996" s="62" t="s"/>
      <c r="P2996" s="62" t="s"/>
      <c r="Q2996" s="62" t="s"/>
      <c r="R2996" s="62" t="s"/>
    </row>
    <row r="2997" spans="1:18" ht="15.75" customHeight="true">
      <c r="A2997" s="107" t="s"/>
      <c r="B2997" s="62" t="s"/>
      <c r="C2997" s="62" t="s"/>
      <c r="D2997" s="62" t="s"/>
      <c r="E2997" s="62" t="s"/>
      <c r="F2997" s="66" t="s"/>
      <c r="G2997" s="66" t="s"/>
      <c r="H2997" s="66" t="s"/>
      <c r="I2997" s="62" t="s"/>
      <c r="J2997" s="62" t="s"/>
      <c r="K2997" s="99" t="s"/>
      <c r="L2997" s="66" t="s"/>
      <c r="M2997" s="66" t="s"/>
      <c r="N2997" s="572" t="s"/>
      <c r="O2997" s="62" t="s"/>
      <c r="P2997" s="62" t="s"/>
      <c r="Q2997" s="62" t="s"/>
      <c r="R2997" s="62" t="s"/>
    </row>
    <row r="2998" spans="1:18" ht="15.75" customHeight="true">
      <c r="A2998" s="107" t="s"/>
      <c r="B2998" s="62" t="s"/>
      <c r="C2998" s="62" t="s"/>
      <c r="D2998" s="62" t="s"/>
      <c r="E2998" s="62" t="s"/>
      <c r="F2998" s="66" t="s"/>
      <c r="G2998" s="66" t="s"/>
      <c r="H2998" s="66" t="s"/>
      <c r="I2998" s="62" t="s"/>
      <c r="J2998" s="62" t="s"/>
      <c r="K2998" s="99" t="s"/>
      <c r="L2998" s="66" t="s"/>
      <c r="M2998" s="66" t="s"/>
      <c r="N2998" s="572" t="s"/>
      <c r="O2998" s="62" t="s"/>
      <c r="P2998" s="62" t="s"/>
      <c r="Q2998" s="62" t="s"/>
      <c r="R2998" s="62" t="s"/>
    </row>
    <row r="2999" spans="1:18" ht="15.75" customHeight="true">
      <c r="A2999" s="107" t="s"/>
      <c r="B2999" s="62" t="s"/>
      <c r="C2999" s="62" t="s"/>
      <c r="D2999" s="62" t="s"/>
      <c r="E2999" s="62" t="s"/>
      <c r="F2999" s="66" t="s"/>
      <c r="G2999" s="66" t="s"/>
      <c r="H2999" s="66" t="s"/>
      <c r="I2999" s="62" t="s"/>
      <c r="J2999" s="62" t="s"/>
      <c r="K2999" s="99" t="s"/>
      <c r="L2999" s="66" t="s"/>
      <c r="M2999" s="66" t="s"/>
      <c r="N2999" s="572" t="s"/>
      <c r="O2999" s="62" t="s"/>
      <c r="P2999" s="62" t="s"/>
      <c r="Q2999" s="62" t="s"/>
      <c r="R2999" s="62" t="s"/>
    </row>
    <row r="3000" spans="1:18" ht="15.75" customHeight="true">
      <c r="A3000" s="107" t="s"/>
      <c r="B3000" s="62" t="s"/>
      <c r="C3000" s="62" t="s"/>
      <c r="D3000" s="62" t="s"/>
      <c r="E3000" s="62" t="s"/>
      <c r="F3000" s="66" t="s"/>
      <c r="G3000" s="66" t="s"/>
      <c r="H3000" s="66" t="s"/>
      <c r="I3000" s="62" t="s"/>
      <c r="J3000" s="62" t="s"/>
      <c r="K3000" s="99" t="s"/>
      <c r="L3000" s="66" t="s"/>
      <c r="M3000" s="66" t="s"/>
      <c r="N3000" s="572" t="s"/>
      <c r="O3000" s="62" t="s"/>
      <c r="P3000" s="62" t="s"/>
      <c r="Q3000" s="62" t="s"/>
      <c r="R3000" s="62" t="s"/>
    </row>
    <row r="3001" spans="1:18" ht="15.75" customHeight="true">
      <c r="A3001" s="107" t="s"/>
      <c r="B3001" s="62" t="s"/>
      <c r="C3001" s="62" t="s"/>
      <c r="D3001" s="62" t="s"/>
      <c r="E3001" s="62" t="s"/>
      <c r="F3001" s="66" t="s"/>
      <c r="G3001" s="66" t="s"/>
      <c r="H3001" s="66" t="s"/>
      <c r="I3001" s="62" t="s"/>
      <c r="J3001" s="62" t="s"/>
      <c r="K3001" s="99" t="s"/>
      <c r="L3001" s="66" t="s"/>
      <c r="M3001" s="66" t="s"/>
      <c r="N3001" s="572" t="s"/>
      <c r="O3001" s="62" t="s"/>
      <c r="P3001" s="62" t="s"/>
      <c r="Q3001" s="62" t="s"/>
      <c r="R3001" s="62" t="s"/>
    </row>
    <row r="3002" spans="1:18" ht="15.75" customHeight="true">
      <c r="A3002" s="107" t="s"/>
      <c r="B3002" s="62" t="s"/>
      <c r="C3002" s="62" t="s"/>
      <c r="D3002" s="62" t="s"/>
      <c r="E3002" s="62" t="s"/>
      <c r="F3002" s="66" t="s"/>
      <c r="G3002" s="66" t="s"/>
      <c r="H3002" s="66" t="s"/>
      <c r="I3002" s="62" t="s"/>
      <c r="J3002" s="62" t="s"/>
      <c r="K3002" s="99" t="s"/>
      <c r="L3002" s="66" t="s"/>
      <c r="M3002" s="66" t="s"/>
      <c r="N3002" s="572" t="s"/>
      <c r="O3002" s="62" t="s"/>
      <c r="P3002" s="62" t="s"/>
      <c r="Q3002" s="62" t="s"/>
      <c r="R3002" s="62" t="s"/>
    </row>
    <row r="3003" spans="1:18" ht="15.75" customHeight="true">
      <c r="A3003" s="107" t="s"/>
      <c r="B3003" s="62" t="s"/>
      <c r="C3003" s="62" t="s"/>
      <c r="D3003" s="62" t="s"/>
      <c r="E3003" s="62" t="s"/>
      <c r="F3003" s="66" t="s"/>
      <c r="G3003" s="66" t="s"/>
      <c r="H3003" s="66" t="s"/>
      <c r="I3003" s="62" t="s"/>
      <c r="J3003" s="62" t="s"/>
      <c r="K3003" s="99" t="s"/>
      <c r="L3003" s="66" t="s"/>
      <c r="M3003" s="66" t="s"/>
      <c r="N3003" s="572" t="s"/>
      <c r="O3003" s="62" t="s"/>
      <c r="P3003" s="62" t="s"/>
      <c r="Q3003" s="62" t="s"/>
      <c r="R3003" s="62" t="s"/>
    </row>
    <row r="3004" spans="1:18" ht="15.75" customHeight="true">
      <c r="A3004" s="107" t="s"/>
      <c r="B3004" s="62" t="s"/>
      <c r="C3004" s="62" t="s"/>
      <c r="D3004" s="62" t="s"/>
      <c r="E3004" s="62" t="s"/>
      <c r="F3004" s="66" t="s"/>
      <c r="G3004" s="66" t="s"/>
      <c r="H3004" s="66" t="s"/>
      <c r="I3004" s="62" t="s"/>
      <c r="J3004" s="62" t="s"/>
      <c r="K3004" s="99" t="s"/>
      <c r="L3004" s="66" t="s"/>
      <c r="M3004" s="66" t="s"/>
      <c r="N3004" s="572" t="s"/>
      <c r="O3004" s="62" t="s"/>
      <c r="P3004" s="62" t="s"/>
      <c r="Q3004" s="62" t="s"/>
      <c r="R3004" s="62" t="s"/>
    </row>
    <row r="3005" spans="1:18" ht="15.75" customHeight="true">
      <c r="A3005" s="107" t="s"/>
      <c r="B3005" s="62" t="s"/>
      <c r="C3005" s="62" t="s"/>
      <c r="D3005" s="62" t="s"/>
      <c r="E3005" s="62" t="s"/>
      <c r="F3005" s="66" t="s"/>
      <c r="G3005" s="66" t="s"/>
      <c r="H3005" s="66" t="s"/>
      <c r="I3005" s="62" t="s"/>
      <c r="J3005" s="62" t="s"/>
      <c r="K3005" s="99" t="s"/>
      <c r="L3005" s="66" t="s"/>
      <c r="M3005" s="66" t="s"/>
      <c r="N3005" s="572" t="s"/>
      <c r="O3005" s="62" t="s"/>
      <c r="P3005" s="62" t="s"/>
      <c r="Q3005" s="62" t="s"/>
      <c r="R3005" s="62" t="s"/>
    </row>
    <row r="3006" spans="1:18" ht="15.75" customHeight="true">
      <c r="A3006" s="107" t="s"/>
      <c r="B3006" s="62" t="s"/>
      <c r="C3006" s="62" t="s"/>
      <c r="D3006" s="62" t="s"/>
      <c r="E3006" s="62" t="s"/>
      <c r="F3006" s="66" t="s"/>
      <c r="G3006" s="66" t="s"/>
      <c r="H3006" s="66" t="s"/>
      <c r="I3006" s="62" t="s"/>
      <c r="J3006" s="62" t="s"/>
      <c r="K3006" s="99" t="s"/>
      <c r="L3006" s="66" t="s"/>
      <c r="M3006" s="66" t="s"/>
      <c r="N3006" s="572" t="s"/>
      <c r="O3006" s="62" t="s"/>
      <c r="P3006" s="62" t="s"/>
      <c r="Q3006" s="62" t="s"/>
      <c r="R3006" s="62" t="s"/>
    </row>
    <row r="3007" spans="1:18" ht="15.75" customHeight="true">
      <c r="A3007" s="107" t="s"/>
      <c r="B3007" s="62" t="s"/>
      <c r="C3007" s="62" t="s"/>
      <c r="D3007" s="62" t="s"/>
      <c r="E3007" s="62" t="s"/>
      <c r="F3007" s="66" t="s"/>
      <c r="G3007" s="66" t="s"/>
      <c r="H3007" s="66" t="s"/>
      <c r="I3007" s="62" t="s"/>
      <c r="J3007" s="62" t="s"/>
      <c r="K3007" s="99" t="s"/>
      <c r="L3007" s="66" t="s"/>
      <c r="M3007" s="66" t="s"/>
      <c r="N3007" s="572" t="s"/>
      <c r="O3007" s="62" t="s"/>
      <c r="P3007" s="62" t="s"/>
      <c r="Q3007" s="62" t="s"/>
      <c r="R3007" s="62" t="s"/>
    </row>
    <row r="3008" spans="1:18" ht="15.75" customHeight="true">
      <c r="A3008" s="107" t="s"/>
      <c r="B3008" s="62" t="s"/>
      <c r="C3008" s="62" t="s"/>
      <c r="D3008" s="62" t="s"/>
      <c r="E3008" s="62" t="s"/>
      <c r="F3008" s="66" t="s"/>
      <c r="G3008" s="66" t="s"/>
      <c r="H3008" s="66" t="s"/>
      <c r="I3008" s="62" t="s"/>
      <c r="J3008" s="62" t="s"/>
      <c r="K3008" s="99" t="s"/>
      <c r="L3008" s="66" t="s"/>
      <c r="M3008" s="66" t="s"/>
      <c r="N3008" s="572" t="s"/>
      <c r="O3008" s="62" t="s"/>
      <c r="P3008" s="62" t="s"/>
      <c r="Q3008" s="62" t="s"/>
      <c r="R3008" s="62" t="s"/>
    </row>
    <row r="3009" spans="1:18" ht="15.75" customHeight="true">
      <c r="A3009" s="107" t="s"/>
      <c r="B3009" s="62" t="s"/>
      <c r="C3009" s="62" t="s"/>
      <c r="D3009" s="62" t="s"/>
      <c r="E3009" s="62" t="s"/>
      <c r="F3009" s="66" t="s"/>
      <c r="G3009" s="66" t="s"/>
      <c r="H3009" s="66" t="s"/>
      <c r="I3009" s="62" t="s"/>
      <c r="J3009" s="62" t="s"/>
      <c r="K3009" s="99" t="s"/>
      <c r="L3009" s="66" t="s"/>
      <c r="M3009" s="66" t="s"/>
      <c r="N3009" s="572" t="s"/>
      <c r="O3009" s="62" t="s"/>
      <c r="P3009" s="62" t="s"/>
      <c r="Q3009" s="62" t="s"/>
      <c r="R3009" s="62" t="s"/>
    </row>
    <row r="3010" spans="1:18" ht="15.75" customHeight="true">
      <c r="A3010" s="107" t="s"/>
      <c r="B3010" s="62" t="s"/>
      <c r="C3010" s="62" t="s"/>
      <c r="D3010" s="62" t="s"/>
      <c r="E3010" s="62" t="s"/>
      <c r="F3010" s="66" t="s"/>
      <c r="G3010" s="66" t="s"/>
      <c r="H3010" s="66" t="s"/>
      <c r="I3010" s="62" t="s"/>
      <c r="J3010" s="62" t="s"/>
      <c r="K3010" s="99" t="s"/>
      <c r="L3010" s="66" t="s"/>
      <c r="M3010" s="66" t="s"/>
      <c r="N3010" s="572" t="s"/>
      <c r="O3010" s="62" t="s"/>
      <c r="P3010" s="62" t="s"/>
      <c r="Q3010" s="62" t="s"/>
      <c r="R3010" s="62" t="s"/>
    </row>
    <row r="3011" spans="1:18" ht="15.75" customHeight="true">
      <c r="A3011" s="107" t="s"/>
      <c r="B3011" s="62" t="s"/>
      <c r="C3011" s="62" t="s"/>
      <c r="D3011" s="62" t="s"/>
      <c r="E3011" s="62" t="s"/>
      <c r="F3011" s="66" t="s"/>
      <c r="G3011" s="66" t="s"/>
      <c r="H3011" s="66" t="s"/>
      <c r="I3011" s="62" t="s"/>
      <c r="J3011" s="62" t="s"/>
      <c r="K3011" s="99" t="s"/>
      <c r="L3011" s="66" t="s"/>
      <c r="M3011" s="66" t="s"/>
      <c r="N3011" s="572" t="s"/>
      <c r="O3011" s="62" t="s"/>
      <c r="P3011" s="62" t="s"/>
      <c r="Q3011" s="62" t="s"/>
      <c r="R3011" s="62" t="s"/>
    </row>
    <row r="3012" spans="1:18" ht="15.75" customHeight="true">
      <c r="A3012" s="107" t="s"/>
      <c r="B3012" s="62" t="s"/>
      <c r="C3012" s="62" t="s"/>
      <c r="D3012" s="62" t="s"/>
      <c r="E3012" s="62" t="s"/>
      <c r="F3012" s="66" t="s"/>
      <c r="G3012" s="66" t="s"/>
      <c r="H3012" s="66" t="s"/>
      <c r="I3012" s="62" t="s"/>
      <c r="J3012" s="62" t="s"/>
      <c r="K3012" s="99" t="s"/>
      <c r="L3012" s="66" t="s"/>
      <c r="M3012" s="66" t="s"/>
      <c r="N3012" s="572" t="s"/>
      <c r="O3012" s="62" t="s"/>
      <c r="P3012" s="62" t="s"/>
      <c r="Q3012" s="62" t="s"/>
      <c r="R3012" s="62" t="s"/>
    </row>
    <row r="3013" spans="1:18" ht="15.75" customHeight="true">
      <c r="A3013" s="107" t="s"/>
      <c r="B3013" s="62" t="s"/>
      <c r="C3013" s="62" t="s"/>
      <c r="D3013" s="62" t="s"/>
      <c r="E3013" s="62" t="s"/>
      <c r="F3013" s="66" t="s"/>
      <c r="G3013" s="66" t="s"/>
      <c r="H3013" s="66" t="s"/>
      <c r="I3013" s="62" t="s"/>
      <c r="J3013" s="62" t="s"/>
      <c r="K3013" s="99" t="s"/>
      <c r="L3013" s="66" t="s"/>
      <c r="M3013" s="66" t="s"/>
      <c r="N3013" s="572" t="s"/>
      <c r="O3013" s="62" t="s"/>
      <c r="P3013" s="62" t="s"/>
      <c r="Q3013" s="62" t="s"/>
      <c r="R3013" s="62" t="s"/>
    </row>
    <row r="3014" spans="1:18" ht="15.75" customHeight="true">
      <c r="A3014" s="107" t="s"/>
      <c r="B3014" s="62" t="s"/>
      <c r="C3014" s="62" t="s"/>
      <c r="D3014" s="62" t="s"/>
      <c r="E3014" s="62" t="s"/>
      <c r="F3014" s="66" t="s"/>
      <c r="G3014" s="66" t="s"/>
      <c r="H3014" s="66" t="s"/>
      <c r="I3014" s="62" t="s"/>
      <c r="J3014" s="62" t="s"/>
      <c r="K3014" s="99" t="s"/>
      <c r="L3014" s="66" t="s"/>
      <c r="M3014" s="66" t="s"/>
      <c r="N3014" s="572" t="s"/>
      <c r="O3014" s="62" t="s"/>
      <c r="P3014" s="62" t="s"/>
      <c r="Q3014" s="62" t="s"/>
      <c r="R3014" s="62" t="s"/>
    </row>
    <row r="3015" spans="1:18" ht="15.75" customHeight="true">
      <c r="A3015" s="107" t="s"/>
      <c r="B3015" s="62" t="s"/>
      <c r="C3015" s="62" t="s"/>
      <c r="D3015" s="62" t="s"/>
      <c r="E3015" s="62" t="s"/>
      <c r="F3015" s="66" t="s"/>
      <c r="G3015" s="66" t="s"/>
      <c r="H3015" s="66" t="s"/>
      <c r="I3015" s="62" t="s"/>
      <c r="J3015" s="62" t="s"/>
      <c r="K3015" s="99" t="s"/>
      <c r="L3015" s="66" t="s"/>
      <c r="M3015" s="66" t="s"/>
      <c r="N3015" s="572" t="s"/>
      <c r="O3015" s="62" t="s"/>
      <c r="P3015" s="62" t="s"/>
      <c r="Q3015" s="62" t="s"/>
      <c r="R3015" s="62" t="s"/>
    </row>
    <row r="3016" spans="1:18" ht="15.75" customHeight="true">
      <c r="A3016" s="107" t="s"/>
      <c r="B3016" s="62" t="s"/>
      <c r="C3016" s="62" t="s"/>
      <c r="D3016" s="62" t="s"/>
      <c r="E3016" s="62" t="s"/>
      <c r="F3016" s="66" t="s"/>
      <c r="G3016" s="66" t="s"/>
      <c r="H3016" s="66" t="s"/>
      <c r="I3016" s="62" t="s"/>
      <c r="J3016" s="62" t="s"/>
      <c r="K3016" s="99" t="s"/>
      <c r="L3016" s="66" t="s"/>
      <c r="M3016" s="66" t="s"/>
      <c r="N3016" s="572" t="s"/>
      <c r="O3016" s="62" t="s"/>
      <c r="P3016" s="62" t="s"/>
      <c r="Q3016" s="62" t="s"/>
      <c r="R3016" s="62" t="s"/>
    </row>
    <row r="3017" spans="1:18" ht="15.75" customHeight="true">
      <c r="A3017" s="107" t="s"/>
      <c r="B3017" s="62" t="s"/>
      <c r="C3017" s="62" t="s"/>
      <c r="D3017" s="62" t="s"/>
      <c r="E3017" s="62" t="s"/>
      <c r="F3017" s="66" t="s"/>
      <c r="G3017" s="66" t="s"/>
      <c r="H3017" s="66" t="s"/>
      <c r="I3017" s="62" t="s"/>
      <c r="J3017" s="62" t="s"/>
      <c r="K3017" s="99" t="s"/>
      <c r="L3017" s="66" t="s"/>
      <c r="M3017" s="66" t="s"/>
      <c r="N3017" s="572" t="s"/>
      <c r="O3017" s="62" t="s"/>
      <c r="P3017" s="62" t="s"/>
      <c r="Q3017" s="62" t="s"/>
      <c r="R3017" s="62" t="s"/>
    </row>
    <row r="3018" spans="1:18" ht="15.75" customHeight="true">
      <c r="A3018" s="107" t="s"/>
      <c r="B3018" s="62" t="s"/>
      <c r="C3018" s="62" t="s"/>
      <c r="D3018" s="62" t="s"/>
      <c r="E3018" s="62" t="s"/>
      <c r="F3018" s="66" t="s"/>
      <c r="G3018" s="66" t="s"/>
      <c r="H3018" s="66" t="s"/>
      <c r="I3018" s="62" t="s"/>
      <c r="J3018" s="62" t="s"/>
      <c r="K3018" s="99" t="s"/>
      <c r="L3018" s="66" t="s"/>
      <c r="M3018" s="66" t="s"/>
      <c r="N3018" s="572" t="s"/>
      <c r="O3018" s="62" t="s"/>
      <c r="P3018" s="62" t="s"/>
      <c r="Q3018" s="62" t="s"/>
      <c r="R3018" s="62" t="s"/>
    </row>
    <row r="3019" spans="1:18" ht="15.75" customHeight="true">
      <c r="A3019" s="107" t="s"/>
      <c r="B3019" s="62" t="s"/>
      <c r="C3019" s="62" t="s"/>
      <c r="D3019" s="62" t="s"/>
      <c r="E3019" s="62" t="s"/>
      <c r="F3019" s="66" t="s"/>
      <c r="G3019" s="66" t="s"/>
      <c r="H3019" s="66" t="s"/>
      <c r="I3019" s="62" t="s"/>
      <c r="J3019" s="62" t="s"/>
      <c r="K3019" s="99" t="s"/>
      <c r="L3019" s="66" t="s"/>
      <c r="M3019" s="66" t="s"/>
      <c r="N3019" s="572" t="s"/>
      <c r="O3019" s="62" t="s"/>
      <c r="P3019" s="62" t="s"/>
      <c r="Q3019" s="62" t="s"/>
      <c r="R3019" s="62" t="s"/>
    </row>
    <row r="3020" spans="1:18" ht="15.75" customHeight="true">
      <c r="A3020" s="107" t="s"/>
      <c r="B3020" s="62" t="s"/>
      <c r="C3020" s="62" t="s"/>
      <c r="D3020" s="62" t="s"/>
      <c r="E3020" s="62" t="s"/>
      <c r="F3020" s="66" t="s"/>
      <c r="G3020" s="66" t="s"/>
      <c r="H3020" s="66" t="s"/>
      <c r="I3020" s="62" t="s"/>
      <c r="J3020" s="62" t="s"/>
      <c r="K3020" s="99" t="s"/>
      <c r="L3020" s="66" t="s"/>
      <c r="M3020" s="66" t="s"/>
      <c r="N3020" s="572" t="s"/>
      <c r="O3020" s="62" t="s"/>
      <c r="P3020" s="62" t="s"/>
      <c r="Q3020" s="62" t="s"/>
      <c r="R3020" s="62" t="s"/>
    </row>
    <row r="3021" spans="1:18" ht="15.75" customHeight="true">
      <c r="A3021" s="107" t="s"/>
      <c r="B3021" s="62" t="s"/>
      <c r="C3021" s="62" t="s"/>
      <c r="D3021" s="62" t="s"/>
      <c r="E3021" s="62" t="s"/>
      <c r="F3021" s="66" t="s"/>
      <c r="G3021" s="66" t="s"/>
      <c r="H3021" s="66" t="s"/>
      <c r="I3021" s="62" t="s"/>
      <c r="J3021" s="62" t="s"/>
      <c r="K3021" s="99" t="s"/>
      <c r="L3021" s="66" t="s"/>
      <c r="M3021" s="66" t="s"/>
      <c r="N3021" s="572" t="s"/>
      <c r="O3021" s="62" t="s"/>
      <c r="P3021" s="62" t="s"/>
      <c r="Q3021" s="62" t="s"/>
      <c r="R3021" s="62" t="s"/>
    </row>
    <row r="3022" spans="1:18" ht="15.75" customHeight="true">
      <c r="A3022" s="107" t="s"/>
      <c r="B3022" s="62" t="s"/>
      <c r="C3022" s="62" t="s"/>
      <c r="D3022" s="62" t="s"/>
      <c r="E3022" s="62" t="s"/>
      <c r="F3022" s="66" t="s"/>
      <c r="G3022" s="66" t="s"/>
      <c r="H3022" s="66" t="s"/>
      <c r="I3022" s="62" t="s"/>
      <c r="J3022" s="62" t="s"/>
      <c r="K3022" s="99" t="s"/>
      <c r="L3022" s="66" t="s"/>
      <c r="M3022" s="66" t="s"/>
      <c r="N3022" s="572" t="s"/>
      <c r="O3022" s="62" t="s"/>
      <c r="P3022" s="62" t="s"/>
      <c r="Q3022" s="62" t="s"/>
      <c r="R3022" s="62" t="s"/>
    </row>
    <row r="3023" spans="1:18" ht="15.75" customHeight="true">
      <c r="A3023" s="107" t="s"/>
      <c r="B3023" s="62" t="s"/>
      <c r="C3023" s="62" t="s"/>
      <c r="D3023" s="62" t="s"/>
      <c r="E3023" s="62" t="s"/>
      <c r="F3023" s="66" t="s"/>
      <c r="G3023" s="66" t="s"/>
      <c r="H3023" s="66" t="s"/>
      <c r="I3023" s="62" t="s"/>
      <c r="J3023" s="62" t="s"/>
      <c r="K3023" s="99" t="s"/>
      <c r="L3023" s="66" t="s"/>
      <c r="M3023" s="66" t="s"/>
      <c r="N3023" s="572" t="s"/>
      <c r="O3023" s="62" t="s"/>
      <c r="P3023" s="62" t="s"/>
      <c r="Q3023" s="62" t="s"/>
      <c r="R3023" s="62" t="s"/>
    </row>
    <row r="3024" spans="1:18" ht="15.75" customHeight="true">
      <c r="A3024" s="107" t="s"/>
      <c r="B3024" s="62" t="s"/>
      <c r="C3024" s="62" t="s"/>
      <c r="D3024" s="62" t="s"/>
      <c r="E3024" s="62" t="s"/>
      <c r="F3024" s="66" t="s"/>
      <c r="G3024" s="66" t="s"/>
      <c r="H3024" s="66" t="s"/>
      <c r="I3024" s="62" t="s"/>
      <c r="J3024" s="62" t="s"/>
      <c r="K3024" s="99" t="s"/>
      <c r="L3024" s="66" t="s"/>
      <c r="M3024" s="66" t="s"/>
      <c r="N3024" s="572" t="s"/>
      <c r="O3024" s="62" t="s"/>
      <c r="P3024" s="62" t="s"/>
      <c r="Q3024" s="62" t="s"/>
      <c r="R3024" s="62" t="s"/>
    </row>
    <row r="3025" spans="1:18" ht="15.75" customHeight="true">
      <c r="A3025" s="107" t="s"/>
      <c r="B3025" s="62" t="s"/>
      <c r="C3025" s="62" t="s"/>
      <c r="D3025" s="62" t="s"/>
      <c r="E3025" s="62" t="s"/>
      <c r="F3025" s="66" t="s"/>
      <c r="G3025" s="66" t="s"/>
      <c r="H3025" s="66" t="s"/>
      <c r="I3025" s="62" t="s"/>
      <c r="J3025" s="62" t="s"/>
      <c r="K3025" s="99" t="s"/>
      <c r="L3025" s="66" t="s"/>
      <c r="M3025" s="66" t="s"/>
      <c r="N3025" s="572" t="s"/>
      <c r="O3025" s="62" t="s"/>
      <c r="P3025" s="62" t="s"/>
      <c r="Q3025" s="62" t="s"/>
      <c r="R3025" s="62" t="s"/>
    </row>
    <row r="3026" spans="1:18" ht="15.75" customHeight="true">
      <c r="A3026" s="107" t="s"/>
      <c r="B3026" s="62" t="s"/>
      <c r="C3026" s="62" t="s"/>
      <c r="D3026" s="62" t="s"/>
      <c r="E3026" s="62" t="s"/>
      <c r="F3026" s="66" t="s"/>
      <c r="G3026" s="66" t="s"/>
      <c r="H3026" s="66" t="s"/>
      <c r="I3026" s="62" t="s"/>
      <c r="J3026" s="62" t="s"/>
      <c r="K3026" s="99" t="s"/>
      <c r="L3026" s="66" t="s"/>
      <c r="M3026" s="66" t="s"/>
      <c r="N3026" s="572" t="s"/>
      <c r="O3026" s="62" t="s"/>
      <c r="P3026" s="62" t="s"/>
      <c r="Q3026" s="62" t="s"/>
      <c r="R3026" s="62" t="s"/>
    </row>
    <row r="3027" spans="1:18" ht="15.75" customHeight="true">
      <c r="A3027" s="107" t="s"/>
      <c r="B3027" s="62" t="s"/>
      <c r="C3027" s="62" t="s"/>
      <c r="D3027" s="62" t="s"/>
      <c r="E3027" s="62" t="s"/>
      <c r="F3027" s="66" t="s"/>
      <c r="G3027" s="66" t="s"/>
      <c r="H3027" s="66" t="s"/>
      <c r="I3027" s="62" t="s"/>
      <c r="J3027" s="62" t="s"/>
      <c r="K3027" s="99" t="s"/>
      <c r="L3027" s="66" t="s"/>
      <c r="M3027" s="66" t="s"/>
      <c r="N3027" s="572" t="s"/>
      <c r="O3027" s="62" t="s"/>
      <c r="P3027" s="62" t="s"/>
      <c r="Q3027" s="62" t="s"/>
      <c r="R3027" s="62" t="s"/>
    </row>
    <row r="3028" spans="1:18" ht="15.75" customHeight="true">
      <c r="A3028" s="107" t="s"/>
      <c r="B3028" s="62" t="s"/>
      <c r="C3028" s="62" t="s"/>
      <c r="D3028" s="62" t="s"/>
      <c r="E3028" s="62" t="s"/>
      <c r="F3028" s="66" t="s"/>
      <c r="G3028" s="66" t="s"/>
      <c r="H3028" s="66" t="s"/>
      <c r="I3028" s="62" t="s"/>
      <c r="J3028" s="62" t="s"/>
      <c r="K3028" s="99" t="s"/>
      <c r="L3028" s="66" t="s"/>
      <c r="M3028" s="66" t="s"/>
      <c r="N3028" s="572" t="s"/>
      <c r="O3028" s="62" t="s"/>
      <c r="P3028" s="62" t="s"/>
      <c r="Q3028" s="62" t="s"/>
      <c r="R3028" s="62" t="s"/>
    </row>
    <row r="3029" spans="1:18" ht="15.75" customHeight="true">
      <c r="A3029" s="107" t="s"/>
      <c r="B3029" s="62" t="s"/>
      <c r="C3029" s="62" t="s"/>
      <c r="D3029" s="62" t="s"/>
      <c r="E3029" s="62" t="s"/>
      <c r="F3029" s="66" t="s"/>
      <c r="G3029" s="66" t="s"/>
      <c r="H3029" s="66" t="s"/>
      <c r="I3029" s="62" t="s"/>
      <c r="J3029" s="62" t="s"/>
      <c r="K3029" s="99" t="s"/>
      <c r="L3029" s="66" t="s"/>
      <c r="M3029" s="66" t="s"/>
      <c r="N3029" s="572" t="s"/>
      <c r="O3029" s="62" t="s"/>
      <c r="P3029" s="62" t="s"/>
      <c r="Q3029" s="62" t="s"/>
      <c r="R3029" s="62" t="s"/>
    </row>
    <row r="3030" spans="1:18" ht="15.75" customHeight="true">
      <c r="A3030" s="107" t="s"/>
      <c r="B3030" s="62" t="s"/>
      <c r="C3030" s="62" t="s"/>
      <c r="D3030" s="62" t="s"/>
      <c r="E3030" s="62" t="s"/>
      <c r="F3030" s="66" t="s"/>
      <c r="G3030" s="66" t="s"/>
      <c r="H3030" s="66" t="s"/>
      <c r="I3030" s="62" t="s"/>
      <c r="J3030" s="62" t="s"/>
      <c r="K3030" s="99" t="s"/>
      <c r="L3030" s="66" t="s"/>
      <c r="M3030" s="66" t="s"/>
      <c r="N3030" s="572" t="s"/>
      <c r="O3030" s="62" t="s"/>
      <c r="P3030" s="62" t="s"/>
      <c r="Q3030" s="62" t="s"/>
      <c r="R3030" s="62" t="s"/>
    </row>
    <row r="3031" spans="1:18" ht="15.75" customHeight="true">
      <c r="A3031" s="107" t="s"/>
      <c r="B3031" s="62" t="s"/>
      <c r="C3031" s="62" t="s"/>
      <c r="D3031" s="62" t="s"/>
      <c r="E3031" s="62" t="s"/>
      <c r="F3031" s="66" t="s"/>
      <c r="G3031" s="66" t="s"/>
      <c r="H3031" s="66" t="s"/>
      <c r="I3031" s="62" t="s"/>
      <c r="J3031" s="62" t="s"/>
      <c r="K3031" s="99" t="s"/>
      <c r="L3031" s="66" t="s"/>
      <c r="M3031" s="66" t="s"/>
      <c r="N3031" s="572" t="s"/>
      <c r="O3031" s="62" t="s"/>
      <c r="P3031" s="62" t="s"/>
      <c r="Q3031" s="62" t="s"/>
      <c r="R3031" s="62" t="s"/>
    </row>
    <row r="3032" spans="1:18" ht="15.75" customHeight="true">
      <c r="A3032" s="107" t="s"/>
      <c r="B3032" s="62" t="s"/>
      <c r="C3032" s="62" t="s"/>
      <c r="D3032" s="62" t="s"/>
      <c r="E3032" s="62" t="s"/>
      <c r="F3032" s="66" t="s"/>
      <c r="G3032" s="66" t="s"/>
      <c r="H3032" s="66" t="s"/>
      <c r="I3032" s="62" t="s"/>
      <c r="J3032" s="62" t="s"/>
      <c r="K3032" s="99" t="s"/>
      <c r="L3032" s="66" t="s"/>
      <c r="M3032" s="66" t="s"/>
      <c r="N3032" s="572" t="s"/>
      <c r="O3032" s="62" t="s"/>
      <c r="P3032" s="62" t="s"/>
      <c r="Q3032" s="62" t="s"/>
      <c r="R3032" s="62" t="s"/>
    </row>
    <row r="3033" spans="1:18" ht="15.75" customHeight="true">
      <c r="A3033" s="107" t="s"/>
      <c r="B3033" s="62" t="s"/>
      <c r="C3033" s="62" t="s"/>
      <c r="D3033" s="62" t="s"/>
      <c r="E3033" s="62" t="s"/>
      <c r="F3033" s="66" t="s"/>
      <c r="G3033" s="66" t="s"/>
      <c r="H3033" s="66" t="s"/>
      <c r="I3033" s="62" t="s"/>
      <c r="J3033" s="62" t="s"/>
      <c r="K3033" s="99" t="s"/>
      <c r="L3033" s="66" t="s"/>
      <c r="M3033" s="66" t="s"/>
      <c r="N3033" s="572" t="s"/>
      <c r="O3033" s="62" t="s"/>
      <c r="P3033" s="62" t="s"/>
      <c r="Q3033" s="62" t="s"/>
      <c r="R3033" s="62" t="s"/>
    </row>
    <row r="3034" spans="1:18" ht="15.75" customHeight="true">
      <c r="A3034" s="107" t="s"/>
      <c r="B3034" s="62" t="s"/>
      <c r="C3034" s="62" t="s"/>
      <c r="D3034" s="62" t="s"/>
      <c r="E3034" s="62" t="s"/>
      <c r="F3034" s="66" t="s"/>
      <c r="G3034" s="66" t="s"/>
      <c r="H3034" s="66" t="s"/>
      <c r="I3034" s="62" t="s"/>
      <c r="J3034" s="62" t="s"/>
      <c r="K3034" s="99" t="s"/>
      <c r="L3034" s="66" t="s"/>
      <c r="M3034" s="66" t="s"/>
      <c r="N3034" s="572" t="s"/>
      <c r="O3034" s="62" t="s"/>
      <c r="P3034" s="62" t="s"/>
      <c r="Q3034" s="62" t="s"/>
      <c r="R3034" s="62" t="s"/>
    </row>
    <row r="3035" spans="1:18" ht="15.75" customHeight="true">
      <c r="A3035" s="107" t="s"/>
      <c r="B3035" s="62" t="s"/>
      <c r="C3035" s="62" t="s"/>
      <c r="D3035" s="62" t="s"/>
      <c r="E3035" s="62" t="s"/>
      <c r="F3035" s="66" t="s"/>
      <c r="G3035" s="66" t="s"/>
      <c r="H3035" s="66" t="s"/>
      <c r="I3035" s="62" t="s"/>
      <c r="J3035" s="62" t="s"/>
      <c r="K3035" s="99" t="s"/>
      <c r="L3035" s="66" t="s"/>
      <c r="M3035" s="66" t="s"/>
      <c r="N3035" s="572" t="s"/>
      <c r="O3035" s="62" t="s"/>
      <c r="P3035" s="62" t="s"/>
      <c r="Q3035" s="62" t="s"/>
      <c r="R3035" s="62" t="s"/>
    </row>
    <row r="3036" spans="1:18" ht="15.75" customHeight="true">
      <c r="A3036" s="107" t="s"/>
      <c r="B3036" s="62" t="s"/>
      <c r="C3036" s="62" t="s"/>
      <c r="D3036" s="62" t="s"/>
      <c r="E3036" s="62" t="s"/>
      <c r="F3036" s="66" t="s"/>
      <c r="G3036" s="66" t="s"/>
      <c r="H3036" s="66" t="s"/>
      <c r="I3036" s="62" t="s"/>
      <c r="J3036" s="62" t="s"/>
      <c r="K3036" s="99" t="s"/>
      <c r="L3036" s="66" t="s"/>
      <c r="M3036" s="66" t="s"/>
      <c r="N3036" s="572" t="s"/>
      <c r="O3036" s="62" t="s"/>
      <c r="P3036" s="62" t="s"/>
      <c r="Q3036" s="62" t="s"/>
      <c r="R3036" s="62" t="s"/>
    </row>
    <row r="3037" spans="1:18" ht="15.75" customHeight="true">
      <c r="A3037" s="107" t="s"/>
      <c r="B3037" s="62" t="s"/>
      <c r="C3037" s="62" t="s"/>
      <c r="D3037" s="62" t="s"/>
      <c r="E3037" s="62" t="s"/>
      <c r="F3037" s="66" t="s"/>
      <c r="G3037" s="66" t="s"/>
      <c r="H3037" s="66" t="s"/>
      <c r="I3037" s="62" t="s"/>
      <c r="J3037" s="62" t="s"/>
      <c r="K3037" s="99" t="s"/>
      <c r="L3037" s="66" t="s"/>
      <c r="M3037" s="66" t="s"/>
      <c r="N3037" s="572" t="s"/>
      <c r="O3037" s="62" t="s"/>
      <c r="P3037" s="62" t="s"/>
      <c r="Q3037" s="62" t="s"/>
      <c r="R3037" s="62" t="s"/>
    </row>
    <row r="3038" spans="1:18" ht="15.75" customHeight="true">
      <c r="A3038" s="107" t="s"/>
      <c r="B3038" s="62" t="s"/>
      <c r="C3038" s="62" t="s"/>
      <c r="D3038" s="62" t="s"/>
      <c r="E3038" s="62" t="s"/>
      <c r="F3038" s="66" t="s"/>
      <c r="G3038" s="66" t="s"/>
      <c r="H3038" s="66" t="s"/>
      <c r="I3038" s="62" t="s"/>
      <c r="J3038" s="62" t="s"/>
      <c r="K3038" s="99" t="s"/>
      <c r="L3038" s="66" t="s"/>
      <c r="M3038" s="66" t="s"/>
      <c r="N3038" s="572" t="s"/>
      <c r="O3038" s="62" t="s"/>
      <c r="P3038" s="62" t="s"/>
      <c r="Q3038" s="62" t="s"/>
      <c r="R3038" s="62" t="s"/>
    </row>
    <row r="3039" spans="1:18" ht="15.75" customHeight="true">
      <c r="A3039" s="107" t="s"/>
      <c r="B3039" s="62" t="s"/>
      <c r="C3039" s="62" t="s"/>
      <c r="D3039" s="62" t="s"/>
      <c r="E3039" s="62" t="s"/>
      <c r="F3039" s="66" t="s"/>
      <c r="G3039" s="66" t="s"/>
      <c r="H3039" s="66" t="s"/>
      <c r="I3039" s="62" t="s"/>
      <c r="J3039" s="62" t="s"/>
      <c r="K3039" s="99" t="s"/>
      <c r="L3039" s="66" t="s"/>
      <c r="M3039" s="66" t="s"/>
      <c r="N3039" s="572" t="s"/>
      <c r="O3039" s="62" t="s"/>
      <c r="P3039" s="62" t="s"/>
      <c r="Q3039" s="62" t="s"/>
      <c r="R3039" s="62" t="s"/>
    </row>
    <row r="3040" spans="1:18" ht="15.75" customHeight="true">
      <c r="A3040" s="107" t="s"/>
      <c r="B3040" s="62" t="s"/>
      <c r="C3040" s="62" t="s"/>
      <c r="D3040" s="62" t="s"/>
      <c r="E3040" s="62" t="s"/>
      <c r="F3040" s="66" t="s"/>
      <c r="G3040" s="66" t="s"/>
      <c r="H3040" s="66" t="s"/>
      <c r="I3040" s="62" t="s"/>
      <c r="J3040" s="62" t="s"/>
      <c r="K3040" s="99" t="s"/>
      <c r="L3040" s="66" t="s"/>
      <c r="M3040" s="66" t="s"/>
      <c r="N3040" s="572" t="s"/>
      <c r="O3040" s="62" t="s"/>
      <c r="P3040" s="62" t="s"/>
      <c r="Q3040" s="62" t="s"/>
      <c r="R3040" s="62" t="s"/>
    </row>
    <row r="3041" spans="1:18" ht="15.75" customHeight="true">
      <c r="A3041" s="107" t="s"/>
      <c r="B3041" s="62" t="s"/>
      <c r="C3041" s="62" t="s"/>
      <c r="D3041" s="62" t="s"/>
      <c r="E3041" s="62" t="s"/>
      <c r="F3041" s="66" t="s"/>
      <c r="G3041" s="66" t="s"/>
      <c r="H3041" s="66" t="s"/>
      <c r="I3041" s="62" t="s"/>
      <c r="J3041" s="62" t="s"/>
      <c r="K3041" s="99" t="s"/>
      <c r="L3041" s="66" t="s"/>
      <c r="M3041" s="66" t="s"/>
      <c r="N3041" s="572" t="s"/>
      <c r="O3041" s="62" t="s"/>
      <c r="P3041" s="62" t="s"/>
      <c r="Q3041" s="62" t="s"/>
      <c r="R3041" s="62" t="s"/>
    </row>
    <row r="3042" spans="1:18" ht="15.75" customHeight="true">
      <c r="A3042" s="107" t="s"/>
      <c r="B3042" s="62" t="s"/>
      <c r="C3042" s="62" t="s"/>
      <c r="D3042" s="62" t="s"/>
      <c r="E3042" s="62" t="s"/>
      <c r="F3042" s="66" t="s"/>
      <c r="G3042" s="66" t="s"/>
      <c r="H3042" s="66" t="s"/>
      <c r="I3042" s="62" t="s"/>
      <c r="J3042" s="62" t="s"/>
      <c r="K3042" s="99" t="s"/>
      <c r="L3042" s="66" t="s"/>
      <c r="M3042" s="66" t="s"/>
      <c r="N3042" s="572" t="s"/>
      <c r="O3042" s="62" t="s"/>
      <c r="P3042" s="62" t="s"/>
      <c r="Q3042" s="62" t="s"/>
      <c r="R3042" s="62" t="s"/>
    </row>
    <row r="3043" spans="1:18" ht="15.75" customHeight="true">
      <c r="A3043" s="107" t="s"/>
      <c r="B3043" s="62" t="s"/>
      <c r="C3043" s="62" t="s"/>
      <c r="D3043" s="62" t="s"/>
      <c r="E3043" s="62" t="s"/>
      <c r="F3043" s="66" t="s"/>
      <c r="G3043" s="66" t="s"/>
      <c r="H3043" s="66" t="s"/>
      <c r="I3043" s="62" t="s"/>
      <c r="J3043" s="62" t="s"/>
      <c r="K3043" s="99" t="s"/>
      <c r="L3043" s="66" t="s"/>
      <c r="M3043" s="66" t="s"/>
      <c r="N3043" s="572" t="s"/>
      <c r="O3043" s="62" t="s"/>
      <c r="P3043" s="62" t="s"/>
      <c r="Q3043" s="62" t="s"/>
      <c r="R3043" s="62" t="s"/>
    </row>
    <row r="3044" spans="1:18" ht="15.75" customHeight="true">
      <c r="A3044" s="107" t="s"/>
      <c r="B3044" s="62" t="s"/>
      <c r="C3044" s="62" t="s"/>
      <c r="D3044" s="62" t="s"/>
      <c r="E3044" s="62" t="s"/>
      <c r="F3044" s="66" t="s"/>
      <c r="G3044" s="66" t="s"/>
      <c r="H3044" s="66" t="s"/>
      <c r="I3044" s="62" t="s"/>
      <c r="J3044" s="62" t="s"/>
      <c r="K3044" s="99" t="s"/>
      <c r="L3044" s="66" t="s"/>
      <c r="M3044" s="66" t="s"/>
      <c r="N3044" s="572" t="s"/>
      <c r="O3044" s="62" t="s"/>
      <c r="P3044" s="62" t="s"/>
      <c r="Q3044" s="62" t="s"/>
      <c r="R3044" s="62" t="s"/>
    </row>
    <row r="3045" spans="1:18" ht="15.75" customHeight="true">
      <c r="A3045" s="107" t="s"/>
      <c r="B3045" s="62" t="s"/>
      <c r="C3045" s="62" t="s"/>
      <c r="D3045" s="62" t="s"/>
      <c r="E3045" s="62" t="s"/>
      <c r="F3045" s="66" t="s"/>
      <c r="G3045" s="66" t="s"/>
      <c r="H3045" s="66" t="s"/>
      <c r="I3045" s="62" t="s"/>
      <c r="J3045" s="62" t="s"/>
      <c r="K3045" s="99" t="s"/>
      <c r="L3045" s="66" t="s"/>
      <c r="M3045" s="66" t="s"/>
      <c r="N3045" s="572" t="s"/>
      <c r="O3045" s="62" t="s"/>
      <c r="P3045" s="62" t="s"/>
      <c r="Q3045" s="62" t="s"/>
      <c r="R3045" s="62" t="s"/>
    </row>
    <row r="3046" spans="1:18" ht="15.75" customHeight="true">
      <c r="A3046" s="107" t="s"/>
      <c r="B3046" s="62" t="s"/>
      <c r="C3046" s="62" t="s"/>
      <c r="D3046" s="62" t="s"/>
      <c r="E3046" s="62" t="s"/>
      <c r="F3046" s="66" t="s"/>
      <c r="G3046" s="66" t="s"/>
      <c r="H3046" s="66" t="s"/>
      <c r="I3046" s="62" t="s"/>
      <c r="J3046" s="62" t="s"/>
      <c r="K3046" s="99" t="s"/>
      <c r="L3046" s="66" t="s"/>
      <c r="M3046" s="66" t="s"/>
      <c r="N3046" s="572" t="s"/>
      <c r="O3046" s="62" t="s"/>
      <c r="P3046" s="62" t="s"/>
      <c r="Q3046" s="62" t="s"/>
      <c r="R3046" s="62" t="s"/>
    </row>
    <row r="3047" spans="1:18" ht="15.75" customHeight="true">
      <c r="A3047" s="107" t="s"/>
      <c r="B3047" s="62" t="s"/>
      <c r="C3047" s="62" t="s"/>
      <c r="D3047" s="62" t="s"/>
      <c r="E3047" s="62" t="s"/>
      <c r="F3047" s="66" t="s"/>
      <c r="G3047" s="66" t="s"/>
      <c r="H3047" s="66" t="s"/>
      <c r="I3047" s="62" t="s"/>
      <c r="J3047" s="62" t="s"/>
      <c r="K3047" s="99" t="s"/>
      <c r="L3047" s="66" t="s"/>
      <c r="M3047" s="66" t="s"/>
      <c r="N3047" s="572" t="s"/>
      <c r="O3047" s="62" t="s"/>
      <c r="P3047" s="62" t="s"/>
      <c r="Q3047" s="62" t="s"/>
      <c r="R3047" s="62" t="s"/>
    </row>
    <row r="3048" spans="1:18" ht="15.75" customHeight="true">
      <c r="A3048" s="107" t="s"/>
      <c r="B3048" s="62" t="s"/>
      <c r="C3048" s="62" t="s"/>
      <c r="D3048" s="62" t="s"/>
      <c r="E3048" s="62" t="s"/>
      <c r="F3048" s="66" t="s"/>
      <c r="G3048" s="66" t="s"/>
      <c r="H3048" s="66" t="s"/>
      <c r="I3048" s="62" t="s"/>
      <c r="J3048" s="62" t="s"/>
      <c r="K3048" s="99" t="s"/>
      <c r="L3048" s="66" t="s"/>
      <c r="M3048" s="66" t="s"/>
      <c r="N3048" s="572" t="s"/>
      <c r="O3048" s="62" t="s"/>
      <c r="P3048" s="62" t="s"/>
      <c r="Q3048" s="62" t="s"/>
      <c r="R3048" s="62" t="s"/>
    </row>
    <row r="3049" spans="1:18" ht="15.75" customHeight="true">
      <c r="A3049" s="107" t="s"/>
      <c r="B3049" s="62" t="s"/>
      <c r="C3049" s="62" t="s"/>
      <c r="D3049" s="62" t="s"/>
      <c r="E3049" s="62" t="s"/>
      <c r="F3049" s="66" t="s"/>
      <c r="G3049" s="66" t="s"/>
      <c r="H3049" s="66" t="s"/>
      <c r="I3049" s="62" t="s"/>
      <c r="J3049" s="62" t="s"/>
      <c r="K3049" s="99" t="s"/>
      <c r="L3049" s="66" t="s"/>
      <c r="M3049" s="66" t="s"/>
      <c r="N3049" s="572" t="s"/>
      <c r="O3049" s="62" t="s"/>
      <c r="P3049" s="62" t="s"/>
      <c r="Q3049" s="62" t="s"/>
      <c r="R3049" s="62" t="s"/>
    </row>
    <row r="3050" spans="1:18" ht="15.75" customHeight="true">
      <c r="A3050" s="107" t="s"/>
      <c r="B3050" s="62" t="s"/>
      <c r="C3050" s="62" t="s"/>
      <c r="D3050" s="62" t="s"/>
      <c r="E3050" s="62" t="s"/>
      <c r="F3050" s="66" t="s"/>
      <c r="G3050" s="66" t="s"/>
      <c r="H3050" s="66" t="s"/>
      <c r="I3050" s="62" t="s"/>
      <c r="J3050" s="62" t="s"/>
      <c r="K3050" s="99" t="s"/>
      <c r="L3050" s="66" t="s"/>
      <c r="M3050" s="66" t="s"/>
      <c r="N3050" s="572" t="s"/>
      <c r="O3050" s="62" t="s"/>
      <c r="P3050" s="62" t="s"/>
      <c r="Q3050" s="62" t="s"/>
      <c r="R3050" s="62" t="s"/>
    </row>
    <row r="3051" spans="1:18" ht="15.75" customHeight="true">
      <c r="A3051" s="107" t="s"/>
      <c r="B3051" s="62" t="s"/>
      <c r="C3051" s="62" t="s"/>
      <c r="D3051" s="62" t="s"/>
      <c r="E3051" s="62" t="s"/>
      <c r="F3051" s="66" t="s"/>
      <c r="G3051" s="66" t="s"/>
      <c r="H3051" s="66" t="s"/>
      <c r="I3051" s="62" t="s"/>
      <c r="J3051" s="62" t="s"/>
      <c r="K3051" s="99" t="s"/>
      <c r="L3051" s="66" t="s"/>
      <c r="M3051" s="66" t="s"/>
      <c r="N3051" s="572" t="s"/>
      <c r="O3051" s="62" t="s"/>
      <c r="P3051" s="62" t="s"/>
      <c r="Q3051" s="62" t="s"/>
      <c r="R3051" s="62" t="s"/>
    </row>
    <row r="3052" spans="1:18" ht="15.75" customHeight="true">
      <c r="A3052" s="107" t="s"/>
      <c r="B3052" s="62" t="s"/>
      <c r="C3052" s="62" t="s"/>
      <c r="D3052" s="62" t="s"/>
      <c r="E3052" s="62" t="s"/>
      <c r="F3052" s="66" t="s"/>
      <c r="G3052" s="66" t="s"/>
      <c r="H3052" s="66" t="s"/>
      <c r="I3052" s="62" t="s"/>
      <c r="J3052" s="62" t="s"/>
      <c r="K3052" s="99" t="s"/>
      <c r="L3052" s="66" t="s"/>
      <c r="M3052" s="66" t="s"/>
      <c r="N3052" s="572" t="s"/>
      <c r="O3052" s="62" t="s"/>
      <c r="P3052" s="62" t="s"/>
      <c r="Q3052" s="62" t="s"/>
      <c r="R3052" s="62" t="s"/>
    </row>
    <row r="3053" spans="1:18" ht="15.75" customHeight="true">
      <c r="A3053" s="107" t="s"/>
      <c r="B3053" s="62" t="s"/>
      <c r="C3053" s="62" t="s"/>
      <c r="D3053" s="62" t="s"/>
      <c r="E3053" s="62" t="s"/>
      <c r="F3053" s="66" t="s"/>
      <c r="G3053" s="66" t="s"/>
      <c r="H3053" s="66" t="s"/>
      <c r="I3053" s="62" t="s"/>
      <c r="J3053" s="62" t="s"/>
      <c r="K3053" s="99" t="s"/>
      <c r="L3053" s="66" t="s"/>
      <c r="M3053" s="66" t="s"/>
      <c r="N3053" s="572" t="s"/>
      <c r="O3053" s="62" t="s"/>
      <c r="P3053" s="62" t="s"/>
      <c r="Q3053" s="62" t="s"/>
      <c r="R3053" s="62" t="s"/>
    </row>
    <row r="3054" spans="1:18" ht="15.75" customHeight="true">
      <c r="A3054" s="107" t="s"/>
      <c r="B3054" s="62" t="s"/>
      <c r="C3054" s="62" t="s"/>
      <c r="D3054" s="62" t="s"/>
      <c r="E3054" s="62" t="s"/>
      <c r="F3054" s="66" t="s"/>
      <c r="G3054" s="66" t="s"/>
      <c r="H3054" s="66" t="s"/>
      <c r="I3054" s="62" t="s"/>
      <c r="J3054" s="62" t="s"/>
      <c r="K3054" s="99" t="s"/>
      <c r="L3054" s="66" t="s"/>
      <c r="M3054" s="66" t="s"/>
      <c r="N3054" s="572" t="s"/>
      <c r="O3054" s="62" t="s"/>
      <c r="P3054" s="62" t="s"/>
      <c r="Q3054" s="62" t="s"/>
      <c r="R3054" s="62" t="s"/>
    </row>
    <row r="3055" spans="1:18" ht="15.75" customHeight="true">
      <c r="A3055" s="107" t="s"/>
      <c r="B3055" s="62" t="s"/>
      <c r="C3055" s="62" t="s"/>
      <c r="D3055" s="62" t="s"/>
      <c r="E3055" s="62" t="s"/>
      <c r="F3055" s="66" t="s"/>
      <c r="G3055" s="66" t="s"/>
      <c r="H3055" s="66" t="s"/>
      <c r="I3055" s="62" t="s"/>
      <c r="J3055" s="62" t="s"/>
      <c r="K3055" s="99" t="s"/>
      <c r="L3055" s="66" t="s"/>
      <c r="M3055" s="66" t="s"/>
      <c r="N3055" s="572" t="s"/>
      <c r="O3055" s="62" t="s"/>
      <c r="P3055" s="62" t="s"/>
      <c r="Q3055" s="62" t="s"/>
      <c r="R3055" s="62" t="s"/>
    </row>
    <row r="3056" spans="1:18" ht="15.75" customHeight="true">
      <c r="A3056" s="107" t="s"/>
      <c r="B3056" s="62" t="s"/>
      <c r="C3056" s="62" t="s"/>
      <c r="D3056" s="62" t="s"/>
      <c r="E3056" s="62" t="s"/>
      <c r="F3056" s="66" t="s"/>
      <c r="G3056" s="66" t="s"/>
      <c r="H3056" s="66" t="s"/>
      <c r="I3056" s="62" t="s"/>
      <c r="J3056" s="62" t="s"/>
      <c r="K3056" s="99" t="s"/>
      <c r="L3056" s="66" t="s"/>
      <c r="M3056" s="66" t="s"/>
      <c r="N3056" s="572" t="s"/>
      <c r="O3056" s="62" t="s"/>
      <c r="P3056" s="62" t="s"/>
      <c r="Q3056" s="62" t="s"/>
      <c r="R3056" s="62" t="s"/>
    </row>
    <row r="3057" spans="1:18" ht="15.75" customHeight="true">
      <c r="A3057" s="107" t="s"/>
      <c r="B3057" s="62" t="s"/>
      <c r="C3057" s="62" t="s"/>
      <c r="D3057" s="62" t="s"/>
      <c r="E3057" s="62" t="s"/>
      <c r="F3057" s="66" t="s"/>
      <c r="G3057" s="66" t="s"/>
      <c r="H3057" s="66" t="s"/>
      <c r="I3057" s="62" t="s"/>
      <c r="J3057" s="62" t="s"/>
      <c r="K3057" s="99" t="s"/>
      <c r="L3057" s="66" t="s"/>
      <c r="M3057" s="66" t="s"/>
      <c r="N3057" s="572" t="s"/>
      <c r="O3057" s="62" t="s"/>
      <c r="P3057" s="62" t="s"/>
      <c r="Q3057" s="62" t="s"/>
      <c r="R3057" s="62" t="s"/>
    </row>
    <row r="3058" spans="1:18" ht="15.75" customHeight="true">
      <c r="A3058" s="107" t="s"/>
      <c r="B3058" s="62" t="s"/>
      <c r="C3058" s="62" t="s"/>
      <c r="D3058" s="62" t="s"/>
      <c r="E3058" s="62" t="s"/>
      <c r="F3058" s="66" t="s"/>
      <c r="G3058" s="66" t="s"/>
      <c r="H3058" s="66" t="s"/>
      <c r="I3058" s="62" t="s"/>
      <c r="J3058" s="62" t="s"/>
      <c r="K3058" s="99" t="s"/>
      <c r="L3058" s="66" t="s"/>
      <c r="M3058" s="66" t="s"/>
      <c r="N3058" s="572" t="s"/>
      <c r="O3058" s="62" t="s"/>
      <c r="P3058" s="62" t="s"/>
      <c r="Q3058" s="62" t="s"/>
      <c r="R3058" s="62" t="s"/>
    </row>
    <row r="3059" spans="1:18" ht="15.75" customHeight="true">
      <c r="A3059" s="107" t="s"/>
      <c r="B3059" s="62" t="s"/>
      <c r="C3059" s="62" t="s"/>
      <c r="D3059" s="62" t="s"/>
      <c r="E3059" s="62" t="s"/>
      <c r="F3059" s="66" t="s"/>
      <c r="G3059" s="66" t="s"/>
      <c r="H3059" s="66" t="s"/>
      <c r="I3059" s="62" t="s"/>
      <c r="J3059" s="62" t="s"/>
      <c r="K3059" s="99" t="s"/>
      <c r="L3059" s="66" t="s"/>
      <c r="M3059" s="66" t="s"/>
      <c r="N3059" s="572" t="s"/>
      <c r="O3059" s="62" t="s"/>
      <c r="P3059" s="62" t="s"/>
      <c r="Q3059" s="62" t="s"/>
      <c r="R3059" s="62" t="s"/>
    </row>
    <row r="3060" spans="1:18" ht="15.75" customHeight="true">
      <c r="A3060" s="107" t="s"/>
      <c r="B3060" s="62" t="s"/>
      <c r="C3060" s="62" t="s"/>
      <c r="D3060" s="62" t="s"/>
      <c r="E3060" s="62" t="s"/>
      <c r="F3060" s="66" t="s"/>
      <c r="G3060" s="66" t="s"/>
      <c r="H3060" s="66" t="s"/>
      <c r="I3060" s="62" t="s"/>
      <c r="J3060" s="62" t="s"/>
      <c r="K3060" s="99" t="s"/>
      <c r="L3060" s="66" t="s"/>
      <c r="M3060" s="66" t="s"/>
      <c r="N3060" s="572" t="s"/>
      <c r="O3060" s="62" t="s"/>
      <c r="P3060" s="62" t="s"/>
      <c r="Q3060" s="62" t="s"/>
      <c r="R3060" s="62" t="s"/>
    </row>
    <row r="3061" spans="1:18" ht="15.75" customHeight="true">
      <c r="A3061" s="107" t="s"/>
      <c r="B3061" s="62" t="s"/>
      <c r="C3061" s="62" t="s"/>
      <c r="D3061" s="62" t="s"/>
      <c r="E3061" s="62" t="s"/>
      <c r="F3061" s="66" t="s"/>
      <c r="G3061" s="66" t="s"/>
      <c r="H3061" s="66" t="s"/>
      <c r="I3061" s="62" t="s"/>
      <c r="J3061" s="62" t="s"/>
      <c r="K3061" s="99" t="s"/>
      <c r="L3061" s="66" t="s"/>
      <c r="M3061" s="66" t="s"/>
      <c r="N3061" s="572" t="s"/>
      <c r="O3061" s="62" t="s"/>
      <c r="P3061" s="62" t="s"/>
      <c r="Q3061" s="62" t="s"/>
      <c r="R3061" s="62" t="s"/>
    </row>
    <row r="3062" spans="1:18" ht="15.75" customHeight="true">
      <c r="A3062" s="107" t="s"/>
      <c r="B3062" s="62" t="s"/>
      <c r="C3062" s="62" t="s"/>
      <c r="D3062" s="62" t="s"/>
      <c r="E3062" s="62" t="s"/>
      <c r="F3062" s="66" t="s"/>
      <c r="G3062" s="66" t="s"/>
      <c r="H3062" s="66" t="s"/>
      <c r="I3062" s="62" t="s"/>
      <c r="J3062" s="62" t="s"/>
      <c r="K3062" s="99" t="s"/>
      <c r="L3062" s="66" t="s"/>
      <c r="M3062" s="66" t="s"/>
      <c r="N3062" s="572" t="s"/>
      <c r="O3062" s="62" t="s"/>
      <c r="P3062" s="62" t="s"/>
      <c r="Q3062" s="62" t="s"/>
      <c r="R3062" s="62" t="s"/>
    </row>
    <row r="3063" spans="1:18" ht="15.75" customHeight="true">
      <c r="A3063" s="107" t="s"/>
      <c r="B3063" s="62" t="s"/>
      <c r="C3063" s="62" t="s"/>
      <c r="D3063" s="62" t="s"/>
      <c r="E3063" s="62" t="s"/>
      <c r="F3063" s="66" t="s"/>
      <c r="G3063" s="66" t="s"/>
      <c r="H3063" s="66" t="s"/>
      <c r="I3063" s="62" t="s"/>
      <c r="J3063" s="62" t="s"/>
      <c r="K3063" s="99" t="s"/>
      <c r="L3063" s="66" t="s"/>
      <c r="M3063" s="66" t="s"/>
      <c r="N3063" s="572" t="s"/>
      <c r="O3063" s="62" t="s"/>
      <c r="P3063" s="62" t="s"/>
      <c r="Q3063" s="62" t="s"/>
      <c r="R3063" s="62" t="s"/>
    </row>
    <row r="3064" spans="1:18" ht="15.75" customHeight="true">
      <c r="A3064" s="107" t="s"/>
      <c r="B3064" s="62" t="s"/>
      <c r="C3064" s="62" t="s"/>
      <c r="D3064" s="62" t="s"/>
      <c r="E3064" s="62" t="s"/>
      <c r="F3064" s="66" t="s"/>
      <c r="G3064" s="66" t="s"/>
      <c r="H3064" s="66" t="s"/>
      <c r="I3064" s="62" t="s"/>
      <c r="J3064" s="62" t="s"/>
      <c r="K3064" s="99" t="s"/>
      <c r="L3064" s="66" t="s"/>
      <c r="M3064" s="66" t="s"/>
      <c r="N3064" s="572" t="s"/>
      <c r="O3064" s="62" t="s"/>
      <c r="P3064" s="62" t="s"/>
      <c r="Q3064" s="62" t="s"/>
      <c r="R3064" s="62" t="s"/>
    </row>
    <row r="3065" spans="1:18" ht="15.75" customHeight="true">
      <c r="A3065" s="107" t="s"/>
      <c r="B3065" s="62" t="s"/>
      <c r="C3065" s="62" t="s"/>
      <c r="D3065" s="62" t="s"/>
      <c r="E3065" s="62" t="s"/>
      <c r="F3065" s="66" t="s"/>
      <c r="G3065" s="66" t="s"/>
      <c r="H3065" s="66" t="s"/>
      <c r="I3065" s="62" t="s"/>
      <c r="J3065" s="62" t="s"/>
      <c r="K3065" s="99" t="s"/>
      <c r="L3065" s="66" t="s"/>
      <c r="M3065" s="66" t="s"/>
      <c r="N3065" s="572" t="s"/>
      <c r="O3065" s="62" t="s"/>
      <c r="P3065" s="62" t="s"/>
      <c r="Q3065" s="62" t="s"/>
      <c r="R3065" s="62" t="s"/>
    </row>
    <row r="3066" spans="1:18" ht="15.75" customHeight="true">
      <c r="A3066" s="107" t="s"/>
      <c r="B3066" s="62" t="s"/>
      <c r="C3066" s="62" t="s"/>
      <c r="D3066" s="62" t="s"/>
      <c r="E3066" s="62" t="s"/>
      <c r="F3066" s="66" t="s"/>
      <c r="G3066" s="66" t="s"/>
      <c r="H3066" s="66" t="s"/>
      <c r="I3066" s="62" t="s"/>
      <c r="J3066" s="62" t="s"/>
      <c r="K3066" s="99" t="s"/>
      <c r="L3066" s="66" t="s"/>
      <c r="M3066" s="66" t="s"/>
      <c r="N3066" s="572" t="s"/>
      <c r="O3066" s="62" t="s"/>
      <c r="P3066" s="62" t="s"/>
      <c r="Q3066" s="62" t="s"/>
      <c r="R3066" s="62" t="s"/>
    </row>
    <row r="3067" spans="1:18" ht="15.75" customHeight="true">
      <c r="A3067" s="107" t="s"/>
      <c r="B3067" s="62" t="s"/>
      <c r="C3067" s="62" t="s"/>
      <c r="D3067" s="62" t="s"/>
      <c r="E3067" s="62" t="s"/>
      <c r="F3067" s="66" t="s"/>
      <c r="G3067" s="66" t="s"/>
      <c r="H3067" s="66" t="s"/>
      <c r="I3067" s="62" t="s"/>
      <c r="J3067" s="62" t="s"/>
      <c r="K3067" s="99" t="s"/>
      <c r="L3067" s="66" t="s"/>
      <c r="M3067" s="66" t="s"/>
      <c r="N3067" s="572" t="s"/>
      <c r="O3067" s="62" t="s"/>
      <c r="P3067" s="62" t="s"/>
      <c r="Q3067" s="62" t="s"/>
      <c r="R3067" s="62" t="s"/>
    </row>
    <row r="3068" spans="1:18" ht="15.75" customHeight="true">
      <c r="A3068" s="107" t="s"/>
      <c r="B3068" s="62" t="s"/>
      <c r="C3068" s="62" t="s"/>
      <c r="D3068" s="62" t="s"/>
      <c r="E3068" s="62" t="s"/>
      <c r="F3068" s="66" t="s"/>
      <c r="G3068" s="66" t="s"/>
      <c r="H3068" s="66" t="s"/>
      <c r="I3068" s="62" t="s"/>
      <c r="J3068" s="62" t="s"/>
      <c r="K3068" s="99" t="s"/>
      <c r="L3068" s="66" t="s"/>
      <c r="M3068" s="66" t="s"/>
      <c r="N3068" s="572" t="s"/>
      <c r="O3068" s="62" t="s"/>
      <c r="P3068" s="62" t="s"/>
      <c r="Q3068" s="62" t="s"/>
      <c r="R3068" s="62" t="s"/>
    </row>
    <row r="3069" spans="1:18" ht="15.75" customHeight="true">
      <c r="A3069" s="107" t="s"/>
      <c r="B3069" s="62" t="s"/>
      <c r="C3069" s="62" t="s"/>
      <c r="D3069" s="62" t="s"/>
      <c r="E3069" s="62" t="s"/>
      <c r="F3069" s="66" t="s"/>
      <c r="G3069" s="66" t="s"/>
      <c r="H3069" s="66" t="s"/>
      <c r="I3069" s="62" t="s"/>
      <c r="J3069" s="62" t="s"/>
      <c r="K3069" s="99" t="s"/>
      <c r="L3069" s="66" t="s"/>
      <c r="M3069" s="66" t="s"/>
      <c r="N3069" s="572" t="s"/>
      <c r="O3069" s="62" t="s"/>
      <c r="P3069" s="62" t="s"/>
      <c r="Q3069" s="62" t="s"/>
      <c r="R3069" s="62" t="s"/>
    </row>
    <row r="3070" spans="1:18" ht="15.75" customHeight="true">
      <c r="A3070" s="107" t="s"/>
      <c r="B3070" s="62" t="s"/>
      <c r="C3070" s="62" t="s"/>
      <c r="D3070" s="62" t="s"/>
      <c r="E3070" s="62" t="s"/>
      <c r="F3070" s="66" t="s"/>
      <c r="G3070" s="66" t="s"/>
      <c r="H3070" s="66" t="s"/>
      <c r="I3070" s="62" t="s"/>
      <c r="J3070" s="62" t="s"/>
      <c r="K3070" s="99" t="s"/>
      <c r="L3070" s="66" t="s"/>
      <c r="M3070" s="66" t="s"/>
      <c r="N3070" s="572" t="s"/>
      <c r="O3070" s="62" t="s"/>
      <c r="P3070" s="62" t="s"/>
      <c r="Q3070" s="62" t="s"/>
      <c r="R3070" s="62" t="s"/>
    </row>
    <row r="3071" spans="1:18" ht="15.75" customHeight="true">
      <c r="A3071" s="107" t="s"/>
      <c r="B3071" s="62" t="s"/>
      <c r="C3071" s="62" t="s"/>
      <c r="D3071" s="62" t="s"/>
      <c r="E3071" s="62" t="s"/>
      <c r="F3071" s="66" t="s"/>
      <c r="G3071" s="66" t="s"/>
      <c r="H3071" s="66" t="s"/>
      <c r="I3071" s="62" t="s"/>
      <c r="J3071" s="62" t="s"/>
      <c r="K3071" s="99" t="s"/>
      <c r="L3071" s="66" t="s"/>
      <c r="M3071" s="66" t="s"/>
      <c r="N3071" s="572" t="s"/>
      <c r="O3071" s="62" t="s"/>
      <c r="P3071" s="62" t="s"/>
      <c r="Q3071" s="62" t="s"/>
      <c r="R3071" s="62" t="s"/>
    </row>
    <row r="3072" spans="1:18" ht="15.75" customHeight="true">
      <c r="A3072" s="107" t="s"/>
      <c r="B3072" s="62" t="s"/>
      <c r="C3072" s="62" t="s"/>
      <c r="D3072" s="62" t="s"/>
      <c r="E3072" s="62" t="s"/>
      <c r="F3072" s="66" t="s"/>
      <c r="G3072" s="66" t="s"/>
      <c r="H3072" s="66" t="s"/>
      <c r="I3072" s="62" t="s"/>
      <c r="J3072" s="62" t="s"/>
      <c r="K3072" s="99" t="s"/>
      <c r="L3072" s="66" t="s"/>
      <c r="M3072" s="66" t="s"/>
      <c r="N3072" s="572" t="s"/>
      <c r="O3072" s="62" t="s"/>
      <c r="P3072" s="62" t="s"/>
      <c r="Q3072" s="62" t="s"/>
      <c r="R3072" s="62" t="s"/>
    </row>
    <row r="3073" spans="1:18" ht="15.75" customHeight="true">
      <c r="A3073" s="107" t="s"/>
      <c r="B3073" s="62" t="s"/>
      <c r="C3073" s="62" t="s"/>
      <c r="D3073" s="62" t="s"/>
      <c r="E3073" s="62" t="s"/>
      <c r="F3073" s="66" t="s"/>
      <c r="G3073" s="66" t="s"/>
      <c r="H3073" s="66" t="s"/>
      <c r="I3073" s="62" t="s"/>
      <c r="J3073" s="62" t="s"/>
      <c r="K3073" s="99" t="s"/>
      <c r="L3073" s="66" t="s"/>
      <c r="M3073" s="66" t="s"/>
      <c r="N3073" s="572" t="s"/>
      <c r="O3073" s="62" t="s"/>
      <c r="P3073" s="62" t="s"/>
      <c r="Q3073" s="62" t="s"/>
      <c r="R3073" s="62" t="s"/>
    </row>
    <row r="3074" spans="1:18" ht="15.75" customHeight="true">
      <c r="A3074" s="107" t="s"/>
      <c r="B3074" s="62" t="s"/>
      <c r="C3074" s="62" t="s"/>
      <c r="D3074" s="62" t="s"/>
      <c r="E3074" s="62" t="s"/>
      <c r="F3074" s="66" t="s"/>
      <c r="G3074" s="66" t="s"/>
      <c r="H3074" s="66" t="s"/>
      <c r="I3074" s="62" t="s"/>
      <c r="J3074" s="62" t="s"/>
      <c r="K3074" s="99" t="s"/>
      <c r="L3074" s="66" t="s"/>
      <c r="M3074" s="66" t="s"/>
      <c r="N3074" s="572" t="s"/>
      <c r="O3074" s="62" t="s"/>
      <c r="P3074" s="62" t="s"/>
      <c r="Q3074" s="62" t="s"/>
      <c r="R3074" s="62" t="s"/>
    </row>
    <row r="3075" spans="1:18" ht="15.75" customHeight="true">
      <c r="A3075" s="107" t="s"/>
      <c r="B3075" s="62" t="s"/>
      <c r="C3075" s="62" t="s"/>
      <c r="D3075" s="62" t="s"/>
      <c r="E3075" s="62" t="s"/>
      <c r="F3075" s="66" t="s"/>
      <c r="G3075" s="66" t="s"/>
      <c r="H3075" s="66" t="s"/>
      <c r="I3075" s="62" t="s"/>
      <c r="J3075" s="62" t="s"/>
      <c r="K3075" s="99" t="s"/>
      <c r="L3075" s="66" t="s"/>
      <c r="M3075" s="66" t="s"/>
      <c r="N3075" s="572" t="s"/>
      <c r="O3075" s="62" t="s"/>
      <c r="P3075" s="62" t="s"/>
      <c r="Q3075" s="62" t="s"/>
      <c r="R3075" s="62" t="s"/>
    </row>
    <row r="3076" spans="1:18" ht="15.75" customHeight="true">
      <c r="A3076" s="107" t="s"/>
      <c r="B3076" s="62" t="s"/>
      <c r="C3076" s="62" t="s"/>
      <c r="D3076" s="62" t="s"/>
      <c r="E3076" s="62" t="s"/>
      <c r="F3076" s="66" t="s"/>
      <c r="G3076" s="66" t="s"/>
      <c r="H3076" s="66" t="s"/>
      <c r="I3076" s="62" t="s"/>
      <c r="J3076" s="62" t="s"/>
      <c r="K3076" s="99" t="s"/>
      <c r="L3076" s="66" t="s"/>
      <c r="M3076" s="66" t="s"/>
      <c r="N3076" s="572" t="s"/>
      <c r="O3076" s="62" t="s"/>
      <c r="P3076" s="62" t="s"/>
      <c r="Q3076" s="62" t="s"/>
      <c r="R3076" s="62" t="s"/>
    </row>
    <row r="3077" spans="1:18" ht="15.75" customHeight="true">
      <c r="A3077" s="107" t="s"/>
      <c r="B3077" s="62" t="s"/>
      <c r="C3077" s="62" t="s"/>
      <c r="D3077" s="62" t="s"/>
      <c r="E3077" s="62" t="s"/>
      <c r="F3077" s="66" t="s"/>
      <c r="G3077" s="66" t="s"/>
      <c r="H3077" s="66" t="s"/>
      <c r="I3077" s="62" t="s"/>
      <c r="J3077" s="62" t="s"/>
      <c r="K3077" s="99" t="s"/>
      <c r="L3077" s="66" t="s"/>
      <c r="M3077" s="66" t="s"/>
      <c r="N3077" s="572" t="s"/>
      <c r="O3077" s="62" t="s"/>
      <c r="P3077" s="62" t="s"/>
      <c r="Q3077" s="62" t="s"/>
      <c r="R3077" s="62" t="s"/>
    </row>
    <row r="3078" spans="1:18" ht="15.75" customHeight="true">
      <c r="A3078" s="107" t="s"/>
      <c r="B3078" s="62" t="s"/>
      <c r="C3078" s="62" t="s"/>
      <c r="D3078" s="62" t="s"/>
      <c r="E3078" s="62" t="s"/>
      <c r="F3078" s="66" t="s"/>
      <c r="G3078" s="66" t="s"/>
      <c r="H3078" s="66" t="s"/>
      <c r="I3078" s="62" t="s"/>
      <c r="J3078" s="62" t="s"/>
      <c r="K3078" s="99" t="s"/>
      <c r="L3078" s="66" t="s"/>
      <c r="M3078" s="66" t="s"/>
      <c r="N3078" s="572" t="s"/>
      <c r="O3078" s="62" t="s"/>
      <c r="P3078" s="62" t="s"/>
      <c r="Q3078" s="62" t="s"/>
      <c r="R3078" s="62" t="s"/>
    </row>
    <row r="3079" spans="1:18" ht="15.75" customHeight="true">
      <c r="A3079" s="107" t="s"/>
      <c r="B3079" s="62" t="s"/>
      <c r="C3079" s="62" t="s"/>
      <c r="D3079" s="62" t="s"/>
      <c r="E3079" s="62" t="s"/>
      <c r="F3079" s="66" t="s"/>
      <c r="G3079" s="66" t="s"/>
      <c r="H3079" s="66" t="s"/>
      <c r="I3079" s="62" t="s"/>
      <c r="J3079" s="62" t="s"/>
      <c r="K3079" s="99" t="s"/>
      <c r="L3079" s="66" t="s"/>
      <c r="M3079" s="66" t="s"/>
      <c r="N3079" s="572" t="s"/>
      <c r="O3079" s="62" t="s"/>
      <c r="P3079" s="62" t="s"/>
      <c r="Q3079" s="62" t="s"/>
      <c r="R3079" s="62" t="s"/>
    </row>
    <row r="3080" spans="1:18" ht="15.75" customHeight="true">
      <c r="A3080" s="107" t="s"/>
      <c r="B3080" s="62" t="s"/>
      <c r="C3080" s="62" t="s"/>
      <c r="D3080" s="62" t="s"/>
      <c r="E3080" s="62" t="s"/>
      <c r="F3080" s="66" t="s"/>
      <c r="G3080" s="66" t="s"/>
      <c r="H3080" s="66" t="s"/>
      <c r="I3080" s="62" t="s"/>
      <c r="J3080" s="62" t="s"/>
      <c r="K3080" s="99" t="s"/>
      <c r="L3080" s="66" t="s"/>
      <c r="M3080" s="66" t="s"/>
      <c r="N3080" s="572" t="s"/>
      <c r="O3080" s="62" t="s"/>
      <c r="P3080" s="62" t="s"/>
      <c r="Q3080" s="62" t="s"/>
      <c r="R3080" s="62" t="s"/>
    </row>
    <row r="3081" spans="1:18" ht="15.75" customHeight="true">
      <c r="A3081" s="107" t="s"/>
      <c r="B3081" s="62" t="s"/>
      <c r="C3081" s="62" t="s"/>
      <c r="D3081" s="62" t="s"/>
      <c r="E3081" s="62" t="s"/>
      <c r="F3081" s="66" t="s"/>
      <c r="G3081" s="66" t="s"/>
      <c r="H3081" s="66" t="s"/>
      <c r="I3081" s="62" t="s"/>
      <c r="J3081" s="62" t="s"/>
      <c r="K3081" s="99" t="s"/>
      <c r="L3081" s="66" t="s"/>
      <c r="M3081" s="66" t="s"/>
      <c r="N3081" s="572" t="s"/>
      <c r="O3081" s="62" t="s"/>
      <c r="P3081" s="62" t="s"/>
      <c r="Q3081" s="62" t="s"/>
      <c r="R3081" s="62" t="s"/>
    </row>
    <row r="3082" spans="1:18" ht="15.75" customHeight="true">
      <c r="A3082" s="107" t="s"/>
      <c r="B3082" s="62" t="s"/>
      <c r="C3082" s="62" t="s"/>
      <c r="D3082" s="62" t="s"/>
      <c r="E3082" s="62" t="s"/>
      <c r="F3082" s="66" t="s"/>
      <c r="G3082" s="66" t="s"/>
      <c r="H3082" s="66" t="s"/>
      <c r="I3082" s="62" t="s"/>
      <c r="J3082" s="62" t="s"/>
      <c r="K3082" s="99" t="s"/>
      <c r="L3082" s="66" t="s"/>
      <c r="M3082" s="66" t="s"/>
      <c r="N3082" s="572" t="s"/>
      <c r="O3082" s="62" t="s"/>
      <c r="P3082" s="62" t="s"/>
      <c r="Q3082" s="62" t="s"/>
      <c r="R3082" s="62" t="s"/>
    </row>
    <row r="3083" spans="1:18" ht="15.75" customHeight="true">
      <c r="A3083" s="107" t="s"/>
      <c r="B3083" s="62" t="s"/>
      <c r="C3083" s="62" t="s"/>
      <c r="D3083" s="62" t="s"/>
      <c r="E3083" s="62" t="s"/>
      <c r="F3083" s="66" t="s"/>
      <c r="G3083" s="66" t="s"/>
      <c r="H3083" s="66" t="s"/>
      <c r="I3083" s="62" t="s"/>
      <c r="J3083" s="62" t="s"/>
      <c r="K3083" s="99" t="s"/>
      <c r="L3083" s="66" t="s"/>
      <c r="M3083" s="66" t="s"/>
      <c r="N3083" s="572" t="s"/>
      <c r="O3083" s="62" t="s"/>
      <c r="P3083" s="62" t="s"/>
      <c r="Q3083" s="62" t="s"/>
      <c r="R3083" s="62" t="s"/>
    </row>
    <row r="3084" spans="1:18" ht="15.75" customHeight="true">
      <c r="A3084" s="107" t="s"/>
      <c r="B3084" s="62" t="s"/>
      <c r="C3084" s="62" t="s"/>
      <c r="D3084" s="62" t="s"/>
      <c r="E3084" s="62" t="s"/>
      <c r="F3084" s="66" t="s"/>
      <c r="G3084" s="66" t="s"/>
      <c r="H3084" s="66" t="s"/>
      <c r="I3084" s="62" t="s"/>
      <c r="J3084" s="62" t="s"/>
      <c r="K3084" s="99" t="s"/>
      <c r="L3084" s="66" t="s"/>
      <c r="M3084" s="66" t="s"/>
      <c r="N3084" s="572" t="s"/>
      <c r="O3084" s="62" t="s"/>
      <c r="P3084" s="62" t="s"/>
      <c r="Q3084" s="62" t="s"/>
      <c r="R3084" s="62" t="s"/>
    </row>
    <row r="3085" spans="1:18" ht="15.75" customHeight="true">
      <c r="A3085" s="107" t="s"/>
      <c r="B3085" s="62" t="s"/>
      <c r="C3085" s="62" t="s"/>
      <c r="D3085" s="62" t="s"/>
      <c r="E3085" s="62" t="s"/>
      <c r="F3085" s="66" t="s"/>
      <c r="G3085" s="66" t="s"/>
      <c r="H3085" s="66" t="s"/>
      <c r="I3085" s="62" t="s"/>
      <c r="J3085" s="62" t="s"/>
      <c r="K3085" s="99" t="s"/>
      <c r="L3085" s="66" t="s"/>
      <c r="M3085" s="66" t="s"/>
      <c r="N3085" s="572" t="s"/>
      <c r="O3085" s="62" t="s"/>
      <c r="P3085" s="62" t="s"/>
      <c r="Q3085" s="62" t="s"/>
      <c r="R3085" s="62" t="s"/>
    </row>
    <row r="3086" spans="1:18" ht="15.75" customHeight="true">
      <c r="A3086" s="107" t="s"/>
      <c r="B3086" s="62" t="s"/>
      <c r="C3086" s="62" t="s"/>
      <c r="D3086" s="62" t="s"/>
      <c r="E3086" s="62" t="s"/>
      <c r="F3086" s="66" t="s"/>
      <c r="G3086" s="66" t="s"/>
      <c r="H3086" s="66" t="s"/>
      <c r="I3086" s="62" t="s"/>
      <c r="J3086" s="62" t="s"/>
      <c r="K3086" s="99" t="s"/>
      <c r="L3086" s="66" t="s"/>
      <c r="M3086" s="66" t="s"/>
      <c r="N3086" s="572" t="s"/>
      <c r="O3086" s="62" t="s"/>
      <c r="P3086" s="62" t="s"/>
      <c r="Q3086" s="62" t="s"/>
      <c r="R3086" s="62" t="s"/>
    </row>
    <row r="3087" spans="1:18" ht="15.75" customHeight="true">
      <c r="A3087" s="107" t="s"/>
      <c r="B3087" s="62" t="s"/>
      <c r="C3087" s="62" t="s"/>
      <c r="D3087" s="62" t="s"/>
      <c r="E3087" s="62" t="s"/>
      <c r="F3087" s="66" t="s"/>
      <c r="G3087" s="66" t="s"/>
      <c r="H3087" s="66" t="s"/>
      <c r="I3087" s="62" t="s"/>
      <c r="J3087" s="62" t="s"/>
      <c r="K3087" s="99" t="s"/>
      <c r="L3087" s="66" t="s"/>
      <c r="M3087" s="66" t="s"/>
      <c r="N3087" s="572" t="s"/>
      <c r="O3087" s="62" t="s"/>
      <c r="P3087" s="62" t="s"/>
      <c r="Q3087" s="62" t="s"/>
      <c r="R3087" s="62" t="s"/>
    </row>
    <row r="3088" spans="1:18" ht="15.75" customHeight="true">
      <c r="A3088" s="107" t="s"/>
      <c r="B3088" s="62" t="s"/>
      <c r="C3088" s="62" t="s"/>
      <c r="D3088" s="62" t="s"/>
      <c r="E3088" s="62" t="s"/>
      <c r="F3088" s="66" t="s"/>
      <c r="G3088" s="66" t="s"/>
      <c r="H3088" s="66" t="s"/>
      <c r="I3088" s="62" t="s"/>
      <c r="J3088" s="62" t="s"/>
      <c r="K3088" s="99" t="s"/>
      <c r="L3088" s="66" t="s"/>
      <c r="M3088" s="66" t="s"/>
      <c r="N3088" s="572" t="s"/>
      <c r="O3088" s="62" t="s"/>
      <c r="P3088" s="62" t="s"/>
      <c r="Q3088" s="62" t="s"/>
      <c r="R3088" s="62" t="s"/>
    </row>
    <row r="3089" spans="1:18" ht="15.75" customHeight="true">
      <c r="A3089" s="107" t="s"/>
      <c r="B3089" s="62" t="s"/>
      <c r="C3089" s="62" t="s"/>
      <c r="D3089" s="62" t="s"/>
      <c r="E3089" s="62" t="s"/>
      <c r="F3089" s="66" t="s"/>
      <c r="G3089" s="66" t="s"/>
      <c r="H3089" s="66" t="s"/>
      <c r="I3089" s="62" t="s"/>
      <c r="J3089" s="62" t="s"/>
      <c r="K3089" s="99" t="s"/>
      <c r="L3089" s="66" t="s"/>
      <c r="M3089" s="66" t="s"/>
      <c r="N3089" s="572" t="s"/>
      <c r="O3089" s="62" t="s"/>
      <c r="P3089" s="62" t="s"/>
      <c r="Q3089" s="62" t="s"/>
      <c r="R3089" s="62" t="s"/>
    </row>
    <row r="3090" spans="1:18" ht="15.75" customHeight="true">
      <c r="A3090" s="107" t="s"/>
      <c r="B3090" s="62" t="s"/>
      <c r="C3090" s="62" t="s"/>
      <c r="D3090" s="62" t="s"/>
      <c r="E3090" s="62" t="s"/>
      <c r="F3090" s="66" t="s"/>
      <c r="G3090" s="66" t="s"/>
      <c r="H3090" s="66" t="s"/>
      <c r="I3090" s="62" t="s"/>
      <c r="J3090" s="62" t="s"/>
      <c r="K3090" s="99" t="s"/>
      <c r="L3090" s="66" t="s"/>
      <c r="M3090" s="66" t="s"/>
      <c r="N3090" s="572" t="s"/>
      <c r="O3090" s="62" t="s"/>
      <c r="P3090" s="62" t="s"/>
      <c r="Q3090" s="62" t="s"/>
      <c r="R3090" s="62" t="s"/>
    </row>
    <row r="3091" spans="1:18" ht="15.75" customHeight="true">
      <c r="A3091" s="107" t="s"/>
      <c r="B3091" s="62" t="s"/>
      <c r="C3091" s="62" t="s"/>
      <c r="D3091" s="62" t="s"/>
      <c r="E3091" s="62" t="s"/>
      <c r="F3091" s="66" t="s"/>
      <c r="G3091" s="66" t="s"/>
      <c r="H3091" s="66" t="s"/>
      <c r="I3091" s="62" t="s"/>
      <c r="J3091" s="62" t="s"/>
      <c r="K3091" s="99" t="s"/>
      <c r="L3091" s="66" t="s"/>
      <c r="M3091" s="66" t="s"/>
      <c r="N3091" s="572" t="s"/>
      <c r="O3091" s="62" t="s"/>
      <c r="P3091" s="62" t="s"/>
      <c r="Q3091" s="62" t="s"/>
      <c r="R3091" s="62" t="s"/>
    </row>
    <row r="3092" spans="1:18" ht="15.75" customHeight="true">
      <c r="A3092" s="107" t="s"/>
      <c r="B3092" s="62" t="s"/>
      <c r="C3092" s="62" t="s"/>
      <c r="D3092" s="62" t="s"/>
      <c r="E3092" s="62" t="s"/>
      <c r="F3092" s="66" t="s"/>
      <c r="G3092" s="66" t="s"/>
      <c r="H3092" s="66" t="s"/>
      <c r="I3092" s="62" t="s"/>
      <c r="J3092" s="62" t="s"/>
      <c r="K3092" s="99" t="s"/>
      <c r="L3092" s="66" t="s"/>
      <c r="M3092" s="66" t="s"/>
      <c r="N3092" s="572" t="s"/>
      <c r="O3092" s="62" t="s"/>
      <c r="P3092" s="62" t="s"/>
      <c r="Q3092" s="62" t="s"/>
      <c r="R3092" s="62" t="s"/>
    </row>
    <row r="3093" spans="1:18" ht="15.75" customHeight="true">
      <c r="A3093" s="107" t="s"/>
      <c r="B3093" s="62" t="s"/>
      <c r="C3093" s="62" t="s"/>
      <c r="D3093" s="62" t="s"/>
      <c r="E3093" s="62" t="s"/>
      <c r="F3093" s="66" t="s"/>
      <c r="G3093" s="66" t="s"/>
      <c r="H3093" s="66" t="s"/>
      <c r="I3093" s="62" t="s"/>
      <c r="J3093" s="62" t="s"/>
      <c r="K3093" s="99" t="s"/>
      <c r="L3093" s="66" t="s"/>
      <c r="M3093" s="66" t="s"/>
      <c r="N3093" s="572" t="s"/>
      <c r="O3093" s="62" t="s"/>
      <c r="P3093" s="62" t="s"/>
      <c r="Q3093" s="62" t="s"/>
      <c r="R3093" s="62" t="s"/>
    </row>
    <row r="3094" spans="1:18" ht="15.75" customHeight="true">
      <c r="A3094" s="107" t="s"/>
      <c r="B3094" s="62" t="s"/>
      <c r="C3094" s="62" t="s"/>
      <c r="D3094" s="62" t="s"/>
      <c r="E3094" s="62" t="s"/>
      <c r="F3094" s="66" t="s"/>
      <c r="G3094" s="66" t="s"/>
      <c r="H3094" s="66" t="s"/>
      <c r="I3094" s="62" t="s"/>
      <c r="J3094" s="62" t="s"/>
      <c r="K3094" s="99" t="s"/>
      <c r="L3094" s="66" t="s"/>
      <c r="M3094" s="66" t="s"/>
      <c r="N3094" s="572" t="s"/>
      <c r="O3094" s="62" t="s"/>
      <c r="P3094" s="62" t="s"/>
      <c r="Q3094" s="62" t="s"/>
      <c r="R3094" s="62" t="s"/>
    </row>
    <row r="3095" spans="1:18" ht="15.75" customHeight="true">
      <c r="A3095" s="107" t="s"/>
      <c r="B3095" s="62" t="s"/>
      <c r="C3095" s="62" t="s"/>
      <c r="D3095" s="62" t="s"/>
      <c r="E3095" s="62" t="s"/>
      <c r="F3095" s="66" t="s"/>
      <c r="G3095" s="66" t="s"/>
      <c r="H3095" s="66" t="s"/>
      <c r="I3095" s="62" t="s"/>
      <c r="J3095" s="62" t="s"/>
      <c r="K3095" s="99" t="s"/>
      <c r="L3095" s="66" t="s"/>
      <c r="M3095" s="66" t="s"/>
      <c r="N3095" s="572" t="s"/>
      <c r="O3095" s="62" t="s"/>
      <c r="P3095" s="62" t="s"/>
      <c r="Q3095" s="62" t="s"/>
      <c r="R3095" s="62" t="s"/>
    </row>
    <row r="3096" spans="1:18" ht="15.75" customHeight="true">
      <c r="A3096" s="107" t="s"/>
      <c r="B3096" s="62" t="s"/>
      <c r="C3096" s="62" t="s"/>
      <c r="D3096" s="62" t="s"/>
      <c r="E3096" s="62" t="s"/>
      <c r="F3096" s="66" t="s"/>
      <c r="G3096" s="66" t="s"/>
      <c r="H3096" s="66" t="s"/>
      <c r="I3096" s="62" t="s"/>
      <c r="J3096" s="62" t="s"/>
      <c r="K3096" s="99" t="s"/>
      <c r="L3096" s="66" t="s"/>
      <c r="M3096" s="66" t="s"/>
      <c r="N3096" s="572" t="s"/>
      <c r="O3096" s="62" t="s"/>
      <c r="P3096" s="62" t="s"/>
      <c r="Q3096" s="62" t="s"/>
      <c r="R3096" s="62" t="s"/>
    </row>
    <row r="3097" spans="1:18" ht="15.75" customHeight="true">
      <c r="A3097" s="107" t="s"/>
      <c r="B3097" s="62" t="s"/>
      <c r="C3097" s="62" t="s"/>
      <c r="D3097" s="62" t="s"/>
      <c r="E3097" s="62" t="s"/>
      <c r="F3097" s="66" t="s"/>
      <c r="G3097" s="66" t="s"/>
      <c r="H3097" s="66" t="s"/>
      <c r="I3097" s="62" t="s"/>
      <c r="J3097" s="62" t="s"/>
      <c r="K3097" s="99" t="s"/>
      <c r="L3097" s="66" t="s"/>
      <c r="M3097" s="66" t="s"/>
      <c r="N3097" s="572" t="s"/>
      <c r="O3097" s="62" t="s"/>
      <c r="P3097" s="62" t="s"/>
      <c r="Q3097" s="62" t="s"/>
      <c r="R3097" s="62" t="s"/>
    </row>
    <row r="3098" spans="1:18" ht="15.75" customHeight="true">
      <c r="A3098" s="107" t="s"/>
      <c r="B3098" s="62" t="s"/>
      <c r="C3098" s="62" t="s"/>
      <c r="D3098" s="62" t="s"/>
      <c r="E3098" s="62" t="s"/>
      <c r="F3098" s="66" t="s"/>
      <c r="G3098" s="66" t="s"/>
      <c r="H3098" s="66" t="s"/>
      <c r="I3098" s="62" t="s"/>
      <c r="J3098" s="62" t="s"/>
      <c r="K3098" s="99" t="s"/>
      <c r="L3098" s="66" t="s"/>
      <c r="M3098" s="66" t="s"/>
      <c r="N3098" s="572" t="s"/>
      <c r="O3098" s="62" t="s"/>
      <c r="P3098" s="62" t="s"/>
      <c r="Q3098" s="62" t="s"/>
      <c r="R3098" s="62" t="s"/>
    </row>
    <row r="3099" spans="1:18" ht="15.75" customHeight="true">
      <c r="A3099" s="107" t="s"/>
      <c r="B3099" s="62" t="s"/>
      <c r="C3099" s="62" t="s"/>
      <c r="D3099" s="62" t="s"/>
      <c r="E3099" s="62" t="s"/>
      <c r="F3099" s="66" t="s"/>
      <c r="G3099" s="66" t="s"/>
      <c r="H3099" s="66" t="s"/>
      <c r="I3099" s="62" t="s"/>
      <c r="J3099" s="62" t="s"/>
      <c r="K3099" s="99" t="s"/>
      <c r="L3099" s="66" t="s"/>
      <c r="M3099" s="66" t="s"/>
      <c r="N3099" s="572" t="s"/>
      <c r="O3099" s="62" t="s"/>
      <c r="P3099" s="62" t="s"/>
      <c r="Q3099" s="62" t="s"/>
      <c r="R3099" s="62" t="s"/>
    </row>
    <row r="3100" spans="1:18" ht="15.75" customHeight="true">
      <c r="A3100" s="107" t="s"/>
      <c r="B3100" s="62" t="s"/>
      <c r="C3100" s="62" t="s"/>
      <c r="D3100" s="62" t="s"/>
      <c r="E3100" s="62" t="s"/>
      <c r="F3100" s="66" t="s"/>
      <c r="G3100" s="66" t="s"/>
      <c r="H3100" s="66" t="s"/>
      <c r="I3100" s="62" t="s"/>
      <c r="J3100" s="62" t="s"/>
      <c r="K3100" s="99" t="s"/>
      <c r="L3100" s="66" t="s"/>
      <c r="M3100" s="66" t="s"/>
      <c r="N3100" s="572" t="s"/>
      <c r="O3100" s="62" t="s"/>
      <c r="P3100" s="62" t="s"/>
      <c r="Q3100" s="62" t="s"/>
      <c r="R3100" s="62" t="s"/>
    </row>
    <row r="3101" spans="1:18" ht="15.75" customHeight="true">
      <c r="A3101" s="107" t="s"/>
      <c r="B3101" s="62" t="s"/>
      <c r="C3101" s="62" t="s"/>
      <c r="D3101" s="62" t="s"/>
      <c r="E3101" s="62" t="s"/>
      <c r="F3101" s="66" t="s"/>
      <c r="G3101" s="66" t="s"/>
      <c r="H3101" s="66" t="s"/>
      <c r="I3101" s="62" t="s"/>
      <c r="J3101" s="62" t="s"/>
      <c r="K3101" s="99" t="s"/>
      <c r="L3101" s="66" t="s"/>
      <c r="M3101" s="66" t="s"/>
      <c r="N3101" s="572" t="s"/>
      <c r="O3101" s="62" t="s"/>
      <c r="P3101" s="62" t="s"/>
      <c r="Q3101" s="62" t="s"/>
      <c r="R3101" s="62" t="s"/>
    </row>
    <row r="3102" spans="1:18" ht="15.75" customHeight="true">
      <c r="A3102" s="107" t="s"/>
      <c r="B3102" s="62" t="s"/>
      <c r="C3102" s="62" t="s"/>
      <c r="D3102" s="62" t="s"/>
      <c r="E3102" s="62" t="s"/>
      <c r="F3102" s="66" t="s"/>
      <c r="G3102" s="66" t="s"/>
      <c r="H3102" s="66" t="s"/>
      <c r="I3102" s="62" t="s"/>
      <c r="J3102" s="62" t="s"/>
      <c r="K3102" s="99" t="s"/>
      <c r="L3102" s="66" t="s"/>
      <c r="M3102" s="66" t="s"/>
      <c r="N3102" s="572" t="s"/>
      <c r="O3102" s="62" t="s"/>
      <c r="P3102" s="62" t="s"/>
      <c r="Q3102" s="62" t="s"/>
      <c r="R3102" s="62" t="s"/>
    </row>
    <row r="3103" spans="1:18" ht="15.75" customHeight="true">
      <c r="A3103" s="107" t="s"/>
      <c r="B3103" s="62" t="s"/>
      <c r="C3103" s="62" t="s"/>
      <c r="D3103" s="62" t="s"/>
      <c r="E3103" s="62" t="s"/>
      <c r="F3103" s="66" t="s"/>
      <c r="G3103" s="66" t="s"/>
      <c r="H3103" s="66" t="s"/>
      <c r="I3103" s="62" t="s"/>
      <c r="J3103" s="62" t="s"/>
      <c r="K3103" s="99" t="s"/>
      <c r="L3103" s="66" t="s"/>
      <c r="M3103" s="66" t="s"/>
      <c r="N3103" s="572" t="s"/>
      <c r="O3103" s="62" t="s"/>
      <c r="P3103" s="62" t="s"/>
      <c r="Q3103" s="62" t="s"/>
      <c r="R3103" s="62" t="s"/>
    </row>
    <row r="3104" spans="1:18" ht="15.75" customHeight="true">
      <c r="A3104" s="107" t="s"/>
      <c r="B3104" s="62" t="s"/>
      <c r="C3104" s="62" t="s"/>
      <c r="D3104" s="62" t="s"/>
      <c r="E3104" s="62" t="s"/>
      <c r="F3104" s="66" t="s"/>
      <c r="G3104" s="66" t="s"/>
      <c r="H3104" s="66" t="s"/>
      <c r="I3104" s="62" t="s"/>
      <c r="J3104" s="62" t="s"/>
      <c r="K3104" s="99" t="s"/>
      <c r="L3104" s="66" t="s"/>
      <c r="M3104" s="66" t="s"/>
      <c r="N3104" s="572" t="s"/>
      <c r="O3104" s="62" t="s"/>
      <c r="P3104" s="62" t="s"/>
      <c r="Q3104" s="62" t="s"/>
      <c r="R3104" s="62" t="s"/>
    </row>
    <row r="3105" spans="1:18" ht="15.75" customHeight="true">
      <c r="A3105" s="107" t="s"/>
      <c r="B3105" s="62" t="s"/>
      <c r="C3105" s="62" t="s"/>
      <c r="D3105" s="62" t="s"/>
      <c r="E3105" s="62" t="s"/>
      <c r="F3105" s="66" t="s"/>
      <c r="G3105" s="66" t="s"/>
      <c r="H3105" s="66" t="s"/>
      <c r="I3105" s="62" t="s"/>
      <c r="J3105" s="62" t="s"/>
      <c r="K3105" s="99" t="s"/>
      <c r="L3105" s="66" t="s"/>
      <c r="M3105" s="66" t="s"/>
      <c r="N3105" s="572" t="s"/>
      <c r="O3105" s="62" t="s"/>
      <c r="P3105" s="62" t="s"/>
      <c r="Q3105" s="62" t="s"/>
      <c r="R3105" s="62" t="s"/>
    </row>
    <row r="3106" spans="1:18" ht="15.75" customHeight="true">
      <c r="A3106" s="107" t="s"/>
      <c r="B3106" s="62" t="s"/>
      <c r="C3106" s="62" t="s"/>
      <c r="D3106" s="62" t="s"/>
      <c r="E3106" s="62" t="s"/>
      <c r="F3106" s="66" t="s"/>
      <c r="G3106" s="66" t="s"/>
      <c r="H3106" s="66" t="s"/>
      <c r="I3106" s="62" t="s"/>
      <c r="J3106" s="62" t="s"/>
      <c r="K3106" s="99" t="s"/>
      <c r="L3106" s="66" t="s"/>
      <c r="M3106" s="66" t="s"/>
      <c r="N3106" s="572" t="s"/>
      <c r="O3106" s="62" t="s"/>
      <c r="P3106" s="62" t="s"/>
      <c r="Q3106" s="62" t="s"/>
      <c r="R3106" s="62" t="s"/>
    </row>
    <row r="3107" spans="1:18" ht="15.75" customHeight="true">
      <c r="A3107" s="107" t="s"/>
      <c r="B3107" s="62" t="s"/>
      <c r="C3107" s="62" t="s"/>
      <c r="D3107" s="62" t="s"/>
      <c r="E3107" s="62" t="s"/>
      <c r="F3107" s="66" t="s"/>
      <c r="G3107" s="66" t="s"/>
      <c r="H3107" s="66" t="s"/>
      <c r="I3107" s="62" t="s"/>
      <c r="J3107" s="62" t="s"/>
      <c r="K3107" s="99" t="s"/>
      <c r="L3107" s="66" t="s"/>
      <c r="M3107" s="66" t="s"/>
      <c r="N3107" s="572" t="s"/>
      <c r="O3107" s="62" t="s"/>
      <c r="P3107" s="62" t="s"/>
      <c r="Q3107" s="62" t="s"/>
      <c r="R3107" s="62" t="s"/>
    </row>
    <row r="3108" spans="1:18" ht="15.75" customHeight="true">
      <c r="A3108" s="107" t="s"/>
      <c r="B3108" s="62" t="s"/>
      <c r="C3108" s="62" t="s"/>
      <c r="D3108" s="62" t="s"/>
      <c r="E3108" s="62" t="s"/>
      <c r="F3108" s="66" t="s"/>
      <c r="G3108" s="66" t="s"/>
      <c r="H3108" s="66" t="s"/>
      <c r="I3108" s="62" t="s"/>
      <c r="J3108" s="62" t="s"/>
      <c r="K3108" s="99" t="s"/>
      <c r="L3108" s="66" t="s"/>
      <c r="M3108" s="66" t="s"/>
      <c r="N3108" s="572" t="s"/>
      <c r="O3108" s="62" t="s"/>
      <c r="P3108" s="62" t="s"/>
      <c r="Q3108" s="62" t="s"/>
      <c r="R3108" s="62" t="s"/>
    </row>
    <row r="3109" spans="1:18" ht="15.75" customHeight="true">
      <c r="A3109" s="107" t="s"/>
      <c r="B3109" s="62" t="s"/>
      <c r="C3109" s="62" t="s"/>
      <c r="D3109" s="62" t="s"/>
      <c r="E3109" s="62" t="s"/>
      <c r="F3109" s="66" t="s"/>
      <c r="G3109" s="66" t="s"/>
      <c r="H3109" s="66" t="s"/>
      <c r="I3109" s="62" t="s"/>
      <c r="J3109" s="62" t="s"/>
      <c r="K3109" s="99" t="s"/>
      <c r="L3109" s="66" t="s"/>
      <c r="M3109" s="66" t="s"/>
      <c r="N3109" s="572" t="s"/>
      <c r="O3109" s="62" t="s"/>
      <c r="P3109" s="62" t="s"/>
      <c r="Q3109" s="62" t="s"/>
      <c r="R3109" s="62" t="s"/>
    </row>
    <row r="3110" spans="1:18" ht="15.75" customHeight="true">
      <c r="A3110" s="107" t="s"/>
      <c r="B3110" s="62" t="s"/>
      <c r="C3110" s="62" t="s"/>
      <c r="D3110" s="62" t="s"/>
      <c r="E3110" s="62" t="s"/>
      <c r="F3110" s="66" t="s"/>
      <c r="G3110" s="66" t="s"/>
      <c r="H3110" s="66" t="s"/>
      <c r="I3110" s="62" t="s"/>
      <c r="J3110" s="62" t="s"/>
      <c r="K3110" s="99" t="s"/>
      <c r="L3110" s="66" t="s"/>
      <c r="M3110" s="66" t="s"/>
      <c r="N3110" s="572" t="s"/>
      <c r="O3110" s="62" t="s"/>
      <c r="P3110" s="62" t="s"/>
      <c r="Q3110" s="62" t="s"/>
      <c r="R3110" s="62" t="s"/>
    </row>
    <row r="3111" spans="1:18" ht="15.75" customHeight="true">
      <c r="A3111" s="107" t="s"/>
      <c r="B3111" s="62" t="s"/>
      <c r="C3111" s="62" t="s"/>
      <c r="D3111" s="62" t="s"/>
      <c r="E3111" s="62" t="s"/>
      <c r="F3111" s="66" t="s"/>
      <c r="G3111" s="66" t="s"/>
      <c r="H3111" s="66" t="s"/>
      <c r="I3111" s="62" t="s"/>
      <c r="J3111" s="62" t="s"/>
      <c r="K3111" s="99" t="s"/>
      <c r="L3111" s="66" t="s"/>
      <c r="M3111" s="66" t="s"/>
      <c r="N3111" s="572" t="s"/>
      <c r="O3111" s="62" t="s"/>
      <c r="P3111" s="62" t="s"/>
      <c r="Q3111" s="62" t="s"/>
      <c r="R3111" s="62" t="s"/>
    </row>
    <row r="3112" spans="1:18" ht="15.75" customHeight="true">
      <c r="A3112" s="107" t="s"/>
      <c r="B3112" s="62" t="s"/>
      <c r="C3112" s="62" t="s"/>
      <c r="D3112" s="62" t="s"/>
      <c r="E3112" s="62" t="s"/>
      <c r="F3112" s="66" t="s"/>
      <c r="G3112" s="66" t="s"/>
      <c r="H3112" s="66" t="s"/>
      <c r="I3112" s="62" t="s"/>
      <c r="J3112" s="62" t="s"/>
      <c r="K3112" s="99" t="s"/>
      <c r="L3112" s="66" t="s"/>
      <c r="M3112" s="66" t="s"/>
      <c r="N3112" s="572" t="s"/>
      <c r="O3112" s="62" t="s"/>
      <c r="P3112" s="62" t="s"/>
      <c r="Q3112" s="62" t="s"/>
      <c r="R3112" s="62" t="s"/>
    </row>
    <row r="3113" spans="1:18" ht="15.75" customHeight="true">
      <c r="A3113" s="107" t="s"/>
      <c r="B3113" s="62" t="s"/>
      <c r="C3113" s="62" t="s"/>
      <c r="D3113" s="62" t="s"/>
      <c r="E3113" s="62" t="s"/>
      <c r="F3113" s="66" t="s"/>
      <c r="G3113" s="66" t="s"/>
      <c r="H3113" s="66" t="s"/>
      <c r="I3113" s="62" t="s"/>
      <c r="J3113" s="62" t="s"/>
      <c r="K3113" s="99" t="s"/>
      <c r="L3113" s="66" t="s"/>
      <c r="M3113" s="66" t="s"/>
      <c r="N3113" s="572" t="s"/>
      <c r="O3113" s="62" t="s"/>
      <c r="P3113" s="62" t="s"/>
      <c r="Q3113" s="62" t="s"/>
      <c r="R3113" s="62" t="s"/>
    </row>
    <row r="3114" spans="1:18" ht="15.75" customHeight="true">
      <c r="A3114" s="107" t="s"/>
      <c r="B3114" s="62" t="s"/>
      <c r="C3114" s="62" t="s"/>
      <c r="D3114" s="62" t="s"/>
      <c r="E3114" s="62" t="s"/>
      <c r="F3114" s="66" t="s"/>
      <c r="G3114" s="66" t="s"/>
      <c r="H3114" s="66" t="s"/>
      <c r="I3114" s="62" t="s"/>
      <c r="J3114" s="62" t="s"/>
      <c r="K3114" s="99" t="s"/>
      <c r="L3114" s="66" t="s"/>
      <c r="M3114" s="66" t="s"/>
      <c r="N3114" s="572" t="s"/>
      <c r="O3114" s="62" t="s"/>
      <c r="P3114" s="62" t="s"/>
      <c r="Q3114" s="62" t="s"/>
      <c r="R3114" s="62" t="s"/>
    </row>
    <row r="3115" spans="1:18" ht="15.75" customHeight="true">
      <c r="A3115" s="107" t="s"/>
      <c r="B3115" s="62" t="s"/>
      <c r="C3115" s="62" t="s"/>
      <c r="D3115" s="62" t="s"/>
      <c r="E3115" s="62" t="s"/>
      <c r="F3115" s="66" t="s"/>
      <c r="G3115" s="66" t="s"/>
      <c r="H3115" s="66" t="s"/>
      <c r="I3115" s="62" t="s"/>
      <c r="J3115" s="62" t="s"/>
      <c r="K3115" s="99" t="s"/>
      <c r="L3115" s="66" t="s"/>
      <c r="M3115" s="66" t="s"/>
      <c r="N3115" s="572" t="s"/>
      <c r="O3115" s="62" t="s"/>
      <c r="P3115" s="62" t="s"/>
      <c r="Q3115" s="62" t="s"/>
      <c r="R3115" s="62" t="s"/>
    </row>
    <row r="3116" spans="1:18" ht="15.75" customHeight="true">
      <c r="A3116" s="107" t="s"/>
      <c r="B3116" s="62" t="s"/>
      <c r="C3116" s="62" t="s"/>
      <c r="D3116" s="62" t="s"/>
      <c r="E3116" s="62" t="s"/>
      <c r="F3116" s="66" t="s"/>
      <c r="G3116" s="66" t="s"/>
      <c r="H3116" s="66" t="s"/>
      <c r="I3116" s="62" t="s"/>
      <c r="J3116" s="62" t="s"/>
      <c r="K3116" s="99" t="s"/>
      <c r="L3116" s="66" t="s"/>
      <c r="M3116" s="66" t="s"/>
      <c r="N3116" s="572" t="s"/>
      <c r="O3116" s="62" t="s"/>
      <c r="P3116" s="62" t="s"/>
      <c r="Q3116" s="62" t="s"/>
      <c r="R3116" s="62" t="s"/>
    </row>
    <row r="3117" spans="1:18" ht="15.75" customHeight="true">
      <c r="A3117" s="107" t="s"/>
      <c r="B3117" s="62" t="s"/>
      <c r="C3117" s="62" t="s"/>
      <c r="D3117" s="62" t="s"/>
      <c r="E3117" s="62" t="s"/>
      <c r="F3117" s="66" t="s"/>
      <c r="G3117" s="66" t="s"/>
      <c r="H3117" s="66" t="s"/>
      <c r="I3117" s="62" t="s"/>
      <c r="J3117" s="62" t="s"/>
      <c r="K3117" s="99" t="s"/>
      <c r="L3117" s="66" t="s"/>
      <c r="M3117" s="66" t="s"/>
      <c r="N3117" s="572" t="s"/>
      <c r="O3117" s="62" t="s"/>
      <c r="P3117" s="62" t="s"/>
      <c r="Q3117" s="62" t="s"/>
      <c r="R3117" s="62" t="s"/>
    </row>
    <row r="3118" spans="1:18" ht="15.75" customHeight="true">
      <c r="A3118" s="107" t="s"/>
      <c r="B3118" s="62" t="s"/>
      <c r="C3118" s="62" t="s"/>
      <c r="D3118" s="62" t="s"/>
      <c r="E3118" s="62" t="s"/>
      <c r="F3118" s="66" t="s"/>
      <c r="G3118" s="66" t="s"/>
      <c r="H3118" s="66" t="s"/>
      <c r="I3118" s="62" t="s"/>
      <c r="J3118" s="62" t="s"/>
      <c r="K3118" s="99" t="s"/>
      <c r="L3118" s="66" t="s"/>
      <c r="M3118" s="66" t="s"/>
      <c r="N3118" s="572" t="s"/>
      <c r="O3118" s="62" t="s"/>
      <c r="P3118" s="62" t="s"/>
      <c r="Q3118" s="62" t="s"/>
      <c r="R3118" s="62" t="s"/>
    </row>
    <row r="3119" spans="1:18" ht="15.75" customHeight="true">
      <c r="A3119" s="107" t="s"/>
      <c r="B3119" s="62" t="s"/>
      <c r="C3119" s="62" t="s"/>
      <c r="D3119" s="62" t="s"/>
      <c r="E3119" s="62" t="s"/>
      <c r="F3119" s="66" t="s"/>
      <c r="G3119" s="66" t="s"/>
      <c r="H3119" s="66" t="s"/>
      <c r="I3119" s="62" t="s"/>
      <c r="J3119" s="62" t="s"/>
      <c r="K3119" s="99" t="s"/>
      <c r="L3119" s="66" t="s"/>
      <c r="M3119" s="66" t="s"/>
      <c r="N3119" s="572" t="s"/>
      <c r="O3119" s="62" t="s"/>
      <c r="P3119" s="62" t="s"/>
      <c r="Q3119" s="62" t="s"/>
      <c r="R3119" s="62" t="s"/>
    </row>
    <row r="3120" spans="1:18" ht="15.75" customHeight="true">
      <c r="A3120" s="107" t="s"/>
      <c r="B3120" s="62" t="s"/>
      <c r="C3120" s="62" t="s"/>
      <c r="D3120" s="62" t="s"/>
      <c r="E3120" s="62" t="s"/>
      <c r="F3120" s="66" t="s"/>
      <c r="G3120" s="66" t="s"/>
      <c r="H3120" s="66" t="s"/>
      <c r="I3120" s="62" t="s"/>
      <c r="J3120" s="62" t="s"/>
      <c r="K3120" s="99" t="s"/>
      <c r="L3120" s="66" t="s"/>
      <c r="M3120" s="66" t="s"/>
      <c r="N3120" s="572" t="s"/>
      <c r="O3120" s="62" t="s"/>
      <c r="P3120" s="62" t="s"/>
      <c r="Q3120" s="62" t="s"/>
      <c r="R3120" s="62" t="s"/>
    </row>
    <row r="3121" spans="1:18" ht="15.75" customHeight="true">
      <c r="A3121" s="107" t="s"/>
      <c r="B3121" s="62" t="s"/>
      <c r="C3121" s="62" t="s"/>
      <c r="D3121" s="62" t="s"/>
      <c r="E3121" s="62" t="s"/>
      <c r="F3121" s="66" t="s"/>
      <c r="G3121" s="66" t="s"/>
      <c r="H3121" s="66" t="s"/>
      <c r="I3121" s="62" t="s"/>
      <c r="J3121" s="62" t="s"/>
      <c r="K3121" s="99" t="s"/>
      <c r="L3121" s="66" t="s"/>
      <c r="M3121" s="66" t="s"/>
      <c r="N3121" s="572" t="s"/>
      <c r="O3121" s="62" t="s"/>
      <c r="P3121" s="62" t="s"/>
      <c r="Q3121" s="62" t="s"/>
      <c r="R3121" s="62" t="s"/>
    </row>
    <row r="3122" spans="1:18" ht="15.75" customHeight="true">
      <c r="A3122" s="107" t="s"/>
      <c r="B3122" s="62" t="s"/>
      <c r="C3122" s="62" t="s"/>
      <c r="D3122" s="62" t="s"/>
      <c r="E3122" s="62" t="s"/>
      <c r="F3122" s="66" t="s"/>
      <c r="G3122" s="66" t="s"/>
      <c r="H3122" s="66" t="s"/>
      <c r="I3122" s="62" t="s"/>
      <c r="J3122" s="62" t="s"/>
      <c r="K3122" s="99" t="s"/>
      <c r="L3122" s="66" t="s"/>
      <c r="M3122" s="66" t="s"/>
      <c r="N3122" s="572" t="s"/>
      <c r="O3122" s="62" t="s"/>
      <c r="P3122" s="62" t="s"/>
      <c r="Q3122" s="62" t="s"/>
      <c r="R3122" s="62" t="s"/>
    </row>
    <row r="3123" spans="1:18" ht="15.75" customHeight="true">
      <c r="A3123" s="107" t="s"/>
      <c r="B3123" s="62" t="s"/>
      <c r="C3123" s="62" t="s"/>
      <c r="D3123" s="62" t="s"/>
      <c r="E3123" s="62" t="s"/>
      <c r="F3123" s="66" t="s"/>
      <c r="G3123" s="66" t="s"/>
      <c r="H3123" s="66" t="s"/>
      <c r="I3123" s="62" t="s"/>
      <c r="J3123" s="62" t="s"/>
      <c r="K3123" s="99" t="s"/>
      <c r="L3123" s="66" t="s"/>
      <c r="M3123" s="66" t="s"/>
      <c r="N3123" s="572" t="s"/>
      <c r="O3123" s="62" t="s"/>
      <c r="P3123" s="62" t="s"/>
      <c r="Q3123" s="62" t="s"/>
      <c r="R3123" s="62" t="s"/>
    </row>
    <row r="3124" spans="1:18" ht="15.75" customHeight="true">
      <c r="A3124" s="107" t="s"/>
      <c r="B3124" s="62" t="s"/>
      <c r="C3124" s="62" t="s"/>
      <c r="D3124" s="62" t="s"/>
      <c r="E3124" s="62" t="s"/>
      <c r="F3124" s="66" t="s"/>
      <c r="G3124" s="66" t="s"/>
      <c r="H3124" s="66" t="s"/>
      <c r="I3124" s="62" t="s"/>
      <c r="J3124" s="62" t="s"/>
      <c r="K3124" s="99" t="s"/>
      <c r="L3124" s="66" t="s"/>
      <c r="M3124" s="66" t="s"/>
      <c r="N3124" s="572" t="s"/>
      <c r="O3124" s="62" t="s"/>
      <c r="P3124" s="62" t="s"/>
      <c r="Q3124" s="62" t="s"/>
      <c r="R3124" s="62" t="s"/>
    </row>
    <row r="3125" spans="1:18" ht="15.75" customHeight="true">
      <c r="A3125" s="107" t="s"/>
      <c r="B3125" s="62" t="s"/>
      <c r="C3125" s="62" t="s"/>
      <c r="D3125" s="62" t="s"/>
      <c r="E3125" s="62" t="s"/>
      <c r="F3125" s="66" t="s"/>
      <c r="G3125" s="66" t="s"/>
      <c r="H3125" s="66" t="s"/>
      <c r="I3125" s="62" t="s"/>
      <c r="J3125" s="62" t="s"/>
      <c r="K3125" s="99" t="s"/>
      <c r="L3125" s="66" t="s"/>
      <c r="M3125" s="66" t="s"/>
      <c r="N3125" s="572" t="s"/>
      <c r="O3125" s="62" t="s"/>
      <c r="P3125" s="62" t="s"/>
      <c r="Q3125" s="62" t="s"/>
      <c r="R3125" s="62" t="s"/>
    </row>
    <row r="3126" spans="1:18" ht="15.75" customHeight="true">
      <c r="A3126" s="107" t="s"/>
      <c r="B3126" s="62" t="s"/>
      <c r="C3126" s="62" t="s"/>
      <c r="D3126" s="62" t="s"/>
      <c r="E3126" s="62" t="s"/>
      <c r="F3126" s="66" t="s"/>
      <c r="G3126" s="66" t="s"/>
      <c r="H3126" s="66" t="s"/>
      <c r="I3126" s="62" t="s"/>
      <c r="J3126" s="62" t="s"/>
      <c r="K3126" s="99" t="s"/>
      <c r="L3126" s="66" t="s"/>
      <c r="M3126" s="66" t="s"/>
      <c r="N3126" s="572" t="s"/>
      <c r="O3126" s="62" t="s"/>
      <c r="P3126" s="62" t="s"/>
      <c r="Q3126" s="62" t="s"/>
      <c r="R3126" s="62" t="s"/>
    </row>
    <row r="3127" spans="1:18" ht="15.75" customHeight="true">
      <c r="A3127" s="107" t="s"/>
      <c r="B3127" s="62" t="s"/>
      <c r="C3127" s="62" t="s"/>
      <c r="D3127" s="62" t="s"/>
      <c r="E3127" s="62" t="s"/>
      <c r="F3127" s="66" t="s"/>
      <c r="G3127" s="66" t="s"/>
      <c r="H3127" s="66" t="s"/>
      <c r="I3127" s="62" t="s"/>
      <c r="J3127" s="62" t="s"/>
      <c r="K3127" s="99" t="s"/>
      <c r="L3127" s="66" t="s"/>
      <c r="M3127" s="66" t="s"/>
      <c r="N3127" s="572" t="s"/>
      <c r="O3127" s="62" t="s"/>
      <c r="P3127" s="62" t="s"/>
      <c r="Q3127" s="62" t="s"/>
      <c r="R3127" s="62" t="s"/>
    </row>
    <row r="3128" spans="1:18" ht="15.75" customHeight="true">
      <c r="A3128" s="107" t="s"/>
      <c r="B3128" s="62" t="s"/>
      <c r="C3128" s="62" t="s"/>
      <c r="D3128" s="62" t="s"/>
      <c r="E3128" s="62" t="s"/>
      <c r="F3128" s="66" t="s"/>
      <c r="G3128" s="66" t="s"/>
      <c r="H3128" s="66" t="s"/>
      <c r="I3128" s="62" t="s"/>
      <c r="J3128" s="62" t="s"/>
      <c r="K3128" s="99" t="s"/>
      <c r="L3128" s="66" t="s"/>
      <c r="M3128" s="66" t="s"/>
      <c r="N3128" s="572" t="s"/>
      <c r="O3128" s="62" t="s"/>
      <c r="P3128" s="62" t="s"/>
      <c r="Q3128" s="62" t="s"/>
      <c r="R3128" s="62" t="s"/>
    </row>
    <row r="3129" spans="1:18" ht="15.75" customHeight="true">
      <c r="A3129" s="107" t="s"/>
      <c r="B3129" s="62" t="s"/>
      <c r="C3129" s="62" t="s"/>
      <c r="D3129" s="62" t="s"/>
      <c r="E3129" s="62" t="s"/>
      <c r="F3129" s="66" t="s"/>
      <c r="G3129" s="66" t="s"/>
      <c r="H3129" s="66" t="s"/>
      <c r="I3129" s="62" t="s"/>
      <c r="J3129" s="62" t="s"/>
      <c r="K3129" s="99" t="s"/>
      <c r="L3129" s="66" t="s"/>
      <c r="M3129" s="66" t="s"/>
      <c r="N3129" s="572" t="s"/>
      <c r="O3129" s="62" t="s"/>
      <c r="P3129" s="62" t="s"/>
      <c r="Q3129" s="62" t="s"/>
      <c r="R3129" s="62" t="s"/>
    </row>
    <row r="3130" spans="1:18" ht="15.75" customHeight="true">
      <c r="A3130" s="107" t="s"/>
      <c r="B3130" s="62" t="s"/>
      <c r="C3130" s="62" t="s"/>
      <c r="D3130" s="62" t="s"/>
      <c r="E3130" s="62" t="s"/>
      <c r="F3130" s="66" t="s"/>
      <c r="G3130" s="66" t="s"/>
      <c r="H3130" s="66" t="s"/>
      <c r="I3130" s="62" t="s"/>
      <c r="J3130" s="62" t="s"/>
      <c r="K3130" s="99" t="s"/>
      <c r="L3130" s="66" t="s"/>
      <c r="M3130" s="66" t="s"/>
      <c r="N3130" s="572" t="s"/>
      <c r="O3130" s="62" t="s"/>
      <c r="P3130" s="62" t="s"/>
      <c r="Q3130" s="62" t="s"/>
      <c r="R3130" s="62" t="s"/>
    </row>
    <row r="3131" spans="1:18" ht="15.75" customHeight="true">
      <c r="A3131" s="107" t="s"/>
      <c r="B3131" s="62" t="s"/>
      <c r="C3131" s="62" t="s"/>
      <c r="D3131" s="62" t="s"/>
      <c r="E3131" s="62" t="s"/>
      <c r="F3131" s="66" t="s"/>
      <c r="G3131" s="66" t="s"/>
      <c r="H3131" s="66" t="s"/>
      <c r="I3131" s="62" t="s"/>
      <c r="J3131" s="62" t="s"/>
      <c r="K3131" s="99" t="s"/>
      <c r="L3131" s="66" t="s"/>
      <c r="M3131" s="66" t="s"/>
      <c r="N3131" s="572" t="s"/>
      <c r="O3131" s="62" t="s"/>
      <c r="P3131" s="62" t="s"/>
      <c r="Q3131" s="62" t="s"/>
      <c r="R3131" s="62" t="s"/>
    </row>
    <row r="3132" spans="1:18" ht="15.75" customHeight="true">
      <c r="A3132" s="107" t="s"/>
      <c r="B3132" s="62" t="s"/>
      <c r="C3132" s="62" t="s"/>
      <c r="D3132" s="62" t="s"/>
      <c r="E3132" s="62" t="s"/>
      <c r="F3132" s="66" t="s"/>
      <c r="G3132" s="66" t="s"/>
      <c r="H3132" s="66" t="s"/>
      <c r="I3132" s="62" t="s"/>
      <c r="J3132" s="62" t="s"/>
      <c r="K3132" s="99" t="s"/>
      <c r="L3132" s="66" t="s"/>
      <c r="M3132" s="66" t="s"/>
      <c r="N3132" s="572" t="s"/>
      <c r="O3132" s="62" t="s"/>
      <c r="P3132" s="62" t="s"/>
      <c r="Q3132" s="62" t="s"/>
      <c r="R3132" s="62" t="s"/>
    </row>
    <row r="3133" spans="1:18" ht="15.75" customHeight="true">
      <c r="A3133" s="107" t="s"/>
      <c r="B3133" s="62" t="s"/>
      <c r="C3133" s="62" t="s"/>
      <c r="D3133" s="62" t="s"/>
      <c r="E3133" s="62" t="s"/>
      <c r="F3133" s="66" t="s"/>
      <c r="G3133" s="66" t="s"/>
      <c r="H3133" s="66" t="s"/>
      <c r="I3133" s="62" t="s"/>
      <c r="J3133" s="62" t="s"/>
      <c r="K3133" s="99" t="s"/>
      <c r="L3133" s="66" t="s"/>
      <c r="M3133" s="66" t="s"/>
      <c r="N3133" s="572" t="s"/>
      <c r="O3133" s="62" t="s"/>
      <c r="P3133" s="62" t="s"/>
      <c r="Q3133" s="62" t="s"/>
      <c r="R3133" s="62" t="s"/>
    </row>
    <row r="3134" spans="1:18" ht="15.75" customHeight="true">
      <c r="A3134" s="107" t="s"/>
      <c r="B3134" s="62" t="s"/>
      <c r="C3134" s="62" t="s"/>
      <c r="D3134" s="62" t="s"/>
      <c r="E3134" s="62" t="s"/>
      <c r="F3134" s="66" t="s"/>
      <c r="G3134" s="66" t="s"/>
      <c r="H3134" s="66" t="s"/>
      <c r="I3134" s="62" t="s"/>
      <c r="J3134" s="62" t="s"/>
      <c r="K3134" s="99" t="s"/>
      <c r="L3134" s="66" t="s"/>
      <c r="M3134" s="66" t="s"/>
      <c r="N3134" s="572" t="s"/>
      <c r="O3134" s="62" t="s"/>
      <c r="P3134" s="62" t="s"/>
      <c r="Q3134" s="62" t="s"/>
      <c r="R3134" s="62" t="s"/>
    </row>
    <row r="3135" spans="1:18" ht="15.75" customHeight="true">
      <c r="A3135" s="107" t="s"/>
      <c r="B3135" s="62" t="s"/>
      <c r="C3135" s="62" t="s"/>
      <c r="D3135" s="62" t="s"/>
      <c r="E3135" s="62" t="s"/>
      <c r="F3135" s="66" t="s"/>
      <c r="G3135" s="66" t="s"/>
      <c r="H3135" s="66" t="s"/>
      <c r="I3135" s="62" t="s"/>
      <c r="J3135" s="62" t="s"/>
      <c r="K3135" s="99" t="s"/>
      <c r="L3135" s="66" t="s"/>
      <c r="M3135" s="66" t="s"/>
      <c r="N3135" s="572" t="s"/>
      <c r="O3135" s="62" t="s"/>
      <c r="P3135" s="62" t="s"/>
      <c r="Q3135" s="62" t="s"/>
      <c r="R3135" s="62" t="s"/>
    </row>
    <row r="3136" spans="1:18" ht="15.75" customHeight="true">
      <c r="A3136" s="107" t="s"/>
      <c r="B3136" s="62" t="s"/>
      <c r="C3136" s="62" t="s"/>
      <c r="D3136" s="62" t="s"/>
      <c r="E3136" s="62" t="s"/>
      <c r="F3136" s="66" t="s"/>
      <c r="G3136" s="66" t="s"/>
      <c r="H3136" s="66" t="s"/>
      <c r="I3136" s="62" t="s"/>
      <c r="J3136" s="62" t="s"/>
      <c r="K3136" s="99" t="s"/>
      <c r="L3136" s="66" t="s"/>
      <c r="M3136" s="66" t="s"/>
      <c r="N3136" s="572" t="s"/>
      <c r="O3136" s="62" t="s"/>
      <c r="P3136" s="62" t="s"/>
      <c r="Q3136" s="62" t="s"/>
      <c r="R3136" s="62" t="s"/>
    </row>
    <row r="3137" spans="1:18" ht="15.75" customHeight="true">
      <c r="A3137" s="107" t="s"/>
      <c r="B3137" s="62" t="s"/>
      <c r="C3137" s="62" t="s"/>
      <c r="D3137" s="62" t="s"/>
      <c r="E3137" s="62" t="s"/>
      <c r="F3137" s="66" t="s"/>
      <c r="G3137" s="66" t="s"/>
      <c r="H3137" s="66" t="s"/>
      <c r="I3137" s="62" t="s"/>
      <c r="J3137" s="62" t="s"/>
      <c r="K3137" s="99" t="s"/>
      <c r="L3137" s="66" t="s"/>
      <c r="M3137" s="66" t="s"/>
      <c r="N3137" s="572" t="s"/>
      <c r="O3137" s="62" t="s"/>
      <c r="P3137" s="62" t="s"/>
      <c r="Q3137" s="62" t="s"/>
      <c r="R3137" s="62" t="s"/>
    </row>
    <row r="3138" spans="1:18" ht="15.75" customHeight="true">
      <c r="A3138" s="107" t="s"/>
      <c r="B3138" s="62" t="s"/>
      <c r="C3138" s="62" t="s"/>
      <c r="D3138" s="62" t="s"/>
      <c r="E3138" s="62" t="s"/>
      <c r="F3138" s="66" t="s"/>
      <c r="G3138" s="66" t="s"/>
      <c r="H3138" s="66" t="s"/>
      <c r="I3138" s="62" t="s"/>
      <c r="J3138" s="62" t="s"/>
      <c r="K3138" s="99" t="s"/>
      <c r="L3138" s="66" t="s"/>
      <c r="M3138" s="66" t="s"/>
      <c r="N3138" s="572" t="s"/>
      <c r="O3138" s="62" t="s"/>
      <c r="P3138" s="62" t="s"/>
      <c r="Q3138" s="62" t="s"/>
      <c r="R3138" s="62" t="s"/>
    </row>
    <row r="3139" spans="1:18" ht="15.75" customHeight="true">
      <c r="A3139" s="107" t="s"/>
      <c r="B3139" s="62" t="s"/>
      <c r="C3139" s="62" t="s"/>
      <c r="D3139" s="62" t="s"/>
      <c r="E3139" s="62" t="s"/>
      <c r="F3139" s="66" t="s"/>
      <c r="G3139" s="66" t="s"/>
      <c r="H3139" s="66" t="s"/>
      <c r="I3139" s="62" t="s"/>
      <c r="J3139" s="62" t="s"/>
      <c r="K3139" s="99" t="s"/>
      <c r="L3139" s="66" t="s"/>
      <c r="M3139" s="66" t="s"/>
      <c r="N3139" s="572" t="s"/>
      <c r="O3139" s="62" t="s"/>
      <c r="P3139" s="62" t="s"/>
      <c r="Q3139" s="62" t="s"/>
      <c r="R3139" s="62" t="s"/>
    </row>
    <row r="3140" spans="1:18" ht="15.75" customHeight="true">
      <c r="A3140" s="107" t="s"/>
      <c r="B3140" s="62" t="s"/>
      <c r="C3140" s="62" t="s"/>
      <c r="D3140" s="62" t="s"/>
      <c r="E3140" s="62" t="s"/>
      <c r="F3140" s="66" t="s"/>
      <c r="G3140" s="66" t="s"/>
      <c r="H3140" s="66" t="s"/>
      <c r="I3140" s="62" t="s"/>
      <c r="J3140" s="62" t="s"/>
      <c r="K3140" s="99" t="s"/>
      <c r="L3140" s="66" t="s"/>
      <c r="M3140" s="66" t="s"/>
      <c r="N3140" s="572" t="s"/>
      <c r="O3140" s="62" t="s"/>
      <c r="P3140" s="62" t="s"/>
      <c r="Q3140" s="62" t="s"/>
      <c r="R3140" s="62" t="s"/>
    </row>
    <row r="3141" spans="1:18" ht="15.75" customHeight="true">
      <c r="A3141" s="107" t="s"/>
      <c r="B3141" s="62" t="s"/>
      <c r="C3141" s="62" t="s"/>
      <c r="D3141" s="62" t="s"/>
      <c r="E3141" s="62" t="s"/>
      <c r="F3141" s="66" t="s"/>
      <c r="G3141" s="66" t="s"/>
      <c r="H3141" s="66" t="s"/>
      <c r="I3141" s="62" t="s"/>
      <c r="J3141" s="62" t="s"/>
      <c r="K3141" s="99" t="s"/>
      <c r="L3141" s="66" t="s"/>
      <c r="M3141" s="66" t="s"/>
      <c r="N3141" s="572" t="s"/>
      <c r="O3141" s="62" t="s"/>
      <c r="P3141" s="62" t="s"/>
      <c r="Q3141" s="62" t="s"/>
      <c r="R3141" s="62" t="s"/>
    </row>
    <row r="3142" spans="1:18" ht="15.75" customHeight="true">
      <c r="A3142" s="107" t="s"/>
      <c r="B3142" s="62" t="s"/>
      <c r="C3142" s="62" t="s"/>
      <c r="D3142" s="62" t="s"/>
      <c r="E3142" s="62" t="s"/>
      <c r="F3142" s="66" t="s"/>
      <c r="G3142" s="66" t="s"/>
      <c r="H3142" s="66" t="s"/>
      <c r="I3142" s="62" t="s"/>
      <c r="J3142" s="62" t="s"/>
      <c r="K3142" s="99" t="s"/>
      <c r="L3142" s="66" t="s"/>
      <c r="M3142" s="66" t="s"/>
      <c r="N3142" s="572" t="s"/>
      <c r="O3142" s="62" t="s"/>
      <c r="P3142" s="62" t="s"/>
      <c r="Q3142" s="62" t="s"/>
      <c r="R3142" s="62" t="s"/>
    </row>
    <row r="3143" spans="1:18" ht="15.75" customHeight="true">
      <c r="A3143" s="107" t="s"/>
      <c r="B3143" s="62" t="s"/>
      <c r="C3143" s="62" t="s"/>
      <c r="D3143" s="62" t="s"/>
      <c r="E3143" s="62" t="s"/>
      <c r="F3143" s="66" t="s"/>
      <c r="G3143" s="66" t="s"/>
      <c r="H3143" s="66" t="s"/>
      <c r="I3143" s="62" t="s"/>
      <c r="J3143" s="62" t="s"/>
      <c r="K3143" s="99" t="s"/>
      <c r="L3143" s="66" t="s"/>
      <c r="M3143" s="66" t="s"/>
      <c r="N3143" s="572" t="s"/>
      <c r="O3143" s="62" t="s"/>
      <c r="P3143" s="62" t="s"/>
      <c r="Q3143" s="62" t="s"/>
      <c r="R3143" s="62" t="s"/>
    </row>
    <row r="3144" spans="1:18" ht="15.75" customHeight="true">
      <c r="A3144" s="107" t="s"/>
      <c r="B3144" s="62" t="s"/>
      <c r="C3144" s="62" t="s"/>
      <c r="D3144" s="62" t="s"/>
      <c r="E3144" s="62" t="s"/>
      <c r="F3144" s="66" t="s"/>
      <c r="G3144" s="66" t="s"/>
      <c r="H3144" s="66" t="s"/>
      <c r="I3144" s="62" t="s"/>
      <c r="J3144" s="62" t="s"/>
      <c r="K3144" s="99" t="s"/>
      <c r="L3144" s="66" t="s"/>
      <c r="M3144" s="66" t="s"/>
      <c r="N3144" s="572" t="s"/>
      <c r="O3144" s="62" t="s"/>
      <c r="P3144" s="62" t="s"/>
      <c r="Q3144" s="62" t="s"/>
      <c r="R3144" s="62" t="s"/>
    </row>
    <row r="3145" spans="1:18" ht="15.75" customHeight="true">
      <c r="A3145" s="107" t="s"/>
      <c r="B3145" s="62" t="s"/>
      <c r="C3145" s="62" t="s"/>
      <c r="D3145" s="62" t="s"/>
      <c r="E3145" s="62" t="s"/>
      <c r="F3145" s="66" t="s"/>
      <c r="G3145" s="66" t="s"/>
      <c r="H3145" s="66" t="s"/>
      <c r="I3145" s="62" t="s"/>
      <c r="J3145" s="62" t="s"/>
      <c r="K3145" s="99" t="s"/>
      <c r="L3145" s="66" t="s"/>
      <c r="M3145" s="66" t="s"/>
      <c r="N3145" s="572" t="s"/>
      <c r="O3145" s="62" t="s"/>
      <c r="P3145" s="62" t="s"/>
      <c r="Q3145" s="62" t="s"/>
      <c r="R3145" s="62" t="s"/>
    </row>
    <row r="3146" spans="1:18" ht="15.75" customHeight="true">
      <c r="A3146" s="107" t="s"/>
      <c r="B3146" s="62" t="s"/>
      <c r="C3146" s="62" t="s"/>
      <c r="D3146" s="62" t="s"/>
      <c r="E3146" s="62" t="s"/>
      <c r="F3146" s="66" t="s"/>
      <c r="G3146" s="66" t="s"/>
      <c r="H3146" s="66" t="s"/>
      <c r="I3146" s="62" t="s"/>
      <c r="J3146" s="62" t="s"/>
      <c r="K3146" s="99" t="s"/>
      <c r="L3146" s="66" t="s"/>
      <c r="M3146" s="66" t="s"/>
      <c r="N3146" s="572" t="s"/>
      <c r="O3146" s="62" t="s"/>
      <c r="P3146" s="62" t="s"/>
      <c r="Q3146" s="62" t="s"/>
      <c r="R3146" s="62" t="s"/>
    </row>
    <row r="3147" spans="1:18" ht="15.75" customHeight="true">
      <c r="A3147" s="107" t="s"/>
      <c r="B3147" s="62" t="s"/>
      <c r="C3147" s="62" t="s"/>
      <c r="D3147" s="62" t="s"/>
      <c r="E3147" s="62" t="s"/>
      <c r="F3147" s="66" t="s"/>
      <c r="G3147" s="66" t="s"/>
      <c r="H3147" s="66" t="s"/>
      <c r="I3147" s="62" t="s"/>
      <c r="J3147" s="62" t="s"/>
      <c r="K3147" s="99" t="s"/>
      <c r="L3147" s="66" t="s"/>
      <c r="M3147" s="66" t="s"/>
      <c r="N3147" s="572" t="s"/>
      <c r="O3147" s="62" t="s"/>
      <c r="P3147" s="62" t="s"/>
      <c r="Q3147" s="62" t="s"/>
      <c r="R3147" s="62" t="s"/>
    </row>
    <row r="3148" spans="1:18" ht="15.75" customHeight="true">
      <c r="A3148" s="107" t="s"/>
      <c r="B3148" s="62" t="s"/>
      <c r="C3148" s="62" t="s"/>
      <c r="D3148" s="62" t="s"/>
      <c r="E3148" s="62" t="s"/>
      <c r="F3148" s="66" t="s"/>
      <c r="G3148" s="66" t="s"/>
      <c r="H3148" s="66" t="s"/>
      <c r="I3148" s="62" t="s"/>
      <c r="J3148" s="62" t="s"/>
      <c r="K3148" s="99" t="s"/>
      <c r="L3148" s="66" t="s"/>
      <c r="M3148" s="66" t="s"/>
      <c r="N3148" s="572" t="s"/>
      <c r="O3148" s="62" t="s"/>
      <c r="P3148" s="62" t="s"/>
      <c r="Q3148" s="62" t="s"/>
      <c r="R3148" s="62" t="s"/>
    </row>
    <row r="3149" spans="1:18" ht="15.75" customHeight="true">
      <c r="A3149" s="107" t="s"/>
      <c r="B3149" s="62" t="s"/>
      <c r="C3149" s="62" t="s"/>
      <c r="D3149" s="62" t="s"/>
      <c r="E3149" s="62" t="s"/>
      <c r="F3149" s="66" t="s"/>
      <c r="G3149" s="66" t="s"/>
      <c r="H3149" s="66" t="s"/>
      <c r="I3149" s="62" t="s"/>
      <c r="J3149" s="62" t="s"/>
      <c r="K3149" s="99" t="s"/>
      <c r="L3149" s="66" t="s"/>
      <c r="M3149" s="66" t="s"/>
      <c r="N3149" s="572" t="s"/>
      <c r="O3149" s="62" t="s"/>
      <c r="P3149" s="62" t="s"/>
      <c r="Q3149" s="62" t="s"/>
      <c r="R3149" s="62" t="s"/>
    </row>
    <row r="3150" spans="1:18" ht="15.75" customHeight="true">
      <c r="A3150" s="107" t="s"/>
      <c r="B3150" s="62" t="s"/>
      <c r="C3150" s="62" t="s"/>
      <c r="D3150" s="62" t="s"/>
      <c r="E3150" s="62" t="s"/>
      <c r="F3150" s="66" t="s"/>
      <c r="G3150" s="66" t="s"/>
      <c r="H3150" s="66" t="s"/>
      <c r="I3150" s="62" t="s"/>
      <c r="J3150" s="62" t="s"/>
      <c r="K3150" s="99" t="s"/>
      <c r="L3150" s="66" t="s"/>
      <c r="M3150" s="66" t="s"/>
      <c r="N3150" s="572" t="s"/>
      <c r="O3150" s="62" t="s"/>
      <c r="P3150" s="62" t="s"/>
      <c r="Q3150" s="62" t="s"/>
      <c r="R3150" s="62" t="s"/>
    </row>
    <row r="3151" spans="1:18" ht="15.75" customHeight="true">
      <c r="A3151" s="107" t="s"/>
      <c r="B3151" s="62" t="s"/>
      <c r="C3151" s="62" t="s"/>
      <c r="D3151" s="62" t="s"/>
      <c r="E3151" s="62" t="s"/>
      <c r="F3151" s="66" t="s"/>
      <c r="G3151" s="66" t="s"/>
      <c r="H3151" s="66" t="s"/>
      <c r="I3151" s="62" t="s"/>
      <c r="J3151" s="62" t="s"/>
      <c r="K3151" s="99" t="s"/>
      <c r="L3151" s="66" t="s"/>
      <c r="M3151" s="66" t="s"/>
      <c r="N3151" s="572" t="s"/>
      <c r="O3151" s="62" t="s"/>
      <c r="P3151" s="62" t="s"/>
      <c r="Q3151" s="62" t="s"/>
      <c r="R3151" s="62" t="s"/>
    </row>
    <row r="3152" spans="1:18" ht="15.75" customHeight="true">
      <c r="A3152" s="107" t="s"/>
      <c r="B3152" s="62" t="s"/>
      <c r="C3152" s="62" t="s"/>
      <c r="D3152" s="62" t="s"/>
      <c r="E3152" s="62" t="s"/>
      <c r="F3152" s="66" t="s"/>
      <c r="G3152" s="66" t="s"/>
      <c r="H3152" s="66" t="s"/>
      <c r="I3152" s="62" t="s"/>
      <c r="J3152" s="62" t="s"/>
      <c r="K3152" s="99" t="s"/>
      <c r="L3152" s="66" t="s"/>
      <c r="M3152" s="66" t="s"/>
      <c r="N3152" s="572" t="s"/>
      <c r="O3152" s="62" t="s"/>
      <c r="P3152" s="62" t="s"/>
      <c r="Q3152" s="62" t="s"/>
      <c r="R3152" s="62" t="s"/>
    </row>
    <row r="3153" spans="1:18" ht="15.75" customHeight="true">
      <c r="A3153" s="107" t="s"/>
      <c r="B3153" s="62" t="s"/>
      <c r="C3153" s="62" t="s"/>
      <c r="D3153" s="62" t="s"/>
      <c r="E3153" s="62" t="s"/>
      <c r="F3153" s="66" t="s"/>
      <c r="G3153" s="66" t="s"/>
      <c r="H3153" s="66" t="s"/>
      <c r="I3153" s="62" t="s"/>
      <c r="J3153" s="62" t="s"/>
      <c r="K3153" s="99" t="s"/>
      <c r="L3153" s="66" t="s"/>
      <c r="M3153" s="66" t="s"/>
      <c r="N3153" s="572" t="s"/>
      <c r="O3153" s="62" t="s"/>
      <c r="P3153" s="62" t="s"/>
      <c r="Q3153" s="62" t="s"/>
      <c r="R3153" s="62" t="s"/>
    </row>
    <row r="3154" spans="1:18" ht="15.75" customHeight="true">
      <c r="A3154" s="107" t="s"/>
      <c r="B3154" s="62" t="s"/>
      <c r="C3154" s="62" t="s"/>
      <c r="D3154" s="62" t="s"/>
      <c r="E3154" s="62" t="s"/>
      <c r="F3154" s="66" t="s"/>
      <c r="G3154" s="66" t="s"/>
      <c r="H3154" s="66" t="s"/>
      <c r="I3154" s="62" t="s"/>
      <c r="J3154" s="62" t="s"/>
      <c r="K3154" s="99" t="s"/>
      <c r="L3154" s="66" t="s"/>
      <c r="M3154" s="66" t="s"/>
      <c r="N3154" s="572" t="s"/>
      <c r="O3154" s="62" t="s"/>
      <c r="P3154" s="62" t="s"/>
      <c r="Q3154" s="62" t="s"/>
      <c r="R3154" s="62" t="s"/>
    </row>
    <row r="3155" spans="1:18" ht="15.75" customHeight="true">
      <c r="A3155" s="107" t="s"/>
      <c r="B3155" s="62" t="s"/>
      <c r="C3155" s="62" t="s"/>
      <c r="D3155" s="62" t="s"/>
      <c r="E3155" s="62" t="s"/>
      <c r="F3155" s="66" t="s"/>
      <c r="G3155" s="66" t="s"/>
      <c r="H3155" s="66" t="s"/>
      <c r="I3155" s="62" t="s"/>
      <c r="J3155" s="62" t="s"/>
      <c r="K3155" s="99" t="s"/>
      <c r="L3155" s="66" t="s"/>
      <c r="M3155" s="66" t="s"/>
      <c r="N3155" s="572" t="s"/>
      <c r="O3155" s="62" t="s"/>
      <c r="P3155" s="62" t="s"/>
      <c r="Q3155" s="62" t="s"/>
      <c r="R3155" s="62" t="s"/>
    </row>
    <row r="3156" spans="1:18" ht="15.75" customHeight="true">
      <c r="A3156" s="107" t="s"/>
      <c r="B3156" s="62" t="s"/>
      <c r="C3156" s="62" t="s"/>
      <c r="D3156" s="62" t="s"/>
      <c r="E3156" s="62" t="s"/>
      <c r="F3156" s="66" t="s"/>
      <c r="G3156" s="66" t="s"/>
      <c r="H3156" s="66" t="s"/>
      <c r="I3156" s="62" t="s"/>
      <c r="J3156" s="62" t="s"/>
      <c r="K3156" s="99" t="s"/>
      <c r="L3156" s="66" t="s"/>
      <c r="M3156" s="66" t="s"/>
      <c r="N3156" s="572" t="s"/>
      <c r="O3156" s="62" t="s"/>
      <c r="P3156" s="62" t="s"/>
      <c r="Q3156" s="62" t="s"/>
      <c r="R3156" s="62" t="s"/>
    </row>
    <row r="3157" spans="1:18" ht="15.75" customHeight="true">
      <c r="A3157" s="107" t="s"/>
      <c r="B3157" s="62" t="s"/>
      <c r="C3157" s="62" t="s"/>
      <c r="D3157" s="62" t="s"/>
      <c r="E3157" s="62" t="s"/>
      <c r="F3157" s="66" t="s"/>
      <c r="G3157" s="66" t="s"/>
      <c r="H3157" s="66" t="s"/>
      <c r="I3157" s="62" t="s"/>
      <c r="J3157" s="62" t="s"/>
      <c r="K3157" s="99" t="s"/>
      <c r="L3157" s="66" t="s"/>
      <c r="M3157" s="66" t="s"/>
      <c r="N3157" s="572" t="s"/>
      <c r="O3157" s="62" t="s"/>
      <c r="P3157" s="62" t="s"/>
      <c r="Q3157" s="62" t="s"/>
      <c r="R3157" s="62" t="s"/>
    </row>
    <row r="3158" spans="1:18" ht="15.75" customHeight="true">
      <c r="A3158" s="107" t="s"/>
      <c r="B3158" s="62" t="s"/>
      <c r="C3158" s="62" t="s"/>
      <c r="D3158" s="62" t="s"/>
      <c r="E3158" s="62" t="s"/>
      <c r="F3158" s="66" t="s"/>
      <c r="G3158" s="66" t="s"/>
      <c r="H3158" s="66" t="s"/>
      <c r="I3158" s="62" t="s"/>
      <c r="J3158" s="62" t="s"/>
      <c r="K3158" s="99" t="s"/>
      <c r="L3158" s="66" t="s"/>
      <c r="M3158" s="66" t="s"/>
      <c r="N3158" s="572" t="s"/>
      <c r="O3158" s="62" t="s"/>
      <c r="P3158" s="62" t="s"/>
      <c r="Q3158" s="62" t="s"/>
      <c r="R3158" s="62" t="s"/>
    </row>
    <row r="3159" spans="1:18" ht="15.75" customHeight="true">
      <c r="A3159" s="107" t="s"/>
      <c r="B3159" s="62" t="s"/>
      <c r="C3159" s="62" t="s"/>
      <c r="D3159" s="62" t="s"/>
      <c r="E3159" s="62" t="s"/>
      <c r="F3159" s="66" t="s"/>
      <c r="G3159" s="66" t="s"/>
      <c r="H3159" s="66" t="s"/>
      <c r="I3159" s="62" t="s"/>
      <c r="J3159" s="62" t="s"/>
      <c r="K3159" s="99" t="s"/>
      <c r="L3159" s="66" t="s"/>
      <c r="M3159" s="66" t="s"/>
      <c r="N3159" s="572" t="s"/>
      <c r="O3159" s="62" t="s"/>
      <c r="P3159" s="62" t="s"/>
      <c r="Q3159" s="62" t="s"/>
      <c r="R3159" s="62" t="s"/>
    </row>
    <row r="3160" spans="1:18" ht="15.75" customHeight="true">
      <c r="A3160" s="107" t="s"/>
      <c r="B3160" s="62" t="s"/>
      <c r="C3160" s="62" t="s"/>
      <c r="D3160" s="62" t="s"/>
      <c r="E3160" s="62" t="s"/>
      <c r="F3160" s="66" t="s"/>
      <c r="G3160" s="66" t="s"/>
      <c r="H3160" s="66" t="s"/>
      <c r="I3160" s="62" t="s"/>
      <c r="J3160" s="62" t="s"/>
      <c r="K3160" s="99" t="s"/>
      <c r="L3160" s="66" t="s"/>
      <c r="M3160" s="66" t="s"/>
      <c r="N3160" s="572" t="s"/>
      <c r="O3160" s="62" t="s"/>
      <c r="P3160" s="62" t="s"/>
      <c r="Q3160" s="62" t="s"/>
      <c r="R3160" s="62" t="s"/>
    </row>
    <row r="3161" spans="1:18" ht="15.75" customHeight="true">
      <c r="A3161" s="107" t="s"/>
      <c r="B3161" s="62" t="s"/>
      <c r="C3161" s="62" t="s"/>
      <c r="D3161" s="62" t="s"/>
      <c r="E3161" s="62" t="s"/>
      <c r="F3161" s="66" t="s"/>
      <c r="G3161" s="66" t="s"/>
      <c r="H3161" s="66" t="s"/>
      <c r="I3161" s="62" t="s"/>
      <c r="J3161" s="62" t="s"/>
      <c r="K3161" s="99" t="s"/>
      <c r="L3161" s="66" t="s"/>
      <c r="M3161" s="66" t="s"/>
      <c r="N3161" s="572" t="s"/>
      <c r="O3161" s="62" t="s"/>
      <c r="P3161" s="62" t="s"/>
      <c r="Q3161" s="62" t="s"/>
      <c r="R3161" s="62" t="s"/>
    </row>
    <row r="3162" spans="1:18" ht="15.75" customHeight="true">
      <c r="A3162" s="107" t="s"/>
      <c r="B3162" s="62" t="s"/>
      <c r="C3162" s="62" t="s"/>
      <c r="D3162" s="62" t="s"/>
      <c r="E3162" s="62" t="s"/>
      <c r="F3162" s="66" t="s"/>
      <c r="G3162" s="66" t="s"/>
      <c r="H3162" s="66" t="s"/>
      <c r="I3162" s="62" t="s"/>
      <c r="J3162" s="62" t="s"/>
      <c r="K3162" s="99" t="s"/>
      <c r="L3162" s="66" t="s"/>
      <c r="M3162" s="66" t="s"/>
      <c r="N3162" s="572" t="s"/>
      <c r="O3162" s="62" t="s"/>
      <c r="P3162" s="62" t="s"/>
      <c r="Q3162" s="62" t="s"/>
      <c r="R3162" s="62" t="s"/>
    </row>
    <row r="3163" spans="1:18" ht="15.75" customHeight="true">
      <c r="A3163" s="107" t="s"/>
      <c r="B3163" s="62" t="s"/>
      <c r="C3163" s="62" t="s"/>
      <c r="D3163" s="62" t="s"/>
      <c r="E3163" s="62" t="s"/>
      <c r="F3163" s="66" t="s"/>
      <c r="G3163" s="66" t="s"/>
      <c r="H3163" s="66" t="s"/>
      <c r="I3163" s="62" t="s"/>
      <c r="J3163" s="62" t="s"/>
      <c r="K3163" s="99" t="s"/>
      <c r="L3163" s="66" t="s"/>
      <c r="M3163" s="66" t="s"/>
      <c r="N3163" s="572" t="s"/>
      <c r="O3163" s="62" t="s"/>
      <c r="P3163" s="62" t="s"/>
      <c r="Q3163" s="62" t="s"/>
      <c r="R3163" s="62" t="s"/>
    </row>
    <row r="3164" spans="1:18" ht="15.75" customHeight="true">
      <c r="A3164" s="107" t="s"/>
      <c r="B3164" s="62" t="s"/>
      <c r="C3164" s="62" t="s"/>
      <c r="D3164" s="62" t="s"/>
      <c r="E3164" s="62" t="s"/>
      <c r="F3164" s="66" t="s"/>
      <c r="G3164" s="66" t="s"/>
      <c r="H3164" s="66" t="s"/>
      <c r="I3164" s="62" t="s"/>
      <c r="J3164" s="62" t="s"/>
      <c r="K3164" s="99" t="s"/>
      <c r="L3164" s="66" t="s"/>
      <c r="M3164" s="66" t="s"/>
      <c r="N3164" s="572" t="s"/>
      <c r="O3164" s="62" t="s"/>
      <c r="P3164" s="62" t="s"/>
      <c r="Q3164" s="62" t="s"/>
      <c r="R3164" s="62" t="s"/>
    </row>
    <row r="3165" spans="1:18" ht="15.75" customHeight="true">
      <c r="A3165" s="107" t="s"/>
      <c r="B3165" s="62" t="s"/>
      <c r="C3165" s="62" t="s"/>
      <c r="D3165" s="62" t="s"/>
      <c r="E3165" s="62" t="s"/>
      <c r="F3165" s="66" t="s"/>
      <c r="G3165" s="66" t="s"/>
      <c r="H3165" s="66" t="s"/>
      <c r="I3165" s="62" t="s"/>
      <c r="J3165" s="62" t="s"/>
      <c r="K3165" s="99" t="s"/>
      <c r="L3165" s="66" t="s"/>
      <c r="M3165" s="66" t="s"/>
      <c r="N3165" s="572" t="s"/>
      <c r="O3165" s="62" t="s"/>
      <c r="P3165" s="62" t="s"/>
      <c r="Q3165" s="62" t="s"/>
      <c r="R3165" s="62" t="s"/>
    </row>
    <row r="3166" spans="1:18" ht="15.75" customHeight="true">
      <c r="A3166" s="107" t="s"/>
      <c r="B3166" s="62" t="s"/>
      <c r="C3166" s="62" t="s"/>
      <c r="D3166" s="62" t="s"/>
      <c r="E3166" s="62" t="s"/>
      <c r="F3166" s="66" t="s"/>
      <c r="G3166" s="66" t="s"/>
      <c r="H3166" s="66" t="s"/>
      <c r="I3166" s="62" t="s"/>
      <c r="J3166" s="62" t="s"/>
      <c r="K3166" s="99" t="s"/>
      <c r="L3166" s="66" t="s"/>
      <c r="M3166" s="66" t="s"/>
      <c r="N3166" s="572" t="s"/>
      <c r="O3166" s="62" t="s"/>
      <c r="P3166" s="62" t="s"/>
      <c r="Q3166" s="62" t="s"/>
      <c r="R3166" s="62" t="s"/>
    </row>
    <row r="3167" spans="1:18" ht="15.75" customHeight="true">
      <c r="A3167" s="107" t="s"/>
      <c r="B3167" s="62" t="s"/>
      <c r="C3167" s="62" t="s"/>
      <c r="D3167" s="62" t="s"/>
      <c r="E3167" s="62" t="s"/>
      <c r="F3167" s="66" t="s"/>
      <c r="G3167" s="66" t="s"/>
      <c r="H3167" s="66" t="s"/>
      <c r="I3167" s="62" t="s"/>
      <c r="J3167" s="62" t="s"/>
      <c r="K3167" s="99" t="s"/>
      <c r="L3167" s="66" t="s"/>
      <c r="M3167" s="66" t="s"/>
      <c r="N3167" s="572" t="s"/>
      <c r="O3167" s="62" t="s"/>
      <c r="P3167" s="62" t="s"/>
      <c r="Q3167" s="62" t="s"/>
      <c r="R3167" s="62" t="s"/>
    </row>
    <row r="3168" spans="1:18" ht="15.75" customHeight="true">
      <c r="A3168" s="107" t="s"/>
      <c r="B3168" s="62" t="s"/>
      <c r="C3168" s="62" t="s"/>
      <c r="D3168" s="62" t="s"/>
      <c r="E3168" s="62" t="s"/>
      <c r="F3168" s="66" t="s"/>
      <c r="G3168" s="66" t="s"/>
      <c r="H3168" s="66" t="s"/>
      <c r="I3168" s="62" t="s"/>
      <c r="J3168" s="62" t="s"/>
      <c r="K3168" s="99" t="s"/>
      <c r="L3168" s="66" t="s"/>
      <c r="M3168" s="66" t="s"/>
      <c r="N3168" s="572" t="s"/>
      <c r="O3168" s="62" t="s"/>
      <c r="P3168" s="62" t="s"/>
      <c r="Q3168" s="62" t="s"/>
      <c r="R3168" s="62" t="s"/>
    </row>
    <row r="3169" spans="1:18" ht="15.75" customHeight="true">
      <c r="A3169" s="107" t="s"/>
      <c r="B3169" s="62" t="s"/>
      <c r="C3169" s="62" t="s"/>
      <c r="D3169" s="62" t="s"/>
      <c r="E3169" s="62" t="s"/>
      <c r="F3169" s="66" t="s"/>
      <c r="G3169" s="66" t="s"/>
      <c r="H3169" s="66" t="s"/>
      <c r="I3169" s="62" t="s"/>
      <c r="J3169" s="62" t="s"/>
      <c r="K3169" s="99" t="s"/>
      <c r="L3169" s="66" t="s"/>
      <c r="M3169" s="66" t="s"/>
      <c r="N3169" s="572" t="s"/>
      <c r="O3169" s="62" t="s"/>
      <c r="P3169" s="62" t="s"/>
      <c r="Q3169" s="62" t="s"/>
      <c r="R3169" s="62" t="s"/>
    </row>
    <row r="3170" spans="1:18" ht="15.75" customHeight="true">
      <c r="A3170" s="107" t="s"/>
      <c r="B3170" s="62" t="s"/>
      <c r="C3170" s="62" t="s"/>
      <c r="D3170" s="62" t="s"/>
      <c r="E3170" s="62" t="s"/>
      <c r="F3170" s="66" t="s"/>
      <c r="G3170" s="66" t="s"/>
      <c r="H3170" s="66" t="s"/>
      <c r="I3170" s="62" t="s"/>
      <c r="J3170" s="62" t="s"/>
      <c r="K3170" s="99" t="s"/>
      <c r="L3170" s="66" t="s"/>
      <c r="M3170" s="66" t="s"/>
      <c r="N3170" s="572" t="s"/>
      <c r="O3170" s="62" t="s"/>
      <c r="P3170" s="62" t="s"/>
      <c r="Q3170" s="62" t="s"/>
      <c r="R3170" s="62" t="s"/>
    </row>
    <row r="3171" spans="1:18" ht="15.75" customHeight="true">
      <c r="A3171" s="107" t="s"/>
      <c r="B3171" s="62" t="s"/>
      <c r="C3171" s="62" t="s"/>
      <c r="D3171" s="62" t="s"/>
      <c r="E3171" s="62" t="s"/>
      <c r="F3171" s="66" t="s"/>
      <c r="G3171" s="66" t="s"/>
      <c r="H3171" s="66" t="s"/>
      <c r="I3171" s="62" t="s"/>
      <c r="J3171" s="62" t="s"/>
      <c r="K3171" s="99" t="s"/>
      <c r="L3171" s="66" t="s"/>
      <c r="M3171" s="66" t="s"/>
      <c r="N3171" s="572" t="s"/>
      <c r="O3171" s="62" t="s"/>
      <c r="P3171" s="62" t="s"/>
      <c r="Q3171" s="62" t="s"/>
      <c r="R3171" s="62" t="s"/>
    </row>
    <row r="3172" spans="1:18" ht="15.75" customHeight="true">
      <c r="A3172" s="107" t="s"/>
      <c r="B3172" s="62" t="s"/>
      <c r="C3172" s="62" t="s"/>
      <c r="D3172" s="62" t="s"/>
      <c r="E3172" s="62" t="s"/>
      <c r="F3172" s="66" t="s"/>
      <c r="G3172" s="66" t="s"/>
      <c r="H3172" s="66" t="s"/>
      <c r="I3172" s="62" t="s"/>
      <c r="J3172" s="62" t="s"/>
      <c r="K3172" s="99" t="s"/>
      <c r="L3172" s="66" t="s"/>
      <c r="M3172" s="66" t="s"/>
      <c r="N3172" s="572" t="s"/>
      <c r="O3172" s="62" t="s"/>
      <c r="P3172" s="62" t="s"/>
      <c r="Q3172" s="62" t="s"/>
      <c r="R3172" s="62" t="s"/>
    </row>
    <row r="3173" spans="1:18" ht="15.75" customHeight="true">
      <c r="A3173" s="107" t="s"/>
      <c r="B3173" s="62" t="s"/>
      <c r="C3173" s="62" t="s"/>
      <c r="D3173" s="62" t="s"/>
      <c r="E3173" s="62" t="s"/>
      <c r="F3173" s="66" t="s"/>
      <c r="G3173" s="66" t="s"/>
      <c r="H3173" s="66" t="s"/>
      <c r="I3173" s="62" t="s"/>
      <c r="J3173" s="62" t="s"/>
      <c r="K3173" s="99" t="s"/>
      <c r="L3173" s="66" t="s"/>
      <c r="M3173" s="66" t="s"/>
      <c r="N3173" s="572" t="s"/>
      <c r="O3173" s="62" t="s"/>
      <c r="P3173" s="62" t="s"/>
      <c r="Q3173" s="62" t="s"/>
      <c r="R3173" s="62" t="s"/>
    </row>
    <row r="3174" spans="1:18" ht="15.75" customHeight="true">
      <c r="A3174" s="107" t="s"/>
      <c r="B3174" s="62" t="s"/>
      <c r="C3174" s="62" t="s"/>
      <c r="D3174" s="62" t="s"/>
      <c r="E3174" s="62" t="s"/>
      <c r="F3174" s="66" t="s"/>
      <c r="G3174" s="66" t="s"/>
      <c r="H3174" s="66" t="s"/>
      <c r="I3174" s="62" t="s"/>
      <c r="J3174" s="62" t="s"/>
      <c r="K3174" s="99" t="s"/>
      <c r="L3174" s="66" t="s"/>
      <c r="M3174" s="66" t="s"/>
      <c r="N3174" s="572" t="s"/>
      <c r="O3174" s="62" t="s"/>
      <c r="P3174" s="62" t="s"/>
      <c r="Q3174" s="62" t="s"/>
      <c r="R3174" s="62" t="s"/>
    </row>
    <row r="3175" spans="1:18" ht="15.75" customHeight="true">
      <c r="A3175" s="107" t="s"/>
      <c r="B3175" s="62" t="s"/>
      <c r="C3175" s="62" t="s"/>
      <c r="D3175" s="62" t="s"/>
      <c r="E3175" s="62" t="s"/>
      <c r="F3175" s="66" t="s"/>
      <c r="G3175" s="66" t="s"/>
      <c r="H3175" s="66" t="s"/>
      <c r="I3175" s="62" t="s"/>
      <c r="J3175" s="62" t="s"/>
      <c r="K3175" s="99" t="s"/>
      <c r="L3175" s="66" t="s"/>
      <c r="M3175" s="66" t="s"/>
      <c r="N3175" s="572" t="s"/>
      <c r="O3175" s="62" t="s"/>
      <c r="P3175" s="62" t="s"/>
      <c r="Q3175" s="62" t="s"/>
      <c r="R3175" s="62" t="s"/>
    </row>
    <row r="3176" spans="1:18" ht="15.75" customHeight="true">
      <c r="A3176" s="107" t="s"/>
      <c r="B3176" s="62" t="s"/>
      <c r="C3176" s="62" t="s"/>
      <c r="D3176" s="62" t="s"/>
      <c r="E3176" s="62" t="s"/>
      <c r="F3176" s="66" t="s"/>
      <c r="G3176" s="66" t="s"/>
      <c r="H3176" s="66" t="s"/>
      <c r="I3176" s="62" t="s"/>
      <c r="J3176" s="62" t="s"/>
      <c r="K3176" s="99" t="s"/>
      <c r="L3176" s="66" t="s"/>
      <c r="M3176" s="66" t="s"/>
      <c r="N3176" s="572" t="s"/>
      <c r="O3176" s="62" t="s"/>
      <c r="P3176" s="62" t="s"/>
      <c r="Q3176" s="62" t="s"/>
      <c r="R3176" s="62" t="s"/>
    </row>
    <row r="3177" spans="1:18" ht="15.75" customHeight="true">
      <c r="A3177" s="107" t="s"/>
      <c r="B3177" s="62" t="s"/>
      <c r="C3177" s="62" t="s"/>
      <c r="D3177" s="62" t="s"/>
      <c r="E3177" s="62" t="s"/>
      <c r="F3177" s="66" t="s"/>
      <c r="G3177" s="66" t="s"/>
      <c r="H3177" s="66" t="s"/>
      <c r="I3177" s="62" t="s"/>
      <c r="J3177" s="62" t="s"/>
      <c r="K3177" s="99" t="s"/>
      <c r="L3177" s="66" t="s"/>
      <c r="M3177" s="66" t="s"/>
      <c r="N3177" s="572" t="s"/>
      <c r="O3177" s="62" t="s"/>
      <c r="P3177" s="62" t="s"/>
      <c r="Q3177" s="62" t="s"/>
      <c r="R3177" s="62" t="s"/>
    </row>
    <row r="3178" spans="1:18" ht="15.75" customHeight="true">
      <c r="A3178" s="107" t="s"/>
      <c r="B3178" s="62" t="s"/>
      <c r="C3178" s="62" t="s"/>
      <c r="D3178" s="62" t="s"/>
      <c r="E3178" s="62" t="s"/>
      <c r="F3178" s="66" t="s"/>
      <c r="G3178" s="66" t="s"/>
      <c r="H3178" s="66" t="s"/>
      <c r="I3178" s="62" t="s"/>
      <c r="J3178" s="62" t="s"/>
      <c r="K3178" s="99" t="s"/>
      <c r="L3178" s="66" t="s"/>
      <c r="M3178" s="66" t="s"/>
      <c r="N3178" s="572" t="s"/>
      <c r="O3178" s="62" t="s"/>
      <c r="P3178" s="62" t="s"/>
      <c r="Q3178" s="62" t="s"/>
      <c r="R3178" s="62" t="s"/>
    </row>
    <row r="3179" spans="1:18" ht="15.75" customHeight="true">
      <c r="A3179" s="107" t="s"/>
      <c r="B3179" s="62" t="s"/>
      <c r="C3179" s="62" t="s"/>
      <c r="D3179" s="62" t="s"/>
      <c r="E3179" s="62" t="s"/>
      <c r="F3179" s="66" t="s"/>
      <c r="G3179" s="66" t="s"/>
      <c r="H3179" s="66" t="s"/>
      <c r="I3179" s="62" t="s"/>
      <c r="J3179" s="62" t="s"/>
      <c r="K3179" s="99" t="s"/>
      <c r="L3179" s="66" t="s"/>
      <c r="M3179" s="66" t="s"/>
      <c r="N3179" s="572" t="s"/>
      <c r="O3179" s="62" t="s"/>
      <c r="P3179" s="62" t="s"/>
      <c r="Q3179" s="62" t="s"/>
      <c r="R3179" s="62" t="s"/>
    </row>
    <row r="3180" spans="1:18" ht="15.75" customHeight="true">
      <c r="A3180" s="107" t="s"/>
      <c r="B3180" s="62" t="s"/>
      <c r="C3180" s="62" t="s"/>
      <c r="D3180" s="62" t="s"/>
      <c r="E3180" s="62" t="s"/>
      <c r="F3180" s="66" t="s"/>
      <c r="G3180" s="66" t="s"/>
      <c r="H3180" s="66" t="s"/>
      <c r="I3180" s="62" t="s"/>
      <c r="J3180" s="62" t="s"/>
      <c r="K3180" s="99" t="s"/>
      <c r="L3180" s="66" t="s"/>
      <c r="M3180" s="66" t="s"/>
      <c r="N3180" s="572" t="s"/>
      <c r="O3180" s="62" t="s"/>
      <c r="P3180" s="62" t="s"/>
      <c r="Q3180" s="62" t="s"/>
      <c r="R3180" s="62" t="s"/>
    </row>
    <row r="3181" spans="1:18" ht="15.75" customHeight="true">
      <c r="A3181" s="107" t="s"/>
      <c r="B3181" s="62" t="s"/>
      <c r="C3181" s="62" t="s"/>
      <c r="D3181" s="62" t="s"/>
      <c r="E3181" s="62" t="s"/>
      <c r="F3181" s="66" t="s"/>
      <c r="G3181" s="66" t="s"/>
      <c r="H3181" s="66" t="s"/>
      <c r="I3181" s="62" t="s"/>
      <c r="J3181" s="62" t="s"/>
      <c r="K3181" s="99" t="s"/>
      <c r="L3181" s="66" t="s"/>
      <c r="M3181" s="66" t="s"/>
      <c r="N3181" s="572" t="s"/>
      <c r="O3181" s="62" t="s"/>
      <c r="P3181" s="62" t="s"/>
      <c r="Q3181" s="62" t="s"/>
      <c r="R3181" s="62" t="s"/>
    </row>
    <row r="3182" spans="1:18" ht="15.75" customHeight="true">
      <c r="A3182" s="107" t="s"/>
      <c r="B3182" s="62" t="s"/>
      <c r="C3182" s="62" t="s"/>
      <c r="D3182" s="62" t="s"/>
      <c r="E3182" s="62" t="s"/>
      <c r="F3182" s="66" t="s"/>
      <c r="G3182" s="66" t="s"/>
      <c r="H3182" s="66" t="s"/>
      <c r="I3182" s="62" t="s"/>
      <c r="J3182" s="62" t="s"/>
      <c r="K3182" s="99" t="s"/>
      <c r="L3182" s="66" t="s"/>
      <c r="M3182" s="66" t="s"/>
      <c r="N3182" s="572" t="s"/>
      <c r="O3182" s="62" t="s"/>
      <c r="P3182" s="62" t="s"/>
      <c r="Q3182" s="62" t="s"/>
      <c r="R3182" s="62" t="s"/>
    </row>
    <row r="3183" spans="1:18" ht="15.75" customHeight="true">
      <c r="A3183" s="107" t="s"/>
      <c r="B3183" s="62" t="s"/>
      <c r="C3183" s="62" t="s"/>
      <c r="D3183" s="62" t="s"/>
      <c r="E3183" s="62" t="s"/>
      <c r="F3183" s="66" t="s"/>
      <c r="G3183" s="66" t="s"/>
      <c r="H3183" s="66" t="s"/>
      <c r="I3183" s="62" t="s"/>
      <c r="J3183" s="62" t="s"/>
      <c r="K3183" s="99" t="s"/>
      <c r="L3183" s="66" t="s"/>
      <c r="M3183" s="66" t="s"/>
      <c r="N3183" s="572" t="s"/>
      <c r="O3183" s="62" t="s"/>
      <c r="P3183" s="62" t="s"/>
      <c r="Q3183" s="62" t="s"/>
      <c r="R3183" s="62" t="s"/>
    </row>
    <row r="3184" spans="1:18" ht="15.75" customHeight="true">
      <c r="A3184" s="107" t="s"/>
      <c r="B3184" s="62" t="s"/>
      <c r="C3184" s="62" t="s"/>
      <c r="D3184" s="62" t="s"/>
      <c r="E3184" s="62" t="s"/>
      <c r="F3184" s="66" t="s"/>
      <c r="G3184" s="66" t="s"/>
      <c r="H3184" s="66" t="s"/>
      <c r="I3184" s="62" t="s"/>
      <c r="J3184" s="62" t="s"/>
      <c r="K3184" s="99" t="s"/>
      <c r="L3184" s="66" t="s"/>
      <c r="M3184" s="66" t="s"/>
      <c r="N3184" s="572" t="s"/>
      <c r="O3184" s="62" t="s"/>
      <c r="P3184" s="62" t="s"/>
      <c r="Q3184" s="62" t="s"/>
      <c r="R3184" s="62" t="s"/>
    </row>
    <row r="3185" spans="1:18" ht="15.75" customHeight="true">
      <c r="A3185" s="107" t="s"/>
      <c r="B3185" s="62" t="s"/>
      <c r="C3185" s="62" t="s"/>
      <c r="D3185" s="62" t="s"/>
      <c r="E3185" s="62" t="s"/>
      <c r="F3185" s="66" t="s"/>
      <c r="G3185" s="66" t="s"/>
      <c r="H3185" s="66" t="s"/>
      <c r="I3185" s="62" t="s"/>
      <c r="J3185" s="62" t="s"/>
      <c r="K3185" s="99" t="s"/>
      <c r="L3185" s="66" t="s"/>
      <c r="M3185" s="66" t="s"/>
      <c r="N3185" s="572" t="s"/>
      <c r="O3185" s="62" t="s"/>
      <c r="P3185" s="62" t="s"/>
      <c r="Q3185" s="62" t="s"/>
      <c r="R3185" s="62" t="s"/>
    </row>
    <row r="3186" spans="1:18" ht="15.75" customHeight="true">
      <c r="A3186" s="107" t="s"/>
      <c r="B3186" s="62" t="s"/>
      <c r="C3186" s="62" t="s"/>
      <c r="D3186" s="62" t="s"/>
      <c r="E3186" s="62" t="s"/>
      <c r="F3186" s="66" t="s"/>
      <c r="G3186" s="66" t="s"/>
      <c r="H3186" s="66" t="s"/>
      <c r="I3186" s="62" t="s"/>
      <c r="J3186" s="62" t="s"/>
      <c r="K3186" s="99" t="s"/>
      <c r="L3186" s="66" t="s"/>
      <c r="M3186" s="66" t="s"/>
      <c r="N3186" s="572" t="s"/>
      <c r="O3186" s="62" t="s"/>
      <c r="P3186" s="62" t="s"/>
      <c r="Q3186" s="62" t="s"/>
      <c r="R3186" s="62" t="s"/>
    </row>
    <row r="3187" spans="1:18" ht="15.75" customHeight="true">
      <c r="A3187" s="107" t="s"/>
      <c r="B3187" s="62" t="s"/>
      <c r="C3187" s="62" t="s"/>
      <c r="D3187" s="62" t="s"/>
      <c r="E3187" s="62" t="s"/>
      <c r="F3187" s="66" t="s"/>
      <c r="G3187" s="66" t="s"/>
      <c r="H3187" s="66" t="s"/>
      <c r="I3187" s="62" t="s"/>
      <c r="J3187" s="62" t="s"/>
      <c r="K3187" s="99" t="s"/>
      <c r="L3187" s="66" t="s"/>
      <c r="M3187" s="66" t="s"/>
      <c r="N3187" s="572" t="s"/>
      <c r="O3187" s="62" t="s"/>
      <c r="P3187" s="62" t="s"/>
      <c r="Q3187" s="62" t="s"/>
      <c r="R3187" s="62" t="s"/>
    </row>
    <row r="3188" spans="1:18" ht="15.75" customHeight="true">
      <c r="A3188" s="107" t="s"/>
      <c r="B3188" s="62" t="s"/>
      <c r="C3188" s="62" t="s"/>
      <c r="D3188" s="62" t="s"/>
      <c r="E3188" s="62" t="s"/>
      <c r="F3188" s="66" t="s"/>
      <c r="G3188" s="66" t="s"/>
      <c r="H3188" s="66" t="s"/>
      <c r="I3188" s="62" t="s"/>
      <c r="J3188" s="62" t="s"/>
      <c r="K3188" s="99" t="s"/>
      <c r="L3188" s="66" t="s"/>
      <c r="M3188" s="66" t="s"/>
      <c r="N3188" s="572" t="s"/>
      <c r="O3188" s="62" t="s"/>
      <c r="P3188" s="62" t="s"/>
      <c r="Q3188" s="62" t="s"/>
      <c r="R3188" s="62" t="s"/>
    </row>
    <row r="3189" spans="1:18" ht="15.75" customHeight="true">
      <c r="A3189" s="107" t="s"/>
      <c r="B3189" s="62" t="s"/>
      <c r="C3189" s="62" t="s"/>
      <c r="D3189" s="62" t="s"/>
      <c r="E3189" s="62" t="s"/>
      <c r="F3189" s="66" t="s"/>
      <c r="G3189" s="66" t="s"/>
      <c r="H3189" s="66" t="s"/>
      <c r="I3189" s="62" t="s"/>
      <c r="J3189" s="62" t="s"/>
      <c r="K3189" s="99" t="s"/>
      <c r="L3189" s="66" t="s"/>
      <c r="M3189" s="66" t="s"/>
      <c r="N3189" s="572" t="s"/>
      <c r="O3189" s="62" t="s"/>
      <c r="P3189" s="62" t="s"/>
      <c r="Q3189" s="62" t="s"/>
      <c r="R3189" s="62" t="s"/>
    </row>
    <row r="3190" spans="1:18" ht="15.75" customHeight="true">
      <c r="A3190" s="107" t="s"/>
      <c r="B3190" s="62" t="s"/>
      <c r="C3190" s="62" t="s"/>
      <c r="D3190" s="62" t="s"/>
      <c r="E3190" s="62" t="s"/>
      <c r="F3190" s="66" t="s"/>
      <c r="G3190" s="66" t="s"/>
      <c r="H3190" s="66" t="s"/>
      <c r="I3190" s="62" t="s"/>
      <c r="J3190" s="62" t="s"/>
      <c r="K3190" s="99" t="s"/>
      <c r="L3190" s="66" t="s"/>
      <c r="M3190" s="66" t="s"/>
      <c r="N3190" s="572" t="s"/>
      <c r="O3190" s="62" t="s"/>
      <c r="P3190" s="62" t="s"/>
      <c r="Q3190" s="62" t="s"/>
      <c r="R3190" s="62" t="s"/>
    </row>
    <row r="3191" spans="1:18" ht="15.75" customHeight="true">
      <c r="A3191" s="107" t="s"/>
      <c r="B3191" s="62" t="s"/>
      <c r="C3191" s="62" t="s"/>
      <c r="D3191" s="62" t="s"/>
      <c r="E3191" s="62" t="s"/>
      <c r="F3191" s="66" t="s"/>
      <c r="G3191" s="66" t="s"/>
      <c r="H3191" s="66" t="s"/>
      <c r="I3191" s="62" t="s"/>
      <c r="J3191" s="62" t="s"/>
      <c r="K3191" s="99" t="s"/>
      <c r="L3191" s="66" t="s"/>
      <c r="M3191" s="66" t="s"/>
      <c r="N3191" s="572" t="s"/>
      <c r="O3191" s="62" t="s"/>
      <c r="P3191" s="62" t="s"/>
      <c r="Q3191" s="62" t="s"/>
      <c r="R3191" s="62" t="s"/>
    </row>
    <row r="3192" spans="1:18" ht="15.75" customHeight="true">
      <c r="A3192" s="107" t="s"/>
      <c r="B3192" s="62" t="s"/>
      <c r="C3192" s="62" t="s"/>
      <c r="D3192" s="62" t="s"/>
      <c r="E3192" s="62" t="s"/>
      <c r="F3192" s="66" t="s"/>
      <c r="G3192" s="66" t="s"/>
      <c r="H3192" s="66" t="s"/>
      <c r="I3192" s="62" t="s"/>
      <c r="J3192" s="62" t="s"/>
      <c r="K3192" s="99" t="s"/>
      <c r="L3192" s="66" t="s"/>
      <c r="M3192" s="66" t="s"/>
      <c r="N3192" s="572" t="s"/>
      <c r="O3192" s="62" t="s"/>
      <c r="P3192" s="62" t="s"/>
      <c r="Q3192" s="62" t="s"/>
      <c r="R3192" s="62" t="s"/>
    </row>
    <row r="3193" spans="1:18" ht="15.75" customHeight="true">
      <c r="A3193" s="107" t="s"/>
      <c r="B3193" s="62" t="s"/>
      <c r="C3193" s="62" t="s"/>
      <c r="D3193" s="62" t="s"/>
      <c r="E3193" s="62" t="s"/>
      <c r="F3193" s="66" t="s"/>
      <c r="G3193" s="66" t="s"/>
      <c r="H3193" s="66" t="s"/>
      <c r="I3193" s="62" t="s"/>
      <c r="J3193" s="62" t="s"/>
      <c r="K3193" s="99" t="s"/>
      <c r="L3193" s="66" t="s"/>
      <c r="M3193" s="66" t="s"/>
      <c r="N3193" s="572" t="s"/>
      <c r="O3193" s="62" t="s"/>
      <c r="P3193" s="62" t="s"/>
      <c r="Q3193" s="62" t="s"/>
      <c r="R3193" s="62" t="s"/>
    </row>
    <row r="3194" spans="1:18" ht="15.75" customHeight="true">
      <c r="A3194" s="107" t="s"/>
      <c r="B3194" s="62" t="s"/>
      <c r="C3194" s="62" t="s"/>
      <c r="D3194" s="62" t="s"/>
      <c r="E3194" s="62" t="s"/>
      <c r="F3194" s="66" t="s"/>
      <c r="G3194" s="66" t="s"/>
      <c r="H3194" s="66" t="s"/>
      <c r="I3194" s="62" t="s"/>
      <c r="J3194" s="62" t="s"/>
      <c r="K3194" s="99" t="s"/>
      <c r="L3194" s="66" t="s"/>
      <c r="M3194" s="66" t="s"/>
      <c r="N3194" s="572" t="s"/>
      <c r="O3194" s="62" t="s"/>
      <c r="P3194" s="62" t="s"/>
      <c r="Q3194" s="62" t="s"/>
      <c r="R3194" s="62" t="s"/>
    </row>
    <row r="3195" spans="1:18" ht="15.75" customHeight="true">
      <c r="A3195" s="107" t="s"/>
      <c r="B3195" s="62" t="s"/>
      <c r="C3195" s="62" t="s"/>
      <c r="D3195" s="62" t="s"/>
      <c r="E3195" s="62" t="s"/>
      <c r="F3195" s="66" t="s"/>
      <c r="G3195" s="66" t="s"/>
      <c r="H3195" s="66" t="s"/>
      <c r="I3195" s="62" t="s"/>
      <c r="J3195" s="62" t="s"/>
      <c r="K3195" s="99" t="s"/>
      <c r="L3195" s="66" t="s"/>
      <c r="M3195" s="66" t="s"/>
      <c r="N3195" s="572" t="s"/>
      <c r="O3195" s="62" t="s"/>
      <c r="P3195" s="62" t="s"/>
      <c r="Q3195" s="62" t="s"/>
      <c r="R3195" s="62" t="s"/>
    </row>
    <row r="3196" spans="1:18" ht="15.75" customHeight="true">
      <c r="A3196" s="107" t="s"/>
      <c r="B3196" s="62" t="s"/>
      <c r="C3196" s="62" t="s"/>
      <c r="D3196" s="62" t="s"/>
      <c r="E3196" s="62" t="s"/>
      <c r="F3196" s="66" t="s"/>
      <c r="G3196" s="66" t="s"/>
      <c r="H3196" s="66" t="s"/>
      <c r="I3196" s="62" t="s"/>
      <c r="J3196" s="62" t="s"/>
      <c r="K3196" s="99" t="s"/>
      <c r="L3196" s="66" t="s"/>
      <c r="M3196" s="66" t="s"/>
      <c r="N3196" s="572" t="s"/>
      <c r="O3196" s="62" t="s"/>
      <c r="P3196" s="62" t="s"/>
      <c r="Q3196" s="62" t="s"/>
      <c r="R3196" s="62" t="s"/>
    </row>
    <row r="3197" spans="1:18" ht="15.75" customHeight="true">
      <c r="A3197" s="107" t="s"/>
      <c r="B3197" s="62" t="s"/>
      <c r="C3197" s="62" t="s"/>
      <c r="D3197" s="62" t="s"/>
      <c r="E3197" s="62" t="s"/>
      <c r="F3197" s="66" t="s"/>
      <c r="G3197" s="66" t="s"/>
      <c r="H3197" s="66" t="s"/>
      <c r="I3197" s="62" t="s"/>
      <c r="J3197" s="62" t="s"/>
      <c r="K3197" s="99" t="s"/>
      <c r="L3197" s="66" t="s"/>
      <c r="M3197" s="66" t="s"/>
      <c r="N3197" s="572" t="s"/>
      <c r="O3197" s="62" t="s"/>
      <c r="P3197" s="62" t="s"/>
      <c r="Q3197" s="62" t="s"/>
      <c r="R3197" s="62" t="s"/>
    </row>
    <row r="3198" spans="1:18" ht="15.75" customHeight="true">
      <c r="A3198" s="107" t="s"/>
      <c r="B3198" s="62" t="s"/>
      <c r="C3198" s="62" t="s"/>
      <c r="D3198" s="62" t="s"/>
      <c r="E3198" s="62" t="s"/>
      <c r="F3198" s="66" t="s"/>
      <c r="G3198" s="66" t="s"/>
      <c r="H3198" s="66" t="s"/>
      <c r="I3198" s="62" t="s"/>
      <c r="J3198" s="62" t="s"/>
      <c r="K3198" s="99" t="s"/>
      <c r="L3198" s="66" t="s"/>
      <c r="M3198" s="66" t="s"/>
      <c r="N3198" s="572" t="s"/>
      <c r="O3198" s="62" t="s"/>
      <c r="P3198" s="62" t="s"/>
      <c r="Q3198" s="62" t="s"/>
      <c r="R3198" s="62" t="s"/>
    </row>
    <row r="3199" spans="1:18" ht="15.75" customHeight="true">
      <c r="A3199" s="107" t="s"/>
      <c r="B3199" s="62" t="s"/>
      <c r="C3199" s="62" t="s"/>
      <c r="D3199" s="62" t="s"/>
      <c r="E3199" s="62" t="s"/>
      <c r="F3199" s="66" t="s"/>
      <c r="G3199" s="66" t="s"/>
      <c r="H3199" s="66" t="s"/>
      <c r="I3199" s="62" t="s"/>
      <c r="J3199" s="62" t="s"/>
      <c r="K3199" s="99" t="s"/>
      <c r="L3199" s="66" t="s"/>
      <c r="M3199" s="66" t="s"/>
      <c r="N3199" s="572" t="s"/>
      <c r="O3199" s="62" t="s"/>
      <c r="P3199" s="62" t="s"/>
      <c r="Q3199" s="62" t="s"/>
      <c r="R3199" s="62" t="s"/>
    </row>
    <row r="3200" spans="1:18" ht="15.75" customHeight="true">
      <c r="A3200" s="107" t="s"/>
      <c r="B3200" s="62" t="s"/>
      <c r="C3200" s="62" t="s"/>
      <c r="D3200" s="62" t="s"/>
      <c r="E3200" s="62" t="s"/>
      <c r="F3200" s="66" t="s"/>
      <c r="G3200" s="66" t="s"/>
      <c r="H3200" s="66" t="s"/>
      <c r="I3200" s="62" t="s"/>
      <c r="J3200" s="62" t="s"/>
      <c r="K3200" s="99" t="s"/>
      <c r="L3200" s="66" t="s"/>
      <c r="M3200" s="66" t="s"/>
      <c r="N3200" s="572" t="s"/>
      <c r="O3200" s="62" t="s"/>
      <c r="P3200" s="62" t="s"/>
      <c r="Q3200" s="62" t="s"/>
      <c r="R3200" s="62" t="s"/>
    </row>
    <row r="3201" spans="1:18" ht="15.75" customHeight="true">
      <c r="A3201" s="107" t="s"/>
      <c r="B3201" s="62" t="s"/>
      <c r="C3201" s="62" t="s"/>
      <c r="D3201" s="62" t="s"/>
      <c r="E3201" s="62" t="s"/>
      <c r="F3201" s="66" t="s"/>
      <c r="G3201" s="66" t="s"/>
      <c r="H3201" s="66" t="s"/>
      <c r="I3201" s="62" t="s"/>
      <c r="J3201" s="62" t="s"/>
      <c r="K3201" s="99" t="s"/>
      <c r="L3201" s="66" t="s"/>
      <c r="M3201" s="66" t="s"/>
      <c r="N3201" s="572" t="s"/>
      <c r="O3201" s="62" t="s"/>
      <c r="P3201" s="62" t="s"/>
      <c r="Q3201" s="62" t="s"/>
      <c r="R3201" s="62" t="s"/>
    </row>
    <row r="3202" spans="1:18" ht="15.75" customHeight="true">
      <c r="A3202" s="107" t="s"/>
      <c r="B3202" s="62" t="s"/>
      <c r="C3202" s="62" t="s"/>
      <c r="D3202" s="62" t="s"/>
      <c r="E3202" s="62" t="s"/>
      <c r="F3202" s="66" t="s"/>
      <c r="G3202" s="66" t="s"/>
      <c r="H3202" s="66" t="s"/>
      <c r="I3202" s="62" t="s"/>
      <c r="J3202" s="62" t="s"/>
      <c r="K3202" s="99" t="s"/>
      <c r="L3202" s="66" t="s"/>
      <c r="M3202" s="66" t="s"/>
      <c r="N3202" s="572" t="s"/>
      <c r="O3202" s="62" t="s"/>
      <c r="P3202" s="62" t="s"/>
      <c r="Q3202" s="62" t="s"/>
      <c r="R3202" s="62" t="s"/>
    </row>
    <row r="3203" spans="1:18" ht="15.75" customHeight="true">
      <c r="A3203" s="107" t="s"/>
      <c r="B3203" s="62" t="s"/>
      <c r="C3203" s="62" t="s"/>
      <c r="D3203" s="62" t="s"/>
      <c r="E3203" s="62" t="s"/>
      <c r="F3203" s="66" t="s"/>
      <c r="G3203" s="66" t="s"/>
      <c r="H3203" s="66" t="s"/>
      <c r="I3203" s="62" t="s"/>
      <c r="J3203" s="62" t="s"/>
      <c r="K3203" s="99" t="s"/>
      <c r="L3203" s="66" t="s"/>
      <c r="M3203" s="66" t="s"/>
      <c r="N3203" s="572" t="s"/>
      <c r="O3203" s="62" t="s"/>
      <c r="P3203" s="62" t="s"/>
      <c r="Q3203" s="62" t="s"/>
      <c r="R3203" s="62" t="s"/>
    </row>
    <row r="3204" spans="1:18" ht="15.75" customHeight="true">
      <c r="A3204" s="107" t="s"/>
      <c r="B3204" s="62" t="s"/>
      <c r="C3204" s="62" t="s"/>
      <c r="D3204" s="62" t="s"/>
      <c r="E3204" s="62" t="s"/>
      <c r="F3204" s="66" t="s"/>
      <c r="G3204" s="66" t="s"/>
      <c r="H3204" s="66" t="s"/>
      <c r="I3204" s="62" t="s"/>
      <c r="J3204" s="62" t="s"/>
      <c r="K3204" s="99" t="s"/>
      <c r="L3204" s="66" t="s"/>
      <c r="M3204" s="66" t="s"/>
      <c r="N3204" s="572" t="s"/>
      <c r="O3204" s="62" t="s"/>
      <c r="P3204" s="62" t="s"/>
      <c r="Q3204" s="62" t="s"/>
      <c r="R3204" s="62" t="s"/>
    </row>
    <row r="3205" spans="1:18" ht="15.75" customHeight="true">
      <c r="A3205" s="107" t="s"/>
      <c r="B3205" s="62" t="s"/>
      <c r="C3205" s="62" t="s"/>
      <c r="D3205" s="62" t="s"/>
      <c r="E3205" s="62" t="s"/>
      <c r="F3205" s="66" t="s"/>
      <c r="G3205" s="66" t="s"/>
      <c r="H3205" s="66" t="s"/>
      <c r="I3205" s="62" t="s"/>
      <c r="J3205" s="62" t="s"/>
      <c r="K3205" s="99" t="s"/>
      <c r="L3205" s="66" t="s"/>
      <c r="M3205" s="66" t="s"/>
      <c r="N3205" s="572" t="s"/>
      <c r="O3205" s="62" t="s"/>
      <c r="P3205" s="62" t="s"/>
      <c r="Q3205" s="62" t="s"/>
      <c r="R3205" s="62" t="s"/>
    </row>
    <row r="3206" spans="1:18" ht="15.75" customHeight="true">
      <c r="A3206" s="107" t="s"/>
      <c r="B3206" s="62" t="s"/>
      <c r="C3206" s="62" t="s"/>
      <c r="D3206" s="62" t="s"/>
      <c r="E3206" s="62" t="s"/>
      <c r="F3206" s="66" t="s"/>
      <c r="G3206" s="66" t="s"/>
      <c r="H3206" s="66" t="s"/>
      <c r="I3206" s="62" t="s"/>
      <c r="J3206" s="62" t="s"/>
      <c r="K3206" s="99" t="s"/>
      <c r="L3206" s="66" t="s"/>
      <c r="M3206" s="66" t="s"/>
      <c r="N3206" s="572" t="s"/>
      <c r="O3206" s="62" t="s"/>
      <c r="P3206" s="62" t="s"/>
      <c r="Q3206" s="62" t="s"/>
      <c r="R3206" s="62" t="s"/>
    </row>
    <row r="3207" spans="1:18" ht="15.75" customHeight="true">
      <c r="A3207" s="107" t="s"/>
      <c r="B3207" s="62" t="s"/>
      <c r="C3207" s="62" t="s"/>
      <c r="D3207" s="62" t="s"/>
      <c r="E3207" s="62" t="s"/>
      <c r="F3207" s="66" t="s"/>
      <c r="G3207" s="66" t="s"/>
      <c r="H3207" s="66" t="s"/>
      <c r="I3207" s="62" t="s"/>
      <c r="J3207" s="62" t="s"/>
      <c r="K3207" s="99" t="s"/>
      <c r="L3207" s="66" t="s"/>
      <c r="M3207" s="66" t="s"/>
      <c r="N3207" s="572" t="s"/>
      <c r="O3207" s="62" t="s"/>
      <c r="P3207" s="62" t="s"/>
      <c r="Q3207" s="62" t="s"/>
      <c r="R3207" s="62" t="s"/>
    </row>
    <row r="3208" spans="1:18" ht="15.75" customHeight="true">
      <c r="A3208" s="107" t="s"/>
      <c r="B3208" s="62" t="s"/>
      <c r="C3208" s="62" t="s"/>
      <c r="D3208" s="62" t="s"/>
      <c r="E3208" s="62" t="s"/>
      <c r="F3208" s="66" t="s"/>
      <c r="G3208" s="66" t="s"/>
      <c r="H3208" s="66" t="s"/>
      <c r="I3208" s="62" t="s"/>
      <c r="J3208" s="62" t="s"/>
      <c r="K3208" s="99" t="s"/>
      <c r="L3208" s="66" t="s"/>
      <c r="M3208" s="66" t="s"/>
      <c r="N3208" s="572" t="s"/>
      <c r="O3208" s="62" t="s"/>
      <c r="P3208" s="62" t="s"/>
      <c r="Q3208" s="62" t="s"/>
      <c r="R3208" s="62" t="s"/>
    </row>
    <row r="3209" spans="1:18" ht="15.75" customHeight="true">
      <c r="A3209" s="107" t="s"/>
      <c r="B3209" s="62" t="s"/>
      <c r="C3209" s="62" t="s"/>
      <c r="D3209" s="62" t="s"/>
      <c r="E3209" s="62" t="s"/>
      <c r="F3209" s="66" t="s"/>
      <c r="G3209" s="66" t="s"/>
      <c r="H3209" s="66" t="s"/>
      <c r="I3209" s="62" t="s"/>
      <c r="J3209" s="62" t="s"/>
      <c r="K3209" s="99" t="s"/>
      <c r="L3209" s="66" t="s"/>
      <c r="M3209" s="66" t="s"/>
      <c r="N3209" s="572" t="s"/>
      <c r="O3209" s="62" t="s"/>
      <c r="P3209" s="62" t="s"/>
      <c r="Q3209" s="62" t="s"/>
      <c r="R3209" s="62" t="s"/>
    </row>
    <row r="3210" spans="1:18" ht="15.75" customHeight="true">
      <c r="A3210" s="107" t="s"/>
      <c r="B3210" s="62" t="s"/>
      <c r="C3210" s="62" t="s"/>
      <c r="D3210" s="62" t="s"/>
      <c r="E3210" s="62" t="s"/>
      <c r="F3210" s="66" t="s"/>
      <c r="G3210" s="66" t="s"/>
      <c r="H3210" s="66" t="s"/>
      <c r="I3210" s="62" t="s"/>
      <c r="J3210" s="62" t="s"/>
      <c r="K3210" s="99" t="s"/>
      <c r="L3210" s="66" t="s"/>
      <c r="M3210" s="66" t="s"/>
      <c r="N3210" s="572" t="s"/>
      <c r="O3210" s="62" t="s"/>
      <c r="P3210" s="62" t="s"/>
      <c r="Q3210" s="62" t="s"/>
      <c r="R3210" s="62" t="s"/>
    </row>
    <row r="3211" spans="1:18" ht="15.75" customHeight="true">
      <c r="A3211" s="107" t="s"/>
      <c r="B3211" s="62" t="s"/>
      <c r="C3211" s="62" t="s"/>
      <c r="D3211" s="62" t="s"/>
      <c r="E3211" s="62" t="s"/>
      <c r="F3211" s="66" t="s"/>
      <c r="G3211" s="66" t="s"/>
      <c r="H3211" s="66" t="s"/>
      <c r="I3211" s="62" t="s"/>
      <c r="J3211" s="62" t="s"/>
      <c r="K3211" s="99" t="s"/>
      <c r="L3211" s="66" t="s"/>
      <c r="M3211" s="66" t="s"/>
      <c r="N3211" s="572" t="s"/>
      <c r="O3211" s="62" t="s"/>
      <c r="P3211" s="62" t="s"/>
      <c r="Q3211" s="62" t="s"/>
      <c r="R3211" s="62" t="s"/>
    </row>
    <row r="3212" spans="1:18" ht="15.75" customHeight="true">
      <c r="A3212" s="107" t="s"/>
      <c r="B3212" s="62" t="s"/>
      <c r="C3212" s="62" t="s"/>
      <c r="D3212" s="62" t="s"/>
      <c r="E3212" s="62" t="s"/>
      <c r="F3212" s="66" t="s"/>
      <c r="G3212" s="66" t="s"/>
      <c r="H3212" s="66" t="s"/>
      <c r="I3212" s="62" t="s"/>
      <c r="J3212" s="62" t="s"/>
      <c r="K3212" s="99" t="s"/>
      <c r="L3212" s="66" t="s"/>
      <c r="M3212" s="66" t="s"/>
      <c r="N3212" s="572" t="s"/>
      <c r="O3212" s="62" t="s"/>
      <c r="P3212" s="62" t="s"/>
      <c r="Q3212" s="62" t="s"/>
      <c r="R3212" s="62" t="s"/>
    </row>
    <row r="3213" spans="1:18" ht="15.75" customHeight="true">
      <c r="A3213" s="107" t="s"/>
      <c r="B3213" s="62" t="s"/>
      <c r="C3213" s="62" t="s"/>
      <c r="D3213" s="62" t="s"/>
      <c r="E3213" s="62" t="s"/>
      <c r="F3213" s="66" t="s"/>
      <c r="G3213" s="66" t="s"/>
      <c r="H3213" s="66" t="s"/>
      <c r="I3213" s="62" t="s"/>
      <c r="J3213" s="62" t="s"/>
      <c r="K3213" s="99" t="s"/>
      <c r="L3213" s="66" t="s"/>
      <c r="M3213" s="66" t="s"/>
      <c r="N3213" s="572" t="s"/>
      <c r="O3213" s="62" t="s"/>
      <c r="P3213" s="62" t="s"/>
      <c r="Q3213" s="62" t="s"/>
      <c r="R3213" s="62" t="s"/>
    </row>
    <row r="3214" spans="1:18" ht="15.75" customHeight="true">
      <c r="A3214" s="107" t="s"/>
      <c r="B3214" s="62" t="s"/>
      <c r="C3214" s="62" t="s"/>
      <c r="D3214" s="62" t="s"/>
      <c r="E3214" s="62" t="s"/>
      <c r="F3214" s="66" t="s"/>
      <c r="G3214" s="66" t="s"/>
      <c r="H3214" s="66" t="s"/>
      <c r="I3214" s="62" t="s"/>
      <c r="J3214" s="62" t="s"/>
      <c r="K3214" s="99" t="s"/>
      <c r="L3214" s="66" t="s"/>
      <c r="M3214" s="66" t="s"/>
      <c r="N3214" s="572" t="s"/>
      <c r="O3214" s="62" t="s"/>
      <c r="P3214" s="62" t="s"/>
      <c r="Q3214" s="62" t="s"/>
      <c r="R3214" s="62" t="s"/>
    </row>
    <row r="3215" spans="1:18" ht="15.75" customHeight="true">
      <c r="A3215" s="107" t="s"/>
      <c r="B3215" s="62" t="s"/>
      <c r="C3215" s="62" t="s"/>
      <c r="D3215" s="62" t="s"/>
      <c r="E3215" s="62" t="s"/>
      <c r="F3215" s="66" t="s"/>
      <c r="G3215" s="66" t="s"/>
      <c r="H3215" s="66" t="s"/>
      <c r="I3215" s="62" t="s"/>
      <c r="J3215" s="62" t="s"/>
      <c r="K3215" s="99" t="s"/>
      <c r="L3215" s="66" t="s"/>
      <c r="M3215" s="66" t="s"/>
      <c r="N3215" s="572" t="s"/>
      <c r="O3215" s="62" t="s"/>
      <c r="P3215" s="62" t="s"/>
      <c r="Q3215" s="62" t="s"/>
      <c r="R3215" s="62" t="s"/>
    </row>
    <row r="3216" spans="1:18" ht="15.75" customHeight="true">
      <c r="A3216" s="107" t="s"/>
      <c r="B3216" s="62" t="s"/>
      <c r="C3216" s="62" t="s"/>
      <c r="D3216" s="62" t="s"/>
      <c r="E3216" s="62" t="s"/>
      <c r="F3216" s="66" t="s"/>
      <c r="G3216" s="66" t="s"/>
      <c r="H3216" s="66" t="s"/>
      <c r="I3216" s="62" t="s"/>
      <c r="J3216" s="62" t="s"/>
      <c r="K3216" s="99" t="s"/>
      <c r="L3216" s="66" t="s"/>
      <c r="M3216" s="66" t="s"/>
      <c r="N3216" s="572" t="s"/>
      <c r="O3216" s="62" t="s"/>
      <c r="P3216" s="62" t="s"/>
      <c r="Q3216" s="62" t="s"/>
      <c r="R3216" s="62" t="s"/>
    </row>
    <row r="3217" spans="1:18" ht="15.75" customHeight="true">
      <c r="A3217" s="107" t="s"/>
      <c r="B3217" s="62" t="s"/>
      <c r="C3217" s="62" t="s"/>
      <c r="D3217" s="62" t="s"/>
      <c r="E3217" s="62" t="s"/>
      <c r="F3217" s="66" t="s"/>
      <c r="G3217" s="66" t="s"/>
      <c r="H3217" s="66" t="s"/>
      <c r="I3217" s="62" t="s"/>
      <c r="J3217" s="62" t="s"/>
      <c r="K3217" s="99" t="s"/>
      <c r="L3217" s="66" t="s"/>
      <c r="M3217" s="66" t="s"/>
      <c r="N3217" s="572" t="s"/>
      <c r="O3217" s="62" t="s"/>
      <c r="P3217" s="62" t="s"/>
      <c r="Q3217" s="62" t="s"/>
      <c r="R3217" s="62" t="s"/>
    </row>
    <row r="3218" spans="1:18" ht="15.75" customHeight="true">
      <c r="A3218" s="107" t="s"/>
      <c r="B3218" s="62" t="s"/>
      <c r="C3218" s="62" t="s"/>
      <c r="D3218" s="62" t="s"/>
      <c r="E3218" s="62" t="s"/>
      <c r="F3218" s="66" t="s"/>
      <c r="G3218" s="66" t="s"/>
      <c r="H3218" s="66" t="s"/>
      <c r="I3218" s="62" t="s"/>
      <c r="J3218" s="62" t="s"/>
      <c r="K3218" s="99" t="s"/>
      <c r="L3218" s="66" t="s"/>
      <c r="M3218" s="66" t="s"/>
      <c r="N3218" s="572" t="s"/>
      <c r="O3218" s="62" t="s"/>
      <c r="P3218" s="62" t="s"/>
      <c r="Q3218" s="62" t="s"/>
      <c r="R3218" s="62" t="s"/>
    </row>
    <row r="3219" spans="1:18" ht="15.75" customHeight="true">
      <c r="A3219" s="107" t="s"/>
      <c r="B3219" s="62" t="s"/>
      <c r="C3219" s="62" t="s"/>
      <c r="D3219" s="62" t="s"/>
      <c r="E3219" s="62" t="s"/>
      <c r="F3219" s="66" t="s"/>
      <c r="G3219" s="66" t="s"/>
      <c r="H3219" s="66" t="s"/>
      <c r="I3219" s="62" t="s"/>
      <c r="J3219" s="62" t="s"/>
      <c r="K3219" s="99" t="s"/>
      <c r="L3219" s="66" t="s"/>
      <c r="M3219" s="66" t="s"/>
      <c r="N3219" s="572" t="s"/>
      <c r="O3219" s="62" t="s"/>
      <c r="P3219" s="62" t="s"/>
      <c r="Q3219" s="62" t="s"/>
      <c r="R3219" s="62" t="s"/>
    </row>
    <row r="3220" spans="1:18" ht="15.75" customHeight="true">
      <c r="A3220" s="107" t="s"/>
      <c r="B3220" s="62" t="s"/>
      <c r="C3220" s="62" t="s"/>
      <c r="D3220" s="62" t="s"/>
      <c r="E3220" s="62" t="s"/>
      <c r="F3220" s="66" t="s"/>
      <c r="G3220" s="66" t="s"/>
      <c r="H3220" s="66" t="s"/>
      <c r="I3220" s="62" t="s"/>
      <c r="J3220" s="62" t="s"/>
      <c r="K3220" s="99" t="s"/>
      <c r="L3220" s="66" t="s"/>
      <c r="M3220" s="66" t="s"/>
      <c r="N3220" s="572" t="s"/>
      <c r="O3220" s="62" t="s"/>
      <c r="P3220" s="62" t="s"/>
      <c r="Q3220" s="62" t="s"/>
      <c r="R3220" s="62" t="s"/>
    </row>
    <row r="3221" spans="1:18" ht="15.75" customHeight="true">
      <c r="A3221" s="107" t="s"/>
      <c r="B3221" s="62" t="s"/>
      <c r="C3221" s="62" t="s"/>
      <c r="D3221" s="62" t="s"/>
      <c r="E3221" s="62" t="s"/>
      <c r="F3221" s="66" t="s"/>
      <c r="G3221" s="66" t="s"/>
      <c r="H3221" s="66" t="s"/>
      <c r="I3221" s="62" t="s"/>
      <c r="J3221" s="62" t="s"/>
      <c r="K3221" s="99" t="s"/>
      <c r="L3221" s="66" t="s"/>
      <c r="M3221" s="66" t="s"/>
      <c r="N3221" s="572" t="s"/>
      <c r="O3221" s="62" t="s"/>
      <c r="P3221" s="62" t="s"/>
      <c r="Q3221" s="62" t="s"/>
      <c r="R3221" s="62" t="s"/>
    </row>
    <row r="3222" spans="1:18" ht="15.75" customHeight="true">
      <c r="A3222" s="107" t="s"/>
      <c r="B3222" s="62" t="s"/>
      <c r="C3222" s="62" t="s"/>
      <c r="D3222" s="62" t="s"/>
      <c r="E3222" s="62" t="s"/>
      <c r="F3222" s="66" t="s"/>
      <c r="G3222" s="66" t="s"/>
      <c r="H3222" s="66" t="s"/>
      <c r="I3222" s="62" t="s"/>
      <c r="J3222" s="62" t="s"/>
      <c r="K3222" s="99" t="s"/>
      <c r="L3222" s="66" t="s"/>
      <c r="M3222" s="66" t="s"/>
      <c r="N3222" s="572" t="s"/>
      <c r="O3222" s="62" t="s"/>
      <c r="P3222" s="62" t="s"/>
      <c r="Q3222" s="62" t="s"/>
      <c r="R3222" s="62" t="s"/>
    </row>
    <row r="3223" spans="1:18" ht="15.75" customHeight="true">
      <c r="A3223" s="107" t="s"/>
      <c r="B3223" s="62" t="s"/>
      <c r="C3223" s="62" t="s"/>
      <c r="D3223" s="62" t="s"/>
      <c r="E3223" s="62" t="s"/>
      <c r="F3223" s="66" t="s"/>
      <c r="G3223" s="66" t="s"/>
      <c r="H3223" s="66" t="s"/>
      <c r="I3223" s="62" t="s"/>
      <c r="J3223" s="62" t="s"/>
      <c r="K3223" s="99" t="s"/>
      <c r="L3223" s="66" t="s"/>
      <c r="M3223" s="66" t="s"/>
      <c r="N3223" s="572" t="s"/>
      <c r="O3223" s="62" t="s"/>
      <c r="P3223" s="62" t="s"/>
      <c r="Q3223" s="62" t="s"/>
      <c r="R3223" s="62" t="s"/>
    </row>
    <row r="3224" spans="1:18" ht="15.75" customHeight="true">
      <c r="A3224" s="107" t="s"/>
      <c r="B3224" s="62" t="s"/>
      <c r="C3224" s="62" t="s"/>
      <c r="D3224" s="62" t="s"/>
      <c r="E3224" s="62" t="s"/>
      <c r="F3224" s="66" t="s"/>
      <c r="G3224" s="66" t="s"/>
      <c r="H3224" s="66" t="s"/>
      <c r="I3224" s="62" t="s"/>
      <c r="J3224" s="62" t="s"/>
      <c r="K3224" s="99" t="s"/>
      <c r="L3224" s="66" t="s"/>
      <c r="M3224" s="66" t="s"/>
      <c r="N3224" s="572" t="s"/>
      <c r="O3224" s="62" t="s"/>
      <c r="P3224" s="62" t="s"/>
      <c r="Q3224" s="62" t="s"/>
      <c r="R3224" s="62" t="s"/>
    </row>
    <row r="3225" spans="1:18" ht="15.75" customHeight="true">
      <c r="A3225" s="107" t="s"/>
      <c r="B3225" s="62" t="s"/>
      <c r="C3225" s="62" t="s"/>
      <c r="D3225" s="62" t="s"/>
      <c r="E3225" s="62" t="s"/>
      <c r="F3225" s="66" t="s"/>
      <c r="G3225" s="66" t="s"/>
      <c r="H3225" s="66" t="s"/>
      <c r="I3225" s="62" t="s"/>
      <c r="J3225" s="62" t="s"/>
      <c r="K3225" s="99" t="s"/>
      <c r="L3225" s="66" t="s"/>
      <c r="M3225" s="66" t="s"/>
      <c r="N3225" s="572" t="s"/>
      <c r="O3225" s="62" t="s"/>
      <c r="P3225" s="62" t="s"/>
      <c r="Q3225" s="62" t="s"/>
      <c r="R3225" s="62" t="s"/>
    </row>
    <row r="3226" spans="1:18" ht="15.75" customHeight="true">
      <c r="A3226" s="107" t="s"/>
      <c r="B3226" s="62" t="s"/>
      <c r="C3226" s="62" t="s"/>
      <c r="D3226" s="62" t="s"/>
      <c r="E3226" s="62" t="s"/>
      <c r="F3226" s="66" t="s"/>
      <c r="G3226" s="66" t="s"/>
      <c r="H3226" s="66" t="s"/>
      <c r="I3226" s="62" t="s"/>
      <c r="J3226" s="62" t="s"/>
      <c r="K3226" s="99" t="s"/>
      <c r="L3226" s="66" t="s"/>
      <c r="M3226" s="66" t="s"/>
      <c r="N3226" s="572" t="s"/>
      <c r="O3226" s="62" t="s"/>
      <c r="P3226" s="62" t="s"/>
      <c r="Q3226" s="62" t="s"/>
      <c r="R3226" s="62" t="s"/>
    </row>
    <row r="3227" spans="1:18" ht="15.75" customHeight="true">
      <c r="A3227" s="107" t="s"/>
      <c r="B3227" s="62" t="s"/>
      <c r="C3227" s="62" t="s"/>
      <c r="D3227" s="62" t="s"/>
      <c r="E3227" s="62" t="s"/>
      <c r="F3227" s="66" t="s"/>
      <c r="G3227" s="66" t="s"/>
      <c r="H3227" s="66" t="s"/>
      <c r="I3227" s="62" t="s"/>
      <c r="J3227" s="62" t="s"/>
      <c r="K3227" s="99" t="s"/>
      <c r="L3227" s="66" t="s"/>
      <c r="M3227" s="66" t="s"/>
      <c r="N3227" s="572" t="s"/>
      <c r="O3227" s="62" t="s"/>
      <c r="P3227" s="62" t="s"/>
      <c r="Q3227" s="62" t="s"/>
      <c r="R3227" s="62" t="s"/>
    </row>
    <row r="3228" spans="1:18" ht="15.75" customHeight="true">
      <c r="A3228" s="107" t="s"/>
      <c r="B3228" s="62" t="s"/>
      <c r="C3228" s="62" t="s"/>
      <c r="D3228" s="62" t="s"/>
      <c r="E3228" s="62" t="s"/>
      <c r="F3228" s="66" t="s"/>
      <c r="G3228" s="66" t="s"/>
      <c r="H3228" s="66" t="s"/>
      <c r="I3228" s="62" t="s"/>
      <c r="J3228" s="62" t="s"/>
      <c r="K3228" s="99" t="s"/>
      <c r="L3228" s="66" t="s"/>
      <c r="M3228" s="66" t="s"/>
      <c r="N3228" s="572" t="s"/>
      <c r="O3228" s="62" t="s"/>
      <c r="P3228" s="62" t="s"/>
      <c r="Q3228" s="62" t="s"/>
      <c r="R3228" s="62" t="s"/>
    </row>
    <row r="3229" spans="1:18" ht="15.75" customHeight="true">
      <c r="A3229" s="107" t="s"/>
      <c r="B3229" s="62" t="s"/>
      <c r="C3229" s="62" t="s"/>
      <c r="D3229" s="62" t="s"/>
      <c r="E3229" s="62" t="s"/>
      <c r="F3229" s="66" t="s"/>
      <c r="G3229" s="66" t="s"/>
      <c r="H3229" s="66" t="s"/>
      <c r="I3229" s="62" t="s"/>
      <c r="J3229" s="62" t="s"/>
      <c r="K3229" s="99" t="s"/>
      <c r="L3229" s="66" t="s"/>
      <c r="M3229" s="66" t="s"/>
      <c r="N3229" s="572" t="s"/>
      <c r="O3229" s="62" t="s"/>
      <c r="P3229" s="62" t="s"/>
      <c r="Q3229" s="62" t="s"/>
      <c r="R3229" s="62" t="s"/>
    </row>
    <row r="3230" spans="1:18" ht="15.75" customHeight="true">
      <c r="A3230" s="107" t="s"/>
      <c r="B3230" s="62" t="s"/>
      <c r="C3230" s="62" t="s"/>
      <c r="D3230" s="62" t="s"/>
      <c r="E3230" s="62" t="s"/>
      <c r="F3230" s="66" t="s"/>
      <c r="G3230" s="66" t="s"/>
      <c r="H3230" s="66" t="s"/>
      <c r="I3230" s="62" t="s"/>
      <c r="J3230" s="62" t="s"/>
      <c r="K3230" s="99" t="s"/>
      <c r="L3230" s="66" t="s"/>
      <c r="M3230" s="66" t="s"/>
      <c r="N3230" s="572" t="s"/>
      <c r="O3230" s="62" t="s"/>
      <c r="P3230" s="62" t="s"/>
      <c r="Q3230" s="62" t="s"/>
      <c r="R3230" s="62" t="s"/>
    </row>
    <row r="3231" spans="1:18" ht="15.75" customHeight="true">
      <c r="A3231" s="107" t="s"/>
      <c r="B3231" s="62" t="s"/>
      <c r="C3231" s="62" t="s"/>
      <c r="D3231" s="62" t="s"/>
      <c r="E3231" s="62" t="s"/>
      <c r="F3231" s="66" t="s"/>
      <c r="G3231" s="66" t="s"/>
      <c r="H3231" s="66" t="s"/>
      <c r="I3231" s="62" t="s"/>
      <c r="J3231" s="62" t="s"/>
      <c r="K3231" s="99" t="s"/>
      <c r="L3231" s="66" t="s"/>
      <c r="M3231" s="66" t="s"/>
      <c r="N3231" s="572" t="s"/>
      <c r="O3231" s="62" t="s"/>
      <c r="P3231" s="62" t="s"/>
      <c r="Q3231" s="62" t="s"/>
      <c r="R3231" s="62" t="s"/>
    </row>
    <row r="3232" spans="1:18" ht="15.75" customHeight="true">
      <c r="A3232" s="107" t="s"/>
      <c r="B3232" s="62" t="s"/>
      <c r="C3232" s="62" t="s"/>
      <c r="D3232" s="62" t="s"/>
      <c r="E3232" s="62" t="s"/>
      <c r="F3232" s="66" t="s"/>
      <c r="G3232" s="66" t="s"/>
      <c r="H3232" s="66" t="s"/>
      <c r="I3232" s="62" t="s"/>
      <c r="J3232" s="62" t="s"/>
      <c r="K3232" s="99" t="s"/>
      <c r="L3232" s="66" t="s"/>
      <c r="M3232" s="66" t="s"/>
      <c r="N3232" s="572" t="s"/>
      <c r="O3232" s="62" t="s"/>
      <c r="P3232" s="62" t="s"/>
      <c r="Q3232" s="62" t="s"/>
      <c r="R3232" s="62" t="s"/>
    </row>
    <row r="3233" spans="1:18" ht="15.75" customHeight="true">
      <c r="A3233" s="107" t="s"/>
      <c r="B3233" s="62" t="s"/>
      <c r="C3233" s="62" t="s"/>
      <c r="D3233" s="62" t="s"/>
      <c r="E3233" s="62" t="s"/>
      <c r="F3233" s="66" t="s"/>
      <c r="G3233" s="66" t="s"/>
      <c r="H3233" s="66" t="s"/>
      <c r="I3233" s="62" t="s"/>
      <c r="J3233" s="62" t="s"/>
      <c r="K3233" s="99" t="s"/>
      <c r="L3233" s="66" t="s"/>
      <c r="M3233" s="66" t="s"/>
      <c r="N3233" s="572" t="s"/>
      <c r="O3233" s="62" t="s"/>
      <c r="P3233" s="62" t="s"/>
      <c r="Q3233" s="62" t="s"/>
      <c r="R3233" s="62" t="s"/>
    </row>
    <row r="3234" spans="1:18" ht="15.75" customHeight="true">
      <c r="A3234" s="107" t="s"/>
      <c r="B3234" s="62" t="s"/>
      <c r="C3234" s="62" t="s"/>
      <c r="D3234" s="62" t="s"/>
      <c r="E3234" s="62" t="s"/>
      <c r="F3234" s="66" t="s"/>
      <c r="G3234" s="66" t="s"/>
      <c r="H3234" s="66" t="s"/>
      <c r="I3234" s="62" t="s"/>
      <c r="J3234" s="62" t="s"/>
      <c r="K3234" s="99" t="s"/>
      <c r="L3234" s="66" t="s"/>
      <c r="M3234" s="66" t="s"/>
      <c r="N3234" s="572" t="s"/>
      <c r="O3234" s="62" t="s"/>
      <c r="P3234" s="62" t="s"/>
      <c r="Q3234" s="62" t="s"/>
      <c r="R3234" s="62" t="s"/>
    </row>
    <row r="3235" spans="1:18" ht="15.75" customHeight="true">
      <c r="A3235" s="107" t="s"/>
      <c r="B3235" s="62" t="s"/>
      <c r="C3235" s="62" t="s"/>
      <c r="D3235" s="62" t="s"/>
      <c r="E3235" s="62" t="s"/>
      <c r="F3235" s="66" t="s"/>
      <c r="G3235" s="66" t="s"/>
      <c r="H3235" s="66" t="s"/>
      <c r="I3235" s="62" t="s"/>
      <c r="J3235" s="62" t="s"/>
      <c r="K3235" s="99" t="s"/>
      <c r="L3235" s="66" t="s"/>
      <c r="M3235" s="66" t="s"/>
      <c r="N3235" s="572" t="s"/>
      <c r="O3235" s="62" t="s"/>
      <c r="P3235" s="62" t="s"/>
      <c r="Q3235" s="62" t="s"/>
      <c r="R3235" s="62" t="s"/>
    </row>
    <row r="3236" spans="1:18" ht="15.75" customHeight="true">
      <c r="A3236" s="107" t="s"/>
      <c r="B3236" s="62" t="s"/>
      <c r="C3236" s="62" t="s"/>
      <c r="D3236" s="62" t="s"/>
      <c r="E3236" s="62" t="s"/>
      <c r="F3236" s="66" t="s"/>
      <c r="G3236" s="66" t="s"/>
      <c r="H3236" s="66" t="s"/>
      <c r="I3236" s="62" t="s"/>
      <c r="J3236" s="62" t="s"/>
      <c r="K3236" s="99" t="s"/>
      <c r="L3236" s="66" t="s"/>
      <c r="M3236" s="66" t="s"/>
      <c r="N3236" s="572" t="s"/>
      <c r="O3236" s="62" t="s"/>
      <c r="P3236" s="62" t="s"/>
      <c r="Q3236" s="62" t="s"/>
      <c r="R3236" s="62" t="s"/>
    </row>
    <row r="3237" spans="1:18" ht="15.75" customHeight="true">
      <c r="A3237" s="107" t="s"/>
      <c r="B3237" s="62" t="s"/>
      <c r="C3237" s="62" t="s"/>
      <c r="D3237" s="62" t="s"/>
      <c r="E3237" s="62" t="s"/>
      <c r="F3237" s="66" t="s"/>
      <c r="G3237" s="66" t="s"/>
      <c r="H3237" s="66" t="s"/>
      <c r="I3237" s="62" t="s"/>
      <c r="J3237" s="62" t="s"/>
      <c r="K3237" s="99" t="s"/>
      <c r="L3237" s="66" t="s"/>
      <c r="M3237" s="66" t="s"/>
      <c r="N3237" s="572" t="s"/>
      <c r="O3237" s="62" t="s"/>
      <c r="P3237" s="62" t="s"/>
      <c r="Q3237" s="62" t="s"/>
      <c r="R3237" s="62" t="s"/>
    </row>
    <row r="3238" spans="1:18" ht="15.75" customHeight="true">
      <c r="A3238" s="107" t="s"/>
      <c r="B3238" s="62" t="s"/>
      <c r="C3238" s="62" t="s"/>
      <c r="D3238" s="62" t="s"/>
      <c r="E3238" s="62" t="s"/>
      <c r="F3238" s="66" t="s"/>
      <c r="G3238" s="66" t="s"/>
      <c r="H3238" s="66" t="s"/>
      <c r="I3238" s="62" t="s"/>
      <c r="J3238" s="62" t="s"/>
      <c r="K3238" s="99" t="s"/>
      <c r="L3238" s="66" t="s"/>
      <c r="M3238" s="66" t="s"/>
      <c r="N3238" s="572" t="s"/>
      <c r="O3238" s="62" t="s"/>
      <c r="P3238" s="62" t="s"/>
      <c r="Q3238" s="62" t="s"/>
      <c r="R3238" s="62" t="s"/>
    </row>
    <row r="3239" spans="1:18" ht="15.75" customHeight="true">
      <c r="A3239" s="107" t="s"/>
      <c r="B3239" s="62" t="s"/>
      <c r="C3239" s="62" t="s"/>
      <c r="D3239" s="62" t="s"/>
      <c r="E3239" s="62" t="s"/>
      <c r="F3239" s="66" t="s"/>
      <c r="G3239" s="66" t="s"/>
      <c r="H3239" s="66" t="s"/>
      <c r="I3239" s="62" t="s"/>
      <c r="J3239" s="62" t="s"/>
      <c r="K3239" s="99" t="s"/>
      <c r="L3239" s="66" t="s"/>
      <c r="M3239" s="66" t="s"/>
      <c r="N3239" s="572" t="s"/>
      <c r="O3239" s="62" t="s"/>
      <c r="P3239" s="62" t="s"/>
      <c r="Q3239" s="62" t="s"/>
      <c r="R3239" s="62" t="s"/>
    </row>
    <row r="3240" spans="1:18" ht="15.75" customHeight="true">
      <c r="A3240" s="107" t="s"/>
      <c r="B3240" s="62" t="s"/>
      <c r="C3240" s="62" t="s"/>
      <c r="D3240" s="62" t="s"/>
      <c r="E3240" s="62" t="s"/>
      <c r="F3240" s="66" t="s"/>
      <c r="G3240" s="66" t="s"/>
      <c r="H3240" s="66" t="s"/>
      <c r="I3240" s="62" t="s"/>
      <c r="J3240" s="62" t="s"/>
      <c r="K3240" s="99" t="s"/>
      <c r="L3240" s="66" t="s"/>
      <c r="M3240" s="66" t="s"/>
      <c r="N3240" s="572" t="s"/>
      <c r="O3240" s="62" t="s"/>
      <c r="P3240" s="62" t="s"/>
      <c r="Q3240" s="62" t="s"/>
      <c r="R3240" s="62" t="s"/>
    </row>
    <row r="3241" spans="1:18" ht="15.75" customHeight="true">
      <c r="A3241" s="107" t="s"/>
      <c r="B3241" s="62" t="s"/>
      <c r="C3241" s="62" t="s"/>
      <c r="D3241" s="62" t="s"/>
      <c r="E3241" s="62" t="s"/>
      <c r="F3241" s="66" t="s"/>
      <c r="G3241" s="66" t="s"/>
      <c r="H3241" s="66" t="s"/>
      <c r="I3241" s="62" t="s"/>
      <c r="J3241" s="62" t="s"/>
      <c r="K3241" s="99" t="s"/>
      <c r="L3241" s="66" t="s"/>
      <c r="M3241" s="66" t="s"/>
      <c r="N3241" s="572" t="s"/>
      <c r="O3241" s="62" t="s"/>
      <c r="P3241" s="62" t="s"/>
      <c r="Q3241" s="62" t="s"/>
      <c r="R3241" s="62" t="s"/>
    </row>
    <row r="3242" spans="1:18" ht="15.75" customHeight="true">
      <c r="A3242" s="107" t="s"/>
      <c r="B3242" s="62" t="s"/>
      <c r="C3242" s="62" t="s"/>
      <c r="D3242" s="62" t="s"/>
      <c r="E3242" s="62" t="s"/>
      <c r="F3242" s="66" t="s"/>
      <c r="G3242" s="66" t="s"/>
      <c r="H3242" s="66" t="s"/>
      <c r="I3242" s="62" t="s"/>
      <c r="J3242" s="62" t="s"/>
      <c r="K3242" s="99" t="s"/>
      <c r="L3242" s="66" t="s"/>
      <c r="M3242" s="66" t="s"/>
      <c r="N3242" s="572" t="s"/>
      <c r="O3242" s="62" t="s"/>
      <c r="P3242" s="62" t="s"/>
      <c r="Q3242" s="62" t="s"/>
      <c r="R3242" s="62" t="s"/>
    </row>
    <row r="3243" spans="1:18" ht="15.75" customHeight="true">
      <c r="A3243" s="107" t="s"/>
      <c r="B3243" s="62" t="s"/>
      <c r="C3243" s="62" t="s"/>
      <c r="D3243" s="62" t="s"/>
      <c r="E3243" s="62" t="s"/>
      <c r="F3243" s="66" t="s"/>
      <c r="G3243" s="66" t="s"/>
      <c r="H3243" s="66" t="s"/>
      <c r="I3243" s="62" t="s"/>
      <c r="J3243" s="62" t="s"/>
      <c r="K3243" s="99" t="s"/>
      <c r="L3243" s="66" t="s"/>
      <c r="M3243" s="66" t="s"/>
      <c r="N3243" s="572" t="s"/>
      <c r="O3243" s="62" t="s"/>
      <c r="P3243" s="62" t="s"/>
      <c r="Q3243" s="62" t="s"/>
      <c r="R3243" s="62" t="s"/>
    </row>
    <row r="3244" spans="1:18" ht="15.75" customHeight="true">
      <c r="A3244" s="107" t="s"/>
      <c r="B3244" s="62" t="s"/>
      <c r="C3244" s="62" t="s"/>
      <c r="D3244" s="62" t="s"/>
      <c r="E3244" s="62" t="s"/>
      <c r="F3244" s="66" t="s"/>
      <c r="G3244" s="66" t="s"/>
      <c r="H3244" s="66" t="s"/>
      <c r="I3244" s="62" t="s"/>
      <c r="J3244" s="62" t="s"/>
      <c r="K3244" s="99" t="s"/>
      <c r="L3244" s="66" t="s"/>
      <c r="M3244" s="66" t="s"/>
      <c r="N3244" s="572" t="s"/>
      <c r="O3244" s="62" t="s"/>
      <c r="P3244" s="62" t="s"/>
      <c r="Q3244" s="62" t="s"/>
      <c r="R3244" s="62" t="s"/>
    </row>
    <row r="3245" spans="1:18" ht="15.75" customHeight="true">
      <c r="A3245" s="107" t="s"/>
      <c r="B3245" s="62" t="s"/>
      <c r="C3245" s="62" t="s"/>
      <c r="D3245" s="62" t="s"/>
      <c r="E3245" s="62" t="s"/>
      <c r="F3245" s="66" t="s"/>
      <c r="G3245" s="66" t="s"/>
      <c r="H3245" s="66" t="s"/>
      <c r="I3245" s="62" t="s"/>
      <c r="J3245" s="62" t="s"/>
      <c r="K3245" s="99" t="s"/>
      <c r="L3245" s="66" t="s"/>
      <c r="M3245" s="66" t="s"/>
      <c r="N3245" s="572" t="s"/>
      <c r="O3245" s="62" t="s"/>
      <c r="P3245" s="62" t="s"/>
      <c r="Q3245" s="62" t="s"/>
      <c r="R3245" s="62" t="s"/>
    </row>
    <row r="3246" spans="1:18" ht="15.75" customHeight="true">
      <c r="A3246" s="107" t="s"/>
      <c r="B3246" s="62" t="s"/>
      <c r="C3246" s="62" t="s"/>
      <c r="D3246" s="62" t="s"/>
      <c r="E3246" s="62" t="s"/>
      <c r="F3246" s="66" t="s"/>
      <c r="G3246" s="66" t="s"/>
      <c r="H3246" s="66" t="s"/>
      <c r="I3246" s="62" t="s"/>
      <c r="J3246" s="62" t="s"/>
      <c r="K3246" s="99" t="s"/>
      <c r="L3246" s="66" t="s"/>
      <c r="M3246" s="66" t="s"/>
      <c r="N3246" s="572" t="s"/>
      <c r="O3246" s="62" t="s"/>
      <c r="P3246" s="62" t="s"/>
      <c r="Q3246" s="62" t="s"/>
      <c r="R3246" s="62" t="s"/>
    </row>
    <row r="3247" spans="1:18" ht="15.75" customHeight="true">
      <c r="A3247" s="107" t="s"/>
      <c r="B3247" s="62" t="s"/>
      <c r="C3247" s="62" t="s"/>
      <c r="D3247" s="62" t="s"/>
      <c r="E3247" s="62" t="s"/>
      <c r="F3247" s="66" t="s"/>
      <c r="G3247" s="66" t="s"/>
      <c r="H3247" s="66" t="s"/>
      <c r="I3247" s="62" t="s"/>
      <c r="J3247" s="62" t="s"/>
      <c r="K3247" s="99" t="s"/>
      <c r="L3247" s="66" t="s"/>
      <c r="M3247" s="66" t="s"/>
      <c r="N3247" s="572" t="s"/>
      <c r="O3247" s="62" t="s"/>
      <c r="P3247" s="62" t="s"/>
      <c r="Q3247" s="62" t="s"/>
      <c r="R3247" s="62" t="s"/>
    </row>
    <row r="3248" spans="1:18" ht="15.75" customHeight="true">
      <c r="A3248" s="107" t="s"/>
      <c r="B3248" s="62" t="s"/>
      <c r="C3248" s="62" t="s"/>
      <c r="D3248" s="62" t="s"/>
      <c r="E3248" s="62" t="s"/>
      <c r="F3248" s="66" t="s"/>
      <c r="G3248" s="66" t="s"/>
      <c r="H3248" s="66" t="s"/>
      <c r="I3248" s="62" t="s"/>
      <c r="J3248" s="62" t="s"/>
      <c r="K3248" s="99" t="s"/>
      <c r="L3248" s="66" t="s"/>
      <c r="M3248" s="66" t="s"/>
      <c r="N3248" s="572" t="s"/>
      <c r="O3248" s="62" t="s"/>
      <c r="P3248" s="62" t="s"/>
      <c r="Q3248" s="62" t="s"/>
      <c r="R3248" s="62" t="s"/>
    </row>
    <row r="3249" spans="1:18" ht="15.75" customHeight="true">
      <c r="A3249" s="107" t="s"/>
      <c r="B3249" s="62" t="s"/>
      <c r="C3249" s="62" t="s"/>
      <c r="D3249" s="62" t="s"/>
      <c r="E3249" s="62" t="s"/>
      <c r="F3249" s="66" t="s"/>
      <c r="G3249" s="66" t="s"/>
      <c r="H3249" s="66" t="s"/>
      <c r="I3249" s="62" t="s"/>
      <c r="J3249" s="62" t="s"/>
      <c r="K3249" s="99" t="s"/>
      <c r="L3249" s="66" t="s"/>
      <c r="M3249" s="66" t="s"/>
      <c r="N3249" s="572" t="s"/>
      <c r="O3249" s="62" t="s"/>
      <c r="P3249" s="62" t="s"/>
      <c r="Q3249" s="62" t="s"/>
      <c r="R3249" s="62" t="s"/>
    </row>
    <row r="3250" spans="1:18" ht="15.75" customHeight="true">
      <c r="A3250" s="107" t="s"/>
      <c r="B3250" s="62" t="s"/>
      <c r="C3250" s="62" t="s"/>
      <c r="D3250" s="62" t="s"/>
      <c r="E3250" s="62" t="s"/>
      <c r="F3250" s="66" t="s"/>
      <c r="G3250" s="66" t="s"/>
      <c r="H3250" s="66" t="s"/>
      <c r="I3250" s="62" t="s"/>
      <c r="J3250" s="62" t="s"/>
      <c r="K3250" s="99" t="s"/>
      <c r="L3250" s="66" t="s"/>
      <c r="M3250" s="66" t="s"/>
      <c r="N3250" s="572" t="s"/>
      <c r="O3250" s="62" t="s"/>
      <c r="P3250" s="62" t="s"/>
      <c r="Q3250" s="62" t="s"/>
      <c r="R3250" s="62" t="s"/>
    </row>
    <row r="3251" spans="1:18" ht="15.75" customHeight="true">
      <c r="A3251" s="107" t="s"/>
      <c r="B3251" s="62" t="s"/>
      <c r="C3251" s="62" t="s"/>
      <c r="D3251" s="62" t="s"/>
      <c r="E3251" s="62" t="s"/>
      <c r="F3251" s="66" t="s"/>
      <c r="G3251" s="66" t="s"/>
      <c r="H3251" s="66" t="s"/>
      <c r="I3251" s="62" t="s"/>
      <c r="J3251" s="62" t="s"/>
      <c r="K3251" s="99" t="s"/>
      <c r="L3251" s="66" t="s"/>
      <c r="M3251" s="66" t="s"/>
      <c r="N3251" s="572" t="s"/>
      <c r="O3251" s="62" t="s"/>
      <c r="P3251" s="62" t="s"/>
      <c r="Q3251" s="62" t="s"/>
      <c r="R3251" s="62" t="s"/>
    </row>
    <row r="3252" spans="1:18" ht="15.75" customHeight="true">
      <c r="A3252" s="107" t="s"/>
      <c r="B3252" s="62" t="s"/>
      <c r="C3252" s="62" t="s"/>
      <c r="D3252" s="62" t="s"/>
      <c r="E3252" s="62" t="s"/>
      <c r="F3252" s="66" t="s"/>
      <c r="G3252" s="66" t="s"/>
      <c r="H3252" s="66" t="s"/>
      <c r="I3252" s="62" t="s"/>
      <c r="J3252" s="62" t="s"/>
      <c r="K3252" s="99" t="s"/>
      <c r="L3252" s="66" t="s"/>
      <c r="M3252" s="66" t="s"/>
      <c r="N3252" s="572" t="s"/>
      <c r="O3252" s="62" t="s"/>
      <c r="P3252" s="62" t="s"/>
      <c r="Q3252" s="62" t="s"/>
      <c r="R3252" s="62" t="s"/>
    </row>
    <row r="3253" spans="1:18" ht="15.75" customHeight="true">
      <c r="A3253" s="107" t="s"/>
      <c r="B3253" s="62" t="s"/>
      <c r="C3253" s="62" t="s"/>
      <c r="D3253" s="62" t="s"/>
      <c r="E3253" s="62" t="s"/>
      <c r="F3253" s="66" t="s"/>
      <c r="G3253" s="66" t="s"/>
      <c r="H3253" s="66" t="s"/>
      <c r="I3253" s="62" t="s"/>
      <c r="J3253" s="62" t="s"/>
      <c r="K3253" s="99" t="s"/>
      <c r="L3253" s="66" t="s"/>
      <c r="M3253" s="66" t="s"/>
      <c r="N3253" s="572" t="s"/>
      <c r="O3253" s="62" t="s"/>
      <c r="P3253" s="62" t="s"/>
      <c r="Q3253" s="62" t="s"/>
      <c r="R3253" s="62" t="s"/>
    </row>
    <row r="3254" spans="1:18" ht="15.75" customHeight="true">
      <c r="A3254" s="107" t="s"/>
      <c r="B3254" s="62" t="s"/>
      <c r="C3254" s="62" t="s"/>
      <c r="D3254" s="62" t="s"/>
      <c r="E3254" s="62" t="s"/>
      <c r="F3254" s="66" t="s"/>
      <c r="G3254" s="66" t="s"/>
      <c r="H3254" s="66" t="s"/>
      <c r="I3254" s="62" t="s"/>
      <c r="J3254" s="62" t="s"/>
      <c r="K3254" s="99" t="s"/>
      <c r="L3254" s="66" t="s"/>
      <c r="M3254" s="66" t="s"/>
      <c r="N3254" s="572" t="s"/>
      <c r="O3254" s="62" t="s"/>
      <c r="P3254" s="62" t="s"/>
      <c r="Q3254" s="62" t="s"/>
      <c r="R3254" s="62" t="s"/>
    </row>
    <row r="3255" spans="1:18" ht="15.75" customHeight="true">
      <c r="A3255" s="107" t="s"/>
      <c r="B3255" s="62" t="s"/>
      <c r="C3255" s="62" t="s"/>
      <c r="D3255" s="62" t="s"/>
      <c r="E3255" s="62" t="s"/>
      <c r="F3255" s="66" t="s"/>
      <c r="G3255" s="66" t="s"/>
      <c r="H3255" s="66" t="s"/>
      <c r="I3255" s="62" t="s"/>
      <c r="J3255" s="62" t="s"/>
      <c r="K3255" s="99" t="s"/>
      <c r="L3255" s="66" t="s"/>
      <c r="M3255" s="66" t="s"/>
      <c r="N3255" s="572" t="s"/>
      <c r="O3255" s="62" t="s"/>
      <c r="P3255" s="62" t="s"/>
      <c r="Q3255" s="62" t="s"/>
      <c r="R3255" s="62" t="s"/>
    </row>
    <row r="3256" spans="1:18" ht="15.75" customHeight="true">
      <c r="A3256" s="107" t="s"/>
      <c r="B3256" s="62" t="s"/>
      <c r="C3256" s="62" t="s"/>
      <c r="D3256" s="62" t="s"/>
      <c r="E3256" s="62" t="s"/>
      <c r="F3256" s="66" t="s"/>
      <c r="G3256" s="66" t="s"/>
      <c r="H3256" s="66" t="s"/>
      <c r="I3256" s="62" t="s"/>
      <c r="J3256" s="62" t="s"/>
      <c r="K3256" s="99" t="s"/>
      <c r="L3256" s="66" t="s"/>
      <c r="M3256" s="66" t="s"/>
      <c r="N3256" s="572" t="s"/>
      <c r="O3256" s="62" t="s"/>
      <c r="P3256" s="62" t="s"/>
      <c r="Q3256" s="62" t="s"/>
      <c r="R3256" s="62" t="s"/>
    </row>
    <row r="3257" spans="1:18" ht="15.75" customHeight="true">
      <c r="A3257" s="107" t="s"/>
      <c r="B3257" s="62" t="s"/>
      <c r="C3257" s="62" t="s"/>
      <c r="D3257" s="62" t="s"/>
      <c r="E3257" s="62" t="s"/>
      <c r="F3257" s="66" t="s"/>
      <c r="G3257" s="66" t="s"/>
      <c r="H3257" s="66" t="s"/>
      <c r="I3257" s="62" t="s"/>
      <c r="J3257" s="62" t="s"/>
      <c r="K3257" s="99" t="s"/>
      <c r="L3257" s="66" t="s"/>
      <c r="M3257" s="66" t="s"/>
      <c r="N3257" s="572" t="s"/>
      <c r="O3257" s="62" t="s"/>
      <c r="P3257" s="62" t="s"/>
      <c r="Q3257" s="62" t="s"/>
      <c r="R3257" s="62" t="s"/>
    </row>
    <row r="3258" spans="1:18" ht="15.75" customHeight="true">
      <c r="A3258" s="107" t="s"/>
      <c r="B3258" s="62" t="s"/>
      <c r="C3258" s="62" t="s"/>
      <c r="D3258" s="62" t="s"/>
      <c r="E3258" s="62" t="s"/>
      <c r="F3258" s="66" t="s"/>
      <c r="G3258" s="66" t="s"/>
      <c r="H3258" s="66" t="s"/>
      <c r="I3258" s="62" t="s"/>
      <c r="J3258" s="62" t="s"/>
      <c r="K3258" s="99" t="s"/>
      <c r="L3258" s="66" t="s"/>
      <c r="M3258" s="66" t="s"/>
      <c r="N3258" s="572" t="s"/>
      <c r="O3258" s="62" t="s"/>
      <c r="P3258" s="62" t="s"/>
      <c r="Q3258" s="62" t="s"/>
      <c r="R3258" s="62" t="s"/>
    </row>
    <row r="3259" spans="1:18" ht="15.75" customHeight="true">
      <c r="A3259" s="107" t="s"/>
      <c r="B3259" s="62" t="s"/>
      <c r="C3259" s="62" t="s"/>
      <c r="D3259" s="62" t="s"/>
      <c r="E3259" s="62" t="s"/>
      <c r="F3259" s="66" t="s"/>
      <c r="G3259" s="66" t="s"/>
      <c r="H3259" s="66" t="s"/>
      <c r="I3259" s="62" t="s"/>
      <c r="J3259" s="62" t="s"/>
      <c r="K3259" s="99" t="s"/>
      <c r="L3259" s="66" t="s"/>
      <c r="M3259" s="66" t="s"/>
      <c r="N3259" s="572" t="s"/>
      <c r="O3259" s="62" t="s"/>
      <c r="P3259" s="62" t="s"/>
      <c r="Q3259" s="62" t="s"/>
      <c r="R3259" s="62" t="s"/>
    </row>
    <row r="3260" spans="1:18" ht="15.75" customHeight="true">
      <c r="A3260" s="107" t="s"/>
      <c r="B3260" s="62" t="s"/>
      <c r="C3260" s="62" t="s"/>
      <c r="D3260" s="62" t="s"/>
      <c r="E3260" s="62" t="s"/>
      <c r="F3260" s="66" t="s"/>
      <c r="G3260" s="66" t="s"/>
      <c r="H3260" s="66" t="s"/>
      <c r="I3260" s="62" t="s"/>
      <c r="J3260" s="62" t="s"/>
      <c r="K3260" s="99" t="s"/>
      <c r="L3260" s="66" t="s"/>
      <c r="M3260" s="66" t="s"/>
      <c r="N3260" s="572" t="s"/>
      <c r="O3260" s="62" t="s"/>
      <c r="P3260" s="62" t="s"/>
      <c r="Q3260" s="62" t="s"/>
      <c r="R3260" s="62" t="s"/>
    </row>
    <row r="3261" spans="1:18" ht="15.75" customHeight="true">
      <c r="A3261" s="107" t="s"/>
      <c r="B3261" s="62" t="s"/>
      <c r="C3261" s="62" t="s"/>
      <c r="D3261" s="62" t="s"/>
      <c r="E3261" s="62" t="s"/>
      <c r="F3261" s="66" t="s"/>
      <c r="G3261" s="66" t="s"/>
      <c r="H3261" s="66" t="s"/>
      <c r="I3261" s="62" t="s"/>
      <c r="J3261" s="62" t="s"/>
      <c r="K3261" s="99" t="s"/>
      <c r="L3261" s="66" t="s"/>
      <c r="M3261" s="66" t="s"/>
      <c r="N3261" s="572" t="s"/>
      <c r="O3261" s="62" t="s"/>
      <c r="P3261" s="62" t="s"/>
      <c r="Q3261" s="62" t="s"/>
      <c r="R3261" s="62" t="s"/>
    </row>
    <row r="3262" spans="1:18" ht="15.75" customHeight="true">
      <c r="A3262" s="107" t="s"/>
      <c r="B3262" s="62" t="s"/>
      <c r="C3262" s="62" t="s"/>
      <c r="D3262" s="62" t="s"/>
      <c r="E3262" s="62" t="s"/>
      <c r="F3262" s="66" t="s"/>
      <c r="G3262" s="66" t="s"/>
      <c r="H3262" s="66" t="s"/>
      <c r="I3262" s="62" t="s"/>
      <c r="J3262" s="62" t="s"/>
      <c r="K3262" s="99" t="s"/>
      <c r="L3262" s="66" t="s"/>
      <c r="M3262" s="66" t="s"/>
      <c r="N3262" s="572" t="s"/>
      <c r="O3262" s="62" t="s"/>
      <c r="P3262" s="62" t="s"/>
      <c r="Q3262" s="62" t="s"/>
      <c r="R3262" s="62" t="s"/>
    </row>
    <row r="3263" spans="1:18" ht="15.75" customHeight="true">
      <c r="A3263" s="107" t="s"/>
      <c r="B3263" s="62" t="s"/>
      <c r="C3263" s="62" t="s"/>
      <c r="D3263" s="62" t="s"/>
      <c r="E3263" s="62" t="s"/>
      <c r="F3263" s="66" t="s"/>
      <c r="G3263" s="66" t="s"/>
      <c r="H3263" s="66" t="s"/>
      <c r="I3263" s="62" t="s"/>
      <c r="J3263" s="62" t="s"/>
      <c r="K3263" s="99" t="s"/>
      <c r="L3263" s="66" t="s"/>
      <c r="M3263" s="66" t="s"/>
      <c r="N3263" s="572" t="s"/>
      <c r="O3263" s="62" t="s"/>
      <c r="P3263" s="62" t="s"/>
      <c r="Q3263" s="62" t="s"/>
      <c r="R3263" s="62" t="s"/>
    </row>
    <row r="3264" spans="1:18" ht="15.75" customHeight="true">
      <c r="A3264" s="107" t="s"/>
      <c r="B3264" s="62" t="s"/>
      <c r="C3264" s="62" t="s"/>
      <c r="D3264" s="62" t="s"/>
      <c r="E3264" s="62" t="s"/>
      <c r="F3264" s="66" t="s"/>
      <c r="G3264" s="66" t="s"/>
      <c r="H3264" s="66" t="s"/>
      <c r="I3264" s="62" t="s"/>
      <c r="J3264" s="62" t="s"/>
      <c r="K3264" s="99" t="s"/>
      <c r="L3264" s="66" t="s"/>
      <c r="M3264" s="66" t="s"/>
      <c r="N3264" s="572" t="s"/>
      <c r="O3264" s="62" t="s"/>
      <c r="P3264" s="62" t="s"/>
      <c r="Q3264" s="62" t="s"/>
      <c r="R3264" s="62" t="s"/>
    </row>
    <row r="3265" spans="1:18" ht="15.75" customHeight="true">
      <c r="A3265" s="107" t="s"/>
      <c r="B3265" s="62" t="s"/>
      <c r="C3265" s="62" t="s"/>
      <c r="D3265" s="62" t="s"/>
      <c r="E3265" s="62" t="s"/>
      <c r="F3265" s="66" t="s"/>
      <c r="G3265" s="66" t="s"/>
      <c r="H3265" s="66" t="s"/>
      <c r="I3265" s="62" t="s"/>
      <c r="J3265" s="62" t="s"/>
      <c r="K3265" s="99" t="s"/>
      <c r="L3265" s="66" t="s"/>
      <c r="M3265" s="66" t="s"/>
      <c r="N3265" s="572" t="s"/>
      <c r="O3265" s="62" t="s"/>
      <c r="P3265" s="62" t="s"/>
      <c r="Q3265" s="62" t="s"/>
      <c r="R3265" s="62" t="s"/>
    </row>
    <row r="3266" spans="1:18" ht="15.75" customHeight="true">
      <c r="A3266" s="107" t="s"/>
      <c r="B3266" s="62" t="s"/>
      <c r="C3266" s="62" t="s"/>
      <c r="D3266" s="62" t="s"/>
      <c r="E3266" s="62" t="s"/>
      <c r="F3266" s="66" t="s"/>
      <c r="G3266" s="66" t="s"/>
      <c r="H3266" s="66" t="s"/>
      <c r="I3266" s="62" t="s"/>
      <c r="J3266" s="62" t="s"/>
      <c r="K3266" s="99" t="s"/>
      <c r="L3266" s="66" t="s"/>
      <c r="M3266" s="66" t="s"/>
      <c r="N3266" s="572" t="s"/>
      <c r="O3266" s="62" t="s"/>
      <c r="P3266" s="62" t="s"/>
      <c r="Q3266" s="62" t="s"/>
      <c r="R3266" s="62" t="s"/>
    </row>
    <row r="3267" spans="1:18" ht="15.75" customHeight="true">
      <c r="A3267" s="107" t="s"/>
      <c r="B3267" s="62" t="s"/>
      <c r="C3267" s="62" t="s"/>
      <c r="D3267" s="62" t="s"/>
      <c r="E3267" s="62" t="s"/>
      <c r="F3267" s="66" t="s"/>
      <c r="G3267" s="66" t="s"/>
      <c r="H3267" s="66" t="s"/>
      <c r="I3267" s="62" t="s"/>
      <c r="J3267" s="62" t="s"/>
      <c r="K3267" s="99" t="s"/>
      <c r="L3267" s="66" t="s"/>
      <c r="M3267" s="66" t="s"/>
      <c r="N3267" s="572" t="s"/>
      <c r="O3267" s="62" t="s"/>
      <c r="P3267" s="62" t="s"/>
      <c r="Q3267" s="62" t="s"/>
      <c r="R3267" s="62" t="s"/>
    </row>
    <row r="3268" spans="1:18" ht="15.75" customHeight="true">
      <c r="A3268" s="107" t="s"/>
      <c r="B3268" s="62" t="s"/>
      <c r="C3268" s="62" t="s"/>
      <c r="D3268" s="62" t="s"/>
      <c r="E3268" s="62" t="s"/>
      <c r="F3268" s="66" t="s"/>
      <c r="G3268" s="66" t="s"/>
      <c r="H3268" s="66" t="s"/>
      <c r="I3268" s="62" t="s"/>
      <c r="J3268" s="62" t="s"/>
      <c r="K3268" s="99" t="s"/>
      <c r="L3268" s="66" t="s"/>
      <c r="M3268" s="66" t="s"/>
      <c r="N3268" s="572" t="s"/>
      <c r="O3268" s="62" t="s"/>
      <c r="P3268" s="62" t="s"/>
      <c r="Q3268" s="62" t="s"/>
      <c r="R3268" s="62" t="s"/>
    </row>
    <row r="3269" spans="1:18" ht="15.75" customHeight="true">
      <c r="A3269" s="107" t="s"/>
      <c r="B3269" s="62" t="s"/>
      <c r="C3269" s="62" t="s"/>
      <c r="D3269" s="62" t="s"/>
      <c r="E3269" s="62" t="s"/>
      <c r="F3269" s="66" t="s"/>
      <c r="G3269" s="66" t="s"/>
      <c r="H3269" s="66" t="s"/>
      <c r="I3269" s="62" t="s"/>
      <c r="J3269" s="62" t="s"/>
      <c r="K3269" s="99" t="s"/>
      <c r="L3269" s="66" t="s"/>
      <c r="M3269" s="66" t="s"/>
      <c r="N3269" s="572" t="s"/>
      <c r="O3269" s="62" t="s"/>
      <c r="P3269" s="62" t="s"/>
      <c r="Q3269" s="62" t="s"/>
      <c r="R3269" s="62" t="s"/>
    </row>
    <row r="3270" spans="1:18" ht="15.75" customHeight="true">
      <c r="A3270" s="107" t="s"/>
      <c r="B3270" s="62" t="s"/>
      <c r="C3270" s="62" t="s"/>
      <c r="D3270" s="62" t="s"/>
      <c r="E3270" s="62" t="s"/>
      <c r="F3270" s="66" t="s"/>
      <c r="G3270" s="66" t="s"/>
      <c r="H3270" s="66" t="s"/>
      <c r="I3270" s="62" t="s"/>
      <c r="J3270" s="62" t="s"/>
      <c r="K3270" s="99" t="s"/>
      <c r="L3270" s="66" t="s"/>
      <c r="M3270" s="66" t="s"/>
      <c r="N3270" s="572" t="s"/>
      <c r="O3270" s="62" t="s"/>
      <c r="P3270" s="62" t="s"/>
      <c r="Q3270" s="62" t="s"/>
      <c r="R3270" s="62" t="s"/>
    </row>
    <row r="3271" spans="1:18" ht="15.75" customHeight="true">
      <c r="A3271" s="107" t="s"/>
      <c r="B3271" s="62" t="s"/>
      <c r="C3271" s="62" t="s"/>
      <c r="D3271" s="62" t="s"/>
      <c r="E3271" s="62" t="s"/>
      <c r="F3271" s="66" t="s"/>
      <c r="G3271" s="66" t="s"/>
      <c r="H3271" s="66" t="s"/>
      <c r="I3271" s="62" t="s"/>
      <c r="J3271" s="62" t="s"/>
      <c r="K3271" s="99" t="s"/>
      <c r="L3271" s="66" t="s"/>
      <c r="M3271" s="66" t="s"/>
      <c r="N3271" s="572" t="s"/>
      <c r="O3271" s="62" t="s"/>
      <c r="P3271" s="62" t="s"/>
      <c r="Q3271" s="62" t="s"/>
      <c r="R3271" s="62" t="s"/>
    </row>
    <row r="3272" spans="1:18" ht="15.75" customHeight="true">
      <c r="A3272" s="107" t="s"/>
      <c r="B3272" s="62" t="s"/>
      <c r="C3272" s="62" t="s"/>
      <c r="D3272" s="62" t="s"/>
      <c r="E3272" s="62" t="s"/>
      <c r="F3272" s="66" t="s"/>
      <c r="G3272" s="66" t="s"/>
      <c r="H3272" s="66" t="s"/>
      <c r="I3272" s="62" t="s"/>
      <c r="J3272" s="62" t="s"/>
      <c r="K3272" s="99" t="s"/>
      <c r="L3272" s="66" t="s"/>
      <c r="M3272" s="66" t="s"/>
      <c r="N3272" s="572" t="s"/>
      <c r="O3272" s="62" t="s"/>
      <c r="P3272" s="62" t="s"/>
      <c r="Q3272" s="62" t="s"/>
      <c r="R3272" s="62" t="s"/>
    </row>
    <row r="3273" spans="1:18" ht="15.75" customHeight="true">
      <c r="A3273" s="107" t="s"/>
      <c r="B3273" s="62" t="s"/>
      <c r="C3273" s="62" t="s"/>
      <c r="D3273" s="62" t="s"/>
      <c r="E3273" s="62" t="s"/>
      <c r="F3273" s="66" t="s"/>
      <c r="G3273" s="66" t="s"/>
      <c r="H3273" s="66" t="s"/>
      <c r="I3273" s="62" t="s"/>
      <c r="J3273" s="62" t="s"/>
      <c r="K3273" s="99" t="s"/>
      <c r="L3273" s="66" t="s"/>
      <c r="M3273" s="66" t="s"/>
      <c r="N3273" s="572" t="s"/>
      <c r="O3273" s="62" t="s"/>
      <c r="P3273" s="62" t="s"/>
      <c r="Q3273" s="62" t="s"/>
      <c r="R3273" s="62" t="s"/>
    </row>
    <row r="3274" spans="1:18" ht="15.75" customHeight="true">
      <c r="A3274" s="107" t="s"/>
      <c r="B3274" s="62" t="s"/>
      <c r="C3274" s="62" t="s"/>
      <c r="D3274" s="62" t="s"/>
      <c r="E3274" s="62" t="s"/>
      <c r="F3274" s="66" t="s"/>
      <c r="G3274" s="66" t="s"/>
      <c r="H3274" s="66" t="s"/>
      <c r="I3274" s="62" t="s"/>
      <c r="J3274" s="62" t="s"/>
      <c r="K3274" s="99" t="s"/>
      <c r="L3274" s="66" t="s"/>
      <c r="M3274" s="66" t="s"/>
      <c r="N3274" s="572" t="s"/>
      <c r="O3274" s="62" t="s"/>
      <c r="P3274" s="62" t="s"/>
      <c r="Q3274" s="62" t="s"/>
      <c r="R3274" s="62" t="s"/>
    </row>
    <row r="3275" spans="1:18" ht="15.75" customHeight="true">
      <c r="A3275" s="107" t="s"/>
      <c r="B3275" s="62" t="s"/>
      <c r="C3275" s="62" t="s"/>
      <c r="D3275" s="62" t="s"/>
      <c r="E3275" s="62" t="s"/>
      <c r="F3275" s="66" t="s"/>
      <c r="G3275" s="66" t="s"/>
      <c r="H3275" s="66" t="s"/>
      <c r="I3275" s="62" t="s"/>
      <c r="J3275" s="62" t="s"/>
      <c r="K3275" s="99" t="s"/>
      <c r="L3275" s="66" t="s"/>
      <c r="M3275" s="66" t="s"/>
      <c r="N3275" s="572" t="s"/>
      <c r="O3275" s="62" t="s"/>
      <c r="P3275" s="62" t="s"/>
      <c r="Q3275" s="62" t="s"/>
      <c r="R3275" s="62" t="s"/>
    </row>
    <row r="3276" spans="1:18" ht="15.75" customHeight="true">
      <c r="A3276" s="107" t="s"/>
      <c r="B3276" s="62" t="s"/>
      <c r="C3276" s="62" t="s"/>
      <c r="D3276" s="62" t="s"/>
      <c r="E3276" s="62" t="s"/>
      <c r="F3276" s="66" t="s"/>
      <c r="G3276" s="66" t="s"/>
      <c r="H3276" s="66" t="s"/>
      <c r="I3276" s="62" t="s"/>
      <c r="J3276" s="62" t="s"/>
      <c r="K3276" s="99" t="s"/>
      <c r="L3276" s="66" t="s"/>
      <c r="M3276" s="66" t="s"/>
      <c r="N3276" s="572" t="s"/>
      <c r="O3276" s="62" t="s"/>
      <c r="P3276" s="62" t="s"/>
      <c r="Q3276" s="62" t="s"/>
      <c r="R3276" s="62" t="s"/>
    </row>
    <row r="3277" spans="1:18" ht="15.75" customHeight="true">
      <c r="A3277" s="107" t="s"/>
      <c r="B3277" s="62" t="s"/>
      <c r="C3277" s="62" t="s"/>
      <c r="D3277" s="62" t="s"/>
      <c r="E3277" s="62" t="s"/>
      <c r="F3277" s="66" t="s"/>
      <c r="G3277" s="66" t="s"/>
      <c r="H3277" s="66" t="s"/>
      <c r="I3277" s="62" t="s"/>
      <c r="J3277" s="62" t="s"/>
      <c r="K3277" s="99" t="s"/>
      <c r="L3277" s="66" t="s"/>
      <c r="M3277" s="66" t="s"/>
      <c r="N3277" s="572" t="s"/>
      <c r="O3277" s="62" t="s"/>
      <c r="P3277" s="62" t="s"/>
      <c r="Q3277" s="62" t="s"/>
      <c r="R3277" s="62" t="s"/>
    </row>
    <row r="3278" spans="1:18" ht="15.75" customHeight="true">
      <c r="A3278" s="107" t="s"/>
      <c r="B3278" s="62" t="s"/>
      <c r="C3278" s="62" t="s"/>
      <c r="D3278" s="62" t="s"/>
      <c r="E3278" s="62" t="s"/>
      <c r="F3278" s="66" t="s"/>
      <c r="G3278" s="66" t="s"/>
      <c r="H3278" s="66" t="s"/>
      <c r="I3278" s="62" t="s"/>
      <c r="J3278" s="62" t="s"/>
      <c r="K3278" s="99" t="s"/>
      <c r="L3278" s="66" t="s"/>
      <c r="M3278" s="66" t="s"/>
      <c r="N3278" s="572" t="s"/>
      <c r="O3278" s="62" t="s"/>
      <c r="P3278" s="62" t="s"/>
      <c r="Q3278" s="62" t="s"/>
      <c r="R3278" s="62" t="s"/>
    </row>
    <row r="3279" spans="1:18" ht="15.75" customHeight="true">
      <c r="A3279" s="107" t="s"/>
      <c r="B3279" s="62" t="s"/>
      <c r="C3279" s="62" t="s"/>
      <c r="D3279" s="62" t="s"/>
      <c r="E3279" s="62" t="s"/>
      <c r="F3279" s="66" t="s"/>
      <c r="G3279" s="66" t="s"/>
      <c r="H3279" s="66" t="s"/>
      <c r="I3279" s="62" t="s"/>
      <c r="J3279" s="62" t="s"/>
      <c r="K3279" s="99" t="s"/>
      <c r="L3279" s="66" t="s"/>
      <c r="M3279" s="66" t="s"/>
      <c r="N3279" s="572" t="s"/>
      <c r="O3279" s="62" t="s"/>
      <c r="P3279" s="62" t="s"/>
      <c r="Q3279" s="62" t="s"/>
      <c r="R3279" s="62" t="s"/>
    </row>
    <row r="3280" spans="1:18" ht="15.75" customHeight="true">
      <c r="A3280" s="107" t="s"/>
      <c r="B3280" s="62" t="s"/>
      <c r="C3280" s="62" t="s"/>
      <c r="D3280" s="62" t="s"/>
      <c r="E3280" s="62" t="s"/>
      <c r="F3280" s="66" t="s"/>
      <c r="G3280" s="66" t="s"/>
      <c r="H3280" s="66" t="s"/>
      <c r="I3280" s="62" t="s"/>
      <c r="J3280" s="62" t="s"/>
      <c r="K3280" s="99" t="s"/>
      <c r="L3280" s="66" t="s"/>
      <c r="M3280" s="66" t="s"/>
      <c r="N3280" s="572" t="s"/>
      <c r="O3280" s="62" t="s"/>
      <c r="P3280" s="62" t="s"/>
      <c r="Q3280" s="62" t="s"/>
      <c r="R3280" s="62" t="s"/>
    </row>
    <row r="3281" spans="1:18" ht="15.75" customHeight="true">
      <c r="A3281" s="107" t="s"/>
      <c r="B3281" s="62" t="s"/>
      <c r="C3281" s="62" t="s"/>
      <c r="D3281" s="62" t="s"/>
      <c r="E3281" s="62" t="s"/>
      <c r="F3281" s="66" t="s"/>
      <c r="G3281" s="66" t="s"/>
      <c r="H3281" s="66" t="s"/>
      <c r="I3281" s="62" t="s"/>
      <c r="J3281" s="62" t="s"/>
      <c r="K3281" s="99" t="s"/>
      <c r="L3281" s="66" t="s"/>
      <c r="M3281" s="66" t="s"/>
      <c r="N3281" s="572" t="s"/>
      <c r="O3281" s="62" t="s"/>
      <c r="P3281" s="62" t="s"/>
      <c r="Q3281" s="62" t="s"/>
      <c r="R3281" s="62" t="s"/>
    </row>
    <row r="3282" spans="1:18" ht="15.75" customHeight="true">
      <c r="A3282" s="107" t="s"/>
      <c r="B3282" s="62" t="s"/>
      <c r="C3282" s="62" t="s"/>
      <c r="D3282" s="62" t="s"/>
      <c r="E3282" s="62" t="s"/>
      <c r="F3282" s="66" t="s"/>
      <c r="G3282" s="66" t="s"/>
      <c r="H3282" s="66" t="s"/>
      <c r="I3282" s="62" t="s"/>
      <c r="J3282" s="62" t="s"/>
      <c r="K3282" s="99" t="s"/>
      <c r="L3282" s="66" t="s"/>
      <c r="M3282" s="66" t="s"/>
      <c r="N3282" s="572" t="s"/>
      <c r="O3282" s="62" t="s"/>
      <c r="P3282" s="62" t="s"/>
      <c r="Q3282" s="62" t="s"/>
      <c r="R3282" s="62" t="s"/>
    </row>
    <row r="3283" spans="1:18" ht="15.75" customHeight="true">
      <c r="A3283" s="107" t="s"/>
      <c r="B3283" s="62" t="s"/>
      <c r="C3283" s="62" t="s"/>
      <c r="D3283" s="62" t="s"/>
      <c r="E3283" s="62" t="s"/>
      <c r="F3283" s="66" t="s"/>
      <c r="G3283" s="66" t="s"/>
      <c r="H3283" s="66" t="s"/>
      <c r="I3283" s="62" t="s"/>
      <c r="J3283" s="62" t="s"/>
      <c r="K3283" s="99" t="s"/>
      <c r="L3283" s="66" t="s"/>
      <c r="M3283" s="66" t="s"/>
      <c r="N3283" s="572" t="s"/>
      <c r="O3283" s="62" t="s"/>
      <c r="P3283" s="62" t="s"/>
      <c r="Q3283" s="62" t="s"/>
      <c r="R3283" s="62" t="s"/>
    </row>
    <row r="3284" spans="1:18" ht="15.75" customHeight="true">
      <c r="A3284" s="107" t="s"/>
      <c r="B3284" s="62" t="s"/>
      <c r="C3284" s="62" t="s"/>
      <c r="D3284" s="62" t="s"/>
      <c r="E3284" s="62" t="s"/>
      <c r="F3284" s="66" t="s"/>
      <c r="G3284" s="66" t="s"/>
      <c r="H3284" s="66" t="s"/>
      <c r="I3284" s="62" t="s"/>
      <c r="J3284" s="62" t="s"/>
      <c r="K3284" s="99" t="s"/>
      <c r="L3284" s="66" t="s"/>
      <c r="M3284" s="66" t="s"/>
      <c r="N3284" s="572" t="s"/>
      <c r="O3284" s="62" t="s"/>
      <c r="P3284" s="62" t="s"/>
      <c r="Q3284" s="62" t="s"/>
      <c r="R3284" s="62" t="s"/>
    </row>
    <row r="3285" spans="1:18" ht="15.75" customHeight="true">
      <c r="A3285" s="107" t="s"/>
      <c r="B3285" s="62" t="s"/>
      <c r="C3285" s="62" t="s"/>
      <c r="D3285" s="62" t="s"/>
      <c r="E3285" s="62" t="s"/>
      <c r="F3285" s="66" t="s"/>
      <c r="G3285" s="66" t="s"/>
      <c r="H3285" s="66" t="s"/>
      <c r="I3285" s="62" t="s"/>
      <c r="J3285" s="62" t="s"/>
      <c r="K3285" s="99" t="s"/>
      <c r="L3285" s="66" t="s"/>
      <c r="M3285" s="66" t="s"/>
      <c r="N3285" s="572" t="s"/>
      <c r="O3285" s="62" t="s"/>
      <c r="P3285" s="62" t="s"/>
      <c r="Q3285" s="62" t="s"/>
      <c r="R3285" s="62" t="s"/>
    </row>
    <row r="3286" spans="1:18" ht="15.75" customHeight="true">
      <c r="A3286" s="107" t="s"/>
      <c r="B3286" s="62" t="s"/>
      <c r="C3286" s="62" t="s"/>
      <c r="D3286" s="62" t="s"/>
      <c r="E3286" s="62" t="s"/>
      <c r="F3286" s="66" t="s"/>
      <c r="G3286" s="66" t="s"/>
      <c r="H3286" s="66" t="s"/>
      <c r="I3286" s="62" t="s"/>
      <c r="J3286" s="62" t="s"/>
      <c r="K3286" s="99" t="s"/>
      <c r="L3286" s="66" t="s"/>
      <c r="M3286" s="66" t="s"/>
      <c r="N3286" s="572" t="s"/>
      <c r="O3286" s="62" t="s"/>
      <c r="P3286" s="62" t="s"/>
      <c r="Q3286" s="62" t="s"/>
      <c r="R3286" s="62" t="s"/>
    </row>
    <row r="3287" spans="1:18" ht="15.75" customHeight="true">
      <c r="A3287" s="107" t="s"/>
      <c r="B3287" s="62" t="s"/>
      <c r="C3287" s="62" t="s"/>
      <c r="D3287" s="62" t="s"/>
      <c r="E3287" s="62" t="s"/>
      <c r="F3287" s="66" t="s"/>
      <c r="G3287" s="66" t="s"/>
      <c r="H3287" s="66" t="s"/>
      <c r="I3287" s="62" t="s"/>
      <c r="J3287" s="62" t="s"/>
      <c r="K3287" s="99" t="s"/>
      <c r="L3287" s="66" t="s"/>
      <c r="M3287" s="66" t="s"/>
      <c r="N3287" s="572" t="s"/>
      <c r="O3287" s="62" t="s"/>
      <c r="P3287" s="62" t="s"/>
      <c r="Q3287" s="62" t="s"/>
      <c r="R3287" s="62" t="s"/>
    </row>
    <row r="3288" spans="1:18" ht="15.75" customHeight="true">
      <c r="A3288" s="107" t="s"/>
      <c r="B3288" s="62" t="s"/>
      <c r="C3288" s="62" t="s"/>
      <c r="D3288" s="62" t="s"/>
      <c r="E3288" s="62" t="s"/>
      <c r="F3288" s="66" t="s"/>
      <c r="G3288" s="66" t="s"/>
      <c r="H3288" s="66" t="s"/>
      <c r="I3288" s="62" t="s"/>
      <c r="J3288" s="62" t="s"/>
      <c r="K3288" s="99" t="s"/>
      <c r="L3288" s="66" t="s"/>
      <c r="M3288" s="66" t="s"/>
      <c r="N3288" s="572" t="s"/>
      <c r="O3288" s="62" t="s"/>
      <c r="P3288" s="62" t="s"/>
      <c r="Q3288" s="62" t="s"/>
      <c r="R3288" s="62" t="s"/>
    </row>
    <row r="3289" spans="1:18" ht="15.75" customHeight="true">
      <c r="A3289" s="107" t="s"/>
      <c r="B3289" s="62" t="s"/>
      <c r="C3289" s="62" t="s"/>
      <c r="D3289" s="62" t="s"/>
      <c r="E3289" s="62" t="s"/>
      <c r="F3289" s="66" t="s"/>
      <c r="G3289" s="66" t="s"/>
      <c r="H3289" s="66" t="s"/>
      <c r="I3289" s="62" t="s"/>
      <c r="J3289" s="62" t="s"/>
      <c r="K3289" s="99" t="s"/>
      <c r="L3289" s="66" t="s"/>
      <c r="M3289" s="66" t="s"/>
      <c r="N3289" s="572" t="s"/>
      <c r="O3289" s="62" t="s"/>
      <c r="P3289" s="62" t="s"/>
      <c r="Q3289" s="62" t="s"/>
      <c r="R3289" s="62" t="s"/>
    </row>
    <row r="3290" spans="1:18" ht="15.75" customHeight="true">
      <c r="A3290" s="107" t="s"/>
      <c r="B3290" s="62" t="s"/>
      <c r="C3290" s="62" t="s"/>
      <c r="D3290" s="62" t="s"/>
      <c r="E3290" s="62" t="s"/>
      <c r="F3290" s="66" t="s"/>
      <c r="G3290" s="66" t="s"/>
      <c r="H3290" s="66" t="s"/>
      <c r="I3290" s="62" t="s"/>
      <c r="J3290" s="62" t="s"/>
      <c r="K3290" s="99" t="s"/>
      <c r="L3290" s="66" t="s"/>
      <c r="M3290" s="66" t="s"/>
      <c r="N3290" s="572" t="s"/>
      <c r="O3290" s="62" t="s"/>
      <c r="P3290" s="62" t="s"/>
      <c r="Q3290" s="62" t="s"/>
      <c r="R3290" s="62" t="s"/>
    </row>
    <row r="3291" spans="1:18" ht="15.75" customHeight="true">
      <c r="A3291" s="107" t="s"/>
      <c r="B3291" s="62" t="s"/>
      <c r="C3291" s="62" t="s"/>
      <c r="D3291" s="62" t="s"/>
      <c r="E3291" s="62" t="s"/>
      <c r="F3291" s="66" t="s"/>
      <c r="G3291" s="66" t="s"/>
      <c r="H3291" s="66" t="s"/>
      <c r="I3291" s="62" t="s"/>
      <c r="J3291" s="62" t="s"/>
      <c r="K3291" s="99" t="s"/>
      <c r="L3291" s="66" t="s"/>
      <c r="M3291" s="66" t="s"/>
      <c r="N3291" s="572" t="s"/>
      <c r="O3291" s="62" t="s"/>
      <c r="P3291" s="62" t="s"/>
      <c r="Q3291" s="62" t="s"/>
      <c r="R3291" s="62" t="s"/>
    </row>
    <row r="3292" spans="1:18" ht="15.75" customHeight="true">
      <c r="A3292" s="107" t="s"/>
      <c r="B3292" s="62" t="s"/>
      <c r="C3292" s="62" t="s"/>
      <c r="D3292" s="62" t="s"/>
      <c r="E3292" s="62" t="s"/>
      <c r="F3292" s="66" t="s"/>
      <c r="G3292" s="66" t="s"/>
      <c r="H3292" s="66" t="s"/>
      <c r="I3292" s="62" t="s"/>
      <c r="J3292" s="62" t="s"/>
      <c r="K3292" s="99" t="s"/>
      <c r="L3292" s="66" t="s"/>
      <c r="M3292" s="66" t="s"/>
      <c r="N3292" s="572" t="s"/>
      <c r="O3292" s="62" t="s"/>
      <c r="P3292" s="62" t="s"/>
      <c r="Q3292" s="62" t="s"/>
      <c r="R3292" s="62" t="s"/>
    </row>
    <row r="3293" spans="1:18" ht="15.75" customHeight="true">
      <c r="A3293" s="107" t="s"/>
      <c r="B3293" s="62" t="s"/>
      <c r="C3293" s="62" t="s"/>
      <c r="D3293" s="62" t="s"/>
      <c r="E3293" s="62" t="s"/>
      <c r="F3293" s="66" t="s"/>
      <c r="G3293" s="66" t="s"/>
      <c r="H3293" s="66" t="s"/>
      <c r="I3293" s="62" t="s"/>
      <c r="J3293" s="62" t="s"/>
      <c r="K3293" s="99" t="s"/>
      <c r="L3293" s="66" t="s"/>
      <c r="M3293" s="66" t="s"/>
      <c r="N3293" s="572" t="s"/>
      <c r="O3293" s="62" t="s"/>
      <c r="P3293" s="62" t="s"/>
      <c r="Q3293" s="62" t="s"/>
      <c r="R3293" s="62" t="s"/>
    </row>
    <row r="3294" spans="1:18" ht="15.75" customHeight="true">
      <c r="A3294" s="107" t="s"/>
      <c r="B3294" s="62" t="s"/>
      <c r="C3294" s="62" t="s"/>
      <c r="D3294" s="62" t="s"/>
      <c r="E3294" s="62" t="s"/>
      <c r="F3294" s="66" t="s"/>
      <c r="G3294" s="66" t="s"/>
      <c r="H3294" s="66" t="s"/>
      <c r="I3294" s="62" t="s"/>
      <c r="J3294" s="62" t="s"/>
      <c r="K3294" s="99" t="s"/>
      <c r="L3294" s="66" t="s"/>
      <c r="M3294" s="66" t="s"/>
      <c r="N3294" s="572" t="s"/>
      <c r="O3294" s="62" t="s"/>
      <c r="P3294" s="62" t="s"/>
      <c r="Q3294" s="62" t="s"/>
      <c r="R3294" s="62" t="s"/>
    </row>
    <row r="3295" spans="1:18" ht="15.75" customHeight="true">
      <c r="A3295" s="107" t="s"/>
      <c r="B3295" s="62" t="s"/>
      <c r="C3295" s="62" t="s"/>
      <c r="D3295" s="62" t="s"/>
      <c r="E3295" s="62" t="s"/>
      <c r="F3295" s="66" t="s"/>
      <c r="G3295" s="66" t="s"/>
      <c r="H3295" s="66" t="s"/>
      <c r="I3295" s="62" t="s"/>
      <c r="J3295" s="62" t="s"/>
      <c r="K3295" s="99" t="s"/>
      <c r="L3295" s="66" t="s"/>
      <c r="M3295" s="66" t="s"/>
      <c r="N3295" s="572" t="s"/>
      <c r="O3295" s="62" t="s"/>
      <c r="P3295" s="62" t="s"/>
      <c r="Q3295" s="62" t="s"/>
      <c r="R3295" s="62" t="s"/>
    </row>
    <row r="3296" spans="1:18" ht="15.75" customHeight="true">
      <c r="A3296" s="107" t="s"/>
      <c r="B3296" s="62" t="s"/>
      <c r="C3296" s="62" t="s"/>
      <c r="D3296" s="62" t="s"/>
      <c r="E3296" s="62" t="s"/>
      <c r="F3296" s="66" t="s"/>
      <c r="G3296" s="66" t="s"/>
      <c r="H3296" s="66" t="s"/>
      <c r="I3296" s="62" t="s"/>
      <c r="J3296" s="62" t="s"/>
      <c r="K3296" s="99" t="s"/>
      <c r="L3296" s="66" t="s"/>
      <c r="M3296" s="66" t="s"/>
      <c r="N3296" s="572" t="s"/>
      <c r="O3296" s="62" t="s"/>
      <c r="P3296" s="62" t="s"/>
      <c r="Q3296" s="62" t="s"/>
      <c r="R3296" s="62" t="s"/>
    </row>
    <row r="3297" spans="1:18" ht="15.75" customHeight="true">
      <c r="A3297" s="107" t="s"/>
      <c r="B3297" s="62" t="s"/>
      <c r="C3297" s="62" t="s"/>
      <c r="D3297" s="62" t="s"/>
      <c r="E3297" s="62" t="s"/>
      <c r="F3297" s="66" t="s"/>
      <c r="G3297" s="66" t="s"/>
      <c r="H3297" s="66" t="s"/>
      <c r="I3297" s="62" t="s"/>
      <c r="J3297" s="62" t="s"/>
      <c r="K3297" s="99" t="s"/>
      <c r="L3297" s="66" t="s"/>
      <c r="M3297" s="66" t="s"/>
      <c r="N3297" s="572" t="s"/>
      <c r="O3297" s="62" t="s"/>
      <c r="P3297" s="62" t="s"/>
      <c r="Q3297" s="62" t="s"/>
      <c r="R3297" s="62" t="s"/>
    </row>
    <row r="3298" spans="1:18" ht="15.75" customHeight="true">
      <c r="A3298" s="107" t="s"/>
      <c r="B3298" s="62" t="s"/>
      <c r="C3298" s="62" t="s"/>
      <c r="D3298" s="62" t="s"/>
      <c r="E3298" s="62" t="s"/>
      <c r="F3298" s="66" t="s"/>
      <c r="G3298" s="66" t="s"/>
      <c r="H3298" s="66" t="s"/>
      <c r="I3298" s="62" t="s"/>
      <c r="J3298" s="62" t="s"/>
      <c r="K3298" s="99" t="s"/>
      <c r="L3298" s="66" t="s"/>
      <c r="M3298" s="66" t="s"/>
      <c r="N3298" s="572" t="s"/>
      <c r="O3298" s="62" t="s"/>
      <c r="P3298" s="62" t="s"/>
      <c r="Q3298" s="62" t="s"/>
      <c r="R3298" s="62" t="s"/>
    </row>
    <row r="3299" spans="1:18" ht="15.75" customHeight="true">
      <c r="A3299" s="107" t="s"/>
      <c r="B3299" s="62" t="s"/>
      <c r="C3299" s="62" t="s"/>
      <c r="D3299" s="62" t="s"/>
      <c r="E3299" s="62" t="s"/>
      <c r="F3299" s="66" t="s"/>
      <c r="G3299" s="66" t="s"/>
      <c r="H3299" s="66" t="s"/>
      <c r="I3299" s="62" t="s"/>
      <c r="J3299" s="62" t="s"/>
      <c r="K3299" s="99" t="s"/>
      <c r="L3299" s="66" t="s"/>
      <c r="M3299" s="66" t="s"/>
      <c r="N3299" s="572" t="s"/>
      <c r="O3299" s="62" t="s"/>
      <c r="P3299" s="62" t="s"/>
      <c r="Q3299" s="62" t="s"/>
      <c r="R3299" s="62" t="s"/>
    </row>
    <row r="3300" spans="1:18" ht="15.75" customHeight="true">
      <c r="A3300" s="107" t="s"/>
      <c r="B3300" s="62" t="s"/>
      <c r="C3300" s="62" t="s"/>
      <c r="D3300" s="62" t="s"/>
      <c r="E3300" s="62" t="s"/>
      <c r="F3300" s="66" t="s"/>
      <c r="G3300" s="66" t="s"/>
      <c r="H3300" s="66" t="s"/>
      <c r="I3300" s="62" t="s"/>
      <c r="J3300" s="62" t="s"/>
      <c r="K3300" s="99" t="s"/>
      <c r="L3300" s="66" t="s"/>
      <c r="M3300" s="66" t="s"/>
      <c r="N3300" s="572" t="s"/>
      <c r="O3300" s="62" t="s"/>
      <c r="P3300" s="62" t="s"/>
      <c r="Q3300" s="62" t="s"/>
      <c r="R3300" s="62" t="s"/>
    </row>
    <row r="3301" spans="1:18" ht="15.75" customHeight="true">
      <c r="A3301" s="107" t="s"/>
      <c r="B3301" s="62" t="s"/>
      <c r="C3301" s="62" t="s"/>
      <c r="D3301" s="62" t="s"/>
      <c r="E3301" s="62" t="s"/>
      <c r="F3301" s="66" t="s"/>
      <c r="G3301" s="66" t="s"/>
      <c r="H3301" s="66" t="s"/>
      <c r="I3301" s="62" t="s"/>
      <c r="J3301" s="62" t="s"/>
      <c r="K3301" s="99" t="s"/>
      <c r="L3301" s="66" t="s"/>
      <c r="M3301" s="66" t="s"/>
      <c r="N3301" s="572" t="s"/>
      <c r="O3301" s="62" t="s"/>
      <c r="P3301" s="62" t="s"/>
      <c r="Q3301" s="62" t="s"/>
      <c r="R3301" s="62" t="s"/>
    </row>
    <row r="3302" spans="1:18" ht="15.75" customHeight="true">
      <c r="A3302" s="107" t="s"/>
      <c r="B3302" s="62" t="s"/>
      <c r="C3302" s="62" t="s"/>
      <c r="D3302" s="62" t="s"/>
      <c r="E3302" s="62" t="s"/>
      <c r="F3302" s="66" t="s"/>
      <c r="G3302" s="66" t="s"/>
      <c r="H3302" s="66" t="s"/>
      <c r="I3302" s="62" t="s"/>
      <c r="J3302" s="62" t="s"/>
      <c r="K3302" s="99" t="s"/>
      <c r="L3302" s="66" t="s"/>
      <c r="M3302" s="66" t="s"/>
      <c r="N3302" s="572" t="s"/>
      <c r="O3302" s="62" t="s"/>
      <c r="P3302" s="62" t="s"/>
      <c r="Q3302" s="62" t="s"/>
      <c r="R3302" s="62" t="s"/>
    </row>
    <row r="3303" spans="1:18" ht="15.75" customHeight="true">
      <c r="A3303" s="107" t="s"/>
      <c r="B3303" s="62" t="s"/>
      <c r="C3303" s="62" t="s"/>
      <c r="D3303" s="62" t="s"/>
      <c r="E3303" s="62" t="s"/>
      <c r="F3303" s="66" t="s"/>
      <c r="G3303" s="66" t="s"/>
      <c r="H3303" s="66" t="s"/>
      <c r="I3303" s="62" t="s"/>
      <c r="J3303" s="62" t="s"/>
      <c r="K3303" s="99" t="s"/>
      <c r="L3303" s="66" t="s"/>
      <c r="M3303" s="66" t="s"/>
      <c r="N3303" s="572" t="s"/>
      <c r="O3303" s="62" t="s"/>
      <c r="P3303" s="62" t="s"/>
      <c r="Q3303" s="62" t="s"/>
      <c r="R3303" s="62" t="s"/>
    </row>
    <row r="3304" spans="1:18" ht="15.75" customHeight="true">
      <c r="A3304" s="107" t="s"/>
      <c r="B3304" s="62" t="s"/>
      <c r="C3304" s="62" t="s"/>
      <c r="D3304" s="62" t="s"/>
      <c r="E3304" s="62" t="s"/>
      <c r="F3304" s="66" t="s"/>
      <c r="G3304" s="66" t="s"/>
      <c r="H3304" s="66" t="s"/>
      <c r="I3304" s="62" t="s"/>
      <c r="J3304" s="62" t="s"/>
      <c r="K3304" s="99" t="s"/>
      <c r="L3304" s="66" t="s"/>
      <c r="M3304" s="66" t="s"/>
      <c r="N3304" s="572" t="s"/>
      <c r="O3304" s="62" t="s"/>
      <c r="P3304" s="62" t="s"/>
      <c r="Q3304" s="62" t="s"/>
      <c r="R3304" s="62" t="s"/>
    </row>
    <row r="3305" spans="1:18" ht="15.75" customHeight="true">
      <c r="A3305" s="107" t="s"/>
      <c r="B3305" s="62" t="s"/>
      <c r="C3305" s="62" t="s"/>
      <c r="D3305" s="62" t="s"/>
      <c r="E3305" s="62" t="s"/>
      <c r="F3305" s="66" t="s"/>
      <c r="G3305" s="66" t="s"/>
      <c r="H3305" s="66" t="s"/>
      <c r="I3305" s="62" t="s"/>
      <c r="J3305" s="62" t="s"/>
      <c r="K3305" s="99" t="s"/>
      <c r="L3305" s="66" t="s"/>
      <c r="M3305" s="66" t="s"/>
      <c r="N3305" s="572" t="s"/>
      <c r="O3305" s="62" t="s"/>
      <c r="P3305" s="62" t="s"/>
      <c r="Q3305" s="62" t="s"/>
      <c r="R3305" s="62" t="s"/>
    </row>
    <row r="3306" spans="1:18" ht="15.75" customHeight="true">
      <c r="A3306" s="107" t="s"/>
      <c r="B3306" s="62" t="s"/>
      <c r="C3306" s="62" t="s"/>
      <c r="D3306" s="62" t="s"/>
      <c r="E3306" s="62" t="s"/>
      <c r="F3306" s="66" t="s"/>
      <c r="G3306" s="66" t="s"/>
      <c r="H3306" s="66" t="s"/>
      <c r="I3306" s="62" t="s"/>
      <c r="J3306" s="62" t="s"/>
      <c r="K3306" s="99" t="s"/>
      <c r="L3306" s="66" t="s"/>
      <c r="M3306" s="66" t="s"/>
      <c r="N3306" s="572" t="s"/>
      <c r="O3306" s="62" t="s"/>
      <c r="P3306" s="62" t="s"/>
      <c r="Q3306" s="62" t="s"/>
      <c r="R3306" s="62" t="s"/>
    </row>
    <row r="3307" spans="1:18" ht="15.75" customHeight="true">
      <c r="A3307" s="107" t="s"/>
      <c r="B3307" s="62" t="s"/>
      <c r="C3307" s="62" t="s"/>
      <c r="D3307" s="62" t="s"/>
      <c r="E3307" s="62" t="s"/>
      <c r="F3307" s="66" t="s"/>
      <c r="G3307" s="66" t="s"/>
      <c r="H3307" s="66" t="s"/>
      <c r="I3307" s="62" t="s"/>
      <c r="J3307" s="62" t="s"/>
      <c r="K3307" s="99" t="s"/>
      <c r="L3307" s="66" t="s"/>
      <c r="M3307" s="66" t="s"/>
      <c r="N3307" s="572" t="s"/>
      <c r="O3307" s="62" t="s"/>
      <c r="P3307" s="62" t="s"/>
      <c r="Q3307" s="62" t="s"/>
      <c r="R3307" s="62" t="s"/>
    </row>
    <row r="3308" spans="1:18" ht="15.75" customHeight="true">
      <c r="A3308" s="107" t="s"/>
      <c r="B3308" s="62" t="s"/>
      <c r="C3308" s="62" t="s"/>
      <c r="D3308" s="62" t="s"/>
      <c r="E3308" s="62" t="s"/>
      <c r="F3308" s="66" t="s"/>
      <c r="G3308" s="66" t="s"/>
      <c r="H3308" s="66" t="s"/>
      <c r="I3308" s="62" t="s"/>
      <c r="J3308" s="62" t="s"/>
      <c r="K3308" s="99" t="s"/>
      <c r="L3308" s="66" t="s"/>
      <c r="M3308" s="66" t="s"/>
      <c r="N3308" s="572" t="s"/>
      <c r="O3308" s="62" t="s"/>
      <c r="P3308" s="62" t="s"/>
      <c r="Q3308" s="62" t="s"/>
      <c r="R3308" s="62" t="s"/>
    </row>
    <row r="3309" spans="1:18" ht="15.75" customHeight="true">
      <c r="A3309" s="107" t="s"/>
      <c r="B3309" s="62" t="s"/>
      <c r="C3309" s="62" t="s"/>
      <c r="D3309" s="62" t="s"/>
      <c r="E3309" s="62" t="s"/>
      <c r="F3309" s="66" t="s"/>
      <c r="G3309" s="66" t="s"/>
      <c r="H3309" s="66" t="s"/>
      <c r="I3309" s="62" t="s"/>
      <c r="J3309" s="62" t="s"/>
      <c r="K3309" s="99" t="s"/>
      <c r="L3309" s="66" t="s"/>
      <c r="M3309" s="66" t="s"/>
      <c r="N3309" s="572" t="s"/>
      <c r="O3309" s="62" t="s"/>
      <c r="P3309" s="62" t="s"/>
      <c r="Q3309" s="62" t="s"/>
      <c r="R3309" s="62" t="s"/>
    </row>
    <row r="3310" spans="1:18" ht="15.75" customHeight="true">
      <c r="A3310" s="107" t="s"/>
      <c r="B3310" s="62" t="s"/>
      <c r="C3310" s="62" t="s"/>
      <c r="D3310" s="62" t="s"/>
      <c r="E3310" s="62" t="s"/>
      <c r="F3310" s="66" t="s"/>
      <c r="G3310" s="66" t="s"/>
      <c r="H3310" s="66" t="s"/>
      <c r="I3310" s="62" t="s"/>
      <c r="J3310" s="62" t="s"/>
      <c r="K3310" s="99" t="s"/>
      <c r="L3310" s="66" t="s"/>
      <c r="M3310" s="66" t="s"/>
      <c r="N3310" s="572" t="s"/>
      <c r="O3310" s="62" t="s"/>
      <c r="P3310" s="62" t="s"/>
      <c r="Q3310" s="62" t="s"/>
      <c r="R3310" s="62" t="s"/>
    </row>
    <row r="3311" spans="1:18" ht="15.75" customHeight="true">
      <c r="A3311" s="107" t="s"/>
      <c r="B3311" s="62" t="s"/>
      <c r="C3311" s="62" t="s"/>
      <c r="D3311" s="62" t="s"/>
      <c r="E3311" s="62" t="s"/>
      <c r="F3311" s="66" t="s"/>
      <c r="G3311" s="66" t="s"/>
      <c r="H3311" s="66" t="s"/>
      <c r="I3311" s="62" t="s"/>
      <c r="J3311" s="62" t="s"/>
      <c r="K3311" s="99" t="s"/>
      <c r="L3311" s="66" t="s"/>
      <c r="M3311" s="66" t="s"/>
      <c r="N3311" s="572" t="s"/>
      <c r="O3311" s="62" t="s"/>
      <c r="P3311" s="62" t="s"/>
      <c r="Q3311" s="62" t="s"/>
      <c r="R3311" s="62" t="s"/>
    </row>
    <row r="3312" spans="1:18" ht="15.75" customHeight="true">
      <c r="A3312" s="107" t="s"/>
      <c r="B3312" s="62" t="s"/>
      <c r="C3312" s="62" t="s"/>
      <c r="D3312" s="62" t="s"/>
      <c r="E3312" s="62" t="s"/>
      <c r="F3312" s="66" t="s"/>
      <c r="G3312" s="66" t="s"/>
      <c r="H3312" s="66" t="s"/>
      <c r="I3312" s="62" t="s"/>
      <c r="J3312" s="62" t="s"/>
      <c r="K3312" s="99" t="s"/>
      <c r="L3312" s="66" t="s"/>
      <c r="M3312" s="66" t="s"/>
      <c r="N3312" s="572" t="s"/>
      <c r="O3312" s="62" t="s"/>
      <c r="P3312" s="62" t="s"/>
      <c r="Q3312" s="62" t="s"/>
      <c r="R3312" s="62" t="s"/>
    </row>
    <row r="3313" spans="1:18" ht="15.75" customHeight="true">
      <c r="A3313" s="107" t="s"/>
      <c r="B3313" s="62" t="s"/>
      <c r="C3313" s="62" t="s"/>
      <c r="D3313" s="62" t="s"/>
      <c r="E3313" s="62" t="s"/>
      <c r="F3313" s="66" t="s"/>
      <c r="G3313" s="66" t="s"/>
      <c r="H3313" s="66" t="s"/>
      <c r="I3313" s="62" t="s"/>
      <c r="J3313" s="62" t="s"/>
      <c r="K3313" s="99" t="s"/>
      <c r="L3313" s="66" t="s"/>
      <c r="M3313" s="66" t="s"/>
      <c r="N3313" s="572" t="s"/>
      <c r="O3313" s="62" t="s"/>
      <c r="P3313" s="62" t="s"/>
      <c r="Q3313" s="62" t="s"/>
      <c r="R3313" s="62" t="s"/>
    </row>
    <row r="3314" spans="1:18" ht="15.75" customHeight="true">
      <c r="A3314" s="107" t="s"/>
      <c r="B3314" s="62" t="s"/>
      <c r="C3314" s="62" t="s"/>
      <c r="D3314" s="62" t="s"/>
      <c r="E3314" s="62" t="s"/>
      <c r="F3314" s="66" t="s"/>
      <c r="G3314" s="66" t="s"/>
      <c r="H3314" s="66" t="s"/>
      <c r="I3314" s="62" t="s"/>
      <c r="J3314" s="62" t="s"/>
      <c r="K3314" s="99" t="s"/>
      <c r="L3314" s="66" t="s"/>
      <c r="M3314" s="66" t="s"/>
      <c r="N3314" s="572" t="s"/>
      <c r="O3314" s="62" t="s"/>
      <c r="P3314" s="62" t="s"/>
      <c r="Q3314" s="62" t="s"/>
      <c r="R3314" s="62" t="s"/>
    </row>
    <row r="3315" spans="1:18" ht="15.75" customHeight="true">
      <c r="A3315" s="107" t="s"/>
      <c r="B3315" s="62" t="s"/>
      <c r="C3315" s="62" t="s"/>
      <c r="D3315" s="62" t="s"/>
      <c r="E3315" s="62" t="s"/>
      <c r="F3315" s="66" t="s"/>
      <c r="G3315" s="66" t="s"/>
      <c r="H3315" s="66" t="s"/>
      <c r="I3315" s="62" t="s"/>
      <c r="J3315" s="62" t="s"/>
      <c r="K3315" s="99" t="s"/>
      <c r="L3315" s="66" t="s"/>
      <c r="M3315" s="66" t="s"/>
      <c r="N3315" s="572" t="s"/>
      <c r="O3315" s="62" t="s"/>
      <c r="P3315" s="62" t="s"/>
      <c r="Q3315" s="62" t="s"/>
      <c r="R3315" s="62" t="s"/>
    </row>
    <row r="3316" spans="1:18" ht="15.75" customHeight="true">
      <c r="A3316" s="107" t="s"/>
      <c r="B3316" s="62" t="s"/>
      <c r="C3316" s="62" t="s"/>
      <c r="D3316" s="62" t="s"/>
      <c r="E3316" s="62" t="s"/>
      <c r="F3316" s="66" t="s"/>
      <c r="G3316" s="66" t="s"/>
      <c r="H3316" s="66" t="s"/>
      <c r="I3316" s="62" t="s"/>
      <c r="J3316" s="62" t="s"/>
      <c r="K3316" s="99" t="s"/>
      <c r="L3316" s="66" t="s"/>
      <c r="M3316" s="66" t="s"/>
      <c r="N3316" s="572" t="s"/>
      <c r="O3316" s="62" t="s"/>
      <c r="P3316" s="62" t="s"/>
      <c r="Q3316" s="62" t="s"/>
      <c r="R3316" s="62" t="s"/>
    </row>
    <row r="3317" spans="1:18" ht="15.75" customHeight="true">
      <c r="A3317" s="107" t="s"/>
      <c r="B3317" s="62" t="s"/>
      <c r="C3317" s="62" t="s"/>
      <c r="D3317" s="62" t="s"/>
      <c r="E3317" s="62" t="s"/>
      <c r="F3317" s="66" t="s"/>
      <c r="G3317" s="66" t="s"/>
      <c r="H3317" s="66" t="s"/>
      <c r="I3317" s="62" t="s"/>
      <c r="J3317" s="62" t="s"/>
      <c r="K3317" s="99" t="s"/>
      <c r="L3317" s="66" t="s"/>
      <c r="M3317" s="66" t="s"/>
      <c r="N3317" s="572" t="s"/>
      <c r="O3317" s="62" t="s"/>
      <c r="P3317" s="62" t="s"/>
      <c r="Q3317" s="62" t="s"/>
      <c r="R3317" s="62" t="s"/>
    </row>
    <row r="3318" spans="1:18" ht="15.75" customHeight="true">
      <c r="A3318" s="107" t="s"/>
      <c r="B3318" s="62" t="s"/>
      <c r="C3318" s="62" t="s"/>
      <c r="D3318" s="62" t="s"/>
      <c r="E3318" s="62" t="s"/>
      <c r="F3318" s="66" t="s"/>
      <c r="G3318" s="66" t="s"/>
      <c r="H3318" s="66" t="s"/>
      <c r="I3318" s="62" t="s"/>
      <c r="J3318" s="62" t="s"/>
      <c r="K3318" s="99" t="s"/>
      <c r="L3318" s="66" t="s"/>
      <c r="M3318" s="66" t="s"/>
      <c r="N3318" s="572" t="s"/>
      <c r="O3318" s="62" t="s"/>
      <c r="P3318" s="62" t="s"/>
      <c r="Q3318" s="62" t="s"/>
      <c r="R3318" s="62" t="s"/>
    </row>
    <row r="3319" spans="1:18" ht="15.75" customHeight="true">
      <c r="A3319" s="107" t="s"/>
      <c r="B3319" s="62" t="s"/>
      <c r="C3319" s="62" t="s"/>
      <c r="D3319" s="62" t="s"/>
      <c r="E3319" s="62" t="s"/>
      <c r="F3319" s="66" t="s"/>
      <c r="G3319" s="66" t="s"/>
      <c r="H3319" s="66" t="s"/>
      <c r="I3319" s="62" t="s"/>
      <c r="J3319" s="62" t="s"/>
      <c r="K3319" s="99" t="s"/>
      <c r="L3319" s="66" t="s"/>
      <c r="M3319" s="66" t="s"/>
      <c r="N3319" s="572" t="s"/>
      <c r="O3319" s="62" t="s"/>
      <c r="P3319" s="62" t="s"/>
      <c r="Q3319" s="62" t="s"/>
      <c r="R3319" s="62" t="s"/>
    </row>
    <row r="3320" spans="1:18" ht="15.75" customHeight="true">
      <c r="A3320" s="107" t="s"/>
      <c r="B3320" s="62" t="s"/>
      <c r="C3320" s="62" t="s"/>
      <c r="D3320" s="62" t="s"/>
      <c r="E3320" s="62" t="s"/>
      <c r="F3320" s="66" t="s"/>
      <c r="G3320" s="66" t="s"/>
      <c r="H3320" s="66" t="s"/>
      <c r="I3320" s="62" t="s"/>
      <c r="J3320" s="62" t="s"/>
      <c r="K3320" s="99" t="s"/>
      <c r="L3320" s="66" t="s"/>
      <c r="M3320" s="66" t="s"/>
      <c r="N3320" s="572" t="s"/>
      <c r="O3320" s="62" t="s"/>
      <c r="P3320" s="62" t="s"/>
      <c r="Q3320" s="62" t="s"/>
      <c r="R3320" s="62" t="s"/>
    </row>
    <row r="3321" spans="1:18" ht="15.75" customHeight="true">
      <c r="A3321" s="107" t="s"/>
      <c r="B3321" s="62" t="s"/>
      <c r="C3321" s="62" t="s"/>
      <c r="D3321" s="62" t="s"/>
      <c r="E3321" s="62" t="s"/>
      <c r="F3321" s="66" t="s"/>
      <c r="G3321" s="66" t="s"/>
      <c r="H3321" s="66" t="s"/>
      <c r="I3321" s="62" t="s"/>
      <c r="J3321" s="62" t="s"/>
      <c r="K3321" s="99" t="s"/>
      <c r="L3321" s="66" t="s"/>
      <c r="M3321" s="66" t="s"/>
      <c r="N3321" s="572" t="s"/>
      <c r="O3321" s="62" t="s"/>
      <c r="P3321" s="62" t="s"/>
      <c r="Q3321" s="62" t="s"/>
      <c r="R3321" s="62" t="s"/>
    </row>
    <row r="3322" spans="1:18" ht="15.75" customHeight="true">
      <c r="A3322" s="107" t="s"/>
      <c r="B3322" s="62" t="s"/>
      <c r="C3322" s="62" t="s"/>
      <c r="D3322" s="62" t="s"/>
      <c r="E3322" s="62" t="s"/>
      <c r="F3322" s="66" t="s"/>
      <c r="G3322" s="66" t="s"/>
      <c r="H3322" s="66" t="s"/>
      <c r="I3322" s="62" t="s"/>
      <c r="J3322" s="62" t="s"/>
      <c r="K3322" s="99" t="s"/>
      <c r="L3322" s="66" t="s"/>
      <c r="M3322" s="66" t="s"/>
      <c r="N3322" s="572" t="s"/>
      <c r="O3322" s="62" t="s"/>
      <c r="P3322" s="62" t="s"/>
      <c r="Q3322" s="62" t="s"/>
      <c r="R3322" s="62" t="s"/>
    </row>
    <row r="3323" spans="1:18" ht="15.75" customHeight="true">
      <c r="A3323" s="107" t="s"/>
      <c r="B3323" s="62" t="s"/>
      <c r="C3323" s="62" t="s"/>
      <c r="D3323" s="62" t="s"/>
      <c r="E3323" s="62" t="s"/>
      <c r="F3323" s="66" t="s"/>
      <c r="G3323" s="66" t="s"/>
      <c r="H3323" s="66" t="s"/>
      <c r="I3323" s="62" t="s"/>
      <c r="J3323" s="62" t="s"/>
      <c r="K3323" s="99" t="s"/>
      <c r="L3323" s="66" t="s"/>
      <c r="M3323" s="66" t="s"/>
      <c r="N3323" s="572" t="s"/>
      <c r="O3323" s="62" t="s"/>
      <c r="P3323" s="62" t="s"/>
      <c r="Q3323" s="62" t="s"/>
      <c r="R3323" s="62" t="s"/>
    </row>
    <row r="3324" spans="1:18" ht="15.75" customHeight="true">
      <c r="A3324" s="107" t="s"/>
      <c r="B3324" s="62" t="s"/>
      <c r="C3324" s="62" t="s"/>
      <c r="D3324" s="62" t="s"/>
      <c r="E3324" s="62" t="s"/>
      <c r="F3324" s="66" t="s"/>
      <c r="G3324" s="66" t="s"/>
      <c r="H3324" s="66" t="s"/>
      <c r="I3324" s="62" t="s"/>
      <c r="J3324" s="62" t="s"/>
      <c r="K3324" s="99" t="s"/>
      <c r="L3324" s="66" t="s"/>
      <c r="M3324" s="66" t="s"/>
      <c r="N3324" s="572" t="s"/>
      <c r="O3324" s="62" t="s"/>
      <c r="P3324" s="62" t="s"/>
      <c r="Q3324" s="62" t="s"/>
      <c r="R3324" s="62" t="s"/>
    </row>
    <row r="3325" spans="1:18" ht="15.75" customHeight="true">
      <c r="A3325" s="107" t="s"/>
      <c r="B3325" s="62" t="s"/>
      <c r="C3325" s="62" t="s"/>
      <c r="D3325" s="62" t="s"/>
      <c r="E3325" s="62" t="s"/>
      <c r="F3325" s="66" t="s"/>
      <c r="G3325" s="66" t="s"/>
      <c r="H3325" s="66" t="s"/>
      <c r="I3325" s="62" t="s"/>
      <c r="J3325" s="62" t="s"/>
      <c r="K3325" s="99" t="s"/>
      <c r="L3325" s="66" t="s"/>
      <c r="M3325" s="66" t="s"/>
      <c r="N3325" s="572" t="s"/>
      <c r="O3325" s="62" t="s"/>
      <c r="P3325" s="62" t="s"/>
      <c r="Q3325" s="62" t="s"/>
      <c r="R3325" s="62" t="s"/>
    </row>
    <row r="3326" spans="1:18" ht="15.75" customHeight="true">
      <c r="A3326" s="107" t="s"/>
      <c r="B3326" s="62" t="s"/>
      <c r="C3326" s="62" t="s"/>
      <c r="D3326" s="62" t="s"/>
      <c r="E3326" s="62" t="s"/>
      <c r="F3326" s="66" t="s"/>
      <c r="G3326" s="66" t="s"/>
      <c r="H3326" s="66" t="s"/>
      <c r="I3326" s="62" t="s"/>
      <c r="J3326" s="62" t="s"/>
      <c r="K3326" s="99" t="s"/>
      <c r="L3326" s="66" t="s"/>
      <c r="M3326" s="66" t="s"/>
      <c r="N3326" s="572" t="s"/>
      <c r="O3326" s="62" t="s"/>
      <c r="P3326" s="62" t="s"/>
      <c r="Q3326" s="62" t="s"/>
      <c r="R3326" s="62" t="s"/>
    </row>
    <row r="3327" spans="1:18" ht="15.75" customHeight="true">
      <c r="A3327" s="107" t="s"/>
      <c r="B3327" s="62" t="s"/>
      <c r="C3327" s="62" t="s"/>
      <c r="D3327" s="62" t="s"/>
      <c r="E3327" s="62" t="s"/>
      <c r="F3327" s="66" t="s"/>
      <c r="G3327" s="66" t="s"/>
      <c r="H3327" s="66" t="s"/>
      <c r="I3327" s="62" t="s"/>
      <c r="J3327" s="62" t="s"/>
      <c r="K3327" s="99" t="s"/>
      <c r="L3327" s="66" t="s"/>
      <c r="M3327" s="66" t="s"/>
      <c r="N3327" s="572" t="s"/>
      <c r="O3327" s="62" t="s"/>
      <c r="P3327" s="62" t="s"/>
      <c r="Q3327" s="62" t="s"/>
      <c r="R3327" s="62" t="s"/>
    </row>
    <row r="3328" spans="1:18" ht="15.75" customHeight="true">
      <c r="A3328" s="107" t="s"/>
      <c r="B3328" s="62" t="s"/>
      <c r="C3328" s="62" t="s"/>
      <c r="D3328" s="62" t="s"/>
      <c r="E3328" s="62" t="s"/>
      <c r="F3328" s="66" t="s"/>
      <c r="G3328" s="66" t="s"/>
      <c r="H3328" s="66" t="s"/>
      <c r="I3328" s="62" t="s"/>
      <c r="J3328" s="62" t="s"/>
      <c r="K3328" s="99" t="s"/>
      <c r="L3328" s="66" t="s"/>
      <c r="M3328" s="66" t="s"/>
      <c r="N3328" s="572" t="s"/>
      <c r="O3328" s="62" t="s"/>
      <c r="P3328" s="62" t="s"/>
      <c r="Q3328" s="62" t="s"/>
      <c r="R3328" s="62" t="s"/>
    </row>
    <row r="3329" spans="1:18" ht="15.75" customHeight="true">
      <c r="A3329" s="107" t="s"/>
      <c r="B3329" s="62" t="s"/>
      <c r="C3329" s="62" t="s"/>
      <c r="D3329" s="62" t="s"/>
      <c r="E3329" s="62" t="s"/>
      <c r="F3329" s="66" t="s"/>
      <c r="G3329" s="66" t="s"/>
      <c r="H3329" s="66" t="s"/>
      <c r="I3329" s="62" t="s"/>
      <c r="J3329" s="62" t="s"/>
      <c r="K3329" s="99" t="s"/>
      <c r="L3329" s="66" t="s"/>
      <c r="M3329" s="66" t="s"/>
      <c r="N3329" s="572" t="s"/>
      <c r="O3329" s="62" t="s"/>
      <c r="P3329" s="62" t="s"/>
      <c r="Q3329" s="62" t="s"/>
      <c r="R3329" s="62" t="s"/>
    </row>
    <row r="3330" spans="1:18" ht="15.75" customHeight="true">
      <c r="A3330" s="107" t="s"/>
      <c r="B3330" s="62" t="s"/>
      <c r="C3330" s="62" t="s"/>
      <c r="D3330" s="62" t="s"/>
      <c r="E3330" s="62" t="s"/>
      <c r="F3330" s="66" t="s"/>
      <c r="G3330" s="66" t="s"/>
      <c r="H3330" s="66" t="s"/>
      <c r="I3330" s="62" t="s"/>
      <c r="J3330" s="62" t="s"/>
      <c r="K3330" s="99" t="s"/>
      <c r="L3330" s="66" t="s"/>
      <c r="M3330" s="66" t="s"/>
      <c r="N3330" s="572" t="s"/>
      <c r="O3330" s="62" t="s"/>
      <c r="P3330" s="62" t="s"/>
      <c r="Q3330" s="62" t="s"/>
      <c r="R3330" s="62" t="s"/>
    </row>
    <row r="3331" spans="1:18" ht="15.75" customHeight="true">
      <c r="A3331" s="107" t="s"/>
      <c r="B3331" s="62" t="s"/>
      <c r="C3331" s="62" t="s"/>
      <c r="D3331" s="62" t="s"/>
      <c r="E3331" s="62" t="s"/>
      <c r="F3331" s="66" t="s"/>
      <c r="G3331" s="66" t="s"/>
      <c r="H3331" s="66" t="s"/>
      <c r="I3331" s="62" t="s"/>
      <c r="J3331" s="62" t="s"/>
      <c r="K3331" s="99" t="s"/>
      <c r="L3331" s="66" t="s"/>
      <c r="M3331" s="66" t="s"/>
      <c r="N3331" s="572" t="s"/>
      <c r="O3331" s="62" t="s"/>
      <c r="P3331" s="62" t="s"/>
      <c r="Q3331" s="62" t="s"/>
      <c r="R3331" s="62" t="s"/>
    </row>
    <row r="3332" spans="1:18" ht="15.75" customHeight="true">
      <c r="A3332" s="107" t="s"/>
      <c r="B3332" s="62" t="s"/>
      <c r="C3332" s="62" t="s"/>
      <c r="D3332" s="62" t="s"/>
      <c r="E3332" s="62" t="s"/>
      <c r="F3332" s="66" t="s"/>
      <c r="G3332" s="66" t="s"/>
      <c r="H3332" s="66" t="s"/>
      <c r="I3332" s="62" t="s"/>
      <c r="J3332" s="62" t="s"/>
      <c r="K3332" s="99" t="s"/>
      <c r="L3332" s="66" t="s"/>
      <c r="M3332" s="66" t="s"/>
      <c r="N3332" s="572" t="s"/>
      <c r="O3332" s="62" t="s"/>
      <c r="P3332" s="62" t="s"/>
      <c r="Q3332" s="62" t="s"/>
      <c r="R3332" s="62" t="s"/>
    </row>
    <row r="3333" spans="1:18" ht="15.75" customHeight="true">
      <c r="A3333" s="107" t="s"/>
      <c r="B3333" s="62" t="s"/>
      <c r="C3333" s="62" t="s"/>
      <c r="D3333" s="62" t="s"/>
      <c r="E3333" s="62" t="s"/>
      <c r="F3333" s="66" t="s"/>
      <c r="G3333" s="66" t="s"/>
      <c r="H3333" s="66" t="s"/>
      <c r="I3333" s="62" t="s"/>
      <c r="J3333" s="62" t="s"/>
      <c r="K3333" s="99" t="s"/>
      <c r="L3333" s="66" t="s"/>
      <c r="M3333" s="66" t="s"/>
      <c r="N3333" s="572" t="s"/>
      <c r="O3333" s="62" t="s"/>
      <c r="P3333" s="62" t="s"/>
      <c r="Q3333" s="62" t="s"/>
      <c r="R3333" s="62" t="s"/>
    </row>
    <row r="3334" spans="1:18" ht="15.75" customHeight="true">
      <c r="A3334" s="107" t="s"/>
      <c r="B3334" s="62" t="s"/>
      <c r="C3334" s="62" t="s"/>
      <c r="D3334" s="62" t="s"/>
      <c r="E3334" s="62" t="s"/>
      <c r="F3334" s="66" t="s"/>
      <c r="G3334" s="66" t="s"/>
      <c r="H3334" s="66" t="s"/>
      <c r="I3334" s="62" t="s"/>
      <c r="J3334" s="62" t="s"/>
      <c r="K3334" s="99" t="s"/>
      <c r="L3334" s="66" t="s"/>
      <c r="M3334" s="66" t="s"/>
      <c r="N3334" s="572" t="s"/>
      <c r="O3334" s="62" t="s"/>
      <c r="P3334" s="62" t="s"/>
      <c r="Q3334" s="62" t="s"/>
      <c r="R3334" s="62" t="s"/>
    </row>
    <row r="3335" spans="1:18" ht="15.75" customHeight="true">
      <c r="A3335" s="107" t="s"/>
      <c r="B3335" s="62" t="s"/>
      <c r="C3335" s="62" t="s"/>
      <c r="D3335" s="62" t="s"/>
      <c r="E3335" s="62" t="s"/>
      <c r="F3335" s="66" t="s"/>
      <c r="G3335" s="66" t="s"/>
      <c r="H3335" s="66" t="s"/>
      <c r="I3335" s="62" t="s"/>
      <c r="J3335" s="62" t="s"/>
      <c r="K3335" s="99" t="s"/>
      <c r="L3335" s="66" t="s"/>
      <c r="M3335" s="66" t="s"/>
      <c r="N3335" s="572" t="s"/>
      <c r="O3335" s="62" t="s"/>
      <c r="P3335" s="62" t="s"/>
      <c r="Q3335" s="62" t="s"/>
      <c r="R3335" s="62" t="s"/>
    </row>
    <row r="3336" spans="1:18" ht="15.75" customHeight="true">
      <c r="A3336" s="107" t="s"/>
      <c r="B3336" s="62" t="s"/>
      <c r="C3336" s="62" t="s"/>
      <c r="D3336" s="62" t="s"/>
      <c r="E3336" s="62" t="s"/>
      <c r="F3336" s="66" t="s"/>
      <c r="G3336" s="66" t="s"/>
      <c r="H3336" s="66" t="s"/>
      <c r="I3336" s="62" t="s"/>
      <c r="J3336" s="62" t="s"/>
      <c r="K3336" s="99" t="s"/>
      <c r="L3336" s="66" t="s"/>
      <c r="M3336" s="66" t="s"/>
      <c r="N3336" s="572" t="s"/>
      <c r="O3336" s="62" t="s"/>
      <c r="P3336" s="62" t="s"/>
      <c r="Q3336" s="62" t="s"/>
      <c r="R3336" s="62" t="s"/>
    </row>
    <row r="3337" spans="1:18" ht="15.75" customHeight="true">
      <c r="A3337" s="107" t="s"/>
      <c r="B3337" s="62" t="s"/>
      <c r="C3337" s="62" t="s"/>
      <c r="D3337" s="62" t="s"/>
      <c r="E3337" s="62" t="s"/>
      <c r="F3337" s="66" t="s"/>
      <c r="G3337" s="66" t="s"/>
      <c r="H3337" s="66" t="s"/>
      <c r="I3337" s="62" t="s"/>
      <c r="J3337" s="62" t="s"/>
      <c r="K3337" s="99" t="s"/>
      <c r="L3337" s="66" t="s"/>
      <c r="M3337" s="66" t="s"/>
      <c r="N3337" s="572" t="s"/>
      <c r="O3337" s="62" t="s"/>
      <c r="P3337" s="62" t="s"/>
      <c r="Q3337" s="62" t="s"/>
      <c r="R3337" s="62" t="s"/>
    </row>
    <row r="3338" spans="1:18" ht="15.75" customHeight="true">
      <c r="A3338" s="107" t="s"/>
      <c r="B3338" s="62" t="s"/>
      <c r="C3338" s="62" t="s"/>
      <c r="D3338" s="62" t="s"/>
      <c r="E3338" s="62" t="s"/>
      <c r="F3338" s="66" t="s"/>
      <c r="G3338" s="66" t="s"/>
      <c r="H3338" s="66" t="s"/>
      <c r="I3338" s="62" t="s"/>
      <c r="J3338" s="62" t="s"/>
      <c r="K3338" s="99" t="s"/>
      <c r="L3338" s="66" t="s"/>
      <c r="M3338" s="66" t="s"/>
      <c r="N3338" s="572" t="s"/>
      <c r="O3338" s="62" t="s"/>
      <c r="P3338" s="62" t="s"/>
      <c r="Q3338" s="62" t="s"/>
      <c r="R3338" s="62" t="s"/>
    </row>
    <row r="3339" spans="1:18" ht="15.75" customHeight="true">
      <c r="A3339" s="107" t="s"/>
      <c r="B3339" s="62" t="s"/>
      <c r="C3339" s="62" t="s"/>
      <c r="D3339" s="62" t="s"/>
      <c r="E3339" s="62" t="s"/>
      <c r="F3339" s="66" t="s"/>
      <c r="G3339" s="66" t="s"/>
      <c r="H3339" s="66" t="s"/>
      <c r="I3339" s="62" t="s"/>
      <c r="J3339" s="62" t="s"/>
      <c r="K3339" s="99" t="s"/>
      <c r="L3339" s="66" t="s"/>
      <c r="M3339" s="66" t="s"/>
      <c r="N3339" s="572" t="s"/>
      <c r="O3339" s="62" t="s"/>
      <c r="P3339" s="62" t="s"/>
      <c r="Q3339" s="62" t="s"/>
      <c r="R3339" s="62" t="s"/>
    </row>
    <row r="3340" spans="1:18" ht="15.75" customHeight="true">
      <c r="A3340" s="107" t="s"/>
      <c r="B3340" s="62" t="s"/>
      <c r="C3340" s="62" t="s"/>
      <c r="D3340" s="62" t="s"/>
      <c r="E3340" s="62" t="s"/>
      <c r="F3340" s="66" t="s"/>
      <c r="G3340" s="66" t="s"/>
      <c r="H3340" s="66" t="s"/>
      <c r="I3340" s="62" t="s"/>
      <c r="J3340" s="62" t="s"/>
      <c r="K3340" s="99" t="s"/>
      <c r="L3340" s="66" t="s"/>
      <c r="M3340" s="66" t="s"/>
      <c r="N3340" s="572" t="s"/>
      <c r="O3340" s="62" t="s"/>
      <c r="P3340" s="62" t="s"/>
      <c r="Q3340" s="62" t="s"/>
      <c r="R3340" s="62" t="s"/>
    </row>
    <row r="3341" spans="1:18" ht="15.75" customHeight="true">
      <c r="A3341" s="107" t="s"/>
      <c r="B3341" s="62" t="s"/>
      <c r="C3341" s="62" t="s"/>
      <c r="D3341" s="62" t="s"/>
      <c r="E3341" s="62" t="s"/>
      <c r="F3341" s="66" t="s"/>
      <c r="G3341" s="66" t="s"/>
      <c r="H3341" s="66" t="s"/>
      <c r="I3341" s="62" t="s"/>
      <c r="J3341" s="62" t="s"/>
      <c r="K3341" s="99" t="s"/>
      <c r="L3341" s="66" t="s"/>
      <c r="M3341" s="66" t="s"/>
      <c r="N3341" s="572" t="s"/>
      <c r="O3341" s="62" t="s"/>
      <c r="P3341" s="62" t="s"/>
      <c r="Q3341" s="62" t="s"/>
      <c r="R3341" s="62" t="s"/>
    </row>
    <row r="3342" spans="1:18" ht="15.75" customHeight="true">
      <c r="A3342" s="107" t="s"/>
      <c r="B3342" s="62" t="s"/>
      <c r="C3342" s="62" t="s"/>
      <c r="D3342" s="62" t="s"/>
      <c r="E3342" s="62" t="s"/>
      <c r="F3342" s="66" t="s"/>
      <c r="G3342" s="66" t="s"/>
      <c r="H3342" s="66" t="s"/>
      <c r="I3342" s="62" t="s"/>
      <c r="J3342" s="62" t="s"/>
      <c r="K3342" s="99" t="s"/>
      <c r="L3342" s="66" t="s"/>
      <c r="M3342" s="66" t="s"/>
      <c r="N3342" s="572" t="s"/>
      <c r="O3342" s="62" t="s"/>
      <c r="P3342" s="62" t="s"/>
      <c r="Q3342" s="62" t="s"/>
      <c r="R3342" s="62" t="s"/>
    </row>
    <row r="3343" spans="1:18" ht="15.75" customHeight="true">
      <c r="A3343" s="107" t="s"/>
      <c r="B3343" s="62" t="s"/>
      <c r="C3343" s="62" t="s"/>
      <c r="D3343" s="62" t="s"/>
      <c r="E3343" s="62" t="s"/>
      <c r="F3343" s="66" t="s"/>
      <c r="G3343" s="66" t="s"/>
      <c r="H3343" s="66" t="s"/>
      <c r="I3343" s="62" t="s"/>
      <c r="J3343" s="62" t="s"/>
      <c r="K3343" s="99" t="s"/>
      <c r="L3343" s="66" t="s"/>
      <c r="M3343" s="66" t="s"/>
      <c r="N3343" s="572" t="s"/>
      <c r="O3343" s="62" t="s"/>
      <c r="P3343" s="62" t="s"/>
      <c r="Q3343" s="62" t="s"/>
      <c r="R3343" s="62" t="s"/>
    </row>
    <row r="3344" spans="1:18" ht="15.75" customHeight="true">
      <c r="A3344" s="107" t="s"/>
      <c r="B3344" s="62" t="s"/>
      <c r="C3344" s="62" t="s"/>
      <c r="D3344" s="62" t="s"/>
      <c r="E3344" s="62" t="s"/>
      <c r="F3344" s="66" t="s"/>
      <c r="G3344" s="66" t="s"/>
      <c r="H3344" s="66" t="s"/>
      <c r="I3344" s="62" t="s"/>
      <c r="J3344" s="62" t="s"/>
      <c r="K3344" s="99" t="s"/>
      <c r="L3344" s="66" t="s"/>
      <c r="M3344" s="66" t="s"/>
      <c r="N3344" s="572" t="s"/>
      <c r="O3344" s="62" t="s"/>
      <c r="P3344" s="62" t="s"/>
      <c r="Q3344" s="62" t="s"/>
      <c r="R3344" s="62" t="s"/>
    </row>
    <row r="3345" spans="1:18" ht="15.75" customHeight="true">
      <c r="A3345" s="107" t="s"/>
      <c r="B3345" s="62" t="s"/>
      <c r="C3345" s="62" t="s"/>
      <c r="D3345" s="62" t="s"/>
      <c r="E3345" s="62" t="s"/>
      <c r="F3345" s="66" t="s"/>
      <c r="G3345" s="66" t="s"/>
      <c r="H3345" s="66" t="s"/>
      <c r="I3345" s="62" t="s"/>
      <c r="J3345" s="62" t="s"/>
      <c r="K3345" s="99" t="s"/>
      <c r="L3345" s="66" t="s"/>
      <c r="M3345" s="66" t="s"/>
      <c r="N3345" s="572" t="s"/>
      <c r="O3345" s="62" t="s"/>
      <c r="P3345" s="62" t="s"/>
      <c r="Q3345" s="62" t="s"/>
      <c r="R3345" s="62" t="s"/>
    </row>
    <row r="3346" spans="1:18" ht="15.75" customHeight="true">
      <c r="A3346" s="107" t="s"/>
      <c r="B3346" s="62" t="s"/>
      <c r="C3346" s="62" t="s"/>
      <c r="D3346" s="62" t="s"/>
      <c r="E3346" s="62" t="s"/>
      <c r="F3346" s="66" t="s"/>
      <c r="G3346" s="66" t="s"/>
      <c r="H3346" s="66" t="s"/>
      <c r="I3346" s="62" t="s"/>
      <c r="J3346" s="62" t="s"/>
      <c r="K3346" s="99" t="s"/>
      <c r="L3346" s="66" t="s"/>
      <c r="M3346" s="66" t="s"/>
      <c r="N3346" s="572" t="s"/>
      <c r="O3346" s="62" t="s"/>
      <c r="P3346" s="62" t="s"/>
      <c r="Q3346" s="62" t="s"/>
      <c r="R3346" s="62" t="s"/>
    </row>
    <row r="3347" spans="1:18" ht="15.75" customHeight="true">
      <c r="A3347" s="107" t="s"/>
      <c r="B3347" s="62" t="s"/>
      <c r="C3347" s="62" t="s"/>
      <c r="D3347" s="62" t="s"/>
      <c r="E3347" s="62" t="s"/>
      <c r="F3347" s="66" t="s"/>
      <c r="G3347" s="66" t="s"/>
      <c r="H3347" s="66" t="s"/>
      <c r="I3347" s="62" t="s"/>
      <c r="J3347" s="62" t="s"/>
      <c r="K3347" s="99" t="s"/>
      <c r="L3347" s="66" t="s"/>
      <c r="M3347" s="66" t="s"/>
      <c r="N3347" s="572" t="s"/>
      <c r="O3347" s="62" t="s"/>
      <c r="P3347" s="62" t="s"/>
      <c r="Q3347" s="62" t="s"/>
      <c r="R3347" s="62" t="s"/>
    </row>
    <row r="3348" spans="1:18" ht="15.75" customHeight="true">
      <c r="A3348" s="107" t="s"/>
      <c r="B3348" s="62" t="s"/>
      <c r="C3348" s="62" t="s"/>
      <c r="D3348" s="62" t="s"/>
      <c r="E3348" s="62" t="s"/>
      <c r="F3348" s="66" t="s"/>
      <c r="G3348" s="66" t="s"/>
      <c r="H3348" s="66" t="s"/>
      <c r="I3348" s="62" t="s"/>
      <c r="J3348" s="62" t="s"/>
      <c r="K3348" s="99" t="s"/>
      <c r="L3348" s="66" t="s"/>
      <c r="M3348" s="66" t="s"/>
      <c r="N3348" s="572" t="s"/>
      <c r="O3348" s="62" t="s"/>
      <c r="P3348" s="62" t="s"/>
      <c r="Q3348" s="62" t="s"/>
      <c r="R3348" s="62" t="s"/>
    </row>
    <row r="3349" spans="1:18" ht="15.75" customHeight="true">
      <c r="A3349" s="107" t="s"/>
      <c r="B3349" s="62" t="s"/>
      <c r="C3349" s="62" t="s"/>
      <c r="D3349" s="62" t="s"/>
      <c r="E3349" s="62" t="s"/>
      <c r="F3349" s="66" t="s"/>
      <c r="G3349" s="66" t="s"/>
      <c r="H3349" s="66" t="s"/>
      <c r="I3349" s="62" t="s"/>
      <c r="J3349" s="62" t="s"/>
      <c r="K3349" s="99" t="s"/>
      <c r="L3349" s="66" t="s"/>
      <c r="M3349" s="66" t="s"/>
      <c r="N3349" s="572" t="s"/>
      <c r="O3349" s="62" t="s"/>
      <c r="P3349" s="62" t="s"/>
      <c r="Q3349" s="62" t="s"/>
      <c r="R3349" s="62" t="s"/>
    </row>
    <row r="3350" spans="1:18" ht="15.75" customHeight="true">
      <c r="A3350" s="107" t="s"/>
      <c r="B3350" s="62" t="s"/>
      <c r="C3350" s="62" t="s"/>
      <c r="D3350" s="62" t="s"/>
      <c r="E3350" s="62" t="s"/>
      <c r="F3350" s="66" t="s"/>
      <c r="G3350" s="66" t="s"/>
      <c r="H3350" s="66" t="s"/>
      <c r="I3350" s="62" t="s"/>
      <c r="J3350" s="62" t="s"/>
      <c r="K3350" s="99" t="s"/>
      <c r="L3350" s="66" t="s"/>
      <c r="M3350" s="66" t="s"/>
      <c r="N3350" s="572" t="s"/>
      <c r="O3350" s="62" t="s"/>
      <c r="P3350" s="62" t="s"/>
      <c r="Q3350" s="62" t="s"/>
      <c r="R3350" s="62" t="s"/>
    </row>
    <row r="3351" spans="1:18" ht="15.75" customHeight="true">
      <c r="A3351" s="107" t="s"/>
      <c r="B3351" s="62" t="s"/>
      <c r="C3351" s="62" t="s"/>
      <c r="D3351" s="62" t="s"/>
      <c r="E3351" s="62" t="s"/>
      <c r="F3351" s="66" t="s"/>
      <c r="G3351" s="66" t="s"/>
      <c r="H3351" s="66" t="s"/>
      <c r="I3351" s="62" t="s"/>
      <c r="J3351" s="62" t="s"/>
      <c r="K3351" s="99" t="s"/>
      <c r="L3351" s="66" t="s"/>
      <c r="M3351" s="66" t="s"/>
      <c r="N3351" s="572" t="s"/>
      <c r="O3351" s="62" t="s"/>
      <c r="P3351" s="62" t="s"/>
      <c r="Q3351" s="62" t="s"/>
      <c r="R3351" s="62" t="s"/>
    </row>
    <row r="3352" spans="1:18" ht="15.75" customHeight="true">
      <c r="A3352" s="107" t="s"/>
      <c r="B3352" s="62" t="s"/>
      <c r="C3352" s="62" t="s"/>
      <c r="D3352" s="62" t="s"/>
      <c r="E3352" s="62" t="s"/>
      <c r="F3352" s="66" t="s"/>
      <c r="G3352" s="66" t="s"/>
      <c r="H3352" s="66" t="s"/>
      <c r="I3352" s="62" t="s"/>
      <c r="J3352" s="62" t="s"/>
      <c r="K3352" s="99" t="s"/>
      <c r="L3352" s="66" t="s"/>
      <c r="M3352" s="66" t="s"/>
      <c r="N3352" s="572" t="s"/>
      <c r="O3352" s="62" t="s"/>
      <c r="P3352" s="62" t="s"/>
      <c r="Q3352" s="62" t="s"/>
      <c r="R3352" s="62" t="s"/>
    </row>
    <row r="3353" spans="1:18" ht="15.75" customHeight="true">
      <c r="A3353" s="107" t="s"/>
      <c r="B3353" s="62" t="s"/>
      <c r="C3353" s="62" t="s"/>
      <c r="D3353" s="62" t="s"/>
      <c r="E3353" s="62" t="s"/>
      <c r="F3353" s="66" t="s"/>
      <c r="G3353" s="66" t="s"/>
      <c r="H3353" s="66" t="s"/>
      <c r="I3353" s="62" t="s"/>
      <c r="J3353" s="62" t="s"/>
      <c r="K3353" s="99" t="s"/>
      <c r="L3353" s="66" t="s"/>
      <c r="M3353" s="66" t="s"/>
      <c r="N3353" s="572" t="s"/>
      <c r="O3353" s="62" t="s"/>
      <c r="P3353" s="62" t="s"/>
      <c r="Q3353" s="62" t="s"/>
      <c r="R3353" s="62" t="s"/>
    </row>
    <row r="3354" spans="1:18" ht="15.75" customHeight="true">
      <c r="A3354" s="107" t="s"/>
      <c r="B3354" s="62" t="s"/>
      <c r="C3354" s="62" t="s"/>
      <c r="D3354" s="62" t="s"/>
      <c r="E3354" s="62" t="s"/>
      <c r="F3354" s="66" t="s"/>
      <c r="G3354" s="66" t="s"/>
      <c r="H3354" s="66" t="s"/>
      <c r="I3354" s="62" t="s"/>
      <c r="J3354" s="62" t="s"/>
      <c r="K3354" s="99" t="s"/>
      <c r="L3354" s="66" t="s"/>
      <c r="M3354" s="66" t="s"/>
      <c r="N3354" s="572" t="s"/>
      <c r="O3354" s="62" t="s"/>
      <c r="P3354" s="62" t="s"/>
      <c r="Q3354" s="62" t="s"/>
      <c r="R3354" s="62" t="s"/>
    </row>
    <row r="3355" spans="1:18" ht="15.75" customHeight="true">
      <c r="A3355" s="107" t="s"/>
      <c r="B3355" s="62" t="s"/>
      <c r="C3355" s="62" t="s"/>
      <c r="D3355" s="62" t="s"/>
      <c r="E3355" s="62" t="s"/>
      <c r="F3355" s="66" t="s"/>
      <c r="G3355" s="66" t="s"/>
      <c r="H3355" s="66" t="s"/>
      <c r="I3355" s="62" t="s"/>
      <c r="J3355" s="62" t="s"/>
      <c r="K3355" s="99" t="s"/>
      <c r="L3355" s="66" t="s"/>
      <c r="M3355" s="66" t="s"/>
      <c r="N3355" s="572" t="s"/>
      <c r="O3355" s="62" t="s"/>
      <c r="P3355" s="62" t="s"/>
      <c r="Q3355" s="62" t="s"/>
      <c r="R3355" s="62" t="s"/>
    </row>
    <row r="3356" spans="1:18" ht="15.75" customHeight="true">
      <c r="A3356" s="107" t="s"/>
      <c r="B3356" s="62" t="s"/>
      <c r="C3356" s="62" t="s"/>
      <c r="D3356" s="62" t="s"/>
      <c r="E3356" s="62" t="s"/>
      <c r="F3356" s="66" t="s"/>
      <c r="G3356" s="66" t="s"/>
      <c r="H3356" s="66" t="s"/>
      <c r="I3356" s="62" t="s"/>
      <c r="J3356" s="62" t="s"/>
      <c r="K3356" s="99" t="s"/>
      <c r="L3356" s="66" t="s"/>
      <c r="M3356" s="66" t="s"/>
      <c r="N3356" s="572" t="s"/>
      <c r="O3356" s="62" t="s"/>
      <c r="P3356" s="62" t="s"/>
      <c r="Q3356" s="62" t="s"/>
      <c r="R3356" s="62" t="s"/>
    </row>
    <row r="3357" spans="1:18" ht="15.75" customHeight="true">
      <c r="A3357" s="107" t="s"/>
      <c r="B3357" s="62" t="s"/>
      <c r="C3357" s="62" t="s"/>
      <c r="D3357" s="62" t="s"/>
      <c r="E3357" s="62" t="s"/>
      <c r="F3357" s="66" t="s"/>
      <c r="G3357" s="66" t="s"/>
      <c r="H3357" s="66" t="s"/>
      <c r="I3357" s="62" t="s"/>
      <c r="J3357" s="62" t="s"/>
      <c r="K3357" s="99" t="s"/>
      <c r="L3357" s="66" t="s"/>
      <c r="M3357" s="66" t="s"/>
      <c r="N3357" s="572" t="s"/>
      <c r="O3357" s="62" t="s"/>
      <c r="P3357" s="62" t="s"/>
      <c r="Q3357" s="62" t="s"/>
      <c r="R3357" s="62" t="s"/>
    </row>
    <row r="3358" spans="1:18" ht="15.75" customHeight="true">
      <c r="A3358" s="107" t="s"/>
      <c r="B3358" s="62" t="s"/>
      <c r="C3358" s="62" t="s"/>
      <c r="D3358" s="62" t="s"/>
      <c r="E3358" s="62" t="s"/>
      <c r="F3358" s="66" t="s"/>
      <c r="G3358" s="66" t="s"/>
      <c r="H3358" s="66" t="s"/>
      <c r="I3358" s="62" t="s"/>
      <c r="J3358" s="62" t="s"/>
      <c r="K3358" s="99" t="s"/>
      <c r="L3358" s="66" t="s"/>
      <c r="M3358" s="66" t="s"/>
      <c r="N3358" s="572" t="s"/>
      <c r="O3358" s="62" t="s"/>
      <c r="P3358" s="62" t="s"/>
      <c r="Q3358" s="62" t="s"/>
      <c r="R3358" s="62" t="s"/>
    </row>
    <row r="3359" spans="1:18" ht="15.75" customHeight="true">
      <c r="A3359" s="107" t="s"/>
      <c r="B3359" s="62" t="s"/>
      <c r="C3359" s="62" t="s"/>
      <c r="D3359" s="62" t="s"/>
      <c r="E3359" s="62" t="s"/>
      <c r="F3359" s="66" t="s"/>
      <c r="G3359" s="66" t="s"/>
      <c r="H3359" s="66" t="s"/>
      <c r="I3359" s="62" t="s"/>
      <c r="J3359" s="62" t="s"/>
      <c r="K3359" s="99" t="s"/>
      <c r="L3359" s="66" t="s"/>
      <c r="M3359" s="66" t="s"/>
      <c r="N3359" s="572" t="s"/>
      <c r="O3359" s="62" t="s"/>
      <c r="P3359" s="62" t="s"/>
      <c r="Q3359" s="62" t="s"/>
      <c r="R3359" s="62" t="s"/>
    </row>
    <row r="3360" spans="1:18" ht="15.75" customHeight="true">
      <c r="A3360" s="107" t="s"/>
      <c r="B3360" s="62" t="s"/>
      <c r="C3360" s="62" t="s"/>
      <c r="D3360" s="62" t="s"/>
      <c r="E3360" s="62" t="s"/>
      <c r="F3360" s="66" t="s"/>
      <c r="G3360" s="66" t="s"/>
      <c r="H3360" s="66" t="s"/>
      <c r="I3360" s="62" t="s"/>
      <c r="J3360" s="62" t="s"/>
      <c r="K3360" s="99" t="s"/>
      <c r="L3360" s="66" t="s"/>
      <c r="M3360" s="66" t="s"/>
      <c r="N3360" s="572" t="s"/>
      <c r="O3360" s="62" t="s"/>
      <c r="P3360" s="62" t="s"/>
      <c r="Q3360" s="62" t="s"/>
      <c r="R3360" s="62" t="s"/>
    </row>
    <row r="3361" spans="1:18" ht="15.75" customHeight="true">
      <c r="A3361" s="107" t="s"/>
      <c r="B3361" s="62" t="s"/>
      <c r="C3361" s="62" t="s"/>
      <c r="D3361" s="62" t="s"/>
      <c r="E3361" s="62" t="s"/>
      <c r="F3361" s="66" t="s"/>
      <c r="G3361" s="66" t="s"/>
      <c r="H3361" s="66" t="s"/>
      <c r="I3361" s="62" t="s"/>
      <c r="J3361" s="62" t="s"/>
      <c r="K3361" s="99" t="s"/>
      <c r="L3361" s="66" t="s"/>
      <c r="M3361" s="66" t="s"/>
      <c r="N3361" s="572" t="s"/>
      <c r="O3361" s="62" t="s"/>
      <c r="P3361" s="62" t="s"/>
      <c r="Q3361" s="62" t="s"/>
      <c r="R3361" s="62" t="s"/>
    </row>
    <row r="3362" spans="1:18" ht="15.75" customHeight="true">
      <c r="A3362" s="107" t="s"/>
      <c r="B3362" s="62" t="s"/>
      <c r="C3362" s="62" t="s"/>
      <c r="D3362" s="62" t="s"/>
      <c r="E3362" s="62" t="s"/>
      <c r="F3362" s="66" t="s"/>
      <c r="G3362" s="66" t="s"/>
      <c r="H3362" s="66" t="s"/>
      <c r="I3362" s="62" t="s"/>
      <c r="J3362" s="62" t="s"/>
      <c r="K3362" s="99" t="s"/>
      <c r="L3362" s="66" t="s"/>
      <c r="M3362" s="66" t="s"/>
      <c r="N3362" s="572" t="s"/>
      <c r="O3362" s="62" t="s"/>
      <c r="P3362" s="62" t="s"/>
      <c r="Q3362" s="62" t="s"/>
      <c r="R3362" s="62" t="s"/>
    </row>
    <row r="3363" spans="1:18" ht="15.75" customHeight="true">
      <c r="A3363" s="107" t="s"/>
      <c r="B3363" s="62" t="s"/>
      <c r="C3363" s="62" t="s"/>
      <c r="D3363" s="62" t="s"/>
      <c r="E3363" s="62" t="s"/>
      <c r="F3363" s="66" t="s"/>
      <c r="G3363" s="66" t="s"/>
      <c r="H3363" s="66" t="s"/>
      <c r="I3363" s="62" t="s"/>
      <c r="J3363" s="62" t="s"/>
      <c r="K3363" s="99" t="s"/>
      <c r="L3363" s="66" t="s"/>
      <c r="M3363" s="66" t="s"/>
      <c r="N3363" s="572" t="s"/>
      <c r="O3363" s="62" t="s"/>
      <c r="P3363" s="62" t="s"/>
      <c r="Q3363" s="62" t="s"/>
      <c r="R3363" s="62" t="s"/>
    </row>
    <row r="3364" spans="1:18" ht="15.75" customHeight="true">
      <c r="A3364" s="107" t="s"/>
      <c r="B3364" s="62" t="s"/>
      <c r="C3364" s="62" t="s"/>
      <c r="D3364" s="62" t="s"/>
      <c r="E3364" s="62" t="s"/>
      <c r="F3364" s="66" t="s"/>
      <c r="G3364" s="66" t="s"/>
      <c r="H3364" s="66" t="s"/>
      <c r="I3364" s="62" t="s"/>
      <c r="J3364" s="62" t="s"/>
      <c r="K3364" s="99" t="s"/>
      <c r="L3364" s="66" t="s"/>
      <c r="M3364" s="66" t="s"/>
      <c r="N3364" s="572" t="s"/>
      <c r="O3364" s="62" t="s"/>
      <c r="P3364" s="62" t="s"/>
      <c r="Q3364" s="62" t="s"/>
      <c r="R3364" s="62" t="s"/>
    </row>
    <row r="3365" spans="1:18" ht="15.75" customHeight="true">
      <c r="A3365" s="107" t="s"/>
      <c r="B3365" s="62" t="s"/>
      <c r="C3365" s="62" t="s"/>
      <c r="D3365" s="62" t="s"/>
      <c r="E3365" s="62" t="s"/>
      <c r="F3365" s="66" t="s"/>
      <c r="G3365" s="66" t="s"/>
      <c r="H3365" s="66" t="s"/>
      <c r="I3365" s="62" t="s"/>
      <c r="J3365" s="62" t="s"/>
      <c r="K3365" s="99" t="s"/>
      <c r="L3365" s="66" t="s"/>
      <c r="M3365" s="66" t="s"/>
      <c r="N3365" s="572" t="s"/>
      <c r="O3365" s="62" t="s"/>
      <c r="P3365" s="62" t="s"/>
      <c r="Q3365" s="62" t="s"/>
      <c r="R3365" s="62" t="s"/>
    </row>
    <row r="3366" spans="1:18" ht="15.75" customHeight="true">
      <c r="A3366" s="107" t="s"/>
      <c r="B3366" s="62" t="s"/>
      <c r="C3366" s="62" t="s"/>
      <c r="D3366" s="62" t="s"/>
      <c r="E3366" s="62" t="s"/>
      <c r="F3366" s="66" t="s"/>
      <c r="G3366" s="66" t="s"/>
      <c r="H3366" s="66" t="s"/>
      <c r="I3366" s="62" t="s"/>
      <c r="J3366" s="62" t="s"/>
      <c r="K3366" s="99" t="s"/>
      <c r="L3366" s="66" t="s"/>
      <c r="M3366" s="66" t="s"/>
      <c r="N3366" s="572" t="s"/>
      <c r="O3366" s="62" t="s"/>
      <c r="P3366" s="62" t="s"/>
      <c r="Q3366" s="62" t="s"/>
      <c r="R3366" s="62" t="s"/>
    </row>
    <row r="3367" spans="1:18" ht="15.75" customHeight="true">
      <c r="A3367" s="107" t="s"/>
      <c r="B3367" s="62" t="s"/>
      <c r="C3367" s="62" t="s"/>
      <c r="D3367" s="62" t="s"/>
      <c r="E3367" s="62" t="s"/>
      <c r="F3367" s="66" t="s"/>
      <c r="G3367" s="66" t="s"/>
      <c r="H3367" s="66" t="s"/>
      <c r="I3367" s="62" t="s"/>
      <c r="J3367" s="62" t="s"/>
      <c r="K3367" s="99" t="s"/>
      <c r="L3367" s="66" t="s"/>
      <c r="M3367" s="66" t="s"/>
      <c r="N3367" s="572" t="s"/>
      <c r="O3367" s="62" t="s"/>
      <c r="P3367" s="62" t="s"/>
      <c r="Q3367" s="62" t="s"/>
      <c r="R3367" s="62" t="s"/>
    </row>
    <row r="3368" spans="1:18" ht="15.75" customHeight="true">
      <c r="A3368" s="107" t="s"/>
      <c r="B3368" s="62" t="s"/>
      <c r="C3368" s="62" t="s"/>
      <c r="D3368" s="62" t="s"/>
      <c r="E3368" s="62" t="s"/>
      <c r="F3368" s="66" t="s"/>
      <c r="G3368" s="66" t="s"/>
      <c r="H3368" s="66" t="s"/>
      <c r="I3368" s="62" t="s"/>
      <c r="J3368" s="62" t="s"/>
      <c r="K3368" s="99" t="s"/>
      <c r="L3368" s="66" t="s"/>
      <c r="M3368" s="66" t="s"/>
      <c r="N3368" s="572" t="s"/>
      <c r="O3368" s="62" t="s"/>
      <c r="P3368" s="62" t="s"/>
      <c r="Q3368" s="62" t="s"/>
      <c r="R3368" s="62" t="s"/>
    </row>
    <row r="3369" spans="1:18" ht="15.75" customHeight="true">
      <c r="A3369" s="107" t="s"/>
      <c r="B3369" s="62" t="s"/>
      <c r="C3369" s="62" t="s"/>
      <c r="D3369" s="62" t="s"/>
      <c r="E3369" s="62" t="s"/>
      <c r="F3369" s="66" t="s"/>
      <c r="G3369" s="66" t="s"/>
      <c r="H3369" s="66" t="s"/>
      <c r="I3369" s="62" t="s"/>
      <c r="J3369" s="62" t="s"/>
      <c r="K3369" s="99" t="s"/>
      <c r="L3369" s="66" t="s"/>
      <c r="M3369" s="66" t="s"/>
      <c r="N3369" s="572" t="s"/>
      <c r="O3369" s="62" t="s"/>
      <c r="P3369" s="62" t="s"/>
      <c r="Q3369" s="62" t="s"/>
      <c r="R3369" s="62" t="s"/>
    </row>
    <row r="3370" spans="1:18" ht="15.75" customHeight="true">
      <c r="A3370" s="107" t="s"/>
      <c r="B3370" s="62" t="s"/>
      <c r="C3370" s="62" t="s"/>
      <c r="D3370" s="62" t="s"/>
      <c r="E3370" s="62" t="s"/>
      <c r="F3370" s="66" t="s"/>
      <c r="G3370" s="66" t="s"/>
      <c r="H3370" s="66" t="s"/>
      <c r="I3370" s="62" t="s"/>
      <c r="J3370" s="62" t="s"/>
      <c r="K3370" s="99" t="s"/>
      <c r="L3370" s="66" t="s"/>
      <c r="M3370" s="66" t="s"/>
      <c r="N3370" s="572" t="s"/>
      <c r="O3370" s="62" t="s"/>
      <c r="P3370" s="62" t="s"/>
      <c r="Q3370" s="62" t="s"/>
      <c r="R3370" s="62" t="s"/>
    </row>
    <row r="3371" spans="1:18" ht="15.75" customHeight="true">
      <c r="A3371" s="107" t="s"/>
      <c r="B3371" s="62" t="s"/>
      <c r="C3371" s="62" t="s"/>
      <c r="D3371" s="62" t="s"/>
      <c r="E3371" s="62" t="s"/>
      <c r="F3371" s="66" t="s"/>
      <c r="G3371" s="66" t="s"/>
      <c r="H3371" s="66" t="s"/>
      <c r="I3371" s="62" t="s"/>
      <c r="J3371" s="62" t="s"/>
      <c r="K3371" s="99" t="s"/>
      <c r="L3371" s="66" t="s"/>
      <c r="M3371" s="66" t="s"/>
      <c r="N3371" s="572" t="s"/>
      <c r="O3371" s="62" t="s"/>
      <c r="P3371" s="62" t="s"/>
      <c r="Q3371" s="62" t="s"/>
      <c r="R3371" s="62" t="s"/>
    </row>
    <row r="3372" spans="1:18" ht="15.75" customHeight="true">
      <c r="A3372" s="107" t="s"/>
      <c r="B3372" s="62" t="s"/>
      <c r="C3372" s="62" t="s"/>
      <c r="D3372" s="62" t="s"/>
      <c r="E3372" s="62" t="s"/>
      <c r="F3372" s="66" t="s"/>
      <c r="G3372" s="66" t="s"/>
      <c r="H3372" s="66" t="s"/>
      <c r="I3372" s="62" t="s"/>
      <c r="J3372" s="62" t="s"/>
      <c r="K3372" s="99" t="s"/>
      <c r="L3372" s="66" t="s"/>
      <c r="M3372" s="66" t="s"/>
      <c r="N3372" s="572" t="s"/>
      <c r="O3372" s="62" t="s"/>
      <c r="P3372" s="62" t="s"/>
      <c r="Q3372" s="62" t="s"/>
      <c r="R3372" s="62" t="s"/>
    </row>
    <row r="3373" spans="1:18" ht="15.75" customHeight="true">
      <c r="A3373" s="107" t="s"/>
      <c r="B3373" s="62" t="s"/>
      <c r="C3373" s="62" t="s"/>
      <c r="D3373" s="62" t="s"/>
      <c r="E3373" s="62" t="s"/>
      <c r="F3373" s="66" t="s"/>
      <c r="G3373" s="66" t="s"/>
      <c r="H3373" s="66" t="s"/>
      <c r="I3373" s="62" t="s"/>
      <c r="J3373" s="62" t="s"/>
      <c r="K3373" s="99" t="s"/>
      <c r="L3373" s="66" t="s"/>
      <c r="M3373" s="66" t="s"/>
      <c r="N3373" s="572" t="s"/>
      <c r="O3373" s="62" t="s"/>
      <c r="P3373" s="62" t="s"/>
      <c r="Q3373" s="62" t="s"/>
      <c r="R3373" s="62" t="s"/>
    </row>
    <row r="3374" spans="1:18" ht="15.75" customHeight="true">
      <c r="A3374" s="107" t="s"/>
      <c r="B3374" s="62" t="s"/>
      <c r="C3374" s="62" t="s"/>
      <c r="D3374" s="62" t="s"/>
      <c r="E3374" s="62" t="s"/>
      <c r="F3374" s="66" t="s"/>
      <c r="G3374" s="66" t="s"/>
      <c r="H3374" s="66" t="s"/>
      <c r="I3374" s="62" t="s"/>
      <c r="J3374" s="62" t="s"/>
      <c r="K3374" s="99" t="s"/>
      <c r="L3374" s="66" t="s"/>
      <c r="M3374" s="66" t="s"/>
      <c r="N3374" s="572" t="s"/>
      <c r="O3374" s="62" t="s"/>
      <c r="P3374" s="62" t="s"/>
      <c r="Q3374" s="62" t="s"/>
      <c r="R3374" s="62" t="s"/>
    </row>
    <row r="3375" spans="1:18" ht="15.75" customHeight="true">
      <c r="A3375" s="107" t="s"/>
      <c r="B3375" s="62" t="s"/>
      <c r="C3375" s="62" t="s"/>
      <c r="D3375" s="62" t="s"/>
      <c r="E3375" s="62" t="s"/>
      <c r="F3375" s="66" t="s"/>
      <c r="G3375" s="66" t="s"/>
      <c r="H3375" s="66" t="s"/>
      <c r="I3375" s="62" t="s"/>
      <c r="J3375" s="62" t="s"/>
      <c r="K3375" s="99" t="s"/>
      <c r="L3375" s="66" t="s"/>
      <c r="M3375" s="66" t="s"/>
      <c r="N3375" s="572" t="s"/>
      <c r="O3375" s="62" t="s"/>
      <c r="P3375" s="62" t="s"/>
      <c r="Q3375" s="62" t="s"/>
      <c r="R3375" s="62" t="s"/>
    </row>
    <row r="3376" spans="1:18" ht="15.75" customHeight="true">
      <c r="A3376" s="107" t="s"/>
      <c r="B3376" s="62" t="s"/>
      <c r="C3376" s="62" t="s"/>
      <c r="D3376" s="62" t="s"/>
      <c r="E3376" s="62" t="s"/>
      <c r="F3376" s="66" t="s"/>
      <c r="G3376" s="66" t="s"/>
      <c r="H3376" s="66" t="s"/>
      <c r="I3376" s="62" t="s"/>
      <c r="J3376" s="62" t="s"/>
      <c r="K3376" s="99" t="s"/>
      <c r="L3376" s="66" t="s"/>
      <c r="M3376" s="66" t="s"/>
      <c r="N3376" s="572" t="s"/>
      <c r="O3376" s="62" t="s"/>
      <c r="P3376" s="62" t="s"/>
      <c r="Q3376" s="62" t="s"/>
      <c r="R3376" s="62" t="s"/>
    </row>
    <row r="3377" spans="1:18" ht="15.75" customHeight="true">
      <c r="A3377" s="107" t="s"/>
      <c r="B3377" s="62" t="s"/>
      <c r="C3377" s="62" t="s"/>
      <c r="D3377" s="62" t="s"/>
      <c r="E3377" s="62" t="s"/>
      <c r="F3377" s="66" t="s"/>
      <c r="G3377" s="66" t="s"/>
      <c r="H3377" s="66" t="s"/>
      <c r="I3377" s="62" t="s"/>
      <c r="J3377" s="62" t="s"/>
      <c r="K3377" s="99" t="s"/>
      <c r="L3377" s="66" t="s"/>
      <c r="M3377" s="66" t="s"/>
      <c r="N3377" s="572" t="s"/>
      <c r="O3377" s="62" t="s"/>
      <c r="P3377" s="62" t="s"/>
      <c r="Q3377" s="62" t="s"/>
      <c r="R3377" s="62" t="s"/>
    </row>
    <row r="3378" spans="1:18" ht="15.75" customHeight="true">
      <c r="A3378" s="107" t="s"/>
      <c r="B3378" s="62" t="s"/>
      <c r="C3378" s="62" t="s"/>
      <c r="D3378" s="62" t="s"/>
      <c r="E3378" s="62" t="s"/>
      <c r="F3378" s="66" t="s"/>
      <c r="G3378" s="66" t="s"/>
      <c r="H3378" s="66" t="s"/>
      <c r="I3378" s="62" t="s"/>
      <c r="J3378" s="62" t="s"/>
      <c r="K3378" s="99" t="s"/>
      <c r="L3378" s="66" t="s"/>
      <c r="M3378" s="66" t="s"/>
      <c r="N3378" s="572" t="s"/>
      <c r="O3378" s="62" t="s"/>
      <c r="P3378" s="62" t="s"/>
      <c r="Q3378" s="62" t="s"/>
      <c r="R3378" s="62" t="s"/>
    </row>
    <row r="3379" spans="1:18" ht="15.75" customHeight="true">
      <c r="A3379" s="107" t="s"/>
      <c r="B3379" s="62" t="s"/>
      <c r="C3379" s="62" t="s"/>
      <c r="D3379" s="62" t="s"/>
      <c r="E3379" s="62" t="s"/>
      <c r="F3379" s="66" t="s"/>
      <c r="G3379" s="66" t="s"/>
      <c r="H3379" s="66" t="s"/>
      <c r="I3379" s="62" t="s"/>
      <c r="J3379" s="62" t="s"/>
      <c r="K3379" s="99" t="s"/>
      <c r="L3379" s="66" t="s"/>
      <c r="M3379" s="66" t="s"/>
      <c r="N3379" s="572" t="s"/>
      <c r="O3379" s="62" t="s"/>
      <c r="P3379" s="62" t="s"/>
      <c r="Q3379" s="62" t="s"/>
      <c r="R3379" s="62" t="s"/>
    </row>
    <row r="3380" spans="1:18" ht="15.75" customHeight="true">
      <c r="A3380" s="107" t="s"/>
      <c r="B3380" s="62" t="s"/>
      <c r="C3380" s="62" t="s"/>
      <c r="D3380" s="62" t="s"/>
      <c r="E3380" s="62" t="s"/>
      <c r="F3380" s="66" t="s"/>
      <c r="G3380" s="66" t="s"/>
      <c r="H3380" s="66" t="s"/>
      <c r="I3380" s="62" t="s"/>
      <c r="J3380" s="62" t="s"/>
      <c r="K3380" s="99" t="s"/>
      <c r="L3380" s="66" t="s"/>
      <c r="M3380" s="66" t="s"/>
      <c r="N3380" s="572" t="s"/>
      <c r="O3380" s="62" t="s"/>
      <c r="P3380" s="62" t="s"/>
      <c r="Q3380" s="62" t="s"/>
      <c r="R3380" s="62" t="s"/>
    </row>
    <row r="3381" spans="1:18" ht="15.75" customHeight="true">
      <c r="A3381" s="107" t="s"/>
      <c r="B3381" s="62" t="s"/>
      <c r="C3381" s="62" t="s"/>
      <c r="D3381" s="62" t="s"/>
      <c r="E3381" s="62" t="s"/>
      <c r="F3381" s="66" t="s"/>
      <c r="G3381" s="66" t="s"/>
      <c r="H3381" s="66" t="s"/>
      <c r="I3381" s="62" t="s"/>
      <c r="J3381" s="62" t="s"/>
      <c r="K3381" s="99" t="s"/>
      <c r="L3381" s="66" t="s"/>
      <c r="M3381" s="66" t="s"/>
      <c r="N3381" s="572" t="s"/>
      <c r="O3381" s="62" t="s"/>
      <c r="P3381" s="62" t="s"/>
      <c r="Q3381" s="62" t="s"/>
      <c r="R3381" s="62" t="s"/>
    </row>
    <row r="3382" spans="1:18" ht="15.75" customHeight="true">
      <c r="A3382" s="107" t="s"/>
      <c r="B3382" s="62" t="s"/>
      <c r="C3382" s="62" t="s"/>
      <c r="D3382" s="62" t="s"/>
      <c r="E3382" s="62" t="s"/>
      <c r="F3382" s="66" t="s"/>
      <c r="G3382" s="66" t="s"/>
      <c r="H3382" s="66" t="s"/>
      <c r="I3382" s="62" t="s"/>
      <c r="J3382" s="62" t="s"/>
      <c r="K3382" s="99" t="s"/>
      <c r="L3382" s="66" t="s"/>
      <c r="M3382" s="66" t="s"/>
      <c r="N3382" s="572" t="s"/>
      <c r="O3382" s="62" t="s"/>
      <c r="P3382" s="62" t="s"/>
      <c r="Q3382" s="62" t="s"/>
      <c r="R3382" s="62" t="s"/>
    </row>
    <row r="3383" spans="1:18" ht="15.75" customHeight="true">
      <c r="A3383" s="107" t="s"/>
      <c r="B3383" s="62" t="s"/>
      <c r="C3383" s="62" t="s"/>
      <c r="D3383" s="62" t="s"/>
      <c r="E3383" s="62" t="s"/>
      <c r="F3383" s="66" t="s"/>
      <c r="G3383" s="66" t="s"/>
      <c r="H3383" s="66" t="s"/>
      <c r="I3383" s="62" t="s"/>
      <c r="J3383" s="62" t="s"/>
      <c r="K3383" s="99" t="s"/>
      <c r="L3383" s="66" t="s"/>
      <c r="M3383" s="66" t="s"/>
      <c r="N3383" s="572" t="s"/>
      <c r="O3383" s="62" t="s"/>
      <c r="P3383" s="62" t="s"/>
      <c r="Q3383" s="62" t="s"/>
      <c r="R3383" s="62" t="s"/>
    </row>
    <row r="3384" spans="1:18" ht="15.75" customHeight="true">
      <c r="A3384" s="107" t="s"/>
      <c r="B3384" s="62" t="s"/>
      <c r="C3384" s="62" t="s"/>
      <c r="D3384" s="62" t="s"/>
      <c r="E3384" s="62" t="s"/>
      <c r="F3384" s="66" t="s"/>
      <c r="G3384" s="66" t="s"/>
      <c r="H3384" s="66" t="s"/>
      <c r="I3384" s="62" t="s"/>
      <c r="J3384" s="62" t="s"/>
      <c r="K3384" s="99" t="s"/>
      <c r="L3384" s="66" t="s"/>
      <c r="M3384" s="66" t="s"/>
      <c r="N3384" s="572" t="s"/>
      <c r="O3384" s="62" t="s"/>
      <c r="P3384" s="62" t="s"/>
      <c r="Q3384" s="62" t="s"/>
      <c r="R3384" s="62" t="s"/>
    </row>
    <row r="3385" spans="1:18" ht="15.75" customHeight="true">
      <c r="A3385" s="107" t="s"/>
      <c r="B3385" s="62" t="s"/>
      <c r="C3385" s="62" t="s"/>
      <c r="D3385" s="62" t="s"/>
      <c r="E3385" s="62" t="s"/>
      <c r="F3385" s="66" t="s"/>
      <c r="G3385" s="66" t="s"/>
      <c r="H3385" s="66" t="s"/>
      <c r="I3385" s="62" t="s"/>
      <c r="J3385" s="62" t="s"/>
      <c r="K3385" s="99" t="s"/>
      <c r="L3385" s="66" t="s"/>
      <c r="M3385" s="66" t="s"/>
      <c r="N3385" s="572" t="s"/>
      <c r="O3385" s="62" t="s"/>
      <c r="P3385" s="62" t="s"/>
      <c r="Q3385" s="62" t="s"/>
      <c r="R3385" s="62" t="s"/>
    </row>
    <row r="3386" spans="1:18" ht="15.75" customHeight="true">
      <c r="A3386" s="107" t="s"/>
      <c r="B3386" s="62" t="s"/>
      <c r="C3386" s="62" t="s"/>
      <c r="D3386" s="62" t="s"/>
      <c r="E3386" s="62" t="s"/>
      <c r="F3386" s="66" t="s"/>
      <c r="G3386" s="66" t="s"/>
      <c r="H3386" s="66" t="s"/>
      <c r="I3386" s="62" t="s"/>
      <c r="J3386" s="62" t="s"/>
      <c r="K3386" s="99" t="s"/>
      <c r="L3386" s="66" t="s"/>
      <c r="M3386" s="66" t="s"/>
      <c r="N3386" s="572" t="s"/>
      <c r="O3386" s="62" t="s"/>
      <c r="P3386" s="62" t="s"/>
      <c r="Q3386" s="62" t="s"/>
      <c r="R3386" s="62" t="s"/>
    </row>
    <row r="3387" spans="1:18" ht="15.75" customHeight="true">
      <c r="A3387" s="107" t="s"/>
      <c r="B3387" s="62" t="s"/>
      <c r="C3387" s="62" t="s"/>
      <c r="D3387" s="62" t="s"/>
      <c r="E3387" s="62" t="s"/>
      <c r="F3387" s="66" t="s"/>
      <c r="G3387" s="66" t="s"/>
      <c r="H3387" s="66" t="s"/>
      <c r="I3387" s="62" t="s"/>
      <c r="J3387" s="62" t="s"/>
      <c r="K3387" s="99" t="s"/>
      <c r="L3387" s="66" t="s"/>
      <c r="M3387" s="66" t="s"/>
      <c r="N3387" s="572" t="s"/>
      <c r="O3387" s="62" t="s"/>
      <c r="P3387" s="62" t="s"/>
      <c r="Q3387" s="62" t="s"/>
      <c r="R3387" s="62" t="s"/>
    </row>
    <row r="3388" spans="1:18" ht="15.75" customHeight="true">
      <c r="A3388" s="107" t="s"/>
      <c r="B3388" s="62" t="s"/>
      <c r="C3388" s="62" t="s"/>
      <c r="D3388" s="62" t="s"/>
      <c r="E3388" s="62" t="s"/>
      <c r="F3388" s="66" t="s"/>
      <c r="G3388" s="66" t="s"/>
      <c r="H3388" s="66" t="s"/>
      <c r="I3388" s="62" t="s"/>
      <c r="J3388" s="62" t="s"/>
      <c r="K3388" s="99" t="s"/>
      <c r="L3388" s="66" t="s"/>
      <c r="M3388" s="66" t="s"/>
      <c r="N3388" s="572" t="s"/>
      <c r="O3388" s="62" t="s"/>
      <c r="P3388" s="62" t="s"/>
      <c r="Q3388" s="62" t="s"/>
      <c r="R3388" s="62" t="s"/>
    </row>
    <row r="3389" spans="1:18" ht="15.75" customHeight="true">
      <c r="A3389" s="107" t="s"/>
      <c r="B3389" s="62" t="s"/>
      <c r="C3389" s="62" t="s"/>
      <c r="D3389" s="62" t="s"/>
      <c r="E3389" s="62" t="s"/>
      <c r="F3389" s="66" t="s"/>
      <c r="G3389" s="66" t="s"/>
      <c r="H3389" s="66" t="s"/>
      <c r="I3389" s="62" t="s"/>
      <c r="J3389" s="62" t="s"/>
      <c r="K3389" s="99" t="s"/>
      <c r="L3389" s="66" t="s"/>
      <c r="M3389" s="66" t="s"/>
      <c r="N3389" s="572" t="s"/>
      <c r="O3389" s="62" t="s"/>
      <c r="P3389" s="62" t="s"/>
      <c r="Q3389" s="62" t="s"/>
      <c r="R3389" s="62" t="s"/>
    </row>
    <row r="3390" spans="1:18" ht="15.75" customHeight="true">
      <c r="A3390" s="107" t="s"/>
      <c r="B3390" s="62" t="s"/>
      <c r="C3390" s="62" t="s"/>
      <c r="D3390" s="62" t="s"/>
      <c r="E3390" s="62" t="s"/>
      <c r="F3390" s="66" t="s"/>
      <c r="G3390" s="66" t="s"/>
      <c r="H3390" s="66" t="s"/>
      <c r="I3390" s="62" t="s"/>
      <c r="J3390" s="62" t="s"/>
      <c r="K3390" s="99" t="s"/>
      <c r="L3390" s="66" t="s"/>
      <c r="M3390" s="66" t="s"/>
      <c r="N3390" s="572" t="s"/>
      <c r="O3390" s="62" t="s"/>
      <c r="P3390" s="62" t="s"/>
      <c r="Q3390" s="62" t="s"/>
      <c r="R3390" s="62" t="s"/>
    </row>
    <row r="3391" spans="1:18" ht="15.75" customHeight="true">
      <c r="A3391" s="107" t="s"/>
      <c r="B3391" s="62" t="s"/>
      <c r="C3391" s="62" t="s"/>
      <c r="D3391" s="62" t="s"/>
      <c r="E3391" s="62" t="s"/>
      <c r="F3391" s="66" t="s"/>
      <c r="G3391" s="66" t="s"/>
      <c r="H3391" s="66" t="s"/>
      <c r="I3391" s="62" t="s"/>
      <c r="J3391" s="62" t="s"/>
      <c r="K3391" s="99" t="s"/>
      <c r="L3391" s="66" t="s"/>
      <c r="M3391" s="66" t="s"/>
      <c r="N3391" s="572" t="s"/>
      <c r="O3391" s="62" t="s"/>
      <c r="P3391" s="62" t="s"/>
      <c r="Q3391" s="62" t="s"/>
      <c r="R3391" s="62" t="s"/>
    </row>
    <row r="3392" spans="1:18" ht="15.75" customHeight="true">
      <c r="A3392" s="107" t="s"/>
      <c r="B3392" s="62" t="s"/>
      <c r="C3392" s="62" t="s"/>
      <c r="D3392" s="62" t="s"/>
      <c r="E3392" s="62" t="s"/>
      <c r="F3392" s="66" t="s"/>
      <c r="G3392" s="66" t="s"/>
      <c r="H3392" s="66" t="s"/>
      <c r="I3392" s="62" t="s"/>
      <c r="J3392" s="62" t="s"/>
      <c r="K3392" s="99" t="s"/>
      <c r="L3392" s="66" t="s"/>
      <c r="M3392" s="66" t="s"/>
      <c r="N3392" s="572" t="s"/>
      <c r="O3392" s="62" t="s"/>
      <c r="P3392" s="62" t="s"/>
      <c r="Q3392" s="62" t="s"/>
      <c r="R3392" s="62" t="s"/>
    </row>
    <row r="3393" spans="1:18" ht="15.75" customHeight="true">
      <c r="A3393" s="107" t="s"/>
      <c r="B3393" s="62" t="s"/>
      <c r="C3393" s="62" t="s"/>
      <c r="D3393" s="62" t="s"/>
      <c r="E3393" s="62" t="s"/>
      <c r="F3393" s="66" t="s"/>
      <c r="G3393" s="66" t="s"/>
      <c r="H3393" s="66" t="s"/>
      <c r="I3393" s="62" t="s"/>
      <c r="J3393" s="62" t="s"/>
      <c r="K3393" s="99" t="s"/>
      <c r="L3393" s="66" t="s"/>
      <c r="M3393" s="66" t="s"/>
      <c r="N3393" s="572" t="s"/>
      <c r="O3393" s="62" t="s"/>
      <c r="P3393" s="62" t="s"/>
      <c r="Q3393" s="62" t="s"/>
      <c r="R3393" s="62" t="s"/>
    </row>
    <row r="3394" spans="1:18" ht="15.75" customHeight="true">
      <c r="A3394" s="107" t="s"/>
      <c r="B3394" s="62" t="s"/>
      <c r="C3394" s="62" t="s"/>
      <c r="D3394" s="62" t="s"/>
      <c r="E3394" s="62" t="s"/>
      <c r="F3394" s="66" t="s"/>
      <c r="G3394" s="66" t="s"/>
      <c r="H3394" s="66" t="s"/>
      <c r="I3394" s="62" t="s"/>
      <c r="J3394" s="62" t="s"/>
      <c r="K3394" s="99" t="s"/>
      <c r="L3394" s="66" t="s"/>
      <c r="M3394" s="66" t="s"/>
      <c r="N3394" s="572" t="s"/>
      <c r="O3394" s="62" t="s"/>
      <c r="P3394" s="62" t="s"/>
      <c r="Q3394" s="62" t="s"/>
      <c r="R3394" s="62" t="s"/>
    </row>
    <row r="3395" spans="1:18" ht="15.75" customHeight="true">
      <c r="A3395" s="107" t="s"/>
      <c r="B3395" s="62" t="s"/>
      <c r="C3395" s="62" t="s"/>
      <c r="D3395" s="62" t="s"/>
      <c r="E3395" s="62" t="s"/>
      <c r="F3395" s="66" t="s"/>
      <c r="G3395" s="66" t="s"/>
      <c r="H3395" s="66" t="s"/>
      <c r="I3395" s="62" t="s"/>
      <c r="J3395" s="62" t="s"/>
      <c r="K3395" s="99" t="s"/>
      <c r="L3395" s="66" t="s"/>
      <c r="M3395" s="66" t="s"/>
      <c r="N3395" s="572" t="s"/>
      <c r="O3395" s="62" t="s"/>
      <c r="P3395" s="62" t="s"/>
      <c r="Q3395" s="62" t="s"/>
      <c r="R3395" s="62" t="s"/>
    </row>
    <row r="3396" spans="1:18" ht="15.75" customHeight="true">
      <c r="A3396" s="107" t="s"/>
      <c r="B3396" s="62" t="s"/>
      <c r="C3396" s="62" t="s"/>
      <c r="D3396" s="62" t="s"/>
      <c r="E3396" s="62" t="s"/>
      <c r="F3396" s="66" t="s"/>
      <c r="G3396" s="66" t="s"/>
      <c r="H3396" s="66" t="s"/>
      <c r="I3396" s="62" t="s"/>
      <c r="J3396" s="62" t="s"/>
      <c r="K3396" s="99" t="s"/>
      <c r="L3396" s="66" t="s"/>
      <c r="M3396" s="66" t="s"/>
      <c r="N3396" s="572" t="s"/>
      <c r="O3396" s="62" t="s"/>
      <c r="P3396" s="62" t="s"/>
      <c r="Q3396" s="62" t="s"/>
      <c r="R3396" s="62" t="s"/>
    </row>
    <row r="3397" spans="1:18" ht="15.75" customHeight="true">
      <c r="A3397" s="107" t="s"/>
      <c r="B3397" s="62" t="s"/>
      <c r="C3397" s="62" t="s"/>
      <c r="D3397" s="62" t="s"/>
      <c r="E3397" s="62" t="s"/>
      <c r="F3397" s="66" t="s"/>
      <c r="G3397" s="66" t="s"/>
      <c r="H3397" s="66" t="s"/>
      <c r="I3397" s="62" t="s"/>
      <c r="J3397" s="62" t="s"/>
      <c r="K3397" s="99" t="s"/>
      <c r="L3397" s="66" t="s"/>
      <c r="M3397" s="66" t="s"/>
      <c r="N3397" s="572" t="s"/>
      <c r="O3397" s="62" t="s"/>
      <c r="P3397" s="62" t="s"/>
      <c r="Q3397" s="62" t="s"/>
      <c r="R3397" s="62" t="s"/>
    </row>
    <row r="3398" spans="1:18" ht="15.75" customHeight="true">
      <c r="A3398" s="107" t="s"/>
      <c r="B3398" s="62" t="s"/>
      <c r="C3398" s="62" t="s"/>
      <c r="D3398" s="62" t="s"/>
      <c r="E3398" s="62" t="s"/>
      <c r="F3398" s="66" t="s"/>
      <c r="G3398" s="66" t="s"/>
      <c r="H3398" s="66" t="s"/>
      <c r="I3398" s="62" t="s"/>
      <c r="J3398" s="62" t="s"/>
      <c r="K3398" s="99" t="s"/>
      <c r="L3398" s="66" t="s"/>
      <c r="M3398" s="66" t="s"/>
      <c r="N3398" s="572" t="s"/>
      <c r="O3398" s="62" t="s"/>
      <c r="P3398" s="62" t="s"/>
      <c r="Q3398" s="62" t="s"/>
      <c r="R3398" s="62" t="s"/>
    </row>
    <row r="3399" spans="1:18" ht="15.75" customHeight="true">
      <c r="A3399" s="107" t="s"/>
      <c r="B3399" s="62" t="s"/>
      <c r="C3399" s="62" t="s"/>
      <c r="D3399" s="62" t="s"/>
      <c r="E3399" s="62" t="s"/>
      <c r="F3399" s="66" t="s"/>
      <c r="G3399" s="66" t="s"/>
      <c r="H3399" s="66" t="s"/>
      <c r="I3399" s="62" t="s"/>
      <c r="J3399" s="62" t="s"/>
      <c r="K3399" s="99" t="s"/>
      <c r="L3399" s="66" t="s"/>
      <c r="M3399" s="66" t="s"/>
      <c r="N3399" s="572" t="s"/>
      <c r="O3399" s="62" t="s"/>
      <c r="P3399" s="62" t="s"/>
      <c r="Q3399" s="62" t="s"/>
      <c r="R3399" s="62" t="s"/>
    </row>
    <row r="3400" spans="1:18" ht="15.75" customHeight="true">
      <c r="A3400" s="107" t="s"/>
      <c r="B3400" s="62" t="s"/>
      <c r="C3400" s="62" t="s"/>
      <c r="D3400" s="62" t="s"/>
      <c r="E3400" s="62" t="s"/>
      <c r="F3400" s="66" t="s"/>
      <c r="G3400" s="66" t="s"/>
      <c r="H3400" s="66" t="s"/>
      <c r="I3400" s="62" t="s"/>
      <c r="J3400" s="62" t="s"/>
      <c r="K3400" s="99" t="s"/>
      <c r="L3400" s="66" t="s"/>
      <c r="M3400" s="66" t="s"/>
      <c r="N3400" s="572" t="s"/>
      <c r="O3400" s="62" t="s"/>
      <c r="P3400" s="62" t="s"/>
      <c r="Q3400" s="62" t="s"/>
      <c r="R3400" s="62" t="s"/>
    </row>
    <row r="3401" spans="1:18" ht="15.75" customHeight="true">
      <c r="A3401" s="107" t="s"/>
      <c r="B3401" s="62" t="s"/>
      <c r="C3401" s="62" t="s"/>
      <c r="D3401" s="62" t="s"/>
      <c r="E3401" s="62" t="s"/>
      <c r="F3401" s="66" t="s"/>
      <c r="G3401" s="66" t="s"/>
      <c r="H3401" s="66" t="s"/>
      <c r="I3401" s="62" t="s"/>
      <c r="J3401" s="62" t="s"/>
      <c r="K3401" s="99" t="s"/>
      <c r="L3401" s="66" t="s"/>
      <c r="M3401" s="66" t="s"/>
      <c r="N3401" s="572" t="s"/>
      <c r="O3401" s="62" t="s"/>
      <c r="P3401" s="62" t="s"/>
      <c r="Q3401" s="62" t="s"/>
      <c r="R3401" s="62" t="s"/>
    </row>
    <row r="3402" spans="1:18" ht="15.75" customHeight="true">
      <c r="A3402" s="107" t="s"/>
      <c r="B3402" s="62" t="s"/>
      <c r="C3402" s="62" t="s"/>
      <c r="D3402" s="62" t="s"/>
      <c r="E3402" s="62" t="s"/>
      <c r="F3402" s="66" t="s"/>
      <c r="G3402" s="66" t="s"/>
      <c r="H3402" s="66" t="s"/>
      <c r="I3402" s="62" t="s"/>
      <c r="J3402" s="62" t="s"/>
      <c r="K3402" s="99" t="s"/>
      <c r="L3402" s="66" t="s"/>
      <c r="M3402" s="66" t="s"/>
      <c r="N3402" s="572" t="s"/>
      <c r="O3402" s="62" t="s"/>
      <c r="P3402" s="62" t="s"/>
      <c r="Q3402" s="62" t="s"/>
      <c r="R3402" s="62" t="s"/>
    </row>
    <row r="3403" spans="1:18" ht="15.75" customHeight="true">
      <c r="A3403" s="107" t="s"/>
      <c r="B3403" s="62" t="s"/>
      <c r="C3403" s="62" t="s"/>
      <c r="D3403" s="62" t="s"/>
      <c r="E3403" s="62" t="s"/>
      <c r="F3403" s="66" t="s"/>
      <c r="G3403" s="66" t="s"/>
      <c r="H3403" s="66" t="s"/>
      <c r="I3403" s="62" t="s"/>
      <c r="J3403" s="62" t="s"/>
      <c r="K3403" s="99" t="s"/>
      <c r="L3403" s="66" t="s"/>
      <c r="M3403" s="66" t="s"/>
      <c r="N3403" s="572" t="s"/>
      <c r="O3403" s="62" t="s"/>
      <c r="P3403" s="62" t="s"/>
      <c r="Q3403" s="62" t="s"/>
      <c r="R3403" s="62" t="s"/>
    </row>
    <row r="3404" spans="1:18" ht="15.75" customHeight="true">
      <c r="A3404" s="107" t="s"/>
      <c r="B3404" s="62" t="s"/>
      <c r="C3404" s="62" t="s"/>
      <c r="D3404" s="62" t="s"/>
      <c r="E3404" s="62" t="s"/>
      <c r="F3404" s="66" t="s"/>
      <c r="G3404" s="66" t="s"/>
      <c r="H3404" s="66" t="s"/>
      <c r="I3404" s="62" t="s"/>
      <c r="J3404" s="62" t="s"/>
      <c r="K3404" s="99" t="s"/>
      <c r="L3404" s="66" t="s"/>
      <c r="M3404" s="66" t="s"/>
      <c r="N3404" s="572" t="s"/>
      <c r="O3404" s="62" t="s"/>
      <c r="P3404" s="62" t="s"/>
      <c r="Q3404" s="62" t="s"/>
      <c r="R3404" s="62" t="s"/>
    </row>
    <row r="3405" spans="1:18" ht="15.75" customHeight="true">
      <c r="A3405" s="107" t="s"/>
      <c r="B3405" s="62" t="s"/>
      <c r="C3405" s="62" t="s"/>
      <c r="D3405" s="62" t="s"/>
      <c r="E3405" s="62" t="s"/>
      <c r="F3405" s="66" t="s"/>
      <c r="G3405" s="66" t="s"/>
      <c r="H3405" s="66" t="s"/>
      <c r="I3405" s="62" t="s"/>
      <c r="J3405" s="62" t="s"/>
      <c r="K3405" s="99" t="s"/>
      <c r="L3405" s="66" t="s"/>
      <c r="M3405" s="66" t="s"/>
      <c r="N3405" s="572" t="s"/>
      <c r="O3405" s="62" t="s"/>
      <c r="P3405" s="62" t="s"/>
      <c r="Q3405" s="62" t="s"/>
      <c r="R3405" s="62" t="s"/>
    </row>
    <row r="3406" spans="1:18" ht="15.75" customHeight="true">
      <c r="A3406" s="107" t="s"/>
      <c r="B3406" s="62" t="s"/>
      <c r="C3406" s="62" t="s"/>
      <c r="D3406" s="62" t="s"/>
      <c r="E3406" s="62" t="s"/>
      <c r="F3406" s="66" t="s"/>
      <c r="G3406" s="66" t="s"/>
      <c r="H3406" s="66" t="s"/>
      <c r="I3406" s="62" t="s"/>
      <c r="J3406" s="62" t="s"/>
      <c r="K3406" s="99" t="s"/>
      <c r="L3406" s="66" t="s"/>
      <c r="M3406" s="66" t="s"/>
      <c r="N3406" s="572" t="s"/>
      <c r="O3406" s="62" t="s"/>
      <c r="P3406" s="62" t="s"/>
      <c r="Q3406" s="62" t="s"/>
      <c r="R3406" s="62" t="s"/>
    </row>
    <row r="3407" spans="1:18" ht="15.75" customHeight="true">
      <c r="A3407" s="107" t="s"/>
      <c r="B3407" s="62" t="s"/>
      <c r="C3407" s="62" t="s"/>
      <c r="D3407" s="62" t="s"/>
      <c r="E3407" s="62" t="s"/>
      <c r="F3407" s="66" t="s"/>
      <c r="G3407" s="66" t="s"/>
      <c r="H3407" s="66" t="s"/>
      <c r="I3407" s="62" t="s"/>
      <c r="J3407" s="62" t="s"/>
      <c r="K3407" s="99" t="s"/>
      <c r="L3407" s="66" t="s"/>
      <c r="M3407" s="66" t="s"/>
      <c r="N3407" s="572" t="s"/>
      <c r="O3407" s="62" t="s"/>
      <c r="P3407" s="62" t="s"/>
      <c r="Q3407" s="62" t="s"/>
      <c r="R3407" s="62" t="s"/>
    </row>
    <row r="3408" spans="1:18" ht="15.75" customHeight="true">
      <c r="A3408" s="107" t="s"/>
      <c r="B3408" s="62" t="s"/>
      <c r="C3408" s="62" t="s"/>
      <c r="D3408" s="62" t="s"/>
      <c r="E3408" s="62" t="s"/>
      <c r="F3408" s="66" t="s"/>
      <c r="G3408" s="66" t="s"/>
      <c r="H3408" s="66" t="s"/>
      <c r="I3408" s="62" t="s"/>
      <c r="J3408" s="62" t="s"/>
      <c r="K3408" s="99" t="s"/>
      <c r="L3408" s="66" t="s"/>
      <c r="M3408" s="66" t="s"/>
      <c r="N3408" s="572" t="s"/>
      <c r="O3408" s="62" t="s"/>
      <c r="P3408" s="62" t="s"/>
      <c r="Q3408" s="62" t="s"/>
      <c r="R3408" s="62" t="s"/>
    </row>
    <row r="3409" spans="1:18" ht="15.75" customHeight="true">
      <c r="A3409" s="107" t="s"/>
      <c r="B3409" s="62" t="s"/>
      <c r="C3409" s="62" t="s"/>
      <c r="D3409" s="62" t="s"/>
      <c r="E3409" s="62" t="s"/>
      <c r="F3409" s="66" t="s"/>
      <c r="G3409" s="66" t="s"/>
      <c r="H3409" s="66" t="s"/>
      <c r="I3409" s="62" t="s"/>
      <c r="J3409" s="62" t="s"/>
      <c r="K3409" s="99" t="s"/>
      <c r="L3409" s="66" t="s"/>
      <c r="M3409" s="66" t="s"/>
      <c r="N3409" s="572" t="s"/>
      <c r="O3409" s="62" t="s"/>
      <c r="P3409" s="62" t="s"/>
      <c r="Q3409" s="62" t="s"/>
      <c r="R3409" s="62" t="s"/>
    </row>
    <row r="3410" spans="1:18" ht="15.75" customHeight="true">
      <c r="A3410" s="107" t="s"/>
      <c r="B3410" s="62" t="s"/>
      <c r="C3410" s="62" t="s"/>
      <c r="D3410" s="62" t="s"/>
      <c r="E3410" s="62" t="s"/>
      <c r="F3410" s="66" t="s"/>
      <c r="G3410" s="66" t="s"/>
      <c r="H3410" s="66" t="s"/>
      <c r="I3410" s="62" t="s"/>
      <c r="J3410" s="62" t="s"/>
      <c r="K3410" s="99" t="s"/>
      <c r="L3410" s="66" t="s"/>
      <c r="M3410" s="66" t="s"/>
      <c r="N3410" s="572" t="s"/>
      <c r="O3410" s="62" t="s"/>
      <c r="P3410" s="62" t="s"/>
      <c r="Q3410" s="62" t="s"/>
      <c r="R3410" s="62" t="s"/>
    </row>
    <row r="3411" spans="1:18" ht="15.75" customHeight="true">
      <c r="A3411" s="107" t="s"/>
      <c r="B3411" s="62" t="s"/>
      <c r="C3411" s="62" t="s"/>
      <c r="D3411" s="62" t="s"/>
      <c r="E3411" s="62" t="s"/>
      <c r="F3411" s="66" t="s"/>
      <c r="G3411" s="66" t="s"/>
      <c r="H3411" s="66" t="s"/>
      <c r="I3411" s="62" t="s"/>
      <c r="J3411" s="62" t="s"/>
      <c r="K3411" s="99" t="s"/>
      <c r="L3411" s="66" t="s"/>
      <c r="M3411" s="66" t="s"/>
      <c r="N3411" s="572" t="s"/>
      <c r="O3411" s="62" t="s"/>
      <c r="P3411" s="62" t="s"/>
      <c r="Q3411" s="62" t="s"/>
      <c r="R3411" s="62" t="s"/>
    </row>
    <row r="3412" spans="1:18" ht="15.75" customHeight="true">
      <c r="A3412" s="107" t="s"/>
      <c r="B3412" s="62" t="s"/>
      <c r="C3412" s="62" t="s"/>
      <c r="D3412" s="62" t="s"/>
      <c r="E3412" s="62" t="s"/>
      <c r="F3412" s="66" t="s"/>
      <c r="G3412" s="66" t="s"/>
      <c r="H3412" s="66" t="s"/>
      <c r="I3412" s="62" t="s"/>
      <c r="J3412" s="62" t="s"/>
      <c r="K3412" s="99" t="s"/>
      <c r="L3412" s="66" t="s"/>
      <c r="M3412" s="66" t="s"/>
      <c r="N3412" s="572" t="s"/>
      <c r="O3412" s="62" t="s"/>
      <c r="P3412" s="62" t="s"/>
      <c r="Q3412" s="62" t="s"/>
      <c r="R3412" s="62" t="s"/>
    </row>
    <row r="3413" spans="1:18" ht="15.75" customHeight="true">
      <c r="A3413" s="107" t="s"/>
      <c r="B3413" s="62" t="s"/>
      <c r="C3413" s="62" t="s"/>
      <c r="D3413" s="62" t="s"/>
      <c r="E3413" s="62" t="s"/>
      <c r="F3413" s="66" t="s"/>
      <c r="G3413" s="66" t="s"/>
      <c r="H3413" s="66" t="s"/>
      <c r="I3413" s="62" t="s"/>
      <c r="J3413" s="62" t="s"/>
      <c r="K3413" s="99" t="s"/>
      <c r="L3413" s="66" t="s"/>
      <c r="M3413" s="66" t="s"/>
      <c r="N3413" s="572" t="s"/>
      <c r="O3413" s="62" t="s"/>
      <c r="P3413" s="62" t="s"/>
      <c r="Q3413" s="62" t="s"/>
      <c r="R3413" s="62" t="s"/>
    </row>
    <row r="3414" spans="1:18" ht="15.75" customHeight="true">
      <c r="A3414" s="107" t="s"/>
      <c r="B3414" s="62" t="s"/>
      <c r="C3414" s="62" t="s"/>
      <c r="D3414" s="62" t="s"/>
      <c r="E3414" s="62" t="s"/>
      <c r="F3414" s="66" t="s"/>
      <c r="G3414" s="66" t="s"/>
      <c r="H3414" s="66" t="s"/>
      <c r="I3414" s="62" t="s"/>
      <c r="J3414" s="62" t="s"/>
      <c r="K3414" s="99" t="s"/>
      <c r="L3414" s="66" t="s"/>
      <c r="M3414" s="66" t="s"/>
      <c r="N3414" s="572" t="s"/>
      <c r="O3414" s="62" t="s"/>
      <c r="P3414" s="62" t="s"/>
      <c r="Q3414" s="62" t="s"/>
      <c r="R3414" s="62" t="s"/>
    </row>
    <row r="3415" spans="1:18" ht="15.75" customHeight="true">
      <c r="A3415" s="107" t="s"/>
      <c r="B3415" s="62" t="s"/>
      <c r="C3415" s="62" t="s"/>
      <c r="D3415" s="62" t="s"/>
      <c r="E3415" s="62" t="s"/>
      <c r="F3415" s="66" t="s"/>
      <c r="G3415" s="66" t="s"/>
      <c r="H3415" s="66" t="s"/>
      <c r="I3415" s="62" t="s"/>
      <c r="J3415" s="62" t="s"/>
      <c r="K3415" s="99" t="s"/>
      <c r="L3415" s="66" t="s"/>
      <c r="M3415" s="66" t="s"/>
      <c r="N3415" s="572" t="s"/>
      <c r="O3415" s="62" t="s"/>
      <c r="P3415" s="62" t="s"/>
      <c r="Q3415" s="62" t="s"/>
      <c r="R3415" s="62" t="s"/>
    </row>
    <row r="3416" spans="1:18" ht="15.75" customHeight="true">
      <c r="A3416" s="107" t="s"/>
      <c r="B3416" s="62" t="s"/>
      <c r="C3416" s="62" t="s"/>
      <c r="D3416" s="62" t="s"/>
      <c r="E3416" s="62" t="s"/>
      <c r="F3416" s="66" t="s"/>
      <c r="G3416" s="66" t="s"/>
      <c r="H3416" s="66" t="s"/>
      <c r="I3416" s="62" t="s"/>
      <c r="J3416" s="62" t="s"/>
      <c r="K3416" s="99" t="s"/>
      <c r="L3416" s="66" t="s"/>
      <c r="M3416" s="66" t="s"/>
      <c r="N3416" s="572" t="s"/>
      <c r="O3416" s="62" t="s"/>
      <c r="P3416" s="62" t="s"/>
      <c r="Q3416" s="62" t="s"/>
      <c r="R3416" s="62" t="s"/>
    </row>
    <row r="3417" spans="1:18" ht="15.75" customHeight="true">
      <c r="A3417" s="107" t="s"/>
      <c r="B3417" s="62" t="s"/>
      <c r="C3417" s="62" t="s"/>
      <c r="D3417" s="62" t="s"/>
      <c r="E3417" s="62" t="s"/>
      <c r="F3417" s="66" t="s"/>
      <c r="G3417" s="66" t="s"/>
      <c r="H3417" s="66" t="s"/>
      <c r="I3417" s="62" t="s"/>
      <c r="J3417" s="62" t="s"/>
      <c r="K3417" s="99" t="s"/>
      <c r="L3417" s="66" t="s"/>
      <c r="M3417" s="66" t="s"/>
      <c r="N3417" s="572" t="s"/>
      <c r="O3417" s="62" t="s"/>
      <c r="P3417" s="62" t="s"/>
      <c r="Q3417" s="62" t="s"/>
      <c r="R3417" s="62" t="s"/>
    </row>
    <row r="3418" spans="1:18" ht="15.75" customHeight="true">
      <c r="A3418" s="107" t="s"/>
      <c r="B3418" s="62" t="s"/>
      <c r="C3418" s="62" t="s"/>
      <c r="D3418" s="62" t="s"/>
      <c r="E3418" s="62" t="s"/>
      <c r="F3418" s="66" t="s"/>
      <c r="G3418" s="66" t="s"/>
      <c r="H3418" s="66" t="s"/>
      <c r="I3418" s="62" t="s"/>
      <c r="J3418" s="62" t="s"/>
      <c r="K3418" s="99" t="s"/>
      <c r="L3418" s="66" t="s"/>
      <c r="M3418" s="66" t="s"/>
      <c r="N3418" s="572" t="s"/>
      <c r="O3418" s="62" t="s"/>
      <c r="P3418" s="62" t="s"/>
      <c r="Q3418" s="62" t="s"/>
      <c r="R3418" s="62" t="s"/>
    </row>
    <row r="3419" spans="1:18" ht="15.75" customHeight="true">
      <c r="A3419" s="107" t="s"/>
      <c r="B3419" s="62" t="s"/>
      <c r="C3419" s="62" t="s"/>
      <c r="D3419" s="62" t="s"/>
      <c r="E3419" s="62" t="s"/>
      <c r="F3419" s="66" t="s"/>
      <c r="G3419" s="66" t="s"/>
      <c r="H3419" s="66" t="s"/>
      <c r="I3419" s="62" t="s"/>
      <c r="J3419" s="62" t="s"/>
      <c r="K3419" s="99" t="s"/>
      <c r="L3419" s="66" t="s"/>
      <c r="M3419" s="66" t="s"/>
      <c r="N3419" s="572" t="s"/>
      <c r="O3419" s="62" t="s"/>
      <c r="P3419" s="62" t="s"/>
      <c r="Q3419" s="62" t="s"/>
      <c r="R3419" s="62" t="s"/>
    </row>
    <row r="3420" spans="1:18" ht="15.75" customHeight="true">
      <c r="A3420" s="107" t="s"/>
      <c r="B3420" s="62" t="s"/>
      <c r="C3420" s="62" t="s"/>
      <c r="D3420" s="62" t="s"/>
      <c r="E3420" s="62" t="s"/>
      <c r="F3420" s="66" t="s"/>
      <c r="G3420" s="66" t="s"/>
      <c r="H3420" s="66" t="s"/>
      <c r="I3420" s="62" t="s"/>
      <c r="J3420" s="62" t="s"/>
      <c r="K3420" s="99" t="s"/>
      <c r="L3420" s="66" t="s"/>
      <c r="M3420" s="66" t="s"/>
      <c r="N3420" s="572" t="s"/>
      <c r="O3420" s="62" t="s"/>
      <c r="P3420" s="62" t="s"/>
      <c r="Q3420" s="62" t="s"/>
      <c r="R3420" s="62" t="s"/>
    </row>
    <row r="3421" spans="1:18" ht="15.75" customHeight="true">
      <c r="A3421" s="107" t="s"/>
      <c r="B3421" s="62" t="s"/>
      <c r="C3421" s="62" t="s"/>
      <c r="D3421" s="62" t="s"/>
      <c r="E3421" s="62" t="s"/>
      <c r="F3421" s="66" t="s"/>
      <c r="G3421" s="66" t="s"/>
      <c r="H3421" s="66" t="s"/>
      <c r="I3421" s="62" t="s"/>
      <c r="J3421" s="62" t="s"/>
      <c r="K3421" s="99" t="s"/>
      <c r="L3421" s="66" t="s"/>
      <c r="M3421" s="66" t="s"/>
      <c r="N3421" s="572" t="s"/>
      <c r="O3421" s="62" t="s"/>
      <c r="P3421" s="62" t="s"/>
      <c r="Q3421" s="62" t="s"/>
      <c r="R3421" s="62" t="s"/>
    </row>
    <row r="3422" spans="1:18" ht="15.75" customHeight="true">
      <c r="A3422" s="107" t="s"/>
      <c r="B3422" s="62" t="s"/>
      <c r="C3422" s="62" t="s"/>
      <c r="D3422" s="62" t="s"/>
      <c r="E3422" s="62" t="s"/>
      <c r="F3422" s="66" t="s"/>
      <c r="G3422" s="66" t="s"/>
      <c r="H3422" s="66" t="s"/>
      <c r="I3422" s="62" t="s"/>
      <c r="J3422" s="62" t="s"/>
      <c r="K3422" s="99" t="s"/>
      <c r="L3422" s="66" t="s"/>
      <c r="M3422" s="66" t="s"/>
      <c r="N3422" s="572" t="s"/>
      <c r="O3422" s="62" t="s"/>
      <c r="P3422" s="62" t="s"/>
      <c r="Q3422" s="62" t="s"/>
      <c r="R3422" s="62" t="s"/>
    </row>
    <row r="3423" spans="1:18" ht="15.75" customHeight="true">
      <c r="A3423" s="107" t="s"/>
      <c r="B3423" s="62" t="s"/>
      <c r="C3423" s="62" t="s"/>
      <c r="D3423" s="62" t="s"/>
      <c r="E3423" s="62" t="s"/>
      <c r="F3423" s="66" t="s"/>
      <c r="G3423" s="66" t="s"/>
      <c r="H3423" s="66" t="s"/>
      <c r="I3423" s="62" t="s"/>
      <c r="J3423" s="62" t="s"/>
      <c r="K3423" s="99" t="s"/>
      <c r="L3423" s="66" t="s"/>
      <c r="M3423" s="66" t="s"/>
      <c r="N3423" s="572" t="s"/>
      <c r="O3423" s="62" t="s"/>
      <c r="P3423" s="62" t="s"/>
      <c r="Q3423" s="62" t="s"/>
      <c r="R3423" s="62" t="s"/>
    </row>
    <row r="3424" spans="1:18" ht="15.75" customHeight="true">
      <c r="A3424" s="107" t="s"/>
      <c r="B3424" s="62" t="s"/>
      <c r="C3424" s="62" t="s"/>
      <c r="D3424" s="62" t="s"/>
      <c r="E3424" s="62" t="s"/>
      <c r="F3424" s="66" t="s"/>
      <c r="G3424" s="66" t="s"/>
      <c r="H3424" s="66" t="s"/>
      <c r="I3424" s="62" t="s"/>
      <c r="J3424" s="62" t="s"/>
      <c r="K3424" s="99" t="s"/>
      <c r="L3424" s="66" t="s"/>
      <c r="M3424" s="66" t="s"/>
      <c r="N3424" s="572" t="s"/>
      <c r="O3424" s="62" t="s"/>
      <c r="P3424" s="62" t="s"/>
      <c r="Q3424" s="62" t="s"/>
      <c r="R3424" s="62" t="s"/>
    </row>
    <row r="3425" spans="1:18" ht="15.75" customHeight="true">
      <c r="A3425" s="107" t="s"/>
      <c r="B3425" s="62" t="s"/>
      <c r="C3425" s="62" t="s"/>
      <c r="D3425" s="62" t="s"/>
      <c r="E3425" s="62" t="s"/>
      <c r="F3425" s="66" t="s"/>
      <c r="G3425" s="66" t="s"/>
      <c r="H3425" s="66" t="s"/>
      <c r="I3425" s="62" t="s"/>
      <c r="J3425" s="62" t="s"/>
      <c r="K3425" s="99" t="s"/>
      <c r="L3425" s="66" t="s"/>
      <c r="M3425" s="66" t="s"/>
      <c r="N3425" s="572" t="s"/>
      <c r="O3425" s="62" t="s"/>
      <c r="P3425" s="62" t="s"/>
      <c r="Q3425" s="62" t="s"/>
      <c r="R3425" s="62" t="s"/>
    </row>
    <row r="3426" spans="1:18" ht="15.75" customHeight="true">
      <c r="A3426" s="107" t="s"/>
      <c r="B3426" s="62" t="s"/>
      <c r="C3426" s="62" t="s"/>
      <c r="D3426" s="62" t="s"/>
      <c r="E3426" s="62" t="s"/>
      <c r="F3426" s="66" t="s"/>
      <c r="G3426" s="66" t="s"/>
      <c r="H3426" s="66" t="s"/>
      <c r="I3426" s="62" t="s"/>
      <c r="J3426" s="62" t="s"/>
      <c r="K3426" s="99" t="s"/>
      <c r="L3426" s="66" t="s"/>
      <c r="M3426" s="66" t="s"/>
      <c r="N3426" s="572" t="s"/>
      <c r="O3426" s="62" t="s"/>
      <c r="P3426" s="62" t="s"/>
      <c r="Q3426" s="62" t="s"/>
      <c r="R3426" s="62" t="s"/>
    </row>
    <row r="3427" spans="1:18" ht="15.75" customHeight="true">
      <c r="A3427" s="107" t="s"/>
      <c r="B3427" s="62" t="s"/>
      <c r="C3427" s="62" t="s"/>
      <c r="D3427" s="62" t="s"/>
      <c r="E3427" s="62" t="s"/>
      <c r="F3427" s="66" t="s"/>
      <c r="G3427" s="66" t="s"/>
      <c r="H3427" s="66" t="s"/>
      <c r="I3427" s="62" t="s"/>
      <c r="J3427" s="62" t="s"/>
      <c r="K3427" s="99" t="s"/>
      <c r="L3427" s="66" t="s"/>
      <c r="M3427" s="66" t="s"/>
      <c r="N3427" s="572" t="s"/>
      <c r="O3427" s="62" t="s"/>
      <c r="P3427" s="62" t="s"/>
      <c r="Q3427" s="62" t="s"/>
      <c r="R3427" s="62" t="s"/>
    </row>
    <row r="3428" spans="1:18" ht="15.75" customHeight="true">
      <c r="A3428" s="107" t="s"/>
      <c r="B3428" s="62" t="s"/>
      <c r="C3428" s="62" t="s"/>
      <c r="D3428" s="62" t="s"/>
      <c r="E3428" s="62" t="s"/>
      <c r="F3428" s="66" t="s"/>
      <c r="G3428" s="66" t="s"/>
      <c r="H3428" s="66" t="s"/>
      <c r="I3428" s="62" t="s"/>
      <c r="J3428" s="62" t="s"/>
      <c r="K3428" s="99" t="s"/>
      <c r="L3428" s="66" t="s"/>
      <c r="M3428" s="66" t="s"/>
      <c r="N3428" s="572" t="s"/>
      <c r="O3428" s="62" t="s"/>
      <c r="P3428" s="62" t="s"/>
      <c r="Q3428" s="62" t="s"/>
      <c r="R3428" s="62" t="s"/>
    </row>
    <row r="3429" spans="1:18" ht="15.75" customHeight="true">
      <c r="A3429" s="107" t="s"/>
      <c r="B3429" s="62" t="s"/>
      <c r="C3429" s="62" t="s"/>
      <c r="D3429" s="62" t="s"/>
      <c r="E3429" s="62" t="s"/>
      <c r="F3429" s="66" t="s"/>
      <c r="G3429" s="66" t="s"/>
      <c r="H3429" s="66" t="s"/>
      <c r="I3429" s="62" t="s"/>
      <c r="J3429" s="62" t="s"/>
      <c r="K3429" s="99" t="s"/>
      <c r="L3429" s="66" t="s"/>
      <c r="M3429" s="66" t="s"/>
      <c r="N3429" s="572" t="s"/>
      <c r="O3429" s="62" t="s"/>
      <c r="P3429" s="62" t="s"/>
      <c r="Q3429" s="62" t="s"/>
      <c r="R3429" s="62" t="s"/>
    </row>
    <row r="3430" spans="1:18" ht="15.75" customHeight="true">
      <c r="A3430" s="107" t="s"/>
      <c r="B3430" s="62" t="s"/>
      <c r="C3430" s="62" t="s"/>
      <c r="D3430" s="62" t="s"/>
      <c r="E3430" s="62" t="s"/>
      <c r="F3430" s="66" t="s"/>
      <c r="G3430" s="66" t="s"/>
      <c r="H3430" s="66" t="s"/>
      <c r="I3430" s="62" t="s"/>
      <c r="J3430" s="62" t="s"/>
      <c r="K3430" s="99" t="s"/>
      <c r="L3430" s="66" t="s"/>
      <c r="M3430" s="66" t="s"/>
      <c r="N3430" s="572" t="s"/>
      <c r="O3430" s="62" t="s"/>
      <c r="P3430" s="62" t="s"/>
      <c r="Q3430" s="62" t="s"/>
      <c r="R3430" s="62" t="s"/>
    </row>
    <row r="3431" spans="1:18" ht="15.75" customHeight="true">
      <c r="A3431" s="107" t="s"/>
      <c r="B3431" s="62" t="s"/>
      <c r="C3431" s="62" t="s"/>
      <c r="D3431" s="62" t="s"/>
      <c r="E3431" s="62" t="s"/>
      <c r="F3431" s="66" t="s"/>
      <c r="G3431" s="66" t="s"/>
      <c r="H3431" s="66" t="s"/>
      <c r="I3431" s="62" t="s"/>
      <c r="J3431" s="62" t="s"/>
      <c r="K3431" s="99" t="s"/>
      <c r="L3431" s="66" t="s"/>
      <c r="M3431" s="66" t="s"/>
      <c r="N3431" s="572" t="s"/>
      <c r="O3431" s="62" t="s"/>
      <c r="P3431" s="62" t="s"/>
      <c r="Q3431" s="62" t="s"/>
      <c r="R3431" s="62" t="s"/>
    </row>
    <row r="3432" spans="1:18" ht="15.75" customHeight="true">
      <c r="A3432" s="107" t="s"/>
      <c r="B3432" s="62" t="s"/>
      <c r="C3432" s="62" t="s"/>
      <c r="D3432" s="62" t="s"/>
      <c r="E3432" s="62" t="s"/>
      <c r="F3432" s="66" t="s"/>
      <c r="G3432" s="66" t="s"/>
      <c r="H3432" s="66" t="s"/>
      <c r="I3432" s="62" t="s"/>
      <c r="J3432" s="62" t="s"/>
      <c r="K3432" s="99" t="s"/>
      <c r="L3432" s="66" t="s"/>
      <c r="M3432" s="66" t="s"/>
      <c r="N3432" s="572" t="s"/>
      <c r="O3432" s="62" t="s"/>
      <c r="P3432" s="62" t="s"/>
      <c r="Q3432" s="62" t="s"/>
      <c r="R3432" s="62" t="s"/>
    </row>
    <row r="3433" spans="1:18" ht="15.75" customHeight="true">
      <c r="A3433" s="107" t="s"/>
      <c r="B3433" s="62" t="s"/>
      <c r="C3433" s="62" t="s"/>
      <c r="D3433" s="62" t="s"/>
      <c r="E3433" s="62" t="s"/>
      <c r="F3433" s="66" t="s"/>
      <c r="G3433" s="66" t="s"/>
      <c r="H3433" s="66" t="s"/>
      <c r="I3433" s="62" t="s"/>
      <c r="J3433" s="62" t="s"/>
      <c r="K3433" s="99" t="s"/>
      <c r="L3433" s="66" t="s"/>
      <c r="M3433" s="66" t="s"/>
      <c r="N3433" s="572" t="s"/>
      <c r="O3433" s="62" t="s"/>
      <c r="P3433" s="62" t="s"/>
      <c r="Q3433" s="62" t="s"/>
      <c r="R3433" s="62" t="s"/>
    </row>
    <row r="3434" spans="1:18" ht="15.75" customHeight="true">
      <c r="A3434" s="107" t="s"/>
      <c r="B3434" s="62" t="s"/>
      <c r="C3434" s="62" t="s"/>
      <c r="D3434" s="62" t="s"/>
      <c r="E3434" s="62" t="s"/>
      <c r="F3434" s="66" t="s"/>
      <c r="G3434" s="66" t="s"/>
      <c r="H3434" s="66" t="s"/>
      <c r="I3434" s="62" t="s"/>
      <c r="J3434" s="62" t="s"/>
      <c r="K3434" s="99" t="s"/>
      <c r="L3434" s="66" t="s"/>
      <c r="M3434" s="66" t="s"/>
      <c r="N3434" s="572" t="s"/>
      <c r="O3434" s="62" t="s"/>
      <c r="P3434" s="62" t="s"/>
      <c r="Q3434" s="62" t="s"/>
      <c r="R3434" s="62" t="s"/>
    </row>
    <row r="3435" spans="1:18" ht="15.75" customHeight="true">
      <c r="A3435" s="107" t="s"/>
      <c r="B3435" s="62" t="s"/>
      <c r="C3435" s="62" t="s"/>
      <c r="D3435" s="62" t="s"/>
      <c r="E3435" s="62" t="s"/>
      <c r="F3435" s="66" t="s"/>
      <c r="G3435" s="66" t="s"/>
      <c r="H3435" s="66" t="s"/>
      <c r="I3435" s="62" t="s"/>
      <c r="J3435" s="62" t="s"/>
      <c r="K3435" s="99" t="s"/>
      <c r="L3435" s="66" t="s"/>
      <c r="M3435" s="66" t="s"/>
      <c r="N3435" s="572" t="s"/>
      <c r="O3435" s="62" t="s"/>
      <c r="P3435" s="62" t="s"/>
      <c r="Q3435" s="62" t="s"/>
      <c r="R3435" s="62" t="s"/>
    </row>
    <row r="3436" spans="1:18" ht="15.75" customHeight="true">
      <c r="A3436" s="107" t="s"/>
      <c r="B3436" s="62" t="s"/>
      <c r="C3436" s="62" t="s"/>
      <c r="D3436" s="62" t="s"/>
      <c r="E3436" s="62" t="s"/>
      <c r="F3436" s="66" t="s"/>
      <c r="G3436" s="66" t="s"/>
      <c r="H3436" s="66" t="s"/>
      <c r="I3436" s="62" t="s"/>
      <c r="J3436" s="62" t="s"/>
      <c r="K3436" s="99" t="s"/>
      <c r="L3436" s="66" t="s"/>
      <c r="M3436" s="66" t="s"/>
      <c r="N3436" s="572" t="s"/>
      <c r="O3436" s="62" t="s"/>
      <c r="P3436" s="62" t="s"/>
      <c r="Q3436" s="62" t="s"/>
      <c r="R3436" s="62" t="s"/>
    </row>
    <row r="3437" spans="1:18" ht="15.75" customHeight="true">
      <c r="A3437" s="107" t="s"/>
      <c r="B3437" s="62" t="s"/>
      <c r="C3437" s="62" t="s"/>
      <c r="D3437" s="62" t="s"/>
      <c r="E3437" s="62" t="s"/>
      <c r="F3437" s="66" t="s"/>
      <c r="G3437" s="66" t="s"/>
      <c r="H3437" s="66" t="s"/>
      <c r="I3437" s="62" t="s"/>
      <c r="J3437" s="62" t="s"/>
      <c r="K3437" s="99" t="s"/>
      <c r="L3437" s="66" t="s"/>
      <c r="M3437" s="66" t="s"/>
      <c r="N3437" s="572" t="s"/>
      <c r="O3437" s="62" t="s"/>
      <c r="P3437" s="62" t="s"/>
      <c r="Q3437" s="62" t="s"/>
      <c r="R3437" s="62" t="s"/>
    </row>
    <row r="3438" spans="1:18" ht="15.75" customHeight="true">
      <c r="A3438" s="107" t="s"/>
      <c r="B3438" s="62" t="s"/>
      <c r="C3438" s="62" t="s"/>
      <c r="D3438" s="62" t="s"/>
      <c r="E3438" s="62" t="s"/>
      <c r="F3438" s="66" t="s"/>
      <c r="G3438" s="66" t="s"/>
      <c r="H3438" s="66" t="s"/>
      <c r="I3438" s="62" t="s"/>
      <c r="J3438" s="62" t="s"/>
      <c r="K3438" s="99" t="s"/>
      <c r="L3438" s="66" t="s"/>
      <c r="M3438" s="66" t="s"/>
      <c r="N3438" s="572" t="s"/>
      <c r="O3438" s="62" t="s"/>
      <c r="P3438" s="62" t="s"/>
      <c r="Q3438" s="62" t="s"/>
      <c r="R3438" s="62" t="s"/>
    </row>
    <row r="3439" spans="1:18" ht="15.75" customHeight="true">
      <c r="A3439" s="107" t="s"/>
      <c r="B3439" s="62" t="s"/>
      <c r="C3439" s="62" t="s"/>
      <c r="D3439" s="62" t="s"/>
      <c r="E3439" s="62" t="s"/>
      <c r="F3439" s="66" t="s"/>
      <c r="G3439" s="66" t="s"/>
      <c r="H3439" s="66" t="s"/>
      <c r="I3439" s="62" t="s"/>
      <c r="J3439" s="62" t="s"/>
      <c r="K3439" s="99" t="s"/>
      <c r="L3439" s="66" t="s"/>
      <c r="M3439" s="66" t="s"/>
      <c r="N3439" s="572" t="s"/>
      <c r="O3439" s="62" t="s"/>
      <c r="P3439" s="62" t="s"/>
      <c r="Q3439" s="62" t="s"/>
      <c r="R3439" s="62" t="s"/>
    </row>
    <row r="3440" spans="1:18" ht="15.75" customHeight="true">
      <c r="A3440" s="107" t="s"/>
      <c r="B3440" s="62" t="s"/>
      <c r="C3440" s="62" t="s"/>
      <c r="D3440" s="62" t="s"/>
      <c r="E3440" s="62" t="s"/>
      <c r="F3440" s="66" t="s"/>
      <c r="G3440" s="66" t="s"/>
      <c r="H3440" s="66" t="s"/>
      <c r="I3440" s="62" t="s"/>
      <c r="J3440" s="62" t="s"/>
      <c r="K3440" s="99" t="s"/>
      <c r="L3440" s="66" t="s"/>
      <c r="M3440" s="66" t="s"/>
      <c r="N3440" s="572" t="s"/>
      <c r="O3440" s="62" t="s"/>
      <c r="P3440" s="62" t="s"/>
      <c r="Q3440" s="62" t="s"/>
      <c r="R3440" s="62" t="s"/>
    </row>
    <row r="3441" spans="1:18" ht="15.75" customHeight="true">
      <c r="A3441" s="107" t="s"/>
      <c r="B3441" s="62" t="s"/>
      <c r="C3441" s="62" t="s"/>
      <c r="D3441" s="62" t="s"/>
      <c r="E3441" s="62" t="s"/>
      <c r="F3441" s="66" t="s"/>
      <c r="G3441" s="66" t="s"/>
      <c r="H3441" s="66" t="s"/>
      <c r="I3441" s="62" t="s"/>
      <c r="J3441" s="62" t="s"/>
      <c r="K3441" s="99" t="s"/>
      <c r="L3441" s="66" t="s"/>
      <c r="M3441" s="66" t="s"/>
      <c r="N3441" s="572" t="s"/>
      <c r="O3441" s="62" t="s"/>
      <c r="P3441" s="62" t="s"/>
      <c r="Q3441" s="62" t="s"/>
      <c r="R3441" s="62" t="s"/>
    </row>
    <row r="3442" spans="1:18" ht="15.75" customHeight="true">
      <c r="A3442" s="107" t="s"/>
      <c r="B3442" s="62" t="s"/>
      <c r="C3442" s="62" t="s"/>
      <c r="D3442" s="62" t="s"/>
      <c r="E3442" s="62" t="s"/>
      <c r="F3442" s="66" t="s"/>
      <c r="G3442" s="66" t="s"/>
      <c r="H3442" s="66" t="s"/>
      <c r="I3442" s="62" t="s"/>
      <c r="J3442" s="62" t="s"/>
      <c r="K3442" s="99" t="s"/>
      <c r="L3442" s="66" t="s"/>
      <c r="M3442" s="66" t="s"/>
      <c r="N3442" s="572" t="s"/>
      <c r="O3442" s="62" t="s"/>
      <c r="P3442" s="62" t="s"/>
      <c r="Q3442" s="62" t="s"/>
      <c r="R3442" s="62" t="s"/>
    </row>
    <row r="3443" spans="1:18" ht="15.75" customHeight="true">
      <c r="A3443" s="107" t="s"/>
      <c r="B3443" s="62" t="s"/>
      <c r="C3443" s="62" t="s"/>
      <c r="D3443" s="62" t="s"/>
      <c r="E3443" s="62" t="s"/>
      <c r="F3443" s="66" t="s"/>
      <c r="G3443" s="66" t="s"/>
      <c r="H3443" s="66" t="s"/>
      <c r="I3443" s="62" t="s"/>
      <c r="J3443" s="62" t="s"/>
      <c r="K3443" s="99" t="s"/>
      <c r="L3443" s="66" t="s"/>
      <c r="M3443" s="66" t="s"/>
      <c r="N3443" s="572" t="s"/>
      <c r="O3443" s="62" t="s"/>
      <c r="P3443" s="62" t="s"/>
      <c r="Q3443" s="62" t="s"/>
      <c r="R3443" s="62" t="s"/>
    </row>
    <row r="3444" spans="1:18" ht="15.75" customHeight="true">
      <c r="A3444" s="107" t="s"/>
      <c r="B3444" s="62" t="s"/>
      <c r="C3444" s="62" t="s"/>
      <c r="D3444" s="62" t="s"/>
      <c r="E3444" s="62" t="s"/>
      <c r="F3444" s="66" t="s"/>
      <c r="G3444" s="66" t="s"/>
      <c r="H3444" s="66" t="s"/>
      <c r="I3444" s="62" t="s"/>
      <c r="J3444" s="62" t="s"/>
      <c r="K3444" s="99" t="s"/>
      <c r="L3444" s="66" t="s"/>
      <c r="M3444" s="66" t="s"/>
      <c r="N3444" s="572" t="s"/>
      <c r="O3444" s="62" t="s"/>
      <c r="P3444" s="62" t="s"/>
      <c r="Q3444" s="62" t="s"/>
      <c r="R3444" s="62" t="s"/>
    </row>
    <row r="3445" spans="1:18" ht="15.75" customHeight="true">
      <c r="A3445" s="107" t="s"/>
      <c r="B3445" s="62" t="s"/>
      <c r="C3445" s="62" t="s"/>
      <c r="D3445" s="62" t="s"/>
      <c r="E3445" s="62" t="s"/>
      <c r="F3445" s="66" t="s"/>
      <c r="G3445" s="66" t="s"/>
      <c r="H3445" s="66" t="s"/>
      <c r="I3445" s="62" t="s"/>
      <c r="J3445" s="62" t="s"/>
      <c r="K3445" s="99" t="s"/>
      <c r="L3445" s="66" t="s"/>
      <c r="M3445" s="66" t="s"/>
      <c r="N3445" s="572" t="s"/>
      <c r="O3445" s="62" t="s"/>
      <c r="P3445" s="62" t="s"/>
      <c r="Q3445" s="62" t="s"/>
      <c r="R3445" s="62" t="s"/>
    </row>
    <row r="3446" spans="1:18" ht="15.75" customHeight="true">
      <c r="A3446" s="107" t="s"/>
      <c r="B3446" s="62" t="s"/>
      <c r="C3446" s="62" t="s"/>
      <c r="D3446" s="62" t="s"/>
      <c r="E3446" s="62" t="s"/>
      <c r="F3446" s="66" t="s"/>
      <c r="G3446" s="66" t="s"/>
      <c r="H3446" s="66" t="s"/>
      <c r="I3446" s="62" t="s"/>
      <c r="J3446" s="62" t="s"/>
      <c r="K3446" s="99" t="s"/>
      <c r="L3446" s="66" t="s"/>
      <c r="M3446" s="66" t="s"/>
      <c r="N3446" s="572" t="s"/>
      <c r="O3446" s="62" t="s"/>
      <c r="P3446" s="62" t="s"/>
      <c r="Q3446" s="62" t="s"/>
      <c r="R3446" s="62" t="s"/>
    </row>
    <row r="3447" spans="1:18" ht="15.75" customHeight="true">
      <c r="A3447" s="107" t="s"/>
      <c r="B3447" s="62" t="s"/>
      <c r="C3447" s="62" t="s"/>
      <c r="D3447" s="62" t="s"/>
      <c r="E3447" s="62" t="s"/>
      <c r="F3447" s="66" t="s"/>
      <c r="G3447" s="66" t="s"/>
      <c r="H3447" s="66" t="s"/>
      <c r="I3447" s="62" t="s"/>
      <c r="J3447" s="62" t="s"/>
      <c r="K3447" s="99" t="s"/>
      <c r="L3447" s="66" t="s"/>
      <c r="M3447" s="66" t="s"/>
      <c r="N3447" s="572" t="s"/>
      <c r="O3447" s="62" t="s"/>
      <c r="P3447" s="62" t="s"/>
      <c r="Q3447" s="62" t="s"/>
      <c r="R3447" s="62" t="s"/>
    </row>
    <row r="3448" spans="1:18" ht="15.75" customHeight="true">
      <c r="A3448" s="107" t="s"/>
      <c r="B3448" s="62" t="s"/>
      <c r="C3448" s="62" t="s"/>
      <c r="D3448" s="62" t="s"/>
      <c r="E3448" s="62" t="s"/>
      <c r="F3448" s="66" t="s"/>
      <c r="G3448" s="66" t="s"/>
      <c r="H3448" s="66" t="s"/>
      <c r="I3448" s="62" t="s"/>
      <c r="J3448" s="62" t="s"/>
      <c r="K3448" s="99" t="s"/>
      <c r="L3448" s="66" t="s"/>
      <c r="M3448" s="66" t="s"/>
      <c r="N3448" s="572" t="s"/>
      <c r="O3448" s="62" t="s"/>
      <c r="P3448" s="62" t="s"/>
      <c r="Q3448" s="62" t="s"/>
      <c r="R3448" s="62" t="s"/>
    </row>
    <row r="3449" spans="1:18" ht="15.75" customHeight="true">
      <c r="A3449" s="107" t="s"/>
      <c r="B3449" s="62" t="s"/>
      <c r="C3449" s="62" t="s"/>
      <c r="D3449" s="62" t="s"/>
      <c r="E3449" s="62" t="s"/>
      <c r="F3449" s="66" t="s"/>
      <c r="G3449" s="66" t="s"/>
      <c r="H3449" s="66" t="s"/>
      <c r="I3449" s="62" t="s"/>
      <c r="J3449" s="62" t="s"/>
      <c r="K3449" s="99" t="s"/>
      <c r="L3449" s="66" t="s"/>
      <c r="M3449" s="66" t="s"/>
      <c r="N3449" s="572" t="s"/>
      <c r="O3449" s="62" t="s"/>
      <c r="P3449" s="62" t="s"/>
      <c r="Q3449" s="62" t="s"/>
      <c r="R3449" s="62" t="s"/>
    </row>
    <row r="3450" spans="1:18" ht="15.75" customHeight="true">
      <c r="A3450" s="107" t="s"/>
      <c r="B3450" s="62" t="s"/>
      <c r="C3450" s="62" t="s"/>
      <c r="D3450" s="62" t="s"/>
      <c r="E3450" s="62" t="s"/>
      <c r="F3450" s="66" t="s"/>
      <c r="G3450" s="66" t="s"/>
      <c r="H3450" s="66" t="s"/>
      <c r="I3450" s="62" t="s"/>
      <c r="J3450" s="62" t="s"/>
      <c r="K3450" s="99" t="s"/>
      <c r="L3450" s="66" t="s"/>
      <c r="M3450" s="66" t="s"/>
      <c r="N3450" s="572" t="s"/>
      <c r="O3450" s="62" t="s"/>
      <c r="P3450" s="62" t="s"/>
      <c r="Q3450" s="62" t="s"/>
      <c r="R3450" s="62" t="s"/>
    </row>
    <row r="3451" spans="1:18" ht="15.75" customHeight="true">
      <c r="A3451" s="107" t="s"/>
      <c r="B3451" s="62" t="s"/>
      <c r="C3451" s="62" t="s"/>
      <c r="D3451" s="62" t="s"/>
      <c r="E3451" s="62" t="s"/>
      <c r="F3451" s="66" t="s"/>
      <c r="G3451" s="66" t="s"/>
      <c r="H3451" s="66" t="s"/>
      <c r="I3451" s="62" t="s"/>
      <c r="J3451" s="62" t="s"/>
      <c r="K3451" s="99" t="s"/>
      <c r="L3451" s="66" t="s"/>
      <c r="M3451" s="66" t="s"/>
      <c r="N3451" s="572" t="s"/>
      <c r="O3451" s="62" t="s"/>
      <c r="P3451" s="62" t="s"/>
      <c r="Q3451" s="62" t="s"/>
      <c r="R3451" s="62" t="s"/>
    </row>
    <row r="3452" spans="1:18" ht="15.75" customHeight="true">
      <c r="A3452" s="107" t="s"/>
      <c r="B3452" s="62" t="s"/>
      <c r="C3452" s="62" t="s"/>
      <c r="D3452" s="62" t="s"/>
      <c r="E3452" s="62" t="s"/>
      <c r="F3452" s="66" t="s"/>
      <c r="G3452" s="66" t="s"/>
      <c r="H3452" s="66" t="s"/>
      <c r="I3452" s="62" t="s"/>
      <c r="J3452" s="62" t="s"/>
      <c r="K3452" s="99" t="s"/>
      <c r="L3452" s="66" t="s"/>
      <c r="M3452" s="66" t="s"/>
      <c r="N3452" s="572" t="s"/>
      <c r="O3452" s="62" t="s"/>
      <c r="P3452" s="62" t="s"/>
      <c r="Q3452" s="62" t="s"/>
      <c r="R3452" s="62" t="s"/>
    </row>
    <row r="3453" spans="1:18" ht="15.75" customHeight="true">
      <c r="A3453" s="107" t="s"/>
      <c r="B3453" s="62" t="s"/>
      <c r="C3453" s="62" t="s"/>
      <c r="D3453" s="62" t="s"/>
      <c r="E3453" s="62" t="s"/>
      <c r="F3453" s="66" t="s"/>
      <c r="G3453" s="66" t="s"/>
      <c r="H3453" s="66" t="s"/>
      <c r="I3453" s="62" t="s"/>
      <c r="J3453" s="62" t="s"/>
      <c r="K3453" s="99" t="s"/>
      <c r="L3453" s="66" t="s"/>
      <c r="M3453" s="66" t="s"/>
      <c r="N3453" s="572" t="s"/>
      <c r="O3453" s="62" t="s"/>
      <c r="P3453" s="62" t="s"/>
      <c r="Q3453" s="62" t="s"/>
      <c r="R3453" s="62" t="s"/>
    </row>
    <row r="3454" spans="1:18" ht="15.75" customHeight="true">
      <c r="A3454" s="107" t="s"/>
      <c r="B3454" s="62" t="s"/>
      <c r="C3454" s="62" t="s"/>
      <c r="D3454" s="62" t="s"/>
      <c r="E3454" s="62" t="s"/>
      <c r="F3454" s="66" t="s"/>
      <c r="G3454" s="66" t="s"/>
      <c r="H3454" s="66" t="s"/>
      <c r="I3454" s="62" t="s"/>
      <c r="J3454" s="62" t="s"/>
      <c r="K3454" s="99" t="s"/>
      <c r="L3454" s="66" t="s"/>
      <c r="M3454" s="66" t="s"/>
      <c r="N3454" s="572" t="s"/>
      <c r="O3454" s="62" t="s"/>
      <c r="P3454" s="62" t="s"/>
      <c r="Q3454" s="62" t="s"/>
      <c r="R3454" s="62" t="s"/>
    </row>
    <row r="3455" spans="1:18" ht="15.75" customHeight="true">
      <c r="A3455" s="107" t="s"/>
      <c r="B3455" s="62" t="s"/>
      <c r="C3455" s="62" t="s"/>
      <c r="D3455" s="62" t="s"/>
      <c r="E3455" s="62" t="s"/>
      <c r="F3455" s="66" t="s"/>
      <c r="G3455" s="66" t="s"/>
      <c r="H3455" s="66" t="s"/>
      <c r="I3455" s="62" t="s"/>
      <c r="J3455" s="62" t="s"/>
      <c r="K3455" s="99" t="s"/>
      <c r="L3455" s="66" t="s"/>
      <c r="M3455" s="66" t="s"/>
      <c r="N3455" s="572" t="s"/>
      <c r="O3455" s="62" t="s"/>
      <c r="P3455" s="62" t="s"/>
      <c r="Q3455" s="62" t="s"/>
      <c r="R3455" s="62" t="s"/>
    </row>
    <row r="3456" spans="1:18" ht="15.75" customHeight="true">
      <c r="A3456" s="107" t="s"/>
      <c r="B3456" s="62" t="s"/>
      <c r="C3456" s="62" t="s"/>
      <c r="D3456" s="62" t="s"/>
      <c r="E3456" s="62" t="s"/>
      <c r="F3456" s="66" t="s"/>
      <c r="G3456" s="66" t="s"/>
      <c r="H3456" s="66" t="s"/>
      <c r="I3456" s="62" t="s"/>
      <c r="J3456" s="62" t="s"/>
      <c r="K3456" s="99" t="s"/>
      <c r="L3456" s="66" t="s"/>
      <c r="M3456" s="66" t="s"/>
      <c r="N3456" s="572" t="s"/>
      <c r="O3456" s="62" t="s"/>
      <c r="P3456" s="62" t="s"/>
      <c r="Q3456" s="62" t="s"/>
      <c r="R3456" s="62" t="s"/>
    </row>
    <row r="3457" spans="1:18" ht="15.75" customHeight="true">
      <c r="A3457" s="107" t="s"/>
      <c r="B3457" s="62" t="s"/>
      <c r="C3457" s="62" t="s"/>
      <c r="D3457" s="62" t="s"/>
      <c r="E3457" s="62" t="s"/>
      <c r="F3457" s="66" t="s"/>
      <c r="G3457" s="66" t="s"/>
      <c r="H3457" s="66" t="s"/>
      <c r="I3457" s="62" t="s"/>
      <c r="J3457" s="62" t="s"/>
      <c r="K3457" s="99" t="s"/>
      <c r="L3457" s="66" t="s"/>
      <c r="M3457" s="66" t="s"/>
      <c r="N3457" s="572" t="s"/>
      <c r="O3457" s="62" t="s"/>
      <c r="P3457" s="62" t="s"/>
      <c r="Q3457" s="62" t="s"/>
      <c r="R3457" s="62" t="s"/>
    </row>
    <row r="3458" spans="1:18" ht="15.75" customHeight="true">
      <c r="A3458" s="107" t="s"/>
      <c r="B3458" s="62" t="s"/>
      <c r="C3458" s="62" t="s"/>
      <c r="D3458" s="62" t="s"/>
      <c r="E3458" s="62" t="s"/>
      <c r="F3458" s="66" t="s"/>
      <c r="G3458" s="66" t="s"/>
      <c r="H3458" s="66" t="s"/>
      <c r="I3458" s="62" t="s"/>
      <c r="J3458" s="62" t="s"/>
      <c r="K3458" s="99" t="s"/>
      <c r="L3458" s="66" t="s"/>
      <c r="M3458" s="66" t="s"/>
      <c r="N3458" s="572" t="s"/>
      <c r="O3458" s="62" t="s"/>
      <c r="P3458" s="62" t="s"/>
      <c r="Q3458" s="62" t="s"/>
      <c r="R3458" s="62" t="s"/>
    </row>
    <row r="3459" spans="1:18" ht="15.75" customHeight="true">
      <c r="A3459" s="107" t="s"/>
      <c r="B3459" s="62" t="s"/>
      <c r="C3459" s="62" t="s"/>
      <c r="D3459" s="62" t="s"/>
      <c r="E3459" s="62" t="s"/>
      <c r="F3459" s="66" t="s"/>
      <c r="G3459" s="66" t="s"/>
      <c r="H3459" s="66" t="s"/>
      <c r="I3459" s="62" t="s"/>
      <c r="J3459" s="62" t="s"/>
      <c r="K3459" s="99" t="s"/>
      <c r="L3459" s="66" t="s"/>
      <c r="M3459" s="66" t="s"/>
      <c r="N3459" s="572" t="s"/>
      <c r="O3459" s="62" t="s"/>
      <c r="P3459" s="62" t="s"/>
      <c r="Q3459" s="62" t="s"/>
      <c r="R3459" s="62" t="s"/>
    </row>
    <row r="3460" spans="1:18" ht="15.75" customHeight="true">
      <c r="A3460" s="107" t="s"/>
      <c r="B3460" s="62" t="s"/>
      <c r="C3460" s="62" t="s"/>
      <c r="D3460" s="62" t="s"/>
      <c r="E3460" s="62" t="s"/>
      <c r="F3460" s="66" t="s"/>
      <c r="G3460" s="66" t="s"/>
      <c r="H3460" s="66" t="s"/>
      <c r="I3460" s="62" t="s"/>
      <c r="J3460" s="62" t="s"/>
      <c r="K3460" s="99" t="s"/>
      <c r="L3460" s="66" t="s"/>
      <c r="M3460" s="66" t="s"/>
      <c r="N3460" s="572" t="s"/>
      <c r="O3460" s="62" t="s"/>
      <c r="P3460" s="62" t="s"/>
      <c r="Q3460" s="62" t="s"/>
      <c r="R3460" s="62" t="s"/>
    </row>
    <row r="3461" spans="1:18" ht="15.75" customHeight="true">
      <c r="A3461" s="107" t="s"/>
      <c r="B3461" s="62" t="s"/>
      <c r="C3461" s="62" t="s"/>
      <c r="D3461" s="62" t="s"/>
      <c r="E3461" s="62" t="s"/>
      <c r="F3461" s="66" t="s"/>
      <c r="G3461" s="66" t="s"/>
      <c r="H3461" s="66" t="s"/>
      <c r="I3461" s="62" t="s"/>
      <c r="J3461" s="62" t="s"/>
      <c r="K3461" s="99" t="s"/>
      <c r="L3461" s="66" t="s"/>
      <c r="M3461" s="66" t="s"/>
      <c r="N3461" s="572" t="s"/>
      <c r="O3461" s="62" t="s"/>
      <c r="P3461" s="62" t="s"/>
      <c r="Q3461" s="62" t="s"/>
      <c r="R3461" s="62" t="s"/>
    </row>
    <row r="3462" spans="1:18" ht="15.75" customHeight="true">
      <c r="A3462" s="107" t="s"/>
      <c r="B3462" s="62" t="s"/>
      <c r="C3462" s="62" t="s"/>
      <c r="D3462" s="62" t="s"/>
      <c r="E3462" s="62" t="s"/>
      <c r="F3462" s="66" t="s"/>
      <c r="G3462" s="66" t="s"/>
      <c r="H3462" s="66" t="s"/>
      <c r="I3462" s="62" t="s"/>
      <c r="J3462" s="62" t="s"/>
      <c r="K3462" s="99" t="s"/>
      <c r="L3462" s="66" t="s"/>
      <c r="M3462" s="66" t="s"/>
      <c r="N3462" s="572" t="s"/>
      <c r="O3462" s="62" t="s"/>
      <c r="P3462" s="62" t="s"/>
      <c r="Q3462" s="62" t="s"/>
      <c r="R3462" s="62" t="s"/>
    </row>
    <row r="3463" spans="1:18" ht="15.75" customHeight="true">
      <c r="A3463" s="107" t="s"/>
      <c r="B3463" s="62" t="s"/>
      <c r="C3463" s="62" t="s"/>
      <c r="D3463" s="62" t="s"/>
      <c r="E3463" s="62" t="s"/>
      <c r="F3463" s="66" t="s"/>
      <c r="G3463" s="66" t="s"/>
      <c r="H3463" s="66" t="s"/>
      <c r="I3463" s="62" t="s"/>
      <c r="J3463" s="62" t="s"/>
      <c r="K3463" s="99" t="s"/>
      <c r="L3463" s="66" t="s"/>
      <c r="M3463" s="66" t="s"/>
      <c r="N3463" s="572" t="s"/>
      <c r="O3463" s="62" t="s"/>
      <c r="P3463" s="62" t="s"/>
      <c r="Q3463" s="62" t="s"/>
      <c r="R3463" s="62" t="s"/>
    </row>
    <row r="3464" spans="1:18" ht="15.75" customHeight="true">
      <c r="A3464" s="107" t="s"/>
      <c r="B3464" s="62" t="s"/>
      <c r="C3464" s="62" t="s"/>
      <c r="D3464" s="62" t="s"/>
      <c r="E3464" s="62" t="s"/>
      <c r="F3464" s="66" t="s"/>
      <c r="G3464" s="66" t="s"/>
      <c r="H3464" s="66" t="s"/>
      <c r="I3464" s="62" t="s"/>
      <c r="J3464" s="62" t="s"/>
      <c r="K3464" s="99" t="s"/>
      <c r="L3464" s="66" t="s"/>
      <c r="M3464" s="66" t="s"/>
      <c r="N3464" s="572" t="s"/>
      <c r="O3464" s="62" t="s"/>
      <c r="P3464" s="62" t="s"/>
      <c r="Q3464" s="62" t="s"/>
      <c r="R3464" s="62" t="s"/>
    </row>
    <row r="3465" spans="1:18" ht="15.75" customHeight="true">
      <c r="A3465" s="107" t="s"/>
      <c r="B3465" s="62" t="s"/>
      <c r="C3465" s="62" t="s"/>
      <c r="D3465" s="62" t="s"/>
      <c r="E3465" s="62" t="s"/>
      <c r="F3465" s="66" t="s"/>
      <c r="G3465" s="66" t="s"/>
      <c r="H3465" s="66" t="s"/>
      <c r="I3465" s="62" t="s"/>
      <c r="J3465" s="62" t="s"/>
      <c r="K3465" s="99" t="s"/>
      <c r="L3465" s="66" t="s"/>
      <c r="M3465" s="66" t="s"/>
      <c r="N3465" s="572" t="s"/>
      <c r="O3465" s="62" t="s"/>
      <c r="P3465" s="62" t="s"/>
      <c r="Q3465" s="62" t="s"/>
      <c r="R3465" s="62" t="s"/>
    </row>
    <row r="3466" spans="1:18" ht="15.75" customHeight="true">
      <c r="A3466" s="107" t="s"/>
      <c r="B3466" s="62" t="s"/>
      <c r="C3466" s="62" t="s"/>
      <c r="D3466" s="62" t="s"/>
      <c r="E3466" s="62" t="s"/>
      <c r="F3466" s="66" t="s"/>
      <c r="G3466" s="66" t="s"/>
      <c r="H3466" s="66" t="s"/>
      <c r="I3466" s="62" t="s"/>
      <c r="J3466" s="62" t="s"/>
      <c r="K3466" s="99" t="s"/>
      <c r="L3466" s="66" t="s"/>
      <c r="M3466" s="66" t="s"/>
      <c r="N3466" s="572" t="s"/>
      <c r="O3466" s="62" t="s"/>
      <c r="P3466" s="62" t="s"/>
      <c r="Q3466" s="62" t="s"/>
      <c r="R3466" s="62" t="s"/>
    </row>
    <row r="3467" spans="1:18" ht="15.75" customHeight="true">
      <c r="A3467" s="107" t="s"/>
      <c r="B3467" s="62" t="s"/>
      <c r="C3467" s="62" t="s"/>
      <c r="D3467" s="62" t="s"/>
      <c r="E3467" s="62" t="s"/>
      <c r="F3467" s="66" t="s"/>
      <c r="G3467" s="66" t="s"/>
      <c r="H3467" s="66" t="s"/>
      <c r="I3467" s="62" t="s"/>
      <c r="J3467" s="62" t="s"/>
      <c r="K3467" s="99" t="s"/>
      <c r="L3467" s="66" t="s"/>
      <c r="M3467" s="66" t="s"/>
      <c r="N3467" s="572" t="s"/>
      <c r="O3467" s="62" t="s"/>
      <c r="P3467" s="62" t="s"/>
      <c r="Q3467" s="62" t="s"/>
      <c r="R3467" s="62" t="s"/>
    </row>
    <row r="3468" spans="1:18" ht="15.75" customHeight="true">
      <c r="A3468" s="107" t="s"/>
      <c r="B3468" s="62" t="s"/>
      <c r="C3468" s="62" t="s"/>
      <c r="D3468" s="62" t="s"/>
      <c r="E3468" s="62" t="s"/>
      <c r="F3468" s="66" t="s"/>
      <c r="G3468" s="66" t="s"/>
      <c r="H3468" s="66" t="s"/>
      <c r="I3468" s="62" t="s"/>
      <c r="J3468" s="62" t="s"/>
      <c r="K3468" s="99" t="s"/>
      <c r="L3468" s="66" t="s"/>
      <c r="M3468" s="66" t="s"/>
      <c r="N3468" s="572" t="s"/>
      <c r="O3468" s="62" t="s"/>
      <c r="P3468" s="62" t="s"/>
      <c r="Q3468" s="62" t="s"/>
      <c r="R3468" s="62" t="s"/>
    </row>
    <row r="3469" spans="1:18" ht="15.75" customHeight="true">
      <c r="A3469" s="107" t="s"/>
      <c r="B3469" s="62" t="s"/>
      <c r="C3469" s="62" t="s"/>
      <c r="D3469" s="62" t="s"/>
      <c r="E3469" s="62" t="s"/>
      <c r="F3469" s="66" t="s"/>
      <c r="G3469" s="66" t="s"/>
      <c r="H3469" s="66" t="s"/>
      <c r="I3469" s="62" t="s"/>
      <c r="J3469" s="62" t="s"/>
      <c r="K3469" s="99" t="s"/>
      <c r="L3469" s="66" t="s"/>
      <c r="M3469" s="66" t="s"/>
      <c r="N3469" s="572" t="s"/>
      <c r="O3469" s="62" t="s"/>
      <c r="P3469" s="62" t="s"/>
      <c r="Q3469" s="62" t="s"/>
      <c r="R3469" s="62" t="s"/>
    </row>
    <row r="3470" spans="1:18" ht="15.75" customHeight="true">
      <c r="A3470" s="107" t="s"/>
      <c r="B3470" s="62" t="s"/>
      <c r="C3470" s="62" t="s"/>
      <c r="D3470" s="62" t="s"/>
      <c r="E3470" s="62" t="s"/>
      <c r="F3470" s="66" t="s"/>
      <c r="G3470" s="66" t="s"/>
      <c r="H3470" s="66" t="s"/>
      <c r="I3470" s="62" t="s"/>
      <c r="J3470" s="62" t="s"/>
      <c r="K3470" s="99" t="s"/>
      <c r="L3470" s="66" t="s"/>
      <c r="M3470" s="66" t="s"/>
      <c r="N3470" s="572" t="s"/>
      <c r="O3470" s="62" t="s"/>
      <c r="P3470" s="62" t="s"/>
      <c r="Q3470" s="62" t="s"/>
      <c r="R3470" s="62" t="s"/>
    </row>
    <row r="3471" spans="1:18" ht="15.75" customHeight="true">
      <c r="A3471" s="107" t="s"/>
      <c r="B3471" s="62" t="s"/>
      <c r="C3471" s="62" t="s"/>
      <c r="D3471" s="62" t="s"/>
      <c r="E3471" s="62" t="s"/>
      <c r="F3471" s="66" t="s"/>
      <c r="G3471" s="66" t="s"/>
      <c r="H3471" s="66" t="s"/>
      <c r="I3471" s="62" t="s"/>
      <c r="J3471" s="62" t="s"/>
      <c r="K3471" s="99" t="s"/>
      <c r="L3471" s="66" t="s"/>
      <c r="M3471" s="66" t="s"/>
      <c r="N3471" s="572" t="s"/>
      <c r="O3471" s="62" t="s"/>
      <c r="P3471" s="62" t="s"/>
      <c r="Q3471" s="62" t="s"/>
      <c r="R3471" s="62" t="s"/>
    </row>
    <row r="3472" spans="1:18" ht="15.75" customHeight="true">
      <c r="A3472" s="107" t="s"/>
      <c r="B3472" s="62" t="s"/>
      <c r="C3472" s="62" t="s"/>
      <c r="D3472" s="62" t="s"/>
      <c r="E3472" s="62" t="s"/>
      <c r="F3472" s="66" t="s"/>
      <c r="G3472" s="66" t="s"/>
      <c r="H3472" s="66" t="s"/>
      <c r="I3472" s="62" t="s"/>
      <c r="J3472" s="62" t="s"/>
      <c r="K3472" s="99" t="s"/>
      <c r="L3472" s="66" t="s"/>
      <c r="M3472" s="66" t="s"/>
      <c r="N3472" s="572" t="s"/>
      <c r="O3472" s="62" t="s"/>
      <c r="P3472" s="62" t="s"/>
      <c r="Q3472" s="62" t="s"/>
      <c r="R3472" s="62" t="s"/>
    </row>
    <row r="3473" spans="1:18" ht="15.75" customHeight="true">
      <c r="A3473" s="107" t="s"/>
      <c r="B3473" s="62" t="s"/>
      <c r="C3473" s="62" t="s"/>
      <c r="D3473" s="62" t="s"/>
      <c r="E3473" s="62" t="s"/>
      <c r="F3473" s="66" t="s"/>
      <c r="G3473" s="66" t="s"/>
      <c r="H3473" s="66" t="s"/>
      <c r="I3473" s="62" t="s"/>
      <c r="J3473" s="62" t="s"/>
      <c r="K3473" s="99" t="s"/>
      <c r="L3473" s="66" t="s"/>
      <c r="M3473" s="66" t="s"/>
      <c r="N3473" s="572" t="s"/>
      <c r="O3473" s="62" t="s"/>
      <c r="P3473" s="62" t="s"/>
      <c r="Q3473" s="62" t="s"/>
      <c r="R3473" s="62" t="s"/>
    </row>
    <row r="3474" spans="1:18" ht="15.75" customHeight="true">
      <c r="A3474" s="107" t="s"/>
      <c r="B3474" s="62" t="s"/>
      <c r="C3474" s="62" t="s"/>
      <c r="D3474" s="62" t="s"/>
      <c r="E3474" s="62" t="s"/>
      <c r="F3474" s="66" t="s"/>
      <c r="G3474" s="66" t="s"/>
      <c r="H3474" s="66" t="s"/>
      <c r="I3474" s="62" t="s"/>
      <c r="J3474" s="62" t="s"/>
      <c r="K3474" s="99" t="s"/>
      <c r="L3474" s="66" t="s"/>
      <c r="M3474" s="66" t="s"/>
      <c r="N3474" s="572" t="s"/>
      <c r="O3474" s="62" t="s"/>
      <c r="P3474" s="62" t="s"/>
      <c r="Q3474" s="62" t="s"/>
      <c r="R3474" s="62" t="s"/>
    </row>
    <row r="3475" spans="1:18" ht="15.75" customHeight="true">
      <c r="A3475" s="107" t="s"/>
      <c r="B3475" s="62" t="s"/>
      <c r="C3475" s="62" t="s"/>
      <c r="D3475" s="62" t="s"/>
      <c r="E3475" s="62" t="s"/>
      <c r="F3475" s="66" t="s"/>
      <c r="G3475" s="66" t="s"/>
      <c r="H3475" s="66" t="s"/>
      <c r="I3475" s="62" t="s"/>
      <c r="J3475" s="62" t="s"/>
      <c r="K3475" s="99" t="s"/>
      <c r="L3475" s="66" t="s"/>
      <c r="M3475" s="66" t="s"/>
      <c r="N3475" s="572" t="s"/>
      <c r="O3475" s="62" t="s"/>
      <c r="P3475" s="62" t="s"/>
      <c r="Q3475" s="62" t="s"/>
      <c r="R3475" s="62" t="s"/>
    </row>
    <row r="3476" spans="1:18" ht="15.75" customHeight="true">
      <c r="A3476" s="107" t="s"/>
      <c r="B3476" s="62" t="s"/>
      <c r="C3476" s="62" t="s"/>
      <c r="D3476" s="62" t="s"/>
      <c r="E3476" s="62" t="s"/>
      <c r="F3476" s="66" t="s"/>
      <c r="G3476" s="66" t="s"/>
      <c r="H3476" s="66" t="s"/>
      <c r="I3476" s="62" t="s"/>
      <c r="J3476" s="62" t="s"/>
      <c r="K3476" s="99" t="s"/>
      <c r="L3476" s="66" t="s"/>
      <c r="M3476" s="66" t="s"/>
      <c r="N3476" s="572" t="s"/>
      <c r="O3476" s="62" t="s"/>
      <c r="P3476" s="62" t="s"/>
      <c r="Q3476" s="62" t="s"/>
      <c r="R3476" s="62" t="s"/>
    </row>
    <row r="3477" spans="1:18" ht="15.75" customHeight="true">
      <c r="A3477" s="107" t="s"/>
      <c r="B3477" s="62" t="s"/>
      <c r="C3477" s="62" t="s"/>
      <c r="D3477" s="62" t="s"/>
      <c r="E3477" s="62" t="s"/>
      <c r="F3477" s="66" t="s"/>
      <c r="G3477" s="66" t="s"/>
      <c r="H3477" s="66" t="s"/>
      <c r="I3477" s="62" t="s"/>
      <c r="J3477" s="62" t="s"/>
      <c r="K3477" s="99" t="s"/>
      <c r="L3477" s="66" t="s"/>
      <c r="M3477" s="66" t="s"/>
      <c r="N3477" s="572" t="s"/>
      <c r="O3477" s="62" t="s"/>
      <c r="P3477" s="62" t="s"/>
      <c r="Q3477" s="62" t="s"/>
      <c r="R3477" s="62" t="s"/>
    </row>
    <row r="3478" spans="1:18" ht="15.75" customHeight="true">
      <c r="A3478" s="107" t="s"/>
      <c r="B3478" s="62" t="s"/>
      <c r="C3478" s="62" t="s"/>
      <c r="D3478" s="62" t="s"/>
      <c r="E3478" s="62" t="s"/>
      <c r="F3478" s="66" t="s"/>
      <c r="G3478" s="66" t="s"/>
      <c r="H3478" s="66" t="s"/>
      <c r="I3478" s="62" t="s"/>
      <c r="J3478" s="62" t="s"/>
      <c r="K3478" s="99" t="s"/>
      <c r="L3478" s="66" t="s"/>
      <c r="M3478" s="66" t="s"/>
      <c r="N3478" s="572" t="s"/>
      <c r="O3478" s="62" t="s"/>
      <c r="P3478" s="62" t="s"/>
      <c r="Q3478" s="62" t="s"/>
      <c r="R3478" s="62" t="s"/>
    </row>
    <row r="3479" spans="1:18" ht="15.75" customHeight="true">
      <c r="A3479" s="107" t="s"/>
      <c r="B3479" s="62" t="s"/>
      <c r="C3479" s="62" t="s"/>
      <c r="D3479" s="62" t="s"/>
      <c r="E3479" s="62" t="s"/>
      <c r="F3479" s="66" t="s"/>
      <c r="G3479" s="66" t="s"/>
      <c r="H3479" s="66" t="s"/>
      <c r="I3479" s="62" t="s"/>
      <c r="J3479" s="62" t="s"/>
      <c r="K3479" s="99" t="s"/>
      <c r="L3479" s="66" t="s"/>
      <c r="M3479" s="66" t="s"/>
      <c r="N3479" s="572" t="s"/>
      <c r="O3479" s="62" t="s"/>
      <c r="P3479" s="62" t="s"/>
      <c r="Q3479" s="62" t="s"/>
      <c r="R3479" s="62" t="s"/>
    </row>
    <row r="3480" spans="1:18" ht="15.75" customHeight="true">
      <c r="A3480" s="107" t="s"/>
      <c r="B3480" s="62" t="s"/>
      <c r="C3480" s="62" t="s"/>
      <c r="D3480" s="62" t="s"/>
      <c r="E3480" s="62" t="s"/>
      <c r="F3480" s="66" t="s"/>
      <c r="G3480" s="66" t="s"/>
      <c r="H3480" s="66" t="s"/>
      <c r="I3480" s="62" t="s"/>
      <c r="J3480" s="62" t="s"/>
      <c r="K3480" s="99" t="s"/>
      <c r="L3480" s="66" t="s"/>
      <c r="M3480" s="66" t="s"/>
      <c r="N3480" s="572" t="s"/>
      <c r="O3480" s="62" t="s"/>
      <c r="P3480" s="62" t="s"/>
      <c r="Q3480" s="62" t="s"/>
      <c r="R3480" s="62" t="s"/>
    </row>
    <row r="3481" spans="1:18" ht="15.75" customHeight="true">
      <c r="A3481" s="107" t="s"/>
      <c r="B3481" s="62" t="s"/>
      <c r="C3481" s="62" t="s"/>
      <c r="D3481" s="62" t="s"/>
      <c r="E3481" s="62" t="s"/>
      <c r="F3481" s="66" t="s"/>
      <c r="G3481" s="66" t="s"/>
      <c r="H3481" s="66" t="s"/>
      <c r="I3481" s="62" t="s"/>
      <c r="J3481" s="62" t="s"/>
      <c r="K3481" s="99" t="s"/>
      <c r="L3481" s="66" t="s"/>
      <c r="M3481" s="66" t="s"/>
      <c r="N3481" s="572" t="s"/>
      <c r="O3481" s="62" t="s"/>
      <c r="P3481" s="62" t="s"/>
      <c r="Q3481" s="62" t="s"/>
      <c r="R3481" s="62" t="s"/>
    </row>
    <row r="3482" spans="1:18" ht="15.75" customHeight="true">
      <c r="A3482" s="107" t="s"/>
      <c r="B3482" s="62" t="s"/>
      <c r="C3482" s="62" t="s"/>
      <c r="D3482" s="62" t="s"/>
      <c r="E3482" s="62" t="s"/>
      <c r="F3482" s="66" t="s"/>
      <c r="G3482" s="66" t="s"/>
      <c r="H3482" s="66" t="s"/>
      <c r="I3482" s="62" t="s"/>
      <c r="J3482" s="62" t="s"/>
      <c r="K3482" s="99" t="s"/>
      <c r="L3482" s="66" t="s"/>
      <c r="M3482" s="66" t="s"/>
      <c r="N3482" s="572" t="s"/>
      <c r="O3482" s="62" t="s"/>
      <c r="P3482" s="62" t="s"/>
      <c r="Q3482" s="62" t="s"/>
      <c r="R3482" s="62" t="s"/>
    </row>
    <row r="3483" spans="1:18" ht="15.75" customHeight="true">
      <c r="A3483" s="107" t="s"/>
      <c r="B3483" s="62" t="s"/>
      <c r="C3483" s="62" t="s"/>
      <c r="D3483" s="62" t="s"/>
      <c r="E3483" s="62" t="s"/>
      <c r="F3483" s="66" t="s"/>
      <c r="G3483" s="66" t="s"/>
      <c r="H3483" s="66" t="s"/>
      <c r="I3483" s="62" t="s"/>
      <c r="J3483" s="62" t="s"/>
      <c r="K3483" s="99" t="s"/>
      <c r="L3483" s="66" t="s"/>
      <c r="M3483" s="66" t="s"/>
      <c r="N3483" s="572" t="s"/>
      <c r="O3483" s="62" t="s"/>
      <c r="P3483" s="62" t="s"/>
      <c r="Q3483" s="62" t="s"/>
      <c r="R3483" s="62" t="s"/>
    </row>
    <row r="3484" spans="1:18" ht="15.75" customHeight="true">
      <c r="A3484" s="107" t="s"/>
      <c r="B3484" s="62" t="s"/>
      <c r="C3484" s="62" t="s"/>
      <c r="D3484" s="62" t="s"/>
      <c r="E3484" s="62" t="s"/>
      <c r="F3484" s="66" t="s"/>
      <c r="G3484" s="66" t="s"/>
      <c r="H3484" s="66" t="s"/>
      <c r="I3484" s="62" t="s"/>
      <c r="J3484" s="62" t="s"/>
      <c r="K3484" s="99" t="s"/>
      <c r="L3484" s="66" t="s"/>
      <c r="M3484" s="66" t="s"/>
      <c r="N3484" s="572" t="s"/>
      <c r="O3484" s="62" t="s"/>
      <c r="P3484" s="62" t="s"/>
      <c r="Q3484" s="62" t="s"/>
      <c r="R3484" s="62" t="s"/>
    </row>
    <row r="3485" spans="1:18" ht="15.75" customHeight="true">
      <c r="A3485" s="107" t="s"/>
      <c r="B3485" s="62" t="s"/>
      <c r="C3485" s="62" t="s"/>
      <c r="D3485" s="62" t="s"/>
      <c r="E3485" s="62" t="s"/>
      <c r="F3485" s="66" t="s"/>
      <c r="G3485" s="66" t="s"/>
      <c r="H3485" s="66" t="s"/>
      <c r="I3485" s="62" t="s"/>
      <c r="J3485" s="62" t="s"/>
      <c r="K3485" s="99" t="s"/>
      <c r="L3485" s="66" t="s"/>
      <c r="M3485" s="66" t="s"/>
      <c r="N3485" s="572" t="s"/>
      <c r="O3485" s="62" t="s"/>
      <c r="P3485" s="62" t="s"/>
      <c r="Q3485" s="62" t="s"/>
      <c r="R3485" s="62" t="s"/>
    </row>
    <row r="3486" spans="1:18" ht="15.75" customHeight="true">
      <c r="A3486" s="107" t="s"/>
      <c r="B3486" s="62" t="s"/>
      <c r="C3486" s="62" t="s"/>
      <c r="D3486" s="62" t="s"/>
      <c r="E3486" s="62" t="s"/>
      <c r="F3486" s="66" t="s"/>
      <c r="G3486" s="66" t="s"/>
      <c r="H3486" s="66" t="s"/>
      <c r="I3486" s="62" t="s"/>
      <c r="J3486" s="62" t="s"/>
      <c r="K3486" s="99" t="s"/>
      <c r="L3486" s="66" t="s"/>
      <c r="M3486" s="66" t="s"/>
      <c r="N3486" s="572" t="s"/>
      <c r="O3486" s="62" t="s"/>
      <c r="P3486" s="62" t="s"/>
      <c r="Q3486" s="62" t="s"/>
      <c r="R3486" s="62" t="s"/>
    </row>
    <row r="3487" spans="1:18" ht="15.75" customHeight="true">
      <c r="A3487" s="107" t="s"/>
      <c r="B3487" s="62" t="s"/>
      <c r="C3487" s="62" t="s"/>
      <c r="D3487" s="62" t="s"/>
      <c r="E3487" s="62" t="s"/>
      <c r="F3487" s="66" t="s"/>
      <c r="G3487" s="66" t="s"/>
      <c r="H3487" s="66" t="s"/>
      <c r="I3487" s="62" t="s"/>
      <c r="J3487" s="62" t="s"/>
      <c r="K3487" s="99" t="s"/>
      <c r="L3487" s="66" t="s"/>
      <c r="M3487" s="66" t="s"/>
      <c r="N3487" s="572" t="s"/>
      <c r="O3487" s="62" t="s"/>
      <c r="P3487" s="62" t="s"/>
      <c r="Q3487" s="62" t="s"/>
      <c r="R3487" s="62" t="s"/>
    </row>
    <row r="3488" spans="1:18" ht="15.75" customHeight="true">
      <c r="A3488" s="107" t="s"/>
      <c r="B3488" s="62" t="s"/>
      <c r="C3488" s="62" t="s"/>
      <c r="D3488" s="62" t="s"/>
      <c r="E3488" s="62" t="s"/>
      <c r="F3488" s="66" t="s"/>
      <c r="G3488" s="66" t="s"/>
      <c r="H3488" s="66" t="s"/>
      <c r="I3488" s="62" t="s"/>
      <c r="J3488" s="62" t="s"/>
      <c r="K3488" s="99" t="s"/>
      <c r="L3488" s="66" t="s"/>
      <c r="M3488" s="66" t="s"/>
      <c r="N3488" s="572" t="s"/>
      <c r="O3488" s="62" t="s"/>
      <c r="P3488" s="62" t="s"/>
      <c r="Q3488" s="62" t="s"/>
      <c r="R3488" s="62" t="s"/>
    </row>
    <row r="3489" spans="1:18" ht="15.75" customHeight="true">
      <c r="A3489" s="107" t="s"/>
      <c r="B3489" s="62" t="s"/>
      <c r="C3489" s="62" t="s"/>
      <c r="D3489" s="62" t="s"/>
      <c r="E3489" s="62" t="s"/>
      <c r="F3489" s="66" t="s"/>
      <c r="G3489" s="66" t="s"/>
      <c r="H3489" s="66" t="s"/>
      <c r="I3489" s="62" t="s"/>
      <c r="J3489" s="62" t="s"/>
      <c r="K3489" s="99" t="s"/>
      <c r="L3489" s="66" t="s"/>
      <c r="M3489" s="66" t="s"/>
      <c r="N3489" s="572" t="s"/>
      <c r="O3489" s="62" t="s"/>
      <c r="P3489" s="62" t="s"/>
      <c r="Q3489" s="62" t="s"/>
      <c r="R3489" s="62" t="s"/>
    </row>
    <row r="3490" spans="1:18" ht="15.75" customHeight="true">
      <c r="A3490" s="107" t="s"/>
      <c r="B3490" s="62" t="s"/>
      <c r="C3490" s="62" t="s"/>
      <c r="D3490" s="62" t="s"/>
      <c r="E3490" s="62" t="s"/>
      <c r="F3490" s="66" t="s"/>
      <c r="G3490" s="66" t="s"/>
      <c r="H3490" s="66" t="s"/>
      <c r="I3490" s="62" t="s"/>
      <c r="J3490" s="62" t="s"/>
      <c r="K3490" s="99" t="s"/>
      <c r="L3490" s="66" t="s"/>
      <c r="M3490" s="66" t="s"/>
      <c r="N3490" s="572" t="s"/>
      <c r="O3490" s="62" t="s"/>
      <c r="P3490" s="62" t="s"/>
      <c r="Q3490" s="62" t="s"/>
      <c r="R3490" s="62" t="s"/>
    </row>
    <row r="3491" spans="1:18" ht="15.75" customHeight="true">
      <c r="A3491" s="107" t="s"/>
      <c r="B3491" s="62" t="s"/>
      <c r="C3491" s="62" t="s"/>
      <c r="D3491" s="62" t="s"/>
      <c r="E3491" s="62" t="s"/>
      <c r="F3491" s="66" t="s"/>
      <c r="G3491" s="66" t="s"/>
      <c r="H3491" s="66" t="s"/>
      <c r="I3491" s="62" t="s"/>
      <c r="J3491" s="62" t="s"/>
      <c r="K3491" s="99" t="s"/>
      <c r="L3491" s="66" t="s"/>
      <c r="M3491" s="66" t="s"/>
      <c r="N3491" s="572" t="s"/>
      <c r="O3491" s="62" t="s"/>
      <c r="P3491" s="62" t="s"/>
      <c r="Q3491" s="62" t="s"/>
      <c r="R3491" s="62" t="s"/>
    </row>
    <row r="3492" spans="1:18" ht="15.75" customHeight="true">
      <c r="A3492" s="107" t="s"/>
      <c r="B3492" s="62" t="s"/>
      <c r="C3492" s="62" t="s"/>
      <c r="D3492" s="62" t="s"/>
      <c r="E3492" s="62" t="s"/>
      <c r="F3492" s="66" t="s"/>
      <c r="G3492" s="66" t="s"/>
      <c r="H3492" s="66" t="s"/>
      <c r="I3492" s="62" t="s"/>
      <c r="J3492" s="62" t="s"/>
      <c r="K3492" s="99" t="s"/>
      <c r="L3492" s="66" t="s"/>
      <c r="M3492" s="66" t="s"/>
      <c r="N3492" s="572" t="s"/>
      <c r="O3492" s="62" t="s"/>
      <c r="P3492" s="62" t="s"/>
      <c r="Q3492" s="62" t="s"/>
      <c r="R3492" s="62" t="s"/>
    </row>
    <row r="3493" spans="1:18" ht="15.75" customHeight="true">
      <c r="A3493" s="107" t="s"/>
      <c r="B3493" s="62" t="s"/>
      <c r="C3493" s="62" t="s"/>
      <c r="D3493" s="62" t="s"/>
      <c r="E3493" s="62" t="s"/>
      <c r="F3493" s="66" t="s"/>
      <c r="G3493" s="66" t="s"/>
      <c r="H3493" s="66" t="s"/>
      <c r="I3493" s="62" t="s"/>
      <c r="J3493" s="62" t="s"/>
      <c r="K3493" s="99" t="s"/>
      <c r="L3493" s="66" t="s"/>
      <c r="M3493" s="66" t="s"/>
      <c r="N3493" s="572" t="s"/>
      <c r="O3493" s="62" t="s"/>
      <c r="P3493" s="62" t="s"/>
      <c r="Q3493" s="62" t="s"/>
      <c r="R3493" s="62" t="s"/>
    </row>
    <row r="3494" spans="1:18" ht="15.75" customHeight="true">
      <c r="A3494" s="107" t="s"/>
      <c r="B3494" s="62" t="s"/>
      <c r="C3494" s="62" t="s"/>
      <c r="D3494" s="62" t="s"/>
      <c r="E3494" s="62" t="s"/>
      <c r="F3494" s="66" t="s"/>
      <c r="G3494" s="66" t="s"/>
      <c r="H3494" s="66" t="s"/>
      <c r="I3494" s="62" t="s"/>
      <c r="J3494" s="62" t="s"/>
      <c r="K3494" s="99" t="s"/>
      <c r="L3494" s="66" t="s"/>
      <c r="M3494" s="66" t="s"/>
      <c r="N3494" s="572" t="s"/>
      <c r="O3494" s="62" t="s"/>
      <c r="P3494" s="62" t="s"/>
      <c r="Q3494" s="62" t="s"/>
      <c r="R3494" s="62" t="s"/>
    </row>
    <row r="3495" spans="1:18" ht="15.75" customHeight="true">
      <c r="A3495" s="107" t="s"/>
      <c r="B3495" s="62" t="s"/>
      <c r="C3495" s="62" t="s"/>
      <c r="D3495" s="62" t="s"/>
      <c r="E3495" s="62" t="s"/>
      <c r="F3495" s="66" t="s"/>
      <c r="G3495" s="66" t="s"/>
      <c r="H3495" s="66" t="s"/>
      <c r="I3495" s="62" t="s"/>
      <c r="J3495" s="62" t="s"/>
      <c r="K3495" s="99" t="s"/>
      <c r="L3495" s="66" t="s"/>
      <c r="M3495" s="66" t="s"/>
      <c r="N3495" s="572" t="s"/>
      <c r="O3495" s="62" t="s"/>
      <c r="P3495" s="62" t="s"/>
      <c r="Q3495" s="62" t="s"/>
      <c r="R3495" s="62" t="s"/>
    </row>
    <row r="3496" spans="1:18" ht="15.75" customHeight="true">
      <c r="A3496" s="107" t="s"/>
      <c r="B3496" s="62" t="s"/>
      <c r="C3496" s="62" t="s"/>
      <c r="D3496" s="62" t="s"/>
      <c r="E3496" s="62" t="s"/>
      <c r="F3496" s="66" t="s"/>
      <c r="G3496" s="66" t="s"/>
      <c r="H3496" s="66" t="s"/>
      <c r="I3496" s="62" t="s"/>
      <c r="J3496" s="62" t="s"/>
      <c r="K3496" s="99" t="s"/>
      <c r="L3496" s="66" t="s"/>
      <c r="M3496" s="66" t="s"/>
      <c r="N3496" s="572" t="s"/>
      <c r="O3496" s="62" t="s"/>
      <c r="P3496" s="62" t="s"/>
      <c r="Q3496" s="62" t="s"/>
      <c r="R3496" s="62" t="s"/>
    </row>
    <row r="3497" spans="1:18" ht="15.75" customHeight="true">
      <c r="A3497" s="107" t="s"/>
      <c r="B3497" s="62" t="s"/>
      <c r="C3497" s="62" t="s"/>
      <c r="D3497" s="62" t="s"/>
      <c r="E3497" s="62" t="s"/>
      <c r="F3497" s="66" t="s"/>
      <c r="G3497" s="66" t="s"/>
      <c r="H3497" s="66" t="s"/>
      <c r="I3497" s="62" t="s"/>
      <c r="J3497" s="62" t="s"/>
      <c r="K3497" s="99" t="s"/>
      <c r="L3497" s="66" t="s"/>
      <c r="M3497" s="66" t="s"/>
      <c r="N3497" s="572" t="s"/>
      <c r="O3497" s="62" t="s"/>
      <c r="P3497" s="62" t="s"/>
      <c r="Q3497" s="62" t="s"/>
      <c r="R3497" s="62" t="s"/>
    </row>
    <row r="3498" spans="1:18" ht="15.75" customHeight="true">
      <c r="A3498" s="107" t="s"/>
      <c r="B3498" s="62" t="s"/>
      <c r="C3498" s="62" t="s"/>
      <c r="D3498" s="62" t="s"/>
      <c r="E3498" s="62" t="s"/>
      <c r="F3498" s="66" t="s"/>
      <c r="G3498" s="66" t="s"/>
      <c r="H3498" s="66" t="s"/>
      <c r="I3498" s="62" t="s"/>
      <c r="J3498" s="62" t="s"/>
      <c r="K3498" s="99" t="s"/>
      <c r="L3498" s="66" t="s"/>
      <c r="M3498" s="66" t="s"/>
      <c r="N3498" s="572" t="s"/>
      <c r="O3498" s="62" t="s"/>
      <c r="P3498" s="62" t="s"/>
      <c r="Q3498" s="62" t="s"/>
      <c r="R3498" s="62" t="s"/>
    </row>
    <row r="3499" spans="1:18" ht="15.75" customHeight="true">
      <c r="A3499" s="107" t="s"/>
      <c r="B3499" s="62" t="s"/>
      <c r="C3499" s="62" t="s"/>
      <c r="D3499" s="62" t="s"/>
      <c r="E3499" s="62" t="s"/>
      <c r="F3499" s="66" t="s"/>
      <c r="G3499" s="66" t="s"/>
      <c r="H3499" s="66" t="s"/>
      <c r="I3499" s="62" t="s"/>
      <c r="J3499" s="62" t="s"/>
      <c r="K3499" s="99" t="s"/>
      <c r="L3499" s="66" t="s"/>
      <c r="M3499" s="66" t="s"/>
      <c r="N3499" s="572" t="s"/>
      <c r="O3499" s="62" t="s"/>
      <c r="P3499" s="62" t="s"/>
      <c r="Q3499" s="62" t="s"/>
      <c r="R3499" s="62" t="s"/>
    </row>
    <row r="3500" spans="1:18" ht="15.75" customHeight="true">
      <c r="A3500" s="107" t="s"/>
      <c r="B3500" s="62" t="s"/>
      <c r="C3500" s="62" t="s"/>
      <c r="D3500" s="62" t="s"/>
      <c r="E3500" s="62" t="s"/>
      <c r="F3500" s="66" t="s"/>
      <c r="G3500" s="66" t="s"/>
      <c r="H3500" s="66" t="s"/>
      <c r="I3500" s="62" t="s"/>
      <c r="J3500" s="62" t="s"/>
      <c r="K3500" s="99" t="s"/>
      <c r="L3500" s="66" t="s"/>
      <c r="M3500" s="66" t="s"/>
      <c r="N3500" s="572" t="s"/>
      <c r="O3500" s="62" t="s"/>
      <c r="P3500" s="62" t="s"/>
      <c r="Q3500" s="62" t="s"/>
      <c r="R3500" s="62" t="s"/>
    </row>
    <row r="3501" spans="1:18" ht="15.75" customHeight="true">
      <c r="A3501" s="107" t="s"/>
      <c r="B3501" s="62" t="s"/>
      <c r="C3501" s="62" t="s"/>
      <c r="D3501" s="62" t="s"/>
      <c r="E3501" s="62" t="s"/>
      <c r="F3501" s="66" t="s"/>
      <c r="G3501" s="66" t="s"/>
      <c r="H3501" s="66" t="s"/>
      <c r="I3501" s="62" t="s"/>
      <c r="J3501" s="62" t="s"/>
      <c r="K3501" s="99" t="s"/>
      <c r="L3501" s="66" t="s"/>
      <c r="M3501" s="66" t="s"/>
      <c r="N3501" s="572" t="s"/>
      <c r="O3501" s="62" t="s"/>
      <c r="P3501" s="62" t="s"/>
      <c r="Q3501" s="62" t="s"/>
      <c r="R3501" s="62" t="s"/>
    </row>
    <row r="3502" spans="1:18" ht="15.75" customHeight="true">
      <c r="A3502" s="107" t="s"/>
      <c r="B3502" s="62" t="s"/>
      <c r="C3502" s="62" t="s"/>
      <c r="D3502" s="62" t="s"/>
      <c r="E3502" s="62" t="s"/>
      <c r="F3502" s="66" t="s"/>
      <c r="G3502" s="66" t="s"/>
      <c r="H3502" s="66" t="s"/>
      <c r="I3502" s="62" t="s"/>
      <c r="J3502" s="62" t="s"/>
      <c r="K3502" s="99" t="s"/>
      <c r="L3502" s="66" t="s"/>
      <c r="M3502" s="66" t="s"/>
      <c r="N3502" s="572" t="s"/>
      <c r="O3502" s="62" t="s"/>
      <c r="P3502" s="62" t="s"/>
      <c r="Q3502" s="62" t="s"/>
      <c r="R3502" s="62" t="s"/>
    </row>
    <row r="3503" spans="1:18" ht="15.75" customHeight="true">
      <c r="A3503" s="107" t="s"/>
      <c r="B3503" s="62" t="s"/>
      <c r="C3503" s="62" t="s"/>
      <c r="D3503" s="62" t="s"/>
      <c r="E3503" s="62" t="s"/>
      <c r="F3503" s="66" t="s"/>
      <c r="G3503" s="66" t="s"/>
      <c r="H3503" s="66" t="s"/>
      <c r="I3503" s="62" t="s"/>
      <c r="J3503" s="62" t="s"/>
      <c r="K3503" s="99" t="s"/>
      <c r="L3503" s="66" t="s"/>
      <c r="M3503" s="66" t="s"/>
      <c r="N3503" s="572" t="s"/>
      <c r="O3503" s="62" t="s"/>
      <c r="P3503" s="62" t="s"/>
      <c r="Q3503" s="62" t="s"/>
      <c r="R3503" s="62" t="s"/>
    </row>
    <row r="3504" spans="1:18" ht="15.75" customHeight="true">
      <c r="A3504" s="107" t="s"/>
      <c r="B3504" s="62" t="s"/>
      <c r="C3504" s="62" t="s"/>
      <c r="D3504" s="62" t="s"/>
      <c r="E3504" s="62" t="s"/>
      <c r="F3504" s="66" t="s"/>
      <c r="G3504" s="66" t="s"/>
      <c r="H3504" s="66" t="s"/>
      <c r="I3504" s="62" t="s"/>
      <c r="J3504" s="62" t="s"/>
      <c r="K3504" s="99" t="s"/>
      <c r="L3504" s="66" t="s"/>
      <c r="M3504" s="66" t="s"/>
      <c r="N3504" s="572" t="s"/>
      <c r="O3504" s="62" t="s"/>
      <c r="P3504" s="62" t="s"/>
      <c r="Q3504" s="62" t="s"/>
      <c r="R3504" s="62" t="s"/>
    </row>
    <row r="3505" spans="1:18" ht="15.75" customHeight="true">
      <c r="A3505" s="107" t="s"/>
      <c r="B3505" s="62" t="s"/>
      <c r="C3505" s="62" t="s"/>
      <c r="D3505" s="62" t="s"/>
      <c r="E3505" s="62" t="s"/>
      <c r="F3505" s="66" t="s"/>
      <c r="G3505" s="66" t="s"/>
      <c r="H3505" s="66" t="s"/>
      <c r="I3505" s="62" t="s"/>
      <c r="J3505" s="62" t="s"/>
      <c r="K3505" s="99" t="s"/>
      <c r="L3505" s="66" t="s"/>
      <c r="M3505" s="66" t="s"/>
      <c r="N3505" s="572" t="s"/>
      <c r="O3505" s="62" t="s"/>
      <c r="P3505" s="62" t="s"/>
      <c r="Q3505" s="62" t="s"/>
      <c r="R3505" s="62" t="s"/>
    </row>
    <row r="3506" spans="1:18" ht="15.75" customHeight="true">
      <c r="A3506" s="107" t="s"/>
      <c r="B3506" s="62" t="s"/>
      <c r="C3506" s="62" t="s"/>
      <c r="D3506" s="62" t="s"/>
      <c r="E3506" s="62" t="s"/>
      <c r="F3506" s="66" t="s"/>
      <c r="G3506" s="66" t="s"/>
      <c r="H3506" s="66" t="s"/>
      <c r="I3506" s="62" t="s"/>
      <c r="J3506" s="62" t="s"/>
      <c r="K3506" s="99" t="s"/>
      <c r="L3506" s="66" t="s"/>
      <c r="M3506" s="66" t="s"/>
      <c r="N3506" s="572" t="s"/>
      <c r="O3506" s="62" t="s"/>
      <c r="P3506" s="62" t="s"/>
      <c r="Q3506" s="62" t="s"/>
      <c r="R3506" s="62" t="s"/>
    </row>
    <row r="3507" spans="1:18" ht="15.75" customHeight="true">
      <c r="A3507" s="107" t="s"/>
      <c r="B3507" s="62" t="s"/>
      <c r="C3507" s="62" t="s"/>
      <c r="D3507" s="62" t="s"/>
      <c r="E3507" s="62" t="s"/>
      <c r="F3507" s="66" t="s"/>
      <c r="G3507" s="66" t="s"/>
      <c r="H3507" s="66" t="s"/>
      <c r="I3507" s="62" t="s"/>
      <c r="J3507" s="62" t="s"/>
      <c r="K3507" s="99" t="s"/>
      <c r="L3507" s="66" t="s"/>
      <c r="M3507" s="66" t="s"/>
      <c r="N3507" s="572" t="s"/>
      <c r="O3507" s="62" t="s"/>
      <c r="P3507" s="62" t="s"/>
      <c r="Q3507" s="62" t="s"/>
      <c r="R3507" s="62" t="s"/>
    </row>
    <row r="3508" spans="1:18" ht="15.75" customHeight="true">
      <c r="A3508" s="107" t="s"/>
      <c r="B3508" s="62" t="s"/>
      <c r="C3508" s="62" t="s"/>
      <c r="D3508" s="62" t="s"/>
      <c r="E3508" s="62" t="s"/>
      <c r="F3508" s="66" t="s"/>
      <c r="G3508" s="66" t="s"/>
      <c r="H3508" s="66" t="s"/>
      <c r="I3508" s="62" t="s"/>
      <c r="J3508" s="62" t="s"/>
      <c r="K3508" s="99" t="s"/>
      <c r="L3508" s="66" t="s"/>
      <c r="M3508" s="66" t="s"/>
      <c r="N3508" s="572" t="s"/>
      <c r="O3508" s="62" t="s"/>
      <c r="P3508" s="62" t="s"/>
      <c r="Q3508" s="62" t="s"/>
      <c r="R3508" s="62" t="s"/>
    </row>
    <row r="3509" spans="1:18" ht="15.75" customHeight="true">
      <c r="A3509" s="107" t="s"/>
      <c r="B3509" s="62" t="s"/>
      <c r="C3509" s="62" t="s"/>
      <c r="D3509" s="62" t="s"/>
      <c r="E3509" s="62" t="s"/>
      <c r="F3509" s="66" t="s"/>
      <c r="G3509" s="66" t="s"/>
      <c r="H3509" s="66" t="s"/>
      <c r="I3509" s="62" t="s"/>
      <c r="J3509" s="62" t="s"/>
      <c r="K3509" s="99" t="s"/>
      <c r="L3509" s="66" t="s"/>
      <c r="M3509" s="66" t="s"/>
      <c r="N3509" s="572" t="s"/>
      <c r="O3509" s="62" t="s"/>
      <c r="P3509" s="62" t="s"/>
      <c r="Q3509" s="62" t="s"/>
      <c r="R3509" s="62" t="s"/>
    </row>
    <row r="3510" spans="1:18" ht="15.75" customHeight="true">
      <c r="A3510" s="107" t="s"/>
      <c r="B3510" s="62" t="s"/>
      <c r="C3510" s="62" t="s"/>
      <c r="D3510" s="62" t="s"/>
      <c r="E3510" s="62" t="s"/>
      <c r="F3510" s="66" t="s"/>
      <c r="G3510" s="66" t="s"/>
      <c r="H3510" s="66" t="s"/>
      <c r="I3510" s="62" t="s"/>
      <c r="J3510" s="62" t="s"/>
      <c r="K3510" s="99" t="s"/>
      <c r="L3510" s="66" t="s"/>
      <c r="M3510" s="66" t="s"/>
      <c r="N3510" s="572" t="s"/>
      <c r="O3510" s="62" t="s"/>
      <c r="P3510" s="62" t="s"/>
      <c r="Q3510" s="62" t="s"/>
      <c r="R3510" s="62" t="s"/>
    </row>
    <row r="3511" spans="1:18" ht="15.75" customHeight="true">
      <c r="A3511" s="107" t="s"/>
      <c r="B3511" s="62" t="s"/>
      <c r="C3511" s="62" t="s"/>
      <c r="D3511" s="62" t="s"/>
      <c r="E3511" s="62" t="s"/>
      <c r="F3511" s="66" t="s"/>
      <c r="G3511" s="66" t="s"/>
      <c r="H3511" s="66" t="s"/>
      <c r="I3511" s="62" t="s"/>
      <c r="J3511" s="62" t="s"/>
      <c r="K3511" s="99" t="s"/>
      <c r="L3511" s="66" t="s"/>
      <c r="M3511" s="66" t="s"/>
      <c r="N3511" s="572" t="s"/>
      <c r="O3511" s="62" t="s"/>
      <c r="P3511" s="62" t="s"/>
      <c r="Q3511" s="62" t="s"/>
      <c r="R3511" s="62" t="s"/>
    </row>
    <row r="3512" spans="1:18" ht="15.75" customHeight="true">
      <c r="A3512" s="107" t="s"/>
      <c r="B3512" s="62" t="s"/>
      <c r="C3512" s="62" t="s"/>
      <c r="D3512" s="62" t="s"/>
      <c r="E3512" s="62" t="s"/>
      <c r="F3512" s="66" t="s"/>
      <c r="G3512" s="66" t="s"/>
      <c r="H3512" s="66" t="s"/>
      <c r="I3512" s="62" t="s"/>
      <c r="J3512" s="62" t="s"/>
      <c r="K3512" s="99" t="s"/>
      <c r="L3512" s="66" t="s"/>
      <c r="M3512" s="66" t="s"/>
      <c r="N3512" s="572" t="s"/>
      <c r="O3512" s="62" t="s"/>
      <c r="P3512" s="62" t="s"/>
      <c r="Q3512" s="62" t="s"/>
      <c r="R3512" s="62" t="s"/>
    </row>
    <row r="3513" spans="1:18" ht="15.75" customHeight="true">
      <c r="A3513" s="107" t="s"/>
      <c r="B3513" s="62" t="s"/>
      <c r="C3513" s="62" t="s"/>
      <c r="D3513" s="62" t="s"/>
      <c r="E3513" s="62" t="s"/>
      <c r="F3513" s="66" t="s"/>
      <c r="G3513" s="66" t="s"/>
      <c r="H3513" s="66" t="s"/>
      <c r="I3513" s="62" t="s"/>
      <c r="J3513" s="62" t="s"/>
      <c r="K3513" s="99" t="s"/>
      <c r="L3513" s="66" t="s"/>
      <c r="M3513" s="66" t="s"/>
      <c r="N3513" s="572" t="s"/>
      <c r="O3513" s="62" t="s"/>
      <c r="P3513" s="62" t="s"/>
      <c r="Q3513" s="62" t="s"/>
      <c r="R3513" s="62" t="s"/>
    </row>
    <row r="3514" spans="1:18" ht="15.75" customHeight="true">
      <c r="A3514" s="107" t="s"/>
      <c r="B3514" s="62" t="s"/>
      <c r="C3514" s="62" t="s"/>
      <c r="D3514" s="62" t="s"/>
      <c r="E3514" s="62" t="s"/>
      <c r="F3514" s="66" t="s"/>
      <c r="G3514" s="66" t="s"/>
      <c r="H3514" s="66" t="s"/>
      <c r="I3514" s="62" t="s"/>
      <c r="J3514" s="62" t="s"/>
      <c r="K3514" s="99" t="s"/>
      <c r="L3514" s="66" t="s"/>
      <c r="M3514" s="66" t="s"/>
      <c r="N3514" s="572" t="s"/>
      <c r="O3514" s="62" t="s"/>
      <c r="P3514" s="62" t="s"/>
      <c r="Q3514" s="62" t="s"/>
      <c r="R3514" s="62" t="s"/>
    </row>
    <row r="3515" spans="1:18" ht="15.75" customHeight="true">
      <c r="A3515" s="107" t="s"/>
      <c r="B3515" s="62" t="s"/>
      <c r="C3515" s="62" t="s"/>
      <c r="D3515" s="62" t="s"/>
      <c r="E3515" s="62" t="s"/>
      <c r="F3515" s="66" t="s"/>
      <c r="G3515" s="66" t="s"/>
      <c r="H3515" s="66" t="s"/>
      <c r="I3515" s="62" t="s"/>
      <c r="J3515" s="62" t="s"/>
      <c r="K3515" s="99" t="s"/>
      <c r="L3515" s="66" t="s"/>
      <c r="M3515" s="66" t="s"/>
      <c r="N3515" s="572" t="s"/>
      <c r="O3515" s="62" t="s"/>
      <c r="P3515" s="62" t="s"/>
      <c r="Q3515" s="62" t="s"/>
      <c r="R3515" s="62" t="s"/>
    </row>
    <row r="3516" spans="1:18" ht="15.75" customHeight="true">
      <c r="A3516" s="107" t="s"/>
      <c r="B3516" s="62" t="s"/>
      <c r="C3516" s="62" t="s"/>
      <c r="D3516" s="62" t="s"/>
      <c r="E3516" s="62" t="s"/>
      <c r="F3516" s="66" t="s"/>
      <c r="G3516" s="66" t="s"/>
      <c r="H3516" s="66" t="s"/>
      <c r="I3516" s="62" t="s"/>
      <c r="J3516" s="62" t="s"/>
      <c r="K3516" s="99" t="s"/>
      <c r="L3516" s="66" t="s"/>
      <c r="M3516" s="66" t="s"/>
      <c r="N3516" s="572" t="s"/>
      <c r="O3516" s="62" t="s"/>
      <c r="P3516" s="62" t="s"/>
      <c r="Q3516" s="62" t="s"/>
      <c r="R3516" s="62" t="s"/>
    </row>
    <row r="3517" spans="1:18" ht="15.75" customHeight="true">
      <c r="A3517" s="107" t="s"/>
      <c r="B3517" s="62" t="s"/>
      <c r="C3517" s="62" t="s"/>
      <c r="D3517" s="62" t="s"/>
      <c r="E3517" s="62" t="s"/>
      <c r="F3517" s="66" t="s"/>
      <c r="G3517" s="66" t="s"/>
      <c r="H3517" s="66" t="s"/>
      <c r="I3517" s="62" t="s"/>
      <c r="J3517" s="62" t="s"/>
      <c r="K3517" s="99" t="s"/>
      <c r="L3517" s="66" t="s"/>
      <c r="M3517" s="66" t="s"/>
      <c r="N3517" s="572" t="s"/>
      <c r="O3517" s="62" t="s"/>
      <c r="P3517" s="62" t="s"/>
      <c r="Q3517" s="62" t="s"/>
      <c r="R3517" s="62" t="s"/>
    </row>
    <row r="3518" spans="1:18" ht="15.75" customHeight="true">
      <c r="A3518" s="107" t="s"/>
      <c r="B3518" s="62" t="s"/>
      <c r="C3518" s="62" t="s"/>
      <c r="D3518" s="62" t="s"/>
      <c r="E3518" s="62" t="s"/>
      <c r="F3518" s="66" t="s"/>
      <c r="G3518" s="66" t="s"/>
      <c r="H3518" s="66" t="s"/>
      <c r="I3518" s="62" t="s"/>
      <c r="J3518" s="62" t="s"/>
      <c r="K3518" s="99" t="s"/>
      <c r="L3518" s="66" t="s"/>
      <c r="M3518" s="66" t="s"/>
      <c r="N3518" s="572" t="s"/>
      <c r="O3518" s="62" t="s"/>
      <c r="P3518" s="62" t="s"/>
      <c r="Q3518" s="62" t="s"/>
      <c r="R3518" s="62" t="s"/>
    </row>
    <row r="3519" spans="1:18" ht="15.75" customHeight="true">
      <c r="A3519" s="107" t="s"/>
      <c r="B3519" s="62" t="s"/>
      <c r="C3519" s="62" t="s"/>
      <c r="D3519" s="62" t="s"/>
      <c r="E3519" s="62" t="s"/>
      <c r="F3519" s="66" t="s"/>
      <c r="G3519" s="66" t="s"/>
      <c r="H3519" s="66" t="s"/>
      <c r="I3519" s="62" t="s"/>
      <c r="J3519" s="62" t="s"/>
      <c r="K3519" s="99" t="s"/>
      <c r="L3519" s="66" t="s"/>
      <c r="M3519" s="66" t="s"/>
      <c r="N3519" s="572" t="s"/>
      <c r="O3519" s="62" t="s"/>
      <c r="P3519" s="62" t="s"/>
      <c r="Q3519" s="62" t="s"/>
      <c r="R3519" s="62" t="s"/>
    </row>
    <row r="3520" spans="1:18" ht="15.75" customHeight="true">
      <c r="A3520" s="107" t="s"/>
      <c r="B3520" s="62" t="s"/>
      <c r="C3520" s="62" t="s"/>
      <c r="D3520" s="62" t="s"/>
      <c r="E3520" s="62" t="s"/>
      <c r="F3520" s="66" t="s"/>
      <c r="G3520" s="66" t="s"/>
      <c r="H3520" s="66" t="s"/>
      <c r="I3520" s="62" t="s"/>
      <c r="J3520" s="62" t="s"/>
      <c r="K3520" s="99" t="s"/>
      <c r="L3520" s="66" t="s"/>
      <c r="M3520" s="66" t="s"/>
      <c r="N3520" s="572" t="s"/>
      <c r="O3520" s="62" t="s"/>
      <c r="P3520" s="62" t="s"/>
      <c r="Q3520" s="62" t="s"/>
      <c r="R3520" s="62" t="s"/>
    </row>
    <row r="3521" spans="1:18" ht="15.75" customHeight="true">
      <c r="A3521" s="107" t="s"/>
      <c r="B3521" s="62" t="s"/>
      <c r="C3521" s="62" t="s"/>
      <c r="D3521" s="62" t="s"/>
      <c r="E3521" s="62" t="s"/>
      <c r="F3521" s="66" t="s"/>
      <c r="G3521" s="66" t="s"/>
      <c r="H3521" s="66" t="s"/>
      <c r="I3521" s="62" t="s"/>
      <c r="J3521" s="62" t="s"/>
      <c r="K3521" s="99" t="s"/>
      <c r="L3521" s="66" t="s"/>
      <c r="M3521" s="66" t="s"/>
      <c r="N3521" s="572" t="s"/>
      <c r="O3521" s="62" t="s"/>
      <c r="P3521" s="62" t="s"/>
      <c r="Q3521" s="62" t="s"/>
      <c r="R3521" s="62" t="s"/>
    </row>
    <row r="3522" spans="1:18" ht="15.75" customHeight="true">
      <c r="A3522" s="107" t="s"/>
      <c r="B3522" s="62" t="s"/>
      <c r="C3522" s="62" t="s"/>
      <c r="D3522" s="62" t="s"/>
      <c r="E3522" s="62" t="s"/>
      <c r="F3522" s="66" t="s"/>
      <c r="G3522" s="66" t="s"/>
      <c r="H3522" s="66" t="s"/>
      <c r="I3522" s="62" t="s"/>
      <c r="J3522" s="62" t="s"/>
      <c r="K3522" s="99" t="s"/>
      <c r="L3522" s="66" t="s"/>
      <c r="M3522" s="66" t="s"/>
      <c r="N3522" s="572" t="s"/>
      <c r="O3522" s="62" t="s"/>
      <c r="P3522" s="62" t="s"/>
      <c r="Q3522" s="62" t="s"/>
      <c r="R3522" s="62" t="s"/>
    </row>
    <row r="3523" spans="1:18" ht="15.75" customHeight="true">
      <c r="A3523" s="107" t="s"/>
      <c r="B3523" s="62" t="s"/>
      <c r="C3523" s="62" t="s"/>
      <c r="D3523" s="62" t="s"/>
      <c r="E3523" s="62" t="s"/>
      <c r="F3523" s="66" t="s"/>
      <c r="G3523" s="66" t="s"/>
      <c r="H3523" s="66" t="s"/>
      <c r="I3523" s="62" t="s"/>
      <c r="J3523" s="62" t="s"/>
      <c r="K3523" s="99" t="s"/>
      <c r="L3523" s="66" t="s"/>
      <c r="M3523" s="66" t="s"/>
      <c r="N3523" s="572" t="s"/>
      <c r="O3523" s="62" t="s"/>
      <c r="P3523" s="62" t="s"/>
      <c r="Q3523" s="62" t="s"/>
      <c r="R3523" s="62" t="s"/>
    </row>
    <row r="3524" spans="1:18" ht="15.75" customHeight="true">
      <c r="A3524" s="107" t="s"/>
      <c r="B3524" s="62" t="s"/>
      <c r="C3524" s="62" t="s"/>
      <c r="D3524" s="62" t="s"/>
      <c r="E3524" s="62" t="s"/>
      <c r="F3524" s="66" t="s"/>
      <c r="G3524" s="66" t="s"/>
      <c r="H3524" s="66" t="s"/>
      <c r="I3524" s="62" t="s"/>
      <c r="J3524" s="62" t="s"/>
      <c r="K3524" s="99" t="s"/>
      <c r="L3524" s="66" t="s"/>
      <c r="M3524" s="66" t="s"/>
      <c r="N3524" s="572" t="s"/>
      <c r="O3524" s="62" t="s"/>
      <c r="P3524" s="62" t="s"/>
      <c r="Q3524" s="62" t="s"/>
      <c r="R3524" s="62" t="s"/>
    </row>
    <row r="3525" spans="1:14" ht="15.75" customHeight="true">
      <c r="A3525" s="169" t="s"/>
      <c r="G3525" s="105" t="s"/>
      <c r="H3525" s="105" t="s"/>
      <c r="J3525" s="573" t="s"/>
      <c r="K3525" s="574" t="s"/>
      <c r="M3525" s="103" t="s"/>
      <c r="N3525" s="103" t="s"/>
    </row>
    <row r="3526" spans="1:14" ht="15.75" customHeight="true">
      <c r="A3526" s="169" t="s"/>
      <c r="G3526" s="105" t="s"/>
      <c r="H3526" s="105" t="s"/>
      <c r="J3526" s="573" t="s"/>
      <c r="K3526" s="574" t="s"/>
      <c r="M3526" s="103" t="s"/>
      <c r="N3526" s="103" t="s"/>
    </row>
    <row r="3527" spans="1:14" ht="15.75" customHeight="true">
      <c r="A3527" s="169" t="s"/>
      <c r="G3527" s="105" t="s"/>
      <c r="H3527" s="105" t="s"/>
      <c r="J3527" s="573" t="s"/>
      <c r="K3527" s="574" t="s"/>
      <c r="M3527" s="103" t="s"/>
      <c r="N3527" s="103" t="s"/>
    </row>
    <row r="3528" spans="1:14" ht="15.75" customHeight="true">
      <c r="A3528" s="169" t="s"/>
      <c r="G3528" s="105" t="s"/>
      <c r="H3528" s="105" t="s"/>
      <c r="J3528" s="573" t="s"/>
      <c r="K3528" s="574" t="s"/>
      <c r="M3528" s="103" t="s"/>
      <c r="N3528" s="103" t="s"/>
    </row>
    <row r="3529" spans="1:14" ht="15.75" customHeight="true">
      <c r="A3529" s="169" t="s"/>
      <c r="G3529" s="105" t="s"/>
      <c r="H3529" s="105" t="s"/>
      <c r="J3529" s="573" t="s"/>
      <c r="K3529" s="574" t="s"/>
      <c r="M3529" s="103" t="s"/>
      <c r="N3529" s="103" t="s"/>
    </row>
    <row r="3530" spans="1:14" ht="15.75" customHeight="true">
      <c r="A3530" s="169" t="s"/>
      <c r="G3530" s="105" t="s"/>
      <c r="H3530" s="105" t="s"/>
      <c r="J3530" s="573" t="s"/>
      <c r="K3530" s="574" t="s"/>
      <c r="M3530" s="103" t="s"/>
      <c r="N3530" s="103" t="s"/>
    </row>
    <row r="3531" spans="1:14" ht="15.75" customHeight="true">
      <c r="A3531" s="169" t="s"/>
      <c r="G3531" s="105" t="s"/>
      <c r="H3531" s="105" t="s"/>
      <c r="J3531" s="573" t="s"/>
      <c r="K3531" s="574" t="s"/>
      <c r="M3531" s="103" t="s"/>
      <c r="N3531" s="103" t="s"/>
    </row>
    <row r="3532" spans="1:14" ht="15.75" customHeight="true">
      <c r="A3532" s="169" t="s"/>
      <c r="G3532" s="105" t="s"/>
      <c r="H3532" s="105" t="s"/>
      <c r="J3532" s="573" t="s"/>
      <c r="K3532" s="574" t="s"/>
      <c r="M3532" s="103" t="s"/>
      <c r="N3532" s="103" t="s"/>
    </row>
    <row r="3533" spans="1:14" ht="15.75" customHeight="true">
      <c r="A3533" s="169" t="s"/>
      <c r="G3533" s="105" t="s"/>
      <c r="H3533" s="105" t="s"/>
      <c r="J3533" s="573" t="s"/>
      <c r="K3533" s="574" t="s"/>
      <c r="M3533" s="103" t="s"/>
      <c r="N3533" s="103" t="s"/>
    </row>
    <row r="3534" spans="1:14" ht="15.75" customHeight="true">
      <c r="A3534" s="169" t="s"/>
      <c r="G3534" s="105" t="s"/>
      <c r="H3534" s="105" t="s"/>
      <c r="J3534" s="573" t="s"/>
      <c r="K3534" s="574" t="s"/>
      <c r="M3534" s="103" t="s"/>
      <c r="N3534" s="103" t="s"/>
    </row>
    <row r="3535" spans="1:14" ht="15.75" customHeight="true">
      <c r="A3535" s="169" t="s"/>
      <c r="G3535" s="105" t="s"/>
      <c r="H3535" s="105" t="s"/>
      <c r="J3535" s="573" t="s"/>
      <c r="K3535" s="574" t="s"/>
      <c r="M3535" s="103" t="s"/>
      <c r="N3535" s="103" t="s"/>
    </row>
    <row r="3536" spans="1:14" ht="15.75" customHeight="true">
      <c r="A3536" s="169" t="s"/>
      <c r="G3536" s="105" t="s"/>
      <c r="H3536" s="105" t="s"/>
      <c r="J3536" s="573" t="s"/>
      <c r="K3536" s="574" t="s"/>
      <c r="M3536" s="103" t="s"/>
      <c r="N3536" s="103" t="s"/>
    </row>
    <row r="3537" spans="1:14" ht="15.75" customHeight="true">
      <c r="A3537" s="169" t="s"/>
      <c r="G3537" s="105" t="s"/>
      <c r="H3537" s="105" t="s"/>
      <c r="J3537" s="573" t="s"/>
      <c r="K3537" s="574" t="s"/>
      <c r="M3537" s="103" t="s"/>
      <c r="N3537" s="103" t="s"/>
    </row>
    <row r="3538" spans="1:14" ht="15.75" customHeight="true">
      <c r="A3538" s="169" t="s"/>
      <c r="G3538" s="105" t="s"/>
      <c r="H3538" s="105" t="s"/>
      <c r="J3538" s="573" t="s"/>
      <c r="K3538" s="574" t="s"/>
      <c r="M3538" s="103" t="s"/>
      <c r="N3538" s="103" t="s"/>
    </row>
    <row r="3539" spans="1:14" ht="15.75" customHeight="true">
      <c r="A3539" s="169" t="s"/>
      <c r="G3539" s="105" t="s"/>
      <c r="H3539" s="105" t="s"/>
      <c r="J3539" s="573" t="s"/>
      <c r="K3539" s="574" t="s"/>
      <c r="M3539" s="103" t="s"/>
      <c r="N3539" s="103" t="s"/>
    </row>
    <row r="3540" spans="1:14" ht="15.75" customHeight="true">
      <c r="A3540" s="169" t="s"/>
      <c r="G3540" s="105" t="s"/>
      <c r="H3540" s="105" t="s"/>
      <c r="J3540" s="573" t="s"/>
      <c r="K3540" s="574" t="s"/>
      <c r="M3540" s="103" t="s"/>
      <c r="N3540" s="103" t="s"/>
    </row>
    <row r="3541" spans="1:14" ht="15.75" customHeight="true">
      <c r="A3541" s="169" t="s"/>
      <c r="G3541" s="105" t="s"/>
      <c r="H3541" s="105" t="s"/>
      <c r="J3541" s="573" t="s"/>
      <c r="K3541" s="574" t="s"/>
      <c r="M3541" s="103" t="s"/>
      <c r="N3541" s="103" t="s"/>
    </row>
    <row r="3542" spans="1:14" ht="15.75" customHeight="true">
      <c r="A3542" s="169" t="s"/>
      <c r="G3542" s="105" t="s"/>
      <c r="H3542" s="105" t="s"/>
      <c r="J3542" s="573" t="s"/>
      <c r="K3542" s="574" t="s"/>
      <c r="M3542" s="103" t="s"/>
      <c r="N3542" s="103" t="s"/>
    </row>
    <row r="3543" spans="1:14" ht="15.75" customHeight="true">
      <c r="A3543" s="169" t="s"/>
      <c r="G3543" s="105" t="s"/>
      <c r="H3543" s="105" t="s"/>
      <c r="J3543" s="573" t="s"/>
      <c r="K3543" s="574" t="s"/>
      <c r="M3543" s="103" t="s"/>
      <c r="N3543" s="103" t="s"/>
    </row>
    <row r="3544" spans="1:14" ht="15.75" customHeight="true">
      <c r="A3544" s="169" t="s"/>
      <c r="G3544" s="105" t="s"/>
      <c r="H3544" s="105" t="s"/>
      <c r="J3544" s="573" t="s"/>
      <c r="K3544" s="574" t="s"/>
      <c r="M3544" s="103" t="s"/>
      <c r="N3544" s="103" t="s"/>
    </row>
    <row r="3545" spans="1:14" ht="15.75" customHeight="true">
      <c r="A3545" s="169" t="s"/>
      <c r="G3545" s="105" t="s"/>
      <c r="H3545" s="105" t="s"/>
      <c r="J3545" s="573" t="s"/>
      <c r="K3545" s="574" t="s"/>
      <c r="M3545" s="103" t="s"/>
      <c r="N3545" s="103" t="s"/>
    </row>
    <row r="3546" spans="1:14" ht="15.75" customHeight="true">
      <c r="A3546" s="169" t="s"/>
      <c r="G3546" s="105" t="s"/>
      <c r="H3546" s="105" t="s"/>
      <c r="J3546" s="573" t="s"/>
      <c r="K3546" s="574" t="s"/>
      <c r="M3546" s="103" t="s"/>
      <c r="N3546" s="103" t="s"/>
    </row>
    <row r="3547" spans="1:14" ht="15.75" customHeight="true">
      <c r="A3547" s="169" t="s"/>
      <c r="G3547" s="105" t="s"/>
      <c r="H3547" s="105" t="s"/>
      <c r="J3547" s="573" t="s"/>
      <c r="K3547" s="574" t="s"/>
      <c r="M3547" s="103" t="s"/>
      <c r="N3547" s="103" t="s"/>
    </row>
    <row r="3548" spans="1:14" ht="15.75" customHeight="true">
      <c r="A3548" s="169" t="s"/>
      <c r="G3548" s="105" t="s"/>
      <c r="H3548" s="105" t="s"/>
      <c r="J3548" s="573" t="s"/>
      <c r="K3548" s="574" t="s"/>
      <c r="M3548" s="103" t="s"/>
      <c r="N3548" s="103" t="s"/>
    </row>
    <row r="3549" spans="1:14" ht="15.75" customHeight="true">
      <c r="A3549" s="169" t="s"/>
      <c r="G3549" s="105" t="s"/>
      <c r="H3549" s="105" t="s"/>
      <c r="J3549" s="573" t="s"/>
      <c r="K3549" s="574" t="s"/>
      <c r="M3549" s="103" t="s"/>
      <c r="N3549" s="103" t="s"/>
    </row>
    <row r="3550" spans="1:14" ht="15.75" customHeight="true">
      <c r="A3550" s="169" t="s"/>
      <c r="G3550" s="105" t="s"/>
      <c r="H3550" s="105" t="s"/>
      <c r="J3550" s="573" t="s"/>
      <c r="K3550" s="574" t="s"/>
      <c r="M3550" s="103" t="s"/>
      <c r="N3550" s="103" t="s"/>
    </row>
    <row r="3551" spans="1:14" ht="15.75" customHeight="true">
      <c r="A3551" s="169" t="s"/>
      <c r="G3551" s="105" t="s"/>
      <c r="H3551" s="105" t="s"/>
      <c r="J3551" s="573" t="s"/>
      <c r="K3551" s="574" t="s"/>
      <c r="M3551" s="103" t="s"/>
      <c r="N3551" s="103" t="s"/>
    </row>
    <row r="3552" spans="1:14" ht="15.75" customHeight="true">
      <c r="A3552" s="169" t="s"/>
      <c r="G3552" s="105" t="s"/>
      <c r="H3552" s="105" t="s"/>
      <c r="J3552" s="573" t="s"/>
      <c r="K3552" s="574" t="s"/>
      <c r="M3552" s="103" t="s"/>
      <c r="N3552" s="103" t="s"/>
    </row>
    <row r="3553" spans="1:14" ht="15.75" customHeight="true">
      <c r="A3553" s="169" t="s"/>
      <c r="G3553" s="105" t="s"/>
      <c r="H3553" s="105" t="s"/>
      <c r="J3553" s="573" t="s"/>
      <c r="K3553" s="574" t="s"/>
      <c r="M3553" s="103" t="s"/>
      <c r="N3553" s="103" t="s"/>
    </row>
    <row r="3554" spans="1:14" ht="15.75" customHeight="true">
      <c r="A3554" s="169" t="s"/>
      <c r="G3554" s="105" t="s"/>
      <c r="H3554" s="105" t="s"/>
      <c r="J3554" s="573" t="s"/>
      <c r="K3554" s="574" t="s"/>
      <c r="M3554" s="103" t="s"/>
      <c r="N3554" s="103" t="s"/>
    </row>
    <row r="3555" spans="1:14" ht="15.75" customHeight="true">
      <c r="A3555" s="169" t="s"/>
      <c r="G3555" s="105" t="s"/>
      <c r="H3555" s="105" t="s"/>
      <c r="J3555" s="573" t="s"/>
      <c r="K3555" s="574" t="s"/>
      <c r="M3555" s="103" t="s"/>
      <c r="N3555" s="103" t="s"/>
    </row>
    <row r="3556" spans="1:14" ht="15.75" customHeight="true">
      <c r="A3556" s="169" t="s"/>
      <c r="G3556" s="105" t="s"/>
      <c r="H3556" s="105" t="s"/>
      <c r="J3556" s="573" t="s"/>
      <c r="K3556" s="574" t="s"/>
      <c r="M3556" s="103" t="s"/>
      <c r="N3556" s="103" t="s"/>
    </row>
    <row r="3557" spans="1:14" ht="15.75" customHeight="true">
      <c r="A3557" s="169" t="s"/>
      <c r="G3557" s="105" t="s"/>
      <c r="H3557" s="105" t="s"/>
      <c r="J3557" s="573" t="s"/>
      <c r="K3557" s="574" t="s"/>
      <c r="M3557" s="103" t="s"/>
      <c r="N3557" s="103" t="s"/>
    </row>
    <row r="3558" spans="1:14" ht="15.75" customHeight="true">
      <c r="A3558" s="169" t="s"/>
      <c r="G3558" s="105" t="s"/>
      <c r="H3558" s="105" t="s"/>
      <c r="J3558" s="573" t="s"/>
      <c r="K3558" s="574" t="s"/>
      <c r="M3558" s="103" t="s"/>
      <c r="N3558" s="103" t="s"/>
    </row>
    <row r="3559" spans="1:14" ht="15.75" customHeight="true">
      <c r="A3559" s="169" t="s"/>
      <c r="G3559" s="105" t="s"/>
      <c r="H3559" s="105" t="s"/>
      <c r="J3559" s="573" t="s"/>
      <c r="K3559" s="574" t="s"/>
      <c r="M3559" s="103" t="s"/>
      <c r="N3559" s="103" t="s"/>
    </row>
    <row r="3560" spans="1:14" ht="15.75" customHeight="true">
      <c r="A3560" s="169" t="s"/>
      <c r="G3560" s="105" t="s"/>
      <c r="H3560" s="105" t="s"/>
      <c r="J3560" s="573" t="s"/>
      <c r="K3560" s="574" t="s"/>
      <c r="M3560" s="103" t="s"/>
      <c r="N3560" s="103" t="s"/>
    </row>
    <row r="3561" spans="1:14" ht="15.75" customHeight="true">
      <c r="A3561" s="169" t="s"/>
      <c r="G3561" s="105" t="s"/>
      <c r="H3561" s="105" t="s"/>
      <c r="J3561" s="573" t="s"/>
      <c r="K3561" s="574" t="s"/>
      <c r="M3561" s="103" t="s"/>
      <c r="N3561" s="103" t="s"/>
    </row>
    <row r="3562" spans="1:14" ht="15.75" customHeight="true">
      <c r="A3562" s="169" t="s"/>
      <c r="G3562" s="105" t="s"/>
      <c r="H3562" s="105" t="s"/>
      <c r="J3562" s="573" t="s"/>
      <c r="K3562" s="574" t="s"/>
      <c r="M3562" s="103" t="s"/>
      <c r="N3562" s="103" t="s"/>
    </row>
    <row r="3563" spans="1:14" ht="15.75" customHeight="true">
      <c r="A3563" s="169" t="s"/>
      <c r="G3563" s="105" t="s"/>
      <c r="H3563" s="105" t="s"/>
      <c r="J3563" s="573" t="s"/>
      <c r="K3563" s="574" t="s"/>
      <c r="M3563" s="103" t="s"/>
      <c r="N3563" s="103" t="s"/>
    </row>
    <row r="3564" spans="1:14" ht="15.75" customHeight="true">
      <c r="A3564" s="169" t="s"/>
      <c r="G3564" s="105" t="s"/>
      <c r="H3564" s="105" t="s"/>
      <c r="J3564" s="573" t="s"/>
      <c r="K3564" s="574" t="s"/>
      <c r="M3564" s="103" t="s"/>
      <c r="N3564" s="103" t="s"/>
    </row>
    <row r="3565" spans="1:14" ht="15.75" customHeight="true">
      <c r="A3565" s="169" t="s"/>
      <c r="G3565" s="105" t="s"/>
      <c r="H3565" s="105" t="s"/>
      <c r="J3565" s="573" t="s"/>
      <c r="K3565" s="574" t="s"/>
      <c r="M3565" s="103" t="s"/>
      <c r="N3565" s="103" t="s"/>
    </row>
    <row r="3566" spans="1:14" ht="15.75" customHeight="true">
      <c r="A3566" s="169" t="s"/>
      <c r="G3566" s="105" t="s"/>
      <c r="H3566" s="105" t="s"/>
      <c r="J3566" s="573" t="s"/>
      <c r="K3566" s="574" t="s"/>
      <c r="M3566" s="103" t="s"/>
      <c r="N3566" s="103" t="s"/>
    </row>
    <row r="3567" spans="1:14" ht="15.75" customHeight="true">
      <c r="A3567" s="169" t="s"/>
      <c r="G3567" s="105" t="s"/>
      <c r="H3567" s="105" t="s"/>
      <c r="J3567" s="573" t="s"/>
      <c r="K3567" s="574" t="s"/>
      <c r="M3567" s="103" t="s"/>
      <c r="N3567" s="103" t="s"/>
    </row>
    <row r="3568" spans="1:14" ht="15.75" customHeight="true">
      <c r="A3568" s="169" t="s"/>
      <c r="G3568" s="105" t="s"/>
      <c r="H3568" s="105" t="s"/>
      <c r="J3568" s="573" t="s"/>
      <c r="K3568" s="574" t="s"/>
      <c r="M3568" s="103" t="s"/>
      <c r="N3568" s="103" t="s"/>
    </row>
    <row r="3569" spans="1:14" ht="15.75" customHeight="true">
      <c r="A3569" s="169" t="s"/>
      <c r="G3569" s="105" t="s"/>
      <c r="H3569" s="105" t="s"/>
      <c r="J3569" s="573" t="s"/>
      <c r="K3569" s="574" t="s"/>
      <c r="M3569" s="103" t="s"/>
      <c r="N3569" s="103" t="s"/>
    </row>
    <row r="3570" spans="1:14" ht="15.75" customHeight="true">
      <c r="A3570" s="169" t="s"/>
      <c r="G3570" s="105" t="s"/>
      <c r="H3570" s="105" t="s"/>
      <c r="J3570" s="573" t="s"/>
      <c r="K3570" s="574" t="s"/>
      <c r="M3570" s="103" t="s"/>
      <c r="N3570" s="103" t="s"/>
    </row>
    <row r="3571" spans="1:14" ht="15.75" customHeight="true">
      <c r="A3571" s="169" t="s"/>
      <c r="G3571" s="105" t="s"/>
      <c r="H3571" s="105" t="s"/>
      <c r="J3571" s="573" t="s"/>
      <c r="K3571" s="574" t="s"/>
      <c r="M3571" s="103" t="s"/>
      <c r="N3571" s="103" t="s"/>
    </row>
    <row r="3572" spans="1:14" ht="15.75" customHeight="true">
      <c r="A3572" s="169" t="s"/>
      <c r="G3572" s="105" t="s"/>
      <c r="H3572" s="105" t="s"/>
      <c r="J3572" s="573" t="s"/>
      <c r="K3572" s="574" t="s"/>
      <c r="M3572" s="103" t="s"/>
      <c r="N3572" s="103" t="s"/>
    </row>
    <row r="3573" spans="1:14" ht="15.75" customHeight="true">
      <c r="A3573" s="169" t="s"/>
      <c r="G3573" s="105" t="s"/>
      <c r="H3573" s="105" t="s"/>
      <c r="J3573" s="573" t="s"/>
      <c r="K3573" s="574" t="s"/>
      <c r="M3573" s="103" t="s"/>
      <c r="N3573" s="103" t="s"/>
    </row>
    <row r="3574" spans="1:14" ht="15.75" customHeight="true">
      <c r="A3574" s="169" t="s"/>
      <c r="G3574" s="105" t="s"/>
      <c r="H3574" s="105" t="s"/>
      <c r="J3574" s="573" t="s"/>
      <c r="K3574" s="574" t="s"/>
      <c r="M3574" s="103" t="s"/>
      <c r="N3574" s="103" t="s"/>
    </row>
    <row r="3575" spans="1:14" ht="15.75" customHeight="true">
      <c r="A3575" s="169" t="s"/>
      <c r="G3575" s="105" t="s"/>
      <c r="H3575" s="105" t="s"/>
      <c r="J3575" s="573" t="s"/>
      <c r="K3575" s="574" t="s"/>
      <c r="M3575" s="103" t="s"/>
      <c r="N3575" s="103" t="s"/>
    </row>
    <row r="3576" spans="1:14" ht="15.75" customHeight="true">
      <c r="A3576" s="169" t="s"/>
      <c r="G3576" s="105" t="s"/>
      <c r="H3576" s="105" t="s"/>
      <c r="J3576" s="573" t="s"/>
      <c r="K3576" s="574" t="s"/>
      <c r="M3576" s="103" t="s"/>
      <c r="N3576" s="103" t="s"/>
    </row>
    <row r="3577" spans="1:14" ht="15.75" customHeight="true">
      <c r="A3577" s="169" t="s"/>
      <c r="G3577" s="105" t="s"/>
      <c r="H3577" s="105" t="s"/>
      <c r="J3577" s="573" t="s"/>
      <c r="K3577" s="574" t="s"/>
      <c r="M3577" s="103" t="s"/>
      <c r="N3577" s="103" t="s"/>
    </row>
    <row r="3578" spans="1:14" ht="15.75" customHeight="true">
      <c r="A3578" s="169" t="s"/>
      <c r="G3578" s="105" t="s"/>
      <c r="H3578" s="105" t="s"/>
      <c r="J3578" s="573" t="s"/>
      <c r="K3578" s="574" t="s"/>
      <c r="M3578" s="103" t="s"/>
      <c r="N3578" s="103" t="s"/>
    </row>
    <row r="3579" spans="1:14" ht="15.75" customHeight="true">
      <c r="A3579" s="169" t="s"/>
      <c r="G3579" s="105" t="s"/>
      <c r="H3579" s="105" t="s"/>
      <c r="J3579" s="573" t="s"/>
      <c r="K3579" s="574" t="s"/>
      <c r="M3579" s="103" t="s"/>
      <c r="N3579" s="103" t="s"/>
    </row>
    <row r="3580" spans="1:14" ht="15.75" customHeight="true">
      <c r="A3580" s="169" t="s"/>
      <c r="G3580" s="105" t="s"/>
      <c r="H3580" s="105" t="s"/>
      <c r="J3580" s="573" t="s"/>
      <c r="K3580" s="574" t="s"/>
      <c r="M3580" s="103" t="s"/>
      <c r="N3580" s="103" t="s"/>
    </row>
    <row r="3581" spans="1:14" ht="15.75" customHeight="true">
      <c r="A3581" s="169" t="s"/>
      <c r="G3581" s="105" t="s"/>
      <c r="H3581" s="105" t="s"/>
      <c r="J3581" s="573" t="s"/>
      <c r="K3581" s="574" t="s"/>
      <c r="M3581" s="103" t="s"/>
      <c r="N3581" s="103" t="s"/>
    </row>
    <row r="3582" spans="1:14" ht="15.75" customHeight="true">
      <c r="A3582" s="169" t="s"/>
      <c r="G3582" s="105" t="s"/>
      <c r="H3582" s="105" t="s"/>
      <c r="J3582" s="573" t="s"/>
      <c r="K3582" s="574" t="s"/>
      <c r="M3582" s="103" t="s"/>
      <c r="N3582" s="103" t="s"/>
    </row>
    <row r="3583" spans="1:14" ht="15.75" customHeight="true">
      <c r="A3583" s="169" t="s"/>
      <c r="G3583" s="105" t="s"/>
      <c r="H3583" s="105" t="s"/>
      <c r="J3583" s="573" t="s"/>
      <c r="K3583" s="574" t="s"/>
      <c r="M3583" s="103" t="s"/>
      <c r="N3583" s="103" t="s"/>
    </row>
    <row r="3584" spans="1:14" ht="15.75" customHeight="true">
      <c r="A3584" s="169" t="s"/>
      <c r="G3584" s="105" t="s"/>
      <c r="H3584" s="105" t="s"/>
      <c r="J3584" s="573" t="s"/>
      <c r="K3584" s="574" t="s"/>
      <c r="M3584" s="103" t="s"/>
      <c r="N3584" s="103" t="s"/>
    </row>
    <row r="3585" spans="1:14" ht="15.75" customHeight="true">
      <c r="A3585" s="169" t="s"/>
      <c r="G3585" s="105" t="s"/>
      <c r="H3585" s="105" t="s"/>
      <c r="J3585" s="573" t="s"/>
      <c r="K3585" s="574" t="s"/>
      <c r="M3585" s="103" t="s"/>
      <c r="N3585" s="103" t="s"/>
    </row>
    <row r="3586" spans="1:14" ht="15.75" customHeight="true">
      <c r="A3586" s="169" t="s"/>
      <c r="G3586" s="105" t="s"/>
      <c r="H3586" s="105" t="s"/>
      <c r="J3586" s="573" t="s"/>
      <c r="K3586" s="574" t="s"/>
      <c r="M3586" s="103" t="s"/>
      <c r="N3586" s="103" t="s"/>
    </row>
    <row r="3587" spans="1:14" ht="15.75" customHeight="true">
      <c r="A3587" s="169" t="s"/>
      <c r="G3587" s="105" t="s"/>
      <c r="H3587" s="105" t="s"/>
      <c r="J3587" s="573" t="s"/>
      <c r="K3587" s="574" t="s"/>
      <c r="M3587" s="103" t="s"/>
      <c r="N3587" s="103" t="s"/>
    </row>
    <row r="3588" spans="1:14" ht="15.75" customHeight="true">
      <c r="A3588" s="169" t="s"/>
      <c r="G3588" s="105" t="s"/>
      <c r="H3588" s="105" t="s"/>
      <c r="J3588" s="573" t="s"/>
      <c r="K3588" s="574" t="s"/>
      <c r="M3588" s="103" t="s"/>
      <c r="N3588" s="103" t="s"/>
    </row>
    <row r="3589" spans="1:14" ht="15.75" customHeight="true">
      <c r="A3589" s="169" t="s"/>
      <c r="G3589" s="105" t="s"/>
      <c r="H3589" s="105" t="s"/>
      <c r="J3589" s="573" t="s"/>
      <c r="K3589" s="574" t="s"/>
      <c r="M3589" s="103" t="s"/>
      <c r="N3589" s="103" t="s"/>
    </row>
    <row r="3590" spans="1:14" ht="15.75" customHeight="true">
      <c r="A3590" s="169" t="s"/>
      <c r="G3590" s="105" t="s"/>
      <c r="H3590" s="105" t="s"/>
      <c r="J3590" s="573" t="s"/>
      <c r="K3590" s="574" t="s"/>
      <c r="M3590" s="103" t="s"/>
      <c r="N3590" s="103" t="s"/>
    </row>
    <row r="3591" spans="1:14" ht="15.75" customHeight="true">
      <c r="A3591" s="169" t="s"/>
      <c r="G3591" s="105" t="s"/>
      <c r="H3591" s="105" t="s"/>
      <c r="J3591" s="573" t="s"/>
      <c r="K3591" s="574" t="s"/>
      <c r="M3591" s="103" t="s"/>
      <c r="N3591" s="103" t="s"/>
    </row>
    <row r="3592" spans="1:14" ht="15.75" customHeight="true">
      <c r="A3592" s="169" t="s"/>
      <c r="G3592" s="105" t="s"/>
      <c r="H3592" s="105" t="s"/>
      <c r="J3592" s="573" t="s"/>
      <c r="K3592" s="574" t="s"/>
      <c r="M3592" s="103" t="s"/>
      <c r="N3592" s="103" t="s"/>
    </row>
    <row r="3593" spans="1:14" ht="15.75" customHeight="true">
      <c r="A3593" s="169" t="s"/>
      <c r="G3593" s="105" t="s"/>
      <c r="H3593" s="105" t="s"/>
      <c r="J3593" s="573" t="s"/>
      <c r="K3593" s="574" t="s"/>
      <c r="M3593" s="103" t="s"/>
      <c r="N3593" s="103" t="s"/>
    </row>
    <row r="3594" spans="1:14" ht="15.75" customHeight="true">
      <c r="A3594" s="169" t="s"/>
      <c r="G3594" s="105" t="s"/>
      <c r="H3594" s="105" t="s"/>
      <c r="J3594" s="573" t="s"/>
      <c r="K3594" s="574" t="s"/>
      <c r="M3594" s="103" t="s"/>
      <c r="N3594" s="103" t="s"/>
    </row>
    <row r="3595" spans="1:14" ht="15.75" customHeight="true">
      <c r="A3595" s="169" t="s"/>
      <c r="G3595" s="105" t="s"/>
      <c r="H3595" s="105" t="s"/>
      <c r="J3595" s="573" t="s"/>
      <c r="K3595" s="574" t="s"/>
      <c r="M3595" s="103" t="s"/>
      <c r="N3595" s="103" t="s"/>
    </row>
    <row r="3596" spans="1:14" ht="15.75" customHeight="true">
      <c r="A3596" s="169" t="s"/>
      <c r="G3596" s="105" t="s"/>
      <c r="H3596" s="105" t="s"/>
      <c r="J3596" s="573" t="s"/>
      <c r="K3596" s="574" t="s"/>
      <c r="M3596" s="103" t="s"/>
      <c r="N3596" s="103" t="s"/>
    </row>
    <row r="3597" spans="1:14" ht="15.75" customHeight="true">
      <c r="A3597" s="169" t="s"/>
      <c r="G3597" s="105" t="s"/>
      <c r="H3597" s="105" t="s"/>
      <c r="J3597" s="573" t="s"/>
      <c r="K3597" s="574" t="s"/>
      <c r="M3597" s="103" t="s"/>
      <c r="N3597" s="103" t="s"/>
    </row>
    <row r="3598" spans="1:14" ht="15.75" customHeight="true">
      <c r="A3598" s="169" t="s"/>
      <c r="G3598" s="105" t="s"/>
      <c r="H3598" s="105" t="s"/>
      <c r="J3598" s="573" t="s"/>
      <c r="K3598" s="574" t="s"/>
      <c r="M3598" s="103" t="s"/>
      <c r="N3598" s="103" t="s"/>
    </row>
    <row r="3599" spans="1:14" ht="15.75" customHeight="true">
      <c r="A3599" s="169" t="s"/>
      <c r="G3599" s="105" t="s"/>
      <c r="H3599" s="105" t="s"/>
      <c r="J3599" s="573" t="s"/>
      <c r="K3599" s="574" t="s"/>
      <c r="M3599" s="103" t="s"/>
      <c r="N3599" s="103" t="s"/>
    </row>
    <row r="3600" spans="1:14" ht="15.75" customHeight="true">
      <c r="A3600" s="169" t="s"/>
      <c r="G3600" s="105" t="s"/>
      <c r="H3600" s="105" t="s"/>
      <c r="J3600" s="573" t="s"/>
      <c r="K3600" s="574" t="s"/>
      <c r="M3600" s="103" t="s"/>
      <c r="N3600" s="103" t="s"/>
    </row>
    <row r="3601" spans="1:14" ht="15.75" customHeight="true">
      <c r="A3601" s="169" t="s"/>
      <c r="G3601" s="105" t="s"/>
      <c r="H3601" s="105" t="s"/>
      <c r="J3601" s="573" t="s"/>
      <c r="K3601" s="574" t="s"/>
      <c r="M3601" s="103" t="s"/>
      <c r="N3601" s="103" t="s"/>
    </row>
    <row r="3602" spans="1:14" ht="15.75" customHeight="true">
      <c r="A3602" s="169" t="s"/>
      <c r="G3602" s="105" t="s"/>
      <c r="H3602" s="105" t="s"/>
      <c r="J3602" s="573" t="s"/>
      <c r="K3602" s="574" t="s"/>
      <c r="M3602" s="103" t="s"/>
      <c r="N3602" s="103" t="s"/>
    </row>
    <row r="3603" spans="1:14" ht="15.75" customHeight="true">
      <c r="A3603" s="169" t="s"/>
      <c r="G3603" s="105" t="s"/>
      <c r="H3603" s="105" t="s"/>
      <c r="J3603" s="573" t="s"/>
      <c r="K3603" s="574" t="s"/>
      <c r="M3603" s="103" t="s"/>
      <c r="N3603" s="103" t="s"/>
    </row>
    <row r="3604" spans="1:14" ht="15.75" customHeight="true">
      <c r="A3604" s="169" t="s"/>
      <c r="G3604" s="105" t="s"/>
      <c r="H3604" s="105" t="s"/>
      <c r="J3604" s="573" t="s"/>
      <c r="K3604" s="574" t="s"/>
      <c r="M3604" s="103" t="s"/>
      <c r="N3604" s="103" t="s"/>
    </row>
    <row r="3605" spans="1:14" ht="15.75" customHeight="true">
      <c r="A3605" s="169" t="s"/>
      <c r="G3605" s="105" t="s"/>
      <c r="H3605" s="105" t="s"/>
      <c r="J3605" s="573" t="s"/>
      <c r="K3605" s="574" t="s"/>
      <c r="M3605" s="103" t="s"/>
      <c r="N3605" s="103" t="s"/>
    </row>
    <row r="3606" spans="1:14" ht="15.75" customHeight="true">
      <c r="A3606" s="169" t="s"/>
      <c r="G3606" s="105" t="s"/>
      <c r="H3606" s="105" t="s"/>
      <c r="J3606" s="573" t="s"/>
      <c r="K3606" s="574" t="s"/>
      <c r="M3606" s="103" t="s"/>
      <c r="N3606" s="103" t="s"/>
    </row>
    <row r="3607" spans="1:14" ht="15.75" customHeight="true">
      <c r="A3607" s="169" t="s"/>
      <c r="G3607" s="105" t="s"/>
      <c r="H3607" s="105" t="s"/>
      <c r="J3607" s="573" t="s"/>
      <c r="K3607" s="574" t="s"/>
      <c r="M3607" s="103" t="s"/>
      <c r="N3607" s="103" t="s"/>
    </row>
    <row r="3608" spans="1:14" ht="15.75" customHeight="true">
      <c r="A3608" s="169" t="s"/>
      <c r="G3608" s="105" t="s"/>
      <c r="H3608" s="105" t="s"/>
      <c r="J3608" s="573" t="s"/>
      <c r="K3608" s="574" t="s"/>
      <c r="M3608" s="103" t="s"/>
      <c r="N3608" s="103" t="s"/>
    </row>
    <row r="3609" spans="1:14" ht="15.75" customHeight="true">
      <c r="A3609" s="169" t="s"/>
      <c r="G3609" s="105" t="s"/>
      <c r="H3609" s="105" t="s"/>
      <c r="J3609" s="573" t="s"/>
      <c r="K3609" s="574" t="s"/>
      <c r="M3609" s="103" t="s"/>
      <c r="N3609" s="103" t="s"/>
    </row>
    <row r="3610" spans="1:14" ht="15.75" customHeight="true">
      <c r="A3610" s="169" t="s"/>
      <c r="G3610" s="105" t="s"/>
      <c r="H3610" s="105" t="s"/>
      <c r="J3610" s="573" t="s"/>
      <c r="K3610" s="574" t="s"/>
      <c r="M3610" s="103" t="s"/>
      <c r="N3610" s="103" t="s"/>
    </row>
    <row r="3611" spans="1:14" ht="15.75" customHeight="true">
      <c r="A3611" s="169" t="s"/>
      <c r="G3611" s="105" t="s"/>
      <c r="H3611" s="105" t="s"/>
      <c r="J3611" s="573" t="s"/>
      <c r="K3611" s="574" t="s"/>
      <c r="M3611" s="103" t="s"/>
      <c r="N3611" s="103" t="s"/>
    </row>
    <row r="3612" spans="1:14" ht="15.75" customHeight="true">
      <c r="A3612" s="169" t="s"/>
      <c r="G3612" s="105" t="s"/>
      <c r="H3612" s="105" t="s"/>
      <c r="J3612" s="573" t="s"/>
      <c r="K3612" s="574" t="s"/>
      <c r="M3612" s="103" t="s"/>
      <c r="N3612" s="103" t="s"/>
    </row>
    <row r="3613" spans="1:14" ht="15.75" customHeight="true">
      <c r="A3613" s="169" t="s"/>
      <c r="G3613" s="105" t="s"/>
      <c r="H3613" s="105" t="s"/>
      <c r="J3613" s="573" t="s"/>
      <c r="K3613" s="574" t="s"/>
      <c r="M3613" s="103" t="s"/>
      <c r="N3613" s="103" t="s"/>
    </row>
    <row r="3614" spans="1:14" ht="15.75" customHeight="true">
      <c r="A3614" s="169" t="s"/>
      <c r="G3614" s="105" t="s"/>
      <c r="H3614" s="105" t="s"/>
      <c r="J3614" s="573" t="s"/>
      <c r="K3614" s="574" t="s"/>
      <c r="M3614" s="103" t="s"/>
      <c r="N3614" s="103" t="s"/>
    </row>
    <row r="3615" spans="1:14" ht="15.75" customHeight="true">
      <c r="A3615" s="169" t="s"/>
      <c r="G3615" s="105" t="s"/>
      <c r="H3615" s="105" t="s"/>
      <c r="J3615" s="573" t="s"/>
      <c r="K3615" s="574" t="s"/>
      <c r="M3615" s="103" t="s"/>
      <c r="N3615" s="103" t="s"/>
    </row>
    <row r="3616" spans="1:14" ht="15.75" customHeight="true">
      <c r="A3616" s="169" t="s"/>
      <c r="G3616" s="105" t="s"/>
      <c r="H3616" s="105" t="s"/>
      <c r="J3616" s="573" t="s"/>
      <c r="K3616" s="574" t="s"/>
      <c r="M3616" s="103" t="s"/>
      <c r="N3616" s="103" t="s"/>
    </row>
    <row r="3617" spans="1:14" ht="15.75" customHeight="true">
      <c r="A3617" s="169" t="s"/>
      <c r="G3617" s="105" t="s"/>
      <c r="H3617" s="105" t="s"/>
      <c r="J3617" s="573" t="s"/>
      <c r="K3617" s="574" t="s"/>
      <c r="M3617" s="103" t="s"/>
      <c r="N3617" s="103" t="s"/>
    </row>
    <row r="3618" spans="1:14" ht="15.75" customHeight="true">
      <c r="A3618" s="169" t="s"/>
      <c r="G3618" s="105" t="s"/>
      <c r="H3618" s="105" t="s"/>
      <c r="J3618" s="573" t="s"/>
      <c r="K3618" s="574" t="s"/>
      <c r="M3618" s="103" t="s"/>
      <c r="N3618" s="103" t="s"/>
    </row>
    <row r="3619" spans="1:14" ht="15.75" customHeight="true">
      <c r="A3619" s="169" t="s"/>
      <c r="G3619" s="105" t="s"/>
      <c r="H3619" s="105" t="s"/>
      <c r="J3619" s="573" t="s"/>
      <c r="K3619" s="574" t="s"/>
      <c r="M3619" s="103" t="s"/>
      <c r="N3619" s="103" t="s"/>
    </row>
    <row r="3620" spans="1:14" ht="15.75" customHeight="true">
      <c r="A3620" s="169" t="s"/>
      <c r="G3620" s="105" t="s"/>
      <c r="H3620" s="105" t="s"/>
      <c r="J3620" s="573" t="s"/>
      <c r="K3620" s="574" t="s"/>
      <c r="M3620" s="103" t="s"/>
      <c r="N3620" s="103" t="s"/>
    </row>
    <row r="3621" spans="1:14" ht="15.75" customHeight="true">
      <c r="A3621" s="169" t="s"/>
      <c r="G3621" s="105" t="s"/>
      <c r="H3621" s="105" t="s"/>
      <c r="J3621" s="573" t="s"/>
      <c r="K3621" s="574" t="s"/>
      <c r="M3621" s="103" t="s"/>
      <c r="N3621" s="103" t="s"/>
    </row>
    <row r="3622" spans="1:14" ht="15.75" customHeight="true">
      <c r="A3622" s="169" t="s"/>
      <c r="G3622" s="105" t="s"/>
      <c r="H3622" s="105" t="s"/>
      <c r="J3622" s="573" t="s"/>
      <c r="K3622" s="574" t="s"/>
      <c r="M3622" s="103" t="s"/>
      <c r="N3622" s="103" t="s"/>
    </row>
    <row r="3623" spans="1:14" ht="15.75" customHeight="true">
      <c r="A3623" s="169" t="s"/>
      <c r="G3623" s="105" t="s"/>
      <c r="H3623" s="105" t="s"/>
      <c r="J3623" s="573" t="s"/>
      <c r="K3623" s="574" t="s"/>
      <c r="M3623" s="103" t="s"/>
      <c r="N3623" s="103" t="s"/>
    </row>
    <row r="3624" spans="1:14" ht="15.75" customHeight="true">
      <c r="A3624" s="169" t="s"/>
      <c r="G3624" s="105" t="s"/>
      <c r="H3624" s="105" t="s"/>
      <c r="J3624" s="573" t="s"/>
      <c r="K3624" s="574" t="s"/>
      <c r="M3624" s="103" t="s"/>
      <c r="N3624" s="103" t="s"/>
    </row>
    <row r="3625" spans="1:14" ht="15.75" customHeight="true">
      <c r="A3625" s="169" t="s"/>
      <c r="G3625" s="105" t="s"/>
      <c r="H3625" s="105" t="s"/>
      <c r="J3625" s="573" t="s"/>
      <c r="K3625" s="574" t="s"/>
      <c r="M3625" s="103" t="s"/>
      <c r="N3625" s="103" t="s"/>
    </row>
    <row r="3626" spans="1:14" ht="15.75" customHeight="true">
      <c r="A3626" s="169" t="s"/>
      <c r="G3626" s="105" t="s"/>
      <c r="H3626" s="105" t="s"/>
      <c r="J3626" s="573" t="s"/>
      <c r="K3626" s="574" t="s"/>
      <c r="M3626" s="103" t="s"/>
      <c r="N3626" s="103" t="s"/>
    </row>
    <row r="3627" spans="1:14" ht="15.75" customHeight="true">
      <c r="A3627" s="169" t="s"/>
      <c r="G3627" s="105" t="s"/>
      <c r="H3627" s="105" t="s"/>
      <c r="J3627" s="573" t="s"/>
      <c r="K3627" s="574" t="s"/>
      <c r="M3627" s="103" t="s"/>
      <c r="N3627" s="103" t="s"/>
    </row>
    <row r="3628" spans="1:14" ht="15.75" customHeight="true">
      <c r="A3628" s="169" t="s"/>
      <c r="G3628" s="105" t="s"/>
      <c r="H3628" s="105" t="s"/>
      <c r="J3628" s="573" t="s"/>
      <c r="K3628" s="574" t="s"/>
      <c r="M3628" s="103" t="s"/>
      <c r="N3628" s="103" t="s"/>
    </row>
    <row r="3629" spans="1:14" ht="15.75" customHeight="true">
      <c r="A3629" s="169" t="s"/>
      <c r="G3629" s="105" t="s"/>
      <c r="H3629" s="105" t="s"/>
      <c r="J3629" s="573" t="s"/>
      <c r="K3629" s="574" t="s"/>
      <c r="M3629" s="103" t="s"/>
      <c r="N3629" s="103" t="s"/>
    </row>
    <row r="3630" spans="1:14" ht="15.75" customHeight="true">
      <c r="A3630" s="169" t="s"/>
      <c r="G3630" s="105" t="s"/>
      <c r="H3630" s="105" t="s"/>
      <c r="J3630" s="573" t="s"/>
      <c r="K3630" s="574" t="s"/>
      <c r="M3630" s="103" t="s"/>
      <c r="N3630" s="103" t="s"/>
    </row>
    <row r="3631" spans="1:14" ht="15.75" customHeight="true">
      <c r="A3631" s="169" t="s"/>
      <c r="G3631" s="105" t="s"/>
      <c r="H3631" s="105" t="s"/>
      <c r="J3631" s="573" t="s"/>
      <c r="K3631" s="574" t="s"/>
      <c r="M3631" s="103" t="s"/>
      <c r="N3631" s="103" t="s"/>
    </row>
    <row r="3632" spans="1:14" ht="15.75" customHeight="true">
      <c r="A3632" s="169" t="s"/>
      <c r="G3632" s="105" t="s"/>
      <c r="H3632" s="105" t="s"/>
      <c r="J3632" s="573" t="s"/>
      <c r="K3632" s="574" t="s"/>
      <c r="M3632" s="103" t="s"/>
      <c r="N3632" s="103" t="s"/>
    </row>
    <row r="3633" spans="1:14" ht="15.75" customHeight="true">
      <c r="A3633" s="169" t="s"/>
      <c r="G3633" s="105" t="s"/>
      <c r="H3633" s="105" t="s"/>
      <c r="J3633" s="573" t="s"/>
      <c r="K3633" s="574" t="s"/>
      <c r="M3633" s="103" t="s"/>
      <c r="N3633" s="103" t="s"/>
    </row>
    <row r="3634" spans="1:14" ht="15.75" customHeight="true">
      <c r="A3634" s="169" t="s"/>
      <c r="G3634" s="105" t="s"/>
      <c r="H3634" s="105" t="s"/>
      <c r="J3634" s="573" t="s"/>
      <c r="K3634" s="574" t="s"/>
      <c r="M3634" s="103" t="s"/>
      <c r="N3634" s="103" t="s"/>
    </row>
    <row r="3635" spans="1:14" ht="15.75" customHeight="true">
      <c r="A3635" s="169" t="s"/>
      <c r="G3635" s="105" t="s"/>
      <c r="H3635" s="105" t="s"/>
      <c r="J3635" s="573" t="s"/>
      <c r="K3635" s="574" t="s"/>
      <c r="M3635" s="103" t="s"/>
      <c r="N3635" s="103" t="s"/>
    </row>
    <row r="3636" spans="1:14" ht="15.75" customHeight="true">
      <c r="A3636" s="169" t="s"/>
      <c r="G3636" s="105" t="s"/>
      <c r="H3636" s="105" t="s"/>
      <c r="J3636" s="573" t="s"/>
      <c r="K3636" s="574" t="s"/>
      <c r="M3636" s="103" t="s"/>
      <c r="N3636" s="103" t="s"/>
    </row>
    <row r="3637" spans="1:14" ht="15.75" customHeight="true">
      <c r="A3637" s="169" t="s"/>
      <c r="G3637" s="105" t="s"/>
      <c r="H3637" s="105" t="s"/>
      <c r="J3637" s="573" t="s"/>
      <c r="K3637" s="574" t="s"/>
      <c r="M3637" s="103" t="s"/>
      <c r="N3637" s="103" t="s"/>
    </row>
    <row r="3638" spans="1:14" ht="15.75" customHeight="true">
      <c r="A3638" s="169" t="s"/>
      <c r="G3638" s="105" t="s"/>
      <c r="H3638" s="105" t="s"/>
      <c r="J3638" s="573" t="s"/>
      <c r="K3638" s="574" t="s"/>
      <c r="M3638" s="103" t="s"/>
      <c r="N3638" s="103" t="s"/>
    </row>
    <row r="3639" spans="1:14" ht="15.75" customHeight="true">
      <c r="A3639" s="169" t="s"/>
      <c r="G3639" s="105" t="s"/>
      <c r="H3639" s="105" t="s"/>
      <c r="J3639" s="573" t="s"/>
      <c r="K3639" s="574" t="s"/>
      <c r="M3639" s="103" t="s"/>
      <c r="N3639" s="103" t="s"/>
    </row>
    <row r="3640" spans="1:14" ht="15.75" customHeight="true">
      <c r="A3640" s="169" t="s"/>
      <c r="G3640" s="105" t="s"/>
      <c r="H3640" s="105" t="s"/>
      <c r="J3640" s="573" t="s"/>
      <c r="K3640" s="574" t="s"/>
      <c r="M3640" s="103" t="s"/>
      <c r="N3640" s="103" t="s"/>
    </row>
    <row r="3641" spans="1:14" ht="15.75" customHeight="true">
      <c r="A3641" s="169" t="s"/>
      <c r="G3641" s="105" t="s"/>
      <c r="H3641" s="105" t="s"/>
      <c r="J3641" s="573" t="s"/>
      <c r="K3641" s="574" t="s"/>
      <c r="M3641" s="103" t="s"/>
      <c r="N3641" s="103" t="s"/>
    </row>
    <row r="3642" spans="1:14" ht="15.75" customHeight="true">
      <c r="A3642" s="169" t="s"/>
      <c r="G3642" s="105" t="s"/>
      <c r="H3642" s="105" t="s"/>
      <c r="J3642" s="573" t="s"/>
      <c r="K3642" s="574" t="s"/>
      <c r="M3642" s="103" t="s"/>
      <c r="N3642" s="103" t="s"/>
    </row>
    <row r="3643" spans="1:14" ht="15.75" customHeight="true">
      <c r="A3643" s="169" t="s"/>
      <c r="G3643" s="105" t="s"/>
      <c r="H3643" s="105" t="s"/>
      <c r="J3643" s="573" t="s"/>
      <c r="K3643" s="574" t="s"/>
      <c r="M3643" s="103" t="s"/>
      <c r="N3643" s="103" t="s"/>
    </row>
    <row r="3644" spans="1:14" ht="15.75" customHeight="true">
      <c r="A3644" s="169" t="s"/>
      <c r="G3644" s="105" t="s"/>
      <c r="H3644" s="105" t="s"/>
      <c r="J3644" s="573" t="s"/>
      <c r="K3644" s="574" t="s"/>
      <c r="M3644" s="103" t="s"/>
      <c r="N3644" s="103" t="s"/>
    </row>
    <row r="3645" spans="1:14" ht="15.75" customHeight="true">
      <c r="A3645" s="169" t="s"/>
      <c r="G3645" s="105" t="s"/>
      <c r="H3645" s="105" t="s"/>
      <c r="J3645" s="573" t="s"/>
      <c r="K3645" s="574" t="s"/>
      <c r="M3645" s="103" t="s"/>
      <c r="N3645" s="103" t="s"/>
    </row>
    <row r="3646" spans="1:14" ht="15.75" customHeight="true">
      <c r="A3646" s="169" t="s"/>
      <c r="G3646" s="105" t="s"/>
      <c r="H3646" s="105" t="s"/>
      <c r="J3646" s="573" t="s"/>
      <c r="K3646" s="574" t="s"/>
      <c r="M3646" s="103" t="s"/>
      <c r="N3646" s="103" t="s"/>
    </row>
    <row r="3647" spans="1:14" ht="15.75" customHeight="true">
      <c r="A3647" s="169" t="s"/>
      <c r="G3647" s="105" t="s"/>
      <c r="H3647" s="105" t="s"/>
      <c r="J3647" s="573" t="s"/>
      <c r="K3647" s="574" t="s"/>
      <c r="M3647" s="103" t="s"/>
      <c r="N3647" s="103" t="s"/>
    </row>
    <row r="3648" spans="1:14" ht="15.75" customHeight="true">
      <c r="A3648" s="169" t="s"/>
      <c r="G3648" s="105" t="s"/>
      <c r="H3648" s="105" t="s"/>
      <c r="J3648" s="573" t="s"/>
      <c r="K3648" s="574" t="s"/>
      <c r="M3648" s="103" t="s"/>
      <c r="N3648" s="103" t="s"/>
    </row>
    <row r="3649" spans="1:14" ht="15.75" customHeight="true">
      <c r="A3649" s="169" t="s"/>
      <c r="G3649" s="105" t="s"/>
      <c r="H3649" s="105" t="s"/>
      <c r="J3649" s="573" t="s"/>
      <c r="K3649" s="574" t="s"/>
      <c r="M3649" s="103" t="s"/>
      <c r="N3649" s="103" t="s"/>
    </row>
    <row r="3650" spans="1:14" ht="15.75" customHeight="true">
      <c r="A3650" s="169" t="s"/>
      <c r="G3650" s="105" t="s"/>
      <c r="H3650" s="105" t="s"/>
      <c r="J3650" s="573" t="s"/>
      <c r="K3650" s="574" t="s"/>
      <c r="M3650" s="103" t="s"/>
      <c r="N3650" s="103" t="s"/>
    </row>
    <row r="3651" spans="1:14" ht="15.75" customHeight="true">
      <c r="A3651" s="169" t="s"/>
      <c r="G3651" s="105" t="s"/>
      <c r="H3651" s="105" t="s"/>
      <c r="J3651" s="573" t="s"/>
      <c r="K3651" s="574" t="s"/>
      <c r="M3651" s="103" t="s"/>
      <c r="N3651" s="103" t="s"/>
    </row>
    <row r="3652" spans="1:14" ht="15.75" customHeight="true">
      <c r="A3652" s="169" t="s"/>
      <c r="G3652" s="105" t="s"/>
      <c r="H3652" s="105" t="s"/>
      <c r="J3652" s="573" t="s"/>
      <c r="K3652" s="574" t="s"/>
      <c r="M3652" s="103" t="s"/>
      <c r="N3652" s="103" t="s"/>
    </row>
    <row r="3653" spans="1:14" ht="15.75" customHeight="true">
      <c r="A3653" s="169" t="s"/>
      <c r="G3653" s="105" t="s"/>
      <c r="H3653" s="105" t="s"/>
      <c r="J3653" s="573" t="s"/>
      <c r="K3653" s="574" t="s"/>
      <c r="M3653" s="103" t="s"/>
      <c r="N3653" s="103" t="s"/>
    </row>
    <row r="3654" spans="1:14" ht="15.75" customHeight="true">
      <c r="A3654" s="169" t="s"/>
      <c r="G3654" s="105" t="s"/>
      <c r="H3654" s="105" t="s"/>
      <c r="J3654" s="573" t="s"/>
      <c r="K3654" s="574" t="s"/>
      <c r="M3654" s="103" t="s"/>
      <c r="N3654" s="103" t="s"/>
    </row>
    <row r="3655" spans="1:14" ht="15.75" customHeight="true">
      <c r="A3655" s="169" t="s"/>
      <c r="G3655" s="105" t="s"/>
      <c r="H3655" s="105" t="s"/>
      <c r="J3655" s="573" t="s"/>
      <c r="K3655" s="574" t="s"/>
      <c r="M3655" s="103" t="s"/>
      <c r="N3655" s="103" t="s"/>
    </row>
    <row r="3656" spans="1:14" ht="15.75" customHeight="true">
      <c r="A3656" s="169" t="s"/>
      <c r="G3656" s="105" t="s"/>
      <c r="H3656" s="105" t="s"/>
      <c r="J3656" s="573" t="s"/>
      <c r="K3656" s="574" t="s"/>
      <c r="M3656" s="103" t="s"/>
      <c r="N3656" s="103" t="s"/>
    </row>
    <row r="3657" spans="1:14" ht="15.75" customHeight="true">
      <c r="A3657" s="169" t="s"/>
      <c r="G3657" s="105" t="s"/>
      <c r="H3657" s="105" t="s"/>
      <c r="J3657" s="573" t="s"/>
      <c r="K3657" s="574" t="s"/>
      <c r="M3657" s="103" t="s"/>
      <c r="N3657" s="103" t="s"/>
    </row>
    <row r="3658" spans="1:14" ht="15.75" customHeight="true">
      <c r="A3658" s="169" t="s"/>
      <c r="G3658" s="105" t="s"/>
      <c r="H3658" s="105" t="s"/>
      <c r="J3658" s="573" t="s"/>
      <c r="K3658" s="574" t="s"/>
      <c r="M3658" s="103" t="s"/>
      <c r="N3658" s="103" t="s"/>
    </row>
    <row r="3659" spans="1:14" ht="15.75" customHeight="true">
      <c r="A3659" s="169" t="s"/>
      <c r="G3659" s="105" t="s"/>
      <c r="H3659" s="105" t="s"/>
      <c r="J3659" s="573" t="s"/>
      <c r="K3659" s="574" t="s"/>
      <c r="M3659" s="103" t="s"/>
      <c r="N3659" s="103" t="s"/>
    </row>
    <row r="3660" spans="1:14" ht="15.75" customHeight="true">
      <c r="A3660" s="169" t="s"/>
      <c r="G3660" s="105" t="s"/>
      <c r="H3660" s="105" t="s"/>
      <c r="J3660" s="573" t="s"/>
      <c r="K3660" s="574" t="s"/>
      <c r="M3660" s="103" t="s"/>
      <c r="N3660" s="103" t="s"/>
    </row>
    <row r="3661" spans="1:14" ht="15.75" customHeight="true">
      <c r="A3661" s="169" t="s"/>
      <c r="G3661" s="105" t="s"/>
      <c r="H3661" s="105" t="s"/>
      <c r="J3661" s="573" t="s"/>
      <c r="K3661" s="574" t="s"/>
      <c r="M3661" s="103" t="s"/>
      <c r="N3661" s="103" t="s"/>
    </row>
    <row r="3662" spans="1:14" ht="15.75" customHeight="true">
      <c r="A3662" s="169" t="s"/>
      <c r="G3662" s="105" t="s"/>
      <c r="H3662" s="105" t="s"/>
      <c r="J3662" s="573" t="s"/>
      <c r="K3662" s="574" t="s"/>
      <c r="M3662" s="103" t="s"/>
      <c r="N3662" s="103" t="s"/>
    </row>
    <row r="3663" spans="1:14" ht="15.75" customHeight="true">
      <c r="A3663" s="169" t="s"/>
      <c r="G3663" s="105" t="s"/>
      <c r="H3663" s="105" t="s"/>
      <c r="J3663" s="573" t="s"/>
      <c r="K3663" s="574" t="s"/>
      <c r="M3663" s="103" t="s"/>
      <c r="N3663" s="103" t="s"/>
    </row>
    <row r="3664" spans="1:14" ht="15.75" customHeight="true">
      <c r="A3664" s="169" t="s"/>
      <c r="G3664" s="105" t="s"/>
      <c r="H3664" s="105" t="s"/>
      <c r="J3664" s="573" t="s"/>
      <c r="K3664" s="574" t="s"/>
      <c r="M3664" s="103" t="s"/>
      <c r="N3664" s="103" t="s"/>
    </row>
    <row r="3665" spans="1:14" ht="15.75" customHeight="true">
      <c r="A3665" s="169" t="s"/>
      <c r="G3665" s="105" t="s"/>
      <c r="H3665" s="105" t="s"/>
      <c r="J3665" s="573" t="s"/>
      <c r="K3665" s="574" t="s"/>
      <c r="M3665" s="103" t="s"/>
      <c r="N3665" s="103" t="s"/>
    </row>
    <row r="3666" spans="1:14" ht="15.75" customHeight="true">
      <c r="A3666" s="169" t="s"/>
      <c r="G3666" s="105" t="s"/>
      <c r="H3666" s="105" t="s"/>
      <c r="J3666" s="573" t="s"/>
      <c r="K3666" s="574" t="s"/>
      <c r="M3666" s="103" t="s"/>
      <c r="N3666" s="103" t="s"/>
    </row>
    <row r="3667" spans="1:14" ht="15.75" customHeight="true">
      <c r="A3667" s="169" t="s"/>
      <c r="G3667" s="105" t="s"/>
      <c r="H3667" s="105" t="s"/>
      <c r="J3667" s="573" t="s"/>
      <c r="K3667" s="574" t="s"/>
      <c r="M3667" s="103" t="s"/>
      <c r="N3667" s="103" t="s"/>
    </row>
    <row r="3668" spans="1:14" ht="15.75" customHeight="true">
      <c r="A3668" s="169" t="s"/>
      <c r="G3668" s="105" t="s"/>
      <c r="H3668" s="105" t="s"/>
      <c r="J3668" s="573" t="s"/>
      <c r="K3668" s="574" t="s"/>
      <c r="M3668" s="103" t="s"/>
      <c r="N3668" s="103" t="s"/>
    </row>
    <row r="3669" spans="1:14" ht="15.75" customHeight="true">
      <c r="A3669" s="169" t="s"/>
      <c r="G3669" s="105" t="s"/>
      <c r="H3669" s="105" t="s"/>
      <c r="J3669" s="573" t="s"/>
      <c r="K3669" s="574" t="s"/>
      <c r="M3669" s="103" t="s"/>
      <c r="N3669" s="103" t="s"/>
    </row>
    <row r="3670" spans="1:14" ht="15.75" customHeight="true">
      <c r="A3670" s="169" t="s"/>
      <c r="G3670" s="105" t="s"/>
      <c r="H3670" s="105" t="s"/>
      <c r="J3670" s="573" t="s"/>
      <c r="K3670" s="574" t="s"/>
      <c r="M3670" s="103" t="s"/>
      <c r="N3670" s="103" t="s"/>
    </row>
    <row r="3671" spans="1:14" ht="15.75" customHeight="true">
      <c r="A3671" s="169" t="s"/>
      <c r="G3671" s="105" t="s"/>
      <c r="H3671" s="105" t="s"/>
      <c r="J3671" s="573" t="s"/>
      <c r="K3671" s="574" t="s"/>
      <c r="M3671" s="103" t="s"/>
      <c r="N3671" s="103" t="s"/>
    </row>
    <row r="3672" spans="1:14" ht="15.75" customHeight="true">
      <c r="A3672" s="169" t="s"/>
      <c r="G3672" s="105" t="s"/>
      <c r="H3672" s="105" t="s"/>
      <c r="J3672" s="573" t="s"/>
      <c r="K3672" s="574" t="s"/>
      <c r="M3672" s="103" t="s"/>
      <c r="N3672" s="103" t="s"/>
    </row>
    <row r="3673" spans="1:14" ht="15.75" customHeight="true">
      <c r="A3673" s="169" t="s"/>
      <c r="G3673" s="105" t="s"/>
      <c r="H3673" s="105" t="s"/>
      <c r="J3673" s="573" t="s"/>
      <c r="K3673" s="574" t="s"/>
      <c r="M3673" s="103" t="s"/>
      <c r="N3673" s="103" t="s"/>
    </row>
    <row r="3674" spans="1:14" ht="15.75" customHeight="true">
      <c r="A3674" s="169" t="s"/>
      <c r="G3674" s="105" t="s"/>
      <c r="H3674" s="105" t="s"/>
      <c r="J3674" s="573" t="s"/>
      <c r="K3674" s="574" t="s"/>
      <c r="M3674" s="103" t="s"/>
      <c r="N3674" s="103" t="s"/>
    </row>
    <row r="3675" spans="1:14" ht="15.75" customHeight="true">
      <c r="A3675" s="169" t="s"/>
      <c r="G3675" s="105" t="s"/>
      <c r="H3675" s="105" t="s"/>
      <c r="J3675" s="573" t="s"/>
      <c r="K3675" s="574" t="s"/>
      <c r="M3675" s="103" t="s"/>
      <c r="N3675" s="103" t="s"/>
    </row>
    <row r="3676" spans="1:14" ht="15.75" customHeight="true">
      <c r="A3676" s="169" t="s"/>
      <c r="G3676" s="105" t="s"/>
      <c r="H3676" s="105" t="s"/>
      <c r="J3676" s="573" t="s"/>
      <c r="K3676" s="574" t="s"/>
      <c r="M3676" s="103" t="s"/>
      <c r="N3676" s="103" t="s"/>
    </row>
    <row r="3677" spans="1:14" ht="15.75" customHeight="true">
      <c r="A3677" s="169" t="s"/>
      <c r="G3677" s="105" t="s"/>
      <c r="H3677" s="105" t="s"/>
      <c r="J3677" s="573" t="s"/>
      <c r="K3677" s="574" t="s"/>
      <c r="M3677" s="103" t="s"/>
      <c r="N3677" s="103" t="s"/>
    </row>
    <row r="3678" spans="1:14" ht="15.75" customHeight="true">
      <c r="A3678" s="169" t="s"/>
      <c r="G3678" s="105" t="s"/>
      <c r="H3678" s="105" t="s"/>
      <c r="J3678" s="573" t="s"/>
      <c r="K3678" s="574" t="s"/>
      <c r="M3678" s="103" t="s"/>
      <c r="N3678" s="103" t="s"/>
    </row>
    <row r="3679" spans="1:14" ht="15.75" customHeight="true">
      <c r="A3679" s="169" t="s"/>
      <c r="G3679" s="105" t="s"/>
      <c r="H3679" s="105" t="s"/>
      <c r="J3679" s="573" t="s"/>
      <c r="K3679" s="574" t="s"/>
      <c r="M3679" s="103" t="s"/>
      <c r="N3679" s="103" t="s"/>
    </row>
    <row r="3680" spans="1:14" ht="15.75" customHeight="true">
      <c r="A3680" s="169" t="s"/>
      <c r="G3680" s="105" t="s"/>
      <c r="H3680" s="105" t="s"/>
      <c r="J3680" s="573" t="s"/>
      <c r="K3680" s="574" t="s"/>
      <c r="M3680" s="103" t="s"/>
      <c r="N3680" s="103" t="s"/>
    </row>
    <row r="3681" spans="1:14" ht="15.75" customHeight="true">
      <c r="A3681" s="169" t="s"/>
      <c r="G3681" s="105" t="s"/>
      <c r="H3681" s="105" t="s"/>
      <c r="J3681" s="573" t="s"/>
      <c r="K3681" s="574" t="s"/>
      <c r="M3681" s="103" t="s"/>
      <c r="N3681" s="103" t="s"/>
    </row>
    <row r="3682" spans="1:14" ht="15.75" customHeight="true">
      <c r="A3682" s="169" t="s"/>
      <c r="G3682" s="105" t="s"/>
      <c r="H3682" s="105" t="s"/>
      <c r="J3682" s="573" t="s"/>
      <c r="K3682" s="574" t="s"/>
      <c r="M3682" s="103" t="s"/>
      <c r="N3682" s="103" t="s"/>
    </row>
    <row r="3683" spans="1:14" ht="15.75" customHeight="true">
      <c r="A3683" s="169" t="s"/>
      <c r="G3683" s="105" t="s"/>
      <c r="H3683" s="105" t="s"/>
      <c r="J3683" s="573" t="s"/>
      <c r="K3683" s="574" t="s"/>
      <c r="M3683" s="103" t="s"/>
      <c r="N3683" s="103" t="s"/>
    </row>
    <row r="3684" spans="1:14" ht="15.75" customHeight="true">
      <c r="A3684" s="169" t="s"/>
      <c r="G3684" s="105" t="s"/>
      <c r="H3684" s="105" t="s"/>
      <c r="J3684" s="573" t="s"/>
      <c r="K3684" s="574" t="s"/>
      <c r="M3684" s="103" t="s"/>
      <c r="N3684" s="103" t="s"/>
    </row>
    <row r="3685" spans="1:14" ht="15.75" customHeight="true">
      <c r="A3685" s="169" t="s"/>
      <c r="G3685" s="105" t="s"/>
      <c r="H3685" s="105" t="s"/>
      <c r="J3685" s="573" t="s"/>
      <c r="K3685" s="574" t="s"/>
      <c r="M3685" s="103" t="s"/>
      <c r="N3685" s="103" t="s"/>
    </row>
    <row r="3686" spans="1:14" ht="15.75" customHeight="true">
      <c r="A3686" s="169" t="s"/>
      <c r="G3686" s="105" t="s"/>
      <c r="H3686" s="105" t="s"/>
      <c r="J3686" s="573" t="s"/>
      <c r="K3686" s="574" t="s"/>
      <c r="M3686" s="103" t="s"/>
      <c r="N3686" s="103" t="s"/>
    </row>
    <row r="3687" spans="1:14" ht="15.75" customHeight="true">
      <c r="A3687" s="169" t="s"/>
      <c r="G3687" s="105" t="s"/>
      <c r="H3687" s="105" t="s"/>
      <c r="J3687" s="573" t="s"/>
      <c r="K3687" s="574" t="s"/>
      <c r="M3687" s="103" t="s"/>
      <c r="N3687" s="103" t="s"/>
    </row>
    <row r="3688" spans="1:14" ht="15.75" customHeight="true">
      <c r="A3688" s="169" t="s"/>
      <c r="G3688" s="105" t="s"/>
      <c r="H3688" s="105" t="s"/>
      <c r="J3688" s="573" t="s"/>
      <c r="K3688" s="574" t="s"/>
      <c r="M3688" s="103" t="s"/>
      <c r="N3688" s="103" t="s"/>
    </row>
    <row r="3689" spans="1:14" ht="15.75" customHeight="true">
      <c r="A3689" s="169" t="s"/>
      <c r="G3689" s="105" t="s"/>
      <c r="H3689" s="105" t="s"/>
      <c r="J3689" s="573" t="s"/>
      <c r="K3689" s="574" t="s"/>
      <c r="M3689" s="103" t="s"/>
      <c r="N3689" s="103" t="s"/>
    </row>
    <row r="3690" spans="1:14" ht="15.75" customHeight="true">
      <c r="A3690" s="169" t="s"/>
      <c r="G3690" s="105" t="s"/>
      <c r="H3690" s="105" t="s"/>
      <c r="J3690" s="573" t="s"/>
      <c r="K3690" s="574" t="s"/>
      <c r="M3690" s="103" t="s"/>
      <c r="N3690" s="103" t="s"/>
    </row>
    <row r="3691" spans="1:14" ht="15.75" customHeight="true">
      <c r="A3691" s="169" t="s"/>
      <c r="G3691" s="105" t="s"/>
      <c r="H3691" s="105" t="s"/>
      <c r="J3691" s="573" t="s"/>
      <c r="K3691" s="574" t="s"/>
      <c r="M3691" s="103" t="s"/>
      <c r="N3691" s="103" t="s"/>
    </row>
    <row r="3692" spans="1:14" ht="15.75" customHeight="true">
      <c r="A3692" s="169" t="s"/>
      <c r="G3692" s="105" t="s"/>
      <c r="H3692" s="105" t="s"/>
      <c r="J3692" s="573" t="s"/>
      <c r="K3692" s="574" t="s"/>
      <c r="M3692" s="103" t="s"/>
      <c r="N3692" s="103" t="s"/>
    </row>
    <row r="3693" spans="1:14" ht="15.75" customHeight="true">
      <c r="A3693" s="169" t="s"/>
      <c r="G3693" s="105" t="s"/>
      <c r="H3693" s="105" t="s"/>
      <c r="J3693" s="573" t="s"/>
      <c r="K3693" s="574" t="s"/>
      <c r="M3693" s="103" t="s"/>
      <c r="N3693" s="103" t="s"/>
    </row>
    <row r="3694" spans="1:14" ht="15.75" customHeight="true">
      <c r="A3694" s="169" t="s"/>
      <c r="G3694" s="105" t="s"/>
      <c r="H3694" s="105" t="s"/>
      <c r="J3694" s="573" t="s"/>
      <c r="K3694" s="574" t="s"/>
      <c r="M3694" s="103" t="s"/>
      <c r="N3694" s="103" t="s"/>
    </row>
    <row r="3695" spans="1:14" ht="15.75" customHeight="true">
      <c r="A3695" s="169" t="s"/>
      <c r="G3695" s="105" t="s"/>
      <c r="H3695" s="105" t="s"/>
      <c r="J3695" s="573" t="s"/>
      <c r="K3695" s="574" t="s"/>
      <c r="M3695" s="103" t="s"/>
      <c r="N3695" s="103" t="s"/>
    </row>
    <row r="3696" spans="1:14" ht="15.75" customHeight="true">
      <c r="A3696" s="169" t="s"/>
      <c r="G3696" s="105" t="s"/>
      <c r="H3696" s="105" t="s"/>
      <c r="J3696" s="573" t="s"/>
      <c r="K3696" s="574" t="s"/>
      <c r="M3696" s="103" t="s"/>
      <c r="N3696" s="103" t="s"/>
    </row>
    <row r="3697" spans="1:14" ht="15.75" customHeight="true">
      <c r="A3697" s="169" t="s"/>
      <c r="G3697" s="105" t="s"/>
      <c r="H3697" s="105" t="s"/>
      <c r="J3697" s="573" t="s"/>
      <c r="K3697" s="574" t="s"/>
      <c r="M3697" s="103" t="s"/>
      <c r="N3697" s="103" t="s"/>
    </row>
    <row r="3698" spans="1:14" ht="15.75" customHeight="true">
      <c r="A3698" s="169" t="s"/>
      <c r="G3698" s="105" t="s"/>
      <c r="H3698" s="105" t="s"/>
      <c r="J3698" s="573" t="s"/>
      <c r="K3698" s="574" t="s"/>
      <c r="M3698" s="103" t="s"/>
      <c r="N3698" s="103" t="s"/>
    </row>
    <row r="3699" spans="1:14" ht="15.75" customHeight="true">
      <c r="A3699" s="169" t="s"/>
      <c r="G3699" s="105" t="s"/>
      <c r="H3699" s="105" t="s"/>
      <c r="J3699" s="573" t="s"/>
      <c r="K3699" s="574" t="s"/>
      <c r="M3699" s="103" t="s"/>
      <c r="N3699" s="103" t="s"/>
    </row>
    <row r="3700" spans="1:14" ht="15.75" customHeight="true">
      <c r="A3700" s="169" t="s"/>
      <c r="G3700" s="105" t="s"/>
      <c r="H3700" s="105" t="s"/>
      <c r="J3700" s="573" t="s"/>
      <c r="K3700" s="574" t="s"/>
      <c r="M3700" s="103" t="s"/>
      <c r="N3700" s="103" t="s"/>
    </row>
    <row r="3701" spans="1:14" ht="15.75" customHeight="true">
      <c r="A3701" s="169" t="s"/>
      <c r="G3701" s="105" t="s"/>
      <c r="H3701" s="105" t="s"/>
      <c r="J3701" s="573" t="s"/>
      <c r="K3701" s="574" t="s"/>
      <c r="M3701" s="103" t="s"/>
      <c r="N3701" s="103" t="s"/>
    </row>
    <row r="3702" spans="1:14" ht="15.75" customHeight="true">
      <c r="A3702" s="169" t="s"/>
      <c r="G3702" s="105" t="s"/>
      <c r="H3702" s="105" t="s"/>
      <c r="J3702" s="573" t="s"/>
      <c r="K3702" s="574" t="s"/>
      <c r="M3702" s="103" t="s"/>
      <c r="N3702" s="103" t="s"/>
    </row>
    <row r="3703" spans="1:14" ht="15.75" customHeight="true">
      <c r="A3703" s="169" t="s"/>
      <c r="G3703" s="105" t="s"/>
      <c r="H3703" s="105" t="s"/>
      <c r="J3703" s="573" t="s"/>
      <c r="K3703" s="574" t="s"/>
      <c r="M3703" s="103" t="s"/>
      <c r="N3703" s="103" t="s"/>
    </row>
    <row r="3704" spans="1:14" ht="15.75" customHeight="true">
      <c r="A3704" s="169" t="s"/>
      <c r="G3704" s="105" t="s"/>
      <c r="H3704" s="105" t="s"/>
      <c r="J3704" s="573" t="s"/>
      <c r="K3704" s="574" t="s"/>
      <c r="M3704" s="103" t="s"/>
      <c r="N3704" s="103" t="s"/>
    </row>
    <row r="3705" spans="1:14" ht="15.75" customHeight="true">
      <c r="A3705" s="169" t="s"/>
      <c r="G3705" s="105" t="s"/>
      <c r="H3705" s="105" t="s"/>
      <c r="J3705" s="573" t="s"/>
      <c r="K3705" s="574" t="s"/>
      <c r="M3705" s="103" t="s"/>
      <c r="N3705" s="103" t="s"/>
    </row>
    <row r="3706" spans="1:14" ht="15.75" customHeight="true">
      <c r="A3706" s="169" t="s"/>
      <c r="G3706" s="105" t="s"/>
      <c r="H3706" s="105" t="s"/>
      <c r="J3706" s="573" t="s"/>
      <c r="K3706" s="574" t="s"/>
      <c r="M3706" s="103" t="s"/>
      <c r="N3706" s="103" t="s"/>
    </row>
    <row r="3707" spans="1:14" ht="15.75" customHeight="true">
      <c r="A3707" s="169" t="s"/>
      <c r="G3707" s="105" t="s"/>
      <c r="H3707" s="105" t="s"/>
      <c r="J3707" s="573" t="s"/>
      <c r="K3707" s="574" t="s"/>
      <c r="M3707" s="103" t="s"/>
      <c r="N3707" s="103" t="s"/>
    </row>
    <row r="3708" spans="1:14" ht="15.75" customHeight="true">
      <c r="A3708" s="169" t="s"/>
      <c r="G3708" s="105" t="s"/>
      <c r="H3708" s="105" t="s"/>
      <c r="J3708" s="573" t="s"/>
      <c r="K3708" s="574" t="s"/>
      <c r="M3708" s="103" t="s"/>
      <c r="N3708" s="103" t="s"/>
    </row>
    <row r="3709" spans="1:14" ht="15.75" customHeight="true">
      <c r="A3709" s="169" t="s"/>
      <c r="G3709" s="105" t="s"/>
      <c r="H3709" s="105" t="s"/>
      <c r="J3709" s="573" t="s"/>
      <c r="K3709" s="574" t="s"/>
      <c r="M3709" s="103" t="s"/>
      <c r="N3709" s="103" t="s"/>
    </row>
    <row r="3710" spans="1:14" ht="15.75" customHeight="true">
      <c r="A3710" s="169" t="s"/>
      <c r="G3710" s="105" t="s"/>
      <c r="H3710" s="105" t="s"/>
      <c r="J3710" s="573" t="s"/>
      <c r="K3710" s="574" t="s"/>
      <c r="M3710" s="103" t="s"/>
      <c r="N3710" s="103" t="s"/>
    </row>
    <row r="3711" spans="1:14" ht="15.75" customHeight="true">
      <c r="A3711" s="169" t="s"/>
      <c r="G3711" s="105" t="s"/>
      <c r="H3711" s="105" t="s"/>
      <c r="J3711" s="573" t="s"/>
      <c r="K3711" s="574" t="s"/>
      <c r="M3711" s="103" t="s"/>
      <c r="N3711" s="103" t="s"/>
    </row>
    <row r="3712" spans="1:14" ht="15.75" customHeight="true">
      <c r="A3712" s="169" t="s"/>
      <c r="G3712" s="105" t="s"/>
      <c r="H3712" s="105" t="s"/>
      <c r="J3712" s="573" t="s"/>
      <c r="K3712" s="574" t="s"/>
      <c r="M3712" s="103" t="s"/>
      <c r="N3712" s="103" t="s"/>
    </row>
    <row r="3713" spans="1:14" ht="15.75" customHeight="true">
      <c r="A3713" s="169" t="s"/>
      <c r="G3713" s="105" t="s"/>
      <c r="H3713" s="105" t="s"/>
      <c r="J3713" s="573" t="s"/>
      <c r="K3713" s="574" t="s"/>
      <c r="M3713" s="103" t="s"/>
      <c r="N3713" s="103" t="s"/>
    </row>
    <row r="3714" spans="1:14" ht="15.75" customHeight="true">
      <c r="A3714" s="169" t="s"/>
      <c r="G3714" s="105" t="s"/>
      <c r="H3714" s="105" t="s"/>
      <c r="J3714" s="573" t="s"/>
      <c r="K3714" s="574" t="s"/>
      <c r="M3714" s="103" t="s"/>
      <c r="N3714" s="103" t="s"/>
    </row>
    <row r="3715" spans="1:14" ht="15.75" customHeight="true">
      <c r="A3715" s="169" t="s"/>
      <c r="G3715" s="105" t="s"/>
      <c r="H3715" s="105" t="s"/>
      <c r="J3715" s="573" t="s"/>
      <c r="K3715" s="574" t="s"/>
      <c r="M3715" s="103" t="s"/>
      <c r="N3715" s="103" t="s"/>
    </row>
    <row r="3716" spans="1:14" ht="15.75" customHeight="true">
      <c r="A3716" s="169" t="s"/>
      <c r="G3716" s="105" t="s"/>
      <c r="H3716" s="105" t="s"/>
      <c r="J3716" s="573" t="s"/>
      <c r="K3716" s="574" t="s"/>
      <c r="M3716" s="103" t="s"/>
      <c r="N3716" s="103" t="s"/>
    </row>
    <row r="3717" spans="1:14" ht="15.75" customHeight="true">
      <c r="A3717" s="169" t="s"/>
      <c r="G3717" s="105" t="s"/>
      <c r="H3717" s="105" t="s"/>
      <c r="J3717" s="573" t="s"/>
      <c r="K3717" s="574" t="s"/>
      <c r="M3717" s="103" t="s"/>
      <c r="N3717" s="103" t="s"/>
    </row>
    <row r="3718" spans="1:14" ht="15.75" customHeight="true">
      <c r="A3718" s="169" t="s"/>
      <c r="G3718" s="105" t="s"/>
      <c r="H3718" s="105" t="s"/>
      <c r="J3718" s="573" t="s"/>
      <c r="K3718" s="574" t="s"/>
      <c r="M3718" s="103" t="s"/>
      <c r="N3718" s="103" t="s"/>
    </row>
    <row r="3719" spans="1:14" ht="15.75" customHeight="true">
      <c r="A3719" s="169" t="s"/>
      <c r="G3719" s="105" t="s"/>
      <c r="H3719" s="105" t="s"/>
      <c r="J3719" s="573" t="s"/>
      <c r="K3719" s="574" t="s"/>
      <c r="M3719" s="103" t="s"/>
      <c r="N3719" s="103" t="s"/>
    </row>
    <row r="3720" spans="1:14" ht="15.75" customHeight="true">
      <c r="A3720" s="169" t="s"/>
      <c r="G3720" s="105" t="s"/>
      <c r="H3720" s="105" t="s"/>
      <c r="J3720" s="573" t="s"/>
      <c r="K3720" s="574" t="s"/>
      <c r="M3720" s="103" t="s"/>
      <c r="N3720" s="103" t="s"/>
    </row>
    <row r="3721" spans="1:14" ht="15.75" customHeight="true">
      <c r="A3721" s="169" t="s"/>
      <c r="G3721" s="105" t="s"/>
      <c r="H3721" s="105" t="s"/>
      <c r="J3721" s="573" t="s"/>
      <c r="K3721" s="574" t="s"/>
      <c r="M3721" s="103" t="s"/>
      <c r="N3721" s="103" t="s"/>
    </row>
    <row r="3722" spans="1:14" ht="15.75" customHeight="true">
      <c r="A3722" s="169" t="s"/>
      <c r="G3722" s="105" t="s"/>
      <c r="H3722" s="105" t="s"/>
      <c r="J3722" s="573" t="s"/>
      <c r="K3722" s="574" t="s"/>
      <c r="M3722" s="103" t="s"/>
      <c r="N3722" s="103" t="s"/>
    </row>
    <row r="3723" spans="1:14" ht="15.75" customHeight="true">
      <c r="A3723" s="169" t="s"/>
      <c r="G3723" s="105" t="s"/>
      <c r="H3723" s="105" t="s"/>
      <c r="J3723" s="573" t="s"/>
      <c r="K3723" s="574" t="s"/>
      <c r="M3723" s="103" t="s"/>
      <c r="N3723" s="103" t="s"/>
    </row>
    <row r="3724" spans="1:14" ht="15.75" customHeight="true">
      <c r="A3724" s="169" t="s"/>
      <c r="G3724" s="105" t="s"/>
      <c r="H3724" s="105" t="s"/>
      <c r="J3724" s="573" t="s"/>
      <c r="K3724" s="574" t="s"/>
      <c r="M3724" s="103" t="s"/>
      <c r="N3724" s="103" t="s"/>
    </row>
    <row r="3725" spans="1:14" ht="15.75" customHeight="true">
      <c r="A3725" s="169" t="s"/>
      <c r="G3725" s="105" t="s"/>
      <c r="H3725" s="105" t="s"/>
      <c r="J3725" s="573" t="s"/>
      <c r="K3725" s="574" t="s"/>
      <c r="M3725" s="103" t="s"/>
      <c r="N3725" s="103" t="s"/>
    </row>
    <row r="3726" spans="1:14" ht="15.75" customHeight="true">
      <c r="A3726" s="169" t="s"/>
      <c r="G3726" s="105" t="s"/>
      <c r="H3726" s="105" t="s"/>
      <c r="J3726" s="573" t="s"/>
      <c r="K3726" s="574" t="s"/>
      <c r="M3726" s="103" t="s"/>
      <c r="N3726" s="103" t="s"/>
    </row>
    <row r="3727" spans="1:14" ht="15.75" customHeight="true">
      <c r="A3727" s="169" t="s"/>
      <c r="G3727" s="105" t="s"/>
      <c r="H3727" s="105" t="s"/>
      <c r="J3727" s="573" t="s"/>
      <c r="K3727" s="574" t="s"/>
      <c r="M3727" s="103" t="s"/>
      <c r="N3727" s="103" t="s"/>
    </row>
    <row r="3728" spans="1:14" ht="15.75" customHeight="true">
      <c r="A3728" s="169" t="s"/>
      <c r="G3728" s="105" t="s"/>
      <c r="H3728" s="105" t="s"/>
      <c r="J3728" s="573" t="s"/>
      <c r="K3728" s="574" t="s"/>
      <c r="M3728" s="103" t="s"/>
      <c r="N3728" s="103" t="s"/>
    </row>
    <row r="3729" spans="1:14" ht="15.75" customHeight="true">
      <c r="A3729" s="169" t="s"/>
      <c r="G3729" s="105" t="s"/>
      <c r="H3729" s="105" t="s"/>
      <c r="J3729" s="573" t="s"/>
      <c r="K3729" s="574" t="s"/>
      <c r="M3729" s="103" t="s"/>
      <c r="N3729" s="103" t="s"/>
    </row>
    <row r="3730" spans="1:14" ht="15.75" customHeight="true">
      <c r="A3730" s="169" t="s"/>
      <c r="G3730" s="105" t="s"/>
      <c r="H3730" s="105" t="s"/>
      <c r="J3730" s="573" t="s"/>
      <c r="K3730" s="574" t="s"/>
      <c r="M3730" s="103" t="s"/>
      <c r="N3730" s="103" t="s"/>
    </row>
    <row r="3731" spans="1:14" ht="15.75" customHeight="true">
      <c r="A3731" s="169" t="s"/>
      <c r="G3731" s="105" t="s"/>
      <c r="H3731" s="105" t="s"/>
      <c r="J3731" s="573" t="s"/>
      <c r="K3731" s="574" t="s"/>
      <c r="M3731" s="103" t="s"/>
      <c r="N3731" s="103" t="s"/>
    </row>
    <row r="3732" spans="1:14" ht="15.75" customHeight="true">
      <c r="A3732" s="169" t="s"/>
      <c r="G3732" s="105" t="s"/>
      <c r="H3732" s="105" t="s"/>
      <c r="J3732" s="573" t="s"/>
      <c r="K3732" s="574" t="s"/>
      <c r="M3732" s="103" t="s"/>
      <c r="N3732" s="103" t="s"/>
    </row>
    <row r="3733" spans="1:14" ht="15.75" customHeight="true">
      <c r="A3733" s="169" t="s"/>
      <c r="G3733" s="105" t="s"/>
      <c r="H3733" s="105" t="s"/>
      <c r="J3733" s="573" t="s"/>
      <c r="K3733" s="574" t="s"/>
      <c r="M3733" s="103" t="s"/>
      <c r="N3733" s="103" t="s"/>
    </row>
    <row r="3734" spans="1:14" ht="15.75" customHeight="true">
      <c r="A3734" s="169" t="s"/>
      <c r="G3734" s="105" t="s"/>
      <c r="H3734" s="105" t="s"/>
      <c r="J3734" s="573" t="s"/>
      <c r="K3734" s="574" t="s"/>
      <c r="M3734" s="103" t="s"/>
      <c r="N3734" s="103" t="s"/>
    </row>
    <row r="3735" spans="1:14" ht="15.75" customHeight="true">
      <c r="A3735" s="169" t="s"/>
      <c r="G3735" s="105" t="s"/>
      <c r="H3735" s="105" t="s"/>
      <c r="J3735" s="573" t="s"/>
      <c r="K3735" s="574" t="s"/>
      <c r="M3735" s="103" t="s"/>
      <c r="N3735" s="103" t="s"/>
    </row>
    <row r="3736" spans="1:14" ht="15.75" customHeight="true">
      <c r="A3736" s="169" t="s"/>
      <c r="G3736" s="105" t="s"/>
      <c r="H3736" s="105" t="s"/>
      <c r="J3736" s="573" t="s"/>
      <c r="K3736" s="574" t="s"/>
      <c r="M3736" s="103" t="s"/>
      <c r="N3736" s="103" t="s"/>
    </row>
    <row r="3737" spans="1:14" ht="15.75" customHeight="true">
      <c r="A3737" s="169" t="s"/>
      <c r="G3737" s="105" t="s"/>
      <c r="H3737" s="105" t="s"/>
      <c r="J3737" s="573" t="s"/>
      <c r="K3737" s="574" t="s"/>
      <c r="M3737" s="103" t="s"/>
      <c r="N3737" s="103" t="s"/>
    </row>
    <row r="3738" spans="1:14" ht="15.75" customHeight="true">
      <c r="A3738" s="169" t="s"/>
      <c r="G3738" s="105" t="s"/>
      <c r="H3738" s="105" t="s"/>
      <c r="J3738" s="573" t="s"/>
      <c r="K3738" s="574" t="s"/>
      <c r="M3738" s="103" t="s"/>
      <c r="N3738" s="103" t="s"/>
    </row>
    <row r="3739" spans="1:14" ht="15.75" customHeight="true">
      <c r="A3739" s="169" t="s"/>
      <c r="G3739" s="105" t="s"/>
      <c r="H3739" s="105" t="s"/>
      <c r="J3739" s="573" t="s"/>
      <c r="K3739" s="574" t="s"/>
      <c r="M3739" s="103" t="s"/>
      <c r="N3739" s="103" t="s"/>
    </row>
    <row r="3740" spans="1:14" ht="15.75" customHeight="true">
      <c r="A3740" s="169" t="s"/>
      <c r="G3740" s="105" t="s"/>
      <c r="H3740" s="105" t="s"/>
      <c r="J3740" s="573" t="s"/>
      <c r="K3740" s="574" t="s"/>
      <c r="M3740" s="103" t="s"/>
      <c r="N3740" s="103" t="s"/>
    </row>
    <row r="3741" spans="1:14" ht="15.75" customHeight="true">
      <c r="A3741" s="169" t="s"/>
      <c r="G3741" s="105" t="s"/>
      <c r="H3741" s="105" t="s"/>
      <c r="J3741" s="573" t="s"/>
      <c r="K3741" s="574" t="s"/>
      <c r="M3741" s="103" t="s"/>
      <c r="N3741" s="103" t="s"/>
    </row>
    <row r="3742" spans="1:14" ht="15.75" customHeight="true">
      <c r="A3742" s="169" t="s"/>
      <c r="G3742" s="105" t="s"/>
      <c r="H3742" s="105" t="s"/>
      <c r="J3742" s="573" t="s"/>
      <c r="K3742" s="574" t="s"/>
      <c r="M3742" s="103" t="s"/>
      <c r="N3742" s="103" t="s"/>
    </row>
    <row r="3743" spans="1:14" ht="15.75" customHeight="true">
      <c r="A3743" s="169" t="s"/>
      <c r="G3743" s="105" t="s"/>
      <c r="H3743" s="105" t="s"/>
      <c r="J3743" s="573" t="s"/>
      <c r="K3743" s="574" t="s"/>
      <c r="M3743" s="103" t="s"/>
      <c r="N3743" s="103" t="s"/>
    </row>
    <row r="3744" spans="1:14" ht="15.75" customHeight="true">
      <c r="A3744" s="169" t="s"/>
      <c r="G3744" s="105" t="s"/>
      <c r="H3744" s="105" t="s"/>
      <c r="J3744" s="573" t="s"/>
      <c r="K3744" s="574" t="s"/>
      <c r="M3744" s="103" t="s"/>
      <c r="N3744" s="103" t="s"/>
    </row>
    <row r="3745" spans="1:14" ht="15.75" customHeight="true">
      <c r="A3745" s="169" t="s"/>
      <c r="G3745" s="105" t="s"/>
      <c r="H3745" s="105" t="s"/>
      <c r="J3745" s="573" t="s"/>
      <c r="K3745" s="574" t="s"/>
      <c r="M3745" s="103" t="s"/>
      <c r="N3745" s="103" t="s"/>
    </row>
    <row r="3746" spans="1:14" ht="15.75" customHeight="true">
      <c r="A3746" s="169" t="s"/>
      <c r="G3746" s="105" t="s"/>
      <c r="H3746" s="105" t="s"/>
      <c r="J3746" s="573" t="s"/>
      <c r="K3746" s="574" t="s"/>
      <c r="M3746" s="103" t="s"/>
      <c r="N3746" s="103" t="s"/>
    </row>
    <row r="3747" spans="1:14" ht="15.75" customHeight="true">
      <c r="A3747" s="169" t="s"/>
      <c r="G3747" s="105" t="s"/>
      <c r="H3747" s="105" t="s"/>
      <c r="J3747" s="573" t="s"/>
      <c r="K3747" s="574" t="s"/>
      <c r="M3747" s="103" t="s"/>
      <c r="N3747" s="103" t="s"/>
    </row>
    <row r="3748" spans="1:14" ht="15.75" customHeight="true">
      <c r="A3748" s="169" t="s"/>
      <c r="G3748" s="105" t="s"/>
      <c r="H3748" s="105" t="s"/>
      <c r="J3748" s="573" t="s"/>
      <c r="K3748" s="574" t="s"/>
      <c r="M3748" s="103" t="s"/>
      <c r="N3748" s="103" t="s"/>
    </row>
    <row r="3749" spans="1:14" ht="15.75" customHeight="true">
      <c r="A3749" s="169" t="s"/>
      <c r="G3749" s="105" t="s"/>
      <c r="H3749" s="105" t="s"/>
      <c r="J3749" s="573" t="s"/>
      <c r="K3749" s="574" t="s"/>
      <c r="M3749" s="103" t="s"/>
      <c r="N3749" s="103" t="s"/>
    </row>
    <row r="3750" spans="1:14" ht="15.75" customHeight="true">
      <c r="A3750" s="169" t="s"/>
      <c r="G3750" s="105" t="s"/>
      <c r="H3750" s="105" t="s"/>
      <c r="J3750" s="573" t="s"/>
      <c r="K3750" s="574" t="s"/>
      <c r="M3750" s="103" t="s"/>
      <c r="N3750" s="103" t="s"/>
    </row>
    <row r="3751" spans="1:14" ht="15.75" customHeight="true">
      <c r="A3751" s="169" t="s"/>
      <c r="G3751" s="105" t="s"/>
      <c r="H3751" s="105" t="s"/>
      <c r="J3751" s="573" t="s"/>
      <c r="K3751" s="574" t="s"/>
      <c r="M3751" s="103" t="s"/>
      <c r="N3751" s="103" t="s"/>
    </row>
    <row r="3752" spans="1:14" ht="15.75" customHeight="true">
      <c r="A3752" s="169" t="s"/>
      <c r="G3752" s="105" t="s"/>
      <c r="H3752" s="105" t="s"/>
      <c r="J3752" s="573" t="s"/>
      <c r="K3752" s="574" t="s"/>
      <c r="M3752" s="103" t="s"/>
      <c r="N3752" s="103" t="s"/>
    </row>
    <row r="3753" spans="1:14" ht="15.75" customHeight="true">
      <c r="A3753" s="169" t="s"/>
      <c r="G3753" s="105" t="s"/>
      <c r="H3753" s="105" t="s"/>
      <c r="J3753" s="573" t="s"/>
      <c r="K3753" s="574" t="s"/>
      <c r="M3753" s="103" t="s"/>
      <c r="N3753" s="103" t="s"/>
    </row>
    <row r="3754" spans="1:14" ht="15.75" customHeight="true">
      <c r="A3754" s="169" t="s"/>
      <c r="G3754" s="105" t="s"/>
      <c r="H3754" s="105" t="s"/>
      <c r="J3754" s="573" t="s"/>
      <c r="K3754" s="574" t="s"/>
      <c r="M3754" s="103" t="s"/>
      <c r="N3754" s="103" t="s"/>
    </row>
    <row r="3755" spans="1:14" ht="15.75" customHeight="true">
      <c r="A3755" s="169" t="s"/>
      <c r="G3755" s="105" t="s"/>
      <c r="H3755" s="105" t="s"/>
      <c r="J3755" s="573" t="s"/>
      <c r="K3755" s="574" t="s"/>
      <c r="M3755" s="103" t="s"/>
      <c r="N3755" s="103" t="s"/>
    </row>
    <row r="3756" spans="1:14" ht="15.75" customHeight="true">
      <c r="A3756" s="169" t="s"/>
      <c r="G3756" s="105" t="s"/>
      <c r="H3756" s="105" t="s"/>
      <c r="J3756" s="573" t="s"/>
      <c r="K3756" s="574" t="s"/>
      <c r="M3756" s="103" t="s"/>
      <c r="N3756" s="103" t="s"/>
    </row>
    <row r="3757" spans="1:14" ht="15.75" customHeight="true">
      <c r="A3757" s="169" t="s"/>
      <c r="G3757" s="105" t="s"/>
      <c r="H3757" s="105" t="s"/>
      <c r="J3757" s="573" t="s"/>
      <c r="K3757" s="574" t="s"/>
      <c r="M3757" s="103" t="s"/>
      <c r="N3757" s="103" t="s"/>
    </row>
    <row r="3758" spans="1:14" ht="15.75" customHeight="true">
      <c r="A3758" s="169" t="s"/>
      <c r="G3758" s="105" t="s"/>
      <c r="H3758" s="105" t="s"/>
      <c r="J3758" s="573" t="s"/>
      <c r="K3758" s="574" t="s"/>
      <c r="M3758" s="103" t="s"/>
      <c r="N3758" s="103" t="s"/>
    </row>
    <row r="3759" spans="1:14" ht="15.75" customHeight="true">
      <c r="A3759" s="169" t="s"/>
      <c r="G3759" s="105" t="s"/>
      <c r="H3759" s="105" t="s"/>
      <c r="J3759" s="573" t="s"/>
      <c r="K3759" s="574" t="s"/>
      <c r="M3759" s="103" t="s"/>
      <c r="N3759" s="103" t="s"/>
    </row>
    <row r="3760" spans="1:14" ht="15.75" customHeight="true">
      <c r="A3760" s="169" t="s"/>
      <c r="G3760" s="105" t="s"/>
      <c r="H3760" s="105" t="s"/>
      <c r="J3760" s="573" t="s"/>
      <c r="K3760" s="574" t="s"/>
      <c r="M3760" s="103" t="s"/>
      <c r="N3760" s="103" t="s"/>
    </row>
    <row r="3761" spans="1:14" ht="15.75" customHeight="true">
      <c r="A3761" s="169" t="s"/>
      <c r="G3761" s="105" t="s"/>
      <c r="H3761" s="105" t="s"/>
      <c r="J3761" s="573" t="s"/>
      <c r="K3761" s="574" t="s"/>
      <c r="M3761" s="103" t="s"/>
      <c r="N3761" s="103" t="s"/>
    </row>
    <row r="3762" spans="1:14" ht="15.75" customHeight="true">
      <c r="A3762" s="169" t="s"/>
      <c r="G3762" s="105" t="s"/>
      <c r="H3762" s="105" t="s"/>
      <c r="J3762" s="573" t="s"/>
      <c r="K3762" s="574" t="s"/>
      <c r="M3762" s="103" t="s"/>
      <c r="N3762" s="103" t="s"/>
    </row>
    <row r="3763" spans="1:14" ht="15.75" customHeight="true">
      <c r="A3763" s="169" t="s"/>
      <c r="G3763" s="105" t="s"/>
      <c r="H3763" s="105" t="s"/>
      <c r="J3763" s="573" t="s"/>
      <c r="K3763" s="574" t="s"/>
      <c r="M3763" s="103" t="s"/>
      <c r="N3763" s="103" t="s"/>
    </row>
    <row r="3764" spans="1:14" ht="15.75" customHeight="true">
      <c r="A3764" s="169" t="s"/>
      <c r="G3764" s="105" t="s"/>
      <c r="H3764" s="105" t="s"/>
      <c r="J3764" s="573" t="s"/>
      <c r="K3764" s="574" t="s"/>
      <c r="M3764" s="103" t="s"/>
      <c r="N3764" s="103" t="s"/>
    </row>
    <row r="3765" spans="1:14" ht="15.75" customHeight="true">
      <c r="A3765" s="169" t="s"/>
      <c r="G3765" s="105" t="s"/>
      <c r="H3765" s="105" t="s"/>
      <c r="J3765" s="573" t="s"/>
      <c r="K3765" s="574" t="s"/>
      <c r="M3765" s="103" t="s"/>
      <c r="N3765" s="103" t="s"/>
    </row>
    <row r="3766" spans="1:14" ht="15.75" customHeight="true">
      <c r="A3766" s="169" t="s"/>
      <c r="G3766" s="105" t="s"/>
      <c r="H3766" s="105" t="s"/>
      <c r="J3766" s="573" t="s"/>
      <c r="K3766" s="574" t="s"/>
      <c r="M3766" s="103" t="s"/>
      <c r="N3766" s="103" t="s"/>
    </row>
    <row r="3767" spans="1:14" ht="15.75" customHeight="true">
      <c r="A3767" s="169" t="s"/>
      <c r="G3767" s="105" t="s"/>
      <c r="H3767" s="105" t="s"/>
      <c r="J3767" s="573" t="s"/>
      <c r="K3767" s="574" t="s"/>
      <c r="M3767" s="103" t="s"/>
      <c r="N3767" s="103" t="s"/>
    </row>
    <row r="3768" spans="1:14" ht="15.75" customHeight="true">
      <c r="A3768" s="169" t="s"/>
      <c r="G3768" s="105" t="s"/>
      <c r="H3768" s="105" t="s"/>
      <c r="J3768" s="573" t="s"/>
      <c r="K3768" s="574" t="s"/>
      <c r="M3768" s="103" t="s"/>
      <c r="N3768" s="103" t="s"/>
    </row>
    <row r="3769" spans="1:14" ht="15.75" customHeight="true">
      <c r="A3769" s="169" t="s"/>
      <c r="G3769" s="105" t="s"/>
      <c r="H3769" s="105" t="s"/>
      <c r="J3769" s="573" t="s"/>
      <c r="K3769" s="574" t="s"/>
      <c r="M3769" s="103" t="s"/>
      <c r="N3769" s="103" t="s"/>
    </row>
    <row r="3770" spans="1:14" ht="15.75" customHeight="true">
      <c r="A3770" s="169" t="s"/>
      <c r="G3770" s="105" t="s"/>
      <c r="H3770" s="105" t="s"/>
      <c r="J3770" s="573" t="s"/>
      <c r="K3770" s="574" t="s"/>
      <c r="M3770" s="103" t="s"/>
      <c r="N3770" s="103" t="s"/>
    </row>
    <row r="3771" spans="1:14" ht="15.75" customHeight="true">
      <c r="A3771" s="169" t="s"/>
      <c r="G3771" s="105" t="s"/>
      <c r="H3771" s="105" t="s"/>
      <c r="J3771" s="573" t="s"/>
      <c r="K3771" s="574" t="s"/>
      <c r="M3771" s="103" t="s"/>
      <c r="N3771" s="103" t="s"/>
    </row>
    <row r="3772" spans="1:14" ht="15.75" customHeight="true">
      <c r="A3772" s="169" t="s"/>
      <c r="G3772" s="105" t="s"/>
      <c r="H3772" s="105" t="s"/>
      <c r="J3772" s="573" t="s"/>
      <c r="K3772" s="574" t="s"/>
      <c r="M3772" s="103" t="s"/>
      <c r="N3772" s="103" t="s"/>
    </row>
    <row r="3773" spans="1:14" ht="15.75" customHeight="true">
      <c r="A3773" s="169" t="s"/>
      <c r="G3773" s="105" t="s"/>
      <c r="H3773" s="105" t="s"/>
      <c r="J3773" s="573" t="s"/>
      <c r="K3773" s="574" t="s"/>
      <c r="M3773" s="103" t="s"/>
      <c r="N3773" s="103" t="s"/>
    </row>
    <row r="3774" spans="1:14" ht="15.75" customHeight="true">
      <c r="A3774" s="169" t="s"/>
      <c r="G3774" s="105" t="s"/>
      <c r="H3774" s="105" t="s"/>
      <c r="J3774" s="573" t="s"/>
      <c r="K3774" s="574" t="s"/>
      <c r="M3774" s="103" t="s"/>
      <c r="N3774" s="103" t="s"/>
    </row>
    <row r="3775" spans="1:14" ht="15.75" customHeight="true">
      <c r="A3775" s="169" t="s"/>
      <c r="G3775" s="105" t="s"/>
      <c r="H3775" s="105" t="s"/>
      <c r="J3775" s="573" t="s"/>
      <c r="K3775" s="574" t="s"/>
      <c r="M3775" s="103" t="s"/>
      <c r="N3775" s="103" t="s"/>
    </row>
    <row r="3776" spans="1:14" ht="15.75" customHeight="true">
      <c r="A3776" s="169" t="s"/>
      <c r="G3776" s="105" t="s"/>
      <c r="H3776" s="105" t="s"/>
      <c r="J3776" s="573" t="s"/>
      <c r="K3776" s="574" t="s"/>
      <c r="M3776" s="103" t="s"/>
      <c r="N3776" s="103" t="s"/>
    </row>
    <row r="3777" spans="1:14" ht="15.75" customHeight="true">
      <c r="A3777" s="169" t="s"/>
      <c r="G3777" s="105" t="s"/>
      <c r="H3777" s="105" t="s"/>
      <c r="J3777" s="573" t="s"/>
      <c r="K3777" s="574" t="s"/>
      <c r="M3777" s="103" t="s"/>
      <c r="N3777" s="103" t="s"/>
    </row>
    <row r="3778" spans="1:14" ht="15.75" customHeight="true">
      <c r="A3778" s="169" t="s"/>
      <c r="G3778" s="105" t="s"/>
      <c r="H3778" s="105" t="s"/>
      <c r="J3778" s="573" t="s"/>
      <c r="K3778" s="574" t="s"/>
      <c r="M3778" s="103" t="s"/>
      <c r="N3778" s="103" t="s"/>
    </row>
    <row r="3779" spans="1:14" ht="15.75" customHeight="true">
      <c r="A3779" s="169" t="s"/>
      <c r="G3779" s="105" t="s"/>
      <c r="H3779" s="105" t="s"/>
      <c r="J3779" s="573" t="s"/>
      <c r="K3779" s="574" t="s"/>
      <c r="M3779" s="103" t="s"/>
      <c r="N3779" s="103" t="s"/>
    </row>
    <row r="3780" spans="1:14" ht="15.75" customHeight="true">
      <c r="A3780" s="169" t="s"/>
      <c r="G3780" s="105" t="s"/>
      <c r="H3780" s="105" t="s"/>
      <c r="J3780" s="573" t="s"/>
      <c r="K3780" s="574" t="s"/>
      <c r="M3780" s="103" t="s"/>
      <c r="N3780" s="103" t="s"/>
    </row>
    <row r="3781" spans="1:14" ht="15.75" customHeight="true">
      <c r="A3781" s="169" t="s"/>
      <c r="G3781" s="105" t="s"/>
      <c r="H3781" s="105" t="s"/>
      <c r="J3781" s="573" t="s"/>
      <c r="K3781" s="574" t="s"/>
      <c r="M3781" s="103" t="s"/>
      <c r="N3781" s="103" t="s"/>
    </row>
    <row r="3782" spans="1:14" ht="15.75" customHeight="true">
      <c r="A3782" s="169" t="s"/>
      <c r="G3782" s="105" t="s"/>
      <c r="H3782" s="105" t="s"/>
      <c r="J3782" s="573" t="s"/>
      <c r="K3782" s="574" t="s"/>
      <c r="M3782" s="103" t="s"/>
      <c r="N3782" s="103" t="s"/>
    </row>
    <row r="3783" spans="1:14" ht="15.75" customHeight="true">
      <c r="A3783" s="169" t="s"/>
      <c r="G3783" s="105" t="s"/>
      <c r="H3783" s="105" t="s"/>
      <c r="J3783" s="573" t="s"/>
      <c r="K3783" s="574" t="s"/>
      <c r="M3783" s="103" t="s"/>
      <c r="N3783" s="103" t="s"/>
    </row>
    <row r="3784" spans="1:14" ht="15.75" customHeight="true">
      <c r="A3784" s="169" t="s"/>
      <c r="G3784" s="105" t="s"/>
      <c r="H3784" s="105" t="s"/>
      <c r="J3784" s="573" t="s"/>
      <c r="K3784" s="574" t="s"/>
      <c r="M3784" s="103" t="s"/>
      <c r="N3784" s="103" t="s"/>
    </row>
    <row r="3785" spans="1:14" ht="15.75" customHeight="true">
      <c r="A3785" s="169" t="s"/>
      <c r="G3785" s="105" t="s"/>
      <c r="H3785" s="105" t="s"/>
      <c r="J3785" s="573" t="s"/>
      <c r="K3785" s="574" t="s"/>
      <c r="M3785" s="103" t="s"/>
      <c r="N3785" s="103" t="s"/>
    </row>
    <row r="3786" spans="1:14" ht="15.75" customHeight="true">
      <c r="A3786" s="169" t="s"/>
      <c r="G3786" s="105" t="s"/>
      <c r="H3786" s="105" t="s"/>
      <c r="J3786" s="573" t="s"/>
      <c r="K3786" s="574" t="s"/>
      <c r="M3786" s="103" t="s"/>
      <c r="N3786" s="103" t="s"/>
    </row>
    <row r="3787" spans="1:14" ht="15.75" customHeight="true">
      <c r="A3787" s="169" t="s"/>
      <c r="G3787" s="105" t="s"/>
      <c r="H3787" s="105" t="s"/>
      <c r="J3787" s="573" t="s"/>
      <c r="K3787" s="574" t="s"/>
      <c r="M3787" s="103" t="s"/>
      <c r="N3787" s="103" t="s"/>
    </row>
    <row r="3788" spans="1:14" ht="15.75" customHeight="true">
      <c r="A3788" s="169" t="s"/>
      <c r="G3788" s="105" t="s"/>
      <c r="H3788" s="105" t="s"/>
      <c r="J3788" s="573" t="s"/>
      <c r="K3788" s="574" t="s"/>
      <c r="M3788" s="103" t="s"/>
      <c r="N3788" s="103" t="s"/>
    </row>
    <row r="3789" spans="1:14" ht="15.75" customHeight="true">
      <c r="A3789" s="169" t="s"/>
      <c r="G3789" s="105" t="s"/>
      <c r="H3789" s="105" t="s"/>
      <c r="J3789" s="573" t="s"/>
      <c r="K3789" s="574" t="s"/>
      <c r="M3789" s="103" t="s"/>
      <c r="N3789" s="103" t="s"/>
    </row>
    <row r="3790" spans="1:14" ht="15.75" customHeight="true">
      <c r="A3790" s="169" t="s"/>
      <c r="G3790" s="105" t="s"/>
      <c r="H3790" s="105" t="s"/>
      <c r="J3790" s="573" t="s"/>
      <c r="K3790" s="574" t="s"/>
      <c r="M3790" s="103" t="s"/>
      <c r="N3790" s="103" t="s"/>
    </row>
    <row r="3791" spans="1:14" ht="15.75" customHeight="true">
      <c r="A3791" s="169" t="s"/>
      <c r="G3791" s="105" t="s"/>
      <c r="H3791" s="105" t="s"/>
      <c r="J3791" s="573" t="s"/>
      <c r="K3791" s="574" t="s"/>
      <c r="M3791" s="103" t="s"/>
      <c r="N3791" s="103" t="s"/>
    </row>
    <row r="3792" spans="1:14" ht="15.75" customHeight="true">
      <c r="A3792" s="169" t="s"/>
      <c r="G3792" s="105" t="s"/>
      <c r="H3792" s="105" t="s"/>
      <c r="J3792" s="573" t="s"/>
      <c r="K3792" s="574" t="s"/>
      <c r="M3792" s="103" t="s"/>
      <c r="N3792" s="103" t="s"/>
    </row>
    <row r="3793" spans="1:14" ht="15.75" customHeight="true">
      <c r="A3793" s="169" t="s"/>
      <c r="G3793" s="105" t="s"/>
      <c r="H3793" s="105" t="s"/>
      <c r="J3793" s="573" t="s"/>
      <c r="K3793" s="574" t="s"/>
      <c r="M3793" s="103" t="s"/>
      <c r="N3793" s="103" t="s"/>
    </row>
    <row r="3794" spans="1:14" ht="15.75" customHeight="true">
      <c r="A3794" s="169" t="s"/>
      <c r="G3794" s="105" t="s"/>
      <c r="H3794" s="105" t="s"/>
      <c r="J3794" s="573" t="s"/>
      <c r="K3794" s="574" t="s"/>
      <c r="M3794" s="103" t="s"/>
      <c r="N3794" s="103" t="s"/>
    </row>
    <row r="3795" spans="1:14" ht="15.75" customHeight="true">
      <c r="A3795" s="169" t="s"/>
      <c r="G3795" s="105" t="s"/>
      <c r="H3795" s="105" t="s"/>
      <c r="J3795" s="573" t="s"/>
      <c r="K3795" s="574" t="s"/>
      <c r="M3795" s="103" t="s"/>
      <c r="N3795" s="103" t="s"/>
    </row>
    <row r="3796" spans="1:14" ht="15.75" customHeight="true">
      <c r="A3796" s="169" t="s"/>
      <c r="G3796" s="105" t="s"/>
      <c r="H3796" s="105" t="s"/>
      <c r="J3796" s="573" t="s"/>
      <c r="K3796" s="574" t="s"/>
      <c r="M3796" s="103" t="s"/>
      <c r="N3796" s="103" t="s"/>
    </row>
    <row r="3797" spans="1:14" ht="15.75" customHeight="true">
      <c r="A3797" s="169" t="s"/>
      <c r="G3797" s="105" t="s"/>
      <c r="H3797" s="105" t="s"/>
      <c r="J3797" s="573" t="s"/>
      <c r="K3797" s="574" t="s"/>
      <c r="M3797" s="103" t="s"/>
      <c r="N3797" s="103" t="s"/>
    </row>
    <row r="3798" spans="1:14" ht="15.75" customHeight="true">
      <c r="A3798" s="169" t="s"/>
      <c r="G3798" s="105" t="s"/>
      <c r="H3798" s="105" t="s"/>
      <c r="J3798" s="573" t="s"/>
      <c r="K3798" s="574" t="s"/>
      <c r="M3798" s="103" t="s"/>
      <c r="N3798" s="103" t="s"/>
    </row>
    <row r="3799" spans="1:14" ht="15.75" customHeight="true">
      <c r="A3799" s="169" t="s"/>
      <c r="G3799" s="105" t="s"/>
      <c r="H3799" s="105" t="s"/>
      <c r="J3799" s="573" t="s"/>
      <c r="K3799" s="574" t="s"/>
      <c r="M3799" s="103" t="s"/>
      <c r="N3799" s="103" t="s"/>
    </row>
    <row r="3800" spans="1:14" ht="15.75" customHeight="true">
      <c r="A3800" s="169" t="s"/>
      <c r="G3800" s="105" t="s"/>
      <c r="H3800" s="105" t="s"/>
      <c r="J3800" s="573" t="s"/>
      <c r="K3800" s="574" t="s"/>
      <c r="M3800" s="103" t="s"/>
      <c r="N3800" s="103" t="s"/>
    </row>
    <row r="3801" spans="1:14" ht="15.75" customHeight="true">
      <c r="A3801" s="169" t="s"/>
      <c r="G3801" s="105" t="s"/>
      <c r="H3801" s="105" t="s"/>
      <c r="J3801" s="573" t="s"/>
      <c r="K3801" s="574" t="s"/>
      <c r="M3801" s="103" t="s"/>
      <c r="N3801" s="103" t="s"/>
    </row>
    <row r="3802" spans="1:14" ht="15.75" customHeight="true">
      <c r="A3802" s="169" t="s"/>
      <c r="G3802" s="105" t="s"/>
      <c r="H3802" s="105" t="s"/>
      <c r="J3802" s="573" t="s"/>
      <c r="K3802" s="574" t="s"/>
      <c r="M3802" s="103" t="s"/>
      <c r="N3802" s="103" t="s"/>
    </row>
    <row r="3803" spans="1:14" ht="15.75" customHeight="true">
      <c r="A3803" s="169" t="s"/>
      <c r="G3803" s="105" t="s"/>
      <c r="H3803" s="105" t="s"/>
      <c r="J3803" s="573" t="s"/>
      <c r="K3803" s="574" t="s"/>
      <c r="M3803" s="103" t="s"/>
      <c r="N3803" s="103" t="s"/>
    </row>
    <row r="3804" spans="1:14" ht="15.75" customHeight="true">
      <c r="A3804" s="169" t="s"/>
      <c r="G3804" s="105" t="s"/>
      <c r="H3804" s="105" t="s"/>
      <c r="J3804" s="573" t="s"/>
      <c r="K3804" s="574" t="s"/>
      <c r="M3804" s="103" t="s"/>
      <c r="N3804" s="103" t="s"/>
    </row>
    <row r="3805" spans="1:14" ht="15.75" customHeight="true">
      <c r="A3805" s="169" t="s"/>
      <c r="G3805" s="105" t="s"/>
      <c r="H3805" s="105" t="s"/>
      <c r="J3805" s="573" t="s"/>
      <c r="K3805" s="574" t="s"/>
      <c r="M3805" s="103" t="s"/>
      <c r="N3805" s="103" t="s"/>
    </row>
    <row r="3806" spans="1:14" ht="15.75" customHeight="true">
      <c r="A3806" s="169" t="s"/>
      <c r="G3806" s="105" t="s"/>
      <c r="H3806" s="105" t="s"/>
      <c r="J3806" s="573" t="s"/>
      <c r="K3806" s="574" t="s"/>
      <c r="M3806" s="103" t="s"/>
      <c r="N3806" s="103" t="s"/>
    </row>
    <row r="3807" spans="1:14" ht="15.75" customHeight="true">
      <c r="A3807" s="169" t="s"/>
      <c r="G3807" s="105" t="s"/>
      <c r="H3807" s="105" t="s"/>
      <c r="J3807" s="573" t="s"/>
      <c r="K3807" s="574" t="s"/>
      <c r="M3807" s="103" t="s"/>
      <c r="N3807" s="103" t="s"/>
    </row>
    <row r="3808" spans="1:14" ht="15.75" customHeight="true">
      <c r="A3808" s="169" t="s"/>
      <c r="G3808" s="105" t="s"/>
      <c r="H3808" s="105" t="s"/>
      <c r="J3808" s="573" t="s"/>
      <c r="K3808" s="574" t="s"/>
      <c r="M3808" s="103" t="s"/>
      <c r="N3808" s="103" t="s"/>
    </row>
    <row r="3809" spans="1:14" ht="15.75" customHeight="true">
      <c r="A3809" s="169" t="s"/>
      <c r="G3809" s="105" t="s"/>
      <c r="H3809" s="105" t="s"/>
      <c r="J3809" s="573" t="s"/>
      <c r="K3809" s="574" t="s"/>
      <c r="M3809" s="103" t="s"/>
      <c r="N3809" s="103" t="s"/>
    </row>
    <row r="3810" spans="1:14" ht="15.75" customHeight="true">
      <c r="A3810" s="169" t="s"/>
      <c r="G3810" s="105" t="s"/>
      <c r="H3810" s="105" t="s"/>
      <c r="J3810" s="573" t="s"/>
      <c r="K3810" s="574" t="s"/>
      <c r="M3810" s="103" t="s"/>
      <c r="N3810" s="103" t="s"/>
    </row>
    <row r="3811" spans="1:14" ht="15.75" customHeight="true">
      <c r="A3811" s="169" t="s"/>
      <c r="G3811" s="105" t="s"/>
      <c r="H3811" s="105" t="s"/>
      <c r="J3811" s="573" t="s"/>
      <c r="K3811" s="574" t="s"/>
      <c r="M3811" s="103" t="s"/>
      <c r="N3811" s="103" t="s"/>
    </row>
    <row r="3812" spans="1:14" ht="15.75" customHeight="true">
      <c r="A3812" s="169" t="s"/>
      <c r="G3812" s="105" t="s"/>
      <c r="H3812" s="105" t="s"/>
      <c r="J3812" s="573" t="s"/>
      <c r="K3812" s="574" t="s"/>
      <c r="M3812" s="103" t="s"/>
      <c r="N3812" s="103" t="s"/>
    </row>
    <row r="3813" spans="1:14" ht="15.75" customHeight="true">
      <c r="A3813" s="169" t="s"/>
      <c r="G3813" s="105" t="s"/>
      <c r="H3813" s="105" t="s"/>
      <c r="J3813" s="573" t="s"/>
      <c r="K3813" s="574" t="s"/>
      <c r="M3813" s="103" t="s"/>
      <c r="N3813" s="103" t="s"/>
    </row>
    <row r="3814" spans="1:14" ht="15.75" customHeight="true">
      <c r="A3814" s="169" t="s"/>
      <c r="G3814" s="105" t="s"/>
      <c r="H3814" s="105" t="s"/>
      <c r="J3814" s="573" t="s"/>
      <c r="K3814" s="574" t="s"/>
      <c r="M3814" s="103" t="s"/>
      <c r="N3814" s="103" t="s"/>
    </row>
    <row r="3815" spans="1:14" ht="15.75" customHeight="true">
      <c r="A3815" s="169" t="s"/>
      <c r="G3815" s="105" t="s"/>
      <c r="H3815" s="105" t="s"/>
      <c r="J3815" s="573" t="s"/>
      <c r="K3815" s="574" t="s"/>
      <c r="M3815" s="103" t="s"/>
      <c r="N3815" s="103" t="s"/>
    </row>
    <row r="3816" spans="1:14" ht="15.75" customHeight="true">
      <c r="A3816" s="169" t="s"/>
      <c r="G3816" s="105" t="s"/>
      <c r="H3816" s="105" t="s"/>
      <c r="J3816" s="573" t="s"/>
      <c r="K3816" s="574" t="s"/>
      <c r="M3816" s="103" t="s"/>
      <c r="N3816" s="103" t="s"/>
    </row>
    <row r="3817" spans="1:14" ht="15.75" customHeight="true">
      <c r="A3817" s="169" t="s"/>
      <c r="G3817" s="105" t="s"/>
      <c r="H3817" s="105" t="s"/>
      <c r="J3817" s="573" t="s"/>
      <c r="K3817" s="574" t="s"/>
      <c r="M3817" s="103" t="s"/>
      <c r="N3817" s="103" t="s"/>
    </row>
    <row r="3818" spans="1:14" ht="15.75" customHeight="true">
      <c r="A3818" s="169" t="s"/>
      <c r="G3818" s="105" t="s"/>
      <c r="H3818" s="105" t="s"/>
      <c r="J3818" s="573" t="s"/>
      <c r="K3818" s="574" t="s"/>
      <c r="M3818" s="103" t="s"/>
      <c r="N3818" s="103" t="s"/>
    </row>
    <row r="3819" spans="1:14" ht="15.75" customHeight="true">
      <c r="A3819" s="169" t="s"/>
      <c r="G3819" s="105" t="s"/>
      <c r="H3819" s="105" t="s"/>
      <c r="J3819" s="573" t="s"/>
      <c r="K3819" s="574" t="s"/>
      <c r="M3819" s="103" t="s"/>
      <c r="N3819" s="103" t="s"/>
    </row>
    <row r="3820" spans="1:14" ht="15.75" customHeight="true">
      <c r="A3820" s="169" t="s"/>
      <c r="G3820" s="105" t="s"/>
      <c r="H3820" s="105" t="s"/>
      <c r="J3820" s="573" t="s"/>
      <c r="K3820" s="574" t="s"/>
      <c r="M3820" s="103" t="s"/>
      <c r="N3820" s="103" t="s"/>
    </row>
    <row r="3821" spans="1:14" ht="15.75" customHeight="true">
      <c r="A3821" s="169" t="s"/>
      <c r="G3821" s="105" t="s"/>
      <c r="H3821" s="105" t="s"/>
      <c r="J3821" s="573" t="s"/>
      <c r="K3821" s="574" t="s"/>
      <c r="M3821" s="103" t="s"/>
      <c r="N3821" s="103" t="s"/>
    </row>
    <row r="3822" spans="1:14" ht="15.75" customHeight="true">
      <c r="A3822" s="169" t="s"/>
      <c r="G3822" s="105" t="s"/>
      <c r="H3822" s="105" t="s"/>
      <c r="J3822" s="573" t="s"/>
      <c r="K3822" s="574" t="s"/>
      <c r="M3822" s="103" t="s"/>
      <c r="N3822" s="103" t="s"/>
    </row>
    <row r="3823" spans="1:14" ht="15.75" customHeight="true">
      <c r="A3823" s="169" t="s"/>
      <c r="G3823" s="105" t="s"/>
      <c r="H3823" s="105" t="s"/>
      <c r="J3823" s="573" t="s"/>
      <c r="K3823" s="574" t="s"/>
      <c r="M3823" s="103" t="s"/>
      <c r="N3823" s="103" t="s"/>
    </row>
    <row r="3824" spans="1:14" ht="15.75" customHeight="true">
      <c r="A3824" s="169" t="s"/>
      <c r="G3824" s="105" t="s"/>
      <c r="H3824" s="105" t="s"/>
      <c r="J3824" s="573" t="s"/>
      <c r="K3824" s="574" t="s"/>
      <c r="M3824" s="103" t="s"/>
      <c r="N3824" s="103" t="s"/>
    </row>
    <row r="3825" spans="1:14" ht="15.75" customHeight="true">
      <c r="A3825" s="169" t="s"/>
      <c r="G3825" s="105" t="s"/>
      <c r="H3825" s="105" t="s"/>
      <c r="J3825" s="573" t="s"/>
      <c r="K3825" s="574" t="s"/>
      <c r="M3825" s="103" t="s"/>
      <c r="N3825" s="103" t="s"/>
    </row>
    <row r="3826" spans="1:14" ht="15.75" customHeight="true">
      <c r="A3826" s="169" t="s"/>
      <c r="G3826" s="105" t="s"/>
      <c r="H3826" s="105" t="s"/>
      <c r="J3826" s="573" t="s"/>
      <c r="K3826" s="574" t="s"/>
      <c r="M3826" s="103" t="s"/>
      <c r="N3826" s="103" t="s"/>
    </row>
    <row r="3827" spans="1:14" ht="15.75" customHeight="true">
      <c r="A3827" s="169" t="s"/>
      <c r="G3827" s="105" t="s"/>
      <c r="H3827" s="105" t="s"/>
      <c r="J3827" s="573" t="s"/>
      <c r="K3827" s="574" t="s"/>
      <c r="M3827" s="103" t="s"/>
      <c r="N3827" s="103" t="s"/>
    </row>
    <row r="3828" spans="1:14" ht="15.75" customHeight="true">
      <c r="A3828" s="169" t="s"/>
      <c r="G3828" s="105" t="s"/>
      <c r="H3828" s="105" t="s"/>
      <c r="J3828" s="573" t="s"/>
      <c r="K3828" s="574" t="s"/>
      <c r="M3828" s="103" t="s"/>
      <c r="N3828" s="103" t="s"/>
    </row>
    <row r="3829" spans="1:14" ht="15.75" customHeight="true">
      <c r="A3829" s="169" t="s"/>
      <c r="G3829" s="105" t="s"/>
      <c r="H3829" s="105" t="s"/>
      <c r="J3829" s="573" t="s"/>
      <c r="K3829" s="574" t="s"/>
      <c r="M3829" s="103" t="s"/>
      <c r="N3829" s="103" t="s"/>
    </row>
    <row r="3830" spans="1:14" ht="15.75" customHeight="true">
      <c r="A3830" s="169" t="s"/>
      <c r="G3830" s="105" t="s"/>
      <c r="H3830" s="105" t="s"/>
      <c r="J3830" s="573" t="s"/>
      <c r="K3830" s="574" t="s"/>
      <c r="M3830" s="103" t="s"/>
      <c r="N3830" s="103" t="s"/>
    </row>
    <row r="3831" spans="1:14" ht="15.75" customHeight="true">
      <c r="A3831" s="169" t="s"/>
      <c r="G3831" s="105" t="s"/>
      <c r="H3831" s="105" t="s"/>
      <c r="J3831" s="573" t="s"/>
      <c r="K3831" s="574" t="s"/>
      <c r="M3831" s="103" t="s"/>
      <c r="N3831" s="103" t="s"/>
    </row>
    <row r="3832" spans="1:14" ht="15.75" customHeight="true">
      <c r="A3832" s="169" t="s"/>
      <c r="G3832" s="105" t="s"/>
      <c r="H3832" s="105" t="s"/>
      <c r="J3832" s="573" t="s"/>
      <c r="K3832" s="574" t="s"/>
      <c r="M3832" s="103" t="s"/>
      <c r="N3832" s="103" t="s"/>
    </row>
    <row r="3833" spans="1:14" ht="15.75" customHeight="true">
      <c r="A3833" s="169" t="s"/>
      <c r="G3833" s="105" t="s"/>
      <c r="H3833" s="105" t="s"/>
      <c r="J3833" s="573" t="s"/>
      <c r="K3833" s="574" t="s"/>
      <c r="M3833" s="103" t="s"/>
      <c r="N3833" s="103" t="s"/>
    </row>
    <row r="3834" spans="1:14" ht="15.75" customHeight="true">
      <c r="A3834" s="169" t="s"/>
      <c r="G3834" s="105" t="s"/>
      <c r="H3834" s="105" t="s"/>
      <c r="J3834" s="573" t="s"/>
      <c r="K3834" s="574" t="s"/>
      <c r="M3834" s="103" t="s"/>
      <c r="N3834" s="103" t="s"/>
    </row>
    <row r="3835" spans="1:14" ht="15.75" customHeight="true">
      <c r="A3835" s="169" t="s"/>
      <c r="G3835" s="105" t="s"/>
      <c r="H3835" s="105" t="s"/>
      <c r="J3835" s="573" t="s"/>
      <c r="K3835" s="574" t="s"/>
      <c r="M3835" s="103" t="s"/>
      <c r="N3835" s="103" t="s"/>
    </row>
    <row r="3836" spans="1:14" ht="15.75" customHeight="true">
      <c r="A3836" s="169" t="s"/>
      <c r="G3836" s="105" t="s"/>
      <c r="H3836" s="105" t="s"/>
      <c r="J3836" s="573" t="s"/>
      <c r="K3836" s="574" t="s"/>
      <c r="M3836" s="103" t="s"/>
      <c r="N3836" s="103" t="s"/>
    </row>
    <row r="3837" spans="1:14" ht="15.75" customHeight="true">
      <c r="A3837" s="169" t="s"/>
      <c r="G3837" s="105" t="s"/>
      <c r="H3837" s="105" t="s"/>
      <c r="J3837" s="573" t="s"/>
      <c r="K3837" s="574" t="s"/>
      <c r="M3837" s="103" t="s"/>
      <c r="N3837" s="103" t="s"/>
    </row>
    <row r="3838" spans="1:14" ht="15.75" customHeight="true">
      <c r="A3838" s="169" t="s"/>
      <c r="G3838" s="105" t="s"/>
      <c r="H3838" s="105" t="s"/>
      <c r="J3838" s="573" t="s"/>
      <c r="K3838" s="574" t="s"/>
      <c r="M3838" s="103" t="s"/>
      <c r="N3838" s="103" t="s"/>
    </row>
    <row r="3839" spans="1:14" ht="15.75" customHeight="true">
      <c r="A3839" s="169" t="s"/>
      <c r="G3839" s="105" t="s"/>
      <c r="H3839" s="105" t="s"/>
      <c r="J3839" s="573" t="s"/>
      <c r="K3839" s="574" t="s"/>
      <c r="M3839" s="103" t="s"/>
      <c r="N3839" s="103" t="s"/>
    </row>
    <row r="3840" spans="1:14" ht="15.75" customHeight="true">
      <c r="A3840" s="169" t="s"/>
      <c r="G3840" s="105" t="s"/>
      <c r="H3840" s="105" t="s"/>
      <c r="J3840" s="573" t="s"/>
      <c r="K3840" s="574" t="s"/>
      <c r="M3840" s="103" t="s"/>
      <c r="N3840" s="103" t="s"/>
    </row>
    <row r="3841" spans="1:14" ht="15.75" customHeight="true">
      <c r="A3841" s="169" t="s"/>
      <c r="G3841" s="105" t="s"/>
      <c r="H3841" s="105" t="s"/>
      <c r="J3841" s="573" t="s"/>
      <c r="K3841" s="574" t="s"/>
      <c r="M3841" s="103" t="s"/>
      <c r="N3841" s="103" t="s"/>
    </row>
    <row r="3842" spans="1:14" ht="15.75" customHeight="true">
      <c r="A3842" s="169" t="s"/>
      <c r="G3842" s="105" t="s"/>
      <c r="H3842" s="105" t="s"/>
      <c r="J3842" s="573" t="s"/>
      <c r="K3842" s="574" t="s"/>
      <c r="M3842" s="103" t="s"/>
      <c r="N3842" s="103" t="s"/>
    </row>
    <row r="3843" spans="1:14" ht="15.75" customHeight="true">
      <c r="A3843" s="169" t="s"/>
      <c r="G3843" s="105" t="s"/>
      <c r="H3843" s="105" t="s"/>
      <c r="J3843" s="573" t="s"/>
      <c r="K3843" s="574" t="s"/>
      <c r="M3843" s="103" t="s"/>
      <c r="N3843" s="103" t="s"/>
    </row>
    <row r="3844" spans="1:14" ht="15.75" customHeight="true">
      <c r="A3844" s="169" t="s"/>
      <c r="G3844" s="105" t="s"/>
      <c r="H3844" s="105" t="s"/>
      <c r="J3844" s="573" t="s"/>
      <c r="K3844" s="574" t="s"/>
      <c r="M3844" s="103" t="s"/>
      <c r="N3844" s="103" t="s"/>
    </row>
    <row r="3845" spans="1:14" ht="15.75" customHeight="true">
      <c r="A3845" s="169" t="s"/>
      <c r="G3845" s="105" t="s"/>
      <c r="H3845" s="105" t="s"/>
      <c r="J3845" s="573" t="s"/>
      <c r="K3845" s="574" t="s"/>
      <c r="M3845" s="103" t="s"/>
      <c r="N3845" s="103" t="s"/>
    </row>
    <row r="3846" spans="1:14" ht="15.75" customHeight="true">
      <c r="A3846" s="169" t="s"/>
      <c r="G3846" s="105" t="s"/>
      <c r="H3846" s="105" t="s"/>
      <c r="J3846" s="573" t="s"/>
      <c r="K3846" s="574" t="s"/>
      <c r="M3846" s="103" t="s"/>
      <c r="N3846" s="103" t="s"/>
    </row>
    <row r="3847" spans="1:14" ht="15.75" customHeight="true">
      <c r="A3847" s="169" t="s"/>
      <c r="G3847" s="105" t="s"/>
      <c r="H3847" s="105" t="s"/>
      <c r="J3847" s="573" t="s"/>
      <c r="K3847" s="574" t="s"/>
      <c r="M3847" s="103" t="s"/>
      <c r="N3847" s="103" t="s"/>
    </row>
    <row r="3848" spans="1:14" ht="15.75" customHeight="true">
      <c r="A3848" s="169" t="s"/>
      <c r="G3848" s="105" t="s"/>
      <c r="H3848" s="105" t="s"/>
      <c r="J3848" s="573" t="s"/>
      <c r="K3848" s="574" t="s"/>
      <c r="M3848" s="103" t="s"/>
      <c r="N3848" s="103" t="s"/>
    </row>
    <row r="3849" spans="1:14" ht="15.75" customHeight="true">
      <c r="A3849" s="169" t="s"/>
      <c r="G3849" s="105" t="s"/>
      <c r="H3849" s="105" t="s"/>
      <c r="J3849" s="573" t="s"/>
      <c r="K3849" s="574" t="s"/>
      <c r="M3849" s="103" t="s"/>
      <c r="N3849" s="103" t="s"/>
    </row>
    <row r="3850" spans="1:14" ht="15.75" customHeight="true">
      <c r="A3850" s="169" t="s"/>
      <c r="G3850" s="105" t="s"/>
      <c r="H3850" s="105" t="s"/>
      <c r="J3850" s="573" t="s"/>
      <c r="K3850" s="574" t="s"/>
      <c r="M3850" s="103" t="s"/>
      <c r="N3850" s="103" t="s"/>
    </row>
    <row r="3851" spans="1:14" ht="15.75" customHeight="true">
      <c r="A3851" s="169" t="s"/>
      <c r="G3851" s="105" t="s"/>
      <c r="H3851" s="105" t="s"/>
      <c r="J3851" s="573" t="s"/>
      <c r="K3851" s="574" t="s"/>
      <c r="M3851" s="103" t="s"/>
      <c r="N3851" s="103" t="s"/>
    </row>
    <row r="3852" spans="1:14" ht="15.75" customHeight="true">
      <c r="A3852" s="169" t="s"/>
      <c r="G3852" s="105" t="s"/>
      <c r="H3852" s="105" t="s"/>
      <c r="J3852" s="573" t="s"/>
      <c r="K3852" s="574" t="s"/>
      <c r="M3852" s="103" t="s"/>
      <c r="N3852" s="103" t="s"/>
    </row>
    <row r="3853" spans="1:14" ht="15.75" customHeight="true">
      <c r="A3853" s="169" t="s"/>
      <c r="G3853" s="105" t="s"/>
      <c r="H3853" s="105" t="s"/>
      <c r="J3853" s="573" t="s"/>
      <c r="K3853" s="574" t="s"/>
      <c r="M3853" s="103" t="s"/>
      <c r="N3853" s="103" t="s"/>
    </row>
    <row r="3854" spans="1:14" ht="15.75" customHeight="true">
      <c r="A3854" s="169" t="s"/>
      <c r="G3854" s="105" t="s"/>
      <c r="H3854" s="105" t="s"/>
      <c r="J3854" s="573" t="s"/>
      <c r="K3854" s="574" t="s"/>
      <c r="M3854" s="103" t="s"/>
      <c r="N3854" s="103" t="s"/>
    </row>
    <row r="3855" spans="1:14" ht="15.75" customHeight="true">
      <c r="A3855" s="169" t="s"/>
      <c r="G3855" s="105" t="s"/>
      <c r="H3855" s="105" t="s"/>
      <c r="J3855" s="573" t="s"/>
      <c r="K3855" s="574" t="s"/>
      <c r="M3855" s="103" t="s"/>
      <c r="N3855" s="103" t="s"/>
    </row>
    <row r="3856" spans="1:14" ht="15.75" customHeight="true">
      <c r="A3856" s="169" t="s"/>
      <c r="G3856" s="105" t="s"/>
      <c r="H3856" s="105" t="s"/>
      <c r="J3856" s="573" t="s"/>
      <c r="K3856" s="574" t="s"/>
      <c r="M3856" s="103" t="s"/>
      <c r="N3856" s="103" t="s"/>
    </row>
    <row r="3857" spans="1:14" ht="15.75" customHeight="true">
      <c r="A3857" s="169" t="s"/>
      <c r="G3857" s="105" t="s"/>
      <c r="H3857" s="105" t="s"/>
      <c r="J3857" s="573" t="s"/>
      <c r="K3857" s="574" t="s"/>
      <c r="M3857" s="103" t="s"/>
      <c r="N3857" s="103" t="s"/>
    </row>
    <row r="3858" spans="1:14" ht="15.75" customHeight="true">
      <c r="A3858" s="169" t="s"/>
      <c r="G3858" s="105" t="s"/>
      <c r="H3858" s="105" t="s"/>
      <c r="J3858" s="573" t="s"/>
      <c r="K3858" s="574" t="s"/>
      <c r="M3858" s="103" t="s"/>
      <c r="N3858" s="103" t="s"/>
    </row>
    <row r="3859" spans="1:14" ht="15.75" customHeight="true">
      <c r="A3859" s="169" t="s"/>
      <c r="G3859" s="105" t="s"/>
      <c r="H3859" s="105" t="s"/>
      <c r="J3859" s="573" t="s"/>
      <c r="K3859" s="574" t="s"/>
      <c r="M3859" s="103" t="s"/>
      <c r="N3859" s="103" t="s"/>
    </row>
    <row r="3860" spans="1:14" ht="15.75" customHeight="true">
      <c r="A3860" s="169" t="s"/>
      <c r="G3860" s="105" t="s"/>
      <c r="H3860" s="105" t="s"/>
      <c r="J3860" s="573" t="s"/>
      <c r="K3860" s="574" t="s"/>
      <c r="M3860" s="103" t="s"/>
      <c r="N3860" s="103" t="s"/>
    </row>
    <row r="3861" spans="1:14" ht="15.75" customHeight="true">
      <c r="A3861" s="169" t="s"/>
      <c r="G3861" s="105" t="s"/>
      <c r="H3861" s="105" t="s"/>
      <c r="J3861" s="573" t="s"/>
      <c r="K3861" s="574" t="s"/>
      <c r="M3861" s="103" t="s"/>
      <c r="N3861" s="103" t="s"/>
    </row>
    <row r="3862" spans="1:14" ht="15.75" customHeight="true">
      <c r="A3862" s="169" t="s"/>
      <c r="G3862" s="105" t="s"/>
      <c r="H3862" s="105" t="s"/>
      <c r="J3862" s="573" t="s"/>
      <c r="K3862" s="574" t="s"/>
      <c r="M3862" s="103" t="s"/>
      <c r="N3862" s="103" t="s"/>
    </row>
    <row r="3863" spans="1:14" ht="15.75" customHeight="true">
      <c r="A3863" s="169" t="s"/>
      <c r="G3863" s="105" t="s"/>
      <c r="H3863" s="105" t="s"/>
      <c r="J3863" s="573" t="s"/>
      <c r="K3863" s="574" t="s"/>
      <c r="M3863" s="103" t="s"/>
      <c r="N3863" s="103" t="s"/>
    </row>
    <row r="3864" spans="1:14" ht="15.75" customHeight="true">
      <c r="A3864" s="169" t="s"/>
      <c r="G3864" s="105" t="s"/>
      <c r="H3864" s="105" t="s"/>
      <c r="J3864" s="573" t="s"/>
      <c r="K3864" s="574" t="s"/>
      <c r="M3864" s="103" t="s"/>
      <c r="N3864" s="103" t="s"/>
    </row>
    <row r="3865" spans="1:14" ht="15.75" customHeight="true">
      <c r="A3865" s="169" t="s"/>
      <c r="G3865" s="105" t="s"/>
      <c r="H3865" s="105" t="s"/>
      <c r="J3865" s="573" t="s"/>
      <c r="K3865" s="574" t="s"/>
      <c r="M3865" s="103" t="s"/>
      <c r="N3865" s="103" t="s"/>
    </row>
    <row r="3866" spans="1:14" ht="15.75" customHeight="true">
      <c r="A3866" s="169" t="s"/>
      <c r="G3866" s="105" t="s"/>
      <c r="H3866" s="105" t="s"/>
      <c r="J3866" s="573" t="s"/>
      <c r="K3866" s="574" t="s"/>
      <c r="M3866" s="103" t="s"/>
      <c r="N3866" s="103" t="s"/>
    </row>
    <row r="3867" spans="1:14" ht="15.75" customHeight="true">
      <c r="A3867" s="169" t="s"/>
      <c r="G3867" s="105" t="s"/>
      <c r="H3867" s="105" t="s"/>
      <c r="J3867" s="573" t="s"/>
      <c r="K3867" s="574" t="s"/>
      <c r="M3867" s="103" t="s"/>
      <c r="N3867" s="103" t="s"/>
    </row>
    <row r="3868" spans="1:14" ht="15.75" customHeight="true">
      <c r="A3868" s="169" t="s"/>
      <c r="G3868" s="105" t="s"/>
      <c r="H3868" s="105" t="s"/>
      <c r="J3868" s="573" t="s"/>
      <c r="K3868" s="574" t="s"/>
      <c r="M3868" s="103" t="s"/>
      <c r="N3868" s="103" t="s"/>
    </row>
    <row r="3869" spans="1:14" ht="15.75" customHeight="true">
      <c r="A3869" s="169" t="s"/>
      <c r="G3869" s="105" t="s"/>
      <c r="H3869" s="105" t="s"/>
      <c r="J3869" s="573" t="s"/>
      <c r="K3869" s="574" t="s"/>
      <c r="M3869" s="103" t="s"/>
      <c r="N3869" s="103" t="s"/>
    </row>
    <row r="3870" spans="1:14" ht="15.75" customHeight="true">
      <c r="A3870" s="169" t="s"/>
      <c r="G3870" s="105" t="s"/>
      <c r="H3870" s="105" t="s"/>
      <c r="J3870" s="573" t="s"/>
      <c r="K3870" s="574" t="s"/>
      <c r="M3870" s="103" t="s"/>
      <c r="N3870" s="103" t="s"/>
    </row>
    <row r="3871" spans="1:14" ht="15.75" customHeight="true">
      <c r="A3871" s="169" t="s"/>
      <c r="G3871" s="105" t="s"/>
      <c r="H3871" s="105" t="s"/>
      <c r="J3871" s="573" t="s"/>
      <c r="K3871" s="574" t="s"/>
      <c r="M3871" s="103" t="s"/>
      <c r="N3871" s="103" t="s"/>
    </row>
    <row r="3872" spans="1:14" ht="15.75" customHeight="true">
      <c r="A3872" s="169" t="s"/>
      <c r="G3872" s="105" t="s"/>
      <c r="H3872" s="105" t="s"/>
      <c r="J3872" s="573" t="s"/>
      <c r="K3872" s="574" t="s"/>
      <c r="M3872" s="103" t="s"/>
      <c r="N3872" s="103" t="s"/>
    </row>
    <row r="3873" spans="1:14" ht="15.75" customHeight="true">
      <c r="A3873" s="169" t="s"/>
      <c r="G3873" s="105" t="s"/>
      <c r="H3873" s="105" t="s"/>
      <c r="J3873" s="573" t="s"/>
      <c r="K3873" s="574" t="s"/>
      <c r="M3873" s="103" t="s"/>
      <c r="N3873" s="103" t="s"/>
    </row>
    <row r="3874" spans="1:14" ht="15.75" customHeight="true">
      <c r="A3874" s="169" t="s"/>
      <c r="G3874" s="105" t="s"/>
      <c r="H3874" s="105" t="s"/>
      <c r="J3874" s="573" t="s"/>
      <c r="K3874" s="574" t="s"/>
      <c r="M3874" s="103" t="s"/>
      <c r="N3874" s="103" t="s"/>
    </row>
    <row r="3875" spans="1:14" ht="15.75" customHeight="true">
      <c r="A3875" s="169" t="s"/>
      <c r="G3875" s="105" t="s"/>
      <c r="H3875" s="105" t="s"/>
      <c r="J3875" s="573" t="s"/>
      <c r="K3875" s="574" t="s"/>
      <c r="M3875" s="103" t="s"/>
      <c r="N3875" s="103" t="s"/>
    </row>
    <row r="3876" spans="1:14" ht="15.75" customHeight="true">
      <c r="A3876" s="169" t="s"/>
      <c r="G3876" s="105" t="s"/>
      <c r="H3876" s="105" t="s"/>
      <c r="J3876" s="573" t="s"/>
      <c r="K3876" s="574" t="s"/>
      <c r="M3876" s="103" t="s"/>
      <c r="N3876" s="103" t="s"/>
    </row>
    <row r="3877" spans="1:14" ht="15.75" customHeight="true">
      <c r="A3877" s="169" t="s"/>
      <c r="G3877" s="105" t="s"/>
      <c r="H3877" s="105" t="s"/>
      <c r="J3877" s="573" t="s"/>
      <c r="K3877" s="574" t="s"/>
      <c r="M3877" s="103" t="s"/>
      <c r="N3877" s="103" t="s"/>
    </row>
    <row r="3878" spans="1:14" ht="15.75" customHeight="true">
      <c r="A3878" s="169" t="s"/>
      <c r="G3878" s="105" t="s"/>
      <c r="H3878" s="105" t="s"/>
      <c r="J3878" s="573" t="s"/>
      <c r="K3878" s="574" t="s"/>
      <c r="M3878" s="103" t="s"/>
      <c r="N3878" s="103" t="s"/>
    </row>
    <row r="3879" spans="1:14" ht="15.75" customHeight="true">
      <c r="A3879" s="169" t="s"/>
      <c r="G3879" s="105" t="s"/>
      <c r="H3879" s="105" t="s"/>
      <c r="J3879" s="573" t="s"/>
      <c r="K3879" s="574" t="s"/>
      <c r="M3879" s="103" t="s"/>
      <c r="N3879" s="103" t="s"/>
    </row>
    <row r="3880" spans="1:14" ht="15.75" customHeight="true">
      <c r="A3880" s="169" t="s"/>
      <c r="G3880" s="105" t="s"/>
      <c r="H3880" s="105" t="s"/>
      <c r="J3880" s="573" t="s"/>
      <c r="K3880" s="574" t="s"/>
      <c r="M3880" s="103" t="s"/>
      <c r="N3880" s="103" t="s"/>
    </row>
    <row r="3881" spans="1:14" ht="15.75" customHeight="true">
      <c r="A3881" s="169" t="s"/>
      <c r="G3881" s="105" t="s"/>
      <c r="H3881" s="105" t="s"/>
      <c r="J3881" s="573" t="s"/>
      <c r="K3881" s="574" t="s"/>
      <c r="M3881" s="103" t="s"/>
      <c r="N3881" s="103" t="s"/>
    </row>
    <row r="3882" spans="1:14" ht="15.75" customHeight="true">
      <c r="A3882" s="169" t="s"/>
      <c r="G3882" s="105" t="s"/>
      <c r="H3882" s="105" t="s"/>
      <c r="J3882" s="573" t="s"/>
      <c r="K3882" s="574" t="s"/>
      <c r="M3882" s="103" t="s"/>
      <c r="N3882" s="103" t="s"/>
    </row>
    <row r="3883" spans="1:14" ht="15.75" customHeight="true">
      <c r="A3883" s="169" t="s"/>
      <c r="G3883" s="105" t="s"/>
      <c r="H3883" s="105" t="s"/>
      <c r="J3883" s="573" t="s"/>
      <c r="K3883" s="574" t="s"/>
      <c r="M3883" s="103" t="s"/>
      <c r="N3883" s="103" t="s"/>
    </row>
    <row r="3884" spans="1:14" ht="15.75" customHeight="true">
      <c r="A3884" s="169" t="s"/>
      <c r="G3884" s="105" t="s"/>
      <c r="H3884" s="105" t="s"/>
      <c r="J3884" s="573" t="s"/>
      <c r="K3884" s="574" t="s"/>
      <c r="M3884" s="103" t="s"/>
      <c r="N3884" s="103" t="s"/>
    </row>
    <row r="3885" spans="1:14" ht="15.75" customHeight="true">
      <c r="A3885" s="169" t="s"/>
      <c r="G3885" s="105" t="s"/>
      <c r="H3885" s="105" t="s"/>
      <c r="J3885" s="573" t="s"/>
      <c r="K3885" s="574" t="s"/>
      <c r="M3885" s="103" t="s"/>
      <c r="N3885" s="103" t="s"/>
    </row>
    <row r="3886" spans="1:14" ht="15.75" customHeight="true">
      <c r="A3886" s="169" t="s"/>
      <c r="G3886" s="105" t="s"/>
      <c r="H3886" s="105" t="s"/>
      <c r="J3886" s="573" t="s"/>
      <c r="K3886" s="574" t="s"/>
      <c r="M3886" s="103" t="s"/>
      <c r="N3886" s="103" t="s"/>
    </row>
    <row r="3887" spans="1:14" ht="15.75" customHeight="true">
      <c r="A3887" s="169" t="s"/>
      <c r="G3887" s="105" t="s"/>
      <c r="H3887" s="105" t="s"/>
      <c r="J3887" s="573" t="s"/>
      <c r="K3887" s="574" t="s"/>
      <c r="M3887" s="103" t="s"/>
      <c r="N3887" s="103" t="s"/>
    </row>
    <row r="3888" spans="1:14" ht="15.75" customHeight="true">
      <c r="A3888" s="169" t="s"/>
      <c r="G3888" s="105" t="s"/>
      <c r="H3888" s="105" t="s"/>
      <c r="J3888" s="573" t="s"/>
      <c r="K3888" s="574" t="s"/>
      <c r="M3888" s="103" t="s"/>
      <c r="N3888" s="103" t="s"/>
    </row>
    <row r="3889" spans="1:14" ht="15.75" customHeight="true">
      <c r="A3889" s="169" t="s"/>
      <c r="G3889" s="105" t="s"/>
      <c r="H3889" s="105" t="s"/>
      <c r="J3889" s="573" t="s"/>
      <c r="K3889" s="574" t="s"/>
      <c r="M3889" s="103" t="s"/>
      <c r="N3889" s="103" t="s"/>
    </row>
    <row r="3890" spans="1:14" ht="15.75" customHeight="true">
      <c r="A3890" s="169" t="s"/>
      <c r="G3890" s="105" t="s"/>
      <c r="H3890" s="105" t="s"/>
      <c r="J3890" s="573" t="s"/>
      <c r="K3890" s="574" t="s"/>
      <c r="M3890" s="103" t="s"/>
      <c r="N3890" s="103" t="s"/>
    </row>
    <row r="3891" spans="1:14" ht="15.75" customHeight="true">
      <c r="A3891" s="169" t="s"/>
      <c r="G3891" s="105" t="s"/>
      <c r="H3891" s="105" t="s"/>
      <c r="J3891" s="573" t="s"/>
      <c r="K3891" s="574" t="s"/>
      <c r="M3891" s="103" t="s"/>
      <c r="N3891" s="103" t="s"/>
    </row>
    <row r="3892" spans="1:14" ht="15.75" customHeight="true">
      <c r="A3892" s="169" t="s"/>
      <c r="G3892" s="105" t="s"/>
      <c r="H3892" s="105" t="s"/>
      <c r="J3892" s="573" t="s"/>
      <c r="K3892" s="574" t="s"/>
      <c r="M3892" s="103" t="s"/>
      <c r="N3892" s="103" t="s"/>
    </row>
    <row r="3893" spans="1:14" ht="15.75" customHeight="true">
      <c r="A3893" s="169" t="s"/>
      <c r="G3893" s="105" t="s"/>
      <c r="H3893" s="105" t="s"/>
      <c r="J3893" s="573" t="s"/>
      <c r="K3893" s="574" t="s"/>
      <c r="M3893" s="103" t="s"/>
      <c r="N3893" s="103" t="s"/>
    </row>
    <row r="3894" spans="1:14" ht="15.75" customHeight="true">
      <c r="A3894" s="169" t="s"/>
      <c r="G3894" s="105" t="s"/>
      <c r="H3894" s="105" t="s"/>
      <c r="J3894" s="573" t="s"/>
      <c r="K3894" s="574" t="s"/>
      <c r="M3894" s="103" t="s"/>
      <c r="N3894" s="103" t="s"/>
    </row>
    <row r="3895" spans="1:14" ht="15.75" customHeight="true">
      <c r="A3895" s="169" t="s"/>
      <c r="G3895" s="105" t="s"/>
      <c r="H3895" s="105" t="s"/>
      <c r="J3895" s="573" t="s"/>
      <c r="K3895" s="574" t="s"/>
      <c r="M3895" s="103" t="s"/>
      <c r="N3895" s="103" t="s"/>
    </row>
    <row r="3896" spans="1:14" ht="15.75" customHeight="true">
      <c r="A3896" s="169" t="s"/>
      <c r="G3896" s="105" t="s"/>
      <c r="H3896" s="105" t="s"/>
      <c r="J3896" s="573" t="s"/>
      <c r="K3896" s="574" t="s"/>
      <c r="M3896" s="103" t="s"/>
      <c r="N3896" s="103" t="s"/>
    </row>
    <row r="3897" spans="1:14" ht="15.75" customHeight="true">
      <c r="A3897" s="169" t="s"/>
      <c r="G3897" s="105" t="s"/>
      <c r="H3897" s="105" t="s"/>
      <c r="J3897" s="573" t="s"/>
      <c r="K3897" s="574" t="s"/>
      <c r="M3897" s="103" t="s"/>
      <c r="N3897" s="103" t="s"/>
    </row>
    <row r="3898" spans="1:14" ht="15.75" customHeight="true">
      <c r="A3898" s="169" t="s"/>
      <c r="G3898" s="105" t="s"/>
      <c r="H3898" s="105" t="s"/>
      <c r="J3898" s="573" t="s"/>
      <c r="K3898" s="574" t="s"/>
      <c r="M3898" s="103" t="s"/>
      <c r="N3898" s="103" t="s"/>
    </row>
    <row r="3899" spans="1:14" ht="15.75" customHeight="true">
      <c r="A3899" s="169" t="s"/>
      <c r="G3899" s="105" t="s"/>
      <c r="H3899" s="105" t="s"/>
      <c r="J3899" s="573" t="s"/>
      <c r="K3899" s="574" t="s"/>
      <c r="M3899" s="103" t="s"/>
      <c r="N3899" s="103" t="s"/>
    </row>
    <row r="3900" spans="1:14" ht="15.75" customHeight="true">
      <c r="A3900" s="169" t="s"/>
      <c r="G3900" s="105" t="s"/>
      <c r="H3900" s="105" t="s"/>
      <c r="J3900" s="573" t="s"/>
      <c r="K3900" s="574" t="s"/>
      <c r="M3900" s="103" t="s"/>
      <c r="N3900" s="103" t="s"/>
    </row>
    <row r="3901" spans="1:14" ht="15.75" customHeight="true">
      <c r="A3901" s="169" t="s"/>
      <c r="G3901" s="105" t="s"/>
      <c r="H3901" s="105" t="s"/>
      <c r="J3901" s="573" t="s"/>
      <c r="K3901" s="574" t="s"/>
      <c r="M3901" s="103" t="s"/>
      <c r="N3901" s="103" t="s"/>
    </row>
    <row r="3902" spans="1:14" ht="15.75" customHeight="true">
      <c r="A3902" s="169" t="s"/>
      <c r="G3902" s="105" t="s"/>
      <c r="H3902" s="105" t="s"/>
      <c r="J3902" s="573" t="s"/>
      <c r="K3902" s="574" t="s"/>
      <c r="M3902" s="103" t="s"/>
      <c r="N3902" s="103" t="s"/>
    </row>
    <row r="3903" spans="1:14" ht="15.75" customHeight="true">
      <c r="A3903" s="169" t="s"/>
      <c r="G3903" s="105" t="s"/>
      <c r="H3903" s="105" t="s"/>
      <c r="J3903" s="573" t="s"/>
      <c r="K3903" s="574" t="s"/>
      <c r="M3903" s="103" t="s"/>
      <c r="N3903" s="103" t="s"/>
    </row>
    <row r="3904" spans="1:14" ht="15.75" customHeight="true">
      <c r="A3904" s="169" t="s"/>
      <c r="G3904" s="105" t="s"/>
      <c r="H3904" s="105" t="s"/>
      <c r="J3904" s="573" t="s"/>
      <c r="K3904" s="574" t="s"/>
      <c r="M3904" s="103" t="s"/>
      <c r="N3904" s="103" t="s"/>
    </row>
    <row r="3905" spans="1:14" ht="15.75" customHeight="true">
      <c r="A3905" s="169" t="s"/>
      <c r="G3905" s="105" t="s"/>
      <c r="H3905" s="105" t="s"/>
      <c r="J3905" s="573" t="s"/>
      <c r="K3905" s="574" t="s"/>
      <c r="M3905" s="103" t="s"/>
      <c r="N3905" s="103" t="s"/>
    </row>
    <row r="3906" spans="1:14" ht="15.75" customHeight="true">
      <c r="A3906" s="169" t="s"/>
      <c r="G3906" s="105" t="s"/>
      <c r="H3906" s="105" t="s"/>
      <c r="J3906" s="573" t="s"/>
      <c r="K3906" s="574" t="s"/>
      <c r="M3906" s="103" t="s"/>
      <c r="N3906" s="103" t="s"/>
    </row>
    <row r="3907" spans="1:14" ht="15.75" customHeight="true">
      <c r="A3907" s="169" t="s"/>
      <c r="G3907" s="105" t="s"/>
      <c r="H3907" s="105" t="s"/>
      <c r="J3907" s="573" t="s"/>
      <c r="K3907" s="574" t="s"/>
      <c r="M3907" s="103" t="s"/>
      <c r="N3907" s="103" t="s"/>
    </row>
    <row r="3908" spans="1:14" ht="15.75" customHeight="true">
      <c r="A3908" s="169" t="s"/>
      <c r="G3908" s="105" t="s"/>
      <c r="H3908" s="105" t="s"/>
      <c r="J3908" s="573" t="s"/>
      <c r="K3908" s="574" t="s"/>
      <c r="M3908" s="103" t="s"/>
      <c r="N3908" s="103" t="s"/>
    </row>
    <row r="3909" spans="1:14" ht="15.75" customHeight="true">
      <c r="A3909" s="169" t="s"/>
      <c r="G3909" s="105" t="s"/>
      <c r="H3909" s="105" t="s"/>
      <c r="J3909" s="573" t="s"/>
      <c r="K3909" s="574" t="s"/>
      <c r="M3909" s="103" t="s"/>
      <c r="N3909" s="103" t="s"/>
    </row>
    <row r="3910" spans="1:14" ht="15.75" customHeight="true">
      <c r="A3910" s="169" t="s"/>
      <c r="G3910" s="105" t="s"/>
      <c r="H3910" s="105" t="s"/>
      <c r="J3910" s="573" t="s"/>
      <c r="K3910" s="574" t="s"/>
      <c r="M3910" s="103" t="s"/>
      <c r="N3910" s="103" t="s"/>
    </row>
    <row r="3911" spans="1:14" ht="15.75" customHeight="true">
      <c r="A3911" s="169" t="s"/>
      <c r="G3911" s="105" t="s"/>
      <c r="H3911" s="105" t="s"/>
      <c r="J3911" s="573" t="s"/>
      <c r="K3911" s="574" t="s"/>
      <c r="M3911" s="103" t="s"/>
      <c r="N3911" s="103" t="s"/>
    </row>
    <row r="3912" spans="1:14" ht="15.75" customHeight="true">
      <c r="A3912" s="169" t="s"/>
      <c r="G3912" s="105" t="s"/>
      <c r="H3912" s="105" t="s"/>
      <c r="J3912" s="573" t="s"/>
      <c r="K3912" s="574" t="s"/>
      <c r="M3912" s="103" t="s"/>
      <c r="N3912" s="103" t="s"/>
    </row>
    <row r="3913" spans="1:14" ht="15.75" customHeight="true">
      <c r="A3913" s="169" t="s"/>
      <c r="G3913" s="105" t="s"/>
      <c r="H3913" s="105" t="s"/>
      <c r="J3913" s="573" t="s"/>
      <c r="K3913" s="574" t="s"/>
      <c r="M3913" s="103" t="s"/>
      <c r="N3913" s="103" t="s"/>
    </row>
    <row r="3914" spans="1:14" ht="15.75" customHeight="true">
      <c r="A3914" s="169" t="s"/>
      <c r="G3914" s="105" t="s"/>
      <c r="H3914" s="105" t="s"/>
      <c r="J3914" s="573" t="s"/>
      <c r="K3914" s="574" t="s"/>
      <c r="M3914" s="103" t="s"/>
      <c r="N3914" s="103" t="s"/>
    </row>
    <row r="3915" spans="1:14" ht="15.75" customHeight="true">
      <c r="A3915" s="169" t="s"/>
      <c r="G3915" s="105" t="s"/>
      <c r="H3915" s="105" t="s"/>
      <c r="J3915" s="573" t="s"/>
      <c r="K3915" s="574" t="s"/>
      <c r="M3915" s="103" t="s"/>
      <c r="N3915" s="103" t="s"/>
    </row>
    <row r="3916" spans="1:14" ht="15.75" customHeight="true">
      <c r="A3916" s="169" t="s"/>
      <c r="G3916" s="105" t="s"/>
      <c r="H3916" s="105" t="s"/>
      <c r="J3916" s="573" t="s"/>
      <c r="K3916" s="574" t="s"/>
      <c r="M3916" s="103" t="s"/>
      <c r="N3916" s="103" t="s"/>
    </row>
    <row r="3917" spans="1:14" ht="15.75" customHeight="true">
      <c r="A3917" s="169" t="s"/>
      <c r="G3917" s="105" t="s"/>
      <c r="H3917" s="105" t="s"/>
      <c r="J3917" s="573" t="s"/>
      <c r="K3917" s="574" t="s"/>
      <c r="M3917" s="103" t="s"/>
      <c r="N3917" s="103" t="s"/>
    </row>
    <row r="3918" spans="1:14" ht="15.75" customHeight="true">
      <c r="A3918" s="169" t="s"/>
      <c r="G3918" s="105" t="s"/>
      <c r="H3918" s="105" t="s"/>
      <c r="J3918" s="573" t="s"/>
      <c r="K3918" s="574" t="s"/>
      <c r="M3918" s="103" t="s"/>
      <c r="N3918" s="103" t="s"/>
    </row>
    <row r="3919" spans="1:14" ht="15.75" customHeight="true">
      <c r="A3919" s="169" t="s"/>
      <c r="G3919" s="105" t="s"/>
      <c r="H3919" s="105" t="s"/>
      <c r="J3919" s="573" t="s"/>
      <c r="K3919" s="574" t="s"/>
      <c r="M3919" s="103" t="s"/>
      <c r="N3919" s="103" t="s"/>
    </row>
    <row r="3920" spans="1:14" ht="15.75" customHeight="true">
      <c r="A3920" s="169" t="s"/>
      <c r="G3920" s="105" t="s"/>
      <c r="H3920" s="105" t="s"/>
      <c r="J3920" s="573" t="s"/>
      <c r="K3920" s="574" t="s"/>
      <c r="M3920" s="103" t="s"/>
      <c r="N3920" s="103" t="s"/>
    </row>
    <row r="3921" spans="1:14" ht="15.75" customHeight="true">
      <c r="A3921" s="169" t="s"/>
      <c r="G3921" s="105" t="s"/>
      <c r="H3921" s="105" t="s"/>
      <c r="J3921" s="573" t="s"/>
      <c r="K3921" s="574" t="s"/>
      <c r="M3921" s="103" t="s"/>
      <c r="N3921" s="103" t="s"/>
    </row>
    <row r="3922" spans="1:14" ht="15.75" customHeight="true">
      <c r="A3922" s="169" t="s"/>
      <c r="G3922" s="105" t="s"/>
      <c r="H3922" s="105" t="s"/>
      <c r="J3922" s="573" t="s"/>
      <c r="K3922" s="574" t="s"/>
      <c r="M3922" s="103" t="s"/>
      <c r="N3922" s="103" t="s"/>
    </row>
    <row r="3923" spans="1:14" ht="15.75" customHeight="true">
      <c r="A3923" s="169" t="s"/>
      <c r="G3923" s="105" t="s"/>
      <c r="H3923" s="105" t="s"/>
      <c r="J3923" s="573" t="s"/>
      <c r="K3923" s="574" t="s"/>
      <c r="M3923" s="103" t="s"/>
      <c r="N3923" s="103" t="s"/>
    </row>
    <row r="3924" spans="1:14" ht="15.75" customHeight="true">
      <c r="A3924" s="169" t="s"/>
      <c r="G3924" s="105" t="s"/>
      <c r="H3924" s="105" t="s"/>
      <c r="J3924" s="573" t="s"/>
      <c r="K3924" s="574" t="s"/>
      <c r="M3924" s="103" t="s"/>
      <c r="N3924" s="103" t="s"/>
    </row>
    <row r="3925" spans="1:14" ht="15.75" customHeight="true">
      <c r="A3925" s="169" t="s"/>
      <c r="G3925" s="105" t="s"/>
      <c r="H3925" s="105" t="s"/>
      <c r="J3925" s="573" t="s"/>
      <c r="K3925" s="574" t="s"/>
      <c r="M3925" s="103" t="s"/>
      <c r="N3925" s="103" t="s"/>
    </row>
    <row r="3926" spans="1:14" ht="15.75" customHeight="true">
      <c r="A3926" s="169" t="s"/>
      <c r="G3926" s="105" t="s"/>
      <c r="H3926" s="105" t="s"/>
      <c r="J3926" s="573" t="s"/>
      <c r="K3926" s="574" t="s"/>
      <c r="M3926" s="103" t="s"/>
      <c r="N3926" s="103" t="s"/>
    </row>
    <row r="3927" spans="1:14" ht="15.75" customHeight="true">
      <c r="A3927" s="169" t="s"/>
      <c r="G3927" s="105" t="s"/>
      <c r="H3927" s="105" t="s"/>
      <c r="J3927" s="573" t="s"/>
      <c r="K3927" s="574" t="s"/>
      <c r="M3927" s="103" t="s"/>
      <c r="N3927" s="103" t="s"/>
    </row>
    <row r="3928" spans="1:14" ht="15.75" customHeight="true">
      <c r="A3928" s="169" t="s"/>
      <c r="G3928" s="105" t="s"/>
      <c r="H3928" s="105" t="s"/>
      <c r="J3928" s="573" t="s"/>
      <c r="K3928" s="574" t="s"/>
      <c r="M3928" s="103" t="s"/>
      <c r="N3928" s="103" t="s"/>
    </row>
    <row r="3929" spans="1:14" ht="15.75" customHeight="true">
      <c r="A3929" s="169" t="s"/>
      <c r="G3929" s="105" t="s"/>
      <c r="H3929" s="105" t="s"/>
      <c r="J3929" s="573" t="s"/>
      <c r="K3929" s="574" t="s"/>
      <c r="M3929" s="103" t="s"/>
      <c r="N3929" s="103" t="s"/>
    </row>
    <row r="3930" spans="1:14" ht="15.75" customHeight="true">
      <c r="A3930" s="169" t="s"/>
      <c r="G3930" s="105" t="s"/>
      <c r="H3930" s="105" t="s"/>
      <c r="J3930" s="573" t="s"/>
      <c r="K3930" s="574" t="s"/>
      <c r="M3930" s="103" t="s"/>
      <c r="N3930" s="103" t="s"/>
    </row>
    <row r="3931" spans="1:14" ht="15.75" customHeight="true">
      <c r="A3931" s="169" t="s"/>
      <c r="G3931" s="105" t="s"/>
      <c r="H3931" s="105" t="s"/>
      <c r="J3931" s="573" t="s"/>
      <c r="K3931" s="574" t="s"/>
      <c r="M3931" s="103" t="s"/>
      <c r="N3931" s="103" t="s"/>
    </row>
    <row r="3932" spans="1:14" ht="15.75" customHeight="true">
      <c r="A3932" s="169" t="s"/>
      <c r="G3932" s="105" t="s"/>
      <c r="H3932" s="105" t="s"/>
      <c r="J3932" s="573" t="s"/>
      <c r="K3932" s="574" t="s"/>
      <c r="M3932" s="103" t="s"/>
      <c r="N3932" s="103" t="s"/>
    </row>
    <row r="3933" spans="1:14" ht="15.75" customHeight="true">
      <c r="A3933" s="169" t="s"/>
      <c r="G3933" s="105" t="s"/>
      <c r="H3933" s="105" t="s"/>
      <c r="J3933" s="573" t="s"/>
      <c r="K3933" s="574" t="s"/>
      <c r="M3933" s="103" t="s"/>
      <c r="N3933" s="103" t="s"/>
    </row>
    <row r="3934" spans="1:14" ht="15.75" customHeight="true">
      <c r="A3934" s="169" t="s"/>
      <c r="G3934" s="105" t="s"/>
      <c r="H3934" s="105" t="s"/>
      <c r="J3934" s="573" t="s"/>
      <c r="K3934" s="574" t="s"/>
      <c r="M3934" s="103" t="s"/>
      <c r="N3934" s="103" t="s"/>
    </row>
    <row r="3935" spans="1:14" ht="15.75" customHeight="true">
      <c r="A3935" s="169" t="s"/>
      <c r="G3935" s="105" t="s"/>
      <c r="H3935" s="105" t="s"/>
      <c r="J3935" s="573" t="s"/>
      <c r="K3935" s="574" t="s"/>
      <c r="M3935" s="103" t="s"/>
      <c r="N3935" s="103" t="s"/>
    </row>
    <row r="3936" spans="1:14" ht="15.75" customHeight="true">
      <c r="A3936" s="169" t="s"/>
      <c r="G3936" s="105" t="s"/>
      <c r="H3936" s="105" t="s"/>
      <c r="J3936" s="573" t="s"/>
      <c r="K3936" s="574" t="s"/>
      <c r="M3936" s="103" t="s"/>
      <c r="N3936" s="103" t="s"/>
    </row>
    <row r="3937" spans="1:14" ht="15.75" customHeight="true">
      <c r="A3937" s="169" t="s"/>
      <c r="G3937" s="105" t="s"/>
      <c r="H3937" s="105" t="s"/>
      <c r="J3937" s="573" t="s"/>
      <c r="K3937" s="574" t="s"/>
      <c r="M3937" s="103" t="s"/>
      <c r="N3937" s="103" t="s"/>
    </row>
    <row r="3938" spans="1:14" ht="15.75" customHeight="true">
      <c r="A3938" s="169" t="s"/>
      <c r="G3938" s="105" t="s"/>
      <c r="H3938" s="105" t="s"/>
      <c r="J3938" s="573" t="s"/>
      <c r="K3938" s="574" t="s"/>
      <c r="M3938" s="103" t="s"/>
      <c r="N3938" s="103" t="s"/>
    </row>
    <row r="3939" spans="1:14" ht="15.75" customHeight="true">
      <c r="A3939" s="169" t="s"/>
      <c r="G3939" s="105" t="s"/>
      <c r="H3939" s="105" t="s"/>
      <c r="J3939" s="573" t="s"/>
      <c r="K3939" s="574" t="s"/>
      <c r="M3939" s="103" t="s"/>
      <c r="N3939" s="103" t="s"/>
    </row>
    <row r="3940" spans="1:14" ht="15.75" customHeight="true">
      <c r="A3940" s="169" t="s"/>
      <c r="G3940" s="105" t="s"/>
      <c r="H3940" s="105" t="s"/>
      <c r="J3940" s="573" t="s"/>
      <c r="K3940" s="574" t="s"/>
      <c r="M3940" s="103" t="s"/>
      <c r="N3940" s="103" t="s"/>
    </row>
    <row r="3941" spans="1:14" ht="15.75" customHeight="true">
      <c r="A3941" s="169" t="s"/>
      <c r="G3941" s="105" t="s"/>
      <c r="H3941" s="105" t="s"/>
      <c r="J3941" s="573" t="s"/>
      <c r="K3941" s="574" t="s"/>
      <c r="M3941" s="103" t="s"/>
      <c r="N3941" s="103" t="s"/>
    </row>
    <row r="3942" spans="1:14" ht="15.75" customHeight="true">
      <c r="A3942" s="169" t="s"/>
      <c r="G3942" s="105" t="s"/>
      <c r="H3942" s="105" t="s"/>
      <c r="J3942" s="573" t="s"/>
      <c r="K3942" s="574" t="s"/>
      <c r="M3942" s="103" t="s"/>
      <c r="N3942" s="103" t="s"/>
    </row>
    <row r="3943" spans="1:14" ht="15.75" customHeight="true">
      <c r="A3943" s="169" t="s"/>
      <c r="G3943" s="105" t="s"/>
      <c r="H3943" s="105" t="s"/>
      <c r="J3943" s="573" t="s"/>
      <c r="K3943" s="574" t="s"/>
      <c r="M3943" s="103" t="s"/>
      <c r="N3943" s="103" t="s"/>
    </row>
    <row r="3944" spans="1:14" ht="15.75" customHeight="true">
      <c r="A3944" s="169" t="s"/>
      <c r="G3944" s="105" t="s"/>
      <c r="H3944" s="105" t="s"/>
      <c r="J3944" s="573" t="s"/>
      <c r="K3944" s="574" t="s"/>
      <c r="M3944" s="103" t="s"/>
      <c r="N3944" s="103" t="s"/>
    </row>
    <row r="3945" spans="1:14" ht="15.75" customHeight="true">
      <c r="A3945" s="169" t="s"/>
      <c r="G3945" s="105" t="s"/>
      <c r="H3945" s="105" t="s"/>
      <c r="J3945" s="573" t="s"/>
      <c r="K3945" s="574" t="s"/>
      <c r="M3945" s="103" t="s"/>
      <c r="N3945" s="103" t="s"/>
    </row>
    <row r="3946" spans="1:14" ht="15.75" customHeight="true">
      <c r="A3946" s="169" t="s"/>
      <c r="G3946" s="105" t="s"/>
      <c r="H3946" s="105" t="s"/>
      <c r="J3946" s="573" t="s"/>
      <c r="K3946" s="574" t="s"/>
      <c r="M3946" s="103" t="s"/>
      <c r="N3946" s="103" t="s"/>
    </row>
    <row r="3947" spans="1:14" ht="15.75" customHeight="true">
      <c r="A3947" s="169" t="s"/>
      <c r="G3947" s="105" t="s"/>
      <c r="H3947" s="105" t="s"/>
      <c r="J3947" s="573" t="s"/>
      <c r="K3947" s="574" t="s"/>
      <c r="M3947" s="103" t="s"/>
      <c r="N3947" s="103" t="s"/>
    </row>
    <row r="3948" spans="1:14" ht="15.75" customHeight="true">
      <c r="A3948" s="169" t="s"/>
      <c r="G3948" s="105" t="s"/>
      <c r="H3948" s="105" t="s"/>
      <c r="J3948" s="573" t="s"/>
      <c r="K3948" s="574" t="s"/>
      <c r="M3948" s="103" t="s"/>
      <c r="N3948" s="103" t="s"/>
    </row>
    <row r="3949" spans="1:14" ht="15.75" customHeight="true">
      <c r="A3949" s="169" t="s"/>
      <c r="G3949" s="105" t="s"/>
      <c r="H3949" s="105" t="s"/>
      <c r="J3949" s="573" t="s"/>
      <c r="K3949" s="574" t="s"/>
      <c r="M3949" s="103" t="s"/>
      <c r="N3949" s="103" t="s"/>
    </row>
    <row r="3950" spans="1:14" ht="15.75" customHeight="true">
      <c r="A3950" s="169" t="s"/>
      <c r="G3950" s="105" t="s"/>
      <c r="H3950" s="105" t="s"/>
      <c r="J3950" s="573" t="s"/>
      <c r="K3950" s="574" t="s"/>
      <c r="M3950" s="103" t="s"/>
      <c r="N3950" s="103" t="s"/>
    </row>
    <row r="3951" spans="1:14" ht="15.75" customHeight="true">
      <c r="A3951" s="169" t="s"/>
      <c r="G3951" s="105" t="s"/>
      <c r="H3951" s="105" t="s"/>
      <c r="J3951" s="573" t="s"/>
      <c r="K3951" s="574" t="s"/>
      <c r="M3951" s="103" t="s"/>
      <c r="N3951" s="103" t="s"/>
    </row>
    <row r="3952" spans="1:14" ht="15.75" customHeight="true">
      <c r="A3952" s="169" t="s"/>
      <c r="G3952" s="105" t="s"/>
      <c r="H3952" s="105" t="s"/>
      <c r="J3952" s="573" t="s"/>
      <c r="K3952" s="574" t="s"/>
      <c r="M3952" s="103" t="s"/>
      <c r="N3952" s="103" t="s"/>
    </row>
    <row r="3953" spans="1:14" ht="15.75" customHeight="true">
      <c r="A3953" s="169" t="s"/>
      <c r="G3953" s="105" t="s"/>
      <c r="H3953" s="105" t="s"/>
      <c r="J3953" s="573" t="s"/>
      <c r="K3953" s="574" t="s"/>
      <c r="M3953" s="103" t="s"/>
      <c r="N3953" s="103" t="s"/>
    </row>
    <row r="3954" spans="1:14" ht="15.75" customHeight="true">
      <c r="A3954" s="169" t="s"/>
      <c r="G3954" s="105" t="s"/>
      <c r="H3954" s="105" t="s"/>
      <c r="J3954" s="573" t="s"/>
      <c r="K3954" s="574" t="s"/>
      <c r="M3954" s="103" t="s"/>
      <c r="N3954" s="103" t="s"/>
    </row>
    <row r="3955" spans="1:14" ht="15.75" customHeight="true">
      <c r="A3955" s="169" t="s"/>
      <c r="G3955" s="105" t="s"/>
      <c r="H3955" s="105" t="s"/>
      <c r="J3955" s="573" t="s"/>
      <c r="K3955" s="574" t="s"/>
      <c r="M3955" s="103" t="s"/>
      <c r="N3955" s="103" t="s"/>
    </row>
    <row r="3956" spans="1:14" ht="15.75" customHeight="true">
      <c r="A3956" s="169" t="s"/>
      <c r="G3956" s="105" t="s"/>
      <c r="H3956" s="105" t="s"/>
      <c r="J3956" s="573" t="s"/>
      <c r="K3956" s="574" t="s"/>
      <c r="M3956" s="103" t="s"/>
      <c r="N3956" s="103" t="s"/>
    </row>
    <row r="3957" spans="1:14" ht="15.75" customHeight="true">
      <c r="A3957" s="169" t="s"/>
      <c r="G3957" s="105" t="s"/>
      <c r="H3957" s="105" t="s"/>
      <c r="J3957" s="573" t="s"/>
      <c r="K3957" s="574" t="s"/>
      <c r="M3957" s="103" t="s"/>
      <c r="N3957" s="103" t="s"/>
    </row>
    <row r="3958" spans="1:14" ht="15.75" customHeight="true">
      <c r="A3958" s="169" t="s"/>
      <c r="G3958" s="105" t="s"/>
      <c r="H3958" s="105" t="s"/>
      <c r="J3958" s="573" t="s"/>
      <c r="K3958" s="574" t="s"/>
      <c r="M3958" s="103" t="s"/>
      <c r="N3958" s="103" t="s"/>
    </row>
    <row r="3959" spans="1:14" ht="15.75" customHeight="true">
      <c r="A3959" s="169" t="s"/>
      <c r="G3959" s="105" t="s"/>
      <c r="H3959" s="105" t="s"/>
      <c r="J3959" s="573" t="s"/>
      <c r="K3959" s="574" t="s"/>
      <c r="M3959" s="103" t="s"/>
      <c r="N3959" s="103" t="s"/>
    </row>
    <row r="3960" spans="1:14" ht="15.75" customHeight="true">
      <c r="A3960" s="169" t="s"/>
      <c r="G3960" s="105" t="s"/>
      <c r="H3960" s="105" t="s"/>
      <c r="J3960" s="573" t="s"/>
      <c r="K3960" s="574" t="s"/>
      <c r="M3960" s="103" t="s"/>
      <c r="N3960" s="103" t="s"/>
    </row>
    <row r="3961" spans="1:14" ht="15.75" customHeight="true">
      <c r="A3961" s="169" t="s"/>
      <c r="G3961" s="105" t="s"/>
      <c r="H3961" s="105" t="s"/>
      <c r="J3961" s="573" t="s"/>
      <c r="K3961" s="574" t="s"/>
      <c r="M3961" s="103" t="s"/>
      <c r="N3961" s="103" t="s"/>
    </row>
    <row r="3962" spans="1:14" ht="15.75" customHeight="true">
      <c r="A3962" s="169" t="s"/>
      <c r="G3962" s="105" t="s"/>
      <c r="H3962" s="105" t="s"/>
      <c r="J3962" s="573" t="s"/>
      <c r="K3962" s="574" t="s"/>
      <c r="M3962" s="103" t="s"/>
      <c r="N3962" s="103" t="s"/>
    </row>
    <row r="3963" spans="1:14" ht="15.75" customHeight="true">
      <c r="A3963" s="169" t="s"/>
      <c r="G3963" s="105" t="s"/>
      <c r="H3963" s="105" t="s"/>
      <c r="J3963" s="573" t="s"/>
      <c r="K3963" s="574" t="s"/>
      <c r="M3963" s="103" t="s"/>
      <c r="N3963" s="103" t="s"/>
    </row>
    <row r="3964" spans="1:14" ht="15.75" customHeight="true">
      <c r="A3964" s="169" t="s"/>
      <c r="G3964" s="105" t="s"/>
      <c r="H3964" s="105" t="s"/>
      <c r="J3964" s="573" t="s"/>
      <c r="K3964" s="574" t="s"/>
      <c r="M3964" s="103" t="s"/>
      <c r="N3964" s="103" t="s"/>
    </row>
    <row r="3965" spans="1:14" ht="15.75" customHeight="true">
      <c r="A3965" s="169" t="s"/>
      <c r="G3965" s="105" t="s"/>
      <c r="H3965" s="105" t="s"/>
      <c r="J3965" s="573" t="s"/>
      <c r="K3965" s="574" t="s"/>
      <c r="M3965" s="103" t="s"/>
      <c r="N3965" s="103" t="s"/>
    </row>
    <row r="3966" spans="1:14" ht="15.75" customHeight="true">
      <c r="A3966" s="169" t="s"/>
      <c r="G3966" s="105" t="s"/>
      <c r="H3966" s="105" t="s"/>
      <c r="J3966" s="573" t="s"/>
      <c r="K3966" s="574" t="s"/>
      <c r="M3966" s="103" t="s"/>
      <c r="N3966" s="103" t="s"/>
    </row>
    <row r="3967" spans="1:14" ht="15.75" customHeight="true">
      <c r="A3967" s="169" t="s"/>
      <c r="G3967" s="105" t="s"/>
      <c r="H3967" s="105" t="s"/>
      <c r="J3967" s="573" t="s"/>
      <c r="K3967" s="574" t="s"/>
      <c r="M3967" s="103" t="s"/>
      <c r="N3967" s="103" t="s"/>
    </row>
    <row r="3968" spans="1:14" ht="15.75" customHeight="true">
      <c r="A3968" s="169" t="s"/>
      <c r="G3968" s="105" t="s"/>
      <c r="H3968" s="105" t="s"/>
      <c r="J3968" s="573" t="s"/>
      <c r="K3968" s="574" t="s"/>
      <c r="M3968" s="103" t="s"/>
      <c r="N3968" s="103" t="s"/>
    </row>
    <row r="3969" spans="1:14" ht="15.75" customHeight="true">
      <c r="A3969" s="169" t="s"/>
      <c r="G3969" s="105" t="s"/>
      <c r="H3969" s="105" t="s"/>
      <c r="J3969" s="573" t="s"/>
      <c r="K3969" s="574" t="s"/>
      <c r="M3969" s="103" t="s"/>
      <c r="N3969" s="103" t="s"/>
    </row>
    <row r="3970" spans="1:14" ht="15.75" customHeight="true">
      <c r="A3970" s="169" t="s"/>
      <c r="G3970" s="105" t="s"/>
      <c r="H3970" s="105" t="s"/>
      <c r="J3970" s="573" t="s"/>
      <c r="K3970" s="574" t="s"/>
      <c r="M3970" s="103" t="s"/>
      <c r="N3970" s="103" t="s"/>
    </row>
    <row r="3971" spans="1:14" ht="15.75" customHeight="true">
      <c r="A3971" s="169" t="s"/>
      <c r="G3971" s="105" t="s"/>
      <c r="H3971" s="105" t="s"/>
      <c r="J3971" s="573" t="s"/>
      <c r="K3971" s="574" t="s"/>
      <c r="M3971" s="103" t="s"/>
      <c r="N3971" s="103" t="s"/>
    </row>
    <row r="3972" spans="1:14" ht="15.75" customHeight="true">
      <c r="A3972" s="169" t="s"/>
      <c r="G3972" s="105" t="s"/>
      <c r="H3972" s="105" t="s"/>
      <c r="J3972" s="573" t="s"/>
      <c r="K3972" s="574" t="s"/>
      <c r="M3972" s="103" t="s"/>
      <c r="N3972" s="103" t="s"/>
    </row>
    <row r="3973" spans="1:14" ht="15.75" customHeight="true">
      <c r="A3973" s="169" t="s"/>
      <c r="G3973" s="105" t="s"/>
      <c r="H3973" s="105" t="s"/>
      <c r="J3973" s="573" t="s"/>
      <c r="K3973" s="574" t="s"/>
      <c r="M3973" s="103" t="s"/>
      <c r="N3973" s="103" t="s"/>
    </row>
    <row r="3974" spans="1:14" ht="15.75" customHeight="true">
      <c r="A3974" s="169" t="s"/>
      <c r="G3974" s="105" t="s"/>
      <c r="H3974" s="105" t="s"/>
      <c r="J3974" s="573" t="s"/>
      <c r="K3974" s="574" t="s"/>
      <c r="M3974" s="103" t="s"/>
      <c r="N3974" s="103" t="s"/>
    </row>
    <row r="3975" spans="1:14" ht="15.75" customHeight="true">
      <c r="A3975" s="169" t="s"/>
      <c r="G3975" s="105" t="s"/>
      <c r="H3975" s="105" t="s"/>
      <c r="J3975" s="573" t="s"/>
      <c r="K3975" s="574" t="s"/>
      <c r="M3975" s="103" t="s"/>
      <c r="N3975" s="103" t="s"/>
    </row>
    <row r="3976" spans="1:14" ht="15.75" customHeight="true">
      <c r="A3976" s="169" t="s"/>
      <c r="G3976" s="105" t="s"/>
      <c r="H3976" s="105" t="s"/>
      <c r="J3976" s="573" t="s"/>
      <c r="K3976" s="574" t="s"/>
      <c r="M3976" s="103" t="s"/>
      <c r="N3976" s="103" t="s"/>
    </row>
    <row r="3977" spans="1:14" ht="15.75" customHeight="true">
      <c r="A3977" s="169" t="s"/>
      <c r="G3977" s="105" t="s"/>
      <c r="H3977" s="105" t="s"/>
      <c r="J3977" s="573" t="s"/>
      <c r="K3977" s="574" t="s"/>
      <c r="M3977" s="103" t="s"/>
      <c r="N3977" s="103" t="s"/>
    </row>
    <row r="3978" spans="1:14" ht="15.75" customHeight="true">
      <c r="A3978" s="169" t="s"/>
      <c r="G3978" s="105" t="s"/>
      <c r="H3978" s="105" t="s"/>
      <c r="J3978" s="573" t="s"/>
      <c r="K3978" s="574" t="s"/>
      <c r="M3978" s="103" t="s"/>
      <c r="N3978" s="103" t="s"/>
    </row>
    <row r="3979" spans="1:14" ht="15.75" customHeight="true">
      <c r="A3979" s="169" t="s"/>
      <c r="G3979" s="105" t="s"/>
      <c r="H3979" s="105" t="s"/>
      <c r="J3979" s="573" t="s"/>
      <c r="K3979" s="574" t="s"/>
      <c r="M3979" s="103" t="s"/>
      <c r="N3979" s="103" t="s"/>
    </row>
    <row r="3980" spans="1:14" ht="15.75" customHeight="true">
      <c r="A3980" s="169" t="s"/>
      <c r="G3980" s="105" t="s"/>
      <c r="H3980" s="105" t="s"/>
      <c r="J3980" s="573" t="s"/>
      <c r="K3980" s="574" t="s"/>
      <c r="M3980" s="103" t="s"/>
      <c r="N3980" s="103" t="s"/>
    </row>
    <row r="3981" spans="1:14" ht="15.75" customHeight="true">
      <c r="A3981" s="169" t="s"/>
      <c r="G3981" s="105" t="s"/>
      <c r="H3981" s="105" t="s"/>
      <c r="J3981" s="573" t="s"/>
      <c r="K3981" s="574" t="s"/>
      <c r="M3981" s="103" t="s"/>
      <c r="N3981" s="103" t="s"/>
    </row>
    <row r="3982" spans="1:14" ht="15.75" customHeight="true">
      <c r="A3982" s="169" t="s"/>
      <c r="G3982" s="105" t="s"/>
      <c r="H3982" s="105" t="s"/>
      <c r="J3982" s="573" t="s"/>
      <c r="K3982" s="574" t="s"/>
      <c r="M3982" s="103" t="s"/>
      <c r="N3982" s="103" t="s"/>
    </row>
    <row r="3983" spans="1:14" ht="15.75" customHeight="true">
      <c r="A3983" s="169" t="s"/>
      <c r="G3983" s="105" t="s"/>
      <c r="H3983" s="105" t="s"/>
      <c r="J3983" s="573" t="s"/>
      <c r="K3983" s="574" t="s"/>
      <c r="M3983" s="103" t="s"/>
      <c r="N3983" s="103" t="s"/>
    </row>
    <row r="3984" spans="1:14" ht="15.75" customHeight="true">
      <c r="A3984" s="169" t="s"/>
      <c r="G3984" s="105" t="s"/>
      <c r="H3984" s="105" t="s"/>
      <c r="J3984" s="573" t="s"/>
      <c r="K3984" s="574" t="s"/>
      <c r="M3984" s="103" t="s"/>
      <c r="N3984" s="103" t="s"/>
    </row>
    <row r="3985" spans="1:14" ht="15.75" customHeight="true">
      <c r="A3985" s="169" t="s"/>
      <c r="G3985" s="105" t="s"/>
      <c r="H3985" s="105" t="s"/>
      <c r="J3985" s="573" t="s"/>
      <c r="K3985" s="574" t="s"/>
      <c r="M3985" s="103" t="s"/>
      <c r="N3985" s="103" t="s"/>
    </row>
    <row r="3986" spans="1:14" ht="15.75" customHeight="true">
      <c r="A3986" s="169" t="s"/>
      <c r="G3986" s="105" t="s"/>
      <c r="H3986" s="105" t="s"/>
      <c r="J3986" s="573" t="s"/>
      <c r="K3986" s="574" t="s"/>
      <c r="M3986" s="103" t="s"/>
      <c r="N3986" s="103" t="s"/>
    </row>
    <row r="3987" spans="1:14" ht="15.75" customHeight="true">
      <c r="A3987" s="169" t="s"/>
      <c r="G3987" s="105" t="s"/>
      <c r="H3987" s="105" t="s"/>
      <c r="J3987" s="573" t="s"/>
      <c r="K3987" s="574" t="s"/>
      <c r="M3987" s="103" t="s"/>
      <c r="N3987" s="103" t="s"/>
    </row>
    <row r="3988" spans="1:14" ht="15.75" customHeight="true">
      <c r="A3988" s="169" t="s"/>
      <c r="G3988" s="105" t="s"/>
      <c r="H3988" s="105" t="s"/>
      <c r="J3988" s="573" t="s"/>
      <c r="K3988" s="574" t="s"/>
      <c r="M3988" s="103" t="s"/>
      <c r="N3988" s="103" t="s"/>
    </row>
    <row r="3989" spans="1:14" ht="15.75" customHeight="true">
      <c r="A3989" s="169" t="s"/>
      <c r="G3989" s="105" t="s"/>
      <c r="H3989" s="105" t="s"/>
      <c r="J3989" s="573" t="s"/>
      <c r="K3989" s="574" t="s"/>
      <c r="M3989" s="103" t="s"/>
      <c r="N3989" s="103" t="s"/>
    </row>
    <row r="3990" spans="1:14" ht="15.75" customHeight="true">
      <c r="A3990" s="169" t="s"/>
      <c r="G3990" s="105" t="s"/>
      <c r="H3990" s="105" t="s"/>
      <c r="J3990" s="573" t="s"/>
      <c r="K3990" s="574" t="s"/>
      <c r="M3990" s="103" t="s"/>
      <c r="N3990" s="103" t="s"/>
    </row>
    <row r="3991" spans="1:14" ht="15.75" customHeight="true">
      <c r="A3991" s="169" t="s"/>
      <c r="G3991" s="105" t="s"/>
      <c r="H3991" s="105" t="s"/>
      <c r="J3991" s="573" t="s"/>
      <c r="K3991" s="574" t="s"/>
      <c r="M3991" s="103" t="s"/>
      <c r="N3991" s="103" t="s"/>
    </row>
    <row r="3992" spans="1:14" ht="15.75" customHeight="true">
      <c r="A3992" s="169" t="s"/>
      <c r="G3992" s="105" t="s"/>
      <c r="H3992" s="105" t="s"/>
      <c r="J3992" s="573" t="s"/>
      <c r="K3992" s="574" t="s"/>
      <c r="M3992" s="103" t="s"/>
      <c r="N3992" s="103" t="s"/>
    </row>
    <row r="3993" spans="1:14" ht="15.75" customHeight="true">
      <c r="A3993" s="169" t="s"/>
      <c r="G3993" s="105" t="s"/>
      <c r="H3993" s="105" t="s"/>
      <c r="J3993" s="573" t="s"/>
      <c r="K3993" s="574" t="s"/>
      <c r="M3993" s="103" t="s"/>
      <c r="N3993" s="103" t="s"/>
    </row>
    <row r="3994" spans="1:14" ht="15.75" customHeight="true">
      <c r="A3994" s="169" t="s"/>
      <c r="G3994" s="105" t="s"/>
      <c r="H3994" s="105" t="s"/>
      <c r="J3994" s="573" t="s"/>
      <c r="K3994" s="574" t="s"/>
      <c r="M3994" s="103" t="s"/>
      <c r="N3994" s="103" t="s"/>
    </row>
    <row r="3995" spans="1:14" ht="15.75" customHeight="true">
      <c r="A3995" s="169" t="s"/>
      <c r="G3995" s="105" t="s"/>
      <c r="H3995" s="105" t="s"/>
      <c r="J3995" s="573" t="s"/>
      <c r="K3995" s="574" t="s"/>
      <c r="M3995" s="103" t="s"/>
      <c r="N3995" s="103" t="s"/>
    </row>
    <row r="3996" spans="1:14" ht="15.75" customHeight="true">
      <c r="A3996" s="169" t="s"/>
      <c r="G3996" s="105" t="s"/>
      <c r="H3996" s="105" t="s"/>
      <c r="J3996" s="573" t="s"/>
      <c r="K3996" s="574" t="s"/>
      <c r="M3996" s="103" t="s"/>
      <c r="N3996" s="103" t="s"/>
    </row>
    <row r="3997" spans="1:14" ht="15.75" customHeight="true">
      <c r="A3997" s="169" t="s"/>
      <c r="G3997" s="105" t="s"/>
      <c r="H3997" s="105" t="s"/>
      <c r="J3997" s="573" t="s"/>
      <c r="K3997" s="574" t="s"/>
      <c r="M3997" s="103" t="s"/>
      <c r="N3997" s="103" t="s"/>
    </row>
    <row r="3998" spans="1:14" ht="15.75" customHeight="true">
      <c r="A3998" s="169" t="s"/>
      <c r="G3998" s="105" t="s"/>
      <c r="H3998" s="105" t="s"/>
      <c r="J3998" s="573" t="s"/>
      <c r="K3998" s="574" t="s"/>
      <c r="M3998" s="103" t="s"/>
      <c r="N3998" s="103" t="s"/>
    </row>
    <row r="3999" spans="1:14" ht="15.75" customHeight="true">
      <c r="A3999" s="169" t="s"/>
      <c r="G3999" s="105" t="s"/>
      <c r="H3999" s="105" t="s"/>
      <c r="J3999" s="573" t="s"/>
      <c r="K3999" s="574" t="s"/>
      <c r="M3999" s="103" t="s"/>
      <c r="N3999" s="103" t="s"/>
    </row>
    <row r="4000" spans="1:14" ht="15.75" customHeight="true">
      <c r="A4000" s="169" t="s"/>
      <c r="G4000" s="105" t="s"/>
      <c r="H4000" s="105" t="s"/>
      <c r="J4000" s="573" t="s"/>
      <c r="K4000" s="574" t="s"/>
      <c r="M4000" s="103" t="s"/>
      <c r="N4000" s="103" t="s"/>
    </row>
    <row r="4001" spans="1:14" ht="15.75" customHeight="true">
      <c r="A4001" s="169" t="s"/>
      <c r="G4001" s="105" t="s"/>
      <c r="H4001" s="105" t="s"/>
      <c r="J4001" s="573" t="s"/>
      <c r="K4001" s="574" t="s"/>
      <c r="M4001" s="103" t="s"/>
      <c r="N4001" s="103" t="s"/>
    </row>
    <row r="4002" spans="1:14" ht="15.75" customHeight="true">
      <c r="A4002" s="169" t="s"/>
      <c r="G4002" s="105" t="s"/>
      <c r="H4002" s="105" t="s"/>
      <c r="J4002" s="573" t="s"/>
      <c r="K4002" s="574" t="s"/>
      <c r="M4002" s="103" t="s"/>
      <c r="N4002" s="103" t="s"/>
    </row>
    <row r="4003" spans="1:14" ht="15.75" customHeight="true">
      <c r="A4003" s="169" t="s"/>
      <c r="G4003" s="105" t="s"/>
      <c r="H4003" s="105" t="s"/>
      <c r="J4003" s="573" t="s"/>
      <c r="K4003" s="574" t="s"/>
      <c r="M4003" s="103" t="s"/>
      <c r="N4003" s="103" t="s"/>
    </row>
    <row r="4004" spans="1:14" ht="15.75" customHeight="true">
      <c r="A4004" s="169" t="s"/>
      <c r="G4004" s="105" t="s"/>
      <c r="H4004" s="105" t="s"/>
      <c r="J4004" s="573" t="s"/>
      <c r="K4004" s="574" t="s"/>
      <c r="M4004" s="103" t="s"/>
      <c r="N4004" s="103" t="s"/>
    </row>
    <row r="4005" spans="1:14" ht="15.75" customHeight="true">
      <c r="A4005" s="169" t="s"/>
      <c r="G4005" s="105" t="s"/>
      <c r="H4005" s="105" t="s"/>
      <c r="J4005" s="573" t="s"/>
      <c r="K4005" s="574" t="s"/>
      <c r="M4005" s="103" t="s"/>
      <c r="N4005" s="103" t="s"/>
    </row>
    <row r="4006" spans="1:14" ht="15.75" customHeight="true">
      <c r="A4006" s="169" t="s"/>
      <c r="G4006" s="105" t="s"/>
      <c r="H4006" s="105" t="s"/>
      <c r="J4006" s="573" t="s"/>
      <c r="K4006" s="574" t="s"/>
      <c r="M4006" s="103" t="s"/>
      <c r="N4006" s="103" t="s"/>
    </row>
    <row r="4007" spans="1:14" ht="15.75" customHeight="true">
      <c r="A4007" s="169" t="s"/>
      <c r="G4007" s="105" t="s"/>
      <c r="H4007" s="105" t="s"/>
      <c r="J4007" s="573" t="s"/>
      <c r="K4007" s="574" t="s"/>
      <c r="M4007" s="103" t="s"/>
      <c r="N4007" s="103" t="s"/>
    </row>
    <row r="4008" spans="1:14" ht="15.75" customHeight="true">
      <c r="A4008" s="169" t="s"/>
      <c r="G4008" s="105" t="s"/>
      <c r="H4008" s="105" t="s"/>
      <c r="J4008" s="573" t="s"/>
      <c r="K4008" s="574" t="s"/>
      <c r="M4008" s="103" t="s"/>
      <c r="N4008" s="103" t="s"/>
    </row>
    <row r="4009" spans="1:14" ht="15.75" customHeight="true">
      <c r="A4009" s="169" t="s"/>
      <c r="G4009" s="105" t="s"/>
      <c r="H4009" s="105" t="s"/>
      <c r="J4009" s="573" t="s"/>
      <c r="K4009" s="574" t="s"/>
      <c r="M4009" s="103" t="s"/>
      <c r="N4009" s="103" t="s"/>
    </row>
    <row r="4010" spans="1:14" ht="15.75" customHeight="true">
      <c r="A4010" s="169" t="s"/>
      <c r="G4010" s="105" t="s"/>
      <c r="H4010" s="105" t="s"/>
      <c r="J4010" s="573" t="s"/>
      <c r="K4010" s="574" t="s"/>
      <c r="M4010" s="103" t="s"/>
      <c r="N4010" s="103" t="s"/>
    </row>
    <row r="4011" spans="1:14" ht="15.75" customHeight="true">
      <c r="A4011" s="169" t="s"/>
      <c r="G4011" s="105" t="s"/>
      <c r="H4011" s="105" t="s"/>
      <c r="J4011" s="573" t="s"/>
      <c r="K4011" s="574" t="s"/>
      <c r="M4011" s="103" t="s"/>
      <c r="N4011" s="103" t="s"/>
    </row>
    <row r="4012" spans="1:14" ht="15.75" customHeight="true">
      <c r="A4012" s="169" t="s"/>
      <c r="G4012" s="105" t="s"/>
      <c r="H4012" s="105" t="s"/>
      <c r="J4012" s="573" t="s"/>
      <c r="K4012" s="574" t="s"/>
      <c r="M4012" s="103" t="s"/>
      <c r="N4012" s="103" t="s"/>
    </row>
    <row r="4013" spans="1:14" ht="15.75" customHeight="true">
      <c r="A4013" s="169" t="s"/>
      <c r="G4013" s="105" t="s"/>
      <c r="H4013" s="105" t="s"/>
      <c r="J4013" s="573" t="s"/>
      <c r="K4013" s="574" t="s"/>
      <c r="M4013" s="103" t="s"/>
      <c r="N4013" s="103" t="s"/>
    </row>
    <row r="4014" spans="1:14" ht="15.75" customHeight="true">
      <c r="A4014" s="169" t="s"/>
      <c r="G4014" s="105" t="s"/>
      <c r="H4014" s="105" t="s"/>
      <c r="J4014" s="573" t="s"/>
      <c r="K4014" s="574" t="s"/>
      <c r="M4014" s="103" t="s"/>
      <c r="N4014" s="103" t="s"/>
    </row>
    <row r="4015" spans="1:14" ht="15.75" customHeight="true">
      <c r="A4015" s="169" t="s"/>
      <c r="G4015" s="105" t="s"/>
      <c r="H4015" s="105" t="s"/>
      <c r="J4015" s="573" t="s"/>
      <c r="K4015" s="574" t="s"/>
      <c r="M4015" s="103" t="s"/>
      <c r="N4015" s="103" t="s"/>
    </row>
    <row r="4016" spans="1:14" ht="15.75" customHeight="true">
      <c r="A4016" s="169" t="s"/>
      <c r="G4016" s="105" t="s"/>
      <c r="H4016" s="105" t="s"/>
      <c r="J4016" s="573" t="s"/>
      <c r="K4016" s="574" t="s"/>
      <c r="M4016" s="103" t="s"/>
      <c r="N4016" s="103" t="s"/>
    </row>
    <row r="4017" spans="1:14" ht="15.75" customHeight="true">
      <c r="A4017" s="169" t="s"/>
      <c r="G4017" s="105" t="s"/>
      <c r="H4017" s="105" t="s"/>
      <c r="J4017" s="573" t="s"/>
      <c r="K4017" s="574" t="s"/>
      <c r="M4017" s="103" t="s"/>
      <c r="N4017" s="103" t="s"/>
    </row>
    <row r="4018" spans="1:14" ht="15.75" customHeight="true">
      <c r="A4018" s="169" t="s"/>
      <c r="G4018" s="105" t="s"/>
      <c r="H4018" s="105" t="s"/>
      <c r="J4018" s="573" t="s"/>
      <c r="K4018" s="574" t="s"/>
      <c r="M4018" s="103" t="s"/>
      <c r="N4018" s="103" t="s"/>
    </row>
    <row r="4019" spans="1:14" ht="15.75" customHeight="true">
      <c r="A4019" s="169" t="s"/>
      <c r="G4019" s="105" t="s"/>
      <c r="H4019" s="105" t="s"/>
      <c r="J4019" s="573" t="s"/>
      <c r="K4019" s="574" t="s"/>
      <c r="M4019" s="103" t="s"/>
      <c r="N4019" s="103" t="s"/>
    </row>
    <row r="4020" spans="1:14" ht="15.75" customHeight="true">
      <c r="A4020" s="169" t="s"/>
      <c r="G4020" s="105" t="s"/>
      <c r="H4020" s="105" t="s"/>
      <c r="J4020" s="573" t="s"/>
      <c r="K4020" s="574" t="s"/>
      <c r="M4020" s="103" t="s"/>
      <c r="N4020" s="103" t="s"/>
    </row>
    <row r="4021" spans="1:14" ht="15.75" customHeight="true">
      <c r="A4021" s="169" t="s"/>
      <c r="G4021" s="105" t="s"/>
      <c r="H4021" s="105" t="s"/>
      <c r="J4021" s="573" t="s"/>
      <c r="K4021" s="574" t="s"/>
      <c r="M4021" s="103" t="s"/>
      <c r="N4021" s="103" t="s"/>
    </row>
    <row r="4022" spans="1:14" ht="15.75" customHeight="true">
      <c r="A4022" s="169" t="s"/>
      <c r="G4022" s="105" t="s"/>
      <c r="H4022" s="105" t="s"/>
      <c r="J4022" s="573" t="s"/>
      <c r="K4022" s="574" t="s"/>
      <c r="M4022" s="103" t="s"/>
      <c r="N4022" s="103" t="s"/>
    </row>
    <row r="4023" spans="1:14" ht="15.75" customHeight="true">
      <c r="A4023" s="169" t="s"/>
      <c r="G4023" s="105" t="s"/>
      <c r="H4023" s="105" t="s"/>
      <c r="J4023" s="573" t="s"/>
      <c r="K4023" s="574" t="s"/>
      <c r="M4023" s="103" t="s"/>
      <c r="N4023" s="103" t="s"/>
    </row>
    <row r="4024" spans="1:14" ht="15.75" customHeight="true">
      <c r="A4024" s="169" t="s"/>
      <c r="G4024" s="105" t="s"/>
      <c r="H4024" s="105" t="s"/>
      <c r="J4024" s="573" t="s"/>
      <c r="K4024" s="574" t="s"/>
      <c r="M4024" s="103" t="s"/>
      <c r="N4024" s="103" t="s"/>
    </row>
    <row r="4025" spans="1:14" ht="15.75" customHeight="true">
      <c r="A4025" s="169" t="s"/>
      <c r="G4025" s="105" t="s"/>
      <c r="H4025" s="105" t="s"/>
      <c r="J4025" s="573" t="s"/>
      <c r="K4025" s="574" t="s"/>
      <c r="M4025" s="103" t="s"/>
      <c r="N4025" s="103" t="s"/>
    </row>
    <row r="4026" spans="1:14" ht="15.75" customHeight="true">
      <c r="A4026" s="169" t="s"/>
      <c r="G4026" s="105" t="s"/>
      <c r="H4026" s="105" t="s"/>
      <c r="J4026" s="573" t="s"/>
      <c r="K4026" s="574" t="s"/>
      <c r="M4026" s="103" t="s"/>
      <c r="N4026" s="103" t="s"/>
    </row>
    <row r="4027" spans="1:14" ht="15.75" customHeight="true">
      <c r="A4027" s="169" t="s"/>
      <c r="G4027" s="105" t="s"/>
      <c r="H4027" s="105" t="s"/>
      <c r="J4027" s="573" t="s"/>
      <c r="K4027" s="574" t="s"/>
      <c r="M4027" s="103" t="s"/>
      <c r="N4027" s="103" t="s"/>
    </row>
    <row r="4028" spans="1:14" ht="15.75" customHeight="true">
      <c r="A4028" s="169" t="s"/>
      <c r="G4028" s="105" t="s"/>
      <c r="H4028" s="105" t="s"/>
      <c r="J4028" s="573" t="s"/>
      <c r="K4028" s="574" t="s"/>
      <c r="M4028" s="103" t="s"/>
      <c r="N4028" s="103" t="s"/>
    </row>
    <row r="4029" spans="1:14" ht="15.75" customHeight="true">
      <c r="A4029" s="169" t="s"/>
      <c r="G4029" s="105" t="s"/>
      <c r="H4029" s="105" t="s"/>
      <c r="J4029" s="573" t="s"/>
      <c r="K4029" s="574" t="s"/>
      <c r="M4029" s="103" t="s"/>
      <c r="N4029" s="103" t="s"/>
    </row>
    <row r="4030" spans="1:14" ht="15.75" customHeight="true">
      <c r="A4030" s="169" t="s"/>
      <c r="G4030" s="105" t="s"/>
      <c r="H4030" s="105" t="s"/>
      <c r="J4030" s="573" t="s"/>
      <c r="K4030" s="574" t="s"/>
      <c r="M4030" s="103" t="s"/>
      <c r="N4030" s="103" t="s"/>
    </row>
    <row r="4031" spans="1:14" ht="15.75" customHeight="true">
      <c r="A4031" s="169" t="s"/>
      <c r="G4031" s="105" t="s"/>
      <c r="H4031" s="105" t="s"/>
      <c r="J4031" s="573" t="s"/>
      <c r="K4031" s="574" t="s"/>
      <c r="M4031" s="103" t="s"/>
      <c r="N4031" s="103" t="s"/>
    </row>
    <row r="4032" spans="1:14" ht="15.75" customHeight="true">
      <c r="A4032" s="169" t="s"/>
      <c r="G4032" s="105" t="s"/>
      <c r="H4032" s="105" t="s"/>
      <c r="J4032" s="573" t="s"/>
      <c r="K4032" s="574" t="s"/>
      <c r="M4032" s="103" t="s"/>
      <c r="N4032" s="103" t="s"/>
    </row>
    <row r="4033" spans="1:14" ht="15.75" customHeight="true">
      <c r="A4033" s="169" t="s"/>
      <c r="G4033" s="105" t="s"/>
      <c r="H4033" s="105" t="s"/>
      <c r="J4033" s="573" t="s"/>
      <c r="K4033" s="574" t="s"/>
      <c r="M4033" s="103" t="s"/>
      <c r="N4033" s="103" t="s"/>
    </row>
    <row r="4034" spans="1:14" ht="15.75" customHeight="true">
      <c r="A4034" s="169" t="s"/>
      <c r="G4034" s="105" t="s"/>
      <c r="H4034" s="105" t="s"/>
      <c r="J4034" s="573" t="s"/>
      <c r="K4034" s="574" t="s"/>
      <c r="M4034" s="103" t="s"/>
      <c r="N4034" s="103" t="s"/>
    </row>
    <row r="4035" spans="1:14" ht="15.75" customHeight="true">
      <c r="A4035" s="169" t="s"/>
      <c r="G4035" s="105" t="s"/>
      <c r="H4035" s="105" t="s"/>
      <c r="J4035" s="573" t="s"/>
      <c r="K4035" s="574" t="s"/>
      <c r="M4035" s="103" t="s"/>
      <c r="N4035" s="103" t="s"/>
    </row>
    <row r="4036" spans="1:14" ht="15.75" customHeight="true">
      <c r="A4036" s="169" t="s"/>
      <c r="G4036" s="105" t="s"/>
      <c r="H4036" s="105" t="s"/>
      <c r="J4036" s="573" t="s"/>
      <c r="K4036" s="574" t="s"/>
      <c r="M4036" s="103" t="s"/>
      <c r="N4036" s="103" t="s"/>
    </row>
    <row r="4037" spans="1:14" ht="15.75" customHeight="true">
      <c r="A4037" s="169" t="s"/>
      <c r="G4037" s="105" t="s"/>
      <c r="H4037" s="105" t="s"/>
      <c r="J4037" s="573" t="s"/>
      <c r="K4037" s="574" t="s"/>
      <c r="M4037" s="103" t="s"/>
      <c r="N4037" s="103" t="s"/>
    </row>
    <row r="4038" spans="1:14" ht="15.75" customHeight="true">
      <c r="A4038" s="169" t="s"/>
      <c r="G4038" s="105" t="s"/>
      <c r="H4038" s="105" t="s"/>
      <c r="J4038" s="573" t="s"/>
      <c r="K4038" s="574" t="s"/>
      <c r="M4038" s="103" t="s"/>
      <c r="N4038" s="103" t="s"/>
    </row>
    <row r="4039" spans="1:14" ht="15.75" customHeight="true">
      <c r="A4039" s="169" t="s"/>
      <c r="G4039" s="105" t="s"/>
      <c r="H4039" s="105" t="s"/>
      <c r="J4039" s="573" t="s"/>
      <c r="K4039" s="574" t="s"/>
      <c r="M4039" s="103" t="s"/>
      <c r="N4039" s="103" t="s"/>
    </row>
    <row r="4040" spans="1:14" ht="15.75" customHeight="true">
      <c r="A4040" s="169" t="s"/>
      <c r="G4040" s="105" t="s"/>
      <c r="H4040" s="105" t="s"/>
      <c r="J4040" s="573" t="s"/>
      <c r="K4040" s="574" t="s"/>
      <c r="M4040" s="103" t="s"/>
      <c r="N4040" s="103" t="s"/>
    </row>
    <row r="4041" spans="1:14" ht="15.75" customHeight="true">
      <c r="A4041" s="169" t="s"/>
      <c r="G4041" s="105" t="s"/>
      <c r="H4041" s="105" t="s"/>
      <c r="J4041" s="573" t="s"/>
      <c r="K4041" s="574" t="s"/>
      <c r="M4041" s="103" t="s"/>
      <c r="N4041" s="103" t="s"/>
    </row>
    <row r="4042" spans="1:14" ht="15.75" customHeight="true">
      <c r="A4042" s="169" t="s"/>
      <c r="G4042" s="105" t="s"/>
      <c r="H4042" s="105" t="s"/>
      <c r="J4042" s="573" t="s"/>
      <c r="K4042" s="574" t="s"/>
      <c r="M4042" s="103" t="s"/>
      <c r="N4042" s="103" t="s"/>
    </row>
    <row r="4043" spans="1:14" ht="15.75" customHeight="true">
      <c r="A4043" s="169" t="s"/>
      <c r="G4043" s="105" t="s"/>
      <c r="H4043" s="105" t="s"/>
      <c r="J4043" s="573" t="s"/>
      <c r="K4043" s="574" t="s"/>
      <c r="M4043" s="103" t="s"/>
      <c r="N4043" s="103" t="s"/>
    </row>
    <row r="4044" spans="1:14" ht="15.75" customHeight="true">
      <c r="A4044" s="169" t="s"/>
      <c r="G4044" s="105" t="s"/>
      <c r="H4044" s="105" t="s"/>
      <c r="J4044" s="573" t="s"/>
      <c r="K4044" s="574" t="s"/>
      <c r="M4044" s="103" t="s"/>
      <c r="N4044" s="103" t="s"/>
    </row>
    <row r="4045" spans="1:14" ht="15.75" customHeight="true">
      <c r="A4045" s="169" t="s"/>
      <c r="G4045" s="105" t="s"/>
      <c r="H4045" s="105" t="s"/>
      <c r="J4045" s="573" t="s"/>
      <c r="K4045" s="574" t="s"/>
      <c r="M4045" s="103" t="s"/>
      <c r="N4045" s="103" t="s"/>
    </row>
    <row r="4046" spans="1:14" ht="15.75" customHeight="true">
      <c r="A4046" s="169" t="s"/>
      <c r="G4046" s="105" t="s"/>
      <c r="H4046" s="105" t="s"/>
      <c r="J4046" s="573" t="s"/>
      <c r="K4046" s="574" t="s"/>
      <c r="M4046" s="103" t="s"/>
      <c r="N4046" s="103" t="s"/>
    </row>
    <row r="4047" spans="1:14" ht="15.75" customHeight="true">
      <c r="A4047" s="169" t="s"/>
      <c r="G4047" s="105" t="s"/>
      <c r="H4047" s="105" t="s"/>
      <c r="J4047" s="573" t="s"/>
      <c r="K4047" s="574" t="s"/>
      <c r="M4047" s="103" t="s"/>
      <c r="N4047" s="103" t="s"/>
    </row>
    <row r="4048" spans="1:14" ht="15.75" customHeight="true">
      <c r="A4048" s="169" t="s"/>
      <c r="G4048" s="105" t="s"/>
      <c r="H4048" s="105" t="s"/>
      <c r="J4048" s="573" t="s"/>
      <c r="K4048" s="574" t="s"/>
      <c r="M4048" s="103" t="s"/>
      <c r="N4048" s="103" t="s"/>
    </row>
    <row r="4049" spans="1:14" ht="15.75" customHeight="true">
      <c r="A4049" s="169" t="s"/>
      <c r="G4049" s="105" t="s"/>
      <c r="H4049" s="105" t="s"/>
      <c r="J4049" s="573" t="s"/>
      <c r="K4049" s="574" t="s"/>
      <c r="M4049" s="103" t="s"/>
      <c r="N4049" s="103" t="s"/>
    </row>
    <row r="4050" spans="1:14" ht="15.75" customHeight="true">
      <c r="A4050" s="169" t="s"/>
      <c r="G4050" s="105" t="s"/>
      <c r="H4050" s="105" t="s"/>
      <c r="J4050" s="573" t="s"/>
      <c r="K4050" s="574" t="s"/>
      <c r="M4050" s="103" t="s"/>
      <c r="N4050" s="103" t="s"/>
    </row>
    <row r="4051" spans="1:14" ht="15.75" customHeight="true">
      <c r="A4051" s="169" t="s"/>
      <c r="G4051" s="105" t="s"/>
      <c r="H4051" s="105" t="s"/>
      <c r="J4051" s="573" t="s"/>
      <c r="K4051" s="574" t="s"/>
      <c r="M4051" s="103" t="s"/>
      <c r="N4051" s="103" t="s"/>
    </row>
    <row r="4052" spans="1:14" ht="15.75" customHeight="true">
      <c r="A4052" s="169" t="s"/>
      <c r="G4052" s="105" t="s"/>
      <c r="H4052" s="105" t="s"/>
      <c r="J4052" s="573" t="s"/>
      <c r="K4052" s="574" t="s"/>
      <c r="M4052" s="103" t="s"/>
      <c r="N4052" s="103" t="s"/>
    </row>
    <row r="4053" spans="1:14" ht="15.75" customHeight="true">
      <c r="A4053" s="169" t="s"/>
      <c r="G4053" s="105" t="s"/>
      <c r="H4053" s="105" t="s"/>
      <c r="J4053" s="573" t="s"/>
      <c r="K4053" s="574" t="s"/>
      <c r="M4053" s="103" t="s"/>
      <c r="N4053" s="103" t="s"/>
    </row>
    <row r="4054" spans="1:14" ht="15.75" customHeight="true">
      <c r="A4054" s="169" t="s"/>
      <c r="G4054" s="105" t="s"/>
      <c r="H4054" s="105" t="s"/>
      <c r="J4054" s="573" t="s"/>
      <c r="K4054" s="574" t="s"/>
      <c r="M4054" s="103" t="s"/>
      <c r="N4054" s="103" t="s"/>
    </row>
    <row r="4055" spans="1:14" ht="15.75" customHeight="true">
      <c r="A4055" s="169" t="s"/>
      <c r="G4055" s="105" t="s"/>
      <c r="H4055" s="105" t="s"/>
      <c r="J4055" s="573" t="s"/>
      <c r="K4055" s="574" t="s"/>
      <c r="M4055" s="103" t="s"/>
      <c r="N4055" s="103" t="s"/>
    </row>
    <row r="4056" spans="1:14" ht="15.75" customHeight="true">
      <c r="A4056" s="169" t="s"/>
      <c r="G4056" s="105" t="s"/>
      <c r="H4056" s="105" t="s"/>
      <c r="J4056" s="573" t="s"/>
      <c r="K4056" s="574" t="s"/>
      <c r="M4056" s="103" t="s"/>
      <c r="N4056" s="103" t="s"/>
    </row>
    <row r="4057" spans="1:14" ht="15.75" customHeight="true">
      <c r="A4057" s="169" t="s"/>
      <c r="G4057" s="105" t="s"/>
      <c r="H4057" s="105" t="s"/>
      <c r="J4057" s="573" t="s"/>
      <c r="K4057" s="574" t="s"/>
      <c r="M4057" s="103" t="s"/>
      <c r="N4057" s="103" t="s"/>
    </row>
    <row r="4058" spans="1:14" ht="15.75" customHeight="true">
      <c r="A4058" s="169" t="s"/>
      <c r="G4058" s="105" t="s"/>
      <c r="H4058" s="105" t="s"/>
      <c r="J4058" s="573" t="s"/>
      <c r="K4058" s="574" t="s"/>
      <c r="M4058" s="103" t="s"/>
      <c r="N4058" s="103" t="s"/>
    </row>
    <row r="4059" spans="1:14" ht="15.75" customHeight="true">
      <c r="A4059" s="169" t="s"/>
      <c r="G4059" s="105" t="s"/>
      <c r="H4059" s="105" t="s"/>
      <c r="J4059" s="573" t="s"/>
      <c r="K4059" s="574" t="s"/>
      <c r="M4059" s="103" t="s"/>
      <c r="N4059" s="103" t="s"/>
    </row>
    <row r="4060" spans="1:14" ht="15.75" customHeight="true">
      <c r="A4060" s="169" t="s"/>
      <c r="G4060" s="105" t="s"/>
      <c r="H4060" s="105" t="s"/>
      <c r="J4060" s="573" t="s"/>
      <c r="K4060" s="574" t="s"/>
      <c r="M4060" s="103" t="s"/>
      <c r="N4060" s="103" t="s"/>
    </row>
    <row r="4061" spans="1:14" ht="15.75" customHeight="true">
      <c r="A4061" s="169" t="s"/>
      <c r="G4061" s="105" t="s"/>
      <c r="H4061" s="105" t="s"/>
      <c r="J4061" s="573" t="s"/>
      <c r="K4061" s="574" t="s"/>
      <c r="M4061" s="103" t="s"/>
      <c r="N4061" s="103" t="s"/>
    </row>
    <row r="4062" spans="1:14" ht="15.75" customHeight="true">
      <c r="A4062" s="169" t="s"/>
      <c r="G4062" s="105" t="s"/>
      <c r="H4062" s="105" t="s"/>
      <c r="J4062" s="573" t="s"/>
      <c r="K4062" s="574" t="s"/>
      <c r="M4062" s="103" t="s"/>
      <c r="N4062" s="103" t="s"/>
    </row>
    <row r="4063" spans="1:14" ht="15.75" customHeight="true">
      <c r="A4063" s="169" t="s"/>
      <c r="G4063" s="105" t="s"/>
      <c r="H4063" s="105" t="s"/>
      <c r="J4063" s="573" t="s"/>
      <c r="K4063" s="574" t="s"/>
      <c r="M4063" s="103" t="s"/>
      <c r="N4063" s="103" t="s"/>
    </row>
    <row r="4064" spans="1:14" ht="15.75" customHeight="true">
      <c r="A4064" s="169" t="s"/>
      <c r="G4064" s="105" t="s"/>
      <c r="H4064" s="105" t="s"/>
      <c r="J4064" s="573" t="s"/>
      <c r="K4064" s="574" t="s"/>
      <c r="M4064" s="103" t="s"/>
      <c r="N4064" s="103" t="s"/>
    </row>
    <row r="4065" spans="1:14" ht="15.75" customHeight="true">
      <c r="A4065" s="169" t="s"/>
      <c r="G4065" s="105" t="s"/>
      <c r="H4065" s="105" t="s"/>
      <c r="J4065" s="573" t="s"/>
      <c r="K4065" s="574" t="s"/>
      <c r="M4065" s="103" t="s"/>
      <c r="N4065" s="103" t="s"/>
    </row>
    <row r="4066" spans="1:14" ht="15.75" customHeight="true">
      <c r="A4066" s="169" t="s"/>
      <c r="G4066" s="105" t="s"/>
      <c r="H4066" s="105" t="s"/>
      <c r="J4066" s="573" t="s"/>
      <c r="K4066" s="574" t="s"/>
      <c r="M4066" s="103" t="s"/>
      <c r="N4066" s="103" t="s"/>
    </row>
    <row r="4067" spans="1:14" ht="15.75" customHeight="true">
      <c r="A4067" s="169" t="s"/>
      <c r="G4067" s="105" t="s"/>
      <c r="H4067" s="105" t="s"/>
      <c r="J4067" s="573" t="s"/>
      <c r="K4067" s="574" t="s"/>
      <c r="M4067" s="103" t="s"/>
      <c r="N4067" s="103" t="s"/>
    </row>
    <row r="4068" spans="1:14" ht="15.75" customHeight="true">
      <c r="A4068" s="169" t="s"/>
      <c r="G4068" s="105" t="s"/>
      <c r="H4068" s="105" t="s"/>
      <c r="J4068" s="573" t="s"/>
      <c r="K4068" s="574" t="s"/>
      <c r="M4068" s="103" t="s"/>
      <c r="N4068" s="103" t="s"/>
    </row>
    <row r="4069" spans="1:14" ht="15.75" customHeight="true">
      <c r="A4069" s="169" t="s"/>
      <c r="G4069" s="105" t="s"/>
      <c r="H4069" s="105" t="s"/>
      <c r="J4069" s="573" t="s"/>
      <c r="K4069" s="574" t="s"/>
      <c r="M4069" s="103" t="s"/>
      <c r="N4069" s="103" t="s"/>
    </row>
    <row r="4070" spans="1:14" ht="15.75" customHeight="true">
      <c r="A4070" s="169" t="s"/>
      <c r="G4070" s="105" t="s"/>
      <c r="H4070" s="105" t="s"/>
      <c r="J4070" s="573" t="s"/>
      <c r="K4070" s="574" t="s"/>
      <c r="M4070" s="103" t="s"/>
      <c r="N4070" s="103" t="s"/>
    </row>
    <row r="4071" spans="1:14" ht="15.75" customHeight="true">
      <c r="A4071" s="169" t="s"/>
      <c r="G4071" s="105" t="s"/>
      <c r="H4071" s="105" t="s"/>
      <c r="J4071" s="573" t="s"/>
      <c r="K4071" s="574" t="s"/>
      <c r="M4071" s="103" t="s"/>
      <c r="N4071" s="103" t="s"/>
    </row>
    <row r="4072" spans="1:14" ht="15.75" customHeight="true">
      <c r="A4072" s="169" t="s"/>
      <c r="G4072" s="105" t="s"/>
      <c r="H4072" s="105" t="s"/>
      <c r="J4072" s="573" t="s"/>
      <c r="K4072" s="574" t="s"/>
      <c r="M4072" s="103" t="s"/>
      <c r="N4072" s="103" t="s"/>
    </row>
    <row r="4073" spans="1:14" ht="15.75" customHeight="true">
      <c r="A4073" s="169" t="s"/>
      <c r="G4073" s="105" t="s"/>
      <c r="H4073" s="105" t="s"/>
      <c r="J4073" s="573" t="s"/>
      <c r="K4073" s="574" t="s"/>
      <c r="M4073" s="103" t="s"/>
      <c r="N4073" s="103" t="s"/>
    </row>
    <row r="4074" spans="1:14" ht="15.75" customHeight="true">
      <c r="A4074" s="169" t="s"/>
      <c r="G4074" s="105" t="s"/>
      <c r="H4074" s="105" t="s"/>
      <c r="J4074" s="573" t="s"/>
      <c r="K4074" s="574" t="s"/>
      <c r="M4074" s="103" t="s"/>
      <c r="N4074" s="103" t="s"/>
    </row>
    <row r="4075" spans="1:14" ht="15.75" customHeight="true">
      <c r="A4075" s="169" t="s"/>
      <c r="G4075" s="105" t="s"/>
      <c r="H4075" s="105" t="s"/>
      <c r="J4075" s="573" t="s"/>
      <c r="K4075" s="574" t="s"/>
      <c r="M4075" s="103" t="s"/>
      <c r="N4075" s="103" t="s"/>
    </row>
    <row r="4076" spans="1:14" ht="15.75" customHeight="true">
      <c r="A4076" s="169" t="s"/>
      <c r="G4076" s="105" t="s"/>
      <c r="H4076" s="105" t="s"/>
      <c r="J4076" s="573" t="s"/>
      <c r="K4076" s="574" t="s"/>
      <c r="M4076" s="103" t="s"/>
      <c r="N4076" s="103" t="s"/>
    </row>
    <row r="4077" spans="1:14" ht="15.75" customHeight="true">
      <c r="A4077" s="169" t="s"/>
      <c r="G4077" s="105" t="s"/>
      <c r="H4077" s="105" t="s"/>
      <c r="J4077" s="573" t="s"/>
      <c r="K4077" s="574" t="s"/>
      <c r="M4077" s="103" t="s"/>
      <c r="N4077" s="103" t="s"/>
    </row>
    <row r="4078" spans="1:14" ht="15.75" customHeight="true">
      <c r="A4078" s="169" t="s"/>
      <c r="G4078" s="105" t="s"/>
      <c r="H4078" s="105" t="s"/>
      <c r="J4078" s="573" t="s"/>
      <c r="K4078" s="574" t="s"/>
      <c r="M4078" s="103" t="s"/>
      <c r="N4078" s="103" t="s"/>
    </row>
    <row r="4079" spans="1:14" ht="15.75" customHeight="true">
      <c r="A4079" s="169" t="s"/>
      <c r="G4079" s="105" t="s"/>
      <c r="H4079" s="105" t="s"/>
      <c r="J4079" s="573" t="s"/>
      <c r="K4079" s="574" t="s"/>
      <c r="M4079" s="103" t="s"/>
      <c r="N4079" s="103" t="s"/>
    </row>
    <row r="4080" spans="1:14" ht="15.75" customHeight="true">
      <c r="A4080" s="169" t="s"/>
      <c r="G4080" s="105" t="s"/>
      <c r="H4080" s="105" t="s"/>
      <c r="J4080" s="573" t="s"/>
      <c r="K4080" s="574" t="s"/>
      <c r="M4080" s="103" t="s"/>
      <c r="N4080" s="103" t="s"/>
    </row>
    <row r="4081" spans="1:14" ht="15.75" customHeight="true">
      <c r="A4081" s="169" t="s"/>
      <c r="G4081" s="105" t="s"/>
      <c r="H4081" s="105" t="s"/>
      <c r="J4081" s="573" t="s"/>
      <c r="K4081" s="574" t="s"/>
      <c r="M4081" s="103" t="s"/>
      <c r="N4081" s="103" t="s"/>
    </row>
    <row r="4082" spans="1:14" ht="15.75" customHeight="true">
      <c r="A4082" s="169" t="s"/>
      <c r="G4082" s="105" t="s"/>
      <c r="H4082" s="105" t="s"/>
      <c r="J4082" s="573" t="s"/>
      <c r="K4082" s="574" t="s"/>
      <c r="M4082" s="103" t="s"/>
      <c r="N4082" s="103" t="s"/>
    </row>
    <row r="4083" spans="1:14" ht="15.75" customHeight="true">
      <c r="A4083" s="169" t="s"/>
      <c r="G4083" s="105" t="s"/>
      <c r="H4083" s="105" t="s"/>
      <c r="J4083" s="573" t="s"/>
      <c r="K4083" s="574" t="s"/>
      <c r="M4083" s="103" t="s"/>
      <c r="N4083" s="103" t="s"/>
    </row>
    <row r="4084" spans="1:14" ht="15.75" customHeight="true">
      <c r="A4084" s="169" t="s"/>
      <c r="G4084" s="105" t="s"/>
      <c r="H4084" s="105" t="s"/>
      <c r="J4084" s="573" t="s"/>
      <c r="K4084" s="574" t="s"/>
      <c r="M4084" s="103" t="s"/>
      <c r="N4084" s="103" t="s"/>
    </row>
    <row r="4085" spans="1:14" ht="15.75" customHeight="true">
      <c r="A4085" s="169" t="s"/>
      <c r="G4085" s="105" t="s"/>
      <c r="H4085" s="105" t="s"/>
      <c r="J4085" s="573" t="s"/>
      <c r="K4085" s="574" t="s"/>
      <c r="M4085" s="103" t="s"/>
      <c r="N4085" s="103" t="s"/>
    </row>
    <row r="4086" spans="1:14" ht="15.75" customHeight="true">
      <c r="A4086" s="169" t="s"/>
      <c r="G4086" s="105" t="s"/>
      <c r="H4086" s="105" t="s"/>
      <c r="J4086" s="573" t="s"/>
      <c r="K4086" s="574" t="s"/>
      <c r="M4086" s="103" t="s"/>
      <c r="N4086" s="103" t="s"/>
    </row>
    <row r="4087" spans="1:14" ht="15.75" customHeight="true">
      <c r="A4087" s="169" t="s"/>
      <c r="G4087" s="105" t="s"/>
      <c r="H4087" s="105" t="s"/>
      <c r="J4087" s="573" t="s"/>
      <c r="K4087" s="574" t="s"/>
      <c r="M4087" s="103" t="s"/>
      <c r="N4087" s="103" t="s"/>
    </row>
    <row r="4088" spans="1:14" ht="15.75" customHeight="true">
      <c r="A4088" s="169" t="s"/>
      <c r="G4088" s="105" t="s"/>
      <c r="H4088" s="105" t="s"/>
      <c r="J4088" s="573" t="s"/>
      <c r="K4088" s="574" t="s"/>
      <c r="M4088" s="103" t="s"/>
      <c r="N4088" s="103" t="s"/>
    </row>
    <row r="4089" spans="1:14" ht="15.75" customHeight="true">
      <c r="A4089" s="169" t="s"/>
      <c r="G4089" s="105" t="s"/>
      <c r="H4089" s="105" t="s"/>
      <c r="J4089" s="573" t="s"/>
      <c r="K4089" s="574" t="s"/>
      <c r="M4089" s="103" t="s"/>
      <c r="N4089" s="103" t="s"/>
    </row>
    <row r="4090" spans="1:14" ht="15.75" customHeight="true">
      <c r="A4090" s="169" t="s"/>
      <c r="G4090" s="105" t="s"/>
      <c r="H4090" s="105" t="s"/>
      <c r="J4090" s="573" t="s"/>
      <c r="K4090" s="574" t="s"/>
      <c r="M4090" s="103" t="s"/>
      <c r="N4090" s="103" t="s"/>
    </row>
    <row r="4091" spans="1:14" ht="15.75" customHeight="true">
      <c r="A4091" s="169" t="s"/>
      <c r="G4091" s="105" t="s"/>
      <c r="H4091" s="105" t="s"/>
      <c r="J4091" s="573" t="s"/>
      <c r="K4091" s="574" t="s"/>
      <c r="M4091" s="103" t="s"/>
      <c r="N4091" s="103" t="s"/>
    </row>
    <row r="4092" spans="1:14" ht="15.75" customHeight="true">
      <c r="A4092" s="169" t="s"/>
      <c r="G4092" s="105" t="s"/>
      <c r="H4092" s="105" t="s"/>
      <c r="J4092" s="573" t="s"/>
      <c r="K4092" s="574" t="s"/>
      <c r="M4092" s="103" t="s"/>
      <c r="N4092" s="103" t="s"/>
    </row>
    <row r="4093" spans="1:14" ht="15.75" customHeight="true">
      <c r="A4093" s="169" t="s"/>
      <c r="G4093" s="105" t="s"/>
      <c r="H4093" s="105" t="s"/>
      <c r="J4093" s="573" t="s"/>
      <c r="K4093" s="574" t="s"/>
      <c r="M4093" s="103" t="s"/>
      <c r="N4093" s="103" t="s"/>
    </row>
    <row r="4094" spans="1:14" ht="15.75" customHeight="true">
      <c r="A4094" s="169" t="s"/>
      <c r="G4094" s="105" t="s"/>
      <c r="H4094" s="105" t="s"/>
      <c r="J4094" s="573" t="s"/>
      <c r="K4094" s="574" t="s"/>
      <c r="M4094" s="103" t="s"/>
      <c r="N4094" s="103" t="s"/>
    </row>
    <row r="4095" spans="1:14" ht="15.75" customHeight="true">
      <c r="A4095" s="169" t="s"/>
      <c r="G4095" s="105" t="s"/>
      <c r="H4095" s="105" t="s"/>
      <c r="J4095" s="573" t="s"/>
      <c r="K4095" s="574" t="s"/>
      <c r="M4095" s="103" t="s"/>
      <c r="N4095" s="103" t="s"/>
    </row>
    <row r="4096" spans="1:14" ht="15.75" customHeight="true">
      <c r="A4096" s="169" t="s"/>
      <c r="G4096" s="105" t="s"/>
      <c r="H4096" s="105" t="s"/>
      <c r="J4096" s="573" t="s"/>
      <c r="K4096" s="574" t="s"/>
      <c r="M4096" s="103" t="s"/>
      <c r="N4096" s="103" t="s"/>
    </row>
    <row r="4097" spans="1:14" ht="15.75" customHeight="true">
      <c r="A4097" s="169" t="s"/>
      <c r="G4097" s="105" t="s"/>
      <c r="H4097" s="105" t="s"/>
      <c r="J4097" s="573" t="s"/>
      <c r="K4097" s="574" t="s"/>
      <c r="M4097" s="103" t="s"/>
      <c r="N4097" s="103" t="s"/>
    </row>
    <row r="4098" spans="1:14" ht="15.75" customHeight="true">
      <c r="A4098" s="169" t="s"/>
      <c r="G4098" s="105" t="s"/>
      <c r="H4098" s="105" t="s"/>
      <c r="J4098" s="573" t="s"/>
      <c r="K4098" s="574" t="s"/>
      <c r="M4098" s="103" t="s"/>
      <c r="N4098" s="103" t="s"/>
    </row>
    <row r="4099" spans="1:14" ht="15.75" customHeight="true">
      <c r="A4099" s="169" t="s"/>
      <c r="G4099" s="105" t="s"/>
      <c r="H4099" s="105" t="s"/>
      <c r="J4099" s="573" t="s"/>
      <c r="K4099" s="574" t="s"/>
      <c r="M4099" s="103" t="s"/>
      <c r="N4099" s="103" t="s"/>
    </row>
    <row r="4100" spans="1:14" ht="15.75" customHeight="true">
      <c r="A4100" s="169" t="s"/>
      <c r="G4100" s="105" t="s"/>
      <c r="H4100" s="105" t="s"/>
      <c r="J4100" s="573" t="s"/>
      <c r="K4100" s="574" t="s"/>
      <c r="M4100" s="103" t="s"/>
      <c r="N4100" s="103" t="s"/>
    </row>
    <row r="4101" spans="1:14" ht="15.75" customHeight="true">
      <c r="A4101" s="169" t="s"/>
      <c r="G4101" s="105" t="s"/>
      <c r="H4101" s="105" t="s"/>
      <c r="J4101" s="573" t="s"/>
      <c r="K4101" s="574" t="s"/>
      <c r="M4101" s="103" t="s"/>
      <c r="N4101" s="103" t="s"/>
    </row>
    <row r="4102" spans="1:14" ht="15.75" customHeight="true">
      <c r="A4102" s="169" t="s"/>
      <c r="G4102" s="105" t="s"/>
      <c r="H4102" s="105" t="s"/>
      <c r="J4102" s="573" t="s"/>
      <c r="K4102" s="574" t="s"/>
      <c r="M4102" s="103" t="s"/>
      <c r="N4102" s="103" t="s"/>
    </row>
    <row r="4103" spans="1:14" ht="15.75" customHeight="true">
      <c r="A4103" s="169" t="s"/>
      <c r="G4103" s="105" t="s"/>
      <c r="H4103" s="105" t="s"/>
      <c r="J4103" s="573" t="s"/>
      <c r="K4103" s="574" t="s"/>
      <c r="M4103" s="103" t="s"/>
      <c r="N4103" s="103" t="s"/>
    </row>
    <row r="4104" spans="1:14" ht="15.75" customHeight="true">
      <c r="A4104" s="169" t="s"/>
      <c r="G4104" s="105" t="s"/>
      <c r="H4104" s="105" t="s"/>
      <c r="J4104" s="573" t="s"/>
      <c r="K4104" s="574" t="s"/>
      <c r="M4104" s="103" t="s"/>
      <c r="N4104" s="103" t="s"/>
    </row>
    <row r="4105" spans="1:14" ht="15.75" customHeight="true">
      <c r="A4105" s="169" t="s"/>
      <c r="G4105" s="105" t="s"/>
      <c r="H4105" s="105" t="s"/>
      <c r="J4105" s="573" t="s"/>
      <c r="K4105" s="574" t="s"/>
      <c r="M4105" s="103" t="s"/>
      <c r="N4105" s="103" t="s"/>
    </row>
    <row r="4106" spans="1:14" ht="15.75" customHeight="true">
      <c r="A4106" s="169" t="s"/>
      <c r="G4106" s="105" t="s"/>
      <c r="H4106" s="105" t="s"/>
      <c r="J4106" s="573" t="s"/>
      <c r="K4106" s="574" t="s"/>
      <c r="M4106" s="103" t="s"/>
      <c r="N4106" s="103" t="s"/>
    </row>
    <row r="4107" spans="1:14" ht="15.75" customHeight="true">
      <c r="A4107" s="169" t="s"/>
      <c r="G4107" s="105" t="s"/>
      <c r="H4107" s="105" t="s"/>
      <c r="J4107" s="573" t="s"/>
      <c r="K4107" s="574" t="s"/>
      <c r="M4107" s="103" t="s"/>
      <c r="N4107" s="103" t="s"/>
    </row>
    <row r="4108" spans="1:14" ht="15.75" customHeight="true">
      <c r="A4108" s="169" t="s"/>
      <c r="G4108" s="105" t="s"/>
      <c r="H4108" s="105" t="s"/>
      <c r="J4108" s="573" t="s"/>
      <c r="K4108" s="574" t="s"/>
      <c r="M4108" s="103" t="s"/>
      <c r="N4108" s="103" t="s"/>
    </row>
    <row r="4109" spans="1:14" ht="15.75" customHeight="true">
      <c r="A4109" s="169" t="s"/>
      <c r="G4109" s="105" t="s"/>
      <c r="H4109" s="105" t="s"/>
      <c r="J4109" s="573" t="s"/>
      <c r="K4109" s="574" t="s"/>
      <c r="M4109" s="103" t="s"/>
      <c r="N4109" s="103" t="s"/>
    </row>
    <row r="4110" spans="1:14" ht="15.75" customHeight="true">
      <c r="A4110" s="169" t="s"/>
      <c r="G4110" s="105" t="s"/>
      <c r="H4110" s="105" t="s"/>
      <c r="J4110" s="573" t="s"/>
      <c r="K4110" s="574" t="s"/>
      <c r="M4110" s="103" t="s"/>
      <c r="N4110" s="103" t="s"/>
    </row>
    <row r="4111" spans="1:14" ht="15.75" customHeight="true">
      <c r="A4111" s="169" t="s"/>
      <c r="G4111" s="105" t="s"/>
      <c r="H4111" s="105" t="s"/>
      <c r="J4111" s="573" t="s"/>
      <c r="K4111" s="574" t="s"/>
      <c r="M4111" s="103" t="s"/>
      <c r="N4111" s="103" t="s"/>
    </row>
    <row r="4112" spans="1:14" ht="15.75" customHeight="true">
      <c r="A4112" s="169" t="s"/>
      <c r="G4112" s="105" t="s"/>
      <c r="H4112" s="105" t="s"/>
      <c r="J4112" s="573" t="s"/>
      <c r="K4112" s="574" t="s"/>
      <c r="M4112" s="103" t="s"/>
      <c r="N4112" s="103" t="s"/>
    </row>
    <row r="4113" spans="1:14" ht="15.75" customHeight="true">
      <c r="A4113" s="169" t="s"/>
      <c r="G4113" s="105" t="s"/>
      <c r="H4113" s="105" t="s"/>
      <c r="J4113" s="573" t="s"/>
      <c r="K4113" s="574" t="s"/>
      <c r="M4113" s="103" t="s"/>
      <c r="N4113" s="103" t="s"/>
    </row>
    <row r="4114" spans="1:14" ht="15.75" customHeight="true">
      <c r="A4114" s="169" t="s"/>
      <c r="G4114" s="105" t="s"/>
      <c r="H4114" s="105" t="s"/>
      <c r="J4114" s="573" t="s"/>
      <c r="K4114" s="574" t="s"/>
      <c r="M4114" s="103" t="s"/>
      <c r="N4114" s="103" t="s"/>
    </row>
    <row r="4115" spans="1:14" ht="15.75" customHeight="true">
      <c r="A4115" s="169" t="s"/>
      <c r="G4115" s="105" t="s"/>
      <c r="H4115" s="105" t="s"/>
      <c r="J4115" s="573" t="s"/>
      <c r="K4115" s="574" t="s"/>
      <c r="M4115" s="103" t="s"/>
      <c r="N4115" s="103" t="s"/>
    </row>
    <row r="4116" spans="1:14" ht="15.75" customHeight="true">
      <c r="A4116" s="169" t="s"/>
      <c r="G4116" s="105" t="s"/>
      <c r="H4116" s="105" t="s"/>
      <c r="J4116" s="573" t="s"/>
      <c r="K4116" s="574" t="s"/>
      <c r="M4116" s="103" t="s"/>
      <c r="N4116" s="103" t="s"/>
    </row>
    <row r="4117" spans="1:14" ht="15.75" customHeight="true">
      <c r="A4117" s="169" t="s"/>
      <c r="G4117" s="105" t="s"/>
      <c r="H4117" s="105" t="s"/>
      <c r="J4117" s="573" t="s"/>
      <c r="K4117" s="574" t="s"/>
      <c r="M4117" s="103" t="s"/>
      <c r="N4117" s="103" t="s"/>
    </row>
    <row r="4118" spans="1:14" ht="15.75" customHeight="true">
      <c r="A4118" s="169" t="s"/>
      <c r="G4118" s="105" t="s"/>
      <c r="H4118" s="105" t="s"/>
      <c r="J4118" s="573" t="s"/>
      <c r="K4118" s="574" t="s"/>
      <c r="M4118" s="103" t="s"/>
      <c r="N4118" s="103" t="s"/>
    </row>
    <row r="4119" spans="1:14" ht="15.75" customHeight="true">
      <c r="A4119" s="169" t="s"/>
      <c r="G4119" s="105" t="s"/>
      <c r="H4119" s="105" t="s"/>
      <c r="J4119" s="573" t="s"/>
      <c r="K4119" s="574" t="s"/>
      <c r="M4119" s="103" t="s"/>
      <c r="N4119" s="103" t="s"/>
    </row>
    <row r="4120" spans="1:14" ht="15.75" customHeight="true">
      <c r="A4120" s="169" t="s"/>
      <c r="G4120" s="105" t="s"/>
      <c r="H4120" s="105" t="s"/>
      <c r="J4120" s="573" t="s"/>
      <c r="K4120" s="574" t="s"/>
      <c r="M4120" s="103" t="s"/>
      <c r="N4120" s="103" t="s"/>
    </row>
    <row r="4121" spans="1:14" ht="15.75" customHeight="true">
      <c r="A4121" s="169" t="s"/>
      <c r="G4121" s="105" t="s"/>
      <c r="H4121" s="105" t="s"/>
      <c r="J4121" s="573" t="s"/>
      <c r="K4121" s="574" t="s"/>
      <c r="M4121" s="103" t="s"/>
      <c r="N4121" s="103" t="s"/>
    </row>
    <row r="4122" spans="1:14" ht="15.75" customHeight="true">
      <c r="A4122" s="169" t="s"/>
      <c r="G4122" s="105" t="s"/>
      <c r="H4122" s="105" t="s"/>
      <c r="J4122" s="573" t="s"/>
      <c r="K4122" s="574" t="s"/>
      <c r="M4122" s="103" t="s"/>
      <c r="N4122" s="103" t="s"/>
    </row>
    <row r="4123" spans="1:14" ht="15.75" customHeight="true">
      <c r="A4123" s="169" t="s"/>
      <c r="G4123" s="105" t="s"/>
      <c r="H4123" s="105" t="s"/>
      <c r="J4123" s="573" t="s"/>
      <c r="K4123" s="574" t="s"/>
      <c r="M4123" s="103" t="s"/>
      <c r="N4123" s="103" t="s"/>
    </row>
    <row r="4124" spans="1:14" ht="15.75" customHeight="true">
      <c r="A4124" s="169" t="s"/>
      <c r="G4124" s="105" t="s"/>
      <c r="H4124" s="105" t="s"/>
      <c r="J4124" s="573" t="s"/>
      <c r="K4124" s="574" t="s"/>
      <c r="M4124" s="103" t="s"/>
      <c r="N4124" s="103" t="s"/>
    </row>
    <row r="4125" spans="1:14" ht="15.75" customHeight="true">
      <c r="A4125" s="169" t="s"/>
      <c r="G4125" s="105" t="s"/>
      <c r="H4125" s="105" t="s"/>
      <c r="J4125" s="573" t="s"/>
      <c r="K4125" s="574" t="s"/>
      <c r="M4125" s="103" t="s"/>
      <c r="N4125" s="103" t="s"/>
    </row>
    <row r="4126" spans="1:14" ht="15.75" customHeight="true">
      <c r="A4126" s="169" t="s"/>
      <c r="G4126" s="105" t="s"/>
      <c r="H4126" s="105" t="s"/>
      <c r="J4126" s="573" t="s"/>
      <c r="K4126" s="574" t="s"/>
      <c r="M4126" s="103" t="s"/>
      <c r="N4126" s="103" t="s"/>
    </row>
    <row r="4127" spans="1:14" ht="15.75" customHeight="true">
      <c r="A4127" s="169" t="s"/>
      <c r="G4127" s="105" t="s"/>
      <c r="H4127" s="105" t="s"/>
      <c r="J4127" s="573" t="s"/>
      <c r="K4127" s="574" t="s"/>
      <c r="M4127" s="103" t="s"/>
      <c r="N4127" s="103" t="s"/>
    </row>
    <row r="4128" spans="1:14" ht="15.75" customHeight="true">
      <c r="A4128" s="169" t="s"/>
      <c r="G4128" s="105" t="s"/>
      <c r="H4128" s="105" t="s"/>
      <c r="J4128" s="573" t="s"/>
      <c r="K4128" s="574" t="s"/>
      <c r="M4128" s="103" t="s"/>
      <c r="N4128" s="103" t="s"/>
    </row>
    <row r="4129" spans="1:14" ht="15.75" customHeight="true">
      <c r="A4129" s="169" t="s"/>
      <c r="G4129" s="105" t="s"/>
      <c r="H4129" s="105" t="s"/>
      <c r="J4129" s="573" t="s"/>
      <c r="K4129" s="574" t="s"/>
      <c r="M4129" s="103" t="s"/>
      <c r="N4129" s="103" t="s"/>
    </row>
    <row r="4130" spans="1:14" ht="15.75" customHeight="true">
      <c r="A4130" s="169" t="s"/>
      <c r="G4130" s="105" t="s"/>
      <c r="H4130" s="105" t="s"/>
      <c r="J4130" s="573" t="s"/>
      <c r="K4130" s="574" t="s"/>
      <c r="M4130" s="103" t="s"/>
      <c r="N4130" s="103" t="s"/>
    </row>
    <row r="4131" spans="1:14" ht="15.75" customHeight="true">
      <c r="A4131" s="169" t="s"/>
      <c r="G4131" s="105" t="s"/>
      <c r="H4131" s="105" t="s"/>
      <c r="J4131" s="573" t="s"/>
      <c r="K4131" s="574" t="s"/>
      <c r="M4131" s="103" t="s"/>
      <c r="N4131" s="103" t="s"/>
    </row>
    <row r="4132" spans="1:14" ht="15.75" customHeight="true">
      <c r="A4132" s="169" t="s"/>
      <c r="G4132" s="105" t="s"/>
      <c r="H4132" s="105" t="s"/>
      <c r="J4132" s="573" t="s"/>
      <c r="K4132" s="574" t="s"/>
      <c r="M4132" s="103" t="s"/>
      <c r="N4132" s="103" t="s"/>
    </row>
    <row r="4133" spans="1:14" ht="15.75" customHeight="true">
      <c r="A4133" s="169" t="s"/>
      <c r="G4133" s="105" t="s"/>
      <c r="H4133" s="105" t="s"/>
      <c r="J4133" s="573" t="s"/>
      <c r="K4133" s="574" t="s"/>
      <c r="M4133" s="103" t="s"/>
      <c r="N4133" s="103" t="s"/>
    </row>
    <row r="4134" spans="1:14" ht="15.75" customHeight="true">
      <c r="A4134" s="169" t="s"/>
      <c r="G4134" s="105" t="s"/>
      <c r="H4134" s="105" t="s"/>
      <c r="J4134" s="573" t="s"/>
      <c r="K4134" s="574" t="s"/>
      <c r="M4134" s="103" t="s"/>
      <c r="N4134" s="103" t="s"/>
    </row>
    <row r="4135" spans="1:14" ht="15.75" customHeight="true">
      <c r="A4135" s="169" t="s"/>
      <c r="G4135" s="105" t="s"/>
      <c r="H4135" s="105" t="s"/>
      <c r="J4135" s="573" t="s"/>
      <c r="K4135" s="574" t="s"/>
      <c r="M4135" s="103" t="s"/>
      <c r="N4135" s="103" t="s"/>
    </row>
    <row r="4136" spans="1:14" ht="15.75" customHeight="true">
      <c r="A4136" s="169" t="s"/>
      <c r="G4136" s="105" t="s"/>
      <c r="H4136" s="105" t="s"/>
      <c r="J4136" s="573" t="s"/>
      <c r="K4136" s="574" t="s"/>
      <c r="M4136" s="103" t="s"/>
      <c r="N4136" s="103" t="s"/>
    </row>
    <row r="4137" spans="1:14" ht="15.75" customHeight="true">
      <c r="A4137" s="169" t="s"/>
      <c r="G4137" s="105" t="s"/>
      <c r="H4137" s="105" t="s"/>
      <c r="J4137" s="573" t="s"/>
      <c r="K4137" s="574" t="s"/>
      <c r="M4137" s="103" t="s"/>
      <c r="N4137" s="103" t="s"/>
    </row>
    <row r="4138" spans="1:14" ht="15.75" customHeight="true">
      <c r="A4138" s="169" t="s"/>
      <c r="G4138" s="105" t="s"/>
      <c r="H4138" s="105" t="s"/>
      <c r="J4138" s="573" t="s"/>
      <c r="K4138" s="574" t="s"/>
      <c r="M4138" s="103" t="s"/>
      <c r="N4138" s="103" t="s"/>
    </row>
    <row r="4139" spans="1:14" ht="15.75" customHeight="true">
      <c r="A4139" s="169" t="s"/>
      <c r="G4139" s="105" t="s"/>
      <c r="H4139" s="105" t="s"/>
      <c r="J4139" s="573" t="s"/>
      <c r="K4139" s="574" t="s"/>
      <c r="M4139" s="103" t="s"/>
      <c r="N4139" s="103" t="s"/>
    </row>
    <row r="4140" spans="1:14" ht="15.75" customHeight="true">
      <c r="A4140" s="169" t="s"/>
      <c r="G4140" s="105" t="s"/>
      <c r="H4140" s="105" t="s"/>
      <c r="J4140" s="573" t="s"/>
      <c r="K4140" s="574" t="s"/>
      <c r="M4140" s="103" t="s"/>
      <c r="N4140" s="103" t="s"/>
    </row>
    <row r="4141" spans="1:14" ht="15.75" customHeight="true">
      <c r="A4141" s="169" t="s"/>
      <c r="G4141" s="105" t="s"/>
      <c r="H4141" s="105" t="s"/>
      <c r="J4141" s="573" t="s"/>
      <c r="K4141" s="574" t="s"/>
      <c r="M4141" s="103" t="s"/>
      <c r="N4141" s="103" t="s"/>
    </row>
    <row r="4142" spans="1:14" ht="15.75" customHeight="true">
      <c r="A4142" s="169" t="s"/>
      <c r="G4142" s="105" t="s"/>
      <c r="H4142" s="105" t="s"/>
      <c r="J4142" s="573" t="s"/>
      <c r="K4142" s="574" t="s"/>
      <c r="M4142" s="103" t="s"/>
      <c r="N4142" s="103" t="s"/>
    </row>
    <row r="4143" spans="1:14" ht="15.75" customHeight="true">
      <c r="A4143" s="169" t="s"/>
      <c r="G4143" s="105" t="s"/>
      <c r="H4143" s="105" t="s"/>
      <c r="J4143" s="573" t="s"/>
      <c r="K4143" s="574" t="s"/>
      <c r="M4143" s="103" t="s"/>
      <c r="N4143" s="103" t="s"/>
    </row>
    <row r="4144" spans="1:14" ht="15.75" customHeight="true">
      <c r="A4144" s="169" t="s"/>
      <c r="G4144" s="105" t="s"/>
      <c r="H4144" s="105" t="s"/>
      <c r="J4144" s="573" t="s"/>
      <c r="K4144" s="574" t="s"/>
      <c r="M4144" s="103" t="s"/>
      <c r="N4144" s="103" t="s"/>
    </row>
    <row r="4145" spans="1:14" ht="15.75" customHeight="true">
      <c r="A4145" s="169" t="s"/>
      <c r="G4145" s="105" t="s"/>
      <c r="H4145" s="105" t="s"/>
      <c r="J4145" s="573" t="s"/>
      <c r="K4145" s="574" t="s"/>
      <c r="M4145" s="103" t="s"/>
      <c r="N4145" s="103" t="s"/>
    </row>
    <row r="4146" spans="1:14" ht="15.75" customHeight="true">
      <c r="A4146" s="169" t="s"/>
      <c r="G4146" s="105" t="s"/>
      <c r="H4146" s="105" t="s"/>
      <c r="J4146" s="573" t="s"/>
      <c r="K4146" s="574" t="s"/>
      <c r="M4146" s="103" t="s"/>
      <c r="N4146" s="103" t="s"/>
    </row>
    <row r="4147" spans="1:14" ht="15.75" customHeight="true">
      <c r="A4147" s="169" t="s"/>
      <c r="G4147" s="105" t="s"/>
      <c r="H4147" s="105" t="s"/>
      <c r="J4147" s="573" t="s"/>
      <c r="K4147" s="574" t="s"/>
      <c r="M4147" s="103" t="s"/>
      <c r="N4147" s="103" t="s"/>
    </row>
    <row r="4148" spans="1:14" ht="15.75" customHeight="true">
      <c r="A4148" s="169" t="s"/>
      <c r="G4148" s="105" t="s"/>
      <c r="H4148" s="105" t="s"/>
      <c r="J4148" s="573" t="s"/>
      <c r="K4148" s="574" t="s"/>
      <c r="M4148" s="103" t="s"/>
      <c r="N4148" s="103" t="s"/>
    </row>
    <row r="4149" spans="1:14" ht="15.75" customHeight="true">
      <c r="A4149" s="169" t="s"/>
      <c r="G4149" s="105" t="s"/>
      <c r="H4149" s="105" t="s"/>
      <c r="J4149" s="573" t="s"/>
      <c r="K4149" s="574" t="s"/>
      <c r="M4149" s="103" t="s"/>
      <c r="N4149" s="103" t="s"/>
    </row>
    <row r="4150" spans="1:14" ht="15.75" customHeight="true">
      <c r="A4150" s="169" t="s"/>
      <c r="G4150" s="105" t="s"/>
      <c r="H4150" s="105" t="s"/>
      <c r="J4150" s="573" t="s"/>
      <c r="K4150" s="574" t="s"/>
      <c r="M4150" s="103" t="s"/>
      <c r="N4150" s="103" t="s"/>
    </row>
    <row r="4151" spans="1:14" ht="15.75" customHeight="true">
      <c r="A4151" s="169" t="s"/>
      <c r="G4151" s="105" t="s"/>
      <c r="H4151" s="105" t="s"/>
      <c r="J4151" s="573" t="s"/>
      <c r="K4151" s="574" t="s"/>
      <c r="M4151" s="103" t="s"/>
      <c r="N4151" s="103" t="s"/>
    </row>
    <row r="4152" spans="1:14" ht="15.75" customHeight="true">
      <c r="A4152" s="169" t="s"/>
      <c r="G4152" s="105" t="s"/>
      <c r="H4152" s="105" t="s"/>
      <c r="J4152" s="573" t="s"/>
      <c r="K4152" s="574" t="s"/>
      <c r="M4152" s="103" t="s"/>
      <c r="N4152" s="103" t="s"/>
    </row>
    <row r="4153" spans="1:14" ht="15.75" customHeight="true">
      <c r="A4153" s="169" t="s"/>
      <c r="G4153" s="105" t="s"/>
      <c r="H4153" s="105" t="s"/>
      <c r="J4153" s="573" t="s"/>
      <c r="K4153" s="574" t="s"/>
      <c r="M4153" s="103" t="s"/>
      <c r="N4153" s="103" t="s"/>
    </row>
    <row r="4154" spans="1:14" ht="15.75" customHeight="true">
      <c r="A4154" s="169" t="s"/>
      <c r="G4154" s="105" t="s"/>
      <c r="H4154" s="105" t="s"/>
      <c r="J4154" s="573" t="s"/>
      <c r="K4154" s="574" t="s"/>
      <c r="M4154" s="103" t="s"/>
      <c r="N4154" s="103" t="s"/>
    </row>
    <row r="4155" spans="1:14" ht="15.75" customHeight="true">
      <c r="A4155" s="169" t="s"/>
      <c r="G4155" s="105" t="s"/>
      <c r="H4155" s="105" t="s"/>
      <c r="J4155" s="573" t="s"/>
      <c r="K4155" s="574" t="s"/>
      <c r="M4155" s="103" t="s"/>
      <c r="N4155" s="103" t="s"/>
    </row>
    <row r="4156" spans="1:14" ht="15.75" customHeight="true">
      <c r="A4156" s="169" t="s"/>
      <c r="G4156" s="105" t="s"/>
      <c r="H4156" s="105" t="s"/>
      <c r="J4156" s="573" t="s"/>
      <c r="K4156" s="574" t="s"/>
      <c r="M4156" s="103" t="s"/>
      <c r="N4156" s="103" t="s"/>
    </row>
    <row r="4157" spans="1:14" ht="15.75" customHeight="true">
      <c r="A4157" s="169" t="s"/>
      <c r="G4157" s="105" t="s"/>
      <c r="H4157" s="105" t="s"/>
      <c r="J4157" s="573" t="s"/>
      <c r="K4157" s="574" t="s"/>
      <c r="M4157" s="103" t="s"/>
      <c r="N4157" s="103" t="s"/>
    </row>
    <row r="4158" spans="1:14" ht="15.75" customHeight="true">
      <c r="A4158" s="169" t="s"/>
      <c r="G4158" s="105" t="s"/>
      <c r="H4158" s="105" t="s"/>
      <c r="J4158" s="573" t="s"/>
      <c r="K4158" s="574" t="s"/>
      <c r="M4158" s="103" t="s"/>
      <c r="N4158" s="103" t="s"/>
    </row>
    <row r="4159" spans="1:14" ht="15.75" customHeight="true">
      <c r="A4159" s="169" t="s"/>
      <c r="G4159" s="105" t="s"/>
      <c r="H4159" s="105" t="s"/>
      <c r="J4159" s="573" t="s"/>
      <c r="K4159" s="574" t="s"/>
      <c r="M4159" s="103" t="s"/>
      <c r="N4159" s="103" t="s"/>
    </row>
    <row r="4160" spans="1:14" ht="15.75" customHeight="true">
      <c r="A4160" s="169" t="s"/>
      <c r="G4160" s="105" t="s"/>
      <c r="H4160" s="105" t="s"/>
      <c r="J4160" s="573" t="s"/>
      <c r="K4160" s="574" t="s"/>
      <c r="M4160" s="103" t="s"/>
      <c r="N4160" s="103" t="s"/>
    </row>
    <row r="4161" spans="1:14" ht="15.75" customHeight="true">
      <c r="A4161" s="169" t="s"/>
      <c r="G4161" s="105" t="s"/>
      <c r="H4161" s="105" t="s"/>
      <c r="J4161" s="573" t="s"/>
      <c r="K4161" s="574" t="s"/>
      <c r="M4161" s="103" t="s"/>
      <c r="N4161" s="103" t="s"/>
    </row>
    <row r="4162" spans="1:14" ht="15.75" customHeight="true">
      <c r="A4162" s="169" t="s"/>
      <c r="G4162" s="105" t="s"/>
      <c r="H4162" s="105" t="s"/>
      <c r="J4162" s="573" t="s"/>
      <c r="K4162" s="574" t="s"/>
      <c r="M4162" s="103" t="s"/>
      <c r="N4162" s="103" t="s"/>
    </row>
    <row r="4163" spans="1:14" ht="15.75" customHeight="true">
      <c r="A4163" s="169" t="s"/>
      <c r="G4163" s="105" t="s"/>
      <c r="H4163" s="105" t="s"/>
      <c r="J4163" s="573" t="s"/>
      <c r="K4163" s="574" t="s"/>
      <c r="M4163" s="103" t="s"/>
      <c r="N4163" s="103" t="s"/>
    </row>
    <row r="4164" spans="1:14" ht="15.75" customHeight="true">
      <c r="A4164" s="169" t="s"/>
      <c r="G4164" s="105" t="s"/>
      <c r="H4164" s="105" t="s"/>
      <c r="J4164" s="573" t="s"/>
      <c r="K4164" s="574" t="s"/>
      <c r="M4164" s="103" t="s"/>
      <c r="N4164" s="103" t="s"/>
    </row>
    <row r="4165" spans="1:14" ht="15.75" customHeight="true">
      <c r="A4165" s="169" t="s"/>
      <c r="G4165" s="105" t="s"/>
      <c r="H4165" s="105" t="s"/>
      <c r="J4165" s="573" t="s"/>
      <c r="K4165" s="574" t="s"/>
      <c r="M4165" s="103" t="s"/>
      <c r="N4165" s="103" t="s"/>
    </row>
    <row r="4166" spans="1:14" ht="15.75" customHeight="true">
      <c r="A4166" s="169" t="s"/>
      <c r="G4166" s="105" t="s"/>
      <c r="H4166" s="105" t="s"/>
      <c r="J4166" s="573" t="s"/>
      <c r="K4166" s="574" t="s"/>
      <c r="M4166" s="103" t="s"/>
      <c r="N4166" s="103" t="s"/>
    </row>
    <row r="4167" spans="1:14" ht="15.75" customHeight="true">
      <c r="A4167" s="169" t="s"/>
      <c r="G4167" s="105" t="s"/>
      <c r="H4167" s="105" t="s"/>
      <c r="J4167" s="573" t="s"/>
      <c r="K4167" s="574" t="s"/>
      <c r="M4167" s="103" t="s"/>
      <c r="N4167" s="103" t="s"/>
    </row>
    <row r="4168" spans="1:14" ht="15.75" customHeight="true">
      <c r="A4168" s="169" t="s"/>
      <c r="G4168" s="105" t="s"/>
      <c r="H4168" s="105" t="s"/>
      <c r="J4168" s="573" t="s"/>
      <c r="K4168" s="574" t="s"/>
      <c r="M4168" s="103" t="s"/>
      <c r="N4168" s="103" t="s"/>
    </row>
    <row r="4169" spans="1:14" ht="15.75" customHeight="true">
      <c r="A4169" s="169" t="s"/>
      <c r="G4169" s="105" t="s"/>
      <c r="H4169" s="105" t="s"/>
      <c r="J4169" s="573" t="s"/>
      <c r="K4169" s="574" t="s"/>
      <c r="M4169" s="103" t="s"/>
      <c r="N4169" s="103" t="s"/>
    </row>
    <row r="4170" spans="1:14" ht="15.75" customHeight="true">
      <c r="A4170" s="169" t="s"/>
      <c r="G4170" s="105" t="s"/>
      <c r="H4170" s="105" t="s"/>
      <c r="J4170" s="573" t="s"/>
      <c r="K4170" s="574" t="s"/>
      <c r="M4170" s="103" t="s"/>
      <c r="N4170" s="103" t="s"/>
    </row>
    <row r="4171" spans="1:14" ht="15.75" customHeight="true">
      <c r="A4171" s="169" t="s"/>
      <c r="G4171" s="105" t="s"/>
      <c r="H4171" s="105" t="s"/>
      <c r="J4171" s="573" t="s"/>
      <c r="K4171" s="574" t="s"/>
      <c r="M4171" s="103" t="s"/>
      <c r="N4171" s="103" t="s"/>
    </row>
    <row r="4172" spans="1:14" ht="15.75" customHeight="true">
      <c r="A4172" s="169" t="s"/>
      <c r="G4172" s="105" t="s"/>
      <c r="H4172" s="105" t="s"/>
      <c r="J4172" s="573" t="s"/>
      <c r="K4172" s="574" t="s"/>
      <c r="M4172" s="103" t="s"/>
      <c r="N4172" s="103" t="s"/>
    </row>
    <row r="4173" spans="1:14" ht="15.75" customHeight="true">
      <c r="A4173" s="169" t="s"/>
      <c r="G4173" s="105" t="s"/>
      <c r="H4173" s="105" t="s"/>
      <c r="J4173" s="573" t="s"/>
      <c r="K4173" s="574" t="s"/>
      <c r="M4173" s="103" t="s"/>
      <c r="N4173" s="103" t="s"/>
    </row>
    <row r="4174" spans="1:14" ht="15.75" customHeight="true">
      <c r="A4174" s="169" t="s"/>
      <c r="G4174" s="105" t="s"/>
      <c r="H4174" s="105" t="s"/>
      <c r="J4174" s="573" t="s"/>
      <c r="K4174" s="574" t="s"/>
      <c r="M4174" s="103" t="s"/>
      <c r="N4174" s="103" t="s"/>
    </row>
    <row r="4175" spans="1:14" ht="15.75" customHeight="true">
      <c r="A4175" s="169" t="s"/>
      <c r="G4175" s="105" t="s"/>
      <c r="H4175" s="105" t="s"/>
      <c r="J4175" s="573" t="s"/>
      <c r="K4175" s="574" t="s"/>
      <c r="M4175" s="103" t="s"/>
      <c r="N4175" s="103" t="s"/>
    </row>
    <row r="4176" spans="1:14" ht="15.75" customHeight="true">
      <c r="A4176" s="169" t="s"/>
      <c r="G4176" s="105" t="s"/>
      <c r="H4176" s="105" t="s"/>
      <c r="J4176" s="573" t="s"/>
      <c r="K4176" s="574" t="s"/>
      <c r="M4176" s="103" t="s"/>
      <c r="N4176" s="103" t="s"/>
    </row>
    <row r="4177" spans="1:14" ht="15.75" customHeight="true">
      <c r="A4177" s="169" t="s"/>
      <c r="G4177" s="105" t="s"/>
      <c r="H4177" s="105" t="s"/>
      <c r="J4177" s="573" t="s"/>
      <c r="K4177" s="574" t="s"/>
      <c r="M4177" s="103" t="s"/>
      <c r="N4177" s="103" t="s"/>
    </row>
    <row r="4178" spans="1:14" ht="15.75" customHeight="true">
      <c r="A4178" s="169" t="s"/>
      <c r="G4178" s="105" t="s"/>
      <c r="H4178" s="105" t="s"/>
      <c r="J4178" s="573" t="s"/>
      <c r="K4178" s="574" t="s"/>
      <c r="M4178" s="103" t="s"/>
      <c r="N4178" s="103" t="s"/>
    </row>
    <row r="4179" spans="1:14" ht="15.75" customHeight="true">
      <c r="A4179" s="169" t="s"/>
      <c r="G4179" s="105" t="s"/>
      <c r="H4179" s="105" t="s"/>
      <c r="J4179" s="573" t="s"/>
      <c r="K4179" s="574" t="s"/>
      <c r="M4179" s="103" t="s"/>
      <c r="N4179" s="103" t="s"/>
    </row>
    <row r="4180" spans="1:14" ht="15.75" customHeight="true">
      <c r="A4180" s="169" t="s"/>
      <c r="G4180" s="105" t="s"/>
      <c r="H4180" s="105" t="s"/>
      <c r="J4180" s="573" t="s"/>
      <c r="K4180" s="574" t="s"/>
      <c r="M4180" s="103" t="s"/>
      <c r="N4180" s="103" t="s"/>
    </row>
    <row r="4181" spans="1:14" ht="15.75" customHeight="true">
      <c r="A4181" s="169" t="s"/>
      <c r="G4181" s="105" t="s"/>
      <c r="H4181" s="105" t="s"/>
      <c r="J4181" s="573" t="s"/>
      <c r="K4181" s="574" t="s"/>
      <c r="M4181" s="103" t="s"/>
      <c r="N4181" s="103" t="s"/>
    </row>
    <row r="4182" spans="1:14" ht="15.75" customHeight="true">
      <c r="A4182" s="169" t="s"/>
      <c r="G4182" s="105" t="s"/>
      <c r="H4182" s="105" t="s"/>
      <c r="J4182" s="573" t="s"/>
      <c r="K4182" s="574" t="s"/>
      <c r="M4182" s="103" t="s"/>
      <c r="N4182" s="103" t="s"/>
    </row>
    <row r="4183" spans="1:14" ht="15.75" customHeight="true">
      <c r="A4183" s="169" t="s"/>
      <c r="G4183" s="105" t="s"/>
      <c r="H4183" s="105" t="s"/>
      <c r="J4183" s="573" t="s"/>
      <c r="K4183" s="574" t="s"/>
      <c r="M4183" s="103" t="s"/>
      <c r="N4183" s="103" t="s"/>
    </row>
    <row r="4184" spans="1:14" ht="15.75" customHeight="true">
      <c r="A4184" s="169" t="s"/>
      <c r="G4184" s="105" t="s"/>
      <c r="H4184" s="105" t="s"/>
      <c r="J4184" s="573" t="s"/>
      <c r="K4184" s="574" t="s"/>
      <c r="M4184" s="103" t="s"/>
      <c r="N4184" s="103" t="s"/>
    </row>
    <row r="4185" spans="1:14" ht="15.75" customHeight="true">
      <c r="A4185" s="169" t="s"/>
      <c r="G4185" s="105" t="s"/>
      <c r="H4185" s="105" t="s"/>
      <c r="J4185" s="573" t="s"/>
      <c r="K4185" s="574" t="s"/>
      <c r="M4185" s="103" t="s"/>
      <c r="N4185" s="103" t="s"/>
    </row>
    <row r="4186" spans="1:14" ht="15.75" customHeight="true">
      <c r="A4186" s="169" t="s"/>
      <c r="G4186" s="105" t="s"/>
      <c r="H4186" s="105" t="s"/>
      <c r="J4186" s="573" t="s"/>
      <c r="K4186" s="574" t="s"/>
      <c r="M4186" s="103" t="s"/>
      <c r="N4186" s="103" t="s"/>
    </row>
    <row r="4187" spans="1:14" ht="15.75" customHeight="true">
      <c r="A4187" s="169" t="s"/>
      <c r="G4187" s="105" t="s"/>
      <c r="H4187" s="105" t="s"/>
      <c r="J4187" s="573" t="s"/>
      <c r="K4187" s="574" t="s"/>
      <c r="M4187" s="103" t="s"/>
      <c r="N4187" s="103" t="s"/>
    </row>
    <row r="4188" spans="1:14" ht="15.75" customHeight="true">
      <c r="A4188" s="169" t="s"/>
      <c r="G4188" s="105" t="s"/>
      <c r="H4188" s="105" t="s"/>
      <c r="J4188" s="573" t="s"/>
      <c r="K4188" s="574" t="s"/>
      <c r="M4188" s="103" t="s"/>
      <c r="N4188" s="103" t="s"/>
    </row>
    <row r="4189" spans="1:14" ht="15.75" customHeight="true">
      <c r="A4189" s="169" t="s"/>
      <c r="G4189" s="105" t="s"/>
      <c r="H4189" s="105" t="s"/>
      <c r="J4189" s="573" t="s"/>
      <c r="K4189" s="574" t="s"/>
      <c r="M4189" s="103" t="s"/>
      <c r="N4189" s="103" t="s"/>
    </row>
    <row r="4190" spans="1:14" ht="15.75" customHeight="true">
      <c r="A4190" s="169" t="s"/>
      <c r="G4190" s="105" t="s"/>
      <c r="H4190" s="105" t="s"/>
      <c r="J4190" s="573" t="s"/>
      <c r="K4190" s="574" t="s"/>
      <c r="M4190" s="103" t="s"/>
      <c r="N4190" s="103" t="s"/>
    </row>
    <row r="4191" spans="1:14" ht="15.75" customHeight="true">
      <c r="A4191" s="169" t="s"/>
      <c r="G4191" s="105" t="s"/>
      <c r="H4191" s="105" t="s"/>
      <c r="J4191" s="573" t="s"/>
      <c r="K4191" s="574" t="s"/>
      <c r="M4191" s="103" t="s"/>
      <c r="N4191" s="103" t="s"/>
    </row>
    <row r="4192" spans="1:14" ht="15.75" customHeight="true">
      <c r="A4192" s="169" t="s"/>
      <c r="G4192" s="105" t="s"/>
      <c r="H4192" s="105" t="s"/>
      <c r="J4192" s="573" t="s"/>
      <c r="K4192" s="574" t="s"/>
      <c r="M4192" s="103" t="s"/>
      <c r="N4192" s="103" t="s"/>
    </row>
    <row r="4193" spans="1:14" ht="15.75" customHeight="true">
      <c r="A4193" s="169" t="s"/>
      <c r="G4193" s="105" t="s"/>
      <c r="H4193" s="105" t="s"/>
      <c r="J4193" s="573" t="s"/>
      <c r="K4193" s="574" t="s"/>
      <c r="M4193" s="103" t="s"/>
      <c r="N4193" s="103" t="s"/>
    </row>
    <row r="4194" spans="1:14" ht="15.75" customHeight="true">
      <c r="A4194" s="169" t="s"/>
      <c r="G4194" s="105" t="s"/>
      <c r="H4194" s="105" t="s"/>
      <c r="J4194" s="573" t="s"/>
      <c r="K4194" s="574" t="s"/>
      <c r="M4194" s="103" t="s"/>
      <c r="N4194" s="103" t="s"/>
    </row>
    <row r="4195" spans="1:14" ht="15.75" customHeight="true">
      <c r="A4195" s="169" t="s"/>
      <c r="G4195" s="105" t="s"/>
      <c r="H4195" s="105" t="s"/>
      <c r="J4195" s="573" t="s"/>
      <c r="K4195" s="574" t="s"/>
      <c r="M4195" s="103" t="s"/>
      <c r="N4195" s="103" t="s"/>
    </row>
    <row r="4196" spans="1:14" ht="15.75" customHeight="true">
      <c r="A4196" s="169" t="s"/>
      <c r="G4196" s="105" t="s"/>
      <c r="H4196" s="105" t="s"/>
      <c r="J4196" s="573" t="s"/>
      <c r="K4196" s="574" t="s"/>
      <c r="M4196" s="103" t="s"/>
      <c r="N4196" s="103" t="s"/>
    </row>
    <row r="4197" spans="1:14" ht="15.75" customHeight="true">
      <c r="A4197" s="169" t="s"/>
      <c r="G4197" s="105" t="s"/>
      <c r="H4197" s="105" t="s"/>
      <c r="J4197" s="573" t="s"/>
      <c r="K4197" s="574" t="s"/>
      <c r="M4197" s="103" t="s"/>
      <c r="N4197" s="103" t="s"/>
    </row>
    <row r="4198" spans="1:14" ht="15.75" customHeight="true">
      <c r="A4198" s="169" t="s"/>
      <c r="G4198" s="105" t="s"/>
      <c r="H4198" s="105" t="s"/>
      <c r="J4198" s="573" t="s"/>
      <c r="K4198" s="574" t="s"/>
      <c r="M4198" s="103" t="s"/>
      <c r="N4198" s="103" t="s"/>
    </row>
    <row r="4199" spans="1:14" ht="15.75" customHeight="true">
      <c r="A4199" s="169" t="s"/>
      <c r="G4199" s="105" t="s"/>
      <c r="H4199" s="105" t="s"/>
      <c r="J4199" s="573" t="s"/>
      <c r="K4199" s="574" t="s"/>
      <c r="M4199" s="103" t="s"/>
      <c r="N4199" s="103" t="s"/>
    </row>
    <row r="4200" spans="1:14" ht="15.75" customHeight="true">
      <c r="A4200" s="169" t="s"/>
      <c r="G4200" s="105" t="s"/>
      <c r="H4200" s="105" t="s"/>
      <c r="J4200" s="573" t="s"/>
      <c r="K4200" s="574" t="s"/>
      <c r="M4200" s="103" t="s"/>
      <c r="N4200" s="103" t="s"/>
    </row>
    <row r="4201" spans="1:14" ht="15.75" customHeight="true">
      <c r="A4201" s="169" t="s"/>
      <c r="G4201" s="105" t="s"/>
      <c r="H4201" s="105" t="s"/>
      <c r="J4201" s="573" t="s"/>
      <c r="K4201" s="574" t="s"/>
      <c r="M4201" s="103" t="s"/>
      <c r="N4201" s="103" t="s"/>
    </row>
    <row r="4202" spans="1:14" ht="15.75" customHeight="true">
      <c r="A4202" s="169" t="s"/>
      <c r="G4202" s="105" t="s"/>
      <c r="H4202" s="105" t="s"/>
      <c r="J4202" s="573" t="s"/>
      <c r="K4202" s="574" t="s"/>
      <c r="M4202" s="103" t="s"/>
      <c r="N4202" s="103" t="s"/>
    </row>
    <row r="4203" spans="1:14" ht="15.75" customHeight="true">
      <c r="A4203" s="169" t="s"/>
      <c r="G4203" s="105" t="s"/>
      <c r="H4203" s="105" t="s"/>
      <c r="J4203" s="573" t="s"/>
      <c r="K4203" s="574" t="s"/>
      <c r="M4203" s="103" t="s"/>
      <c r="N4203" s="103" t="s"/>
    </row>
    <row r="4204" spans="1:14" ht="15.75" customHeight="true">
      <c r="A4204" s="169" t="s"/>
      <c r="G4204" s="105" t="s"/>
      <c r="H4204" s="105" t="s"/>
      <c r="J4204" s="573" t="s"/>
      <c r="K4204" s="574" t="s"/>
      <c r="M4204" s="103" t="s"/>
      <c r="N4204" s="103" t="s"/>
    </row>
    <row r="4205" spans="1:14" ht="15.75" customHeight="true">
      <c r="A4205" s="169" t="s"/>
      <c r="G4205" s="105" t="s"/>
      <c r="H4205" s="105" t="s"/>
      <c r="J4205" s="573" t="s"/>
      <c r="K4205" s="574" t="s"/>
      <c r="M4205" s="103" t="s"/>
      <c r="N4205" s="103" t="s"/>
    </row>
    <row r="4206" spans="1:14" ht="15.75" customHeight="true">
      <c r="A4206" s="169" t="s"/>
      <c r="G4206" s="105" t="s"/>
      <c r="H4206" s="105" t="s"/>
      <c r="J4206" s="573" t="s"/>
      <c r="K4206" s="574" t="s"/>
      <c r="M4206" s="103" t="s"/>
      <c r="N4206" s="103" t="s"/>
    </row>
    <row r="4207" spans="1:14" ht="15.75" customHeight="true">
      <c r="A4207" s="169" t="s"/>
      <c r="G4207" s="105" t="s"/>
      <c r="H4207" s="105" t="s"/>
      <c r="J4207" s="573" t="s"/>
      <c r="K4207" s="574" t="s"/>
      <c r="M4207" s="103" t="s"/>
      <c r="N4207" s="103" t="s"/>
    </row>
    <row r="4208" spans="1:14" ht="15.75" customHeight="true">
      <c r="A4208" s="169" t="s"/>
      <c r="G4208" s="105" t="s"/>
      <c r="H4208" s="105" t="s"/>
      <c r="J4208" s="573" t="s"/>
      <c r="K4208" s="574" t="s"/>
      <c r="M4208" s="103" t="s"/>
      <c r="N4208" s="103" t="s"/>
    </row>
    <row r="4209" spans="1:14" ht="15.75" customHeight="true">
      <c r="A4209" s="169" t="s"/>
      <c r="G4209" s="105" t="s"/>
      <c r="H4209" s="105" t="s"/>
      <c r="J4209" s="573" t="s"/>
      <c r="K4209" s="574" t="s"/>
      <c r="M4209" s="103" t="s"/>
      <c r="N4209" s="103" t="s"/>
    </row>
    <row r="4210" spans="1:14" ht="15.75" customHeight="true">
      <c r="A4210" s="169" t="s"/>
      <c r="G4210" s="105" t="s"/>
      <c r="H4210" s="105" t="s"/>
      <c r="J4210" s="573" t="s"/>
      <c r="K4210" s="574" t="s"/>
      <c r="M4210" s="103" t="s"/>
      <c r="N4210" s="103" t="s"/>
    </row>
    <row r="4211" spans="1:14" ht="15.75" customHeight="true">
      <c r="A4211" s="169" t="s"/>
      <c r="G4211" s="105" t="s"/>
      <c r="H4211" s="105" t="s"/>
      <c r="J4211" s="573" t="s"/>
      <c r="K4211" s="574" t="s"/>
      <c r="M4211" s="103" t="s"/>
      <c r="N4211" s="103" t="s"/>
    </row>
    <row r="4212" spans="1:14" ht="15.75" customHeight="true">
      <c r="A4212" s="169" t="s"/>
      <c r="G4212" s="105" t="s"/>
      <c r="H4212" s="105" t="s"/>
      <c r="J4212" s="573" t="s"/>
      <c r="K4212" s="574" t="s"/>
      <c r="M4212" s="103" t="s"/>
      <c r="N4212" s="103" t="s"/>
    </row>
    <row r="4213" spans="1:14" ht="15.75" customHeight="true">
      <c r="A4213" s="169" t="s"/>
      <c r="G4213" s="105" t="s"/>
      <c r="H4213" s="105" t="s"/>
      <c r="J4213" s="573" t="s"/>
      <c r="K4213" s="574" t="s"/>
      <c r="M4213" s="103" t="s"/>
      <c r="N4213" s="103" t="s"/>
    </row>
    <row r="4214" spans="1:14" ht="15.75" customHeight="true">
      <c r="A4214" s="169" t="s"/>
      <c r="G4214" s="105" t="s"/>
      <c r="H4214" s="105" t="s"/>
      <c r="J4214" s="573" t="s"/>
      <c r="K4214" s="574" t="s"/>
      <c r="M4214" s="103" t="s"/>
      <c r="N4214" s="103" t="s"/>
    </row>
    <row r="4215" spans="1:14" ht="15.75" customHeight="true">
      <c r="A4215" s="169" t="s"/>
      <c r="G4215" s="105" t="s"/>
      <c r="H4215" s="105" t="s"/>
      <c r="J4215" s="573" t="s"/>
      <c r="K4215" s="574" t="s"/>
      <c r="M4215" s="103" t="s"/>
      <c r="N4215" s="103" t="s"/>
    </row>
    <row r="4216" spans="1:14" ht="15.75" customHeight="true">
      <c r="A4216" s="169" t="s"/>
      <c r="G4216" s="105" t="s"/>
      <c r="H4216" s="105" t="s"/>
      <c r="J4216" s="573" t="s"/>
      <c r="K4216" s="574" t="s"/>
      <c r="M4216" s="103" t="s"/>
      <c r="N4216" s="103" t="s"/>
    </row>
    <row r="4217" spans="1:14" ht="15.75" customHeight="true">
      <c r="A4217" s="169" t="s"/>
      <c r="G4217" s="105" t="s"/>
      <c r="H4217" s="105" t="s"/>
      <c r="J4217" s="573" t="s"/>
      <c r="K4217" s="574" t="s"/>
      <c r="M4217" s="103" t="s"/>
      <c r="N4217" s="103" t="s"/>
    </row>
    <row r="4218" spans="1:14" ht="15.75" customHeight="true">
      <c r="A4218" s="169" t="s"/>
      <c r="G4218" s="105" t="s"/>
      <c r="H4218" s="105" t="s"/>
      <c r="J4218" s="573" t="s"/>
      <c r="K4218" s="574" t="s"/>
      <c r="M4218" s="103" t="s"/>
      <c r="N4218" s="103" t="s"/>
    </row>
    <row r="4219" spans="1:14" ht="15.75" customHeight="true">
      <c r="A4219" s="169" t="s"/>
      <c r="G4219" s="105" t="s"/>
      <c r="H4219" s="105" t="s"/>
      <c r="J4219" s="573" t="s"/>
      <c r="K4219" s="574" t="s"/>
      <c r="M4219" s="103" t="s"/>
      <c r="N4219" s="103" t="s"/>
    </row>
    <row r="4220" spans="1:14" ht="15.75" customHeight="true">
      <c r="A4220" s="169" t="s"/>
      <c r="G4220" s="105" t="s"/>
      <c r="H4220" s="105" t="s"/>
      <c r="J4220" s="573" t="s"/>
      <c r="K4220" s="574" t="s"/>
      <c r="M4220" s="103" t="s"/>
      <c r="N4220" s="103" t="s"/>
    </row>
    <row r="4221" spans="1:14" ht="15.75" customHeight="true">
      <c r="A4221" s="169" t="s"/>
      <c r="G4221" s="105" t="s"/>
      <c r="H4221" s="105" t="s"/>
      <c r="J4221" s="573" t="s"/>
      <c r="K4221" s="574" t="s"/>
      <c r="M4221" s="103" t="s"/>
      <c r="N4221" s="103" t="s"/>
    </row>
    <row r="4222" spans="1:14" ht="15.75" customHeight="true">
      <c r="A4222" s="169" t="s"/>
      <c r="G4222" s="105" t="s"/>
      <c r="H4222" s="105" t="s"/>
      <c r="J4222" s="573" t="s"/>
      <c r="K4222" s="574" t="s"/>
      <c r="M4222" s="103" t="s"/>
      <c r="N4222" s="103" t="s"/>
    </row>
    <row r="4223" spans="1:14" ht="15.75" customHeight="true">
      <c r="A4223" s="169" t="s"/>
      <c r="G4223" s="105" t="s"/>
      <c r="H4223" s="105" t="s"/>
      <c r="J4223" s="573" t="s"/>
      <c r="K4223" s="574" t="s"/>
      <c r="M4223" s="103" t="s"/>
      <c r="N4223" s="103" t="s"/>
    </row>
    <row r="4224" spans="1:14" ht="15.75" customHeight="true">
      <c r="A4224" s="169" t="s"/>
      <c r="G4224" s="105" t="s"/>
      <c r="H4224" s="105" t="s"/>
      <c r="J4224" s="573" t="s"/>
      <c r="K4224" s="574" t="s"/>
      <c r="M4224" s="103" t="s"/>
      <c r="N4224" s="103" t="s"/>
    </row>
    <row r="4225" spans="1:14" ht="15.75" customHeight="true">
      <c r="A4225" s="169" t="s"/>
      <c r="G4225" s="105" t="s"/>
      <c r="H4225" s="105" t="s"/>
      <c r="J4225" s="573" t="s"/>
      <c r="K4225" s="574" t="s"/>
      <c r="M4225" s="103" t="s"/>
      <c r="N4225" s="103" t="s"/>
    </row>
    <row r="4226" spans="1:14" ht="15.75" customHeight="true">
      <c r="A4226" s="169" t="s"/>
      <c r="G4226" s="105" t="s"/>
      <c r="H4226" s="105" t="s"/>
      <c r="J4226" s="573" t="s"/>
      <c r="K4226" s="574" t="s"/>
      <c r="M4226" s="103" t="s"/>
      <c r="N4226" s="103" t="s"/>
    </row>
    <row r="4227" spans="1:14" ht="15.75" customHeight="true">
      <c r="A4227" s="169" t="s"/>
      <c r="G4227" s="105" t="s"/>
      <c r="H4227" s="105" t="s"/>
      <c r="J4227" s="573" t="s"/>
      <c r="K4227" s="574" t="s"/>
      <c r="M4227" s="103" t="s"/>
      <c r="N4227" s="103" t="s"/>
    </row>
    <row r="4228" spans="1:14" ht="15.75" customHeight="true">
      <c r="A4228" s="169" t="s"/>
      <c r="G4228" s="105" t="s"/>
      <c r="H4228" s="105" t="s"/>
      <c r="J4228" s="573" t="s"/>
      <c r="K4228" s="574" t="s"/>
      <c r="M4228" s="103" t="s"/>
      <c r="N4228" s="103" t="s"/>
    </row>
    <row r="4229" spans="1:14" ht="15.75" customHeight="true">
      <c r="A4229" s="169" t="s"/>
      <c r="G4229" s="105" t="s"/>
      <c r="H4229" s="105" t="s"/>
      <c r="J4229" s="573" t="s"/>
      <c r="K4229" s="574" t="s"/>
      <c r="M4229" s="103" t="s"/>
      <c r="N4229" s="103" t="s"/>
    </row>
    <row r="4230" spans="1:14" ht="15.75" customHeight="true">
      <c r="A4230" s="169" t="s"/>
      <c r="G4230" s="105" t="s"/>
      <c r="H4230" s="105" t="s"/>
      <c r="J4230" s="573" t="s"/>
      <c r="K4230" s="574" t="s"/>
      <c r="M4230" s="103" t="s"/>
      <c r="N4230" s="103" t="s"/>
    </row>
    <row r="4231" spans="1:14" ht="15.75" customHeight="true">
      <c r="A4231" s="169" t="s"/>
      <c r="G4231" s="105" t="s"/>
      <c r="H4231" s="105" t="s"/>
      <c r="J4231" s="573" t="s"/>
      <c r="K4231" s="574" t="s"/>
      <c r="M4231" s="103" t="s"/>
      <c r="N4231" s="103" t="s"/>
    </row>
    <row r="4232" spans="1:14" ht="15.75" customHeight="true">
      <c r="A4232" s="169" t="s"/>
      <c r="G4232" s="105" t="s"/>
      <c r="H4232" s="105" t="s"/>
      <c r="J4232" s="573" t="s"/>
      <c r="K4232" s="574" t="s"/>
      <c r="M4232" s="103" t="s"/>
      <c r="N4232" s="103" t="s"/>
    </row>
    <row r="4233" spans="1:14" ht="15.75" customHeight="true">
      <c r="A4233" s="169" t="s"/>
      <c r="G4233" s="105" t="s"/>
      <c r="H4233" s="105" t="s"/>
      <c r="J4233" s="573" t="s"/>
      <c r="K4233" s="574" t="s"/>
      <c r="M4233" s="103" t="s"/>
      <c r="N4233" s="103" t="s"/>
    </row>
    <row r="4234" spans="1:14" ht="15.75" customHeight="true">
      <c r="A4234" s="169" t="s"/>
      <c r="G4234" s="105" t="s"/>
      <c r="H4234" s="105" t="s"/>
      <c r="J4234" s="573" t="s"/>
      <c r="K4234" s="574" t="s"/>
      <c r="M4234" s="103" t="s"/>
      <c r="N4234" s="103" t="s"/>
    </row>
    <row r="4235" spans="1:14" ht="15.75" customHeight="true">
      <c r="A4235" s="169" t="s"/>
      <c r="G4235" s="105" t="s"/>
      <c r="H4235" s="105" t="s"/>
      <c r="J4235" s="573" t="s"/>
      <c r="K4235" s="574" t="s"/>
      <c r="M4235" s="103" t="s"/>
      <c r="N4235" s="103" t="s"/>
    </row>
    <row r="4236" spans="1:14" ht="15.75" customHeight="true">
      <c r="A4236" s="169" t="s"/>
      <c r="G4236" s="105" t="s"/>
      <c r="H4236" s="105" t="s"/>
      <c r="J4236" s="573" t="s"/>
      <c r="K4236" s="574" t="s"/>
      <c r="M4236" s="103" t="s"/>
      <c r="N4236" s="103" t="s"/>
    </row>
    <row r="4237" spans="1:14" ht="15.75" customHeight="true">
      <c r="A4237" s="169" t="s"/>
      <c r="G4237" s="105" t="s"/>
      <c r="H4237" s="105" t="s"/>
      <c r="J4237" s="573" t="s"/>
      <c r="K4237" s="574" t="s"/>
      <c r="M4237" s="103" t="s"/>
      <c r="N4237" s="103" t="s"/>
    </row>
    <row r="4238" spans="1:14" ht="15.75" customHeight="true">
      <c r="A4238" s="169" t="s"/>
      <c r="G4238" s="105" t="s"/>
      <c r="H4238" s="105" t="s"/>
      <c r="J4238" s="573" t="s"/>
      <c r="K4238" s="574" t="s"/>
      <c r="M4238" s="103" t="s"/>
      <c r="N4238" s="103" t="s"/>
    </row>
    <row r="4239" spans="1:14" ht="15.75" customHeight="true">
      <c r="A4239" s="169" t="s"/>
      <c r="G4239" s="105" t="s"/>
      <c r="H4239" s="105" t="s"/>
      <c r="J4239" s="573" t="s"/>
      <c r="K4239" s="574" t="s"/>
      <c r="M4239" s="103" t="s"/>
      <c r="N4239" s="103" t="s"/>
    </row>
    <row r="4240" spans="1:14" ht="15.75" customHeight="true">
      <c r="A4240" s="169" t="s"/>
      <c r="G4240" s="105" t="s"/>
      <c r="H4240" s="105" t="s"/>
      <c r="J4240" s="573" t="s"/>
      <c r="K4240" s="574" t="s"/>
      <c r="M4240" s="103" t="s"/>
      <c r="N4240" s="103" t="s"/>
    </row>
    <row r="4241" spans="1:14" ht="15.75" customHeight="true">
      <c r="A4241" s="169" t="s"/>
      <c r="G4241" s="105" t="s"/>
      <c r="H4241" s="105" t="s"/>
      <c r="J4241" s="573" t="s"/>
      <c r="K4241" s="574" t="s"/>
      <c r="M4241" s="103" t="s"/>
      <c r="N4241" s="103" t="s"/>
    </row>
    <row r="4242" spans="1:14" ht="15.75" customHeight="true">
      <c r="A4242" s="169" t="s"/>
      <c r="G4242" s="105" t="s"/>
      <c r="H4242" s="105" t="s"/>
      <c r="J4242" s="573" t="s"/>
      <c r="K4242" s="574" t="s"/>
      <c r="M4242" s="103" t="s"/>
      <c r="N4242" s="103" t="s"/>
    </row>
    <row r="4243" spans="1:14" ht="15.75" customHeight="true">
      <c r="A4243" s="169" t="s"/>
      <c r="G4243" s="105" t="s"/>
      <c r="H4243" s="105" t="s"/>
      <c r="J4243" s="573" t="s"/>
      <c r="K4243" s="574" t="s"/>
      <c r="M4243" s="103" t="s"/>
      <c r="N4243" s="103" t="s"/>
    </row>
    <row r="4244" spans="1:14" ht="15.75" customHeight="true">
      <c r="A4244" s="169" t="s"/>
      <c r="G4244" s="105" t="s"/>
      <c r="H4244" s="105" t="s"/>
      <c r="J4244" s="573" t="s"/>
      <c r="K4244" s="574" t="s"/>
      <c r="M4244" s="103" t="s"/>
      <c r="N4244" s="103" t="s"/>
    </row>
    <row r="4245" spans="1:14" ht="15.75" customHeight="true">
      <c r="A4245" s="169" t="s"/>
      <c r="G4245" s="105" t="s"/>
      <c r="H4245" s="105" t="s"/>
      <c r="J4245" s="573" t="s"/>
      <c r="K4245" s="574" t="s"/>
      <c r="M4245" s="103" t="s"/>
      <c r="N4245" s="103" t="s"/>
    </row>
    <row r="4246" spans="1:14" ht="15.75" customHeight="true">
      <c r="A4246" s="169" t="s"/>
      <c r="G4246" s="105" t="s"/>
      <c r="H4246" s="105" t="s"/>
      <c r="J4246" s="573" t="s"/>
      <c r="K4246" s="574" t="s"/>
      <c r="M4246" s="103" t="s"/>
      <c r="N4246" s="103" t="s"/>
    </row>
    <row r="4247" spans="1:14" ht="15.75" customHeight="true">
      <c r="A4247" s="169" t="s"/>
      <c r="G4247" s="105" t="s"/>
      <c r="H4247" s="105" t="s"/>
      <c r="J4247" s="573" t="s"/>
      <c r="K4247" s="574" t="s"/>
      <c r="M4247" s="103" t="s"/>
      <c r="N4247" s="103" t="s"/>
    </row>
    <row r="4248" spans="1:14" ht="15.75" customHeight="true">
      <c r="A4248" s="169" t="s"/>
      <c r="G4248" s="105" t="s"/>
      <c r="H4248" s="105" t="s"/>
      <c r="J4248" s="573" t="s"/>
      <c r="K4248" s="574" t="s"/>
      <c r="M4248" s="103" t="s"/>
      <c r="N4248" s="103" t="s"/>
    </row>
    <row r="4249" spans="1:14" ht="15.75" customHeight="true">
      <c r="A4249" s="169" t="s"/>
      <c r="G4249" s="105" t="s"/>
      <c r="H4249" s="105" t="s"/>
      <c r="J4249" s="573" t="s"/>
      <c r="K4249" s="574" t="s"/>
      <c r="M4249" s="103" t="s"/>
      <c r="N4249" s="103" t="s"/>
    </row>
    <row r="4250" spans="1:14" ht="15.75" customHeight="true">
      <c r="A4250" s="169" t="s"/>
      <c r="G4250" s="105" t="s"/>
      <c r="H4250" s="105" t="s"/>
      <c r="J4250" s="573" t="s"/>
      <c r="K4250" s="574" t="s"/>
      <c r="M4250" s="103" t="s"/>
      <c r="N4250" s="103" t="s"/>
    </row>
    <row r="4251" spans="1:14" ht="15.75" customHeight="true">
      <c r="A4251" s="169" t="s"/>
      <c r="G4251" s="105" t="s"/>
      <c r="H4251" s="105" t="s"/>
      <c r="J4251" s="573" t="s"/>
      <c r="K4251" s="574" t="s"/>
      <c r="M4251" s="103" t="s"/>
      <c r="N4251" s="103" t="s"/>
    </row>
    <row r="4252" spans="1:14" ht="15.75" customHeight="true">
      <c r="A4252" s="169" t="s"/>
      <c r="G4252" s="105" t="s"/>
      <c r="H4252" s="105" t="s"/>
      <c r="J4252" s="573" t="s"/>
      <c r="K4252" s="574" t="s"/>
      <c r="M4252" s="103" t="s"/>
      <c r="N4252" s="103" t="s"/>
    </row>
    <row r="4253" spans="1:14" ht="15.75" customHeight="true">
      <c r="A4253" s="169" t="s"/>
      <c r="G4253" s="105" t="s"/>
      <c r="H4253" s="105" t="s"/>
      <c r="J4253" s="573" t="s"/>
      <c r="K4253" s="574" t="s"/>
      <c r="M4253" s="103" t="s"/>
      <c r="N4253" s="103" t="s"/>
    </row>
    <row r="4254" spans="1:14" ht="15.75" customHeight="true">
      <c r="A4254" s="169" t="s"/>
      <c r="G4254" s="105" t="s"/>
      <c r="H4254" s="105" t="s"/>
      <c r="J4254" s="573" t="s"/>
      <c r="K4254" s="574" t="s"/>
      <c r="M4254" s="103" t="s"/>
      <c r="N4254" s="103" t="s"/>
    </row>
    <row r="4255" spans="1:14" ht="15.75" customHeight="true">
      <c r="A4255" s="169" t="s"/>
      <c r="G4255" s="105" t="s"/>
      <c r="H4255" s="105" t="s"/>
      <c r="J4255" s="573" t="s"/>
      <c r="K4255" s="574" t="s"/>
      <c r="M4255" s="103" t="s"/>
      <c r="N4255" s="103" t="s"/>
    </row>
    <row r="4256" spans="1:14" ht="15.75" customHeight="true">
      <c r="A4256" s="169" t="s"/>
      <c r="G4256" s="105" t="s"/>
      <c r="H4256" s="105" t="s"/>
      <c r="J4256" s="573" t="s"/>
      <c r="K4256" s="574" t="s"/>
      <c r="M4256" s="103" t="s"/>
      <c r="N4256" s="103" t="s"/>
    </row>
    <row r="4257" spans="1:14" ht="15.75" customHeight="true">
      <c r="A4257" s="169" t="s"/>
      <c r="G4257" s="105" t="s"/>
      <c r="H4257" s="105" t="s"/>
      <c r="J4257" s="573" t="s"/>
      <c r="K4257" s="574" t="s"/>
      <c r="M4257" s="103" t="s"/>
      <c r="N4257" s="103" t="s"/>
    </row>
    <row r="4258" spans="1:14" ht="15.75" customHeight="true">
      <c r="A4258" s="169" t="s"/>
      <c r="G4258" s="105" t="s"/>
      <c r="H4258" s="105" t="s"/>
      <c r="J4258" s="573" t="s"/>
      <c r="K4258" s="574" t="s"/>
      <c r="M4258" s="103" t="s"/>
      <c r="N4258" s="103" t="s"/>
    </row>
    <row r="4259" spans="1:14" ht="15.75" customHeight="true">
      <c r="A4259" s="169" t="s"/>
      <c r="G4259" s="105" t="s"/>
      <c r="H4259" s="105" t="s"/>
      <c r="J4259" s="573" t="s"/>
      <c r="K4259" s="574" t="s"/>
      <c r="M4259" s="103" t="s"/>
      <c r="N4259" s="103" t="s"/>
    </row>
    <row r="4260" spans="1:14" ht="15.75" customHeight="true">
      <c r="A4260" s="169" t="s"/>
      <c r="G4260" s="105" t="s"/>
      <c r="H4260" s="105" t="s"/>
      <c r="J4260" s="573" t="s"/>
      <c r="K4260" s="574" t="s"/>
      <c r="M4260" s="103" t="s"/>
      <c r="N4260" s="103" t="s"/>
    </row>
    <row r="4261" spans="1:14" ht="15.75" customHeight="true">
      <c r="A4261" s="169" t="s"/>
      <c r="G4261" s="105" t="s"/>
      <c r="H4261" s="105" t="s"/>
      <c r="J4261" s="573" t="s"/>
      <c r="K4261" s="574" t="s"/>
      <c r="M4261" s="103" t="s"/>
      <c r="N4261" s="103" t="s"/>
    </row>
    <row r="4262" spans="1:14" ht="15.75" customHeight="true">
      <c r="A4262" s="169" t="s"/>
      <c r="G4262" s="105" t="s"/>
      <c r="H4262" s="105" t="s"/>
      <c r="J4262" s="573" t="s"/>
      <c r="K4262" s="574" t="s"/>
      <c r="M4262" s="103" t="s"/>
      <c r="N4262" s="103" t="s"/>
    </row>
    <row r="4263" spans="1:14" ht="15.75" customHeight="true">
      <c r="A4263" s="169" t="s"/>
      <c r="G4263" s="105" t="s"/>
      <c r="H4263" s="105" t="s"/>
      <c r="J4263" s="573" t="s"/>
      <c r="K4263" s="574" t="s"/>
      <c r="M4263" s="103" t="s"/>
      <c r="N4263" s="103" t="s"/>
    </row>
    <row r="4264" spans="1:14" ht="15.75" customHeight="true">
      <c r="A4264" s="169" t="s"/>
      <c r="G4264" s="105" t="s"/>
      <c r="H4264" s="105" t="s"/>
      <c r="J4264" s="573" t="s"/>
      <c r="K4264" s="574" t="s"/>
      <c r="M4264" s="103" t="s"/>
      <c r="N4264" s="103" t="s"/>
    </row>
    <row r="4265" spans="1:14" ht="15.75" customHeight="true">
      <c r="A4265" s="169" t="s"/>
      <c r="G4265" s="105" t="s"/>
      <c r="H4265" s="105" t="s"/>
      <c r="J4265" s="573" t="s"/>
      <c r="K4265" s="574" t="s"/>
      <c r="M4265" s="103" t="s"/>
      <c r="N4265" s="103" t="s"/>
    </row>
    <row r="4266" spans="1:14" ht="15.75" customHeight="true">
      <c r="A4266" s="169" t="s"/>
      <c r="G4266" s="105" t="s"/>
      <c r="H4266" s="105" t="s"/>
      <c r="J4266" s="573" t="s"/>
      <c r="K4266" s="574" t="s"/>
      <c r="M4266" s="103" t="s"/>
      <c r="N4266" s="103" t="s"/>
    </row>
    <row r="4267" spans="1:14" ht="15.75" customHeight="true">
      <c r="A4267" s="169" t="s"/>
      <c r="G4267" s="105" t="s"/>
      <c r="H4267" s="105" t="s"/>
      <c r="J4267" s="573" t="s"/>
      <c r="K4267" s="574" t="s"/>
      <c r="M4267" s="103" t="s"/>
      <c r="N4267" s="103" t="s"/>
    </row>
    <row r="4268" spans="1:14" ht="15.75" customHeight="true">
      <c r="A4268" s="169" t="s"/>
      <c r="G4268" s="105" t="s"/>
      <c r="H4268" s="105" t="s"/>
      <c r="J4268" s="573" t="s"/>
      <c r="K4268" s="574" t="s"/>
      <c r="M4268" s="103" t="s"/>
      <c r="N4268" s="103" t="s"/>
    </row>
    <row r="4269" spans="1:14" ht="15.75" customHeight="true">
      <c r="A4269" s="169" t="s"/>
      <c r="G4269" s="105" t="s"/>
      <c r="H4269" s="105" t="s"/>
      <c r="J4269" s="573" t="s"/>
      <c r="K4269" s="574" t="s"/>
      <c r="M4269" s="103" t="s"/>
      <c r="N4269" s="103" t="s"/>
    </row>
    <row r="4270" spans="1:14" ht="15.75" customHeight="true">
      <c r="A4270" s="169" t="s"/>
      <c r="G4270" s="105" t="s"/>
      <c r="H4270" s="105" t="s"/>
      <c r="J4270" s="573" t="s"/>
      <c r="K4270" s="574" t="s"/>
      <c r="M4270" s="103" t="s"/>
      <c r="N4270" s="103" t="s"/>
    </row>
    <row r="4271" spans="1:14" ht="15.75" customHeight="true">
      <c r="A4271" s="169" t="s"/>
      <c r="G4271" s="105" t="s"/>
      <c r="H4271" s="105" t="s"/>
      <c r="J4271" s="573" t="s"/>
      <c r="K4271" s="574" t="s"/>
      <c r="M4271" s="103" t="s"/>
      <c r="N4271" s="103" t="s"/>
    </row>
    <row r="4272" spans="1:14" ht="15.75" customHeight="true">
      <c r="A4272" s="169" t="s"/>
      <c r="G4272" s="105" t="s"/>
      <c r="H4272" s="105" t="s"/>
      <c r="J4272" s="573" t="s"/>
      <c r="K4272" s="574" t="s"/>
      <c r="M4272" s="103" t="s"/>
      <c r="N4272" s="103" t="s"/>
    </row>
    <row r="4273" spans="1:14" ht="15.75" customHeight="true">
      <c r="A4273" s="169" t="s"/>
      <c r="G4273" s="105" t="s"/>
      <c r="H4273" s="105" t="s"/>
      <c r="J4273" s="573" t="s"/>
      <c r="K4273" s="574" t="s"/>
      <c r="M4273" s="103" t="s"/>
      <c r="N4273" s="103" t="s"/>
    </row>
    <row r="4274" spans="1:14" ht="15.75" customHeight="true">
      <c r="A4274" s="169" t="s"/>
      <c r="G4274" s="105" t="s"/>
      <c r="H4274" s="105" t="s"/>
      <c r="J4274" s="573" t="s"/>
      <c r="K4274" s="574" t="s"/>
      <c r="M4274" s="103" t="s"/>
      <c r="N4274" s="103" t="s"/>
    </row>
    <row r="4275" spans="1:14" ht="15.75" customHeight="true">
      <c r="A4275" s="169" t="s"/>
      <c r="G4275" s="105" t="s"/>
      <c r="H4275" s="105" t="s"/>
      <c r="J4275" s="573" t="s"/>
      <c r="K4275" s="574" t="s"/>
      <c r="M4275" s="103" t="s"/>
      <c r="N4275" s="103" t="s"/>
    </row>
    <row r="4276" spans="1:14" ht="15.75" customHeight="true">
      <c r="A4276" s="169" t="s"/>
      <c r="G4276" s="105" t="s"/>
      <c r="H4276" s="105" t="s"/>
      <c r="J4276" s="573" t="s"/>
      <c r="K4276" s="574" t="s"/>
      <c r="M4276" s="103" t="s"/>
      <c r="N4276" s="103" t="s"/>
    </row>
    <row r="4277" spans="1:14" ht="15.75" customHeight="true">
      <c r="A4277" s="169" t="s"/>
      <c r="G4277" s="105" t="s"/>
      <c r="H4277" s="105" t="s"/>
      <c r="J4277" s="573" t="s"/>
      <c r="K4277" s="574" t="s"/>
      <c r="M4277" s="103" t="s"/>
      <c r="N4277" s="103" t="s"/>
    </row>
    <row r="4278" spans="1:14" ht="15.75" customHeight="true">
      <c r="A4278" s="169" t="s"/>
      <c r="G4278" s="105" t="s"/>
      <c r="H4278" s="105" t="s"/>
      <c r="J4278" s="573" t="s"/>
      <c r="K4278" s="574" t="s"/>
      <c r="M4278" s="103" t="s"/>
      <c r="N4278" s="103" t="s"/>
    </row>
    <row r="4279" spans="1:14" ht="15.75" customHeight="true">
      <c r="A4279" s="169" t="s"/>
      <c r="G4279" s="105" t="s"/>
      <c r="H4279" s="105" t="s"/>
      <c r="J4279" s="573" t="s"/>
      <c r="K4279" s="574" t="s"/>
      <c r="M4279" s="103" t="s"/>
      <c r="N4279" s="103" t="s"/>
    </row>
    <row r="4280" spans="1:14" ht="15.75" customHeight="true">
      <c r="A4280" s="169" t="s"/>
      <c r="G4280" s="105" t="s"/>
      <c r="H4280" s="105" t="s"/>
      <c r="J4280" s="573" t="s"/>
      <c r="K4280" s="574" t="s"/>
      <c r="M4280" s="103" t="s"/>
      <c r="N4280" s="103" t="s"/>
    </row>
    <row r="4281" spans="1:14" ht="15.75" customHeight="true">
      <c r="A4281" s="169" t="s"/>
      <c r="G4281" s="105" t="s"/>
      <c r="H4281" s="105" t="s"/>
      <c r="J4281" s="573" t="s"/>
      <c r="K4281" s="574" t="s"/>
      <c r="M4281" s="103" t="s"/>
      <c r="N4281" s="103" t="s"/>
    </row>
    <row r="4282" spans="1:14" ht="15.75" customHeight="true">
      <c r="A4282" s="169" t="s"/>
      <c r="G4282" s="105" t="s"/>
      <c r="H4282" s="105" t="s"/>
      <c r="J4282" s="573" t="s"/>
      <c r="K4282" s="574" t="s"/>
      <c r="M4282" s="103" t="s"/>
      <c r="N4282" s="103" t="s"/>
    </row>
    <row r="4283" spans="1:14" ht="15.75" customHeight="true">
      <c r="A4283" s="169" t="s"/>
      <c r="G4283" s="105" t="s"/>
      <c r="H4283" s="105" t="s"/>
      <c r="J4283" s="573" t="s"/>
      <c r="K4283" s="574" t="s"/>
      <c r="M4283" s="103" t="s"/>
      <c r="N4283" s="103" t="s"/>
    </row>
    <row r="4284" spans="1:14" ht="15.75" customHeight="true">
      <c r="A4284" s="169" t="s"/>
      <c r="G4284" s="105" t="s"/>
      <c r="H4284" s="105" t="s"/>
      <c r="J4284" s="573" t="s"/>
      <c r="K4284" s="574" t="s"/>
      <c r="M4284" s="103" t="s"/>
      <c r="N4284" s="103" t="s"/>
    </row>
    <row r="4285" spans="1:14" ht="15.75" customHeight="true">
      <c r="A4285" s="169" t="s"/>
      <c r="G4285" s="105" t="s"/>
      <c r="H4285" s="105" t="s"/>
      <c r="J4285" s="573" t="s"/>
      <c r="K4285" s="574" t="s"/>
      <c r="M4285" s="103" t="s"/>
      <c r="N4285" s="103" t="s"/>
    </row>
    <row r="4286" spans="1:14" ht="15.75" customHeight="true">
      <c r="A4286" s="169" t="s"/>
      <c r="G4286" s="105" t="s"/>
      <c r="H4286" s="105" t="s"/>
      <c r="J4286" s="573" t="s"/>
      <c r="K4286" s="574" t="s"/>
      <c r="M4286" s="103" t="s"/>
      <c r="N4286" s="103" t="s"/>
    </row>
    <row r="4287" spans="1:14" ht="15.75" customHeight="true">
      <c r="A4287" s="169" t="s"/>
      <c r="G4287" s="105" t="s"/>
      <c r="H4287" s="105" t="s"/>
      <c r="J4287" s="573" t="s"/>
      <c r="K4287" s="574" t="s"/>
      <c r="M4287" s="103" t="s"/>
      <c r="N4287" s="103" t="s"/>
    </row>
    <row r="4288" spans="1:14" ht="15.75" customHeight="true">
      <c r="A4288" s="169" t="s"/>
      <c r="G4288" s="105" t="s"/>
      <c r="H4288" s="105" t="s"/>
      <c r="J4288" s="573" t="s"/>
      <c r="K4288" s="574" t="s"/>
      <c r="M4288" s="103" t="s"/>
      <c r="N4288" s="103" t="s"/>
    </row>
    <row r="4289" spans="1:14" ht="15.75" customHeight="true">
      <c r="A4289" s="169" t="s"/>
      <c r="G4289" s="105" t="s"/>
      <c r="H4289" s="105" t="s"/>
      <c r="J4289" s="573" t="s"/>
      <c r="K4289" s="574" t="s"/>
      <c r="M4289" s="103" t="s"/>
      <c r="N4289" s="103" t="s"/>
    </row>
    <row r="4290" spans="1:14" ht="15.75" customHeight="true">
      <c r="A4290" s="169" t="s"/>
      <c r="G4290" s="105" t="s"/>
      <c r="H4290" s="105" t="s"/>
      <c r="J4290" s="573" t="s"/>
      <c r="K4290" s="574" t="s"/>
      <c r="M4290" s="103" t="s"/>
      <c r="N4290" s="103" t="s"/>
    </row>
    <row r="4291" spans="1:14" ht="15.75" customHeight="true">
      <c r="A4291" s="169" t="s"/>
      <c r="G4291" s="105" t="s"/>
      <c r="H4291" s="105" t="s"/>
      <c r="J4291" s="573" t="s"/>
      <c r="K4291" s="574" t="s"/>
      <c r="M4291" s="103" t="s"/>
      <c r="N4291" s="103" t="s"/>
    </row>
    <row r="4292" spans="1:14" ht="15.75" customHeight="true">
      <c r="A4292" s="169" t="s"/>
      <c r="G4292" s="105" t="s"/>
      <c r="H4292" s="105" t="s"/>
      <c r="J4292" s="573" t="s"/>
      <c r="K4292" s="574" t="s"/>
      <c r="M4292" s="103" t="s"/>
      <c r="N4292" s="103" t="s"/>
    </row>
    <row r="4293" spans="1:14" ht="15.75" customHeight="true">
      <c r="A4293" s="169" t="s"/>
      <c r="G4293" s="105" t="s"/>
      <c r="H4293" s="105" t="s"/>
      <c r="J4293" s="573" t="s"/>
      <c r="K4293" s="574" t="s"/>
      <c r="M4293" s="103" t="s"/>
      <c r="N4293" s="103" t="s"/>
    </row>
    <row r="4294" spans="1:14" ht="15.75" customHeight="true">
      <c r="A4294" s="169" t="s"/>
      <c r="G4294" s="105" t="s"/>
      <c r="H4294" s="105" t="s"/>
      <c r="J4294" s="573" t="s"/>
      <c r="K4294" s="574" t="s"/>
      <c r="M4294" s="103" t="s"/>
      <c r="N4294" s="103" t="s"/>
    </row>
    <row r="4295" spans="1:14" ht="15.75" customHeight="true">
      <c r="A4295" s="169" t="s"/>
      <c r="G4295" s="105" t="s"/>
      <c r="H4295" s="105" t="s"/>
      <c r="J4295" s="573" t="s"/>
      <c r="K4295" s="574" t="s"/>
      <c r="M4295" s="103" t="s"/>
      <c r="N4295" s="103" t="s"/>
    </row>
    <row r="4296" spans="1:14" ht="15.75" customHeight="true">
      <c r="A4296" s="169" t="s"/>
      <c r="G4296" s="105" t="s"/>
      <c r="H4296" s="105" t="s"/>
      <c r="J4296" s="573" t="s"/>
      <c r="K4296" s="574" t="s"/>
      <c r="M4296" s="103" t="s"/>
      <c r="N4296" s="103" t="s"/>
    </row>
    <row r="4297" spans="1:14" ht="15.75" customHeight="true">
      <c r="A4297" s="169" t="s"/>
      <c r="G4297" s="105" t="s"/>
      <c r="H4297" s="105" t="s"/>
      <c r="J4297" s="573" t="s"/>
      <c r="K4297" s="574" t="s"/>
      <c r="M4297" s="103" t="s"/>
      <c r="N4297" s="103" t="s"/>
    </row>
    <row r="4298" spans="1:14" ht="15.75" customHeight="true">
      <c r="A4298" s="169" t="s"/>
      <c r="G4298" s="105" t="s"/>
      <c r="H4298" s="105" t="s"/>
      <c r="J4298" s="573" t="s"/>
      <c r="K4298" s="574" t="s"/>
      <c r="M4298" s="103" t="s"/>
      <c r="N4298" s="103" t="s"/>
    </row>
    <row r="4299" spans="1:14" ht="15.75" customHeight="true">
      <c r="A4299" s="169" t="s"/>
      <c r="G4299" s="105" t="s"/>
      <c r="H4299" s="105" t="s"/>
      <c r="J4299" s="573" t="s"/>
      <c r="K4299" s="574" t="s"/>
      <c r="M4299" s="103" t="s"/>
      <c r="N4299" s="103" t="s"/>
    </row>
    <row r="4300" spans="1:14" ht="15.75" customHeight="true">
      <c r="A4300" s="169" t="s"/>
      <c r="G4300" s="105" t="s"/>
      <c r="H4300" s="105" t="s"/>
      <c r="J4300" s="573" t="s"/>
      <c r="K4300" s="574" t="s"/>
      <c r="M4300" s="103" t="s"/>
      <c r="N4300" s="103" t="s"/>
    </row>
    <row r="4301" spans="1:14" ht="15.75" customHeight="true">
      <c r="A4301" s="169" t="s"/>
      <c r="G4301" s="105" t="s"/>
      <c r="H4301" s="105" t="s"/>
      <c r="J4301" s="573" t="s"/>
      <c r="K4301" s="574" t="s"/>
      <c r="M4301" s="103" t="s"/>
      <c r="N4301" s="103" t="s"/>
    </row>
    <row r="4302" spans="1:14" ht="15.75" customHeight="true">
      <c r="A4302" s="169" t="s"/>
      <c r="G4302" s="105" t="s"/>
      <c r="H4302" s="105" t="s"/>
      <c r="J4302" s="573" t="s"/>
      <c r="K4302" s="574" t="s"/>
      <c r="M4302" s="103" t="s"/>
      <c r="N4302" s="103" t="s"/>
    </row>
    <row r="4303" spans="1:14" ht="15.75" customHeight="true">
      <c r="A4303" s="169" t="s"/>
      <c r="G4303" s="105" t="s"/>
      <c r="H4303" s="105" t="s"/>
      <c r="J4303" s="573" t="s"/>
      <c r="K4303" s="574" t="s"/>
      <c r="M4303" s="103" t="s"/>
      <c r="N4303" s="103" t="s"/>
    </row>
    <row r="4304" spans="1:14" ht="15.75" customHeight="true">
      <c r="A4304" s="169" t="s"/>
      <c r="G4304" s="105" t="s"/>
      <c r="H4304" s="105" t="s"/>
      <c r="J4304" s="573" t="s"/>
      <c r="K4304" s="574" t="s"/>
      <c r="M4304" s="103" t="s"/>
      <c r="N4304" s="103" t="s"/>
    </row>
    <row r="4305" spans="1:14" ht="15.75" customHeight="true">
      <c r="A4305" s="169" t="s"/>
      <c r="G4305" s="105" t="s"/>
      <c r="H4305" s="105" t="s"/>
      <c r="J4305" s="573" t="s"/>
      <c r="K4305" s="574" t="s"/>
      <c r="M4305" s="103" t="s"/>
      <c r="N4305" s="103" t="s"/>
    </row>
    <row r="4306" spans="1:14" ht="15.75" customHeight="true">
      <c r="A4306" s="169" t="s"/>
      <c r="G4306" s="105" t="s"/>
      <c r="H4306" s="105" t="s"/>
      <c r="J4306" s="573" t="s"/>
      <c r="K4306" s="574" t="s"/>
      <c r="M4306" s="103" t="s"/>
      <c r="N4306" s="103" t="s"/>
    </row>
    <row r="4307" spans="1:14" ht="15.75" customHeight="true">
      <c r="A4307" s="169" t="s"/>
      <c r="G4307" s="105" t="s"/>
      <c r="H4307" s="105" t="s"/>
      <c r="J4307" s="573" t="s"/>
      <c r="K4307" s="574" t="s"/>
      <c r="M4307" s="103" t="s"/>
      <c r="N4307" s="103" t="s"/>
    </row>
    <row r="4308" spans="1:14" ht="15.75" customHeight="true">
      <c r="A4308" s="169" t="s"/>
      <c r="G4308" s="105" t="s"/>
      <c r="H4308" s="105" t="s"/>
      <c r="J4308" s="573" t="s"/>
      <c r="K4308" s="574" t="s"/>
      <c r="M4308" s="103" t="s"/>
      <c r="N4308" s="103" t="s"/>
    </row>
    <row r="4309" spans="1:14" ht="15.75" customHeight="true">
      <c r="A4309" s="169" t="s"/>
      <c r="G4309" s="105" t="s"/>
      <c r="H4309" s="105" t="s"/>
      <c r="J4309" s="573" t="s"/>
      <c r="K4309" s="574" t="s"/>
      <c r="M4309" s="103" t="s"/>
      <c r="N4309" s="103" t="s"/>
    </row>
    <row r="4310" spans="1:14" ht="15.75" customHeight="true">
      <c r="A4310" s="169" t="s"/>
      <c r="G4310" s="105" t="s"/>
      <c r="H4310" s="105" t="s"/>
      <c r="J4310" s="573" t="s"/>
      <c r="K4310" s="574" t="s"/>
      <c r="M4310" s="103" t="s"/>
      <c r="N4310" s="103" t="s"/>
    </row>
    <row r="4311" spans="1:14" ht="15.75" customHeight="true">
      <c r="A4311" s="169" t="s"/>
      <c r="G4311" s="105" t="s"/>
      <c r="H4311" s="105" t="s"/>
      <c r="J4311" s="573" t="s"/>
      <c r="K4311" s="574" t="s"/>
      <c r="M4311" s="103" t="s"/>
      <c r="N4311" s="103" t="s"/>
    </row>
    <row r="4312" spans="1:14" ht="15.75" customHeight="true">
      <c r="A4312" s="169" t="s"/>
      <c r="G4312" s="105" t="s"/>
      <c r="H4312" s="105" t="s"/>
      <c r="J4312" s="573" t="s"/>
      <c r="K4312" s="574" t="s"/>
      <c r="M4312" s="103" t="s"/>
      <c r="N4312" s="103" t="s"/>
    </row>
    <row r="4313" spans="1:14" ht="15.75" customHeight="true">
      <c r="A4313" s="169" t="s"/>
      <c r="G4313" s="105" t="s"/>
      <c r="H4313" s="105" t="s"/>
      <c r="J4313" s="573" t="s"/>
      <c r="K4313" s="574" t="s"/>
      <c r="M4313" s="103" t="s"/>
      <c r="N4313" s="103" t="s"/>
    </row>
    <row r="4314" spans="1:14" ht="15.75" customHeight="true">
      <c r="A4314" s="169" t="s"/>
      <c r="G4314" s="105" t="s"/>
      <c r="H4314" s="105" t="s"/>
      <c r="J4314" s="573" t="s"/>
      <c r="K4314" s="574" t="s"/>
      <c r="M4314" s="103" t="s"/>
      <c r="N4314" s="103" t="s"/>
    </row>
    <row r="4315" spans="1:14" ht="15.75" customHeight="true">
      <c r="A4315" s="169" t="s"/>
      <c r="G4315" s="105" t="s"/>
      <c r="H4315" s="105" t="s"/>
      <c r="J4315" s="573" t="s"/>
      <c r="K4315" s="574" t="s"/>
      <c r="M4315" s="103" t="s"/>
      <c r="N4315" s="103" t="s"/>
    </row>
    <row r="4316" spans="1:14" ht="15.75" customHeight="true">
      <c r="A4316" s="169" t="s"/>
      <c r="G4316" s="105" t="s"/>
      <c r="H4316" s="105" t="s"/>
      <c r="J4316" s="573" t="s"/>
      <c r="K4316" s="574" t="s"/>
      <c r="M4316" s="103" t="s"/>
      <c r="N4316" s="103" t="s"/>
    </row>
    <row r="4317" spans="1:14" ht="15.75" customHeight="true">
      <c r="A4317" s="169" t="s"/>
      <c r="G4317" s="105" t="s"/>
      <c r="H4317" s="105" t="s"/>
      <c r="J4317" s="573" t="s"/>
      <c r="K4317" s="574" t="s"/>
      <c r="M4317" s="103" t="s"/>
      <c r="N4317" s="103" t="s"/>
    </row>
    <row r="4318" spans="1:14" ht="15.75" customHeight="true">
      <c r="A4318" s="169" t="s"/>
      <c r="G4318" s="105" t="s"/>
      <c r="H4318" s="105" t="s"/>
      <c r="J4318" s="573" t="s"/>
      <c r="K4318" s="574" t="s"/>
      <c r="M4318" s="103" t="s"/>
      <c r="N4318" s="103" t="s"/>
    </row>
    <row r="4319" spans="1:14" ht="15.75" customHeight="true">
      <c r="A4319" s="169" t="s"/>
      <c r="G4319" s="105" t="s"/>
      <c r="H4319" s="105" t="s"/>
      <c r="J4319" s="573" t="s"/>
      <c r="K4319" s="574" t="s"/>
      <c r="M4319" s="103" t="s"/>
      <c r="N4319" s="103" t="s"/>
    </row>
    <row r="4320" spans="1:14" ht="15.75" customHeight="true">
      <c r="A4320" s="169" t="s"/>
      <c r="G4320" s="105" t="s"/>
      <c r="H4320" s="105" t="s"/>
      <c r="J4320" s="573" t="s"/>
      <c r="K4320" s="574" t="s"/>
      <c r="M4320" s="103" t="s"/>
      <c r="N4320" s="103" t="s"/>
    </row>
    <row r="4321" spans="1:14" ht="15.75" customHeight="true">
      <c r="A4321" s="169" t="s"/>
      <c r="G4321" s="105" t="s"/>
      <c r="H4321" s="105" t="s"/>
      <c r="J4321" s="573" t="s"/>
      <c r="K4321" s="574" t="s"/>
      <c r="M4321" s="103" t="s"/>
      <c r="N4321" s="103" t="s"/>
    </row>
    <row r="4322" spans="1:14" ht="15.75" customHeight="true">
      <c r="A4322" s="169" t="s"/>
      <c r="G4322" s="105" t="s"/>
      <c r="H4322" s="105" t="s"/>
      <c r="J4322" s="573" t="s"/>
      <c r="K4322" s="574" t="s"/>
      <c r="M4322" s="103" t="s"/>
      <c r="N4322" s="103" t="s"/>
    </row>
    <row r="4323" spans="1:14" ht="15.75" customHeight="true">
      <c r="A4323" s="169" t="s"/>
      <c r="G4323" s="105" t="s"/>
      <c r="H4323" s="105" t="s"/>
      <c r="J4323" s="573" t="s"/>
      <c r="K4323" s="574" t="s"/>
      <c r="M4323" s="103" t="s"/>
      <c r="N4323" s="103" t="s"/>
    </row>
    <row r="4324" spans="1:14" ht="15.75" customHeight="true">
      <c r="A4324" s="169" t="s"/>
      <c r="G4324" s="105" t="s"/>
      <c r="H4324" s="105" t="s"/>
      <c r="J4324" s="573" t="s"/>
      <c r="K4324" s="574" t="s"/>
      <c r="M4324" s="103" t="s"/>
      <c r="N4324" s="103" t="s"/>
    </row>
    <row r="4325" spans="1:14" ht="15.75" customHeight="true">
      <c r="A4325" s="169" t="s"/>
      <c r="G4325" s="105" t="s"/>
      <c r="H4325" s="105" t="s"/>
      <c r="J4325" s="573" t="s"/>
      <c r="K4325" s="574" t="s"/>
      <c r="M4325" s="103" t="s"/>
      <c r="N4325" s="103" t="s"/>
    </row>
    <row r="4326" spans="1:14" ht="15.75" customHeight="true">
      <c r="A4326" s="169" t="s"/>
      <c r="G4326" s="105" t="s"/>
      <c r="H4326" s="105" t="s"/>
      <c r="J4326" s="573" t="s"/>
      <c r="K4326" s="574" t="s"/>
      <c r="M4326" s="103" t="s"/>
      <c r="N4326" s="103" t="s"/>
    </row>
    <row r="4327" spans="1:14" ht="15.75" customHeight="true">
      <c r="A4327" s="169" t="s"/>
      <c r="G4327" s="105" t="s"/>
      <c r="H4327" s="105" t="s"/>
      <c r="J4327" s="573" t="s"/>
      <c r="K4327" s="574" t="s"/>
      <c r="M4327" s="103" t="s"/>
      <c r="N4327" s="103" t="s"/>
    </row>
    <row r="4328" spans="1:14" ht="15.75" customHeight="true">
      <c r="A4328" s="169" t="s"/>
      <c r="G4328" s="105" t="s"/>
      <c r="H4328" s="105" t="s"/>
      <c r="J4328" s="573" t="s"/>
      <c r="K4328" s="574" t="s"/>
      <c r="M4328" s="103" t="s"/>
      <c r="N4328" s="103" t="s"/>
    </row>
    <row r="4329" spans="1:14" ht="15.75" customHeight="true">
      <c r="A4329" s="169" t="s"/>
      <c r="G4329" s="105" t="s"/>
      <c r="H4329" s="105" t="s"/>
      <c r="J4329" s="573" t="s"/>
      <c r="K4329" s="574" t="s"/>
      <c r="M4329" s="103" t="s"/>
      <c r="N4329" s="103" t="s"/>
    </row>
    <row r="4330" spans="1:14" ht="15.75" customHeight="true">
      <c r="A4330" s="169" t="s"/>
      <c r="G4330" s="105" t="s"/>
      <c r="H4330" s="105" t="s"/>
      <c r="J4330" s="573" t="s"/>
      <c r="K4330" s="574" t="s"/>
      <c r="M4330" s="103" t="s"/>
      <c r="N4330" s="103" t="s"/>
    </row>
    <row r="4331" spans="1:14" ht="15.75" customHeight="true">
      <c r="A4331" s="169" t="s"/>
      <c r="G4331" s="105" t="s"/>
      <c r="H4331" s="105" t="s"/>
      <c r="J4331" s="573" t="s"/>
      <c r="K4331" s="574" t="s"/>
      <c r="M4331" s="103" t="s"/>
      <c r="N4331" s="103" t="s"/>
    </row>
    <row r="4332" spans="1:14" ht="15.75" customHeight="true">
      <c r="A4332" s="169" t="s"/>
      <c r="G4332" s="105" t="s"/>
      <c r="H4332" s="105" t="s"/>
      <c r="J4332" s="573" t="s"/>
      <c r="K4332" s="574" t="s"/>
      <c r="M4332" s="103" t="s"/>
      <c r="N4332" s="103" t="s"/>
    </row>
    <row r="4333" spans="1:14" ht="15.75" customHeight="true">
      <c r="A4333" s="169" t="s"/>
      <c r="G4333" s="105" t="s"/>
      <c r="H4333" s="105" t="s"/>
      <c r="J4333" s="573" t="s"/>
      <c r="K4333" s="574" t="s"/>
      <c r="M4333" s="103" t="s"/>
      <c r="N4333" s="103" t="s"/>
    </row>
    <row r="4334" spans="1:14" ht="15.75" customHeight="true">
      <c r="A4334" s="169" t="s"/>
      <c r="G4334" s="105" t="s"/>
      <c r="H4334" s="105" t="s"/>
      <c r="J4334" s="573" t="s"/>
      <c r="K4334" s="574" t="s"/>
      <c r="M4334" s="103" t="s"/>
      <c r="N4334" s="103" t="s"/>
    </row>
    <row r="4335" spans="1:14" ht="15.75" customHeight="true">
      <c r="A4335" s="169" t="s"/>
      <c r="G4335" s="105" t="s"/>
      <c r="H4335" s="105" t="s"/>
      <c r="J4335" s="573" t="s"/>
      <c r="K4335" s="574" t="s"/>
      <c r="M4335" s="103" t="s"/>
      <c r="N4335" s="103" t="s"/>
    </row>
    <row r="4336" spans="1:14" ht="15.75" customHeight="true">
      <c r="A4336" s="169" t="s"/>
      <c r="G4336" s="105" t="s"/>
      <c r="H4336" s="105" t="s"/>
      <c r="J4336" s="573" t="s"/>
      <c r="K4336" s="574" t="s"/>
      <c r="M4336" s="103" t="s"/>
      <c r="N4336" s="103" t="s"/>
    </row>
    <row r="4337" spans="1:14" ht="15.75" customHeight="true">
      <c r="A4337" s="169" t="s"/>
      <c r="G4337" s="105" t="s"/>
      <c r="H4337" s="105" t="s"/>
      <c r="J4337" s="573" t="s"/>
      <c r="K4337" s="574" t="s"/>
      <c r="M4337" s="103" t="s"/>
      <c r="N4337" s="103" t="s"/>
    </row>
    <row r="4338" spans="1:14" ht="15.75" customHeight="true">
      <c r="A4338" s="169" t="s"/>
      <c r="G4338" s="105" t="s"/>
      <c r="H4338" s="105" t="s"/>
      <c r="J4338" s="573" t="s"/>
      <c r="K4338" s="574" t="s"/>
      <c r="M4338" s="103" t="s"/>
      <c r="N4338" s="103" t="s"/>
    </row>
    <row r="4339" spans="1:14" ht="15.75" customHeight="true">
      <c r="A4339" s="169" t="s"/>
      <c r="G4339" s="105" t="s"/>
      <c r="H4339" s="105" t="s"/>
      <c r="J4339" s="573" t="s"/>
      <c r="K4339" s="574" t="s"/>
      <c r="M4339" s="103" t="s"/>
      <c r="N4339" s="103" t="s"/>
    </row>
    <row r="4340" spans="1:14" ht="15.75" customHeight="true">
      <c r="A4340" s="169" t="s"/>
      <c r="G4340" s="105" t="s"/>
      <c r="H4340" s="105" t="s"/>
      <c r="J4340" s="573" t="s"/>
      <c r="K4340" s="574" t="s"/>
      <c r="M4340" s="103" t="s"/>
      <c r="N4340" s="103" t="s"/>
    </row>
    <row r="4341" spans="1:14" ht="15.75" customHeight="true">
      <c r="A4341" s="169" t="s"/>
      <c r="G4341" s="105" t="s"/>
      <c r="H4341" s="105" t="s"/>
      <c r="J4341" s="573" t="s"/>
      <c r="K4341" s="574" t="s"/>
      <c r="M4341" s="103" t="s"/>
      <c r="N4341" s="103" t="s"/>
    </row>
    <row r="4342" spans="1:14" ht="15.75" customHeight="true">
      <c r="A4342" s="169" t="s"/>
      <c r="G4342" s="105" t="s"/>
      <c r="H4342" s="105" t="s"/>
      <c r="J4342" s="573" t="s"/>
      <c r="K4342" s="574" t="s"/>
      <c r="M4342" s="103" t="s"/>
      <c r="N4342" s="103" t="s"/>
    </row>
    <row r="4343" spans="1:14" ht="15.75" customHeight="true">
      <c r="A4343" s="169" t="s"/>
      <c r="G4343" s="105" t="s"/>
      <c r="H4343" s="105" t="s"/>
      <c r="J4343" s="573" t="s"/>
      <c r="K4343" s="574" t="s"/>
      <c r="M4343" s="103" t="s"/>
      <c r="N4343" s="103" t="s"/>
    </row>
    <row r="4344" spans="1:14" ht="15.75" customHeight="true">
      <c r="A4344" s="169" t="s"/>
      <c r="G4344" s="105" t="s"/>
      <c r="H4344" s="105" t="s"/>
      <c r="J4344" s="573" t="s"/>
      <c r="K4344" s="574" t="s"/>
      <c r="M4344" s="103" t="s"/>
      <c r="N4344" s="103" t="s"/>
    </row>
    <row r="4345" spans="11:11">
      <c r="K4345" s="574" t="s"/>
    </row>
    <row r="4346" spans="11:11">
      <c r="K4346" s="574" t="s"/>
    </row>
    <row r="4347" spans="11:11">
      <c r="K4347" s="574" t="s"/>
    </row>
    <row r="4348" spans="11:11">
      <c r="K4348" s="574" t="s"/>
    </row>
    <row r="4349" spans="11:11">
      <c r="K4349" s="574" t="s"/>
    </row>
    <row r="4350" spans="11:11">
      <c r="K4350" s="574" t="s"/>
    </row>
    <row r="4351" spans="11:11">
      <c r="K4351" s="574" t="s"/>
    </row>
    <row r="4352" spans="10:11">
      <c r="J4352" s="157" t="s"/>
      <c r="K4352" s="574" t="s"/>
    </row>
    <row r="4353" spans="10:11">
      <c r="J4353" s="157" t="s"/>
      <c r="K4353" s="574" t="s"/>
    </row>
    <row r="4354" spans="10:11">
      <c r="J4354" s="157" t="s"/>
      <c r="K4354" s="574" t="s"/>
    </row>
    <row r="4355" spans="10:11">
      <c r="J4355" s="157" t="s"/>
      <c r="K4355" s="574" t="s"/>
    </row>
    <row r="4356" spans="10:11">
      <c r="J4356" s="157" t="s"/>
      <c r="K4356" s="574" t="s"/>
    </row>
    <row r="4357" spans="10:11">
      <c r="J4357" s="157" t="s"/>
      <c r="K4357" s="574" t="s"/>
    </row>
    <row r="4358" spans="11:11">
      <c r="K4358" s="574" t="s"/>
    </row>
    <row r="4359" spans="11:11">
      <c r="K4359" s="574" t="s"/>
    </row>
    <row r="4360" spans="11:11">
      <c r="K4360" s="574" t="s"/>
    </row>
    <row r="4361" spans="11:11">
      <c r="K4361" s="574" t="s"/>
    </row>
    <row r="4362" spans="11:11">
      <c r="K4362" s="574" t="s"/>
    </row>
    <row r="4363" spans="11:11">
      <c r="K4363" s="574" t="s"/>
    </row>
    <row r="4364" spans="11:11">
      <c r="K4364" s="574" t="s"/>
    </row>
    <row r="4365" spans="11:11">
      <c r="K4365" s="574" t="s"/>
    </row>
    <row r="4366" spans="11:11">
      <c r="K4366" s="574" t="s"/>
    </row>
    <row r="4367" spans="11:11">
      <c r="K4367" s="574" t="s"/>
    </row>
    <row r="4368" spans="11:11">
      <c r="K4368" s="574" t="s"/>
    </row>
    <row r="4369" spans="11:11">
      <c r="K4369" s="574" t="s"/>
    </row>
    <row r="4370" spans="11:11">
      <c r="K4370" s="574" t="s"/>
    </row>
    <row r="4371" spans="11:11">
      <c r="K4371" s="574" t="s"/>
    </row>
    <row r="4372" spans="11:11">
      <c r="K4372" s="574" t="s"/>
    </row>
    <row r="4373" spans="11:11">
      <c r="K4373" s="574" t="s"/>
    </row>
    <row r="4374" spans="11:11">
      <c r="K4374" s="574" t="s"/>
    </row>
    <row r="4375" spans="11:11">
      <c r="K4375" s="574" t="s"/>
    </row>
    <row r="4376" spans="11:11">
      <c r="K4376" s="574" t="s"/>
    </row>
    <row r="4377" spans="11:11">
      <c r="K4377" s="574" t="s"/>
    </row>
    <row r="4378" spans="11:11">
      <c r="K4378" s="574" t="s"/>
    </row>
    <row r="4379" spans="11:11">
      <c r="K4379" s="574" t="s"/>
    </row>
    <row r="4380" spans="11:11">
      <c r="K4380" s="574" t="s"/>
    </row>
    <row r="4381" spans="11:11">
      <c r="K4381" s="574" t="s"/>
    </row>
    <row r="4382" spans="11:11">
      <c r="K4382" s="574" t="s"/>
    </row>
    <row r="4383" spans="11:11">
      <c r="K4383" s="574" t="s"/>
    </row>
    <row r="4384" spans="11:11">
      <c r="K4384" s="574" t="s"/>
    </row>
    <row r="4385" spans="11:11">
      <c r="K4385" s="574" t="s"/>
    </row>
    <row r="4386" spans="11:11">
      <c r="K4386" s="574" t="s"/>
    </row>
    <row r="4387" spans="11:11">
      <c r="K4387" s="574" t="s"/>
    </row>
    <row r="4388" spans="11:11">
      <c r="K4388" s="574" t="s"/>
    </row>
    <row r="4389" spans="11:11">
      <c r="K4389" s="574" t="s"/>
    </row>
    <row r="4390" spans="11:11">
      <c r="K4390" s="574" t="s"/>
    </row>
    <row r="4391" spans="11:11">
      <c r="K4391" s="574" t="s"/>
    </row>
    <row r="4392" spans="11:11">
      <c r="K4392" s="574" t="s"/>
    </row>
    <row r="4393" spans="11:11">
      <c r="K4393" s="574" t="s"/>
    </row>
    <row r="4394" spans="11:11">
      <c r="K4394" s="574" t="s"/>
    </row>
    <row r="4395" spans="11:11">
      <c r="K4395" s="574" t="s"/>
    </row>
    <row r="4396" spans="11:11">
      <c r="K4396" s="574" t="s"/>
    </row>
    <row r="4397" spans="11:11">
      <c r="K4397" s="574" t="s"/>
    </row>
    <row r="4398" spans="11:11">
      <c r="K4398" s="574" t="s"/>
    </row>
    <row r="4399" spans="11:11">
      <c r="K4399" s="574" t="s"/>
    </row>
    <row r="4400" spans="11:11">
      <c r="K4400" s="574" t="s"/>
    </row>
    <row r="4401" spans="11:11">
      <c r="K4401" s="574" t="s"/>
    </row>
    <row r="4402" spans="11:11">
      <c r="K4402" s="574" t="s"/>
    </row>
    <row r="4403" spans="11:11">
      <c r="K4403" s="574" t="s"/>
    </row>
    <row r="4404" spans="11:11">
      <c r="K4404" s="574" t="s"/>
    </row>
    <row r="4405" spans="11:11">
      <c r="K4405" s="574" t="s"/>
    </row>
    <row r="4406" spans="11:11">
      <c r="K4406" s="574" t="s"/>
    </row>
    <row r="4407" spans="11:11">
      <c r="K4407" s="574" t="s"/>
    </row>
    <row r="4408" spans="11:11">
      <c r="K4408" s="574" t="s"/>
    </row>
    <row r="4409" spans="11:11">
      <c r="K4409" s="574" t="s"/>
    </row>
    <row r="4410" spans="11:11">
      <c r="K4410" s="574" t="s"/>
    </row>
    <row r="4411" spans="11:11">
      <c r="K4411" s="574" t="s"/>
    </row>
    <row r="4412" spans="11:11">
      <c r="K4412" s="574" t="s"/>
    </row>
    <row r="4413" spans="11:11">
      <c r="K4413" s="574" t="s"/>
    </row>
    <row r="4414" spans="11:11">
      <c r="K4414" s="574" t="s"/>
    </row>
    <row r="4415" spans="11:11">
      <c r="K4415" s="574" t="s"/>
    </row>
    <row r="4416" spans="11:11">
      <c r="K4416" s="574" t="s"/>
    </row>
    <row r="4417" spans="11:11">
      <c r="K4417" s="574" t="s"/>
    </row>
    <row r="4418" spans="11:11">
      <c r="K4418" s="574" t="s"/>
    </row>
    <row r="4419" spans="11:11">
      <c r="K4419" s="574" t="s"/>
    </row>
    <row r="4420" spans="11:11">
      <c r="K4420" s="574" t="s"/>
    </row>
    <row r="4421" spans="11:11">
      <c r="K4421" s="574" t="s"/>
    </row>
    <row r="4422" spans="11:11">
      <c r="K4422" s="574" t="s"/>
    </row>
    <row r="4423" spans="11:11">
      <c r="K4423" s="574" t="s"/>
    </row>
    <row r="4424" spans="11:11">
      <c r="K4424" s="574" t="s"/>
    </row>
    <row r="4425" spans="11:11">
      <c r="K4425" s="574" t="s"/>
    </row>
    <row r="4426" spans="11:11">
      <c r="K4426" s="574" t="s"/>
    </row>
    <row r="4427" spans="11:11">
      <c r="K4427" s="574" t="s"/>
    </row>
    <row r="4428" spans="11:11">
      <c r="K4428" s="574" t="s"/>
    </row>
    <row r="4429" spans="11:11">
      <c r="K4429" s="574" t="s"/>
    </row>
    <row r="4430" spans="11:11">
      <c r="K4430" s="574" t="s"/>
    </row>
    <row r="4431" spans="11:11">
      <c r="K4431" s="574" t="s"/>
    </row>
    <row r="4432" spans="11:11">
      <c r="K4432" s="574" t="s"/>
    </row>
    <row r="4433" spans="11:11">
      <c r="K4433" s="574" t="s"/>
    </row>
    <row r="4434" spans="11:11">
      <c r="K4434" s="574" t="s"/>
    </row>
    <row r="4435" spans="11:11">
      <c r="K4435" s="574" t="s"/>
    </row>
    <row r="4436" spans="11:11">
      <c r="K4436" s="574" t="s"/>
    </row>
    <row r="4437" spans="11:11">
      <c r="K4437" s="574" t="s"/>
    </row>
    <row r="4438" spans="11:11">
      <c r="K4438" s="574" t="s"/>
    </row>
    <row r="4439" spans="11:11">
      <c r="K4439" s="574" t="s"/>
    </row>
    <row r="4440" spans="11:11">
      <c r="K4440" s="574" t="s"/>
    </row>
    <row r="4441" spans="11:11">
      <c r="K4441" s="574" t="s"/>
    </row>
    <row r="4442" spans="11:11">
      <c r="K4442" s="574" t="s"/>
    </row>
    <row r="4443" spans="11:11">
      <c r="K4443" s="574" t="s"/>
    </row>
    <row r="4444" spans="11:11">
      <c r="K4444" s="574" t="s"/>
    </row>
    <row r="4445" spans="11:11">
      <c r="K4445" s="574" t="s"/>
    </row>
    <row r="4446" spans="11:11">
      <c r="K4446" s="574" t="s"/>
    </row>
    <row r="4447" spans="11:11">
      <c r="K4447" s="574" t="s"/>
    </row>
    <row r="4448" spans="11:11">
      <c r="K4448" s="574" t="s"/>
    </row>
    <row r="4449" spans="11:11">
      <c r="K4449" s="574" t="s"/>
    </row>
    <row r="4450" spans="11:11">
      <c r="K4450" s="574" t="s"/>
    </row>
    <row r="4451" spans="11:11">
      <c r="K4451" s="574" t="s"/>
    </row>
    <row r="4452" spans="11:11">
      <c r="K4452" s="574" t="s"/>
    </row>
    <row r="4453" spans="11:11">
      <c r="K4453" s="574" t="s"/>
    </row>
    <row r="4454" spans="11:11">
      <c r="K4454" s="574" t="s"/>
    </row>
    <row r="4455" spans="11:11">
      <c r="K4455" s="574" t="s"/>
    </row>
    <row r="4456" spans="11:11">
      <c r="K4456" s="574" t="s"/>
    </row>
    <row r="4457" spans="11:11">
      <c r="K4457" s="574" t="s"/>
    </row>
    <row r="4458" spans="11:11">
      <c r="K4458" s="574" t="s"/>
    </row>
    <row r="4459" spans="11:11">
      <c r="K4459" s="574" t="s"/>
    </row>
    <row r="4460" spans="11:11">
      <c r="K4460" s="574" t="s"/>
    </row>
    <row r="4461" spans="11:11">
      <c r="K4461" s="574" t="s"/>
    </row>
    <row r="4462" spans="11:11">
      <c r="K4462" s="574" t="s"/>
    </row>
    <row r="4463" spans="11:11">
      <c r="K4463" s="574" t="s"/>
    </row>
    <row r="4464" spans="11:11">
      <c r="K4464" s="574" t="s"/>
    </row>
    <row r="4465" spans="11:11">
      <c r="K4465" s="574" t="s"/>
    </row>
    <row r="4466" spans="11:11">
      <c r="K4466" s="574" t="s"/>
    </row>
    <row r="4467" spans="11:11">
      <c r="K4467" s="574" t="s"/>
    </row>
    <row r="4468" spans="11:11">
      <c r="K4468" s="574" t="s"/>
    </row>
    <row r="4469" spans="11:11">
      <c r="K4469" s="574" t="s"/>
    </row>
    <row r="4470" spans="11:11">
      <c r="K4470" s="574" t="s"/>
    </row>
    <row r="4471" spans="11:11">
      <c r="K4471" s="574" t="s"/>
    </row>
    <row r="4472" spans="11:11">
      <c r="K4472" s="574" t="s"/>
    </row>
    <row r="4473" spans="11:11">
      <c r="K4473" s="574" t="s"/>
    </row>
    <row r="4474" spans="11:11">
      <c r="K4474" s="574" t="s"/>
    </row>
    <row r="4475" spans="11:11">
      <c r="K4475" s="574" t="s"/>
    </row>
    <row r="4476" spans="11:11">
      <c r="K4476" s="574" t="s"/>
    </row>
    <row r="4477" spans="11:11">
      <c r="K4477" s="574" t="s"/>
    </row>
    <row r="4478" spans="11:11">
      <c r="K4478" s="574" t="s"/>
    </row>
    <row r="4479" spans="11:11">
      <c r="K4479" s="574" t="s"/>
    </row>
    <row r="4480" spans="11:11">
      <c r="K4480" s="574" t="s"/>
    </row>
    <row r="4481" spans="11:11">
      <c r="K4481" s="574" t="s"/>
    </row>
    <row r="4482" spans="11:11">
      <c r="K4482" s="574" t="s"/>
    </row>
    <row r="4483" spans="11:11">
      <c r="K4483" s="574" t="s"/>
    </row>
    <row r="4484" spans="11:11">
      <c r="K4484" s="574" t="s"/>
    </row>
    <row r="4485" spans="11:11">
      <c r="K4485" s="574" t="s"/>
    </row>
    <row r="4486" spans="11:11">
      <c r="K4486" s="574" t="s"/>
    </row>
    <row r="4487" spans="11:11">
      <c r="K4487" s="574" t="s"/>
    </row>
    <row r="4488" spans="11:11">
      <c r="K4488" s="574" t="s"/>
    </row>
    <row r="4489" spans="11:11">
      <c r="K4489" s="574" t="s"/>
    </row>
    <row r="4490" spans="11:11">
      <c r="K4490" s="574" t="s"/>
    </row>
    <row r="4491" spans="11:11">
      <c r="K4491" s="574" t="s"/>
    </row>
    <row r="4492" spans="11:11">
      <c r="K4492" s="574" t="s"/>
    </row>
    <row r="4493" spans="11:11">
      <c r="K4493" s="574" t="s"/>
    </row>
    <row r="4494" spans="11:11">
      <c r="K4494" s="574" t="s"/>
    </row>
    <row r="4495" spans="11:11">
      <c r="K4495" s="574" t="s"/>
    </row>
    <row r="4496" spans="11:11">
      <c r="K4496" s="574" t="s"/>
    </row>
    <row r="4497" spans="11:11">
      <c r="K4497" s="574" t="s"/>
    </row>
    <row r="4498" spans="11:11">
      <c r="K4498" s="574" t="s"/>
    </row>
    <row r="4499" spans="11:11">
      <c r="K4499" s="574" t="s"/>
    </row>
    <row r="4500" spans="11:11">
      <c r="K4500" s="574" t="s"/>
    </row>
    <row r="4501" spans="11:11">
      <c r="K4501" s="574" t="s"/>
    </row>
    <row r="4502" spans="11:11">
      <c r="K4502" s="574" t="s"/>
    </row>
    <row r="4503" spans="11:11">
      <c r="K4503" s="574" t="s"/>
    </row>
    <row r="4504" spans="11:11">
      <c r="K4504" s="574" t="s"/>
    </row>
    <row r="4505" spans="11:11">
      <c r="K4505" s="574" t="s"/>
    </row>
    <row r="4506" spans="11:11">
      <c r="K4506" s="574" t="s"/>
    </row>
    <row r="4507" spans="11:11">
      <c r="K4507" s="574" t="s"/>
    </row>
    <row r="4508" spans="11:11">
      <c r="K4508" s="574" t="s"/>
    </row>
    <row r="4509" spans="11:11">
      <c r="K4509" s="574" t="s"/>
    </row>
    <row r="4510" spans="11:11">
      <c r="K4510" s="574" t="s"/>
    </row>
    <row r="4511" spans="11:11">
      <c r="K4511" s="574" t="s"/>
    </row>
    <row r="4512" spans="11:11">
      <c r="K4512" s="574" t="s"/>
    </row>
    <row r="4513" spans="11:11">
      <c r="K4513" s="574" t="s"/>
    </row>
    <row r="4514" spans="11:11">
      <c r="K4514" s="574" t="s"/>
    </row>
    <row r="4515" spans="11:11">
      <c r="K4515" s="574" t="s"/>
    </row>
    <row r="4516" spans="11:11">
      <c r="K4516" s="574" t="s"/>
    </row>
    <row r="4517" spans="11:11">
      <c r="K4517" s="574" t="s"/>
    </row>
    <row r="4518" spans="11:11">
      <c r="K4518" s="574" t="s"/>
    </row>
    <row r="4519" spans="11:11">
      <c r="K4519" s="574" t="s"/>
    </row>
    <row r="4520" spans="11:11">
      <c r="K4520" s="574" t="s"/>
    </row>
    <row r="4521" spans="11:11">
      <c r="K4521" s="574" t="s"/>
    </row>
    <row r="4522" spans="11:11">
      <c r="K4522" s="574" t="s"/>
    </row>
    <row r="4523" spans="11:11">
      <c r="K4523" s="574" t="s"/>
    </row>
    <row r="4524" spans="11:11">
      <c r="K4524" s="574" t="s"/>
    </row>
    <row r="4525" spans="11:11">
      <c r="K4525" s="574" t="s"/>
    </row>
    <row r="4526" spans="11:11">
      <c r="K4526" s="574" t="s"/>
    </row>
    <row r="4527" spans="11:11">
      <c r="K4527" s="574" t="s"/>
    </row>
    <row r="4528" spans="11:11">
      <c r="K4528" s="574" t="s"/>
    </row>
  </sheetData>
  <pageMargins left="0.7" right="0.7" top="0.75" bottom="0.75" header="0.3" footer="0.3"/>
  <pageSetup paperSize="9" orientation="portrait"/>
  <headerFooter/>
  <drawing r:id="rId3"/>
  <legacyDrawing r:id="rId0"/>
</worksheet>
</file>

<file path=xl/worksheets/sheet5.xml><?xml version="1.0" encoding="utf-8"?>
<worksheet xmlns="http://schemas.openxmlformats.org/spreadsheetml/2006/main">
  <sheetPr/>
  <dimension ref="A1"/>
  <sheetViews>
    <sheetView showGridLines="true" workbookViewId="0"/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2026-07-26T09:47:08Z</dcterms:created>
  <dcterms:modified xsi:type="dcterms:W3CDTF">2026-07-26T09:47:08Z</dcterms:modified>
</cp:coreProperties>
</file>